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LLM Model and Documents\Projects\RLC-Agent\commodity_pipeline\usda_ams_agent\"/>
    </mc:Choice>
  </mc:AlternateContent>
  <xr:revisionPtr revIDLastSave="0" documentId="13_ncr:1_{EFC7EF95-A220-4C81-B003-77BBA1A488D2}" xr6:coauthVersionLast="47" xr6:coauthVersionMax="47" xr10:uidLastSave="{00000000-0000-0000-0000-000000000000}"/>
  <bookViews>
    <workbookView xWindow="2925" yWindow="1485" windowWidth="24450" windowHeight="13785" xr2:uid="{ADF9F7D8-176C-4D97-B2A6-BAFF23809C54}"/>
  </bookViews>
  <sheets>
    <sheet name="Sheet1" sheetId="1" r:id="rId1"/>
    <sheet name="Inactiv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52" i="1"/>
  <c r="A53" i="1"/>
  <c r="A54" i="1"/>
  <c r="A55" i="1"/>
  <c r="A56" i="1"/>
  <c r="A57" i="1"/>
  <c r="A58" i="1"/>
</calcChain>
</file>

<file path=xl/sharedStrings.xml><?xml version="1.0" encoding="utf-8"?>
<sst xmlns="http://schemas.openxmlformats.org/spreadsheetml/2006/main" count="180" uniqueCount="117">
  <si>
    <t>id</t>
  </si>
  <si>
    <t>name</t>
  </si>
  <si>
    <t>type</t>
  </si>
  <si>
    <t>slug_id</t>
  </si>
  <si>
    <t>description</t>
  </si>
  <si>
    <t>category</t>
  </si>
  <si>
    <t>frequency</t>
  </si>
  <si>
    <t>enabled</t>
  </si>
  <si>
    <t>source_url</t>
  </si>
  <si>
    <t>Daily Grain Review</t>
  </si>
  <si>
    <t>grain</t>
  </si>
  <si>
    <t>lm_gr110</t>
  </si>
  <si>
    <t>Daily summary of grain cash and futures markets</t>
  </si>
  <si>
    <t>daily</t>
  </si>
  <si>
    <t>https://mymarketnews.ams.usda.gov/viewReport/2849</t>
  </si>
  <si>
    <t>Daily Ethanol Report</t>
  </si>
  <si>
    <t>ethanol</t>
  </si>
  <si>
    <t>nw_gr113</t>
  </si>
  <si>
    <t>Daily ethanol prices and production</t>
  </si>
  <si>
    <t>https://mymarketnews.ams.usda.gov/viewReport/3617</t>
  </si>
  <si>
    <t>Iowa Daily Grain Bids</t>
  </si>
  <si>
    <t>lm_gr115</t>
  </si>
  <si>
    <t>Daily grain elevator bids in Iowa</t>
  </si>
  <si>
    <t>https://mymarketnews.ams.usda.gov/viewReport/2852</t>
  </si>
  <si>
    <t>Weekly Ethanol Report</t>
  </si>
  <si>
    <t>National Weekly Grain Co-Products Report</t>
  </si>
  <si>
    <t>National Weekly Ag Energy Roundup</t>
  </si>
  <si>
    <t>AMS_3618</t>
  </si>
  <si>
    <t>LSWAGENERGY</t>
  </si>
  <si>
    <t>AMS_3616</t>
  </si>
  <si>
    <t>weekly</t>
  </si>
  <si>
    <t>https://mymarketnews.ams.usda.gov/viewReport/2805</t>
  </si>
  <si>
    <t>energy</t>
  </si>
  <si>
    <t>biofuel</t>
  </si>
  <si>
    <t>https://mymarketnews.ams.usda.gov/viewReport/3618</t>
  </si>
  <si>
    <t>Weekly ethanol, feed grade DDG, DGMW, DGW, DCO prices</t>
  </si>
  <si>
    <t>co-products</t>
  </si>
  <si>
    <t>https://mymarketnews.ams.usda.gov/viewReport/3616</t>
  </si>
  <si>
    <t>National Biomass Report</t>
  </si>
  <si>
    <t>nw_gr310</t>
  </si>
  <si>
    <t>Central Illinois Corn Processor Report</t>
  </si>
  <si>
    <t>corn</t>
  </si>
  <si>
    <t>gx_gr115</t>
  </si>
  <si>
    <t>Weekly corn and DCO, monthly DCO</t>
  </si>
  <si>
    <t>Weekly Distiller Grain Summary</t>
  </si>
  <si>
    <t>distillers grains</t>
  </si>
  <si>
    <t>nw_gr115</t>
  </si>
  <si>
    <t>Weekly distillers grains</t>
  </si>
  <si>
    <t>Weekly energy commodity</t>
  </si>
  <si>
    <t>Weekly DCO, DDG, and soy hull and meal</t>
  </si>
  <si>
    <t xml:space="preserve">Weekly corn stalks, straw, and grass </t>
  </si>
  <si>
    <t>OKC West Livestock Auction – El Reno, OK</t>
  </si>
  <si>
    <t>cattle</t>
  </si>
  <si>
    <t>AMS_1281</t>
  </si>
  <si>
    <t>Weekly feeder cattle auction prices (Medium &amp; Large #1 steers, 450–800 lb)</t>
  </si>
  <si>
    <t>livestock</t>
  </si>
  <si>
    <t>https://mymarketnews.ams.usda.gov/viewReport/1281</t>
  </si>
  <si>
    <t>National Weekly Direct Slaughter Cattle – Negotiated Purchases</t>
  </si>
  <si>
    <t>AMS_2477</t>
  </si>
  <si>
    <t>https://mymarketnews.ams.usda.gov/viewReport/2477</t>
  </si>
  <si>
    <t>Nebraska Weekly Direct Slaughter Cattle – Negotiated Purchases</t>
  </si>
  <si>
    <t>AMS_2485</t>
  </si>
  <si>
    <t>Weekly Nebraska direct slaughter cattle negotiated cash prices</t>
  </si>
  <si>
    <t>https://mymarketnews.ams.usda.gov/viewReport/2485</t>
  </si>
  <si>
    <t>Cattle Country Livestock Video/Internet Auction – Torrington, WY</t>
  </si>
  <si>
    <t>AMS_2675</t>
  </si>
  <si>
    <t>Feeder cattle prices from video/internet auction (Torrington, WY)</t>
  </si>
  <si>
    <t>https://mymarketnews.ams.usda.gov/viewReport/2675</t>
  </si>
  <si>
    <t>poultry</t>
  </si>
  <si>
    <t>AMS_2771</t>
  </si>
  <si>
    <t>Daily summary of national turkey market prices and conditions</t>
  </si>
  <si>
    <t>https://mymarketnews.ams.usda.gov/viewReport/2771</t>
  </si>
  <si>
    <t>swine</t>
  </si>
  <si>
    <t>AMS_2810</t>
  </si>
  <si>
    <t>Weekly feeder pig prices (early-weaned 10–12 lb and 40 lb pigs)</t>
  </si>
  <si>
    <t>https://mymarketnews.ams.usda.gov/viewReport/2810</t>
  </si>
  <si>
    <t>National Daily Sunflower, Canola, Millet, and Flaxseed Report</t>
  </si>
  <si>
    <t>AMS_2887</t>
  </si>
  <si>
    <t>https://mymarketnews.ams.usda.gov/viewReport/2887</t>
  </si>
  <si>
    <t>Indiana Grain Bids</t>
  </si>
  <si>
    <t>AMS_2932</t>
  </si>
  <si>
    <t>Daily grain elevator bid prices in Indiana (corn, soybeans, etc.)</t>
  </si>
  <si>
    <t>https://mymarketnews.ams.usda.gov/viewReport/2932</t>
  </si>
  <si>
    <t>Green City Livestock Auction – Green City, MO</t>
  </si>
  <si>
    <t>AMS_3046</t>
  </si>
  <si>
    <t>Feeder cattle auction prices (Missouri)</t>
  </si>
  <si>
    <t>https://mymarketnews.ams.usda.gov/viewReport/3046</t>
  </si>
  <si>
    <t>AMS_3148</t>
  </si>
  <si>
    <t>Daily wheat bid prices – Kansas City market (HRW wheat)</t>
  </si>
  <si>
    <t>https://mymarketnews.ams.usda.gov/viewReport/3148</t>
  </si>
  <si>
    <t>Illinois Grain Bids</t>
  </si>
  <si>
    <t>AMS_3192</t>
  </si>
  <si>
    <t>Daily grain elevator bid prices in Illinois (corn, soybeans, etc.)</t>
  </si>
  <si>
    <t>https://mymarketnews.ams.usda.gov/viewReport/3192</t>
  </si>
  <si>
    <t>Illinois Production Cost Report (Bi-Weekly)</t>
  </si>
  <si>
    <t>AMS_3195</t>
  </si>
  <si>
    <t>Bi-weekly prices of farm input costs in Illinois (fuel &amp; fertilizer)</t>
  </si>
  <si>
    <t>bi-weekly</t>
  </si>
  <si>
    <t>https://mymarketnews.ams.usda.gov/viewReport/3195</t>
  </si>
  <si>
    <t>Ohio Daily Grain Bids</t>
  </si>
  <si>
    <t>AMS_3225</t>
  </si>
  <si>
    <t>Daily grain elevator bid prices in Ohio (corn, soybeans, etc.)</t>
  </si>
  <si>
    <t>https://mymarketnews.ams.usda.gov/viewReport/3225</t>
  </si>
  <si>
    <t>AMS_3511</t>
  </si>
  <si>
    <t>Weekly prices for grain by-product feedstuffs (e.g. soybean meal, millfeeds)</t>
  </si>
  <si>
    <t>https://mymarketnews.ams.usda.gov/viewReport/3511</t>
  </si>
  <si>
    <t>Weekly Cotton Market Review (CNWWCMR)</t>
  </si>
  <si>
    <t>cotton</t>
  </si>
  <si>
    <t>CNWWCMR</t>
  </si>
  <si>
    <t>Weekly cotton spot market review and price summary (Upland cotton)</t>
  </si>
  <si>
    <t>https://mymarketnews.ams.usda.gov/viewReport/3024</t>
  </si>
  <si>
    <r>
      <t xml:space="preserve">Weekly </t>
    </r>
    <r>
      <rPr>
        <sz val="11"/>
        <color theme="1"/>
        <rFont val="Aptos Narrow"/>
        <family val="2"/>
        <scheme val="minor"/>
      </rPr>
      <t>5-Area direct slaughter cattle cash prices (negotiated trade)</t>
    </r>
  </si>
  <si>
    <r>
      <t>Turkey:</t>
    </r>
    <r>
      <rPr>
        <sz val="11"/>
        <color theme="1"/>
        <rFont val="Aptos Narrow"/>
        <family val="2"/>
        <scheme val="minor"/>
      </rPr>
      <t xml:space="preserve"> Daily National Turkey Market-at-a-Glance</t>
    </r>
  </si>
  <si>
    <r>
      <t xml:space="preserve">National Direct </t>
    </r>
    <r>
      <rPr>
        <sz val="11"/>
        <color theme="1"/>
        <rFont val="Aptos Narrow"/>
        <family val="2"/>
        <scheme val="minor"/>
      </rPr>
      <t>Feeder Pig Report</t>
    </r>
  </si>
  <si>
    <r>
      <t xml:space="preserve">Daily cash prices for </t>
    </r>
    <r>
      <rPr>
        <sz val="11"/>
        <color theme="1"/>
        <rFont val="Aptos Narrow"/>
        <family val="2"/>
        <scheme val="minor"/>
      </rPr>
      <t>sunflower, canola, millet, and flaxseed</t>
    </r>
  </si>
  <si>
    <r>
      <t xml:space="preserve">Kansas City Board of Trade </t>
    </r>
    <r>
      <rPr>
        <sz val="11"/>
        <color theme="1"/>
        <rFont val="Aptos Narrow"/>
        <family val="2"/>
        <scheme val="minor"/>
      </rPr>
      <t>Daily Wheat Bids</t>
    </r>
  </si>
  <si>
    <r>
      <t xml:space="preserve">National Grain and Oilseed Processor </t>
    </r>
    <r>
      <rPr>
        <sz val="11"/>
        <color theme="1"/>
        <rFont val="Aptos Narrow"/>
        <family val="2"/>
        <scheme val="minor"/>
      </rPr>
      <t>Feedstuff Report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</si>
</sst>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Calibri"/>
      <family val="2"/>
    </font>
    <font>
      <sz val="11"/>
      <color rgb="FF18453B"/>
      <name val="Calibri"/>
      <family val="2"/>
    </font>
    <font>
      <u/>
      <sz val="11"/>
      <color rgb="FF18453B"/>
      <name val="Calibri"/>
      <family val="2"/>
    </font>
    <font>
      <sz val="14"/>
      <color rgb="FF18453B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AD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  <xf numFmtId="14" fontId="3" fillId="0" borderId="0" xfId="0" applyNumberFormat="1" applyFont="1"/>
    <xf numFmtId="0" fontId="5" fillId="2" borderId="0" xfId="0" applyFont="1" applyFill="1"/>
    <xf numFmtId="0" fontId="6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8453B"/>
      <color rgb="FFDBEA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HigbyBarrett\Cash%20Prices%20-%20New%20Quotes.xlsx" TargetMode="External"/><Relationship Id="rId1" Type="http://schemas.openxmlformats.org/officeDocument/2006/relationships/externalLinkPath" Target="/Users/torem/Dropbox/HigbyBarrett/Cash%20Prices%20-%20New%20Quo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s"/>
      <sheetName val="Sheet2"/>
      <sheetName val="Text"/>
      <sheetName val="Sheet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marketnews.ams.usda.gov/viewReport/2771" TargetMode="External"/><Relationship Id="rId13" Type="http://schemas.openxmlformats.org/officeDocument/2006/relationships/hyperlink" Target="https://mymarketnews.ams.usda.gov/viewReport/3148" TargetMode="External"/><Relationship Id="rId18" Type="http://schemas.openxmlformats.org/officeDocument/2006/relationships/hyperlink" Target="https://mymarketnews.ams.usda.gov/viewReport/3024" TargetMode="External"/><Relationship Id="rId3" Type="http://schemas.openxmlformats.org/officeDocument/2006/relationships/hyperlink" Target="https://mymarketnews.ams.usda.gov/viewReport/3616" TargetMode="External"/><Relationship Id="rId7" Type="http://schemas.openxmlformats.org/officeDocument/2006/relationships/hyperlink" Target="https://mymarketnews.ams.usda.gov/viewReport/2675" TargetMode="External"/><Relationship Id="rId12" Type="http://schemas.openxmlformats.org/officeDocument/2006/relationships/hyperlink" Target="https://mymarketnews.ams.usda.gov/viewReport/3046" TargetMode="External"/><Relationship Id="rId17" Type="http://schemas.openxmlformats.org/officeDocument/2006/relationships/hyperlink" Target="https://mymarketnews.ams.usda.gov/viewReport/3511" TargetMode="External"/><Relationship Id="rId2" Type="http://schemas.openxmlformats.org/officeDocument/2006/relationships/hyperlink" Target="https://mymarketnews.ams.usda.gov/viewReport/2805" TargetMode="External"/><Relationship Id="rId16" Type="http://schemas.openxmlformats.org/officeDocument/2006/relationships/hyperlink" Target="https://mymarketnews.ams.usda.gov/viewReport/3225" TargetMode="External"/><Relationship Id="rId1" Type="http://schemas.openxmlformats.org/officeDocument/2006/relationships/hyperlink" Target="https://mymarketnews.ams.usda.gov/viewReport/3618" TargetMode="External"/><Relationship Id="rId6" Type="http://schemas.openxmlformats.org/officeDocument/2006/relationships/hyperlink" Target="https://mymarketnews.ams.usda.gov/viewReport/2485" TargetMode="External"/><Relationship Id="rId11" Type="http://schemas.openxmlformats.org/officeDocument/2006/relationships/hyperlink" Target="https://mymarketnews.ams.usda.gov/viewReport/2932" TargetMode="External"/><Relationship Id="rId5" Type="http://schemas.openxmlformats.org/officeDocument/2006/relationships/hyperlink" Target="https://mymarketnews.ams.usda.gov/viewReport/2477" TargetMode="External"/><Relationship Id="rId15" Type="http://schemas.openxmlformats.org/officeDocument/2006/relationships/hyperlink" Target="https://mymarketnews.ams.usda.gov/viewReport/3195" TargetMode="External"/><Relationship Id="rId10" Type="http://schemas.openxmlformats.org/officeDocument/2006/relationships/hyperlink" Target="https://mymarketnews.ams.usda.gov/viewReport/2887" TargetMode="External"/><Relationship Id="rId4" Type="http://schemas.openxmlformats.org/officeDocument/2006/relationships/hyperlink" Target="https://mymarketnews.ams.usda.gov/viewReport/1281" TargetMode="External"/><Relationship Id="rId9" Type="http://schemas.openxmlformats.org/officeDocument/2006/relationships/hyperlink" Target="https://mymarketnews.ams.usda.gov/viewReport/2810" TargetMode="External"/><Relationship Id="rId14" Type="http://schemas.openxmlformats.org/officeDocument/2006/relationships/hyperlink" Target="https://mymarketnews.ams.usda.gov/viewReport/31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8E3F-259D-4B7E-832B-A9BEDD9DE859}">
  <dimension ref="A1:I58"/>
  <sheetViews>
    <sheetView tabSelected="1" workbookViewId="0">
      <selection activeCell="A23" sqref="A23:I28"/>
    </sheetView>
  </sheetViews>
  <sheetFormatPr defaultRowHeight="15" x14ac:dyDescent="0.25"/>
  <cols>
    <col min="1" max="1" width="5" bestFit="1" customWidth="1"/>
    <col min="2" max="2" width="39.42578125" bestFit="1" customWidth="1"/>
    <col min="3" max="3" width="14.5703125" bestFit="1" customWidth="1"/>
    <col min="4" max="4" width="14.28515625" bestFit="1" customWidth="1"/>
    <col min="5" max="5" width="54.5703125" bestFit="1" customWidth="1"/>
    <col min="6" max="6" width="11.42578125" bestFit="1" customWidth="1"/>
    <col min="7" max="7" width="12.42578125" bestFit="1" customWidth="1"/>
    <col min="8" max="8" width="10" bestFit="1" customWidth="1"/>
    <col min="9" max="9" width="51.5703125" bestFit="1" customWidth="1"/>
  </cols>
  <sheetData>
    <row r="1" spans="1:9" ht="18.7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2">
        <v>2849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10</v>
      </c>
      <c r="G2" s="2" t="s">
        <v>13</v>
      </c>
      <c r="H2" s="2" t="b">
        <v>1</v>
      </c>
      <c r="I2" s="2" t="s">
        <v>14</v>
      </c>
    </row>
    <row r="3" spans="1:9" x14ac:dyDescent="0.25">
      <c r="A3" s="2">
        <v>3617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32</v>
      </c>
      <c r="G3" s="2" t="s">
        <v>13</v>
      </c>
      <c r="H3" s="2" t="b">
        <v>1</v>
      </c>
      <c r="I3" s="2" t="s">
        <v>19</v>
      </c>
    </row>
    <row r="4" spans="1:9" x14ac:dyDescent="0.25">
      <c r="A4" s="2">
        <v>2852</v>
      </c>
      <c r="B4" s="2" t="s">
        <v>20</v>
      </c>
      <c r="C4" s="2" t="s">
        <v>10</v>
      </c>
      <c r="D4" s="2" t="s">
        <v>21</v>
      </c>
      <c r="E4" s="2" t="s">
        <v>22</v>
      </c>
      <c r="F4" s="2" t="s">
        <v>10</v>
      </c>
      <c r="G4" s="2" t="s">
        <v>13</v>
      </c>
      <c r="H4" s="2" t="b">
        <v>1</v>
      </c>
      <c r="I4" s="2" t="s">
        <v>23</v>
      </c>
    </row>
    <row r="5" spans="1:9" x14ac:dyDescent="0.25">
      <c r="A5" s="2">
        <v>3618</v>
      </c>
      <c r="B5" s="2" t="s">
        <v>25</v>
      </c>
      <c r="C5" s="2" t="s">
        <v>16</v>
      </c>
      <c r="D5" s="2" t="s">
        <v>27</v>
      </c>
      <c r="E5" s="2" t="s">
        <v>49</v>
      </c>
      <c r="F5" s="2" t="s">
        <v>32</v>
      </c>
      <c r="G5" s="2" t="s">
        <v>30</v>
      </c>
      <c r="H5" s="2" t="b">
        <v>1</v>
      </c>
      <c r="I5" s="3" t="s">
        <v>34</v>
      </c>
    </row>
    <row r="6" spans="1:9" x14ac:dyDescent="0.25">
      <c r="A6" s="2">
        <v>2805</v>
      </c>
      <c r="B6" s="2" t="s">
        <v>26</v>
      </c>
      <c r="C6" s="2" t="s">
        <v>33</v>
      </c>
      <c r="D6" s="2" t="s">
        <v>28</v>
      </c>
      <c r="E6" s="2" t="s">
        <v>48</v>
      </c>
      <c r="F6" s="2" t="s">
        <v>32</v>
      </c>
      <c r="G6" s="2" t="s">
        <v>30</v>
      </c>
      <c r="H6" s="2" t="b">
        <v>1</v>
      </c>
      <c r="I6" s="3" t="s">
        <v>31</v>
      </c>
    </row>
    <row r="7" spans="1:9" x14ac:dyDescent="0.25">
      <c r="A7" s="2">
        <v>3616</v>
      </c>
      <c r="B7" s="2" t="s">
        <v>24</v>
      </c>
      <c r="C7" s="2" t="s">
        <v>16</v>
      </c>
      <c r="D7" s="2" t="s">
        <v>29</v>
      </c>
      <c r="E7" s="2" t="s">
        <v>35</v>
      </c>
      <c r="F7" s="2" t="s">
        <v>36</v>
      </c>
      <c r="G7" s="2" t="s">
        <v>30</v>
      </c>
      <c r="H7" s="2" t="b">
        <v>1</v>
      </c>
      <c r="I7" s="3" t="s">
        <v>37</v>
      </c>
    </row>
    <row r="8" spans="1:9" x14ac:dyDescent="0.25">
      <c r="A8" s="2">
        <v>1281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30</v>
      </c>
      <c r="H8" s="2" t="b">
        <v>1</v>
      </c>
      <c r="I8" s="3" t="s">
        <v>56</v>
      </c>
    </row>
    <row r="9" spans="1:9" x14ac:dyDescent="0.25">
      <c r="A9" s="2">
        <v>2477</v>
      </c>
      <c r="B9" s="2" t="s">
        <v>57</v>
      </c>
      <c r="C9" s="2" t="s">
        <v>52</v>
      </c>
      <c r="D9" s="2" t="s">
        <v>58</v>
      </c>
      <c r="E9" s="2" t="s">
        <v>111</v>
      </c>
      <c r="F9" s="2" t="s">
        <v>55</v>
      </c>
      <c r="G9" s="2" t="s">
        <v>30</v>
      </c>
      <c r="H9" s="2" t="b">
        <v>1</v>
      </c>
      <c r="I9" s="3" t="s">
        <v>59</v>
      </c>
    </row>
    <row r="10" spans="1:9" x14ac:dyDescent="0.25">
      <c r="A10" s="2">
        <v>2485</v>
      </c>
      <c r="B10" s="2" t="s">
        <v>60</v>
      </c>
      <c r="C10" s="2" t="s">
        <v>52</v>
      </c>
      <c r="D10" s="2" t="s">
        <v>61</v>
      </c>
      <c r="E10" s="2" t="s">
        <v>62</v>
      </c>
      <c r="F10" s="2" t="s">
        <v>55</v>
      </c>
      <c r="G10" s="2" t="s">
        <v>30</v>
      </c>
      <c r="H10" s="2" t="b">
        <v>1</v>
      </c>
      <c r="I10" s="3" t="s">
        <v>63</v>
      </c>
    </row>
    <row r="11" spans="1:9" x14ac:dyDescent="0.25">
      <c r="A11" s="2">
        <v>2675</v>
      </c>
      <c r="B11" s="2" t="s">
        <v>64</v>
      </c>
      <c r="C11" s="2" t="s">
        <v>52</v>
      </c>
      <c r="D11" s="2" t="s">
        <v>65</v>
      </c>
      <c r="E11" s="2" t="s">
        <v>66</v>
      </c>
      <c r="F11" s="2" t="s">
        <v>55</v>
      </c>
      <c r="G11" s="2" t="s">
        <v>30</v>
      </c>
      <c r="H11" s="2" t="b">
        <v>1</v>
      </c>
      <c r="I11" s="3" t="s">
        <v>67</v>
      </c>
    </row>
    <row r="12" spans="1:9" x14ac:dyDescent="0.25">
      <c r="A12" s="2">
        <v>2771</v>
      </c>
      <c r="B12" s="2" t="s">
        <v>112</v>
      </c>
      <c r="C12" s="2" t="s">
        <v>68</v>
      </c>
      <c r="D12" s="2" t="s">
        <v>69</v>
      </c>
      <c r="E12" s="2" t="s">
        <v>70</v>
      </c>
      <c r="F12" s="2" t="s">
        <v>55</v>
      </c>
      <c r="G12" s="2" t="s">
        <v>13</v>
      </c>
      <c r="H12" s="2" t="b">
        <v>1</v>
      </c>
      <c r="I12" s="3" t="s">
        <v>71</v>
      </c>
    </row>
    <row r="13" spans="1:9" x14ac:dyDescent="0.25">
      <c r="A13" s="2">
        <v>2810</v>
      </c>
      <c r="B13" s="2" t="s">
        <v>113</v>
      </c>
      <c r="C13" s="2" t="s">
        <v>72</v>
      </c>
      <c r="D13" s="2" t="s">
        <v>73</v>
      </c>
      <c r="E13" s="2" t="s">
        <v>74</v>
      </c>
      <c r="F13" s="2" t="s">
        <v>55</v>
      </c>
      <c r="G13" s="2" t="s">
        <v>30</v>
      </c>
      <c r="H13" s="2" t="b">
        <v>1</v>
      </c>
      <c r="I13" s="3" t="s">
        <v>75</v>
      </c>
    </row>
    <row r="14" spans="1:9" x14ac:dyDescent="0.25">
      <c r="A14" s="2">
        <v>2887</v>
      </c>
      <c r="B14" s="2" t="s">
        <v>76</v>
      </c>
      <c r="C14" s="2" t="s">
        <v>10</v>
      </c>
      <c r="D14" s="2" t="s">
        <v>77</v>
      </c>
      <c r="E14" s="2" t="s">
        <v>114</v>
      </c>
      <c r="F14" s="2" t="s">
        <v>10</v>
      </c>
      <c r="G14" s="2" t="s">
        <v>13</v>
      </c>
      <c r="H14" s="2" t="b">
        <v>1</v>
      </c>
      <c r="I14" s="3" t="s">
        <v>78</v>
      </c>
    </row>
    <row r="15" spans="1:9" x14ac:dyDescent="0.25">
      <c r="A15" s="2">
        <v>2932</v>
      </c>
      <c r="B15" s="2" t="s">
        <v>79</v>
      </c>
      <c r="C15" s="2" t="s">
        <v>10</v>
      </c>
      <c r="D15" s="2" t="s">
        <v>80</v>
      </c>
      <c r="E15" s="2" t="s">
        <v>81</v>
      </c>
      <c r="F15" s="2" t="s">
        <v>10</v>
      </c>
      <c r="G15" s="2" t="s">
        <v>13</v>
      </c>
      <c r="H15" s="2" t="b">
        <v>1</v>
      </c>
      <c r="I15" s="3" t="s">
        <v>82</v>
      </c>
    </row>
    <row r="16" spans="1:9" x14ac:dyDescent="0.25">
      <c r="A16" s="2">
        <v>3046</v>
      </c>
      <c r="B16" s="2" t="s">
        <v>83</v>
      </c>
      <c r="C16" s="2" t="s">
        <v>52</v>
      </c>
      <c r="D16" s="2" t="s">
        <v>84</v>
      </c>
      <c r="E16" s="2" t="s">
        <v>85</v>
      </c>
      <c r="F16" s="2" t="s">
        <v>55</v>
      </c>
      <c r="G16" s="2" t="s">
        <v>30</v>
      </c>
      <c r="H16" s="2" t="b">
        <v>1</v>
      </c>
      <c r="I16" s="3" t="s">
        <v>86</v>
      </c>
    </row>
    <row r="17" spans="1:9" x14ac:dyDescent="0.25">
      <c r="A17" s="2">
        <v>3148</v>
      </c>
      <c r="B17" s="2" t="s">
        <v>115</v>
      </c>
      <c r="C17" s="2" t="s">
        <v>10</v>
      </c>
      <c r="D17" s="2" t="s">
        <v>87</v>
      </c>
      <c r="E17" s="2" t="s">
        <v>88</v>
      </c>
      <c r="F17" s="2" t="s">
        <v>10</v>
      </c>
      <c r="G17" s="2" t="s">
        <v>13</v>
      </c>
      <c r="H17" s="2" t="b">
        <v>1</v>
      </c>
      <c r="I17" s="3" t="s">
        <v>89</v>
      </c>
    </row>
    <row r="18" spans="1:9" x14ac:dyDescent="0.25">
      <c r="A18" s="2">
        <v>3192</v>
      </c>
      <c r="B18" s="2" t="s">
        <v>90</v>
      </c>
      <c r="C18" s="2" t="s">
        <v>10</v>
      </c>
      <c r="D18" s="2" t="s">
        <v>91</v>
      </c>
      <c r="E18" s="2" t="s">
        <v>92</v>
      </c>
      <c r="F18" s="2" t="s">
        <v>10</v>
      </c>
      <c r="G18" s="2" t="s">
        <v>13</v>
      </c>
      <c r="H18" s="2" t="b">
        <v>1</v>
      </c>
      <c r="I18" s="3" t="s">
        <v>93</v>
      </c>
    </row>
    <row r="19" spans="1:9" x14ac:dyDescent="0.25">
      <c r="A19" s="2">
        <v>3195</v>
      </c>
      <c r="B19" s="2" t="s">
        <v>94</v>
      </c>
      <c r="C19" s="2" t="s">
        <v>16</v>
      </c>
      <c r="D19" s="2" t="s">
        <v>95</v>
      </c>
      <c r="E19" s="2" t="s">
        <v>96</v>
      </c>
      <c r="F19" s="2" t="s">
        <v>32</v>
      </c>
      <c r="G19" s="2" t="s">
        <v>97</v>
      </c>
      <c r="H19" s="2" t="b">
        <v>1</v>
      </c>
      <c r="I19" s="3" t="s">
        <v>98</v>
      </c>
    </row>
    <row r="20" spans="1:9" x14ac:dyDescent="0.25">
      <c r="A20" s="2">
        <v>3225</v>
      </c>
      <c r="B20" s="2" t="s">
        <v>99</v>
      </c>
      <c r="C20" s="2" t="s">
        <v>10</v>
      </c>
      <c r="D20" s="2" t="s">
        <v>100</v>
      </c>
      <c r="E20" s="2" t="s">
        <v>101</v>
      </c>
      <c r="F20" s="2" t="s">
        <v>10</v>
      </c>
      <c r="G20" s="2" t="s">
        <v>13</v>
      </c>
      <c r="H20" s="2" t="b">
        <v>1</v>
      </c>
      <c r="I20" s="3" t="s">
        <v>102</v>
      </c>
    </row>
    <row r="21" spans="1:9" x14ac:dyDescent="0.25">
      <c r="A21" s="2">
        <v>3511</v>
      </c>
      <c r="B21" s="2" t="s">
        <v>116</v>
      </c>
      <c r="C21" s="2" t="s">
        <v>16</v>
      </c>
      <c r="D21" s="2" t="s">
        <v>103</v>
      </c>
      <c r="E21" s="2" t="s">
        <v>104</v>
      </c>
      <c r="F21" s="2" t="s">
        <v>32</v>
      </c>
      <c r="G21" s="2" t="s">
        <v>30</v>
      </c>
      <c r="H21" s="2" t="b">
        <v>1</v>
      </c>
      <c r="I21" s="3" t="s">
        <v>105</v>
      </c>
    </row>
    <row r="22" spans="1:9" x14ac:dyDescent="0.25">
      <c r="A22" s="2">
        <v>3024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107</v>
      </c>
      <c r="G22" s="2" t="s">
        <v>30</v>
      </c>
      <c r="H22" s="2" t="b">
        <v>1</v>
      </c>
      <c r="I22" s="3" t="s">
        <v>110</v>
      </c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3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6" spans="1:9" x14ac:dyDescent="0.25">
      <c r="A26" s="6"/>
      <c r="B26" s="6"/>
      <c r="C26" s="6"/>
      <c r="D26" s="6"/>
      <c r="E26" s="6"/>
      <c r="F26" s="6"/>
      <c r="G26" s="6"/>
      <c r="H26" s="6"/>
      <c r="I26" s="6"/>
    </row>
    <row r="51" spans="1:1" x14ac:dyDescent="0.25">
      <c r="A51" t="str">
        <f>RIGHT([1]Sheet2!$W56,4)</f>
        <v/>
      </c>
    </row>
    <row r="52" spans="1:1" x14ac:dyDescent="0.25">
      <c r="A52" t="str">
        <f>RIGHT([1]Sheet2!$W57,4)</f>
        <v/>
      </c>
    </row>
    <row r="53" spans="1:1" x14ac:dyDescent="0.25">
      <c r="A53" t="str">
        <f>RIGHT([1]Sheet2!$W58,4)</f>
        <v/>
      </c>
    </row>
    <row r="54" spans="1:1" x14ac:dyDescent="0.25">
      <c r="A54" t="str">
        <f>RIGHT([1]Sheet2!$W59,4)</f>
        <v/>
      </c>
    </row>
    <row r="55" spans="1:1" x14ac:dyDescent="0.25">
      <c r="A55" t="str">
        <f>RIGHT([1]Sheet2!$W60,4)</f>
        <v/>
      </c>
    </row>
    <row r="56" spans="1:1" x14ac:dyDescent="0.25">
      <c r="A56" t="str">
        <f>RIGHT([1]Sheet2!$W61,4)</f>
        <v/>
      </c>
    </row>
    <row r="57" spans="1:1" x14ac:dyDescent="0.25">
      <c r="A57" t="str">
        <f>RIGHT([1]Sheet2!$W62,4)</f>
        <v/>
      </c>
    </row>
    <row r="58" spans="1:1" x14ac:dyDescent="0.25">
      <c r="A58" t="str">
        <f>RIGHT([1]Sheet2!$W63,4)</f>
        <v/>
      </c>
    </row>
  </sheetData>
  <hyperlinks>
    <hyperlink ref="I5" r:id="rId1" xr:uid="{1654460B-225E-4700-AC8D-A65B57357A67}"/>
    <hyperlink ref="I6" r:id="rId2" xr:uid="{C13F3259-A522-4F3D-90DE-8776328594D6}"/>
    <hyperlink ref="I7" r:id="rId3" xr:uid="{45FE8ECC-5864-4A52-BCF5-FDFA002DFE35}"/>
    <hyperlink ref="I8" r:id="rId4" xr:uid="{B74A878D-57F8-49E2-A2C6-901064E8B39C}"/>
    <hyperlink ref="I9" r:id="rId5" xr:uid="{8F074E40-B35F-4DC9-8A35-29FC448E060A}"/>
    <hyperlink ref="I10" r:id="rId6" xr:uid="{078A2F78-C1C4-4B30-909B-672336E38453}"/>
    <hyperlink ref="I11" r:id="rId7" xr:uid="{CA510728-0937-4EF3-9FCB-2F08CC7DEC03}"/>
    <hyperlink ref="I12" r:id="rId8" xr:uid="{DE673F28-97B7-437A-BAB6-7EBF2CDA3CB1}"/>
    <hyperlink ref="I13" r:id="rId9" xr:uid="{42F75FE9-EEE4-4F5C-835B-29588F1BD65E}"/>
    <hyperlink ref="I14" r:id="rId10" xr:uid="{25E27830-9D9A-45DA-A360-DA7DFC7A4640}"/>
    <hyperlink ref="I15" r:id="rId11" xr:uid="{F4B31312-DE0E-4651-A8D4-F733894998DD}"/>
    <hyperlink ref="I16" r:id="rId12" xr:uid="{573FF64B-CED2-4C32-BD9C-7B4DE7EA6191}"/>
    <hyperlink ref="I17" r:id="rId13" xr:uid="{D1AB433A-0410-4787-B451-1EF384FA1AA5}"/>
    <hyperlink ref="I18" r:id="rId14" xr:uid="{BC4B2502-DF29-4685-9737-BF753CE72C2B}"/>
    <hyperlink ref="I19" r:id="rId15" xr:uid="{8925C758-2D6A-455F-829D-62F4243D4A18}"/>
    <hyperlink ref="I20" r:id="rId16" xr:uid="{57A326E2-8800-4220-9A3E-9C887EAAC93F}"/>
    <hyperlink ref="I21" r:id="rId17" xr:uid="{BB91C4DD-5DA6-4D15-9395-8DDF804CBA95}"/>
    <hyperlink ref="I22" r:id="rId18" xr:uid="{52A077D0-EEAE-40F0-9197-23A759312FF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81E21-3746-4D18-8E4E-6C7B1B352303}">
  <dimension ref="A1:I4"/>
  <sheetViews>
    <sheetView topLeftCell="A2" workbookViewId="0">
      <selection activeCell="B36" sqref="B36:B37"/>
    </sheetView>
  </sheetViews>
  <sheetFormatPr defaultRowHeight="15" x14ac:dyDescent="0.25"/>
  <sheetData>
    <row r="1" spans="1:9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2804</v>
      </c>
      <c r="B2" s="2" t="s">
        <v>38</v>
      </c>
      <c r="C2" s="2" t="s">
        <v>33</v>
      </c>
      <c r="D2" s="2" t="s">
        <v>39</v>
      </c>
      <c r="E2" s="2" t="s">
        <v>50</v>
      </c>
      <c r="F2" s="2" t="s">
        <v>32</v>
      </c>
      <c r="G2" s="4">
        <v>45716</v>
      </c>
      <c r="H2" s="2" t="b">
        <v>1</v>
      </c>
      <c r="I2" s="2"/>
    </row>
    <row r="3" spans="1:9" x14ac:dyDescent="0.25">
      <c r="A3" s="2">
        <v>3189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32</v>
      </c>
      <c r="G3" s="4">
        <v>44599</v>
      </c>
      <c r="H3" s="2" t="b">
        <v>1</v>
      </c>
      <c r="I3" s="2"/>
    </row>
    <row r="4" spans="1:9" x14ac:dyDescent="0.25">
      <c r="A4" s="2">
        <v>3202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36</v>
      </c>
      <c r="G4" s="4">
        <v>43868</v>
      </c>
      <c r="H4" s="2" t="b">
        <v>1</v>
      </c>
      <c r="I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2025-11-26T20:09:58Z</dcterms:created>
  <dcterms:modified xsi:type="dcterms:W3CDTF">2025-12-06T11:24:38Z</dcterms:modified>
</cp:coreProperties>
</file>