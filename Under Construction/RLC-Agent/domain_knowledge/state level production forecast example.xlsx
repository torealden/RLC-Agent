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rem\Dropbox\RLC Documents\Misc Ags Info\"/>
    </mc:Choice>
  </mc:AlternateContent>
  <xr:revisionPtr revIDLastSave="0" documentId="8_{B9875D4D-89DF-4F79-9E95-50F3EF213153}" xr6:coauthVersionLast="47" xr6:coauthVersionMax="47" xr10:uidLastSave="{00000000-0000-0000-0000-000000000000}"/>
  <bookViews>
    <workbookView xWindow="2385" yWindow="990" windowWidth="24450" windowHeight="13785" activeTab="1" xr2:uid="{7FCA41EA-FBEA-488A-9F06-E04594291390}"/>
  </bookViews>
  <sheets>
    <sheet name="Corn Total" sheetId="1" r:id="rId1"/>
    <sheet name="Brazil area by state 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4" i="2" l="1"/>
  <c r="X133" i="2" s="1"/>
  <c r="W134" i="2"/>
  <c r="W133" i="2" s="1"/>
  <c r="V134" i="2"/>
  <c r="V133" i="2" s="1"/>
  <c r="U134" i="2"/>
  <c r="U133" i="2" s="1"/>
  <c r="AU132" i="2"/>
  <c r="AU133" i="2" s="1"/>
  <c r="AT132" i="2"/>
  <c r="AS132" i="2"/>
  <c r="AR132" i="2"/>
  <c r="AQ132" i="2"/>
  <c r="AP132" i="2"/>
  <c r="Y132" i="2"/>
  <c r="X132" i="2"/>
  <c r="W132" i="2"/>
  <c r="V132" i="2"/>
  <c r="U132" i="2"/>
  <c r="O132" i="2"/>
  <c r="N132" i="2"/>
  <c r="C132" i="2"/>
  <c r="C133" i="2" s="1"/>
  <c r="B132" i="2"/>
  <c r="BD130" i="2"/>
  <c r="BB130" i="2"/>
  <c r="AZ130" i="2"/>
  <c r="BC130" i="2" s="1"/>
  <c r="BD129" i="2"/>
  <c r="BC129" i="2"/>
  <c r="AY129" i="2"/>
  <c r="BB129" i="2" s="1"/>
  <c r="AX129" i="2"/>
  <c r="BD128" i="2"/>
  <c r="BC128" i="2"/>
  <c r="BB128" i="2"/>
  <c r="BA128" i="2"/>
  <c r="BD126" i="2"/>
  <c r="BB126" i="2"/>
  <c r="AZ126" i="2"/>
  <c r="BA126" i="2" s="1"/>
  <c r="BD125" i="2"/>
  <c r="BC125" i="2"/>
  <c r="AY125" i="2"/>
  <c r="BB125" i="2" s="1"/>
  <c r="AX125" i="2"/>
  <c r="BD124" i="2"/>
  <c r="BC124" i="2"/>
  <c r="BB124" i="2"/>
  <c r="BA124" i="2"/>
  <c r="BD122" i="2"/>
  <c r="BC122" i="2"/>
  <c r="BB122" i="2"/>
  <c r="AZ122" i="2"/>
  <c r="BA122" i="2" s="1"/>
  <c r="AY121" i="2"/>
  <c r="BB121" i="2" s="1"/>
  <c r="AX121" i="2"/>
  <c r="BD121" i="2" s="1"/>
  <c r="BD120" i="2"/>
  <c r="BC120" i="2"/>
  <c r="BB120" i="2"/>
  <c r="BA120" i="2"/>
  <c r="AZ118" i="2"/>
  <c r="BC118" i="2" s="1"/>
  <c r="AY118" i="2"/>
  <c r="AX118" i="2"/>
  <c r="AX117" i="2" s="1"/>
  <c r="BD117" i="2" s="1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K134" i="2" s="1"/>
  <c r="AJ118" i="2"/>
  <c r="AJ117" i="2" s="1"/>
  <c r="AI118" i="2"/>
  <c r="AI117" i="2" s="1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O117" i="2" s="1"/>
  <c r="N118" i="2"/>
  <c r="N117" i="2" s="1"/>
  <c r="M118" i="2"/>
  <c r="M117" i="2" s="1"/>
  <c r="L118" i="2"/>
  <c r="K118" i="2"/>
  <c r="J118" i="2"/>
  <c r="I118" i="2"/>
  <c r="H118" i="2"/>
  <c r="G118" i="2"/>
  <c r="F118" i="2"/>
  <c r="E118" i="2"/>
  <c r="D118" i="2"/>
  <c r="C118" i="2"/>
  <c r="B118" i="2"/>
  <c r="AU117" i="2"/>
  <c r="AT117" i="2"/>
  <c r="AS117" i="2"/>
  <c r="AR117" i="2"/>
  <c r="AQ117" i="2"/>
  <c r="AP117" i="2"/>
  <c r="AO117" i="2"/>
  <c r="AN117" i="2"/>
  <c r="AM117" i="2"/>
  <c r="AL117" i="2"/>
  <c r="AK117" i="2"/>
  <c r="Y117" i="2"/>
  <c r="X117" i="2"/>
  <c r="W117" i="2"/>
  <c r="V117" i="2"/>
  <c r="U117" i="2"/>
  <c r="T117" i="2"/>
  <c r="S117" i="2"/>
  <c r="R117" i="2"/>
  <c r="Q117" i="2"/>
  <c r="P117" i="2"/>
  <c r="C117" i="2"/>
  <c r="B117" i="2"/>
  <c r="AZ116" i="2"/>
  <c r="BC116" i="2" s="1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K132" i="2" s="1"/>
  <c r="AJ116" i="2"/>
  <c r="AJ132" i="2" s="1"/>
  <c r="AI116" i="2"/>
  <c r="AH116" i="2"/>
  <c r="AG116" i="2"/>
  <c r="AF116" i="2"/>
  <c r="AE116" i="2"/>
  <c r="AD116" i="2"/>
  <c r="AC116" i="2"/>
  <c r="AB116" i="2"/>
  <c r="AA116" i="2"/>
  <c r="Z116" i="2"/>
  <c r="Z117" i="2" s="1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D117" i="2" s="1"/>
  <c r="C116" i="2"/>
  <c r="B116" i="2"/>
  <c r="BD114" i="2"/>
  <c r="BB114" i="2"/>
  <c r="AZ114" i="2"/>
  <c r="BC114" i="2" s="1"/>
  <c r="AY113" i="2"/>
  <c r="AX113" i="2"/>
  <c r="BD112" i="2"/>
  <c r="BC112" i="2"/>
  <c r="BB112" i="2"/>
  <c r="BA112" i="2"/>
  <c r="BA110" i="2"/>
  <c r="BA109" i="2"/>
  <c r="BA108" i="2"/>
  <c r="AY106" i="2"/>
  <c r="AY98" i="2" s="1"/>
  <c r="BB98" i="2" s="1"/>
  <c r="BA105" i="2"/>
  <c r="BA104" i="2"/>
  <c r="BD102" i="2"/>
  <c r="BB102" i="2"/>
  <c r="AZ102" i="2"/>
  <c r="BC102" i="2" s="1"/>
  <c r="AY101" i="2"/>
  <c r="BA101" i="2" s="1"/>
  <c r="AX101" i="2"/>
  <c r="BD100" i="2"/>
  <c r="BC100" i="2"/>
  <c r="BB100" i="2"/>
  <c r="BA100" i="2"/>
  <c r="BD98" i="2"/>
  <c r="AZ98" i="2"/>
  <c r="BC98" i="2" s="1"/>
  <c r="AX98" i="2"/>
  <c r="AW98" i="2"/>
  <c r="AV98" i="2"/>
  <c r="AU98" i="2"/>
  <c r="AT98" i="2"/>
  <c r="AS98" i="2"/>
  <c r="AR98" i="2"/>
  <c r="AQ98" i="2"/>
  <c r="AP98" i="2"/>
  <c r="AP97" i="2" s="1"/>
  <c r="AO98" i="2"/>
  <c r="AO97" i="2" s="1"/>
  <c r="AN98" i="2"/>
  <c r="AN134" i="2" s="1"/>
  <c r="AN133" i="2" s="1"/>
  <c r="AM98" i="2"/>
  <c r="AL98" i="2"/>
  <c r="AL134" i="2" s="1"/>
  <c r="AL133" i="2" s="1"/>
  <c r="AK98" i="2"/>
  <c r="AK97" i="2" s="1"/>
  <c r="AJ98" i="2"/>
  <c r="AI98" i="2"/>
  <c r="AH98" i="2"/>
  <c r="AG98" i="2"/>
  <c r="AG97" i="2" s="1"/>
  <c r="AF98" i="2"/>
  <c r="AE98" i="2"/>
  <c r="AE97" i="2" s="1"/>
  <c r="AD98" i="2"/>
  <c r="AD97" i="2" s="1"/>
  <c r="AC98" i="2"/>
  <c r="AB98" i="2"/>
  <c r="AA98" i="2"/>
  <c r="Z98" i="2"/>
  <c r="Y98" i="2"/>
  <c r="X98" i="2"/>
  <c r="W98" i="2"/>
  <c r="V98" i="2"/>
  <c r="U98" i="2"/>
  <c r="T98" i="2"/>
  <c r="T97" i="2" s="1"/>
  <c r="S98" i="2"/>
  <c r="S134" i="2" s="1"/>
  <c r="S133" i="2" s="1"/>
  <c r="R98" i="2"/>
  <c r="Q98" i="2"/>
  <c r="Q134" i="2" s="1"/>
  <c r="Q133" i="2" s="1"/>
  <c r="P98" i="2"/>
  <c r="P134" i="2" s="1"/>
  <c r="P133" i="2" s="1"/>
  <c r="O98" i="2"/>
  <c r="O97" i="2" s="1"/>
  <c r="N98" i="2"/>
  <c r="M98" i="2"/>
  <c r="L98" i="2"/>
  <c r="K98" i="2"/>
  <c r="K97" i="2" s="1"/>
  <c r="J98" i="2"/>
  <c r="I98" i="2"/>
  <c r="H98" i="2"/>
  <c r="G98" i="2"/>
  <c r="F98" i="2"/>
  <c r="E98" i="2"/>
  <c r="D98" i="2"/>
  <c r="C98" i="2"/>
  <c r="B98" i="2"/>
  <c r="AZ97" i="2"/>
  <c r="BA97" i="2" s="1"/>
  <c r="AY97" i="2"/>
  <c r="AX97" i="2"/>
  <c r="AW97" i="2"/>
  <c r="AV97" i="2"/>
  <c r="AU97" i="2"/>
  <c r="AT97" i="2"/>
  <c r="AS97" i="2"/>
  <c r="AR97" i="2"/>
  <c r="AQ97" i="2"/>
  <c r="AC97" i="2"/>
  <c r="AB97" i="2"/>
  <c r="AA97" i="2"/>
  <c r="Z97" i="2"/>
  <c r="Y97" i="2"/>
  <c r="X97" i="2"/>
  <c r="W97" i="2"/>
  <c r="V97" i="2"/>
  <c r="U97" i="2"/>
  <c r="I97" i="2"/>
  <c r="H97" i="2"/>
  <c r="G97" i="2"/>
  <c r="F97" i="2"/>
  <c r="E97" i="2"/>
  <c r="D97" i="2"/>
  <c r="C97" i="2"/>
  <c r="B97" i="2"/>
  <c r="BD96" i="2"/>
  <c r="BB96" i="2"/>
  <c r="AZ96" i="2"/>
  <c r="BC96" i="2" s="1"/>
  <c r="AY96" i="2"/>
  <c r="AX96" i="2"/>
  <c r="AW96" i="2"/>
  <c r="AV96" i="2"/>
  <c r="AU96" i="2"/>
  <c r="AT96" i="2"/>
  <c r="AS96" i="2"/>
  <c r="AR96" i="2"/>
  <c r="AQ96" i="2"/>
  <c r="AP96" i="2"/>
  <c r="AO96" i="2"/>
  <c r="AO132" i="2" s="1"/>
  <c r="AN96" i="2"/>
  <c r="AN132" i="2" s="1"/>
  <c r="AM96" i="2"/>
  <c r="AM132" i="2" s="1"/>
  <c r="AL96" i="2"/>
  <c r="AL132" i="2" s="1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T132" i="2" s="1"/>
  <c r="S96" i="2"/>
  <c r="S132" i="2" s="1"/>
  <c r="R96" i="2"/>
  <c r="R132" i="2" s="1"/>
  <c r="Q96" i="2"/>
  <c r="Q132" i="2" s="1"/>
  <c r="P96" i="2"/>
  <c r="P132" i="2" s="1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BD94" i="2"/>
  <c r="BB94" i="2"/>
  <c r="AZ94" i="2"/>
  <c r="BC94" i="2" s="1"/>
  <c r="BD93" i="2"/>
  <c r="BC93" i="2"/>
  <c r="BB93" i="2"/>
  <c r="BA93" i="2"/>
  <c r="AY93" i="2"/>
  <c r="AX93" i="2"/>
  <c r="BD92" i="2"/>
  <c r="BC92" i="2"/>
  <c r="BB92" i="2"/>
  <c r="BA92" i="2"/>
  <c r="BD90" i="2"/>
  <c r="BB90" i="2"/>
  <c r="AZ90" i="2"/>
  <c r="BC90" i="2" s="1"/>
  <c r="AY89" i="2"/>
  <c r="AX89" i="2"/>
  <c r="BD88" i="2"/>
  <c r="BC88" i="2"/>
  <c r="BB88" i="2"/>
  <c r="BA88" i="2"/>
  <c r="BD86" i="2"/>
  <c r="BB86" i="2"/>
  <c r="AZ86" i="2"/>
  <c r="BC86" i="2" s="1"/>
  <c r="BD85" i="2"/>
  <c r="BC85" i="2"/>
  <c r="BB85" i="2"/>
  <c r="AY85" i="2"/>
  <c r="BA85" i="2" s="1"/>
  <c r="AX85" i="2"/>
  <c r="BD84" i="2"/>
  <c r="BC84" i="2"/>
  <c r="BB84" i="2"/>
  <c r="BA84" i="2"/>
  <c r="BD82" i="2"/>
  <c r="BB82" i="2"/>
  <c r="AZ82" i="2"/>
  <c r="BA82" i="2" s="1"/>
  <c r="AY81" i="2"/>
  <c r="BB81" i="2" s="1"/>
  <c r="AX81" i="2"/>
  <c r="BD81" i="2" s="1"/>
  <c r="BD80" i="2"/>
  <c r="BC80" i="2"/>
  <c r="BB80" i="2"/>
  <c r="BA80" i="2"/>
  <c r="AY78" i="2"/>
  <c r="BB78" i="2" s="1"/>
  <c r="AX78" i="2"/>
  <c r="AW78" i="2"/>
  <c r="AV78" i="2"/>
  <c r="AU78" i="2"/>
  <c r="AU134" i="2" s="1"/>
  <c r="AT78" i="2"/>
  <c r="AT134" i="2" s="1"/>
  <c r="AT133" i="2" s="1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Y134" i="2" s="1"/>
  <c r="Y133" i="2" s="1"/>
  <c r="X78" i="2"/>
  <c r="W78" i="2"/>
  <c r="V78" i="2"/>
  <c r="U78" i="2"/>
  <c r="T78" i="2"/>
  <c r="T77" i="2" s="1"/>
  <c r="S78" i="2"/>
  <c r="R78" i="2"/>
  <c r="Q78" i="2"/>
  <c r="P78" i="2"/>
  <c r="O78" i="2"/>
  <c r="N78" i="2"/>
  <c r="N77" i="2" s="1"/>
  <c r="M78" i="2"/>
  <c r="M77" i="2" s="1"/>
  <c r="L78" i="2"/>
  <c r="K78" i="2"/>
  <c r="J78" i="2"/>
  <c r="I78" i="2"/>
  <c r="H78" i="2"/>
  <c r="G78" i="2"/>
  <c r="F78" i="2"/>
  <c r="E78" i="2"/>
  <c r="D78" i="2"/>
  <c r="C78" i="2"/>
  <c r="C134" i="2" s="1"/>
  <c r="B78" i="2"/>
  <c r="AY77" i="2"/>
  <c r="BB77" i="2" s="1"/>
  <c r="AX77" i="2"/>
  <c r="AW77" i="2"/>
  <c r="AV77" i="2"/>
  <c r="AU77" i="2"/>
  <c r="AT77" i="2"/>
  <c r="AJ77" i="2"/>
  <c r="AI77" i="2"/>
  <c r="AH77" i="2"/>
  <c r="AG77" i="2"/>
  <c r="AF77" i="2"/>
  <c r="AE77" i="2"/>
  <c r="AD77" i="2"/>
  <c r="AC77" i="2"/>
  <c r="AB77" i="2"/>
  <c r="AA77" i="2"/>
  <c r="Z77" i="2"/>
  <c r="X77" i="2"/>
  <c r="L77" i="2"/>
  <c r="K77" i="2"/>
  <c r="J77" i="2"/>
  <c r="I77" i="2"/>
  <c r="H77" i="2"/>
  <c r="G77" i="2"/>
  <c r="F77" i="2"/>
  <c r="E77" i="2"/>
  <c r="D77" i="2"/>
  <c r="C77" i="2"/>
  <c r="B77" i="2"/>
  <c r="AZ76" i="2"/>
  <c r="BC76" i="2" s="1"/>
  <c r="AY76" i="2"/>
  <c r="BB76" i="2" s="1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BD74" i="2"/>
  <c r="BB74" i="2"/>
  <c r="AZ74" i="2"/>
  <c r="BC74" i="2" s="1"/>
  <c r="AY73" i="2"/>
  <c r="BB73" i="2" s="1"/>
  <c r="AX73" i="2"/>
  <c r="BD73" i="2" s="1"/>
  <c r="BD72" i="2"/>
  <c r="BC72" i="2"/>
  <c r="BB72" i="2"/>
  <c r="BA72" i="2"/>
  <c r="BA70" i="2"/>
  <c r="BA69" i="2"/>
  <c r="BA68" i="2"/>
  <c r="BD66" i="2"/>
  <c r="BB66" i="2"/>
  <c r="BA66" i="2"/>
  <c r="AZ66" i="2"/>
  <c r="BC66" i="2" s="1"/>
  <c r="AY65" i="2"/>
  <c r="BA65" i="2" s="1"/>
  <c r="AX65" i="2"/>
  <c r="BD65" i="2" s="1"/>
  <c r="BD64" i="2"/>
  <c r="BC64" i="2"/>
  <c r="BB64" i="2"/>
  <c r="BA64" i="2"/>
  <c r="BA62" i="2"/>
  <c r="BA61" i="2"/>
  <c r="BA60" i="2"/>
  <c r="BA58" i="2"/>
  <c r="BA57" i="2"/>
  <c r="BA56" i="2"/>
  <c r="BA54" i="2"/>
  <c r="BA53" i="2"/>
  <c r="BA52" i="2"/>
  <c r="BD50" i="2"/>
  <c r="BB50" i="2"/>
  <c r="AZ50" i="2"/>
  <c r="BC50" i="2" s="1"/>
  <c r="AY49" i="2"/>
  <c r="BB49" i="2" s="1"/>
  <c r="AX49" i="2"/>
  <c r="BD49" i="2" s="1"/>
  <c r="BD48" i="2"/>
  <c r="BC48" i="2"/>
  <c r="BB48" i="2"/>
  <c r="BA48" i="2"/>
  <c r="BD46" i="2"/>
  <c r="BC46" i="2"/>
  <c r="BB46" i="2"/>
  <c r="BA46" i="2"/>
  <c r="BA45" i="2"/>
  <c r="AY45" i="2"/>
  <c r="AX45" i="2"/>
  <c r="BD44" i="2"/>
  <c r="BC44" i="2"/>
  <c r="BB44" i="2"/>
  <c r="BA44" i="2"/>
  <c r="BD42" i="2"/>
  <c r="BB42" i="2"/>
  <c r="AZ42" i="2"/>
  <c r="AZ38" i="2" s="1"/>
  <c r="BD41" i="2"/>
  <c r="AY41" i="2"/>
  <c r="BB41" i="2" s="1"/>
  <c r="AX41" i="2"/>
  <c r="BC41" i="2" s="1"/>
  <c r="BD40" i="2"/>
  <c r="BC40" i="2"/>
  <c r="BB40" i="2"/>
  <c r="BA40" i="2"/>
  <c r="BD38" i="2"/>
  <c r="BB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B134" i="2" s="1"/>
  <c r="B133" i="2" s="1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U37" i="2"/>
  <c r="T37" i="2"/>
  <c r="S37" i="2"/>
  <c r="R37" i="2"/>
  <c r="Q37" i="2"/>
  <c r="P37" i="2"/>
  <c r="O37" i="2"/>
  <c r="N37" i="2"/>
  <c r="M37" i="2"/>
  <c r="AZ36" i="2"/>
  <c r="BC36" i="2" s="1"/>
  <c r="AY36" i="2"/>
  <c r="AY37" i="2" s="1"/>
  <c r="AX36" i="2"/>
  <c r="AX37" i="2" s="1"/>
  <c r="BD37" i="2" s="1"/>
  <c r="AW36" i="2"/>
  <c r="AW37" i="2" s="1"/>
  <c r="AV36" i="2"/>
  <c r="AV37" i="2" s="1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D37" i="2" s="1"/>
  <c r="AC36" i="2"/>
  <c r="AC37" i="2" s="1"/>
  <c r="AB36" i="2"/>
  <c r="AB37" i="2" s="1"/>
  <c r="AA36" i="2"/>
  <c r="AA37" i="2" s="1"/>
  <c r="Z36" i="2"/>
  <c r="Z37" i="2" s="1"/>
  <c r="Y36" i="2"/>
  <c r="X36" i="2"/>
  <c r="W36" i="2"/>
  <c r="W37" i="2" s="1"/>
  <c r="V36" i="2"/>
  <c r="V37" i="2" s="1"/>
  <c r="U36" i="2"/>
  <c r="T36" i="2"/>
  <c r="S36" i="2"/>
  <c r="R36" i="2"/>
  <c r="Q36" i="2"/>
  <c r="P36" i="2"/>
  <c r="O36" i="2"/>
  <c r="N36" i="2"/>
  <c r="M36" i="2"/>
  <c r="L36" i="2"/>
  <c r="L37" i="2" s="1"/>
  <c r="K36" i="2"/>
  <c r="K37" i="2" s="1"/>
  <c r="J36" i="2"/>
  <c r="I36" i="2"/>
  <c r="H36" i="2"/>
  <c r="H37" i="2" s="1"/>
  <c r="G36" i="2"/>
  <c r="G37" i="2" s="1"/>
  <c r="F36" i="2"/>
  <c r="F37" i="2" s="1"/>
  <c r="E36" i="2"/>
  <c r="E37" i="2" s="1"/>
  <c r="D36" i="2"/>
  <c r="D37" i="2" s="1"/>
  <c r="C36" i="2"/>
  <c r="C37" i="2" s="1"/>
  <c r="B36" i="2"/>
  <c r="B37" i="2" s="1"/>
  <c r="BD34" i="2"/>
  <c r="BC34" i="2"/>
  <c r="BB34" i="2"/>
  <c r="AZ34" i="2"/>
  <c r="BA34" i="2" s="1"/>
  <c r="AY33" i="2"/>
  <c r="BA33" i="2" s="1"/>
  <c r="AX33" i="2"/>
  <c r="BD33" i="2" s="1"/>
  <c r="BD32" i="2"/>
  <c r="BC32" i="2"/>
  <c r="BB32" i="2"/>
  <c r="BA32" i="2"/>
  <c r="BD30" i="2"/>
  <c r="BB30" i="2"/>
  <c r="AZ30" i="2"/>
  <c r="BA30" i="2" s="1"/>
  <c r="BD29" i="2"/>
  <c r="BC29" i="2"/>
  <c r="BB29" i="2"/>
  <c r="BA29" i="2"/>
  <c r="AY29" i="2"/>
  <c r="AX29" i="2"/>
  <c r="BD28" i="2"/>
  <c r="BC28" i="2"/>
  <c r="BB28" i="2"/>
  <c r="BA28" i="2"/>
  <c r="BD26" i="2"/>
  <c r="BB26" i="2"/>
  <c r="AZ26" i="2"/>
  <c r="BC26" i="2" s="1"/>
  <c r="AY25" i="2"/>
  <c r="BB25" i="2" s="1"/>
  <c r="AX25" i="2"/>
  <c r="BC25" i="2" s="1"/>
  <c r="BD24" i="2"/>
  <c r="BC24" i="2"/>
  <c r="BB24" i="2"/>
  <c r="BA24" i="2"/>
  <c r="BD22" i="2"/>
  <c r="BB22" i="2"/>
  <c r="AZ22" i="2"/>
  <c r="BC22" i="2" s="1"/>
  <c r="AY21" i="2"/>
  <c r="AX21" i="2"/>
  <c r="BD20" i="2"/>
  <c r="BC20" i="2"/>
  <c r="BB20" i="2"/>
  <c r="BA20" i="2"/>
  <c r="BD18" i="2"/>
  <c r="BB18" i="2"/>
  <c r="AZ18" i="2"/>
  <c r="AZ6" i="2" s="1"/>
  <c r="BD17" i="2"/>
  <c r="BC17" i="2"/>
  <c r="BB17" i="2"/>
  <c r="AY17" i="2"/>
  <c r="BA17" i="2" s="1"/>
  <c r="AX17" i="2"/>
  <c r="BD16" i="2"/>
  <c r="BC16" i="2"/>
  <c r="BB16" i="2"/>
  <c r="BA16" i="2"/>
  <c r="BD14" i="2"/>
  <c r="BB14" i="2"/>
  <c r="AZ14" i="2"/>
  <c r="BC14" i="2" s="1"/>
  <c r="BB13" i="2"/>
  <c r="AY13" i="2"/>
  <c r="BA13" i="2" s="1"/>
  <c r="AX13" i="2"/>
  <c r="BC13" i="2" s="1"/>
  <c r="BD12" i="2"/>
  <c r="BC12" i="2"/>
  <c r="BB12" i="2"/>
  <c r="BA12" i="2"/>
  <c r="BD10" i="2"/>
  <c r="BB10" i="2"/>
  <c r="AZ10" i="2"/>
  <c r="BC10" i="2" s="1"/>
  <c r="AY9" i="2"/>
  <c r="AX9" i="2"/>
  <c r="BD8" i="2"/>
  <c r="BC8" i="2"/>
  <c r="BB8" i="2"/>
  <c r="BA8" i="2"/>
  <c r="BD6" i="2"/>
  <c r="AY6" i="2"/>
  <c r="BB6" i="2" s="1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Z5" i="2"/>
  <c r="Y5" i="2"/>
  <c r="X5" i="2"/>
  <c r="W5" i="2"/>
  <c r="V5" i="2"/>
  <c r="U5" i="2"/>
  <c r="T5" i="2"/>
  <c r="S5" i="2"/>
  <c r="R5" i="2"/>
  <c r="F5" i="2"/>
  <c r="E5" i="2"/>
  <c r="D5" i="2"/>
  <c r="C5" i="2"/>
  <c r="B5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F5" i="2" s="1"/>
  <c r="AE4" i="2"/>
  <c r="AE5" i="2" s="1"/>
  <c r="AD4" i="2"/>
  <c r="AC4" i="2"/>
  <c r="AB4" i="2"/>
  <c r="AB5" i="2" s="1"/>
  <c r="AA4" i="2"/>
  <c r="AA5" i="2" s="1"/>
  <c r="Z4" i="2"/>
  <c r="Y4" i="2"/>
  <c r="X4" i="2"/>
  <c r="W4" i="2"/>
  <c r="V4" i="2"/>
  <c r="U4" i="2"/>
  <c r="T4" i="2"/>
  <c r="S4" i="2"/>
  <c r="R4" i="2"/>
  <c r="Q4" i="2"/>
  <c r="Q5" i="2" s="1"/>
  <c r="P4" i="2"/>
  <c r="P5" i="2" s="1"/>
  <c r="O4" i="2"/>
  <c r="N4" i="2"/>
  <c r="M4" i="2"/>
  <c r="L4" i="2"/>
  <c r="K4" i="2"/>
  <c r="J4" i="2"/>
  <c r="J5" i="2" s="1"/>
  <c r="I4" i="2"/>
  <c r="I5" i="2" s="1"/>
  <c r="H4" i="2"/>
  <c r="H5" i="2" s="1"/>
  <c r="G4" i="2"/>
  <c r="G5" i="2" s="1"/>
  <c r="F4" i="2"/>
  <c r="E4" i="2"/>
  <c r="D4" i="2"/>
  <c r="C4" i="2"/>
  <c r="B4" i="2"/>
  <c r="BA6" i="2" l="1"/>
  <c r="BC6" i="2"/>
  <c r="BA38" i="2"/>
  <c r="BC38" i="2"/>
  <c r="AK133" i="2"/>
  <c r="AB117" i="2"/>
  <c r="AB134" i="2"/>
  <c r="O134" i="2"/>
  <c r="O133" i="2" s="1"/>
  <c r="G117" i="2"/>
  <c r="G134" i="2"/>
  <c r="BA125" i="2"/>
  <c r="AM97" i="2"/>
  <c r="AD134" i="2"/>
  <c r="AD117" i="2"/>
  <c r="R97" i="2"/>
  <c r="I134" i="2"/>
  <c r="I133" i="2" s="1"/>
  <c r="I117" i="2"/>
  <c r="R134" i="2"/>
  <c r="R133" i="2" s="1"/>
  <c r="AI5" i="2"/>
  <c r="AV132" i="2"/>
  <c r="J134" i="2"/>
  <c r="J117" i="2"/>
  <c r="AJ5" i="2"/>
  <c r="S97" i="2"/>
  <c r="AA132" i="2"/>
  <c r="K134" i="2"/>
  <c r="K117" i="2"/>
  <c r="AG117" i="2"/>
  <c r="AG134" i="2"/>
  <c r="AG133" i="2" s="1"/>
  <c r="T134" i="2"/>
  <c r="T133" i="2" s="1"/>
  <c r="O5" i="2"/>
  <c r="J37" i="2"/>
  <c r="F132" i="2"/>
  <c r="BB9" i="2"/>
  <c r="G132" i="2"/>
  <c r="AY132" i="2"/>
  <c r="BB132" i="2" s="1"/>
  <c r="BD36" i="2"/>
  <c r="BA73" i="2"/>
  <c r="AK77" i="2"/>
  <c r="H132" i="2"/>
  <c r="P77" i="2"/>
  <c r="BC81" i="2"/>
  <c r="BA116" i="2"/>
  <c r="Q77" i="2"/>
  <c r="J132" i="2"/>
  <c r="AF132" i="2"/>
  <c r="BB116" i="2"/>
  <c r="AI134" i="2"/>
  <c r="AN77" i="2"/>
  <c r="K132" i="2"/>
  <c r="BD25" i="2"/>
  <c r="BA42" i="2"/>
  <c r="L132" i="2"/>
  <c r="BC49" i="2"/>
  <c r="BA74" i="2"/>
  <c r="AP77" i="2"/>
  <c r="AI132" i="2"/>
  <c r="BC18" i="2"/>
  <c r="BA26" i="2"/>
  <c r="BC42" i="2"/>
  <c r="BB65" i="2"/>
  <c r="AQ77" i="2"/>
  <c r="BA129" i="2"/>
  <c r="AM134" i="2"/>
  <c r="AM133" i="2" s="1"/>
  <c r="BC65" i="2"/>
  <c r="V77" i="2"/>
  <c r="AR77" i="2"/>
  <c r="BA96" i="2"/>
  <c r="BA98" i="2"/>
  <c r="Z132" i="2"/>
  <c r="BA50" i="2"/>
  <c r="Y77" i="2"/>
  <c r="W77" i="2"/>
  <c r="AS77" i="2"/>
  <c r="BD77" i="2" s="1"/>
  <c r="AO134" i="2"/>
  <c r="AO133" i="2" s="1"/>
  <c r="J97" i="2"/>
  <c r="AF97" i="2"/>
  <c r="AV117" i="2"/>
  <c r="AP134" i="2"/>
  <c r="AP133" i="2" s="1"/>
  <c r="AL97" i="2"/>
  <c r="AG5" i="2"/>
  <c r="Q97" i="2"/>
  <c r="AZ134" i="2"/>
  <c r="AZ117" i="2"/>
  <c r="AH5" i="2"/>
  <c r="BA86" i="2"/>
  <c r="AE134" i="2"/>
  <c r="AE117" i="2"/>
  <c r="I37" i="2"/>
  <c r="F134" i="2"/>
  <c r="F117" i="2"/>
  <c r="P97" i="2"/>
  <c r="AC117" i="2"/>
  <c r="AC134" i="2"/>
  <c r="BB101" i="2"/>
  <c r="H134" i="2"/>
  <c r="H117" i="2"/>
  <c r="L5" i="2"/>
  <c r="BB37" i="2"/>
  <c r="AN97" i="2"/>
  <c r="BA118" i="2"/>
  <c r="D132" i="2"/>
  <c r="AF134" i="2"/>
  <c r="AF133" i="2" s="1"/>
  <c r="AF117" i="2"/>
  <c r="AE37" i="2"/>
  <c r="BA94" i="2"/>
  <c r="E132" i="2"/>
  <c r="AF37" i="2"/>
  <c r="AX132" i="2"/>
  <c r="AH134" i="2"/>
  <c r="AH117" i="2"/>
  <c r="BC30" i="2"/>
  <c r="O77" i="2"/>
  <c r="AZ132" i="2"/>
  <c r="I132" i="2"/>
  <c r="BA49" i="2"/>
  <c r="BC82" i="2"/>
  <c r="AZ78" i="2"/>
  <c r="AJ134" i="2"/>
  <c r="AJ133" i="2" s="1"/>
  <c r="BD5" i="2"/>
  <c r="BA18" i="2"/>
  <c r="AO77" i="2"/>
  <c r="AH132" i="2"/>
  <c r="BC113" i="2"/>
  <c r="BD113" i="2"/>
  <c r="AQ134" i="2"/>
  <c r="AQ133" i="2" s="1"/>
  <c r="L97" i="2"/>
  <c r="AH97" i="2"/>
  <c r="BB113" i="2"/>
  <c r="BA130" i="2"/>
  <c r="AR134" i="2"/>
  <c r="AR133" i="2" s="1"/>
  <c r="AC5" i="2"/>
  <c r="AY5" i="2"/>
  <c r="BB5" i="2" s="1"/>
  <c r="BD21" i="2"/>
  <c r="BC21" i="2"/>
  <c r="X37" i="2"/>
  <c r="AT37" i="2"/>
  <c r="BC45" i="2"/>
  <c r="BD45" i="2"/>
  <c r="M97" i="2"/>
  <c r="AI97" i="2"/>
  <c r="BA113" i="2"/>
  <c r="D134" i="2"/>
  <c r="Z134" i="2"/>
  <c r="Z133" i="2" s="1"/>
  <c r="AV134" i="2"/>
  <c r="M134" i="2"/>
  <c r="M133" i="2" s="1"/>
  <c r="AS134" i="2"/>
  <c r="BD101" i="2"/>
  <c r="BC101" i="2"/>
  <c r="AY117" i="2"/>
  <c r="BB117" i="2" s="1"/>
  <c r="AY134" i="2"/>
  <c r="K5" i="2"/>
  <c r="M5" i="2"/>
  <c r="AZ37" i="2"/>
  <c r="BB118" i="2"/>
  <c r="N5" i="2"/>
  <c r="BA36" i="2"/>
  <c r="BD97" i="2"/>
  <c r="AW132" i="2"/>
  <c r="AK5" i="2"/>
  <c r="BD9" i="2"/>
  <c r="BC9" i="2"/>
  <c r="BB36" i="2"/>
  <c r="BB97" i="2"/>
  <c r="AB132" i="2"/>
  <c r="L134" i="2"/>
  <c r="L133" i="2" s="1"/>
  <c r="L117" i="2"/>
  <c r="BD118" i="2"/>
  <c r="BA81" i="2"/>
  <c r="BC97" i="2"/>
  <c r="AC132" i="2"/>
  <c r="AD132" i="2"/>
  <c r="BA25" i="2"/>
  <c r="AL77" i="2"/>
  <c r="AE132" i="2"/>
  <c r="BC73" i="2"/>
  <c r="AM77" i="2"/>
  <c r="BA106" i="2"/>
  <c r="R77" i="2"/>
  <c r="BD89" i="2"/>
  <c r="BC89" i="2"/>
  <c r="AG132" i="2"/>
  <c r="S77" i="2"/>
  <c r="BB89" i="2"/>
  <c r="BD116" i="2"/>
  <c r="M132" i="2"/>
  <c r="U77" i="2"/>
  <c r="AD5" i="2"/>
  <c r="AZ5" i="2"/>
  <c r="BA14" i="2"/>
  <c r="BB21" i="2"/>
  <c r="Y37" i="2"/>
  <c r="AU37" i="2"/>
  <c r="BB45" i="2"/>
  <c r="BD76" i="2"/>
  <c r="BD78" i="2"/>
  <c r="N97" i="2"/>
  <c r="AJ97" i="2"/>
  <c r="E134" i="2"/>
  <c r="E117" i="2"/>
  <c r="AA134" i="2"/>
  <c r="AA133" i="2" s="1"/>
  <c r="AA117" i="2"/>
  <c r="AW117" i="2"/>
  <c r="AW134" i="2"/>
  <c r="AW133" i="2" s="1"/>
  <c r="N134" i="2"/>
  <c r="N133" i="2" s="1"/>
  <c r="BA121" i="2"/>
  <c r="BC126" i="2"/>
  <c r="BB33" i="2"/>
  <c r="BA102" i="2"/>
  <c r="BA114" i="2"/>
  <c r="BC33" i="2"/>
  <c r="BC121" i="2"/>
  <c r="BA9" i="2"/>
  <c r="BA76" i="2"/>
  <c r="BA10" i="2"/>
  <c r="BA22" i="2"/>
  <c r="BA41" i="2"/>
  <c r="BA90" i="2"/>
  <c r="BA21" i="2"/>
  <c r="BA89" i="2"/>
  <c r="BC117" i="2" l="1"/>
  <c r="BA117" i="2"/>
  <c r="BC134" i="2"/>
  <c r="BA134" i="2"/>
  <c r="AZ133" i="2"/>
  <c r="BD134" i="2"/>
  <c r="AS133" i="2"/>
  <c r="BA5" i="2"/>
  <c r="BC5" i="2"/>
  <c r="AD133" i="2"/>
  <c r="G133" i="2"/>
  <c r="H133" i="2"/>
  <c r="E133" i="2"/>
  <c r="BB134" i="2"/>
  <c r="AY133" i="2"/>
  <c r="BB133" i="2" s="1"/>
  <c r="F133" i="2"/>
  <c r="BA37" i="2"/>
  <c r="BC37" i="2"/>
  <c r="AH133" i="2"/>
  <c r="AV133" i="2"/>
  <c r="D133" i="2"/>
  <c r="BH133" i="2" s="1"/>
  <c r="BH134" i="2" s="1"/>
  <c r="BC78" i="2"/>
  <c r="BA78" i="2"/>
  <c r="AZ77" i="2"/>
  <c r="AB133" i="2"/>
  <c r="AC133" i="2"/>
  <c r="BC132" i="2"/>
  <c r="BA132" i="2"/>
  <c r="AI133" i="2"/>
  <c r="K133" i="2"/>
  <c r="BD132" i="2"/>
  <c r="AX133" i="2"/>
  <c r="BD133" i="2" s="1"/>
  <c r="AE133" i="2"/>
  <c r="J133" i="2"/>
  <c r="BC77" i="2" l="1"/>
  <c r="BA77" i="2"/>
  <c r="BA133" i="2"/>
  <c r="BC133" i="2"/>
  <c r="BA145" i="1" l="1"/>
  <c r="AZ141" i="1"/>
  <c r="AZ143" i="1" s="1"/>
  <c r="AY141" i="1"/>
  <c r="BT135" i="1"/>
  <c r="AY135" i="1"/>
  <c r="BC135" i="1" s="1"/>
  <c r="AX135" i="1"/>
  <c r="AV135" i="1"/>
  <c r="BD135" i="1" s="1"/>
  <c r="AU135" i="1"/>
  <c r="AT135" i="1"/>
  <c r="AT134" i="1" s="1"/>
  <c r="AS135" i="1"/>
  <c r="AS134" i="1" s="1"/>
  <c r="AR135" i="1"/>
  <c r="AR134" i="1" s="1"/>
  <c r="AQ135" i="1"/>
  <c r="AQ134" i="1" s="1"/>
  <c r="AP135" i="1"/>
  <c r="AP134" i="1" s="1"/>
  <c r="AO135" i="1"/>
  <c r="AO134" i="1" s="1"/>
  <c r="AN135" i="1"/>
  <c r="AN134" i="1" s="1"/>
  <c r="AM135" i="1"/>
  <c r="AM134" i="1" s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X134" i="1" s="1"/>
  <c r="W135" i="1"/>
  <c r="W134" i="1" s="1"/>
  <c r="V135" i="1"/>
  <c r="V134" i="1" s="1"/>
  <c r="U135" i="1"/>
  <c r="U134" i="1" s="1"/>
  <c r="T135" i="1"/>
  <c r="T134" i="1" s="1"/>
  <c r="S135" i="1"/>
  <c r="S134" i="1" s="1"/>
  <c r="R135" i="1"/>
  <c r="R134" i="1" s="1"/>
  <c r="Q135" i="1"/>
  <c r="Q134" i="1" s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B134" i="1" s="1"/>
  <c r="BT134" i="1"/>
  <c r="BA134" i="1"/>
  <c r="AV134" i="1"/>
  <c r="BD134" i="1" s="1"/>
  <c r="AU134" i="1"/>
  <c r="AG134" i="1"/>
  <c r="AF134" i="1"/>
  <c r="AE134" i="1"/>
  <c r="AD134" i="1"/>
  <c r="AC134" i="1"/>
  <c r="AB134" i="1"/>
  <c r="AA134" i="1"/>
  <c r="Z134" i="1"/>
  <c r="Y134" i="1"/>
  <c r="K134" i="1"/>
  <c r="J134" i="1"/>
  <c r="I134" i="1"/>
  <c r="H134" i="1"/>
  <c r="G134" i="1"/>
  <c r="F134" i="1"/>
  <c r="E134" i="1"/>
  <c r="D134" i="1"/>
  <c r="C134" i="1"/>
  <c r="AY133" i="1"/>
  <c r="BC133" i="1" s="1"/>
  <c r="AX133" i="1"/>
  <c r="AV133" i="1"/>
  <c r="AU133" i="1"/>
  <c r="AT133" i="1"/>
  <c r="AS133" i="1"/>
  <c r="AR133" i="1"/>
  <c r="AQ133" i="1"/>
  <c r="AP133" i="1"/>
  <c r="AO133" i="1"/>
  <c r="AN133" i="1"/>
  <c r="AM133" i="1"/>
  <c r="AL133" i="1"/>
  <c r="AL134" i="1" s="1"/>
  <c r="AK133" i="1"/>
  <c r="AK134" i="1" s="1"/>
  <c r="AJ133" i="1"/>
  <c r="AJ134" i="1" s="1"/>
  <c r="AI133" i="1"/>
  <c r="AI134" i="1" s="1"/>
  <c r="AH133" i="1"/>
  <c r="AH134" i="1" s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P134" i="1" s="1"/>
  <c r="O133" i="1"/>
  <c r="O134" i="1" s="1"/>
  <c r="N133" i="1"/>
  <c r="N134" i="1" s="1"/>
  <c r="M133" i="1"/>
  <c r="M134" i="1" s="1"/>
  <c r="L133" i="1"/>
  <c r="L134" i="1" s="1"/>
  <c r="K133" i="1"/>
  <c r="J133" i="1"/>
  <c r="I133" i="1"/>
  <c r="H133" i="1"/>
  <c r="G133" i="1"/>
  <c r="F133" i="1"/>
  <c r="E133" i="1"/>
  <c r="D133" i="1"/>
  <c r="C133" i="1"/>
  <c r="B133" i="1"/>
  <c r="BT130" i="1"/>
  <c r="BD130" i="1"/>
  <c r="AY130" i="1"/>
  <c r="BA130" i="1" s="1"/>
  <c r="AX130" i="1"/>
  <c r="BT129" i="1"/>
  <c r="BF129" i="1"/>
  <c r="BD129" i="1"/>
  <c r="BC129" i="1"/>
  <c r="BA129" i="1"/>
  <c r="BD128" i="1"/>
  <c r="AY128" i="1"/>
  <c r="BC128" i="1" s="1"/>
  <c r="AX128" i="1"/>
  <c r="BT126" i="1"/>
  <c r="BD126" i="1"/>
  <c r="AY126" i="1"/>
  <c r="BC126" i="1" s="1"/>
  <c r="AX126" i="1"/>
  <c r="BT125" i="1"/>
  <c r="BF125" i="1"/>
  <c r="BD125" i="1"/>
  <c r="BC125" i="1"/>
  <c r="BA125" i="1"/>
  <c r="BD124" i="1"/>
  <c r="AY124" i="1"/>
  <c r="BC124" i="1" s="1"/>
  <c r="AX124" i="1"/>
  <c r="BT122" i="1"/>
  <c r="BD122" i="1"/>
  <c r="AZ122" i="1"/>
  <c r="BA122" i="1" s="1"/>
  <c r="AY122" i="1"/>
  <c r="BC122" i="1" s="1"/>
  <c r="AX122" i="1"/>
  <c r="BT121" i="1"/>
  <c r="BF121" i="1"/>
  <c r="BD121" i="1"/>
  <c r="BC121" i="1"/>
  <c r="BA121" i="1"/>
  <c r="BD120" i="1"/>
  <c r="AY120" i="1"/>
  <c r="BA120" i="1" s="1"/>
  <c r="AX120" i="1"/>
  <c r="BT118" i="1"/>
  <c r="BD118" i="1"/>
  <c r="AY118" i="1"/>
  <c r="BA118" i="1" s="1"/>
  <c r="AX118" i="1"/>
  <c r="BT117" i="1"/>
  <c r="BD117" i="1"/>
  <c r="BC117" i="1"/>
  <c r="BA117" i="1"/>
  <c r="BD116" i="1"/>
  <c r="AY116" i="1"/>
  <c r="BC116" i="1" s="1"/>
  <c r="AX116" i="1"/>
  <c r="BT114" i="1"/>
  <c r="BD114" i="1"/>
  <c r="BC114" i="1"/>
  <c r="BA114" i="1"/>
  <c r="AX114" i="1"/>
  <c r="BT113" i="1"/>
  <c r="BF113" i="1"/>
  <c r="BD113" i="1"/>
  <c r="BC113" i="1"/>
  <c r="BA113" i="1"/>
  <c r="BD112" i="1"/>
  <c r="AY112" i="1"/>
  <c r="BA112" i="1" s="1"/>
  <c r="AX112" i="1"/>
  <c r="BD110" i="1"/>
  <c r="BC110" i="1"/>
  <c r="BA110" i="1"/>
  <c r="AX110" i="1"/>
  <c r="BD109" i="1"/>
  <c r="BC109" i="1"/>
  <c r="BA109" i="1"/>
  <c r="BD108" i="1"/>
  <c r="BC108" i="1"/>
  <c r="BA108" i="1"/>
  <c r="AY108" i="1"/>
  <c r="AX108" i="1"/>
  <c r="BD106" i="1"/>
  <c r="AY106" i="1"/>
  <c r="BC106" i="1" s="1"/>
  <c r="AX106" i="1"/>
  <c r="BD105" i="1"/>
  <c r="BC105" i="1"/>
  <c r="BA105" i="1"/>
  <c r="BD104" i="1"/>
  <c r="AY104" i="1"/>
  <c r="BC104" i="1" s="1"/>
  <c r="AX104" i="1"/>
  <c r="BD102" i="1"/>
  <c r="AY102" i="1"/>
  <c r="BA102" i="1" s="1"/>
  <c r="AX102" i="1"/>
  <c r="BF101" i="1"/>
  <c r="BD101" i="1"/>
  <c r="BC101" i="1"/>
  <c r="BA101" i="1"/>
  <c r="BD100" i="1"/>
  <c r="AY100" i="1"/>
  <c r="BA100" i="1" s="1"/>
  <c r="AX100" i="1"/>
  <c r="BD98" i="1"/>
  <c r="AY98" i="1"/>
  <c r="BA98" i="1" s="1"/>
  <c r="AX98" i="1"/>
  <c r="BD97" i="1"/>
  <c r="BC97" i="1"/>
  <c r="BA97" i="1"/>
  <c r="BD96" i="1"/>
  <c r="AY96" i="1"/>
  <c r="BA96" i="1" s="1"/>
  <c r="AX96" i="1"/>
  <c r="AZ94" i="1"/>
  <c r="BD94" i="1" s="1"/>
  <c r="AY94" i="1"/>
  <c r="BC94" i="1" s="1"/>
  <c r="AX94" i="1"/>
  <c r="BT93" i="1"/>
  <c r="BD93" i="1"/>
  <c r="BC93" i="1"/>
  <c r="BA93" i="1"/>
  <c r="BD92" i="1"/>
  <c r="BC92" i="1"/>
  <c r="BA92" i="1"/>
  <c r="AY92" i="1"/>
  <c r="AX92" i="1"/>
  <c r="BU90" i="1"/>
  <c r="AZ90" i="1"/>
  <c r="BT90" i="1" s="1"/>
  <c r="AY90" i="1"/>
  <c r="BC90" i="1" s="1"/>
  <c r="AX90" i="1"/>
  <c r="BT89" i="1"/>
  <c r="BF89" i="1"/>
  <c r="BD89" i="1"/>
  <c r="BC89" i="1"/>
  <c r="BA89" i="1"/>
  <c r="BD88" i="1"/>
  <c r="AY88" i="1"/>
  <c r="BA88" i="1" s="1"/>
  <c r="AX88" i="1"/>
  <c r="BT86" i="1"/>
  <c r="BD86" i="1"/>
  <c r="AZ86" i="1"/>
  <c r="AY86" i="1"/>
  <c r="BC86" i="1" s="1"/>
  <c r="AX86" i="1"/>
  <c r="BT85" i="1"/>
  <c r="BF85" i="1"/>
  <c r="BD85" i="1"/>
  <c r="BC85" i="1"/>
  <c r="BA85" i="1"/>
  <c r="BD84" i="1"/>
  <c r="AY84" i="1"/>
  <c r="BA84" i="1" s="1"/>
  <c r="AX84" i="1"/>
  <c r="AZ82" i="1"/>
  <c r="BT82" i="1" s="1"/>
  <c r="AY82" i="1"/>
  <c r="BC82" i="1" s="1"/>
  <c r="AX82" i="1"/>
  <c r="BT81" i="1"/>
  <c r="BI81" i="1"/>
  <c r="BH81" i="1"/>
  <c r="BF81" i="1"/>
  <c r="BD81" i="1"/>
  <c r="BC81" i="1"/>
  <c r="BA81" i="1"/>
  <c r="BD80" i="1"/>
  <c r="AY80" i="1"/>
  <c r="BA80" i="1" s="1"/>
  <c r="AX80" i="1"/>
  <c r="AY78" i="1"/>
  <c r="BC78" i="1" s="1"/>
  <c r="AX78" i="1"/>
  <c r="BC77" i="1"/>
  <c r="AZ76" i="1"/>
  <c r="BD76" i="1" s="1"/>
  <c r="AY76" i="1"/>
  <c r="BA76" i="1" s="1"/>
  <c r="AX76" i="1"/>
  <c r="BF75" i="1"/>
  <c r="BT74" i="1"/>
  <c r="BD74" i="1"/>
  <c r="AY74" i="1"/>
  <c r="BA74" i="1" s="1"/>
  <c r="AX74" i="1"/>
  <c r="BT73" i="1"/>
  <c r="BF73" i="1"/>
  <c r="BD73" i="1"/>
  <c r="BC73" i="1"/>
  <c r="BA73" i="1"/>
  <c r="BD72" i="1"/>
  <c r="BC72" i="1"/>
  <c r="BA72" i="1"/>
  <c r="AX72" i="1"/>
  <c r="BD70" i="1"/>
  <c r="BA70" i="1"/>
  <c r="AY70" i="1"/>
  <c r="BC70" i="1" s="1"/>
  <c r="AX70" i="1"/>
  <c r="BD69" i="1"/>
  <c r="BC69" i="1"/>
  <c r="BA69" i="1"/>
  <c r="BD68" i="1"/>
  <c r="BC68" i="1"/>
  <c r="BA68" i="1"/>
  <c r="AX68" i="1"/>
  <c r="BT66" i="1"/>
  <c r="BD66" i="1"/>
  <c r="AY66" i="1"/>
  <c r="BC66" i="1" s="1"/>
  <c r="AX66" i="1"/>
  <c r="BT65" i="1"/>
  <c r="BD65" i="1"/>
  <c r="BC65" i="1"/>
  <c r="BA65" i="1"/>
  <c r="BD64" i="1"/>
  <c r="BC64" i="1"/>
  <c r="BA64" i="1"/>
  <c r="AX64" i="1"/>
  <c r="BD62" i="1"/>
  <c r="AY62" i="1"/>
  <c r="BA62" i="1" s="1"/>
  <c r="AX62" i="1"/>
  <c r="BD61" i="1"/>
  <c r="BC61" i="1"/>
  <c r="BA61" i="1"/>
  <c r="BD60" i="1"/>
  <c r="BC60" i="1"/>
  <c r="BA60" i="1"/>
  <c r="AX60" i="1"/>
  <c r="BD58" i="1"/>
  <c r="AY58" i="1"/>
  <c r="BC58" i="1" s="1"/>
  <c r="AX58" i="1"/>
  <c r="BD57" i="1"/>
  <c r="BC57" i="1"/>
  <c r="BA57" i="1"/>
  <c r="BD56" i="1"/>
  <c r="BC56" i="1"/>
  <c r="BA56" i="1"/>
  <c r="AX56" i="1"/>
  <c r="BD54" i="1"/>
  <c r="BC54" i="1"/>
  <c r="BA54" i="1"/>
  <c r="AY54" i="1"/>
  <c r="AX54" i="1"/>
  <c r="BD53" i="1"/>
  <c r="BC53" i="1"/>
  <c r="BA53" i="1"/>
  <c r="BD52" i="1"/>
  <c r="BC52" i="1"/>
  <c r="BA52" i="1"/>
  <c r="AX52" i="1"/>
  <c r="BT50" i="1"/>
  <c r="BD50" i="1"/>
  <c r="AY50" i="1"/>
  <c r="BC50" i="1" s="1"/>
  <c r="AX50" i="1"/>
  <c r="BT49" i="1"/>
  <c r="BD49" i="1"/>
  <c r="BC49" i="1"/>
  <c r="BA49" i="1"/>
  <c r="BD48" i="1"/>
  <c r="BC48" i="1"/>
  <c r="BA48" i="1"/>
  <c r="BE48" i="1" s="1"/>
  <c r="AX48" i="1"/>
  <c r="BT46" i="1"/>
  <c r="BD46" i="1"/>
  <c r="AY46" i="1"/>
  <c r="BA46" i="1" s="1"/>
  <c r="BE46" i="1" s="1"/>
  <c r="AX46" i="1"/>
  <c r="BT45" i="1"/>
  <c r="BF45" i="1"/>
  <c r="BD45" i="1"/>
  <c r="BC45" i="1"/>
  <c r="BA45" i="1"/>
  <c r="BD44" i="1"/>
  <c r="BC44" i="1"/>
  <c r="BA44" i="1"/>
  <c r="BE44" i="1" s="1"/>
  <c r="AX44" i="1"/>
  <c r="BT42" i="1"/>
  <c r="BD42" i="1"/>
  <c r="AY42" i="1"/>
  <c r="BC42" i="1" s="1"/>
  <c r="AX42" i="1"/>
  <c r="BT41" i="1"/>
  <c r="BF41" i="1"/>
  <c r="BD41" i="1"/>
  <c r="BC41" i="1"/>
  <c r="BA41" i="1"/>
  <c r="BE40" i="1"/>
  <c r="BD40" i="1"/>
  <c r="BC40" i="1"/>
  <c r="BA40" i="1"/>
  <c r="AX40" i="1"/>
  <c r="BT38" i="1"/>
  <c r="BD38" i="1"/>
  <c r="AY38" i="1"/>
  <c r="BA38" i="1" s="1"/>
  <c r="BE38" i="1" s="1"/>
  <c r="AX38" i="1"/>
  <c r="BT37" i="1"/>
  <c r="BD37" i="1"/>
  <c r="BC37" i="1"/>
  <c r="BA37" i="1"/>
  <c r="BD36" i="1"/>
  <c r="BC36" i="1"/>
  <c r="BA36" i="1"/>
  <c r="BE36" i="1" s="1"/>
  <c r="AX36" i="1"/>
  <c r="BT34" i="1"/>
  <c r="AZ34" i="1"/>
  <c r="BD34" i="1" s="1"/>
  <c r="AY34" i="1"/>
  <c r="BC34" i="1" s="1"/>
  <c r="AX34" i="1"/>
  <c r="BT33" i="1"/>
  <c r="BF33" i="1"/>
  <c r="BD33" i="1"/>
  <c r="BC33" i="1"/>
  <c r="BA33" i="1"/>
  <c r="BD32" i="1"/>
  <c r="AY32" i="1"/>
  <c r="BA32" i="1" s="1"/>
  <c r="BE32" i="1" s="1"/>
  <c r="AX32" i="1"/>
  <c r="BT30" i="1"/>
  <c r="BD30" i="1"/>
  <c r="BC30" i="1"/>
  <c r="BA30" i="1"/>
  <c r="BE30" i="1" s="1"/>
  <c r="AZ30" i="1"/>
  <c r="AY30" i="1"/>
  <c r="AX30" i="1"/>
  <c r="BT29" i="1"/>
  <c r="BD29" i="1"/>
  <c r="BC29" i="1"/>
  <c r="BA29" i="1"/>
  <c r="BD28" i="1"/>
  <c r="BA28" i="1"/>
  <c r="BE28" i="1" s="1"/>
  <c r="AY28" i="1"/>
  <c r="BC28" i="1" s="1"/>
  <c r="AX28" i="1"/>
  <c r="AZ26" i="1"/>
  <c r="BD26" i="1" s="1"/>
  <c r="AY26" i="1"/>
  <c r="BC26" i="1" s="1"/>
  <c r="AX26" i="1"/>
  <c r="BT25" i="1"/>
  <c r="BD25" i="1"/>
  <c r="BC25" i="1"/>
  <c r="BA25" i="1"/>
  <c r="BD24" i="1"/>
  <c r="BC24" i="1"/>
  <c r="BA24" i="1"/>
  <c r="BE24" i="1" s="1"/>
  <c r="AX24" i="1"/>
  <c r="AZ22" i="1"/>
  <c r="BA22" i="1" s="1"/>
  <c r="BE22" i="1" s="1"/>
  <c r="AY22" i="1"/>
  <c r="BC22" i="1" s="1"/>
  <c r="AX22" i="1"/>
  <c r="BT21" i="1"/>
  <c r="BD21" i="1"/>
  <c r="BC21" i="1"/>
  <c r="BA21" i="1"/>
  <c r="BD20" i="1"/>
  <c r="AY20" i="1"/>
  <c r="BC20" i="1" s="1"/>
  <c r="AX20" i="1"/>
  <c r="AZ18" i="1"/>
  <c r="BT18" i="1" s="1"/>
  <c r="AY18" i="1"/>
  <c r="BC18" i="1" s="1"/>
  <c r="AX18" i="1"/>
  <c r="BT17" i="1"/>
  <c r="BD17" i="1"/>
  <c r="BC17" i="1"/>
  <c r="BA17" i="1"/>
  <c r="BD16" i="1"/>
  <c r="BC16" i="1"/>
  <c r="BA16" i="1"/>
  <c r="BE16" i="1" s="1"/>
  <c r="AX16" i="1"/>
  <c r="BT14" i="1"/>
  <c r="AZ14" i="1"/>
  <c r="BD14" i="1" s="1"/>
  <c r="AY14" i="1"/>
  <c r="BC14" i="1" s="1"/>
  <c r="AX14" i="1"/>
  <c r="BT13" i="1"/>
  <c r="BD13" i="1"/>
  <c r="BC13" i="1"/>
  <c r="BA13" i="1"/>
  <c r="BD12" i="1"/>
  <c r="BC12" i="1"/>
  <c r="BA12" i="1"/>
  <c r="BE12" i="1" s="1"/>
  <c r="AX12" i="1"/>
  <c r="BC10" i="1"/>
  <c r="AZ10" i="1"/>
  <c r="BD10" i="1" s="1"/>
  <c r="AY10" i="1"/>
  <c r="AX10" i="1"/>
  <c r="BT9" i="1"/>
  <c r="BD9" i="1"/>
  <c r="BC9" i="1"/>
  <c r="BA9" i="1"/>
  <c r="BD8" i="1"/>
  <c r="AY8" i="1"/>
  <c r="BC8" i="1" s="1"/>
  <c r="AX8" i="1"/>
  <c r="AY6" i="1"/>
  <c r="BC6" i="1" s="1"/>
  <c r="AX6" i="1"/>
  <c r="BC5" i="1"/>
  <c r="BC4" i="1"/>
  <c r="AZ4" i="1"/>
  <c r="BA4" i="1" s="1"/>
  <c r="BE4" i="1" s="1"/>
  <c r="AX4" i="1"/>
  <c r="BA26" i="1" l="1"/>
  <c r="BE26" i="1" s="1"/>
  <c r="BC74" i="1"/>
  <c r="BC84" i="1"/>
  <c r="BA94" i="1"/>
  <c r="BC120" i="1"/>
  <c r="BA58" i="1"/>
  <c r="BC112" i="1"/>
  <c r="AZ6" i="1"/>
  <c r="BC46" i="1"/>
  <c r="BC118" i="1"/>
  <c r="BA106" i="1"/>
  <c r="BC100" i="1"/>
  <c r="BC130" i="1"/>
  <c r="BD22" i="1"/>
  <c r="BA135" i="1"/>
  <c r="BC80" i="1"/>
  <c r="BC62" i="1"/>
  <c r="BA126" i="1"/>
  <c r="BA90" i="1"/>
  <c r="BC96" i="1"/>
  <c r="BC102" i="1"/>
  <c r="BA116" i="1"/>
  <c r="AS136" i="1"/>
  <c r="BC98" i="1"/>
  <c r="BC32" i="1"/>
  <c r="BA8" i="1"/>
  <c r="BE8" i="1" s="1"/>
  <c r="BT22" i="1"/>
  <c r="BC38" i="1"/>
  <c r="AZ133" i="1"/>
  <c r="AZ136" i="1"/>
  <c r="BC134" i="1"/>
  <c r="BC88" i="1"/>
  <c r="BA18" i="1"/>
  <c r="BE18" i="1" s="1"/>
  <c r="BA10" i="1"/>
  <c r="BE10" i="1" s="1"/>
  <c r="BA82" i="1"/>
  <c r="BA66" i="1"/>
  <c r="BA124" i="1"/>
  <c r="BT10" i="1"/>
  <c r="BD82" i="1"/>
  <c r="BF134" i="1"/>
  <c r="BT26" i="1"/>
  <c r="BD4" i="1"/>
  <c r="BD90" i="1"/>
  <c r="BA14" i="1"/>
  <c r="BE14" i="1" s="1"/>
  <c r="BC76" i="1"/>
  <c r="BA34" i="1"/>
  <c r="BE34" i="1" s="1"/>
  <c r="BA50" i="1"/>
  <c r="BE50" i="1" s="1"/>
  <c r="AZ78" i="1"/>
  <c r="BA20" i="1"/>
  <c r="BE20" i="1" s="1"/>
  <c r="BA86" i="1"/>
  <c r="BA104" i="1"/>
  <c r="BA128" i="1"/>
  <c r="BA42" i="1"/>
  <c r="BE42" i="1" s="1"/>
  <c r="BD18" i="1"/>
  <c r="BT6" i="1" l="1"/>
  <c r="AZ5" i="1"/>
  <c r="BD6" i="1"/>
  <c r="BA6" i="1"/>
  <c r="BE6" i="1" s="1"/>
  <c r="AZ77" i="1"/>
  <c r="BT78" i="1"/>
  <c r="BA78" i="1"/>
  <c r="BD78" i="1"/>
  <c r="BA133" i="1"/>
  <c r="BD133" i="1"/>
  <c r="BA77" i="1" l="1"/>
  <c r="BT77" i="1"/>
  <c r="BD77" i="1"/>
  <c r="BT5" i="1"/>
  <c r="BA5" i="1"/>
  <c r="BD5" i="1"/>
</calcChain>
</file>

<file path=xl/sharedStrings.xml><?xml version="1.0" encoding="utf-8"?>
<sst xmlns="http://schemas.openxmlformats.org/spreadsheetml/2006/main" count="409" uniqueCount="128">
  <si>
    <t>BRAZILIAN CORN PRODUCTION BY STATE</t>
  </si>
  <si>
    <t>CONAB Implied Yr0over0Yr Change</t>
  </si>
  <si>
    <t>FM Implied Yr0over0Yr Change</t>
  </si>
  <si>
    <t>FM 0 CONAB Percent Difference</t>
  </si>
  <si>
    <t>(000 ha, kg/ha, 000 mt)</t>
  </si>
  <si>
    <t>2025/26</t>
  </si>
  <si>
    <t>NORTH</t>
  </si>
  <si>
    <t>1976/77</t>
  </si>
  <si>
    <t xml:space="preserve">1977/78 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</si>
  <si>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</si>
  <si>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</si>
  <si>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</si>
  <si>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</si>
  <si>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</si>
  <si>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</si>
  <si>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</si>
  <si>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</si>
  <si>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</si>
  <si>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</si>
  <si>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</si>
  <si>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</si>
  <si>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</si>
  <si>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</si>
  <si>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</si>
  <si>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</si>
  <si>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</si>
  <si>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</si>
  <si>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</si>
  <si>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</si>
  <si>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</si>
  <si>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</si>
  <si>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</si>
  <si>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</si>
  <si>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</si>
  <si>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</si>
  <si>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</si>
  <si>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</si>
  <si>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</si>
  <si>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</si>
  <si>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</si>
  <si>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</si>
  <si>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</si>
  <si>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</si>
  <si>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</si>
  <si>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</si>
  <si>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</si>
  <si>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</si>
  <si>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</si>
  <si>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</si>
  <si>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</si>
  <si>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</si>
  <si>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</si>
  <si>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</si>
  <si>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</si>
  <si>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</si>
  <si>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</si>
  <si>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CONAB</t>
  </si>
  <si>
    <t>RLC</t>
  </si>
  <si>
    <t>RLC - CONAB</t>
  </si>
  <si>
    <t>area</t>
  </si>
  <si>
    <t>yield</t>
  </si>
  <si>
    <t>production</t>
  </si>
  <si>
    <t>Roraima</t>
  </si>
  <si>
    <t>Rondônia</t>
  </si>
  <si>
    <t>Acre</t>
  </si>
  <si>
    <t>Amazonas</t>
  </si>
  <si>
    <t>Amapá</t>
  </si>
  <si>
    <t>Pará</t>
  </si>
  <si>
    <t>Tocantins</t>
  </si>
  <si>
    <t>NORTHEAST</t>
  </si>
  <si>
    <t>Maranhão</t>
  </si>
  <si>
    <t>TO</t>
  </si>
  <si>
    <t>MA</t>
  </si>
  <si>
    <t>PI</t>
  </si>
  <si>
    <t>Piauí</t>
  </si>
  <si>
    <t>BA</t>
  </si>
  <si>
    <t>MT</t>
  </si>
  <si>
    <t>MS</t>
  </si>
  <si>
    <t>GO</t>
  </si>
  <si>
    <t>Ceará</t>
  </si>
  <si>
    <t>PR</t>
  </si>
  <si>
    <t>SC</t>
  </si>
  <si>
    <t>RS</t>
  </si>
  <si>
    <t>Rio Grande do Norte</t>
  </si>
  <si>
    <t>MG</t>
  </si>
  <si>
    <t>SP</t>
  </si>
  <si>
    <t>Paraiba</t>
  </si>
  <si>
    <t>Pernambuco</t>
  </si>
  <si>
    <t>Alagoas</t>
  </si>
  <si>
    <t>Sergipe</t>
  </si>
  <si>
    <t>Bahia</t>
  </si>
  <si>
    <t>Center West</t>
  </si>
  <si>
    <t>MatoGrosso</t>
  </si>
  <si>
    <t>MatoGrosso do Sul</t>
  </si>
  <si>
    <t>yield (kg/ha)</t>
  </si>
  <si>
    <t>production (MMT)</t>
  </si>
  <si>
    <t>Goiás</t>
  </si>
  <si>
    <t>Distrito Federal</t>
  </si>
  <si>
    <t>Southeast</t>
  </si>
  <si>
    <t>Minas Gerais</t>
  </si>
  <si>
    <t>Espirito Santo</t>
  </si>
  <si>
    <t>Rio de Janeiro</t>
  </si>
  <si>
    <t>Sao Paulo</t>
  </si>
  <si>
    <t>South</t>
  </si>
  <si>
    <t>Paraná</t>
  </si>
  <si>
    <t>Santa Catarina</t>
  </si>
  <si>
    <t>Rio Grande do Sul</t>
  </si>
  <si>
    <r>
      <rPr>
        <sz val="22"/>
        <color theme="7" tint="-0.249977111117893"/>
        <rFont val="Aptos Display"/>
      </rPr>
      <t>Brazil</t>
    </r>
    <r>
      <rPr>
        <sz val="12"/>
        <color theme="7" tint="-0.249977111117893"/>
        <rFont val="Aptos Display"/>
      </rPr>
      <t xml:space="preserve"> </t>
    </r>
    <r>
      <rPr>
        <sz val="11"/>
        <color theme="7" tint="-0.249977111117893"/>
        <rFont val="Aptos Display"/>
      </rPr>
      <t>(000 ha, kg/ha, 000 mt)</t>
    </r>
  </si>
  <si>
    <t>Purple numbers are RLC estimates and forecasts</t>
  </si>
  <si>
    <t>BRAZILIAN SOYBEAN PRODUCTION BY STATE</t>
  </si>
  <si>
    <t>Year/Year ∆</t>
  </si>
  <si>
    <t>Five-Year</t>
  </si>
  <si>
    <t>Checked vs. Nov  Crop Prod</t>
  </si>
  <si>
    <t>5-Yr Trend</t>
  </si>
  <si>
    <t xml:space="preserve">North </t>
  </si>
  <si>
    <t>CAGR</t>
  </si>
  <si>
    <t>Notes</t>
  </si>
  <si>
    <t>Added 300 to the area</t>
  </si>
  <si>
    <t>Added 225 to the area</t>
  </si>
  <si>
    <t>Northeast</t>
  </si>
  <si>
    <t>Added 100 to the area</t>
  </si>
  <si>
    <t>added 175 to area</t>
  </si>
  <si>
    <t>Area decrease?</t>
  </si>
  <si>
    <t>Big jump?</t>
  </si>
  <si>
    <t>Expansion?</t>
  </si>
  <si>
    <t>Decrease?</t>
  </si>
  <si>
    <t>Brazil</t>
  </si>
  <si>
    <t>Shaded Cells and Bold Numbers are RLC Estimates and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</si>
</sst>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\ _E_s_c_._-;\-* #,##0.00\ _E_s_c_._-;_-* &quot;-&quot;??\ _E_s_c_._-;_-@_-"/>
    <numFmt numFmtId="165" formatCode="#,##0.0"/>
    <numFmt numFmtId="166" formatCode="_(* #,##0.0_);_(* \(#,##0.0\);_(* &quot;-&quot;?_);_(@_)"/>
    <numFmt numFmtId="167" formatCode="#,##0.000_);[Red]\(#,##0.000\)"/>
    <numFmt numFmtId="168" formatCode="0.0%"/>
    <numFmt numFmtId="169" formatCode="_(* #,##0_);_(* \(#,##0\);_(* &quot;-&quot;?_);_(@_)"/>
    <numFmt numFmtId="170" formatCode="_(* #,##0.000_);_(* \(#,##0.000\);_(* &quot;-&quot;?_);_(@_)"/>
    <numFmt numFmtId="171" formatCode="#,##0.0_);[Red]\(#,##0.0\)"/>
  </numFmts>
  <fonts count="3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20"/>
      <color theme="7" tint="-0.249977111117893"/>
      <name val="Aptos Display"/>
      <family val="2"/>
    </font>
    <font>
      <sz val="11"/>
      <color theme="1"/>
      <name val="aptos narrow"/>
      <scheme val="minor"/>
    </font>
    <font>
      <sz val="10"/>
      <color theme="1"/>
      <name val="Aptos Display"/>
      <family val="2"/>
    </font>
    <font>
      <b/>
      <sz val="8"/>
      <color theme="7" tint="-0.249977111117893"/>
      <name val="Aptos Display"/>
      <family val="2"/>
    </font>
    <font>
      <b/>
      <sz val="12"/>
      <color theme="7" tint="-0.249977111117893"/>
      <name val="Aptos Display"/>
      <family val="2"/>
    </font>
    <font>
      <sz val="16"/>
      <color theme="7" tint="-0.249977111117893"/>
      <name val="Aptos Display"/>
      <family val="2"/>
    </font>
    <font>
      <b/>
      <sz val="12"/>
      <name val="Aptos Display"/>
      <family val="2"/>
    </font>
    <font>
      <b/>
      <sz val="11"/>
      <color theme="1"/>
      <name val="Aptos Display"/>
      <family val="2"/>
    </font>
    <font>
      <b/>
      <sz val="11"/>
      <color theme="7" tint="-0.249977111117893"/>
      <name val="Aptos Display"/>
      <family val="2"/>
    </font>
    <font>
      <sz val="12"/>
      <name val="Aptos Display"/>
      <family val="2"/>
    </font>
    <font>
      <sz val="12"/>
      <color rgb="FF6F0791"/>
      <name val="Aptos Display"/>
      <family val="2"/>
    </font>
    <font>
      <sz val="12"/>
      <color theme="1"/>
      <name val="Aptos Display"/>
      <family val="2"/>
    </font>
    <font>
      <b/>
      <sz val="9"/>
      <color theme="1"/>
      <name val="Aptos Display"/>
      <family val="2"/>
    </font>
    <font>
      <b/>
      <sz val="9"/>
      <color rgb="FF6F0791"/>
      <name val="Aptos Display"/>
      <family val="2"/>
    </font>
    <font>
      <sz val="10"/>
      <name val="Aptos Display"/>
      <family val="2"/>
    </font>
    <font>
      <b/>
      <sz val="12"/>
      <color theme="1"/>
      <name val="Aptos Display"/>
      <family val="2"/>
    </font>
    <font>
      <sz val="12"/>
      <color theme="7" tint="-0.249977111117893"/>
      <name val="Aptos Display"/>
    </font>
    <font>
      <sz val="22"/>
      <color theme="7" tint="-0.249977111117893"/>
      <name val="Aptos Display"/>
    </font>
    <font>
      <sz val="11"/>
      <color theme="7" tint="-0.249977111117893"/>
      <name val="Aptos Display"/>
    </font>
    <font>
      <sz val="11"/>
      <color theme="1"/>
      <name val="Aptos Display"/>
      <family val="2"/>
    </font>
    <font>
      <b/>
      <sz val="16"/>
      <color rgb="FF18453B"/>
      <name val="Calibri"/>
      <family val="2"/>
    </font>
    <font>
      <b/>
      <sz val="10"/>
      <color rgb="FF18453B"/>
      <name val="Calibri"/>
      <family val="2"/>
    </font>
    <font>
      <sz val="11"/>
      <color rgb="FF18453B"/>
      <name val="aptos narrow"/>
      <family val="2"/>
      <scheme val="minor"/>
    </font>
    <font>
      <sz val="10"/>
      <color rgb="FF18453B"/>
      <name val="Calibri"/>
      <family val="2"/>
    </font>
    <font>
      <b/>
      <sz val="11"/>
      <color rgb="FF18453B"/>
      <name val="Calibri"/>
      <family val="2"/>
    </font>
    <font>
      <b/>
      <sz val="12"/>
      <color rgb="FF18453B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BEAD2"/>
        <bgColor indexed="64"/>
      </patternFill>
    </fill>
    <fill>
      <patternFill patternType="solid">
        <fgColor rgb="FFF2F7ED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CF3C3C"/>
      </left>
      <right/>
      <top style="medium">
        <color rgb="FFCF3C3C"/>
      </top>
      <bottom style="medium">
        <color rgb="FF8C8C8C"/>
      </bottom>
      <diagonal/>
    </border>
    <border>
      <left/>
      <right/>
      <top style="medium">
        <color rgb="FFCF3C3C"/>
      </top>
      <bottom style="medium">
        <color rgb="FF8C8C8C"/>
      </bottom>
      <diagonal/>
    </border>
    <border>
      <left/>
      <right style="medium">
        <color rgb="FFCF3C3C"/>
      </right>
      <top style="medium">
        <color rgb="FFCF3C3C"/>
      </top>
      <bottom style="medium">
        <color rgb="FF8C8C8C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 style="medium">
        <color rgb="FFCF3C3C"/>
      </left>
      <right/>
      <top style="medium">
        <color rgb="FF8C8C8C"/>
      </top>
      <bottom style="medium">
        <color rgb="FF8C8C8C"/>
      </bottom>
      <diagonal/>
    </border>
    <border>
      <left/>
      <right style="medium">
        <color rgb="FFCF3C3C"/>
      </right>
      <top style="medium">
        <color rgb="FF8C8C8C"/>
      </top>
      <bottom style="medium">
        <color rgb="FF8C8C8C"/>
      </bottom>
      <diagonal/>
    </border>
    <border>
      <left style="medium">
        <color rgb="FFCF3C3C"/>
      </left>
      <right/>
      <top/>
      <bottom/>
      <diagonal/>
    </border>
    <border>
      <left/>
      <right style="medium">
        <color rgb="FFCF3C3C"/>
      </right>
      <top/>
      <bottom/>
      <diagonal/>
    </border>
    <border>
      <left/>
      <right/>
      <top style="medium">
        <color rgb="FF8C8C8C"/>
      </top>
      <bottom/>
      <diagonal/>
    </border>
    <border>
      <left style="medium">
        <color rgb="FFCF3C3C"/>
      </left>
      <right/>
      <top style="medium">
        <color rgb="FF8C8C8C"/>
      </top>
      <bottom/>
      <diagonal/>
    </border>
    <border>
      <left/>
      <right style="medium">
        <color rgb="FFCF3C3C"/>
      </right>
      <top style="medium">
        <color rgb="FF8C8C8C"/>
      </top>
      <bottom/>
      <diagonal/>
    </border>
    <border>
      <left style="medium">
        <color rgb="FFCF3C3C"/>
      </left>
      <right/>
      <top/>
      <bottom style="thick">
        <color rgb="FF8C8C8C"/>
      </bottom>
      <diagonal/>
    </border>
    <border>
      <left/>
      <right/>
      <top/>
      <bottom style="thick">
        <color rgb="FF8C8C8C"/>
      </bottom>
      <diagonal/>
    </border>
    <border>
      <left/>
      <right/>
      <top style="thick">
        <color rgb="FF8C8C8C"/>
      </top>
      <bottom/>
      <diagonal/>
    </border>
    <border>
      <left/>
      <right/>
      <top style="medium">
        <color rgb="FF18453B"/>
      </top>
      <bottom/>
      <diagonal/>
    </border>
    <border>
      <left/>
      <right style="medium">
        <color rgb="FF18453B"/>
      </right>
      <top style="medium">
        <color rgb="FF18453B"/>
      </top>
      <bottom/>
      <diagonal/>
    </border>
    <border>
      <left/>
      <right/>
      <top/>
      <bottom style="medium">
        <color rgb="FF18453B"/>
      </bottom>
      <diagonal/>
    </border>
    <border>
      <left/>
      <right style="medium">
        <color rgb="FF18453B"/>
      </right>
      <top/>
      <bottom/>
      <diagonal/>
    </border>
    <border>
      <left style="medium">
        <color rgb="FF18453B"/>
      </left>
      <right/>
      <top/>
      <bottom/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/>
      <right style="medium">
        <color rgb="FF18453B"/>
      </right>
      <top style="medium">
        <color rgb="FF333333"/>
      </top>
      <bottom style="medium">
        <color rgb="FF333333"/>
      </bottom>
      <diagonal/>
    </border>
    <border>
      <left style="medium">
        <color rgb="FF18453B"/>
      </left>
      <right/>
      <top style="medium">
        <color rgb="FF18453B"/>
      </top>
      <bottom style="medium">
        <color rgb="FF18453B"/>
      </bottom>
      <diagonal/>
    </border>
    <border>
      <left/>
      <right/>
      <top style="medium">
        <color rgb="FF18453B"/>
      </top>
      <bottom style="medium">
        <color rgb="FF18453B"/>
      </bottom>
      <diagonal/>
    </border>
    <border>
      <left style="medium">
        <color rgb="FF18453B"/>
      </left>
      <right/>
      <top/>
      <bottom style="medium">
        <color rgb="FF18453B"/>
      </bottom>
      <diagonal/>
    </border>
    <border>
      <left/>
      <right style="medium">
        <color rgb="FF18453B"/>
      </right>
      <top/>
      <bottom style="medium">
        <color rgb="FF18453B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medium">
        <color rgb="FF18453B"/>
      </left>
      <right/>
      <top style="thin">
        <color rgb="FF333333"/>
      </top>
      <bottom style="thin">
        <color rgb="FF333333"/>
      </bottom>
      <diagonal/>
    </border>
    <border>
      <left/>
      <right style="medium">
        <color rgb="FF18453B"/>
      </right>
      <top style="thin">
        <color rgb="FF333333"/>
      </top>
      <bottom style="thin">
        <color rgb="FF333333"/>
      </bottom>
      <diagonal/>
    </border>
    <border>
      <left style="medium">
        <color rgb="FF18453B"/>
      </left>
      <right/>
      <top style="medium">
        <color rgb="FF333333"/>
      </top>
      <bottom style="medium">
        <color rgb="FF333333"/>
      </bottom>
      <diagonal/>
    </border>
    <border>
      <left style="medium">
        <color rgb="FF18453B"/>
      </left>
      <right/>
      <top style="medium">
        <color rgb="FF333333"/>
      </top>
      <bottom/>
      <diagonal/>
    </border>
    <border>
      <left style="medium">
        <color rgb="FF18453B"/>
      </left>
      <right/>
      <top/>
      <bottom style="thick">
        <color rgb="FF333333"/>
      </bottom>
      <diagonal/>
    </border>
    <border>
      <left/>
      <right/>
      <top style="thick">
        <color rgb="FF333333"/>
      </top>
      <bottom/>
      <diagonal/>
    </border>
  </borders>
  <cellStyleXfs count="5">
    <xf numFmtId="0" fontId="0" fillId="0" borderId="0"/>
    <xf numFmtId="9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67">
    <xf numFmtId="0" fontId="0" fillId="0" borderId="0" xfId="0"/>
    <xf numFmtId="165" fontId="4" fillId="2" borderId="1" xfId="2" applyNumberFormat="1" applyFont="1" applyFill="1" applyBorder="1" applyAlignment="1">
      <alignment horizontal="left" vertical="center"/>
    </xf>
    <xf numFmtId="0" fontId="0" fillId="2" borderId="0" xfId="0" applyFill="1"/>
    <xf numFmtId="0" fontId="6" fillId="2" borderId="0" xfId="0" applyFont="1" applyFill="1" applyAlignment="1">
      <alignment horizontal="center" vertical="center" wrapText="1"/>
    </xf>
    <xf numFmtId="40" fontId="6" fillId="0" borderId="0" xfId="0" applyNumberFormat="1" applyFont="1"/>
    <xf numFmtId="165" fontId="7" fillId="2" borderId="2" xfId="2" applyNumberFormat="1" applyFont="1" applyFill="1" applyBorder="1" applyAlignment="1">
      <alignment horizontal="right" vertical="center"/>
    </xf>
    <xf numFmtId="49" fontId="8" fillId="2" borderId="3" xfId="2" applyNumberFormat="1" applyFont="1" applyFill="1" applyBorder="1" applyAlignment="1">
      <alignment horizontal="center" vertical="center" wrapText="1"/>
    </xf>
    <xf numFmtId="49" fontId="8" fillId="2" borderId="4" xfId="2" applyNumberFormat="1" applyFont="1" applyFill="1" applyBorder="1" applyAlignment="1">
      <alignment horizontal="center" vertical="center" wrapText="1"/>
    </xf>
    <xf numFmtId="49" fontId="8" fillId="2" borderId="5" xfId="2" applyNumberFormat="1" applyFont="1" applyFill="1" applyBorder="1" applyAlignment="1">
      <alignment horizontal="center" vertical="center" wrapText="1"/>
    </xf>
    <xf numFmtId="165" fontId="9" fillId="2" borderId="6" xfId="2" applyNumberFormat="1" applyFont="1" applyFill="1" applyBorder="1" applyAlignment="1">
      <alignment vertical="center"/>
    </xf>
    <xf numFmtId="49" fontId="10" fillId="2" borderId="6" xfId="2" applyNumberFormat="1" applyFont="1" applyFill="1" applyBorder="1" applyAlignment="1">
      <alignment horizontal="center" vertical="center"/>
    </xf>
    <xf numFmtId="49" fontId="10" fillId="2" borderId="6" xfId="2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165" fontId="13" fillId="2" borderId="0" xfId="2" applyNumberFormat="1" applyFont="1" applyFill="1" applyAlignment="1">
      <alignment horizontal="left" vertical="center" indent="1"/>
    </xf>
    <xf numFmtId="166" fontId="13" fillId="2" borderId="0" xfId="2" applyNumberFormat="1" applyFont="1" applyFill="1" applyAlignment="1">
      <alignment vertical="center"/>
    </xf>
    <xf numFmtId="166" fontId="10" fillId="2" borderId="9" xfId="2" applyNumberFormat="1" applyFont="1" applyFill="1" applyBorder="1" applyAlignment="1">
      <alignment horizontal="center" vertical="center"/>
    </xf>
    <xf numFmtId="166" fontId="14" fillId="2" borderId="0" xfId="2" applyNumberFormat="1" applyFont="1" applyFill="1" applyAlignment="1">
      <alignment horizontal="center" vertical="center"/>
    </xf>
    <xf numFmtId="166" fontId="13" fillId="2" borderId="10" xfId="2" applyNumberFormat="1" applyFont="1" applyFill="1" applyBorder="1" applyAlignment="1">
      <alignment horizontal="center" vertical="center"/>
    </xf>
    <xf numFmtId="167" fontId="15" fillId="2" borderId="0" xfId="0" applyNumberFormat="1" applyFont="1" applyFill="1"/>
    <xf numFmtId="168" fontId="15" fillId="2" borderId="0" xfId="1" applyNumberFormat="1" applyFont="1" applyFill="1" applyAlignment="1">
      <alignment horizontal="center"/>
    </xf>
    <xf numFmtId="169" fontId="13" fillId="2" borderId="0" xfId="2" applyNumberFormat="1" applyFont="1" applyFill="1" applyAlignment="1">
      <alignment vertical="center"/>
    </xf>
    <xf numFmtId="170" fontId="13" fillId="2" borderId="0" xfId="2" applyNumberFormat="1" applyFont="1" applyFill="1" applyAlignment="1">
      <alignment vertical="center"/>
    </xf>
    <xf numFmtId="169" fontId="10" fillId="2" borderId="9" xfId="2" applyNumberFormat="1" applyFont="1" applyFill="1" applyBorder="1" applyAlignment="1">
      <alignment horizontal="center" vertical="center"/>
    </xf>
    <xf numFmtId="38" fontId="15" fillId="2" borderId="0" xfId="0" applyNumberFormat="1" applyFont="1" applyFill="1"/>
    <xf numFmtId="165" fontId="13" fillId="3" borderId="0" xfId="2" applyNumberFormat="1" applyFont="1" applyFill="1" applyBorder="1" applyAlignment="1">
      <alignment vertical="center"/>
    </xf>
    <xf numFmtId="0" fontId="2" fillId="3" borderId="0" xfId="0" applyFont="1" applyFill="1"/>
    <xf numFmtId="0" fontId="0" fillId="3" borderId="0" xfId="0" applyFill="1"/>
    <xf numFmtId="0" fontId="16" fillId="3" borderId="9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6" fillId="3" borderId="10" xfId="0" applyFont="1" applyFill="1" applyBorder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165" fontId="13" fillId="2" borderId="0" xfId="2" applyNumberFormat="1" applyFont="1" applyFill="1" applyBorder="1" applyAlignment="1">
      <alignment horizontal="left" vertical="center" indent="1"/>
    </xf>
    <xf numFmtId="166" fontId="14" fillId="2" borderId="0" xfId="2" applyNumberFormat="1" applyFont="1" applyFill="1" applyBorder="1" applyAlignment="1">
      <alignment horizontal="center" vertical="center"/>
    </xf>
    <xf numFmtId="166" fontId="13" fillId="2" borderId="0" xfId="2" applyNumberFormat="1" applyFont="1" applyFill="1" applyBorder="1" applyAlignment="1">
      <alignment vertical="center"/>
    </xf>
    <xf numFmtId="166" fontId="13" fillId="3" borderId="0" xfId="2" applyNumberFormat="1" applyFont="1" applyFill="1" applyAlignment="1">
      <alignment vertical="center"/>
    </xf>
    <xf numFmtId="166" fontId="10" fillId="3" borderId="9" xfId="2" applyNumberFormat="1" applyFont="1" applyFill="1" applyBorder="1" applyAlignment="1">
      <alignment horizontal="center" vertical="center"/>
    </xf>
    <xf numFmtId="166" fontId="14" fillId="3" borderId="0" xfId="2" applyNumberFormat="1" applyFont="1" applyFill="1" applyBorder="1" applyAlignment="1">
      <alignment horizontal="center" vertical="center"/>
    </xf>
    <xf numFmtId="166" fontId="13" fillId="3" borderId="10" xfId="2" applyNumberFormat="1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0" xfId="0" applyFill="1" applyBorder="1" applyAlignment="1">
      <alignment horizontal="center"/>
    </xf>
    <xf numFmtId="9" fontId="0" fillId="0" borderId="0" xfId="1" applyFont="1"/>
    <xf numFmtId="165" fontId="9" fillId="2" borderId="11" xfId="2" applyNumberFormat="1" applyFont="1" applyFill="1" applyBorder="1" applyAlignment="1">
      <alignment vertical="center"/>
    </xf>
    <xf numFmtId="166" fontId="13" fillId="2" borderId="11" xfId="2" applyNumberFormat="1" applyFont="1" applyFill="1" applyBorder="1" applyAlignment="1">
      <alignment horizontal="center" vertical="center"/>
    </xf>
    <xf numFmtId="0" fontId="15" fillId="2" borderId="11" xfId="0" applyFont="1" applyFill="1" applyBorder="1"/>
    <xf numFmtId="165" fontId="13" fillId="2" borderId="11" xfId="2" applyNumberFormat="1" applyFont="1" applyFill="1" applyBorder="1" applyAlignment="1">
      <alignment horizontal="left" vertical="center" indent="1"/>
    </xf>
    <xf numFmtId="166" fontId="13" fillId="2" borderId="11" xfId="2" applyNumberFormat="1" applyFont="1" applyFill="1" applyBorder="1" applyAlignment="1">
      <alignment vertical="center"/>
    </xf>
    <xf numFmtId="166" fontId="10" fillId="2" borderId="12" xfId="2" applyNumberFormat="1" applyFont="1" applyFill="1" applyBorder="1" applyAlignment="1">
      <alignment horizontal="center" vertical="center"/>
    </xf>
    <xf numFmtId="166" fontId="14" fillId="2" borderId="11" xfId="2" applyNumberFormat="1" applyFont="1" applyFill="1" applyBorder="1" applyAlignment="1">
      <alignment horizontal="center" vertical="center"/>
    </xf>
    <xf numFmtId="166" fontId="13" fillId="2" borderId="13" xfId="2" applyNumberFormat="1" applyFont="1" applyFill="1" applyBorder="1" applyAlignment="1">
      <alignment horizontal="center" vertical="center"/>
    </xf>
    <xf numFmtId="165" fontId="13" fillId="3" borderId="0" xfId="2" applyNumberFormat="1" applyFont="1" applyFill="1" applyAlignment="1">
      <alignment vertical="center"/>
    </xf>
    <xf numFmtId="169" fontId="13" fillId="2" borderId="0" xfId="2" applyNumberFormat="1" applyFont="1" applyFill="1" applyAlignment="1">
      <alignment horizontal="left" vertical="center"/>
    </xf>
    <xf numFmtId="0" fontId="15" fillId="2" borderId="6" xfId="0" applyFont="1" applyFill="1" applyBorder="1"/>
    <xf numFmtId="0" fontId="0" fillId="2" borderId="6" xfId="0" applyFill="1" applyBorder="1"/>
    <xf numFmtId="43" fontId="2" fillId="0" borderId="0" xfId="0" applyNumberFormat="1" applyFont="1"/>
    <xf numFmtId="166" fontId="15" fillId="2" borderId="11" xfId="0" applyNumberFormat="1" applyFont="1" applyFill="1" applyBorder="1"/>
    <xf numFmtId="3" fontId="14" fillId="2" borderId="0" xfId="2" applyNumberFormat="1" applyFont="1" applyFill="1" applyBorder="1" applyAlignment="1">
      <alignment horizontal="right" vertical="center"/>
    </xf>
    <xf numFmtId="166" fontId="15" fillId="2" borderId="0" xfId="0" applyNumberFormat="1" applyFont="1" applyFill="1"/>
    <xf numFmtId="3" fontId="14" fillId="2" borderId="0" xfId="2" applyNumberFormat="1" applyFont="1" applyFill="1" applyAlignment="1">
      <alignment horizontal="right" vertical="center"/>
    </xf>
    <xf numFmtId="43" fontId="0" fillId="0" borderId="0" xfId="0" applyNumberFormat="1"/>
    <xf numFmtId="165" fontId="18" fillId="2" borderId="0" xfId="2" applyNumberFormat="1" applyFont="1" applyFill="1" applyBorder="1" applyAlignment="1">
      <alignment horizontal="left" vertical="center" indent="1"/>
    </xf>
    <xf numFmtId="166" fontId="14" fillId="2" borderId="0" xfId="2" applyNumberFormat="1" applyFont="1" applyFill="1" applyBorder="1" applyAlignment="1">
      <alignment horizontal="left" vertical="center" indent="1"/>
    </xf>
    <xf numFmtId="169" fontId="14" fillId="2" borderId="0" xfId="2" applyNumberFormat="1" applyFont="1" applyFill="1" applyBorder="1" applyAlignment="1">
      <alignment horizontal="center" vertical="center"/>
    </xf>
    <xf numFmtId="166" fontId="19" fillId="2" borderId="12" xfId="0" applyNumberFormat="1" applyFont="1" applyFill="1" applyBorder="1"/>
    <xf numFmtId="166" fontId="14" fillId="2" borderId="11" xfId="0" applyNumberFormat="1" applyFont="1" applyFill="1" applyBorder="1"/>
    <xf numFmtId="169" fontId="10" fillId="2" borderId="9" xfId="2" applyNumberFormat="1" applyFont="1" applyFill="1" applyBorder="1" applyAlignment="1">
      <alignment vertical="center"/>
    </xf>
    <xf numFmtId="1" fontId="14" fillId="2" borderId="0" xfId="2" applyNumberFormat="1" applyFont="1" applyFill="1" applyAlignment="1">
      <alignment horizontal="right" vertical="top"/>
    </xf>
    <xf numFmtId="166" fontId="19" fillId="2" borderId="9" xfId="0" applyNumberFormat="1" applyFont="1" applyFill="1" applyBorder="1"/>
    <xf numFmtId="166" fontId="14" fillId="2" borderId="0" xfId="0" applyNumberFormat="1" applyFont="1" applyFill="1"/>
    <xf numFmtId="165" fontId="20" fillId="3" borderId="0" xfId="2" applyNumberFormat="1" applyFont="1" applyFill="1" applyAlignment="1">
      <alignment vertical="center"/>
    </xf>
    <xf numFmtId="171" fontId="15" fillId="2" borderId="0" xfId="0" applyNumberFormat="1" applyFont="1" applyFill="1"/>
    <xf numFmtId="166" fontId="10" fillId="2" borderId="14" xfId="2" applyNumberFormat="1" applyFont="1" applyFill="1" applyBorder="1" applyAlignment="1">
      <alignment horizontal="center" vertical="center"/>
    </xf>
    <xf numFmtId="166" fontId="14" fillId="2" borderId="15" xfId="2" applyNumberFormat="1" applyFont="1" applyFill="1" applyBorder="1" applyAlignment="1">
      <alignment horizontal="center" vertical="center"/>
    </xf>
    <xf numFmtId="0" fontId="23" fillId="2" borderId="16" xfId="0" applyFont="1" applyFill="1" applyBorder="1"/>
    <xf numFmtId="0" fontId="0" fillId="2" borderId="16" xfId="0" applyFill="1" applyBorder="1"/>
    <xf numFmtId="166" fontId="0" fillId="2" borderId="16" xfId="0" applyNumberFormat="1" applyFill="1" applyBorder="1"/>
    <xf numFmtId="9" fontId="0" fillId="2" borderId="16" xfId="1" applyFont="1" applyFill="1" applyBorder="1"/>
    <xf numFmtId="0" fontId="23" fillId="2" borderId="0" xfId="0" applyFont="1" applyFill="1"/>
    <xf numFmtId="43" fontId="0" fillId="2" borderId="0" xfId="0" applyNumberFormat="1" applyFill="1"/>
    <xf numFmtId="0" fontId="23" fillId="0" borderId="0" xfId="0" applyFont="1"/>
    <xf numFmtId="165" fontId="24" fillId="4" borderId="1" xfId="2" applyNumberFormat="1" applyFont="1" applyFill="1" applyBorder="1" applyAlignment="1">
      <alignment vertical="center"/>
    </xf>
    <xf numFmtId="0" fontId="1" fillId="4" borderId="0" xfId="3" applyFill="1"/>
    <xf numFmtId="0" fontId="1" fillId="4" borderId="0" xfId="3" applyFill="1" applyAlignment="1">
      <alignment horizontal="center"/>
    </xf>
    <xf numFmtId="0" fontId="25" fillId="4" borderId="17" xfId="3" applyFont="1" applyFill="1" applyBorder="1" applyAlignment="1">
      <alignment horizontal="center" wrapText="1"/>
    </xf>
    <xf numFmtId="0" fontId="25" fillId="4" borderId="18" xfId="3" applyFont="1" applyFill="1" applyBorder="1" applyAlignment="1">
      <alignment horizontal="center" wrapText="1"/>
    </xf>
    <xf numFmtId="0" fontId="26" fillId="0" borderId="0" xfId="3" applyFont="1"/>
    <xf numFmtId="0" fontId="27" fillId="0" borderId="0" xfId="3" applyFont="1" applyAlignment="1">
      <alignment horizontal="center" wrapText="1"/>
    </xf>
    <xf numFmtId="0" fontId="1" fillId="0" borderId="0" xfId="3"/>
    <xf numFmtId="165" fontId="25" fillId="4" borderId="2" xfId="2" applyNumberFormat="1" applyFont="1" applyFill="1" applyBorder="1" applyAlignment="1">
      <alignment vertical="center"/>
    </xf>
    <xf numFmtId="169" fontId="1" fillId="4" borderId="0" xfId="3" applyNumberFormat="1" applyFill="1" applyAlignment="1">
      <alignment horizontal="center"/>
    </xf>
    <xf numFmtId="49" fontId="28" fillId="4" borderId="19" xfId="2" applyNumberFormat="1" applyFont="1" applyFill="1" applyBorder="1" applyAlignment="1">
      <alignment horizontal="center" vertical="center" wrapText="1"/>
    </xf>
    <xf numFmtId="0" fontId="25" fillId="4" borderId="0" xfId="3" applyFont="1" applyFill="1" applyAlignment="1">
      <alignment horizontal="center" wrapText="1"/>
    </xf>
    <xf numFmtId="0" fontId="25" fillId="4" borderId="20" xfId="3" applyFont="1" applyFill="1" applyBorder="1" applyAlignment="1">
      <alignment horizontal="center" wrapText="1"/>
    </xf>
    <xf numFmtId="0" fontId="27" fillId="0" borderId="21" xfId="3" applyFont="1" applyBorder="1" applyAlignment="1">
      <alignment horizontal="center" wrapText="1"/>
    </xf>
    <xf numFmtId="165" fontId="29" fillId="4" borderId="22" xfId="2" applyNumberFormat="1" applyFont="1" applyFill="1" applyBorder="1" applyAlignment="1">
      <alignment vertical="center"/>
    </xf>
    <xf numFmtId="49" fontId="28" fillId="4" borderId="22" xfId="2" applyNumberFormat="1" applyFont="1" applyFill="1" applyBorder="1" applyAlignment="1">
      <alignment horizontal="center" vertical="center"/>
    </xf>
    <xf numFmtId="49" fontId="28" fillId="4" borderId="22" xfId="2" applyNumberFormat="1" applyFont="1" applyFill="1" applyBorder="1" applyAlignment="1">
      <alignment horizontal="center" vertical="center" wrapText="1"/>
    </xf>
    <xf numFmtId="49" fontId="28" fillId="4" borderId="23" xfId="2" applyNumberFormat="1" applyFont="1" applyFill="1" applyBorder="1" applyAlignment="1">
      <alignment horizontal="center" vertical="center" wrapText="1"/>
    </xf>
    <xf numFmtId="0" fontId="28" fillId="4" borderId="24" xfId="3" applyFont="1" applyFill="1" applyBorder="1" applyAlignment="1">
      <alignment horizontal="center" vertical="center"/>
    </xf>
    <xf numFmtId="0" fontId="28" fillId="4" borderId="25" xfId="3" applyFont="1" applyFill="1" applyBorder="1" applyAlignment="1">
      <alignment horizontal="center" vertical="center"/>
    </xf>
    <xf numFmtId="0" fontId="25" fillId="4" borderId="26" xfId="3" applyFont="1" applyFill="1" applyBorder="1" applyAlignment="1">
      <alignment horizontal="center" vertical="center" wrapText="1"/>
    </xf>
    <xf numFmtId="0" fontId="25" fillId="4" borderId="19" xfId="3" applyFont="1" applyFill="1" applyBorder="1" applyAlignment="1">
      <alignment horizontal="center" vertical="center" wrapText="1"/>
    </xf>
    <xf numFmtId="0" fontId="25" fillId="4" borderId="27" xfId="3" applyFont="1" applyFill="1" applyBorder="1" applyAlignment="1">
      <alignment horizontal="center" vertical="center" wrapText="1"/>
    </xf>
    <xf numFmtId="0" fontId="27" fillId="0" borderId="0" xfId="3" applyFont="1" applyAlignment="1">
      <alignment horizontal="center" vertical="center" wrapText="1"/>
    </xf>
    <xf numFmtId="165" fontId="27" fillId="2" borderId="0" xfId="2" applyNumberFormat="1" applyFont="1" applyFill="1" applyAlignment="1">
      <alignment horizontal="left" vertical="center" indent="1"/>
    </xf>
    <xf numFmtId="166" fontId="30" fillId="2" borderId="0" xfId="2" applyNumberFormat="1" applyFont="1" applyFill="1" applyAlignment="1">
      <alignment vertical="center"/>
    </xf>
    <xf numFmtId="166" fontId="25" fillId="5" borderId="21" xfId="2" applyNumberFormat="1" applyFont="1" applyFill="1" applyBorder="1" applyAlignment="1">
      <alignment horizontal="center" vertical="center"/>
    </xf>
    <xf numFmtId="166" fontId="25" fillId="5" borderId="0" xfId="2" applyNumberFormat="1" applyFont="1" applyFill="1" applyBorder="1" applyAlignment="1">
      <alignment horizontal="center" vertical="center"/>
    </xf>
    <xf numFmtId="171" fontId="31" fillId="2" borderId="21" xfId="3" applyNumberFormat="1" applyFont="1" applyFill="1" applyBorder="1"/>
    <xf numFmtId="171" fontId="31" fillId="2" borderId="0" xfId="3" applyNumberFormat="1" applyFont="1" applyFill="1"/>
    <xf numFmtId="168" fontId="31" fillId="2" borderId="20" xfId="4" applyNumberFormat="1" applyFont="1" applyFill="1" applyBorder="1" applyAlignment="1">
      <alignment horizontal="center"/>
    </xf>
    <xf numFmtId="0" fontId="1" fillId="0" borderId="0" xfId="3">
      <extLst>
        <ext xmlns:xfpb="http://schemas.microsoft.com/office/spreadsheetml/2022/featurepropertybag" uri="{C7286773-470A-42A8-94C5-96B5CB345126}">
          <xfpb:xfComplement i="0"/>
        </ext>
      </extLst>
    </xf>
    <xf numFmtId="169" fontId="30" fillId="2" borderId="0" xfId="2" applyNumberFormat="1" applyFont="1" applyFill="1" applyAlignment="1">
      <alignment vertical="center"/>
    </xf>
    <xf numFmtId="169" fontId="25" fillId="5" borderId="21" xfId="2" applyNumberFormat="1" applyFont="1" applyFill="1" applyBorder="1" applyAlignment="1">
      <alignment vertical="center"/>
    </xf>
    <xf numFmtId="169" fontId="25" fillId="5" borderId="0" xfId="2" applyNumberFormat="1" applyFont="1" applyFill="1" applyBorder="1" applyAlignment="1">
      <alignment horizontal="center" vertical="center"/>
    </xf>
    <xf numFmtId="38" fontId="31" fillId="2" borderId="21" xfId="3" applyNumberFormat="1" applyFont="1" applyFill="1" applyBorder="1"/>
    <xf numFmtId="38" fontId="31" fillId="2" borderId="0" xfId="3" applyNumberFormat="1" applyFont="1" applyFill="1"/>
    <xf numFmtId="167" fontId="31" fillId="2" borderId="21" xfId="3" applyNumberFormat="1" applyFont="1" applyFill="1" applyBorder="1"/>
    <xf numFmtId="167" fontId="31" fillId="2" borderId="0" xfId="3" applyNumberFormat="1" applyFont="1" applyFill="1"/>
    <xf numFmtId="165" fontId="27" fillId="4" borderId="28" xfId="2" applyNumberFormat="1" applyFont="1" applyFill="1" applyBorder="1" applyAlignment="1">
      <alignment vertical="center"/>
    </xf>
    <xf numFmtId="0" fontId="32" fillId="4" borderId="28" xfId="3" applyFont="1" applyFill="1" applyBorder="1"/>
    <xf numFmtId="0" fontId="25" fillId="4" borderId="29" xfId="3" applyFont="1" applyFill="1" applyBorder="1" applyAlignment="1">
      <alignment horizontal="center"/>
    </xf>
    <xf numFmtId="0" fontId="25" fillId="4" borderId="28" xfId="3" applyFont="1" applyFill="1" applyBorder="1" applyAlignment="1">
      <alignment horizontal="center"/>
    </xf>
    <xf numFmtId="0" fontId="31" fillId="4" borderId="29" xfId="3" applyFont="1" applyFill="1" applyBorder="1"/>
    <xf numFmtId="0" fontId="31" fillId="4" borderId="28" xfId="3" applyFont="1" applyFill="1" applyBorder="1"/>
    <xf numFmtId="0" fontId="31" fillId="4" borderId="30" xfId="3" applyFont="1" applyFill="1" applyBorder="1" applyAlignment="1">
      <alignment horizontal="center"/>
    </xf>
    <xf numFmtId="0" fontId="2" fillId="0" borderId="0" xfId="3" applyFont="1"/>
    <xf numFmtId="165" fontId="27" fillId="2" borderId="0" xfId="2" applyNumberFormat="1" applyFont="1" applyFill="1" applyBorder="1" applyAlignment="1">
      <alignment horizontal="left" vertical="center" indent="1"/>
    </xf>
    <xf numFmtId="169" fontId="25" fillId="5" borderId="21" xfId="2" applyNumberFormat="1" applyFont="1" applyFill="1" applyBorder="1" applyAlignment="1">
      <alignment horizontal="center" vertical="center"/>
    </xf>
    <xf numFmtId="166" fontId="30" fillId="2" borderId="0" xfId="2" applyNumberFormat="1" applyFont="1" applyFill="1" applyBorder="1" applyAlignment="1">
      <alignment vertical="center"/>
    </xf>
    <xf numFmtId="0" fontId="31" fillId="2" borderId="0" xfId="3" applyFont="1" applyFill="1"/>
    <xf numFmtId="2" fontId="31" fillId="2" borderId="0" xfId="3" applyNumberFormat="1" applyFont="1" applyFill="1"/>
    <xf numFmtId="2" fontId="25" fillId="5" borderId="21" xfId="3" applyNumberFormat="1" applyFont="1" applyFill="1" applyBorder="1"/>
    <xf numFmtId="166" fontId="30" fillId="4" borderId="28" xfId="2" applyNumberFormat="1" applyFont="1" applyFill="1" applyBorder="1" applyAlignment="1">
      <alignment vertical="center"/>
    </xf>
    <xf numFmtId="166" fontId="25" fillId="4" borderId="29" xfId="2" applyNumberFormat="1" applyFont="1" applyFill="1" applyBorder="1" applyAlignment="1">
      <alignment horizontal="center" vertical="center"/>
    </xf>
    <xf numFmtId="166" fontId="25" fillId="4" borderId="28" xfId="2" applyNumberFormat="1" applyFont="1" applyFill="1" applyBorder="1" applyAlignment="1">
      <alignment horizontal="center" vertical="center"/>
    </xf>
    <xf numFmtId="167" fontId="31" fillId="4" borderId="29" xfId="3" applyNumberFormat="1" applyFont="1" applyFill="1" applyBorder="1"/>
    <xf numFmtId="167" fontId="31" fillId="4" borderId="28" xfId="3" applyNumberFormat="1" applyFont="1" applyFill="1" applyBorder="1"/>
    <xf numFmtId="167" fontId="31" fillId="4" borderId="30" xfId="3" applyNumberFormat="1" applyFont="1" applyFill="1" applyBorder="1"/>
    <xf numFmtId="166" fontId="30" fillId="4" borderId="22" xfId="2" applyNumberFormat="1" applyFont="1" applyFill="1" applyBorder="1" applyAlignment="1">
      <alignment horizontal="center" vertical="center"/>
    </xf>
    <xf numFmtId="0" fontId="31" fillId="4" borderId="22" xfId="3" applyFont="1" applyFill="1" applyBorder="1"/>
    <xf numFmtId="0" fontId="25" fillId="4" borderId="31" xfId="3" applyFont="1" applyFill="1" applyBorder="1"/>
    <xf numFmtId="0" fontId="25" fillId="4" borderId="22" xfId="3" applyFont="1" applyFill="1" applyBorder="1"/>
    <xf numFmtId="0" fontId="31" fillId="4" borderId="31" xfId="3" applyFont="1" applyFill="1" applyBorder="1"/>
    <xf numFmtId="0" fontId="31" fillId="4" borderId="23" xfId="3" applyFont="1" applyFill="1" applyBorder="1" applyAlignment="1">
      <alignment horizontal="center"/>
    </xf>
    <xf numFmtId="0" fontId="32" fillId="4" borderId="22" xfId="3" applyFont="1" applyFill="1" applyBorder="1"/>
    <xf numFmtId="0" fontId="32" fillId="4" borderId="31" xfId="3" applyFont="1" applyFill="1" applyBorder="1"/>
    <xf numFmtId="0" fontId="32" fillId="4" borderId="23" xfId="3" applyFont="1" applyFill="1" applyBorder="1" applyAlignment="1">
      <alignment horizontal="center"/>
    </xf>
    <xf numFmtId="166" fontId="31" fillId="2" borderId="0" xfId="3" applyNumberFormat="1" applyFont="1" applyFill="1"/>
    <xf numFmtId="166" fontId="25" fillId="5" borderId="21" xfId="3" applyNumberFormat="1" applyFont="1" applyFill="1" applyBorder="1"/>
    <xf numFmtId="166" fontId="25" fillId="5" borderId="0" xfId="3" applyNumberFormat="1" applyFont="1" applyFill="1"/>
    <xf numFmtId="169" fontId="25" fillId="5" borderId="0" xfId="2" applyNumberFormat="1" applyFont="1" applyFill="1" applyBorder="1" applyAlignment="1">
      <alignment vertical="center"/>
    </xf>
    <xf numFmtId="165" fontId="24" fillId="4" borderId="22" xfId="2" applyNumberFormat="1" applyFont="1" applyFill="1" applyBorder="1" applyAlignment="1">
      <alignment vertical="center"/>
    </xf>
    <xf numFmtId="0" fontId="25" fillId="4" borderId="31" xfId="3" applyFont="1" applyFill="1" applyBorder="1" applyAlignment="1">
      <alignment horizontal="center"/>
    </xf>
    <xf numFmtId="0" fontId="25" fillId="4" borderId="22" xfId="3" applyFont="1" applyFill="1" applyBorder="1" applyAlignment="1">
      <alignment horizontal="center"/>
    </xf>
    <xf numFmtId="166" fontId="25" fillId="5" borderId="32" xfId="2" applyNumberFormat="1" applyFont="1" applyFill="1" applyBorder="1" applyAlignment="1">
      <alignment horizontal="center" vertical="center"/>
    </xf>
    <xf numFmtId="169" fontId="1" fillId="0" borderId="0" xfId="3" applyNumberFormat="1"/>
    <xf numFmtId="166" fontId="25" fillId="5" borderId="33" xfId="2" applyNumberFormat="1" applyFont="1" applyFill="1" applyBorder="1" applyAlignment="1">
      <alignment horizontal="center" vertical="center"/>
    </xf>
    <xf numFmtId="38" fontId="1" fillId="0" borderId="0" xfId="3" applyNumberFormat="1"/>
    <xf numFmtId="0" fontId="28" fillId="2" borderId="34" xfId="3" applyFont="1" applyFill="1" applyBorder="1"/>
    <xf numFmtId="0" fontId="1" fillId="2" borderId="34" xfId="3" applyFill="1" applyBorder="1"/>
    <xf numFmtId="0" fontId="1" fillId="0" borderId="34" xfId="3" applyBorder="1"/>
    <xf numFmtId="0" fontId="23" fillId="0" borderId="0" xfId="3" applyFont="1"/>
    <xf numFmtId="40" fontId="6" fillId="0" borderId="0" xfId="3" applyNumberFormat="1" applyFont="1"/>
  </cellXfs>
  <cellStyles count="5">
    <cellStyle name="Comma 2" xfId="2" xr:uid="{26681582-CCC3-47CA-B22F-52512B251DD6}"/>
    <cellStyle name="Normal" xfId="0" builtinId="0"/>
    <cellStyle name="Normal 2" xfId="3" xr:uid="{DEF90A0B-2C04-4BB2-A15A-F8848516CDA0}"/>
    <cellStyle name="Percent" xfId="1" builtinId="5"/>
    <cellStyle name="Percent 2" xfId="4" xr:uid="{69158280-9095-4059-80D2-0DDCEE5D41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CornBR.xlsx" TargetMode="External"/><Relationship Id="rId1" Type="http://schemas.openxmlformats.org/officeDocument/2006/relationships/externalLinkPath" Target="/Users/torem/Dropbox/RLC%20Documents/Models/Feed%20Grains/CornB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n 1"/>
      <sheetName val="Corn 2"/>
      <sheetName val="Corn 3"/>
      <sheetName val="Corn Total"/>
      <sheetName val="Brazil_corn_bal"/>
      <sheetName val="Corn Ethanol Producers"/>
    </sheetNames>
    <sheetDataSet>
      <sheetData sheetId="0">
        <row r="4">
          <cell r="AX4">
            <v>335.7</v>
          </cell>
        </row>
        <row r="6">
          <cell r="AX6">
            <v>1381.6000000000001</v>
          </cell>
          <cell r="AY6">
            <v>1411.9</v>
          </cell>
        </row>
        <row r="12">
          <cell r="AX12">
            <v>16.100000000000001</v>
          </cell>
        </row>
        <row r="14">
          <cell r="AX14">
            <v>57</v>
          </cell>
          <cell r="AY14">
            <v>52.5</v>
          </cell>
        </row>
        <row r="16">
          <cell r="AX16">
            <v>29.7</v>
          </cell>
        </row>
        <row r="18">
          <cell r="AX18">
            <v>88.3</v>
          </cell>
          <cell r="AY18">
            <v>97.8</v>
          </cell>
        </row>
        <row r="20">
          <cell r="AX20">
            <v>8.3000000000000007</v>
          </cell>
          <cell r="AY20">
            <v>8.3000000000000007</v>
          </cell>
        </row>
        <row r="22">
          <cell r="AX22">
            <v>24.9</v>
          </cell>
          <cell r="AY22">
            <v>25.2</v>
          </cell>
        </row>
        <row r="28">
          <cell r="AX28">
            <v>222.9</v>
          </cell>
          <cell r="AY28">
            <v>233.8</v>
          </cell>
        </row>
        <row r="30">
          <cell r="AX30">
            <v>804.7</v>
          </cell>
          <cell r="AY30">
            <v>786.7</v>
          </cell>
        </row>
        <row r="32">
          <cell r="AX32">
            <v>58.7</v>
          </cell>
          <cell r="AY32">
            <v>68.3</v>
          </cell>
        </row>
        <row r="34">
          <cell r="AX34">
            <v>406.7</v>
          </cell>
          <cell r="AY34">
            <v>449.7</v>
          </cell>
        </row>
        <row r="36">
          <cell r="AX36">
            <v>1015.3000000000001</v>
          </cell>
        </row>
        <row r="38">
          <cell r="AX38">
            <v>4142.2</v>
          </cell>
          <cell r="AY38">
            <v>4663.1000000000004</v>
          </cell>
        </row>
        <row r="40">
          <cell r="AX40">
            <v>298.10000000000002</v>
          </cell>
        </row>
        <row r="42">
          <cell r="AX42">
            <v>1528.7</v>
          </cell>
          <cell r="AY42">
            <v>1568.4</v>
          </cell>
        </row>
        <row r="44">
          <cell r="AX44">
            <v>365.1</v>
          </cell>
        </row>
        <row r="46">
          <cell r="AX46">
            <v>1332.2</v>
          </cell>
          <cell r="AY46">
            <v>1454.8</v>
          </cell>
        </row>
        <row r="72">
          <cell r="AX72">
            <v>352.1</v>
          </cell>
        </row>
        <row r="74">
          <cell r="AX74">
            <v>1281.3</v>
          </cell>
          <cell r="AY74">
            <v>1639.9</v>
          </cell>
        </row>
        <row r="76">
          <cell r="AX76">
            <v>247.4</v>
          </cell>
          <cell r="AY76">
            <v>252.8</v>
          </cell>
        </row>
        <row r="78">
          <cell r="AX78">
            <v>2422.3000000000002</v>
          </cell>
          <cell r="AY78">
            <v>2382.1</v>
          </cell>
        </row>
        <row r="80">
          <cell r="AX80">
            <v>72.7</v>
          </cell>
          <cell r="AY80">
            <v>77.099999999999994</v>
          </cell>
        </row>
        <row r="82">
          <cell r="AX82">
            <v>610.70000000000005</v>
          </cell>
          <cell r="AY82">
            <v>643.20000000000005</v>
          </cell>
        </row>
        <row r="84">
          <cell r="AX84">
            <v>10.199999999999999</v>
          </cell>
          <cell r="AY84">
            <v>11.2</v>
          </cell>
        </row>
        <row r="86">
          <cell r="AX86">
            <v>115.4</v>
          </cell>
          <cell r="AY86">
            <v>112.3</v>
          </cell>
        </row>
        <row r="88">
          <cell r="AX88">
            <v>149</v>
          </cell>
          <cell r="AY88">
            <v>149</v>
          </cell>
        </row>
        <row r="90">
          <cell r="AX90">
            <v>1549.2</v>
          </cell>
          <cell r="AY90">
            <v>1481.4</v>
          </cell>
        </row>
        <row r="92">
          <cell r="AX92">
            <v>15.5</v>
          </cell>
          <cell r="AY92">
            <v>15.5</v>
          </cell>
        </row>
        <row r="94">
          <cell r="AX94">
            <v>147</v>
          </cell>
          <cell r="AY94">
            <v>145.19999999999999</v>
          </cell>
        </row>
        <row r="96">
          <cell r="AX96">
            <v>899.8</v>
          </cell>
          <cell r="AY96">
            <v>944.89999999999986</v>
          </cell>
        </row>
        <row r="98">
          <cell r="AX98">
            <v>5499.7</v>
          </cell>
          <cell r="AY98">
            <v>6046.5</v>
          </cell>
        </row>
        <row r="100">
          <cell r="AX100">
            <v>619</v>
          </cell>
          <cell r="AY100">
            <v>650.6</v>
          </cell>
        </row>
        <row r="102">
          <cell r="AX102">
            <v>3847.7</v>
          </cell>
          <cell r="AY102">
            <v>4184</v>
          </cell>
        </row>
        <row r="104">
          <cell r="AX104">
            <v>13.6</v>
          </cell>
          <cell r="AY104">
            <v>13.8</v>
          </cell>
        </row>
        <row r="106">
          <cell r="AX106">
            <v>48.1</v>
          </cell>
          <cell r="AY106">
            <v>45.3</v>
          </cell>
        </row>
        <row r="108">
          <cell r="AX108">
            <v>1.5</v>
          </cell>
          <cell r="AY108">
            <v>1.8</v>
          </cell>
        </row>
        <row r="110">
          <cell r="AX110">
            <v>7</v>
          </cell>
        </row>
        <row r="112">
          <cell r="AX112">
            <v>265.7</v>
          </cell>
          <cell r="AY112">
            <v>278.7</v>
          </cell>
        </row>
        <row r="114">
          <cell r="AX114">
            <v>1596.9</v>
          </cell>
        </row>
        <row r="116">
          <cell r="AX116">
            <v>1274.4000000000001</v>
          </cell>
          <cell r="AY116">
            <v>1462.8000000000002</v>
          </cell>
        </row>
        <row r="118">
          <cell r="AX118">
            <v>11490</v>
          </cell>
          <cell r="AY118">
            <v>11363.3</v>
          </cell>
        </row>
        <row r="120">
          <cell r="AX120">
            <v>270.8</v>
          </cell>
          <cell r="AY120">
            <v>337.7</v>
          </cell>
        </row>
        <row r="122">
          <cell r="AX122">
            <v>2947.9</v>
          </cell>
          <cell r="AY122">
            <v>3339.2</v>
          </cell>
        </row>
        <row r="124">
          <cell r="AX124">
            <v>288.10000000000002</v>
          </cell>
          <cell r="AY124">
            <v>308</v>
          </cell>
        </row>
        <row r="126">
          <cell r="AX126">
            <v>3111.5</v>
          </cell>
          <cell r="AY126">
            <v>2597.6999999999998</v>
          </cell>
        </row>
        <row r="128">
          <cell r="AX128">
            <v>715.5</v>
          </cell>
          <cell r="AY128">
            <v>817.1</v>
          </cell>
        </row>
        <row r="130">
          <cell r="AX130">
            <v>5430.6</v>
          </cell>
          <cell r="AY130">
            <v>5426.4</v>
          </cell>
        </row>
        <row r="133">
          <cell r="AX133">
            <v>3772.6</v>
          </cell>
          <cell r="AY133">
            <v>4039.1</v>
          </cell>
        </row>
        <row r="135">
          <cell r="AX135">
            <v>24935.8</v>
          </cell>
          <cell r="AY135">
            <v>25866.9</v>
          </cell>
        </row>
      </sheetData>
      <sheetData sheetId="1">
        <row r="4">
          <cell r="AX4">
            <v>1192.0999999999999</v>
          </cell>
        </row>
        <row r="6">
          <cell r="AX6">
            <v>6202</v>
          </cell>
          <cell r="AY6">
            <v>6132.5</v>
          </cell>
        </row>
        <row r="12">
          <cell r="AX12">
            <v>477.2</v>
          </cell>
        </row>
        <row r="14">
          <cell r="AX14">
            <v>2544.4</v>
          </cell>
          <cell r="AY14">
            <v>2502.8000000000002</v>
          </cell>
        </row>
        <row r="16">
          <cell r="AX16">
            <v>11.3</v>
          </cell>
        </row>
        <row r="18">
          <cell r="AX18">
            <v>51.4</v>
          </cell>
          <cell r="AY18">
            <v>49.3</v>
          </cell>
        </row>
        <row r="28">
          <cell r="AX28">
            <v>289.3</v>
          </cell>
          <cell r="AY28">
            <v>337.6</v>
          </cell>
        </row>
        <row r="30">
          <cell r="AX30">
            <v>1349.9</v>
          </cell>
          <cell r="AY30">
            <v>1263.5999999999999</v>
          </cell>
        </row>
        <row r="32">
          <cell r="AX32">
            <v>414.3</v>
          </cell>
          <cell r="AY32">
            <v>445.8</v>
          </cell>
        </row>
        <row r="34">
          <cell r="AX34">
            <v>2256.3000000000002</v>
          </cell>
          <cell r="AY34">
            <v>2316.8000000000002</v>
          </cell>
        </row>
        <row r="36">
          <cell r="AX36">
            <v>1353.2000000000003</v>
          </cell>
        </row>
        <row r="38">
          <cell r="AX38">
            <v>3162.1</v>
          </cell>
          <cell r="AY38">
            <v>3120.6</v>
          </cell>
        </row>
        <row r="40">
          <cell r="AX40">
            <v>299</v>
          </cell>
        </row>
        <row r="42">
          <cell r="AX42">
            <v>1883.7</v>
          </cell>
          <cell r="AY42">
            <v>1553.7</v>
          </cell>
        </row>
        <row r="44">
          <cell r="AX44">
            <v>103.8</v>
          </cell>
        </row>
        <row r="46">
          <cell r="AX46">
            <v>588.29999999999995</v>
          </cell>
          <cell r="AY46">
            <v>663.8</v>
          </cell>
        </row>
        <row r="48">
          <cell r="AX48">
            <v>588.6</v>
          </cell>
        </row>
        <row r="50">
          <cell r="AX50">
            <v>318.39999999999998</v>
          </cell>
          <cell r="AY50">
            <v>497.1</v>
          </cell>
        </row>
        <row r="52">
          <cell r="AX52">
            <v>64.2</v>
          </cell>
        </row>
        <row r="54">
          <cell r="AX54">
            <v>20.6</v>
          </cell>
          <cell r="AY54">
            <v>31.9</v>
          </cell>
        </row>
        <row r="56">
          <cell r="AX56">
            <v>117.2</v>
          </cell>
        </row>
        <row r="58">
          <cell r="AX58">
            <v>52.6</v>
          </cell>
          <cell r="AY58">
            <v>75.599999999999994</v>
          </cell>
        </row>
        <row r="60">
          <cell r="AX60">
            <v>130.4</v>
          </cell>
        </row>
        <row r="62">
          <cell r="AX62">
            <v>103.5</v>
          </cell>
          <cell r="AY62">
            <v>103.5</v>
          </cell>
        </row>
        <row r="72">
          <cell r="AX72">
            <v>50</v>
          </cell>
        </row>
        <row r="74">
          <cell r="AX74">
            <v>195</v>
          </cell>
          <cell r="AY74">
            <v>195</v>
          </cell>
        </row>
        <row r="76">
          <cell r="AX76">
            <v>11146.900000000001</v>
          </cell>
          <cell r="AY76">
            <v>11625.800000000001</v>
          </cell>
        </row>
        <row r="78">
          <cell r="AX78">
            <v>81097.600000000006</v>
          </cell>
          <cell r="AY78">
            <v>79039.700000000012</v>
          </cell>
        </row>
        <row r="80">
          <cell r="AX80">
            <v>7214.7</v>
          </cell>
          <cell r="AY80">
            <v>7488.9</v>
          </cell>
        </row>
        <row r="82">
          <cell r="AX82">
            <v>54925.5</v>
          </cell>
          <cell r="AY82">
            <v>53575.6</v>
          </cell>
        </row>
        <row r="84">
          <cell r="AX84">
            <v>2071.4</v>
          </cell>
          <cell r="AY84">
            <v>2183.3000000000002</v>
          </cell>
        </row>
        <row r="86">
          <cell r="AX86">
            <v>13186.5</v>
          </cell>
          <cell r="AY86">
            <v>12471</v>
          </cell>
        </row>
        <row r="88">
          <cell r="AX88">
            <v>1820.1</v>
          </cell>
          <cell r="AY88">
            <v>1912.9</v>
          </cell>
        </row>
        <row r="90">
          <cell r="AX90">
            <v>12717</v>
          </cell>
          <cell r="AY90">
            <v>12732.3</v>
          </cell>
        </row>
        <row r="92">
          <cell r="AX92">
            <v>40.700000000000003</v>
          </cell>
          <cell r="AY92">
            <v>40.700000000000003</v>
          </cell>
        </row>
        <row r="94">
          <cell r="AX94">
            <v>268.60000000000002</v>
          </cell>
          <cell r="AY94">
            <v>260.8</v>
          </cell>
        </row>
        <row r="96">
          <cell r="AX96">
            <v>946.8</v>
          </cell>
          <cell r="AY96">
            <v>987.7</v>
          </cell>
        </row>
        <row r="98">
          <cell r="AX98">
            <v>5560.1</v>
          </cell>
          <cell r="AY98">
            <v>5348.7</v>
          </cell>
        </row>
        <row r="100">
          <cell r="AX100">
            <v>464.7</v>
          </cell>
          <cell r="AY100">
            <v>490.7</v>
          </cell>
        </row>
        <row r="102">
          <cell r="AX102">
            <v>2743.6</v>
          </cell>
          <cell r="AY102">
            <v>2730.7</v>
          </cell>
        </row>
        <row r="104">
          <cell r="AX104">
            <v>3</v>
          </cell>
          <cell r="AY104">
            <v>3</v>
          </cell>
        </row>
        <row r="106">
          <cell r="AX106">
            <v>13.8</v>
          </cell>
          <cell r="AY106">
            <v>13.6</v>
          </cell>
        </row>
        <row r="112">
          <cell r="AX112">
            <v>479.1</v>
          </cell>
          <cell r="AY112">
            <v>494</v>
          </cell>
        </row>
        <row r="114">
          <cell r="AX114">
            <v>2802.7</v>
          </cell>
        </row>
        <row r="116">
          <cell r="AX116">
            <v>2788.9</v>
          </cell>
          <cell r="AY116">
            <v>2827.9</v>
          </cell>
        </row>
        <row r="118">
          <cell r="AX118">
            <v>17249.3</v>
          </cell>
          <cell r="AY118">
            <v>16817.5</v>
          </cell>
        </row>
        <row r="120">
          <cell r="AX120">
            <v>2788.9</v>
          </cell>
          <cell r="AY120">
            <v>2827.9</v>
          </cell>
        </row>
        <row r="122">
          <cell r="AX122">
            <v>17249.3</v>
          </cell>
          <cell r="AY122">
            <v>16817.5</v>
          </cell>
        </row>
        <row r="133">
          <cell r="AX133">
            <v>17427.900000000001</v>
          </cell>
          <cell r="AY133">
            <v>18090.3</v>
          </cell>
        </row>
        <row r="135">
          <cell r="AX135">
            <v>113271.1</v>
          </cell>
          <cell r="AY135">
            <v>110459.00000000001</v>
          </cell>
        </row>
      </sheetData>
      <sheetData sheetId="2">
        <row r="4">
          <cell r="AX4">
            <v>22</v>
          </cell>
        </row>
        <row r="6">
          <cell r="AX6">
            <v>121.9</v>
          </cell>
          <cell r="AY6">
            <v>122</v>
          </cell>
        </row>
        <row r="8">
          <cell r="AX8">
            <v>20</v>
          </cell>
          <cell r="AY8">
            <v>20</v>
          </cell>
        </row>
        <row r="10">
          <cell r="AX10">
            <v>120</v>
          </cell>
          <cell r="AY10">
            <v>120</v>
          </cell>
        </row>
        <row r="24">
          <cell r="AX24">
            <v>2</v>
          </cell>
        </row>
        <row r="26">
          <cell r="AX26">
            <v>1.9</v>
          </cell>
          <cell r="AY26">
            <v>2</v>
          </cell>
        </row>
        <row r="36">
          <cell r="AX36">
            <v>617.4</v>
          </cell>
        </row>
        <row r="38">
          <cell r="AX38">
            <v>2766.2</v>
          </cell>
          <cell r="AY38">
            <v>2388.9</v>
          </cell>
        </row>
        <row r="60">
          <cell r="AX60">
            <v>65.8</v>
          </cell>
        </row>
        <row r="62">
          <cell r="AX62">
            <v>122.2</v>
          </cell>
          <cell r="AY62">
            <v>122.2</v>
          </cell>
        </row>
        <row r="64">
          <cell r="AX64">
            <v>31.2</v>
          </cell>
        </row>
        <row r="66">
          <cell r="AX66">
            <v>177.9</v>
          </cell>
          <cell r="AY66">
            <v>102</v>
          </cell>
        </row>
        <row r="68">
          <cell r="AX68">
            <v>190.4</v>
          </cell>
        </row>
        <row r="70">
          <cell r="AX70">
            <v>1139.5</v>
          </cell>
          <cell r="AY70">
            <v>1134.4000000000001</v>
          </cell>
        </row>
        <row r="72">
          <cell r="AX72">
            <v>330</v>
          </cell>
        </row>
        <row r="74">
          <cell r="AX74">
            <v>1326.6</v>
          </cell>
          <cell r="AY74">
            <v>1030.3</v>
          </cell>
        </row>
        <row r="133">
          <cell r="AX133">
            <v>639.4</v>
          </cell>
          <cell r="AY133">
            <v>592.09999999999991</v>
          </cell>
        </row>
        <row r="135">
          <cell r="AX135">
            <v>2888.1</v>
          </cell>
          <cell r="AY135">
            <v>2510.9</v>
          </cell>
        </row>
      </sheetData>
      <sheetData sheetId="3"/>
      <sheetData sheetId="4"/>
      <sheetData sheetId="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AB67-37F3-4DE7-BE29-E26FD53AA5D6}">
  <dimension ref="A1:BV1000"/>
  <sheetViews>
    <sheetView zoomScale="71" zoomScaleNormal="49" workbookViewId="0">
      <pane xSplit="1" ySplit="3" topLeftCell="B118" activePane="bottomRight" state="frozen"/>
      <selection pane="topRight" activeCell="B1" sqref="B1"/>
      <selection pane="bottomLeft" activeCell="A4" sqref="A4"/>
      <selection pane="bottomRight" activeCell="AZ135" sqref="AZ135"/>
    </sheetView>
  </sheetViews>
  <sheetFormatPr defaultColWidth="8.85546875" defaultRowHeight="15" customHeight="1" x14ac:dyDescent="0.25"/>
  <cols>
    <col min="1" max="1" width="34.42578125" style="82" bestFit="1" customWidth="1"/>
    <col min="2" max="32" width="12.85546875" hidden="1" customWidth="1"/>
    <col min="33" max="45" width="13" hidden="1" customWidth="1"/>
    <col min="46" max="48" width="13" bestFit="1" customWidth="1"/>
    <col min="49" max="50" width="12.85546875" customWidth="1"/>
    <col min="51" max="53" width="13.42578125" customWidth="1"/>
    <col min="55" max="55" width="12.28515625" bestFit="1" customWidth="1"/>
    <col min="56" max="56" width="10.140625" customWidth="1"/>
    <col min="57" max="57" width="11" bestFit="1" customWidth="1"/>
    <col min="58" max="70" width="0" hidden="1" customWidth="1"/>
    <col min="72" max="72" width="9" style="4" bestFit="1" customWidth="1"/>
    <col min="73" max="73" width="14.7109375" bestFit="1" customWidth="1"/>
  </cols>
  <sheetData>
    <row r="1" spans="1:72" ht="26.1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C1" s="3" t="s">
        <v>1</v>
      </c>
      <c r="BD1" s="3" t="s">
        <v>2</v>
      </c>
      <c r="BE1" s="3" t="s">
        <v>3</v>
      </c>
    </row>
    <row r="2" spans="1:72" ht="16.5" customHeight="1" thickBot="1" x14ac:dyDescent="0.3">
      <c r="A2" s="5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6" t="s">
        <v>5</v>
      </c>
      <c r="AZ2" s="7"/>
      <c r="BA2" s="8"/>
      <c r="BC2" s="3"/>
      <c r="BD2" s="3"/>
      <c r="BE2" s="3"/>
    </row>
    <row r="3" spans="1:72" ht="21.75" thickBot="1" x14ac:dyDescent="0.3">
      <c r="A3" s="9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0" t="s">
        <v>17</v>
      </c>
      <c r="M3" s="10" t="s">
        <v>18</v>
      </c>
      <c r="N3" s="10" t="s">
        <v>19</v>
      </c>
      <c r="O3" s="10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0" t="s">
        <v>25</v>
      </c>
      <c r="U3" s="10" t="s">
        <v>26</v>
      </c>
      <c r="V3" s="10" t="s">
        <v>27</v>
      </c>
      <c r="W3" s="10" t="s">
        <v>28</v>
      </c>
      <c r="X3" s="10" t="s">
        <v>29</v>
      </c>
      <c r="Y3" s="10" t="s">
        <v>30</v>
      </c>
      <c r="Z3" s="10" t="s">
        <v>31</v>
      </c>
      <c r="AA3" s="10" t="s">
        <v>32</v>
      </c>
      <c r="AB3" s="10" t="s">
        <v>33</v>
      </c>
      <c r="AC3" s="10" t="s">
        <v>34</v>
      </c>
      <c r="AD3" s="10" t="s">
        <v>35</v>
      </c>
      <c r="AE3" s="11" t="s">
        <v>36</v>
      </c>
      <c r="AF3" s="11" t="s">
        <v>37</v>
      </c>
      <c r="AG3" s="11" t="s">
        <v>38</v>
      </c>
      <c r="AH3" s="11" t="s">
        <v>39</v>
      </c>
      <c r="AI3" s="11" t="s">
        <v>40</v>
      </c>
      <c r="AJ3" s="11" t="s">
        <v>41</v>
      </c>
      <c r="AK3" s="11" t="s">
        <v>42</v>
      </c>
      <c r="AL3" s="11" t="s">
        <v>43</v>
      </c>
      <c r="AM3" s="11" t="s">
        <v>44</v>
      </c>
      <c r="AN3" s="11" t="s">
        <v>45</v>
      </c>
      <c r="AO3" s="11" t="s">
        <v>46</v>
      </c>
      <c r="AP3" s="11" t="s">
        <v>47</v>
      </c>
      <c r="AQ3" s="11" t="s">
        <v>48</v>
      </c>
      <c r="AR3" s="11" t="s">
        <v>49</v>
      </c>
      <c r="AS3" s="11" t="s">
        <v>50</v>
      </c>
      <c r="AT3" s="11" t="s">
        <v>51</v>
      </c>
      <c r="AU3" s="11" t="s">
        <v>52</v>
      </c>
      <c r="AV3" s="11" t="s">
        <v>53</v>
      </c>
      <c r="AW3" s="11" t="s">
        <v>54</v>
      </c>
      <c r="AX3" s="11" t="s">
        <v>55</v>
      </c>
      <c r="AY3" s="12" t="s">
        <v>56</v>
      </c>
      <c r="AZ3" s="13" t="s">
        <v>57</v>
      </c>
      <c r="BA3" s="14" t="s">
        <v>58</v>
      </c>
      <c r="BC3" s="3"/>
      <c r="BD3" s="3"/>
      <c r="BE3" s="3"/>
    </row>
    <row r="4" spans="1:72" ht="15.75" x14ac:dyDescent="0.25">
      <c r="A4" s="15" t="s">
        <v>59</v>
      </c>
      <c r="B4" s="16">
        <v>117.1</v>
      </c>
      <c r="C4" s="16">
        <v>128.19999999999999</v>
      </c>
      <c r="D4" s="16">
        <v>108.8</v>
      </c>
      <c r="E4" s="16">
        <v>178.7</v>
      </c>
      <c r="F4" s="16">
        <v>192.3</v>
      </c>
      <c r="G4" s="16">
        <v>235.7</v>
      </c>
      <c r="H4" s="16">
        <v>175.7</v>
      </c>
      <c r="I4" s="16">
        <v>254.9</v>
      </c>
      <c r="J4" s="16">
        <v>236.5</v>
      </c>
      <c r="K4" s="16">
        <v>283.3</v>
      </c>
      <c r="L4" s="16">
        <v>318.89999999999998</v>
      </c>
      <c r="M4" s="16">
        <v>500.9</v>
      </c>
      <c r="N4" s="16">
        <v>520.70000000000005</v>
      </c>
      <c r="O4" s="16">
        <v>394.8</v>
      </c>
      <c r="P4" s="16">
        <v>425.4</v>
      </c>
      <c r="Q4" s="16">
        <v>439.2</v>
      </c>
      <c r="R4" s="16">
        <v>459.5</v>
      </c>
      <c r="S4" s="16">
        <v>513.5</v>
      </c>
      <c r="T4" s="16">
        <v>619.29999999999995</v>
      </c>
      <c r="U4" s="16">
        <v>595.6</v>
      </c>
      <c r="V4" s="16">
        <v>564</v>
      </c>
      <c r="W4" s="16">
        <v>607</v>
      </c>
      <c r="X4" s="16">
        <v>666</v>
      </c>
      <c r="Y4" s="16">
        <v>667.5</v>
      </c>
      <c r="Z4" s="16">
        <v>558.6</v>
      </c>
      <c r="AA4" s="16">
        <v>491.3</v>
      </c>
      <c r="AB4" s="16">
        <v>517.70000000000005</v>
      </c>
      <c r="AC4" s="16">
        <v>563.6</v>
      </c>
      <c r="AD4" s="16">
        <v>567.29999999999995</v>
      </c>
      <c r="AE4" s="16">
        <v>556.6</v>
      </c>
      <c r="AF4" s="16">
        <v>564.5</v>
      </c>
      <c r="AG4" s="16">
        <v>572.29999999999995</v>
      </c>
      <c r="AH4" s="16">
        <v>521.4</v>
      </c>
      <c r="AI4" s="16">
        <v>514</v>
      </c>
      <c r="AJ4" s="16">
        <v>521.70000000000005</v>
      </c>
      <c r="AK4" s="16">
        <v>569.5</v>
      </c>
      <c r="AL4" s="16">
        <v>528.29999999999995</v>
      </c>
      <c r="AM4" s="16">
        <v>551.20000000000005</v>
      </c>
      <c r="AN4" s="16">
        <v>667.3</v>
      </c>
      <c r="AO4" s="16">
        <v>573.20000000000005</v>
      </c>
      <c r="AP4" s="16">
        <v>713</v>
      </c>
      <c r="AQ4" s="16">
        <v>676.5</v>
      </c>
      <c r="AR4" s="16">
        <v>739.3</v>
      </c>
      <c r="AS4" s="16">
        <v>804.8</v>
      </c>
      <c r="AT4" s="16">
        <v>895.6</v>
      </c>
      <c r="AU4" s="16">
        <v>1089.5999999999999</v>
      </c>
      <c r="AV4" s="16">
        <v>1229.9000000000001</v>
      </c>
      <c r="AW4" s="16">
        <v>1279.5</v>
      </c>
      <c r="AX4" s="16">
        <f>'[1]Corn 3'!AX4+'[1]Corn 2'!AX4+'[1]Corn 1'!AX4</f>
        <v>1549.8</v>
      </c>
      <c r="AY4" s="17">
        <v>1531</v>
      </c>
      <c r="AZ4" s="18">
        <f>AZ8+AZ12+AZ16+AZ20+AZ24+AZ28+AZ32</f>
        <v>2514.8999999999996</v>
      </c>
      <c r="BA4" s="19">
        <f>AZ4-AY4</f>
        <v>983.89999999999964</v>
      </c>
      <c r="BC4" s="20">
        <f>AY4-AV4</f>
        <v>301.09999999999991</v>
      </c>
      <c r="BD4" s="20">
        <f>AZ4-AV4</f>
        <v>1284.9999999999995</v>
      </c>
      <c r="BE4" s="21">
        <f>BA4/AY4</f>
        <v>0.64265186152841258</v>
      </c>
    </row>
    <row r="5" spans="1:72" ht="15.75" x14ac:dyDescent="0.25">
      <c r="A5" s="15" t="s">
        <v>60</v>
      </c>
      <c r="B5" s="22">
        <v>1010</v>
      </c>
      <c r="C5" s="22">
        <v>1078</v>
      </c>
      <c r="D5" s="22">
        <v>1156</v>
      </c>
      <c r="E5" s="22">
        <v>1254</v>
      </c>
      <c r="F5" s="22">
        <v>1113</v>
      </c>
      <c r="G5" s="22">
        <v>1344</v>
      </c>
      <c r="H5" s="22">
        <v>1169</v>
      </c>
      <c r="I5" s="22">
        <v>1286</v>
      </c>
      <c r="J5" s="22">
        <v>1312</v>
      </c>
      <c r="K5" s="22">
        <v>1347</v>
      </c>
      <c r="L5" s="22">
        <v>1310</v>
      </c>
      <c r="M5" s="22">
        <v>1382</v>
      </c>
      <c r="N5" s="22">
        <v>1442</v>
      </c>
      <c r="O5" s="22">
        <v>1321</v>
      </c>
      <c r="P5" s="22">
        <v>1466</v>
      </c>
      <c r="Q5" s="22">
        <v>1462</v>
      </c>
      <c r="R5" s="22">
        <v>1512</v>
      </c>
      <c r="S5" s="22">
        <v>1576</v>
      </c>
      <c r="T5" s="22">
        <v>1569</v>
      </c>
      <c r="U5" s="22">
        <v>1618</v>
      </c>
      <c r="V5" s="22">
        <v>1632</v>
      </c>
      <c r="W5" s="22">
        <v>1569</v>
      </c>
      <c r="X5" s="22">
        <v>1595</v>
      </c>
      <c r="Y5" s="22">
        <v>1574</v>
      </c>
      <c r="Z5" s="22">
        <v>1640</v>
      </c>
      <c r="AA5" s="22">
        <v>1740</v>
      </c>
      <c r="AB5" s="22">
        <v>1891</v>
      </c>
      <c r="AC5" s="22">
        <v>1920</v>
      </c>
      <c r="AD5" s="22">
        <v>1953</v>
      </c>
      <c r="AE5" s="22">
        <v>2029</v>
      </c>
      <c r="AF5" s="22">
        <v>2202</v>
      </c>
      <c r="AG5" s="22">
        <v>2399</v>
      </c>
      <c r="AH5" s="22">
        <v>2393</v>
      </c>
      <c r="AI5" s="22">
        <v>2503</v>
      </c>
      <c r="AJ5" s="22">
        <v>2713</v>
      </c>
      <c r="AK5" s="22">
        <v>2902</v>
      </c>
      <c r="AL5" s="22">
        <v>3166</v>
      </c>
      <c r="AM5" s="22">
        <v>3304</v>
      </c>
      <c r="AN5" s="22">
        <v>3838</v>
      </c>
      <c r="AO5" s="22">
        <v>3431</v>
      </c>
      <c r="AP5" s="22">
        <v>3790</v>
      </c>
      <c r="AQ5" s="22">
        <v>3617</v>
      </c>
      <c r="AR5" s="22">
        <v>4161</v>
      </c>
      <c r="AS5" s="22">
        <v>4372</v>
      </c>
      <c r="AT5" s="22">
        <v>3927</v>
      </c>
      <c r="AU5" s="22">
        <v>4277</v>
      </c>
      <c r="AV5" s="22">
        <v>4332</v>
      </c>
      <c r="AW5" s="22">
        <v>4524.5087924970694</v>
      </c>
      <c r="AX5" s="23">
        <v>4971.8918570138085</v>
      </c>
      <c r="AY5" s="24">
        <v>4655.6485091394916</v>
      </c>
      <c r="AZ5" s="18">
        <f>AZ6/AZ4*1000</f>
        <v>4691.5302397709656</v>
      </c>
      <c r="BA5" s="19">
        <f>AZ5-AY5</f>
        <v>35.881730631474056</v>
      </c>
      <c r="BC5" s="25">
        <f>AY5-AV5</f>
        <v>323.64850913949158</v>
      </c>
      <c r="BD5" s="25">
        <f>AZ5-AV5</f>
        <v>359.53023977096564</v>
      </c>
      <c r="BE5" s="21">
        <v>0</v>
      </c>
      <c r="BT5" s="4">
        <f>AZ5/1000</f>
        <v>4.6915302397709659</v>
      </c>
    </row>
    <row r="6" spans="1:72" ht="15.75" x14ac:dyDescent="0.25">
      <c r="A6" s="15" t="s">
        <v>61</v>
      </c>
      <c r="B6" s="16">
        <v>118</v>
      </c>
      <c r="C6" s="16">
        <v>138</v>
      </c>
      <c r="D6" s="16">
        <v>126</v>
      </c>
      <c r="E6" s="16">
        <v>224</v>
      </c>
      <c r="F6" s="16">
        <v>214</v>
      </c>
      <c r="G6" s="16">
        <v>317</v>
      </c>
      <c r="H6" s="16">
        <v>205</v>
      </c>
      <c r="I6" s="16">
        <v>328</v>
      </c>
      <c r="J6" s="16">
        <v>310</v>
      </c>
      <c r="K6" s="16">
        <v>381</v>
      </c>
      <c r="L6" s="16">
        <v>418</v>
      </c>
      <c r="M6" s="16">
        <v>692</v>
      </c>
      <c r="N6" s="16">
        <v>751</v>
      </c>
      <c r="O6" s="16">
        <v>521.5</v>
      </c>
      <c r="P6" s="16">
        <v>623.79999999999995</v>
      </c>
      <c r="Q6" s="16">
        <v>641.9</v>
      </c>
      <c r="R6" s="16">
        <v>694.9</v>
      </c>
      <c r="S6" s="16">
        <v>809.3</v>
      </c>
      <c r="T6" s="16">
        <v>971.8</v>
      </c>
      <c r="U6" s="16">
        <v>963.5</v>
      </c>
      <c r="V6" s="16">
        <v>920.4</v>
      </c>
      <c r="W6" s="16">
        <v>952.5</v>
      </c>
      <c r="X6" s="16">
        <v>1062.0999999999999</v>
      </c>
      <c r="Y6" s="16">
        <v>1050.8</v>
      </c>
      <c r="Z6" s="16">
        <v>916.2</v>
      </c>
      <c r="AA6" s="16">
        <v>855.1</v>
      </c>
      <c r="AB6" s="16">
        <v>979.2</v>
      </c>
      <c r="AC6" s="16">
        <v>1089.7</v>
      </c>
      <c r="AD6" s="16">
        <v>1107.8</v>
      </c>
      <c r="AE6" s="16">
        <v>1129.2</v>
      </c>
      <c r="AF6" s="16">
        <v>1243</v>
      </c>
      <c r="AG6" s="16">
        <v>1372.8</v>
      </c>
      <c r="AH6" s="16">
        <v>1247.5</v>
      </c>
      <c r="AI6" s="16">
        <v>1286.5</v>
      </c>
      <c r="AJ6" s="16">
        <v>1415.5</v>
      </c>
      <c r="AK6" s="16">
        <v>1652.4</v>
      </c>
      <c r="AL6" s="16">
        <v>1672.3</v>
      </c>
      <c r="AM6" s="16">
        <v>1821.2</v>
      </c>
      <c r="AN6" s="16">
        <v>2561</v>
      </c>
      <c r="AO6" s="16">
        <v>1966.8</v>
      </c>
      <c r="AP6" s="16">
        <v>2702.1</v>
      </c>
      <c r="AQ6" s="16">
        <v>2446.6</v>
      </c>
      <c r="AR6" s="16">
        <v>3076.3</v>
      </c>
      <c r="AS6" s="16">
        <v>3518.7</v>
      </c>
      <c r="AT6" s="16">
        <v>3516.7</v>
      </c>
      <c r="AU6" s="16">
        <v>4660.5</v>
      </c>
      <c r="AV6" s="16">
        <v>5327.3</v>
      </c>
      <c r="AW6" s="16">
        <v>5789</v>
      </c>
      <c r="AX6" s="16">
        <f>'[1]Corn 3'!AX6+'[1]Corn 2'!AX6+'[1]Corn 1'!AX6</f>
        <v>7705.5</v>
      </c>
      <c r="AY6" s="17">
        <f>'[1]Corn 3'!AY6+'[1]Corn 2'!AY6+'[1]Corn 1'!AY6</f>
        <v>7666.4</v>
      </c>
      <c r="AZ6" s="18">
        <f>AZ10+AZ14+AZ18+AZ22+AZ26+AZ30+AZ34</f>
        <v>11798.7294</v>
      </c>
      <c r="BA6" s="19">
        <f>AZ6-AY6</f>
        <v>4132.3294000000005</v>
      </c>
      <c r="BC6" s="20">
        <f>AY6-AV6</f>
        <v>2339.0999999999995</v>
      </c>
      <c r="BD6" s="20">
        <f>AZ6-AV6</f>
        <v>6471.4294</v>
      </c>
      <c r="BE6" s="21">
        <f>BA6/AY6</f>
        <v>0.53901823541688421</v>
      </c>
      <c r="BT6" s="4">
        <f>AZ6*1000</f>
        <v>11798729.4</v>
      </c>
    </row>
    <row r="7" spans="1:72" s="32" customFormat="1" ht="15.75" x14ac:dyDescent="0.25">
      <c r="A7" s="26" t="s">
        <v>62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8"/>
      <c r="AY7" s="29"/>
      <c r="AZ7" s="30"/>
      <c r="BA7" s="31"/>
      <c r="BC7" s="2"/>
      <c r="BD7" s="2"/>
      <c r="BE7" s="33"/>
      <c r="BT7" s="4"/>
    </row>
    <row r="8" spans="1:72" ht="15.75" x14ac:dyDescent="0.25">
      <c r="A8" s="34" t="s">
        <v>59</v>
      </c>
      <c r="B8" s="16">
        <v>4.8</v>
      </c>
      <c r="C8" s="16">
        <v>3.2</v>
      </c>
      <c r="D8" s="16">
        <v>3.2</v>
      </c>
      <c r="E8" s="16">
        <v>6</v>
      </c>
      <c r="F8" s="16">
        <v>16</v>
      </c>
      <c r="G8" s="16">
        <v>4.5999999999999996</v>
      </c>
      <c r="H8" s="16">
        <v>7</v>
      </c>
      <c r="I8" s="16">
        <v>5</v>
      </c>
      <c r="J8" s="16">
        <v>6.7</v>
      </c>
      <c r="K8" s="16">
        <v>6.7</v>
      </c>
      <c r="L8" s="16">
        <v>9.4</v>
      </c>
      <c r="M8" s="16">
        <v>3.3</v>
      </c>
      <c r="N8" s="16">
        <v>5.0999999999999996</v>
      </c>
      <c r="O8" s="16">
        <v>3.2</v>
      </c>
      <c r="P8" s="16">
        <v>3.2</v>
      </c>
      <c r="Q8" s="16">
        <v>5</v>
      </c>
      <c r="R8" s="16">
        <v>5</v>
      </c>
      <c r="S8" s="16">
        <v>5</v>
      </c>
      <c r="T8" s="16">
        <v>12.8</v>
      </c>
      <c r="U8" s="16">
        <v>12.8</v>
      </c>
      <c r="V8" s="16">
        <v>12.8</v>
      </c>
      <c r="W8" s="16">
        <v>13.5</v>
      </c>
      <c r="X8" s="16">
        <v>15</v>
      </c>
      <c r="Y8" s="16">
        <v>15</v>
      </c>
      <c r="Z8" s="16">
        <v>11</v>
      </c>
      <c r="AA8" s="16">
        <v>9.5</v>
      </c>
      <c r="AB8" s="16">
        <v>8.9</v>
      </c>
      <c r="AC8" s="16">
        <v>17.3</v>
      </c>
      <c r="AD8" s="16">
        <v>13</v>
      </c>
      <c r="AE8" s="16">
        <v>12.2</v>
      </c>
      <c r="AF8" s="16">
        <v>12.2</v>
      </c>
      <c r="AG8" s="16">
        <v>6.4</v>
      </c>
      <c r="AH8" s="16">
        <v>6.5</v>
      </c>
      <c r="AI8" s="16">
        <v>6.5</v>
      </c>
      <c r="AJ8" s="16">
        <v>6.5</v>
      </c>
      <c r="AK8" s="16">
        <v>6.5</v>
      </c>
      <c r="AL8" s="16">
        <v>6.5</v>
      </c>
      <c r="AM8" s="16">
        <v>6.2</v>
      </c>
      <c r="AN8" s="16">
        <v>6.2</v>
      </c>
      <c r="AO8" s="16">
        <v>4.5999999999999996</v>
      </c>
      <c r="AP8" s="16">
        <v>7.6</v>
      </c>
      <c r="AQ8" s="16">
        <v>9.6</v>
      </c>
      <c r="AR8" s="16">
        <v>13</v>
      </c>
      <c r="AS8" s="16">
        <v>15</v>
      </c>
      <c r="AT8" s="16">
        <v>15</v>
      </c>
      <c r="AU8" s="16">
        <v>15</v>
      </c>
      <c r="AV8" s="16">
        <v>9</v>
      </c>
      <c r="AW8" s="16">
        <v>9</v>
      </c>
      <c r="AX8" s="16">
        <f>'[1]Corn 3'!AX8+'[1]Corn 2'!AX8+'[1]Corn 1'!AX8</f>
        <v>20</v>
      </c>
      <c r="AY8" s="17">
        <f>'[1]Corn 3'!AY8+'[1]Corn 2'!AY8+'[1]Corn 1'!AY8</f>
        <v>20</v>
      </c>
      <c r="AZ8" s="35">
        <v>20</v>
      </c>
      <c r="BA8" s="19">
        <f>AZ8-AY8</f>
        <v>0</v>
      </c>
      <c r="BC8" s="20">
        <f>AY8-AV8</f>
        <v>11</v>
      </c>
      <c r="BD8" s="20">
        <f>AZ8-AV8</f>
        <v>11</v>
      </c>
      <c r="BE8" s="21">
        <f>BA8/AY8</f>
        <v>0</v>
      </c>
    </row>
    <row r="9" spans="1:72" ht="15.75" x14ac:dyDescent="0.25">
      <c r="A9" s="34" t="s">
        <v>60</v>
      </c>
      <c r="B9" s="22">
        <v>1021</v>
      </c>
      <c r="C9" s="22">
        <v>938</v>
      </c>
      <c r="D9" s="22">
        <v>938</v>
      </c>
      <c r="E9" s="22">
        <v>950</v>
      </c>
      <c r="F9" s="22">
        <v>938</v>
      </c>
      <c r="G9" s="22">
        <v>913</v>
      </c>
      <c r="H9" s="22">
        <v>443</v>
      </c>
      <c r="I9" s="22">
        <v>820</v>
      </c>
      <c r="J9" s="22">
        <v>836</v>
      </c>
      <c r="K9" s="22">
        <v>836</v>
      </c>
      <c r="L9" s="22">
        <v>628</v>
      </c>
      <c r="M9" s="22">
        <v>606</v>
      </c>
      <c r="N9" s="22">
        <v>1039</v>
      </c>
      <c r="O9" s="22">
        <v>969</v>
      </c>
      <c r="P9" s="22">
        <v>969</v>
      </c>
      <c r="Q9" s="22">
        <v>1000</v>
      </c>
      <c r="R9" s="22">
        <v>1000</v>
      </c>
      <c r="S9" s="22">
        <v>1000</v>
      </c>
      <c r="T9" s="22">
        <v>1203</v>
      </c>
      <c r="U9" s="22">
        <v>1203</v>
      </c>
      <c r="V9" s="22">
        <v>1203</v>
      </c>
      <c r="W9" s="22">
        <v>1200</v>
      </c>
      <c r="X9" s="22">
        <v>1300</v>
      </c>
      <c r="Y9" s="22">
        <v>1300</v>
      </c>
      <c r="Z9" s="22">
        <v>1500</v>
      </c>
      <c r="AA9" s="22">
        <v>3600</v>
      </c>
      <c r="AB9" s="22">
        <v>4798</v>
      </c>
      <c r="AC9" s="22">
        <v>2503</v>
      </c>
      <c r="AD9" s="22">
        <v>2000</v>
      </c>
      <c r="AE9" s="22">
        <v>2000</v>
      </c>
      <c r="AF9" s="22">
        <v>2000</v>
      </c>
      <c r="AG9" s="22">
        <v>2000</v>
      </c>
      <c r="AH9" s="22">
        <v>1969</v>
      </c>
      <c r="AI9" s="22">
        <v>1969</v>
      </c>
      <c r="AJ9" s="22">
        <v>2000</v>
      </c>
      <c r="AK9" s="22">
        <v>2000</v>
      </c>
      <c r="AL9" s="22">
        <v>2000</v>
      </c>
      <c r="AM9" s="22">
        <v>923</v>
      </c>
      <c r="AN9" s="22">
        <v>2483</v>
      </c>
      <c r="AO9" s="22">
        <v>3036</v>
      </c>
      <c r="AP9" s="22">
        <v>6000</v>
      </c>
      <c r="AQ9" s="22">
        <v>4857</v>
      </c>
      <c r="AR9" s="22">
        <v>6000</v>
      </c>
      <c r="AS9" s="22">
        <v>6000</v>
      </c>
      <c r="AT9" s="22">
        <v>6000</v>
      </c>
      <c r="AU9" s="22">
        <v>6000</v>
      </c>
      <c r="AV9" s="22">
        <v>6720</v>
      </c>
      <c r="AW9" s="22">
        <v>6000</v>
      </c>
      <c r="AX9" s="16">
        <v>6000</v>
      </c>
      <c r="AY9" s="24">
        <v>6000</v>
      </c>
      <c r="AZ9" s="35">
        <v>6000</v>
      </c>
      <c r="BA9" s="19">
        <f>AZ9-AY9</f>
        <v>0</v>
      </c>
      <c r="BC9" s="25">
        <f>AY9-AV9</f>
        <v>-720</v>
      </c>
      <c r="BD9" s="25">
        <f>AZ9-AV9</f>
        <v>-720</v>
      </c>
      <c r="BE9" s="21">
        <v>0</v>
      </c>
      <c r="BT9" s="4">
        <f>AZ9/1000</f>
        <v>6</v>
      </c>
    </row>
    <row r="10" spans="1:72" s="32" customFormat="1" ht="15.75" x14ac:dyDescent="0.25">
      <c r="A10" s="34" t="s">
        <v>61</v>
      </c>
      <c r="B10" s="36">
        <v>5</v>
      </c>
      <c r="C10" s="36">
        <v>3</v>
      </c>
      <c r="D10" s="36">
        <v>3</v>
      </c>
      <c r="E10" s="36">
        <v>6</v>
      </c>
      <c r="F10" s="36">
        <v>15</v>
      </c>
      <c r="G10" s="36">
        <v>4</v>
      </c>
      <c r="H10" s="36">
        <v>3</v>
      </c>
      <c r="I10" s="36">
        <v>4</v>
      </c>
      <c r="J10" s="36">
        <v>6</v>
      </c>
      <c r="K10" s="36">
        <v>6</v>
      </c>
      <c r="L10" s="36">
        <v>6</v>
      </c>
      <c r="M10" s="36">
        <v>2</v>
      </c>
      <c r="N10" s="36">
        <v>5</v>
      </c>
      <c r="O10" s="36">
        <v>3</v>
      </c>
      <c r="P10" s="36">
        <v>3.1</v>
      </c>
      <c r="Q10" s="36">
        <v>5</v>
      </c>
      <c r="R10" s="36">
        <v>5</v>
      </c>
      <c r="S10" s="36">
        <v>5</v>
      </c>
      <c r="T10" s="36">
        <v>15.4</v>
      </c>
      <c r="U10" s="36">
        <v>15.4</v>
      </c>
      <c r="V10" s="36">
        <v>15.4</v>
      </c>
      <c r="W10" s="36">
        <v>16.2</v>
      </c>
      <c r="X10" s="36">
        <v>19.5</v>
      </c>
      <c r="Y10" s="36">
        <v>19.5</v>
      </c>
      <c r="Z10" s="36">
        <v>16.5</v>
      </c>
      <c r="AA10" s="36">
        <v>34.200000000000003</v>
      </c>
      <c r="AB10" s="36">
        <v>42.7</v>
      </c>
      <c r="AC10" s="36">
        <v>43.3</v>
      </c>
      <c r="AD10" s="36">
        <v>26</v>
      </c>
      <c r="AE10" s="36">
        <v>24.4</v>
      </c>
      <c r="AF10" s="36">
        <v>24.4</v>
      </c>
      <c r="AG10" s="36">
        <v>12.8</v>
      </c>
      <c r="AH10" s="36">
        <v>12.8</v>
      </c>
      <c r="AI10" s="36">
        <v>12.8</v>
      </c>
      <c r="AJ10" s="36">
        <v>13</v>
      </c>
      <c r="AK10" s="36">
        <v>13</v>
      </c>
      <c r="AL10" s="36">
        <v>13</v>
      </c>
      <c r="AM10" s="36">
        <v>5.7</v>
      </c>
      <c r="AN10" s="36">
        <v>15.4</v>
      </c>
      <c r="AO10" s="36">
        <v>14</v>
      </c>
      <c r="AP10" s="36">
        <v>45.6</v>
      </c>
      <c r="AQ10" s="36">
        <v>46.6</v>
      </c>
      <c r="AR10" s="36">
        <v>78</v>
      </c>
      <c r="AS10" s="36">
        <v>90</v>
      </c>
      <c r="AT10" s="36">
        <v>90</v>
      </c>
      <c r="AU10" s="36">
        <v>90</v>
      </c>
      <c r="AV10" s="36">
        <v>60.5</v>
      </c>
      <c r="AW10" s="36">
        <v>54</v>
      </c>
      <c r="AX10" s="16">
        <f>'[1]Corn 3'!AX10+'[1]Corn 2'!AX10+'[1]Corn 1'!AX10</f>
        <v>120</v>
      </c>
      <c r="AY10" s="17">
        <f>'[1]Corn 3'!AY10+'[1]Corn 2'!AY10+'[1]Corn 1'!AY10</f>
        <v>120</v>
      </c>
      <c r="AZ10" s="35">
        <f>AZ8*AZ9/1000</f>
        <v>120</v>
      </c>
      <c r="BA10" s="19">
        <f>AZ10-AY10</f>
        <v>0</v>
      </c>
      <c r="BB10"/>
      <c r="BC10" s="20">
        <f>AY10-AV10</f>
        <v>59.5</v>
      </c>
      <c r="BD10" s="20">
        <f>AZ10-AV10</f>
        <v>59.5</v>
      </c>
      <c r="BE10" s="21">
        <f>BA10/AY10</f>
        <v>0</v>
      </c>
      <c r="BT10" s="4">
        <f>AZ10*1000</f>
        <v>120000</v>
      </c>
    </row>
    <row r="11" spans="1:72" ht="15.75" x14ac:dyDescent="0.25">
      <c r="A11" s="26" t="s">
        <v>63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28"/>
      <c r="AY11" s="38"/>
      <c r="AZ11" s="39"/>
      <c r="BA11" s="40"/>
      <c r="BC11" s="2"/>
      <c r="BD11" s="2"/>
      <c r="BE11" s="33"/>
    </row>
    <row r="12" spans="1:72" ht="15.75" x14ac:dyDescent="0.25">
      <c r="A12" s="34" t="s">
        <v>59</v>
      </c>
      <c r="B12" s="36">
        <v>22.7</v>
      </c>
      <c r="C12" s="36">
        <v>35.299999999999997</v>
      </c>
      <c r="D12" s="36">
        <v>35.799999999999997</v>
      </c>
      <c r="E12" s="36">
        <v>63</v>
      </c>
      <c r="F12" s="36">
        <v>70</v>
      </c>
      <c r="G12" s="36">
        <v>81</v>
      </c>
      <c r="H12" s="36">
        <v>66.7</v>
      </c>
      <c r="I12" s="36">
        <v>113</v>
      </c>
      <c r="J12" s="36">
        <v>91</v>
      </c>
      <c r="K12" s="36">
        <v>105.6</v>
      </c>
      <c r="L12" s="36">
        <v>107.3</v>
      </c>
      <c r="M12" s="36">
        <v>122.2</v>
      </c>
      <c r="N12" s="36">
        <v>130</v>
      </c>
      <c r="O12" s="36">
        <v>117</v>
      </c>
      <c r="P12" s="36">
        <v>117</v>
      </c>
      <c r="Q12" s="36">
        <v>146.69999999999999</v>
      </c>
      <c r="R12" s="36">
        <v>154</v>
      </c>
      <c r="S12" s="36">
        <v>196</v>
      </c>
      <c r="T12" s="36">
        <v>201.9</v>
      </c>
      <c r="U12" s="36">
        <v>208</v>
      </c>
      <c r="V12" s="36">
        <v>203.4</v>
      </c>
      <c r="W12" s="36">
        <v>144.4</v>
      </c>
      <c r="X12" s="36">
        <v>140.1</v>
      </c>
      <c r="Y12" s="16">
        <v>128.19999999999999</v>
      </c>
      <c r="Z12" s="36">
        <v>125</v>
      </c>
      <c r="AA12" s="36">
        <v>98</v>
      </c>
      <c r="AB12" s="36">
        <v>100</v>
      </c>
      <c r="AC12" s="36">
        <v>131.5</v>
      </c>
      <c r="AD12" s="36">
        <v>137.30000000000001</v>
      </c>
      <c r="AE12" s="36">
        <v>142.30000000000001</v>
      </c>
      <c r="AF12" s="36">
        <v>137.4</v>
      </c>
      <c r="AG12" s="36">
        <v>160.30000000000001</v>
      </c>
      <c r="AH12" s="16">
        <v>145.6</v>
      </c>
      <c r="AI12" s="16">
        <v>166.6</v>
      </c>
      <c r="AJ12" s="16">
        <v>149.69999999999999</v>
      </c>
      <c r="AK12" s="16">
        <v>162.30000000000001</v>
      </c>
      <c r="AL12" s="16">
        <v>166.2</v>
      </c>
      <c r="AM12" s="16">
        <v>149.30000000000001</v>
      </c>
      <c r="AN12" s="16">
        <v>165.5</v>
      </c>
      <c r="AO12" s="16">
        <v>158.1</v>
      </c>
      <c r="AP12" s="16">
        <v>197.1</v>
      </c>
      <c r="AQ12" s="16">
        <v>178.2</v>
      </c>
      <c r="AR12" s="16">
        <v>190.1</v>
      </c>
      <c r="AS12" s="16">
        <v>197.9</v>
      </c>
      <c r="AT12" s="16">
        <v>212.6</v>
      </c>
      <c r="AU12" s="16">
        <v>254.5</v>
      </c>
      <c r="AV12" s="16">
        <v>303.39999999999998</v>
      </c>
      <c r="AW12" s="16">
        <v>333.9</v>
      </c>
      <c r="AX12" s="16">
        <f>'[1]Corn 3'!AX12+'[1]Corn 2'!AX12+'[1]Corn 1'!AX12</f>
        <v>493.3</v>
      </c>
      <c r="AY12" s="17">
        <v>493.3</v>
      </c>
      <c r="AZ12" s="35">
        <v>493.3</v>
      </c>
      <c r="BA12" s="19">
        <f>AZ12-AY12</f>
        <v>0</v>
      </c>
      <c r="BC12" s="20">
        <f>AY12-AV12</f>
        <v>189.90000000000003</v>
      </c>
      <c r="BD12" s="20">
        <f>AZ12-AV12</f>
        <v>189.90000000000003</v>
      </c>
      <c r="BE12" s="21">
        <f>BA12/AY12</f>
        <v>0</v>
      </c>
    </row>
    <row r="13" spans="1:72" ht="15.75" x14ac:dyDescent="0.25">
      <c r="A13" s="34" t="s">
        <v>60</v>
      </c>
      <c r="B13" s="22">
        <v>1502</v>
      </c>
      <c r="C13" s="22">
        <v>1527</v>
      </c>
      <c r="D13" s="22">
        <v>1486</v>
      </c>
      <c r="E13" s="22">
        <v>1711</v>
      </c>
      <c r="F13" s="22">
        <v>1600</v>
      </c>
      <c r="G13" s="22">
        <v>1684</v>
      </c>
      <c r="H13" s="22">
        <v>1460</v>
      </c>
      <c r="I13" s="22">
        <v>1450</v>
      </c>
      <c r="J13" s="22">
        <v>1600</v>
      </c>
      <c r="K13" s="22">
        <v>1800</v>
      </c>
      <c r="L13" s="22">
        <v>1670</v>
      </c>
      <c r="M13" s="22">
        <v>1670</v>
      </c>
      <c r="N13" s="22">
        <v>1670</v>
      </c>
      <c r="O13" s="22">
        <v>1750</v>
      </c>
      <c r="P13" s="22">
        <v>1750</v>
      </c>
      <c r="Q13" s="22">
        <v>1800</v>
      </c>
      <c r="R13" s="22">
        <v>1940</v>
      </c>
      <c r="S13" s="22">
        <v>1980</v>
      </c>
      <c r="T13" s="22">
        <v>1890</v>
      </c>
      <c r="U13" s="22">
        <v>1859</v>
      </c>
      <c r="V13" s="22">
        <v>1900</v>
      </c>
      <c r="W13" s="22">
        <v>1830</v>
      </c>
      <c r="X13" s="22">
        <v>1550</v>
      </c>
      <c r="Y13" s="22">
        <v>1750</v>
      </c>
      <c r="Z13" s="22">
        <v>1650</v>
      </c>
      <c r="AA13" s="22">
        <v>1820</v>
      </c>
      <c r="AB13" s="22">
        <v>1840</v>
      </c>
      <c r="AC13" s="22">
        <v>2058</v>
      </c>
      <c r="AD13" s="22">
        <v>1950</v>
      </c>
      <c r="AE13" s="22">
        <v>2011</v>
      </c>
      <c r="AF13" s="22">
        <v>2201</v>
      </c>
      <c r="AG13" s="22">
        <v>2395</v>
      </c>
      <c r="AH13" s="22">
        <v>2248</v>
      </c>
      <c r="AI13" s="22">
        <v>2246</v>
      </c>
      <c r="AJ13" s="22">
        <v>2344</v>
      </c>
      <c r="AK13" s="22">
        <v>2796</v>
      </c>
      <c r="AL13" s="22">
        <v>3018</v>
      </c>
      <c r="AM13" s="22">
        <v>3051</v>
      </c>
      <c r="AN13" s="22">
        <v>3935</v>
      </c>
      <c r="AO13" s="22">
        <v>4135</v>
      </c>
      <c r="AP13" s="22">
        <v>4033</v>
      </c>
      <c r="AQ13" s="22">
        <v>4166</v>
      </c>
      <c r="AR13" s="22">
        <v>4883</v>
      </c>
      <c r="AS13" s="22">
        <v>5074</v>
      </c>
      <c r="AT13" s="22">
        <v>5076</v>
      </c>
      <c r="AU13" s="22">
        <v>5206</v>
      </c>
      <c r="AV13" s="22">
        <v>5183</v>
      </c>
      <c r="AW13" s="22">
        <v>5124.0128781072181</v>
      </c>
      <c r="AX13" s="16">
        <v>5273.4486113926614</v>
      </c>
      <c r="AY13" s="24">
        <v>5230.9303991811657</v>
      </c>
      <c r="AZ13" s="35">
        <v>5230</v>
      </c>
      <c r="BA13" s="19">
        <f>AZ13-AY13</f>
        <v>-0.93039918116573972</v>
      </c>
      <c r="BC13" s="25">
        <f>AY13-AV13</f>
        <v>47.93039918116574</v>
      </c>
      <c r="BD13" s="25">
        <f>AZ13-AV13</f>
        <v>47</v>
      </c>
      <c r="BE13" s="21">
        <v>0</v>
      </c>
      <c r="BT13" s="4">
        <f>AZ13/1000</f>
        <v>5.23</v>
      </c>
    </row>
    <row r="14" spans="1:72" s="32" customFormat="1" ht="15.75" x14ac:dyDescent="0.25">
      <c r="A14" s="34" t="s">
        <v>61</v>
      </c>
      <c r="B14" s="36">
        <v>34</v>
      </c>
      <c r="C14" s="36">
        <v>54</v>
      </c>
      <c r="D14" s="36">
        <v>53</v>
      </c>
      <c r="E14" s="36">
        <v>108</v>
      </c>
      <c r="F14" s="36">
        <v>112</v>
      </c>
      <c r="G14" s="36">
        <v>136</v>
      </c>
      <c r="H14" s="36">
        <v>97</v>
      </c>
      <c r="I14" s="36">
        <v>164</v>
      </c>
      <c r="J14" s="36">
        <v>146</v>
      </c>
      <c r="K14" s="36">
        <v>190</v>
      </c>
      <c r="L14" s="36">
        <v>179</v>
      </c>
      <c r="M14" s="36">
        <v>204</v>
      </c>
      <c r="N14" s="36">
        <v>217</v>
      </c>
      <c r="O14" s="36">
        <v>205</v>
      </c>
      <c r="P14" s="36">
        <v>204.8</v>
      </c>
      <c r="Q14" s="36">
        <v>264.10000000000002</v>
      </c>
      <c r="R14" s="36">
        <v>298.8</v>
      </c>
      <c r="S14" s="36">
        <v>388.1</v>
      </c>
      <c r="T14" s="36">
        <v>381.6</v>
      </c>
      <c r="U14" s="36">
        <v>386.7</v>
      </c>
      <c r="V14" s="36">
        <v>386.5</v>
      </c>
      <c r="W14" s="36">
        <v>264.3</v>
      </c>
      <c r="X14" s="36">
        <v>217.2</v>
      </c>
      <c r="Y14" s="36">
        <v>224.4</v>
      </c>
      <c r="Z14" s="36">
        <v>206.3</v>
      </c>
      <c r="AA14" s="36">
        <v>178.4</v>
      </c>
      <c r="AB14" s="36">
        <v>184</v>
      </c>
      <c r="AC14" s="36">
        <v>275.39999999999998</v>
      </c>
      <c r="AD14" s="36">
        <v>267.8</v>
      </c>
      <c r="AE14" s="36">
        <v>286.2</v>
      </c>
      <c r="AF14" s="36">
        <v>302.39999999999998</v>
      </c>
      <c r="AG14" s="36">
        <v>383.9</v>
      </c>
      <c r="AH14" s="36">
        <v>327.39999999999998</v>
      </c>
      <c r="AI14" s="36">
        <v>374.2</v>
      </c>
      <c r="AJ14" s="36">
        <v>350.9</v>
      </c>
      <c r="AK14" s="36">
        <v>453.7</v>
      </c>
      <c r="AL14" s="36">
        <v>501.6</v>
      </c>
      <c r="AM14" s="36">
        <v>455.5</v>
      </c>
      <c r="AN14" s="36">
        <v>651.29999999999995</v>
      </c>
      <c r="AO14" s="36">
        <v>653.79999999999995</v>
      </c>
      <c r="AP14" s="36">
        <v>795</v>
      </c>
      <c r="AQ14" s="36">
        <v>742.4</v>
      </c>
      <c r="AR14" s="36">
        <v>928.2</v>
      </c>
      <c r="AS14" s="36">
        <v>1004.1</v>
      </c>
      <c r="AT14" s="36">
        <v>1079.0999999999999</v>
      </c>
      <c r="AU14" s="36">
        <v>1324.9</v>
      </c>
      <c r="AV14" s="36">
        <v>1572.4</v>
      </c>
      <c r="AW14" s="36">
        <v>1710.9</v>
      </c>
      <c r="AX14" s="16">
        <f>'[1]Corn 3'!AX14+'[1]Corn 2'!AX14+'[1]Corn 1'!AX14</f>
        <v>2601.4</v>
      </c>
      <c r="AY14" s="17">
        <f>'[1]Corn 3'!AY14+'[1]Corn 2'!AY14+'[1]Corn 1'!AY14</f>
        <v>2555.3000000000002</v>
      </c>
      <c r="AZ14" s="35">
        <f>AZ12*AZ13/1000</f>
        <v>2579.9589999999998</v>
      </c>
      <c r="BA14" s="19">
        <f>AZ14-AY14</f>
        <v>24.658999999999651</v>
      </c>
      <c r="BB14"/>
      <c r="BC14" s="20">
        <f>AY14-AV14</f>
        <v>982.90000000000009</v>
      </c>
      <c r="BD14" s="20">
        <f>AZ14-AV14</f>
        <v>1007.5589999999997</v>
      </c>
      <c r="BE14" s="21">
        <f>BA14/AY14</f>
        <v>9.650138926936034E-3</v>
      </c>
      <c r="BT14" s="4">
        <f>AZ14*1000</f>
        <v>2579959</v>
      </c>
    </row>
    <row r="15" spans="1:72" ht="15.75" x14ac:dyDescent="0.25">
      <c r="A15" s="26" t="s">
        <v>64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41"/>
      <c r="AZ15" s="42"/>
      <c r="BA15" s="43"/>
      <c r="BC15" s="2"/>
      <c r="BD15" s="2"/>
      <c r="BE15" s="33"/>
      <c r="BF15" s="32"/>
      <c r="BG15" s="32"/>
    </row>
    <row r="16" spans="1:72" ht="15.75" x14ac:dyDescent="0.25">
      <c r="A16" s="34" t="s">
        <v>59</v>
      </c>
      <c r="B16" s="36">
        <v>17</v>
      </c>
      <c r="C16" s="36">
        <v>17.5</v>
      </c>
      <c r="D16" s="36">
        <v>13</v>
      </c>
      <c r="E16" s="36">
        <v>17</v>
      </c>
      <c r="F16" s="36">
        <v>18</v>
      </c>
      <c r="G16" s="36">
        <v>20</v>
      </c>
      <c r="H16" s="36">
        <v>25</v>
      </c>
      <c r="I16" s="36">
        <v>21.4</v>
      </c>
      <c r="J16" s="36">
        <v>23</v>
      </c>
      <c r="K16" s="36">
        <v>23.9</v>
      </c>
      <c r="L16" s="36">
        <v>27</v>
      </c>
      <c r="M16" s="36">
        <v>27.6</v>
      </c>
      <c r="N16" s="36">
        <v>31.2</v>
      </c>
      <c r="O16" s="36">
        <v>30.5</v>
      </c>
      <c r="P16" s="36">
        <v>30.5</v>
      </c>
      <c r="Q16" s="36">
        <v>35</v>
      </c>
      <c r="R16" s="36">
        <v>35</v>
      </c>
      <c r="S16" s="36">
        <v>36.299999999999997</v>
      </c>
      <c r="T16" s="36">
        <v>37.6</v>
      </c>
      <c r="U16" s="36">
        <v>37.9</v>
      </c>
      <c r="V16" s="36">
        <v>21</v>
      </c>
      <c r="W16" s="36">
        <v>24.7</v>
      </c>
      <c r="X16" s="36">
        <v>28.6</v>
      </c>
      <c r="Y16" s="16">
        <v>34.9</v>
      </c>
      <c r="Z16" s="36">
        <v>30</v>
      </c>
      <c r="AA16" s="36">
        <v>33</v>
      </c>
      <c r="AB16" s="36">
        <v>34</v>
      </c>
      <c r="AC16" s="36">
        <v>38</v>
      </c>
      <c r="AD16" s="36">
        <v>42.5</v>
      </c>
      <c r="AE16" s="36">
        <v>36.6</v>
      </c>
      <c r="AF16" s="36">
        <v>37</v>
      </c>
      <c r="AG16" s="36">
        <v>24.3</v>
      </c>
      <c r="AH16" s="16">
        <v>24.5</v>
      </c>
      <c r="AI16" s="16">
        <v>29</v>
      </c>
      <c r="AJ16" s="16">
        <v>37.700000000000003</v>
      </c>
      <c r="AK16" s="16">
        <v>43.8</v>
      </c>
      <c r="AL16" s="16">
        <v>46.1</v>
      </c>
      <c r="AM16" s="16">
        <v>46.5</v>
      </c>
      <c r="AN16" s="16">
        <v>41.3</v>
      </c>
      <c r="AO16" s="16">
        <v>39.6</v>
      </c>
      <c r="AP16" s="16">
        <v>34.9</v>
      </c>
      <c r="AQ16" s="16">
        <v>31</v>
      </c>
      <c r="AR16" s="16">
        <v>34.9</v>
      </c>
      <c r="AS16" s="16">
        <v>32.4</v>
      </c>
      <c r="AT16" s="16">
        <v>33.6</v>
      </c>
      <c r="AU16" s="16">
        <v>47.4</v>
      </c>
      <c r="AV16" s="16">
        <v>43</v>
      </c>
      <c r="AW16" s="16">
        <v>38.700000000000003</v>
      </c>
      <c r="AX16" s="16">
        <f>'[1]Corn 3'!AX16+'[1]Corn 2'!AX16+'[1]Corn 1'!AX16</f>
        <v>41</v>
      </c>
      <c r="AY16" s="17">
        <v>41</v>
      </c>
      <c r="AZ16" s="35">
        <v>41</v>
      </c>
      <c r="BA16" s="19">
        <f>AZ16-AY16</f>
        <v>0</v>
      </c>
      <c r="BC16" s="20">
        <f>AY16-AV15</f>
        <v>41</v>
      </c>
      <c r="BD16" s="20">
        <f>AZ16-AV15</f>
        <v>41</v>
      </c>
      <c r="BE16" s="21">
        <f>BA16/AY16</f>
        <v>0</v>
      </c>
      <c r="BF16" s="32"/>
      <c r="BG16" s="32"/>
    </row>
    <row r="17" spans="1:72" ht="15.75" x14ac:dyDescent="0.25">
      <c r="A17" s="34" t="s">
        <v>60</v>
      </c>
      <c r="B17" s="22">
        <v>1176</v>
      </c>
      <c r="C17" s="22">
        <v>1200</v>
      </c>
      <c r="D17" s="22">
        <v>1154</v>
      </c>
      <c r="E17" s="22">
        <v>1335</v>
      </c>
      <c r="F17" s="22">
        <v>1389</v>
      </c>
      <c r="G17" s="22">
        <v>1320</v>
      </c>
      <c r="H17" s="22">
        <v>840</v>
      </c>
      <c r="I17" s="22">
        <v>1248</v>
      </c>
      <c r="J17" s="22">
        <v>1122</v>
      </c>
      <c r="K17" s="22">
        <v>1201</v>
      </c>
      <c r="L17" s="22">
        <v>1281</v>
      </c>
      <c r="M17" s="22">
        <v>1478</v>
      </c>
      <c r="N17" s="22">
        <v>1580</v>
      </c>
      <c r="O17" s="22">
        <v>1590</v>
      </c>
      <c r="P17" s="22">
        <v>1590</v>
      </c>
      <c r="Q17" s="22">
        <v>1751</v>
      </c>
      <c r="R17" s="22">
        <v>1751</v>
      </c>
      <c r="S17" s="22">
        <v>1697</v>
      </c>
      <c r="T17" s="22">
        <v>1540</v>
      </c>
      <c r="U17" s="22">
        <v>1541</v>
      </c>
      <c r="V17" s="22">
        <v>1371</v>
      </c>
      <c r="W17" s="22">
        <v>1356</v>
      </c>
      <c r="X17" s="22">
        <v>1472</v>
      </c>
      <c r="Y17" s="22">
        <v>1501</v>
      </c>
      <c r="Z17" s="22">
        <v>1520</v>
      </c>
      <c r="AA17" s="22">
        <v>1552</v>
      </c>
      <c r="AB17" s="22">
        <v>1456</v>
      </c>
      <c r="AC17" s="22">
        <v>1529</v>
      </c>
      <c r="AD17" s="22">
        <v>1489</v>
      </c>
      <c r="AE17" s="22">
        <v>1459</v>
      </c>
      <c r="AF17" s="22">
        <v>1519</v>
      </c>
      <c r="AG17" s="22">
        <v>1729</v>
      </c>
      <c r="AH17" s="22">
        <v>1803</v>
      </c>
      <c r="AI17" s="22">
        <v>1992</v>
      </c>
      <c r="AJ17" s="22">
        <v>2220</v>
      </c>
      <c r="AK17" s="22">
        <v>2290</v>
      </c>
      <c r="AL17" s="22">
        <v>2421</v>
      </c>
      <c r="AM17" s="22">
        <v>2340</v>
      </c>
      <c r="AN17" s="22">
        <v>2332</v>
      </c>
      <c r="AO17" s="22">
        <v>2442</v>
      </c>
      <c r="AP17" s="22">
        <v>2350</v>
      </c>
      <c r="AQ17" s="22">
        <v>2616</v>
      </c>
      <c r="AR17" s="22">
        <v>2364</v>
      </c>
      <c r="AS17" s="22">
        <v>2476</v>
      </c>
      <c r="AT17" s="22">
        <v>2766</v>
      </c>
      <c r="AU17" s="22">
        <v>3337</v>
      </c>
      <c r="AV17" s="22">
        <v>3231</v>
      </c>
      <c r="AW17" s="22">
        <v>3263.1731266149868</v>
      </c>
      <c r="AX17" s="16">
        <v>3406.636585365854</v>
      </c>
      <c r="AY17" s="24">
        <v>3468.6084905660373</v>
      </c>
      <c r="AZ17" s="35">
        <v>3263</v>
      </c>
      <c r="BA17" s="19">
        <f>AZ17-AY17</f>
        <v>-205.60849056603729</v>
      </c>
      <c r="BC17" s="25">
        <f>AY17-AV17</f>
        <v>237.60849056603729</v>
      </c>
      <c r="BD17" s="25">
        <f>AZ17-AV17</f>
        <v>32</v>
      </c>
      <c r="BE17" s="21">
        <v>0</v>
      </c>
      <c r="BF17" s="32"/>
      <c r="BG17" s="32"/>
      <c r="BT17" s="4">
        <f>AZ17/1000</f>
        <v>3.2629999999999999</v>
      </c>
    </row>
    <row r="18" spans="1:72" s="32" customFormat="1" ht="15.75" x14ac:dyDescent="0.25">
      <c r="A18" s="34" t="s">
        <v>61</v>
      </c>
      <c r="B18" s="36">
        <v>20</v>
      </c>
      <c r="C18" s="36">
        <v>21</v>
      </c>
      <c r="D18" s="36">
        <v>15</v>
      </c>
      <c r="E18" s="36">
        <v>23</v>
      </c>
      <c r="F18" s="36">
        <v>25</v>
      </c>
      <c r="G18" s="36">
        <v>26</v>
      </c>
      <c r="H18" s="36">
        <v>21</v>
      </c>
      <c r="I18" s="36">
        <v>27</v>
      </c>
      <c r="J18" s="36">
        <v>26</v>
      </c>
      <c r="K18" s="36">
        <v>29</v>
      </c>
      <c r="L18" s="36">
        <v>35</v>
      </c>
      <c r="M18" s="36">
        <v>41</v>
      </c>
      <c r="N18" s="36">
        <v>49</v>
      </c>
      <c r="O18" s="36">
        <v>49</v>
      </c>
      <c r="P18" s="36">
        <v>48.5</v>
      </c>
      <c r="Q18" s="36">
        <v>61.3</v>
      </c>
      <c r="R18" s="36">
        <v>61.3</v>
      </c>
      <c r="S18" s="36">
        <v>61.6</v>
      </c>
      <c r="T18" s="36">
        <v>57.9</v>
      </c>
      <c r="U18" s="36">
        <v>58.4</v>
      </c>
      <c r="V18" s="36">
        <v>28.8</v>
      </c>
      <c r="W18" s="36">
        <v>33.5</v>
      </c>
      <c r="X18" s="36">
        <v>42.1</v>
      </c>
      <c r="Y18" s="36">
        <v>52.4</v>
      </c>
      <c r="Z18" s="36">
        <v>45.6</v>
      </c>
      <c r="AA18" s="36">
        <v>51.2</v>
      </c>
      <c r="AB18" s="36">
        <v>49.5</v>
      </c>
      <c r="AC18" s="36">
        <v>52</v>
      </c>
      <c r="AD18" s="36">
        <v>63.3</v>
      </c>
      <c r="AE18" s="36">
        <v>53.4</v>
      </c>
      <c r="AF18" s="36">
        <v>56.2</v>
      </c>
      <c r="AG18" s="36">
        <v>42</v>
      </c>
      <c r="AH18" s="36">
        <v>44.2</v>
      </c>
      <c r="AI18" s="36">
        <v>57.8</v>
      </c>
      <c r="AJ18" s="36">
        <v>83.7</v>
      </c>
      <c r="AK18" s="36">
        <v>100.3</v>
      </c>
      <c r="AL18" s="36">
        <v>111.6</v>
      </c>
      <c r="AM18" s="36">
        <v>108.8</v>
      </c>
      <c r="AN18" s="36">
        <v>96.3</v>
      </c>
      <c r="AO18" s="36">
        <v>96.7</v>
      </c>
      <c r="AP18" s="36">
        <v>82</v>
      </c>
      <c r="AQ18" s="36">
        <v>81.099999999999994</v>
      </c>
      <c r="AR18" s="36">
        <v>82.5</v>
      </c>
      <c r="AS18" s="36">
        <v>80.2</v>
      </c>
      <c r="AT18" s="36">
        <v>93</v>
      </c>
      <c r="AU18" s="36">
        <v>158.19999999999999</v>
      </c>
      <c r="AV18" s="36">
        <v>139</v>
      </c>
      <c r="AW18" s="36">
        <v>126.3</v>
      </c>
      <c r="AX18" s="16">
        <f>'[1]Corn 3'!AX18+'[1]Corn 2'!AX18+'[1]Corn 1'!AX18</f>
        <v>139.69999999999999</v>
      </c>
      <c r="AY18" s="17">
        <f>'[1]Corn 3'!AY18+'[1]Corn 2'!AY18+'[1]Corn 1'!AY18</f>
        <v>147.1</v>
      </c>
      <c r="AZ18" s="35">
        <f>AZ16*AZ17/1000</f>
        <v>133.78299999999999</v>
      </c>
      <c r="BA18" s="19">
        <f>AZ18-AY18</f>
        <v>-13.317000000000007</v>
      </c>
      <c r="BB18"/>
      <c r="BC18" s="20">
        <f>AY18-AV18</f>
        <v>8.0999999999999943</v>
      </c>
      <c r="BD18" s="20">
        <f>AZ18-AV18</f>
        <v>-5.217000000000013</v>
      </c>
      <c r="BE18" s="21">
        <f>BA18/AY18</f>
        <v>-9.0530251529571767E-2</v>
      </c>
      <c r="BT18" s="4">
        <f>AZ18*1000</f>
        <v>133783</v>
      </c>
    </row>
    <row r="19" spans="1:72" ht="15.75" x14ac:dyDescent="0.25">
      <c r="A19" s="26" t="s">
        <v>65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41"/>
      <c r="AZ19" s="42"/>
      <c r="BA19" s="43"/>
      <c r="BC19" s="2"/>
      <c r="BD19" s="2"/>
      <c r="BE19" s="33"/>
      <c r="BF19" s="32"/>
      <c r="BG19" s="32"/>
    </row>
    <row r="20" spans="1:72" ht="15.75" x14ac:dyDescent="0.25">
      <c r="A20" s="34" t="s">
        <v>59</v>
      </c>
      <c r="B20" s="36">
        <v>5.5</v>
      </c>
      <c r="C20" s="36">
        <v>5.5</v>
      </c>
      <c r="D20" s="36">
        <v>6</v>
      </c>
      <c r="E20" s="36">
        <v>9</v>
      </c>
      <c r="F20" s="36">
        <v>4</v>
      </c>
      <c r="G20" s="36">
        <v>4.8</v>
      </c>
      <c r="H20" s="36">
        <v>1.6</v>
      </c>
      <c r="I20" s="36">
        <v>1.1000000000000001</v>
      </c>
      <c r="J20" s="36">
        <v>1.6</v>
      </c>
      <c r="K20" s="36">
        <v>1.9</v>
      </c>
      <c r="L20" s="36">
        <v>2.7</v>
      </c>
      <c r="M20" s="36">
        <v>2.5</v>
      </c>
      <c r="N20" s="36">
        <v>3</v>
      </c>
      <c r="O20" s="36">
        <v>3.1</v>
      </c>
      <c r="P20" s="36">
        <v>4.5</v>
      </c>
      <c r="Q20" s="36">
        <v>4.5</v>
      </c>
      <c r="R20" s="36">
        <v>4.5</v>
      </c>
      <c r="S20" s="36">
        <v>3.8</v>
      </c>
      <c r="T20" s="36">
        <v>6</v>
      </c>
      <c r="U20" s="36">
        <v>4.2</v>
      </c>
      <c r="V20" s="36">
        <v>6.1</v>
      </c>
      <c r="W20" s="36">
        <v>10.3</v>
      </c>
      <c r="X20" s="36">
        <v>11.8</v>
      </c>
      <c r="Y20" s="16">
        <v>11.8</v>
      </c>
      <c r="Z20" s="36">
        <v>10.5</v>
      </c>
      <c r="AA20" s="36">
        <v>10.5</v>
      </c>
      <c r="AB20" s="36">
        <v>10.9</v>
      </c>
      <c r="AC20" s="36">
        <v>10.9</v>
      </c>
      <c r="AD20" s="36">
        <v>12.9</v>
      </c>
      <c r="AE20" s="36">
        <v>12.9</v>
      </c>
      <c r="AF20" s="36">
        <v>19.7</v>
      </c>
      <c r="AG20" s="36">
        <v>13.8</v>
      </c>
      <c r="AH20" s="16">
        <v>12.2</v>
      </c>
      <c r="AI20" s="16">
        <v>12.8</v>
      </c>
      <c r="AJ20" s="16">
        <v>14</v>
      </c>
      <c r="AK20" s="16">
        <v>14.4</v>
      </c>
      <c r="AL20" s="16">
        <v>12.9</v>
      </c>
      <c r="AM20" s="16">
        <v>11</v>
      </c>
      <c r="AN20" s="16">
        <v>15.5</v>
      </c>
      <c r="AO20" s="16">
        <v>5.4</v>
      </c>
      <c r="AP20" s="16">
        <v>12.2</v>
      </c>
      <c r="AQ20" s="16">
        <v>8.1</v>
      </c>
      <c r="AR20" s="16">
        <v>11</v>
      </c>
      <c r="AS20" s="16">
        <v>11.2</v>
      </c>
      <c r="AT20" s="16">
        <v>8.9</v>
      </c>
      <c r="AU20" s="16">
        <v>9.5</v>
      </c>
      <c r="AV20" s="16">
        <v>5.6</v>
      </c>
      <c r="AW20" s="16">
        <v>8.5</v>
      </c>
      <c r="AX20" s="16">
        <f>'[1]Corn 3'!AX20+'[1]Corn 2'!AX20+'[1]Corn 1'!AX20</f>
        <v>8.3000000000000007</v>
      </c>
      <c r="AY20" s="17">
        <f>'[1]Corn 3'!AY20+'[1]Corn 2'!AY20+'[1]Corn 1'!AY20</f>
        <v>8.3000000000000007</v>
      </c>
      <c r="AZ20" s="35">
        <v>8.3000000000000007</v>
      </c>
      <c r="BA20" s="19">
        <f>AZ20-AY20</f>
        <v>0</v>
      </c>
      <c r="BC20" s="20">
        <f>AY20-AV20</f>
        <v>2.7000000000000011</v>
      </c>
      <c r="BD20" s="20">
        <f>AZ20-AV20</f>
        <v>2.7000000000000011</v>
      </c>
      <c r="BE20" s="21">
        <f>BA20/AY20</f>
        <v>0</v>
      </c>
      <c r="BF20" s="32"/>
      <c r="BG20" s="32"/>
    </row>
    <row r="21" spans="1:72" ht="15.75" x14ac:dyDescent="0.25">
      <c r="A21" s="34" t="s">
        <v>60</v>
      </c>
      <c r="B21" s="22">
        <v>1000</v>
      </c>
      <c r="C21" s="22">
        <v>1000</v>
      </c>
      <c r="D21" s="22">
        <v>1000</v>
      </c>
      <c r="E21" s="22">
        <v>1133</v>
      </c>
      <c r="F21" s="22">
        <v>1500</v>
      </c>
      <c r="G21" s="22">
        <v>1313</v>
      </c>
      <c r="H21" s="22">
        <v>2563</v>
      </c>
      <c r="I21" s="22">
        <v>2000</v>
      </c>
      <c r="J21" s="22">
        <v>1625</v>
      </c>
      <c r="K21" s="22">
        <v>1842</v>
      </c>
      <c r="L21" s="22">
        <v>1185</v>
      </c>
      <c r="M21" s="22">
        <v>1680</v>
      </c>
      <c r="N21" s="22">
        <v>1533</v>
      </c>
      <c r="O21" s="22">
        <v>1323</v>
      </c>
      <c r="P21" s="22">
        <v>1511</v>
      </c>
      <c r="Q21" s="22">
        <v>1511</v>
      </c>
      <c r="R21" s="22">
        <v>1511</v>
      </c>
      <c r="S21" s="22">
        <v>1816</v>
      </c>
      <c r="T21" s="22">
        <v>1633</v>
      </c>
      <c r="U21" s="22">
        <v>1524</v>
      </c>
      <c r="V21" s="22">
        <v>1623</v>
      </c>
      <c r="W21" s="22">
        <v>1311</v>
      </c>
      <c r="X21" s="22">
        <v>1466</v>
      </c>
      <c r="Y21" s="22">
        <v>1466</v>
      </c>
      <c r="Z21" s="22">
        <v>1505</v>
      </c>
      <c r="AA21" s="22">
        <v>1400</v>
      </c>
      <c r="AB21" s="22">
        <v>1440</v>
      </c>
      <c r="AC21" s="22">
        <v>1440</v>
      </c>
      <c r="AD21" s="22">
        <v>1938</v>
      </c>
      <c r="AE21" s="22">
        <v>1798</v>
      </c>
      <c r="AF21" s="22">
        <v>2249</v>
      </c>
      <c r="AG21" s="22">
        <v>2554</v>
      </c>
      <c r="AH21" s="22">
        <v>2460</v>
      </c>
      <c r="AI21" s="22">
        <v>2490</v>
      </c>
      <c r="AJ21" s="22">
        <v>2500</v>
      </c>
      <c r="AK21" s="22">
        <v>2500</v>
      </c>
      <c r="AL21" s="22">
        <v>2390</v>
      </c>
      <c r="AM21" s="22">
        <v>2627</v>
      </c>
      <c r="AN21" s="22">
        <v>2540</v>
      </c>
      <c r="AO21" s="22">
        <v>2515</v>
      </c>
      <c r="AP21" s="22">
        <v>2526</v>
      </c>
      <c r="AQ21" s="22">
        <v>2560</v>
      </c>
      <c r="AR21" s="22">
        <v>2500</v>
      </c>
      <c r="AS21" s="22">
        <v>2535</v>
      </c>
      <c r="AT21" s="22">
        <v>2600</v>
      </c>
      <c r="AU21" s="22">
        <v>2500</v>
      </c>
      <c r="AV21" s="22">
        <v>2953</v>
      </c>
      <c r="AW21" s="22">
        <v>3262</v>
      </c>
      <c r="AX21" s="16">
        <v>3005</v>
      </c>
      <c r="AY21" s="24">
        <v>3041</v>
      </c>
      <c r="AZ21" s="35">
        <v>3041</v>
      </c>
      <c r="BA21" s="19">
        <f>AZ21-AY21</f>
        <v>0</v>
      </c>
      <c r="BC21" s="25">
        <f>AY21-AV21</f>
        <v>88</v>
      </c>
      <c r="BD21" s="25">
        <f>AZ21-AV21</f>
        <v>88</v>
      </c>
      <c r="BE21" s="21">
        <v>0</v>
      </c>
      <c r="BF21" s="32"/>
      <c r="BG21" s="32"/>
      <c r="BT21" s="4">
        <f>AZ21/1000</f>
        <v>3.0409999999999999</v>
      </c>
    </row>
    <row r="22" spans="1:72" s="32" customFormat="1" ht="15.75" x14ac:dyDescent="0.25">
      <c r="A22" s="34" t="s">
        <v>61</v>
      </c>
      <c r="B22" s="36">
        <v>6</v>
      </c>
      <c r="C22" s="36">
        <v>6</v>
      </c>
      <c r="D22" s="36">
        <v>6</v>
      </c>
      <c r="E22" s="36">
        <v>10</v>
      </c>
      <c r="F22" s="36">
        <v>6</v>
      </c>
      <c r="G22" s="36">
        <v>6</v>
      </c>
      <c r="H22" s="36">
        <v>4</v>
      </c>
      <c r="I22" s="36">
        <v>2</v>
      </c>
      <c r="J22" s="36">
        <v>3</v>
      </c>
      <c r="K22" s="36">
        <v>4</v>
      </c>
      <c r="L22" s="36">
        <v>3</v>
      </c>
      <c r="M22" s="36">
        <v>4</v>
      </c>
      <c r="N22" s="36">
        <v>5</v>
      </c>
      <c r="O22" s="36">
        <v>4</v>
      </c>
      <c r="P22" s="36">
        <v>6.8</v>
      </c>
      <c r="Q22" s="36">
        <v>6.8</v>
      </c>
      <c r="R22" s="36">
        <v>6.8</v>
      </c>
      <c r="S22" s="36">
        <v>6.9</v>
      </c>
      <c r="T22" s="36">
        <v>9.8000000000000007</v>
      </c>
      <c r="U22" s="36">
        <v>6.4</v>
      </c>
      <c r="V22" s="36">
        <v>9.9</v>
      </c>
      <c r="W22" s="36">
        <v>13.5</v>
      </c>
      <c r="X22" s="36">
        <v>17.3</v>
      </c>
      <c r="Y22" s="36">
        <v>17.3</v>
      </c>
      <c r="Z22" s="36">
        <v>15.8</v>
      </c>
      <c r="AA22" s="36">
        <v>14.7</v>
      </c>
      <c r="AB22" s="36">
        <v>15.7</v>
      </c>
      <c r="AC22" s="36">
        <v>15.7</v>
      </c>
      <c r="AD22" s="36">
        <v>25</v>
      </c>
      <c r="AE22" s="36">
        <v>23.2</v>
      </c>
      <c r="AF22" s="36">
        <v>44.3</v>
      </c>
      <c r="AG22" s="36">
        <v>35.200000000000003</v>
      </c>
      <c r="AH22" s="36">
        <v>30</v>
      </c>
      <c r="AI22" s="36">
        <v>31.9</v>
      </c>
      <c r="AJ22" s="36">
        <v>35</v>
      </c>
      <c r="AK22" s="36">
        <v>36</v>
      </c>
      <c r="AL22" s="36">
        <v>30.8</v>
      </c>
      <c r="AM22" s="36">
        <v>28.9</v>
      </c>
      <c r="AN22" s="36">
        <v>39.4</v>
      </c>
      <c r="AO22" s="36">
        <v>13.6</v>
      </c>
      <c r="AP22" s="36">
        <v>30.8</v>
      </c>
      <c r="AQ22" s="36">
        <v>20.7</v>
      </c>
      <c r="AR22" s="36">
        <v>27.5</v>
      </c>
      <c r="AS22" s="36">
        <v>28.4</v>
      </c>
      <c r="AT22" s="36">
        <v>23.1</v>
      </c>
      <c r="AU22" s="36">
        <v>23.8</v>
      </c>
      <c r="AV22" s="36">
        <v>16.5</v>
      </c>
      <c r="AW22" s="36">
        <v>27.7</v>
      </c>
      <c r="AX22" s="16">
        <f>'[1]Corn 3'!AX22+'[1]Corn 2'!AX22+'[1]Corn 1'!AX22</f>
        <v>24.9</v>
      </c>
      <c r="AY22" s="17">
        <f>'[1]Corn 3'!AY22+'[1]Corn 2'!AY22+'[1]Corn 1'!AY22</f>
        <v>25.2</v>
      </c>
      <c r="AZ22" s="35">
        <f>AZ20*AZ21/1000</f>
        <v>25.240300000000001</v>
      </c>
      <c r="BA22" s="19">
        <f>AZ22-AY22</f>
        <v>4.0300000000002001E-2</v>
      </c>
      <c r="BB22"/>
      <c r="BC22" s="20">
        <f>AY22-AV22</f>
        <v>8.6999999999999993</v>
      </c>
      <c r="BD22" s="20">
        <f>AZ22-AV22</f>
        <v>8.7403000000000013</v>
      </c>
      <c r="BE22" s="21">
        <f>BA22/AY22</f>
        <v>1.5992063492064287E-3</v>
      </c>
      <c r="BT22" s="4">
        <f>AZ22*1000</f>
        <v>25240.300000000003</v>
      </c>
    </row>
    <row r="23" spans="1:72" ht="15.75" x14ac:dyDescent="0.25">
      <c r="A23" s="26" t="s">
        <v>66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41"/>
      <c r="AZ23" s="42"/>
      <c r="BA23" s="43"/>
      <c r="BC23" s="2"/>
      <c r="BD23" s="2"/>
      <c r="BE23" s="33"/>
      <c r="BF23" s="32"/>
      <c r="BG23" s="32"/>
    </row>
    <row r="24" spans="1:72" ht="15.75" x14ac:dyDescent="0.25">
      <c r="A24" s="34" t="s">
        <v>59</v>
      </c>
      <c r="B24" s="36">
        <v>0.5</v>
      </c>
      <c r="C24" s="36">
        <v>0.5</v>
      </c>
      <c r="D24" s="36">
        <v>0.8</v>
      </c>
      <c r="E24" s="36">
        <v>0.7</v>
      </c>
      <c r="F24" s="36">
        <v>2.2999999999999998</v>
      </c>
      <c r="G24" s="36">
        <v>1.6</v>
      </c>
      <c r="H24" s="36">
        <v>1.3</v>
      </c>
      <c r="I24" s="36">
        <v>1.1000000000000001</v>
      </c>
      <c r="J24" s="36">
        <v>1.2</v>
      </c>
      <c r="K24" s="36">
        <v>0.9</v>
      </c>
      <c r="L24" s="36">
        <v>0.5</v>
      </c>
      <c r="M24" s="36">
        <v>0.7</v>
      </c>
      <c r="N24" s="36">
        <v>0.8</v>
      </c>
      <c r="O24" s="36">
        <v>0.4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1.2</v>
      </c>
      <c r="Y24" s="16">
        <v>1.2</v>
      </c>
      <c r="Z24" s="36">
        <v>1.8</v>
      </c>
      <c r="AA24" s="36">
        <v>2</v>
      </c>
      <c r="AB24" s="36">
        <v>1.5</v>
      </c>
      <c r="AC24" s="36">
        <v>1.5</v>
      </c>
      <c r="AD24" s="36">
        <v>1.5</v>
      </c>
      <c r="AE24" s="36">
        <v>1.5</v>
      </c>
      <c r="AF24" s="36">
        <v>2.1</v>
      </c>
      <c r="AG24" s="36">
        <v>3.2</v>
      </c>
      <c r="AH24" s="16">
        <v>3.5</v>
      </c>
      <c r="AI24" s="16">
        <v>3.6</v>
      </c>
      <c r="AJ24" s="16">
        <v>3.6</v>
      </c>
      <c r="AK24" s="16">
        <v>2.6</v>
      </c>
      <c r="AL24" s="16">
        <v>2.2999999999999998</v>
      </c>
      <c r="AM24" s="16">
        <v>2.2000000000000002</v>
      </c>
      <c r="AN24" s="16">
        <v>1.8</v>
      </c>
      <c r="AO24" s="16">
        <v>1.8</v>
      </c>
      <c r="AP24" s="16">
        <v>1.7</v>
      </c>
      <c r="AQ24" s="16">
        <v>1.6</v>
      </c>
      <c r="AR24" s="16">
        <v>1.4</v>
      </c>
      <c r="AS24" s="16">
        <v>1.4</v>
      </c>
      <c r="AT24" s="16">
        <v>1.3</v>
      </c>
      <c r="AU24" s="16">
        <v>2.5</v>
      </c>
      <c r="AV24" s="16">
        <v>2.8</v>
      </c>
      <c r="AW24" s="16">
        <v>2.2999999999999998</v>
      </c>
      <c r="AX24" s="16">
        <f>'[1]Corn 3'!AX24+'[1]Corn 2'!AX24+'[1]Corn 1'!AX24</f>
        <v>2</v>
      </c>
      <c r="AY24" s="17">
        <v>2.2999999999999998</v>
      </c>
      <c r="AZ24" s="35">
        <v>2.2999999999999998</v>
      </c>
      <c r="BA24" s="19">
        <f>AZ24-AY24</f>
        <v>0</v>
      </c>
      <c r="BC24" s="20">
        <f>AY24-AV24</f>
        <v>-0.5</v>
      </c>
      <c r="BD24" s="20">
        <f>AZ24-AV24</f>
        <v>-0.5</v>
      </c>
      <c r="BE24" s="21">
        <f>BA24/AY24</f>
        <v>0</v>
      </c>
      <c r="BF24" s="32"/>
      <c r="BG24" s="32"/>
    </row>
    <row r="25" spans="1:72" ht="15.75" x14ac:dyDescent="0.25">
      <c r="A25" s="34" t="s">
        <v>60</v>
      </c>
      <c r="B25" s="22">
        <v>799</v>
      </c>
      <c r="C25" s="22">
        <v>789</v>
      </c>
      <c r="D25" s="22">
        <v>772</v>
      </c>
      <c r="E25" s="22">
        <v>764</v>
      </c>
      <c r="F25" s="22">
        <v>474</v>
      </c>
      <c r="G25" s="22">
        <v>714</v>
      </c>
      <c r="H25" s="22">
        <v>672</v>
      </c>
      <c r="I25" s="22">
        <v>621</v>
      </c>
      <c r="J25" s="22">
        <v>687</v>
      </c>
      <c r="K25" s="22">
        <v>675</v>
      </c>
      <c r="L25" s="22">
        <v>1018</v>
      </c>
      <c r="M25" s="22">
        <v>823</v>
      </c>
      <c r="N25" s="22">
        <v>647</v>
      </c>
      <c r="O25" s="22">
        <v>835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667</v>
      </c>
      <c r="Y25" s="22">
        <v>833</v>
      </c>
      <c r="Z25" s="22">
        <v>778</v>
      </c>
      <c r="AA25" s="22">
        <v>750</v>
      </c>
      <c r="AB25" s="22">
        <v>800</v>
      </c>
      <c r="AC25" s="22">
        <v>800</v>
      </c>
      <c r="AD25" s="22">
        <v>867</v>
      </c>
      <c r="AE25" s="22">
        <v>800</v>
      </c>
      <c r="AF25" s="22">
        <v>857</v>
      </c>
      <c r="AG25" s="22">
        <v>745</v>
      </c>
      <c r="AH25" s="22">
        <v>860</v>
      </c>
      <c r="AI25" s="22">
        <v>903</v>
      </c>
      <c r="AJ25" s="22">
        <v>803</v>
      </c>
      <c r="AK25" s="22">
        <v>825</v>
      </c>
      <c r="AL25" s="22">
        <v>826</v>
      </c>
      <c r="AM25" s="22">
        <v>921</v>
      </c>
      <c r="AN25" s="22">
        <v>907</v>
      </c>
      <c r="AO25" s="22">
        <v>902</v>
      </c>
      <c r="AP25" s="22">
        <v>962</v>
      </c>
      <c r="AQ25" s="22">
        <v>988</v>
      </c>
      <c r="AR25" s="22">
        <v>933</v>
      </c>
      <c r="AS25" s="22">
        <v>972</v>
      </c>
      <c r="AT25" s="22">
        <v>905</v>
      </c>
      <c r="AU25" s="22">
        <v>944</v>
      </c>
      <c r="AV25" s="22">
        <v>940</v>
      </c>
      <c r="AW25" s="22">
        <v>977</v>
      </c>
      <c r="AX25" s="16">
        <v>969</v>
      </c>
      <c r="AY25" s="24">
        <v>977</v>
      </c>
      <c r="AZ25" s="35">
        <v>977</v>
      </c>
      <c r="BA25" s="19">
        <f>AZ25-AY25</f>
        <v>0</v>
      </c>
      <c r="BC25" s="25">
        <f>AY25-AV25</f>
        <v>37</v>
      </c>
      <c r="BD25" s="25">
        <f>AZ25-AV25</f>
        <v>37</v>
      </c>
      <c r="BE25" s="21">
        <v>0</v>
      </c>
      <c r="BF25" s="32"/>
      <c r="BG25" s="32"/>
      <c r="BT25" s="4">
        <f>AZ25/1000</f>
        <v>0.97699999999999998</v>
      </c>
    </row>
    <row r="26" spans="1:72" s="32" customFormat="1" ht="15.75" x14ac:dyDescent="0.25">
      <c r="A26" s="34" t="s">
        <v>61</v>
      </c>
      <c r="B26" s="36">
        <v>0</v>
      </c>
      <c r="C26" s="36">
        <v>0</v>
      </c>
      <c r="D26" s="36">
        <v>1</v>
      </c>
      <c r="E26" s="36">
        <v>1</v>
      </c>
      <c r="F26" s="36">
        <v>1</v>
      </c>
      <c r="G26" s="36">
        <v>1</v>
      </c>
      <c r="H26" s="36">
        <v>1</v>
      </c>
      <c r="I26" s="36">
        <v>1</v>
      </c>
      <c r="J26" s="36">
        <v>1</v>
      </c>
      <c r="K26" s="36">
        <v>1</v>
      </c>
      <c r="L26" s="36">
        <v>0</v>
      </c>
      <c r="M26" s="36">
        <v>1</v>
      </c>
      <c r="N26" s="36">
        <v>1</v>
      </c>
      <c r="O26" s="36">
        <v>0</v>
      </c>
      <c r="P26" s="36">
        <v>0</v>
      </c>
      <c r="Q26" s="36">
        <v>0</v>
      </c>
      <c r="R26" s="36">
        <v>0</v>
      </c>
      <c r="S26" s="36">
        <v>0</v>
      </c>
      <c r="T26" s="36">
        <v>0</v>
      </c>
      <c r="U26" s="36">
        <v>0</v>
      </c>
      <c r="V26" s="36">
        <v>0</v>
      </c>
      <c r="W26" s="36">
        <v>0</v>
      </c>
      <c r="X26" s="36">
        <v>0.8</v>
      </c>
      <c r="Y26" s="36">
        <v>1</v>
      </c>
      <c r="Z26" s="36">
        <v>1.4</v>
      </c>
      <c r="AA26" s="36">
        <v>1.5</v>
      </c>
      <c r="AB26" s="36">
        <v>1.2</v>
      </c>
      <c r="AC26" s="36">
        <v>1.2</v>
      </c>
      <c r="AD26" s="36">
        <v>1.3</v>
      </c>
      <c r="AE26" s="36">
        <v>1.2</v>
      </c>
      <c r="AF26" s="36">
        <v>1.8</v>
      </c>
      <c r="AG26" s="36">
        <v>2.4</v>
      </c>
      <c r="AH26" s="36">
        <v>3</v>
      </c>
      <c r="AI26" s="36">
        <v>3.3</v>
      </c>
      <c r="AJ26" s="36">
        <v>2.9</v>
      </c>
      <c r="AK26" s="36">
        <v>2.1</v>
      </c>
      <c r="AL26" s="36">
        <v>1.9</v>
      </c>
      <c r="AM26" s="36">
        <v>2</v>
      </c>
      <c r="AN26" s="36">
        <v>1.6</v>
      </c>
      <c r="AO26" s="36">
        <v>1.6</v>
      </c>
      <c r="AP26" s="36">
        <v>1.6</v>
      </c>
      <c r="AQ26" s="36">
        <v>1.6</v>
      </c>
      <c r="AR26" s="36">
        <v>1.3</v>
      </c>
      <c r="AS26" s="36">
        <v>1.4</v>
      </c>
      <c r="AT26" s="36">
        <v>1.2</v>
      </c>
      <c r="AU26" s="36">
        <v>2.4</v>
      </c>
      <c r="AV26" s="36">
        <v>2.6</v>
      </c>
      <c r="AW26" s="36">
        <v>2.2000000000000002</v>
      </c>
      <c r="AX26" s="16">
        <f>'[1]Corn 3'!AX26+'[1]Corn 2'!AX26+'[1]Corn 1'!AX26</f>
        <v>1.9</v>
      </c>
      <c r="AY26" s="17">
        <f>'[1]Corn 3'!AY26+'[1]Corn 2'!AY26+'[1]Corn 1'!AY26</f>
        <v>2</v>
      </c>
      <c r="AZ26" s="35">
        <f>AZ24*AZ25/1000</f>
        <v>2.2471000000000001</v>
      </c>
      <c r="BA26" s="19">
        <f>AZ26-AY26</f>
        <v>0.2471000000000001</v>
      </c>
      <c r="BB26"/>
      <c r="BC26" s="20">
        <f>AY26-AV26</f>
        <v>-0.60000000000000009</v>
      </c>
      <c r="BD26" s="20">
        <f>AZ26-AV26</f>
        <v>-0.35289999999999999</v>
      </c>
      <c r="BE26" s="21">
        <f>BA26/AY26</f>
        <v>0.12355000000000005</v>
      </c>
      <c r="BT26" s="4">
        <f>AZ26*1000</f>
        <v>2247.1</v>
      </c>
    </row>
    <row r="27" spans="1:72" ht="15.75" x14ac:dyDescent="0.25">
      <c r="A27" s="26" t="s">
        <v>67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41"/>
      <c r="AZ27" s="42"/>
      <c r="BA27" s="43"/>
      <c r="BC27" s="2"/>
      <c r="BD27" s="2"/>
      <c r="BE27" s="33"/>
    </row>
    <row r="28" spans="1:72" ht="15.75" x14ac:dyDescent="0.25">
      <c r="A28" s="34" t="s">
        <v>59</v>
      </c>
      <c r="B28" s="36">
        <v>66.599999999999994</v>
      </c>
      <c r="C28" s="36">
        <v>66.2</v>
      </c>
      <c r="D28" s="36">
        <v>50</v>
      </c>
      <c r="E28" s="36">
        <v>83</v>
      </c>
      <c r="F28" s="36">
        <v>82</v>
      </c>
      <c r="G28" s="36">
        <v>123.7</v>
      </c>
      <c r="H28" s="36">
        <v>74.099999999999994</v>
      </c>
      <c r="I28" s="36">
        <v>113.3</v>
      </c>
      <c r="J28" s="36">
        <v>113</v>
      </c>
      <c r="K28" s="36">
        <v>144.30000000000001</v>
      </c>
      <c r="L28" s="36">
        <v>172</v>
      </c>
      <c r="M28" s="36">
        <v>247.2</v>
      </c>
      <c r="N28" s="36">
        <v>246.2</v>
      </c>
      <c r="O28" s="36">
        <v>163.6</v>
      </c>
      <c r="P28" s="36">
        <v>202.2</v>
      </c>
      <c r="Q28" s="36">
        <v>177</v>
      </c>
      <c r="R28" s="36">
        <v>196</v>
      </c>
      <c r="S28" s="36">
        <v>207.1</v>
      </c>
      <c r="T28" s="36">
        <v>287</v>
      </c>
      <c r="U28" s="36">
        <v>260.7</v>
      </c>
      <c r="V28" s="36">
        <v>260.7</v>
      </c>
      <c r="W28" s="36">
        <v>358.9</v>
      </c>
      <c r="X28" s="36">
        <v>416.3</v>
      </c>
      <c r="Y28" s="16">
        <v>418.9</v>
      </c>
      <c r="Z28" s="36">
        <v>318.8</v>
      </c>
      <c r="AA28" s="36">
        <v>275</v>
      </c>
      <c r="AB28" s="36">
        <v>293.39999999999998</v>
      </c>
      <c r="AC28" s="36">
        <v>286.5</v>
      </c>
      <c r="AD28" s="36">
        <v>281.60000000000002</v>
      </c>
      <c r="AE28" s="36">
        <v>275.7</v>
      </c>
      <c r="AF28" s="36">
        <v>270.2</v>
      </c>
      <c r="AG28" s="36">
        <v>268</v>
      </c>
      <c r="AH28" s="16">
        <v>245.2</v>
      </c>
      <c r="AI28" s="16">
        <v>217.8</v>
      </c>
      <c r="AJ28" s="16">
        <v>213.1</v>
      </c>
      <c r="AK28" s="16">
        <v>236.3</v>
      </c>
      <c r="AL28" s="16">
        <v>199.1</v>
      </c>
      <c r="AM28" s="16">
        <v>184.1</v>
      </c>
      <c r="AN28" s="16">
        <v>218.7</v>
      </c>
      <c r="AO28" s="16">
        <v>196.1</v>
      </c>
      <c r="AP28" s="16">
        <v>258.3</v>
      </c>
      <c r="AQ28" s="16">
        <v>236.9</v>
      </c>
      <c r="AR28" s="16">
        <v>249.5</v>
      </c>
      <c r="AS28" s="16">
        <v>264.60000000000002</v>
      </c>
      <c r="AT28" s="16">
        <v>358</v>
      </c>
      <c r="AU28" s="16">
        <v>390.6</v>
      </c>
      <c r="AV28" s="16">
        <v>435.3</v>
      </c>
      <c r="AW28" s="16">
        <v>491.9</v>
      </c>
      <c r="AX28" s="16">
        <f>'[1]Corn 3'!AX28+'[1]Corn 2'!AX28+'[1]Corn 1'!AX28</f>
        <v>512.20000000000005</v>
      </c>
      <c r="AY28" s="17">
        <f>'[1]Corn 3'!AY28+'[1]Corn 2'!AY28+'[1]Corn 1'!AY28</f>
        <v>571.40000000000009</v>
      </c>
      <c r="AZ28" s="35">
        <v>800</v>
      </c>
      <c r="BA28" s="19">
        <f>AZ28-AY28</f>
        <v>228.59999999999991</v>
      </c>
      <c r="BC28" s="20">
        <f>AY28-AV28</f>
        <v>136.10000000000008</v>
      </c>
      <c r="BD28" s="20">
        <f>AZ28-AV28</f>
        <v>364.7</v>
      </c>
      <c r="BE28" s="21">
        <f>BA28/AY28</f>
        <v>0.4000700035001748</v>
      </c>
    </row>
    <row r="29" spans="1:72" ht="15.75" x14ac:dyDescent="0.25">
      <c r="A29" s="34" t="s">
        <v>60</v>
      </c>
      <c r="B29" s="22">
        <v>802</v>
      </c>
      <c r="C29" s="22">
        <v>822</v>
      </c>
      <c r="D29" s="22">
        <v>960</v>
      </c>
      <c r="E29" s="22">
        <v>930</v>
      </c>
      <c r="F29" s="22">
        <v>671</v>
      </c>
      <c r="G29" s="22">
        <v>1150</v>
      </c>
      <c r="H29" s="22">
        <v>1065</v>
      </c>
      <c r="I29" s="22">
        <v>1150</v>
      </c>
      <c r="J29" s="22">
        <v>1150</v>
      </c>
      <c r="K29" s="22">
        <v>1060</v>
      </c>
      <c r="L29" s="22">
        <v>1130</v>
      </c>
      <c r="M29" s="22">
        <v>1260</v>
      </c>
      <c r="N29" s="22">
        <v>1320</v>
      </c>
      <c r="O29" s="22">
        <v>1240</v>
      </c>
      <c r="P29" s="22">
        <v>1370</v>
      </c>
      <c r="Q29" s="22">
        <v>1200</v>
      </c>
      <c r="R29" s="22">
        <v>1240</v>
      </c>
      <c r="S29" s="22">
        <v>1269</v>
      </c>
      <c r="T29" s="22">
        <v>1380</v>
      </c>
      <c r="U29" s="22">
        <v>1380</v>
      </c>
      <c r="V29" s="22">
        <v>1380</v>
      </c>
      <c r="W29" s="22">
        <v>1470</v>
      </c>
      <c r="X29" s="22">
        <v>1568</v>
      </c>
      <c r="Y29" s="22">
        <v>1483</v>
      </c>
      <c r="Z29" s="22">
        <v>1600</v>
      </c>
      <c r="AA29" s="22">
        <v>1640</v>
      </c>
      <c r="AB29" s="22">
        <v>1800</v>
      </c>
      <c r="AC29" s="22">
        <v>1800</v>
      </c>
      <c r="AD29" s="22">
        <v>2010</v>
      </c>
      <c r="AE29" s="22">
        <v>2078</v>
      </c>
      <c r="AF29" s="22">
        <v>1970</v>
      </c>
      <c r="AG29" s="22">
        <v>2324</v>
      </c>
      <c r="AH29" s="22">
        <v>2305</v>
      </c>
      <c r="AI29" s="22">
        <v>2482</v>
      </c>
      <c r="AJ29" s="22">
        <v>2556</v>
      </c>
      <c r="AK29" s="22">
        <v>2538</v>
      </c>
      <c r="AL29" s="22">
        <v>2841</v>
      </c>
      <c r="AM29" s="22">
        <v>2916</v>
      </c>
      <c r="AN29" s="22">
        <v>3232</v>
      </c>
      <c r="AO29" s="22">
        <v>3299</v>
      </c>
      <c r="AP29" s="22">
        <v>3270</v>
      </c>
      <c r="AQ29" s="22">
        <v>3320</v>
      </c>
      <c r="AR29" s="22">
        <v>3067</v>
      </c>
      <c r="AS29" s="22">
        <v>3155</v>
      </c>
      <c r="AT29" s="22">
        <v>3114</v>
      </c>
      <c r="AU29" s="22">
        <v>3025</v>
      </c>
      <c r="AV29" s="22">
        <v>3415</v>
      </c>
      <c r="AW29" s="22">
        <v>3577.006505387274</v>
      </c>
      <c r="AX29" s="16">
        <v>4206.4482623975</v>
      </c>
      <c r="AY29" s="24">
        <v>3588.3335666783332</v>
      </c>
      <c r="AZ29" s="35">
        <v>4200</v>
      </c>
      <c r="BA29" s="19">
        <f>AZ29-AY29</f>
        <v>611.66643332166677</v>
      </c>
      <c r="BC29" s="25">
        <f>AY29-AV29</f>
        <v>173.33356667833323</v>
      </c>
      <c r="BD29" s="25">
        <f>AZ29-AV29</f>
        <v>785</v>
      </c>
      <c r="BE29" s="21">
        <v>0</v>
      </c>
      <c r="BT29" s="4">
        <f>AZ29/1000</f>
        <v>4.2</v>
      </c>
    </row>
    <row r="30" spans="1:72" s="32" customFormat="1" ht="15.75" x14ac:dyDescent="0.25">
      <c r="A30" s="34" t="s">
        <v>61</v>
      </c>
      <c r="B30" s="36">
        <v>53</v>
      </c>
      <c r="C30" s="36">
        <v>54</v>
      </c>
      <c r="D30" s="36">
        <v>48</v>
      </c>
      <c r="E30" s="36">
        <v>77</v>
      </c>
      <c r="F30" s="36">
        <v>55</v>
      </c>
      <c r="G30" s="36">
        <v>142</v>
      </c>
      <c r="H30" s="36">
        <v>79</v>
      </c>
      <c r="I30" s="36">
        <v>130</v>
      </c>
      <c r="J30" s="36">
        <v>130</v>
      </c>
      <c r="K30" s="36">
        <v>153</v>
      </c>
      <c r="L30" s="36">
        <v>194</v>
      </c>
      <c r="M30" s="36">
        <v>312</v>
      </c>
      <c r="N30" s="36">
        <v>325</v>
      </c>
      <c r="O30" s="36">
        <v>203</v>
      </c>
      <c r="P30" s="36">
        <v>277</v>
      </c>
      <c r="Q30" s="36">
        <v>212.4</v>
      </c>
      <c r="R30" s="36">
        <v>243</v>
      </c>
      <c r="S30" s="36">
        <v>262.8</v>
      </c>
      <c r="T30" s="36">
        <v>396.1</v>
      </c>
      <c r="U30" s="36">
        <v>359.8</v>
      </c>
      <c r="V30" s="36">
        <v>359.8</v>
      </c>
      <c r="W30" s="36">
        <v>527.6</v>
      </c>
      <c r="X30" s="36">
        <v>652.79999999999995</v>
      </c>
      <c r="Y30" s="36">
        <v>621.20000000000005</v>
      </c>
      <c r="Z30" s="36">
        <v>510.1</v>
      </c>
      <c r="AA30" s="36">
        <v>451</v>
      </c>
      <c r="AB30" s="36">
        <v>528.1</v>
      </c>
      <c r="AC30" s="36">
        <v>522.9</v>
      </c>
      <c r="AD30" s="36">
        <v>566</v>
      </c>
      <c r="AE30" s="36">
        <v>572.9</v>
      </c>
      <c r="AF30" s="36">
        <v>532.29999999999995</v>
      </c>
      <c r="AG30" s="36">
        <v>622.79999999999995</v>
      </c>
      <c r="AH30" s="36">
        <v>565.20000000000005</v>
      </c>
      <c r="AI30" s="36">
        <v>540.6</v>
      </c>
      <c r="AJ30" s="36">
        <v>544.70000000000005</v>
      </c>
      <c r="AK30" s="36">
        <v>599.70000000000005</v>
      </c>
      <c r="AL30" s="36">
        <v>565.6</v>
      </c>
      <c r="AM30" s="36">
        <v>536.79999999999995</v>
      </c>
      <c r="AN30" s="36">
        <v>706.8</v>
      </c>
      <c r="AO30" s="36">
        <v>646.9</v>
      </c>
      <c r="AP30" s="36">
        <v>844.7</v>
      </c>
      <c r="AQ30" s="36">
        <v>786.5</v>
      </c>
      <c r="AR30" s="36">
        <v>765.1</v>
      </c>
      <c r="AS30" s="36">
        <v>834.8</v>
      </c>
      <c r="AT30" s="36">
        <v>1114.7</v>
      </c>
      <c r="AU30" s="36">
        <v>1181.5</v>
      </c>
      <c r="AV30" s="36">
        <v>1486.3</v>
      </c>
      <c r="AW30" s="36">
        <v>1759.5</v>
      </c>
      <c r="AX30" s="16">
        <f>'[1]Corn 3'!AX30+'[1]Corn 2'!AX30+'[1]Corn 1'!AX30</f>
        <v>2154.6000000000004</v>
      </c>
      <c r="AY30" s="17">
        <f>'[1]Corn 3'!AY30+'[1]Corn 2'!AY30+'[1]Corn 1'!AY30</f>
        <v>2050.3000000000002</v>
      </c>
      <c r="AZ30" s="35">
        <f>AZ28*AZ29/1000</f>
        <v>3360</v>
      </c>
      <c r="BA30" s="19">
        <f>AZ30-AY30</f>
        <v>1309.6999999999998</v>
      </c>
      <c r="BB30"/>
      <c r="BC30" s="20">
        <f>AY30-AV30</f>
        <v>564.00000000000023</v>
      </c>
      <c r="BD30" s="20">
        <f>AZ30-AV30</f>
        <v>1873.7</v>
      </c>
      <c r="BE30" s="21">
        <f>BA30/AY30</f>
        <v>0.63878456811198348</v>
      </c>
      <c r="BT30" s="4">
        <f>AZ30*1000</f>
        <v>3360000</v>
      </c>
    </row>
    <row r="31" spans="1:72" ht="15.75" x14ac:dyDescent="0.25">
      <c r="A31" s="26" t="s">
        <v>68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41"/>
      <c r="AZ31" s="42"/>
      <c r="BA31" s="43"/>
      <c r="BC31" s="2"/>
      <c r="BD31" s="2"/>
      <c r="BE31" s="33"/>
    </row>
    <row r="32" spans="1:72" ht="15.75" x14ac:dyDescent="0.25">
      <c r="A32" s="34" t="s">
        <v>59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97.4</v>
      </c>
      <c r="N32" s="36">
        <v>104.4</v>
      </c>
      <c r="O32" s="36">
        <v>77</v>
      </c>
      <c r="P32" s="36">
        <v>68</v>
      </c>
      <c r="Q32" s="36">
        <v>71</v>
      </c>
      <c r="R32" s="36">
        <v>65</v>
      </c>
      <c r="S32" s="36">
        <v>65.3</v>
      </c>
      <c r="T32" s="36">
        <v>74</v>
      </c>
      <c r="U32" s="36">
        <v>72</v>
      </c>
      <c r="V32" s="36">
        <v>60</v>
      </c>
      <c r="W32" s="36">
        <v>55.2</v>
      </c>
      <c r="X32" s="36">
        <v>53</v>
      </c>
      <c r="Y32" s="16">
        <v>57.5</v>
      </c>
      <c r="Z32" s="36">
        <v>61.5</v>
      </c>
      <c r="AA32" s="36">
        <v>63.3</v>
      </c>
      <c r="AB32" s="36">
        <v>69</v>
      </c>
      <c r="AC32" s="36">
        <v>77.900000000000006</v>
      </c>
      <c r="AD32" s="36">
        <v>78.5</v>
      </c>
      <c r="AE32" s="36">
        <v>75.400000000000006</v>
      </c>
      <c r="AF32" s="36">
        <v>85.9</v>
      </c>
      <c r="AG32" s="36">
        <v>96.3</v>
      </c>
      <c r="AH32" s="16">
        <v>83.9</v>
      </c>
      <c r="AI32" s="16">
        <v>77.7</v>
      </c>
      <c r="AJ32" s="16">
        <v>97.1</v>
      </c>
      <c r="AK32" s="16">
        <v>103.6</v>
      </c>
      <c r="AL32" s="16">
        <v>95.2</v>
      </c>
      <c r="AM32" s="16">
        <v>151.9</v>
      </c>
      <c r="AN32" s="16">
        <v>218.3</v>
      </c>
      <c r="AO32" s="16">
        <v>167.6</v>
      </c>
      <c r="AP32" s="16">
        <v>201.2</v>
      </c>
      <c r="AQ32" s="16">
        <v>211.1</v>
      </c>
      <c r="AR32" s="16">
        <v>239.4</v>
      </c>
      <c r="AS32" s="16">
        <v>282.3</v>
      </c>
      <c r="AT32" s="16">
        <v>266.2</v>
      </c>
      <c r="AU32" s="16">
        <v>370.1</v>
      </c>
      <c r="AV32" s="16">
        <v>430.8</v>
      </c>
      <c r="AW32" s="16">
        <v>395.2</v>
      </c>
      <c r="AX32" s="16">
        <f>'[1]Corn 3'!AX32+'[1]Corn 2'!AX32+'[1]Corn 1'!AX32</f>
        <v>473</v>
      </c>
      <c r="AY32" s="17">
        <f>'[1]Corn 3'!AY32+'[1]Corn 2'!AY32+'[1]Corn 1'!AY32</f>
        <v>514.1</v>
      </c>
      <c r="AZ32" s="35">
        <v>1150</v>
      </c>
      <c r="BA32" s="19">
        <f>AZ32-AY32</f>
        <v>635.9</v>
      </c>
      <c r="BC32" s="20">
        <f>AY32-AV32</f>
        <v>83.300000000000011</v>
      </c>
      <c r="BD32" s="20">
        <f>AZ32-AV32</f>
        <v>719.2</v>
      </c>
      <c r="BE32" s="21">
        <f>BA32/AY32</f>
        <v>1.2369188873759969</v>
      </c>
    </row>
    <row r="33" spans="1:72" ht="15.75" x14ac:dyDescent="0.25">
      <c r="A33" s="34" t="s">
        <v>60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1325</v>
      </c>
      <c r="N33" s="22">
        <v>1430</v>
      </c>
      <c r="O33" s="22">
        <v>751</v>
      </c>
      <c r="P33" s="22">
        <v>1229</v>
      </c>
      <c r="Q33" s="22">
        <v>1300</v>
      </c>
      <c r="R33" s="22">
        <v>1231</v>
      </c>
      <c r="S33" s="22">
        <v>1300</v>
      </c>
      <c r="T33" s="22">
        <v>1500</v>
      </c>
      <c r="U33" s="22">
        <v>1900</v>
      </c>
      <c r="V33" s="22">
        <v>2000</v>
      </c>
      <c r="W33" s="22">
        <v>1764</v>
      </c>
      <c r="X33" s="22">
        <v>2121</v>
      </c>
      <c r="Y33" s="22">
        <v>2000</v>
      </c>
      <c r="Z33" s="22">
        <v>1959</v>
      </c>
      <c r="AA33" s="22">
        <v>1961</v>
      </c>
      <c r="AB33" s="22">
        <v>2290</v>
      </c>
      <c r="AC33" s="22">
        <v>2290</v>
      </c>
      <c r="AD33" s="22">
        <v>2018</v>
      </c>
      <c r="AE33" s="22">
        <v>2227</v>
      </c>
      <c r="AF33" s="22">
        <v>3278</v>
      </c>
      <c r="AG33" s="22">
        <v>2842</v>
      </c>
      <c r="AH33" s="22">
        <v>3158</v>
      </c>
      <c r="AI33" s="22">
        <v>3422</v>
      </c>
      <c r="AJ33" s="22">
        <v>3968</v>
      </c>
      <c r="AK33" s="22">
        <v>4321</v>
      </c>
      <c r="AL33" s="22">
        <v>4704</v>
      </c>
      <c r="AM33" s="22">
        <v>4500</v>
      </c>
      <c r="AN33" s="22">
        <v>4811</v>
      </c>
      <c r="AO33" s="22">
        <v>3223</v>
      </c>
      <c r="AP33" s="22">
        <v>4485</v>
      </c>
      <c r="AQ33" s="22">
        <v>3637</v>
      </c>
      <c r="AR33" s="22">
        <v>4986</v>
      </c>
      <c r="AS33" s="22">
        <v>5242</v>
      </c>
      <c r="AT33" s="22">
        <v>4191</v>
      </c>
      <c r="AU33" s="22">
        <v>5079</v>
      </c>
      <c r="AV33" s="22">
        <v>4759</v>
      </c>
      <c r="AW33" s="22">
        <v>5335.0523785425112</v>
      </c>
      <c r="AX33" s="16">
        <v>5629.9183932346732</v>
      </c>
      <c r="AY33" s="24">
        <v>5381.2678467224268</v>
      </c>
      <c r="AZ33" s="35">
        <v>4850</v>
      </c>
      <c r="BA33" s="19">
        <f>AZ33-AY33</f>
        <v>-531.26784672242684</v>
      </c>
      <c r="BC33" s="25">
        <f>AY33-AV33</f>
        <v>622.26784672242684</v>
      </c>
      <c r="BD33" s="25">
        <f>AZ33-AV33</f>
        <v>91</v>
      </c>
      <c r="BE33" s="21">
        <v>0</v>
      </c>
      <c r="BF33" s="44">
        <f>(AZ33/AV33)-1</f>
        <v>1.9121664215171252E-2</v>
      </c>
      <c r="BT33" s="4">
        <f>AZ33/1000</f>
        <v>4.8499999999999996</v>
      </c>
    </row>
    <row r="34" spans="1:72" ht="16.5" thickBot="1" x14ac:dyDescent="0.3">
      <c r="A34" s="34" t="s">
        <v>61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129</v>
      </c>
      <c r="N34" s="36">
        <v>149</v>
      </c>
      <c r="O34" s="36">
        <v>58</v>
      </c>
      <c r="P34" s="36">
        <v>83.6</v>
      </c>
      <c r="Q34" s="36">
        <v>92.3</v>
      </c>
      <c r="R34" s="36">
        <v>80</v>
      </c>
      <c r="S34" s="36">
        <v>84.9</v>
      </c>
      <c r="T34" s="36">
        <v>111</v>
      </c>
      <c r="U34" s="36">
        <v>136.80000000000001</v>
      </c>
      <c r="V34" s="36">
        <v>120</v>
      </c>
      <c r="W34" s="36">
        <v>97.4</v>
      </c>
      <c r="X34" s="36">
        <v>112.4</v>
      </c>
      <c r="Y34" s="36">
        <v>115</v>
      </c>
      <c r="Z34" s="36">
        <v>120.5</v>
      </c>
      <c r="AA34" s="36">
        <v>124.1</v>
      </c>
      <c r="AB34" s="36">
        <v>158</v>
      </c>
      <c r="AC34" s="36">
        <v>179.2</v>
      </c>
      <c r="AD34" s="36">
        <v>158.4</v>
      </c>
      <c r="AE34" s="36">
        <v>167.9</v>
      </c>
      <c r="AF34" s="36">
        <v>281.60000000000002</v>
      </c>
      <c r="AG34" s="36">
        <v>273.7</v>
      </c>
      <c r="AH34" s="36">
        <v>264.89999999999998</v>
      </c>
      <c r="AI34" s="36">
        <v>265.89999999999998</v>
      </c>
      <c r="AJ34" s="36">
        <v>385.3</v>
      </c>
      <c r="AK34" s="36">
        <v>447.6</v>
      </c>
      <c r="AL34" s="36">
        <v>447.8</v>
      </c>
      <c r="AM34" s="36">
        <v>683.5</v>
      </c>
      <c r="AN34" s="36">
        <v>1050.2</v>
      </c>
      <c r="AO34" s="36">
        <v>540.20000000000005</v>
      </c>
      <c r="AP34" s="36">
        <v>902.4</v>
      </c>
      <c r="AQ34" s="36">
        <v>767.7</v>
      </c>
      <c r="AR34" s="36">
        <v>1193.7</v>
      </c>
      <c r="AS34" s="36">
        <v>1479.8</v>
      </c>
      <c r="AT34" s="36">
        <v>1115.5999999999999</v>
      </c>
      <c r="AU34" s="36">
        <v>1879.7</v>
      </c>
      <c r="AV34" s="36">
        <v>2050</v>
      </c>
      <c r="AW34" s="36">
        <v>2108.4</v>
      </c>
      <c r="AX34" s="16">
        <f>'[1]Corn 3'!AX34+'[1]Corn 2'!AX34+'[1]Corn 1'!AX34</f>
        <v>2663</v>
      </c>
      <c r="AY34" s="17">
        <f>'[1]Corn 3'!AY34+'[1]Corn 2'!AY34+'[1]Corn 1'!AY34</f>
        <v>2766.5</v>
      </c>
      <c r="AZ34" s="35">
        <f>AZ32*AZ33/1000</f>
        <v>5577.5</v>
      </c>
      <c r="BA34" s="19">
        <f>AZ34-AY34</f>
        <v>2811</v>
      </c>
      <c r="BC34" s="20">
        <f>AY34-AV34</f>
        <v>716.5</v>
      </c>
      <c r="BD34" s="20">
        <f>AZ34-AV34</f>
        <v>3527.5</v>
      </c>
      <c r="BE34" s="21">
        <f>BA34/AY34</f>
        <v>1.0160853063437556</v>
      </c>
      <c r="BT34" s="4">
        <f>AZ34*1000</f>
        <v>5577500</v>
      </c>
    </row>
    <row r="35" spans="1:72" s="32" customFormat="1" ht="21.75" thickBot="1" x14ac:dyDescent="0.3">
      <c r="A35" s="45" t="s">
        <v>69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C35" s="2"/>
      <c r="BD35" s="2"/>
      <c r="BE35" s="33"/>
      <c r="BT35" s="4"/>
    </row>
    <row r="36" spans="1:72" s="32" customFormat="1" ht="15.75" x14ac:dyDescent="0.25">
      <c r="A36" s="48" t="s">
        <v>59</v>
      </c>
      <c r="B36" s="49">
        <v>2486.1</v>
      </c>
      <c r="C36" s="49">
        <v>2324.9</v>
      </c>
      <c r="D36" s="49">
        <v>2076</v>
      </c>
      <c r="E36" s="49">
        <v>2778</v>
      </c>
      <c r="F36" s="49">
        <v>2995</v>
      </c>
      <c r="G36" s="49">
        <v>3023.2</v>
      </c>
      <c r="H36" s="49">
        <v>2548.1</v>
      </c>
      <c r="I36" s="49">
        <v>2501.4</v>
      </c>
      <c r="J36" s="49">
        <v>2705.2</v>
      </c>
      <c r="K36" s="49">
        <v>3156.6</v>
      </c>
      <c r="L36" s="49">
        <v>3399.3</v>
      </c>
      <c r="M36" s="49">
        <v>3398</v>
      </c>
      <c r="N36" s="49">
        <v>3122</v>
      </c>
      <c r="O36" s="49">
        <v>2615.4</v>
      </c>
      <c r="P36" s="49">
        <v>3002.5</v>
      </c>
      <c r="Q36" s="49">
        <v>3095.2</v>
      </c>
      <c r="R36" s="49">
        <v>2156.1</v>
      </c>
      <c r="S36" s="49">
        <v>3185.9</v>
      </c>
      <c r="T36" s="49">
        <v>3221</v>
      </c>
      <c r="U36" s="49">
        <v>3330.7</v>
      </c>
      <c r="V36" s="49">
        <v>3163.2</v>
      </c>
      <c r="W36" s="49">
        <v>2050.3000000000002</v>
      </c>
      <c r="X36" s="49">
        <v>2487.4</v>
      </c>
      <c r="Y36" s="49">
        <v>2587.4</v>
      </c>
      <c r="Z36" s="49">
        <v>2580.1999999999998</v>
      </c>
      <c r="AA36" s="49">
        <v>2680.6</v>
      </c>
      <c r="AB36" s="49">
        <v>2894.9</v>
      </c>
      <c r="AC36" s="49">
        <v>2887</v>
      </c>
      <c r="AD36" s="49">
        <v>2749.6</v>
      </c>
      <c r="AE36" s="49">
        <v>2850.9</v>
      </c>
      <c r="AF36" s="49">
        <v>2961.6</v>
      </c>
      <c r="AG36" s="49">
        <v>2981.6</v>
      </c>
      <c r="AH36" s="49">
        <v>3030</v>
      </c>
      <c r="AI36" s="49">
        <v>2648.7</v>
      </c>
      <c r="AJ36" s="49">
        <v>3147.7</v>
      </c>
      <c r="AK36" s="49">
        <v>2421.5</v>
      </c>
      <c r="AL36" s="49">
        <v>2325.5</v>
      </c>
      <c r="AM36" s="49">
        <v>2899.7</v>
      </c>
      <c r="AN36" s="49">
        <v>2675.4</v>
      </c>
      <c r="AO36" s="49">
        <v>2425.1999999999998</v>
      </c>
      <c r="AP36" s="49">
        <v>2602.9</v>
      </c>
      <c r="AQ36" s="49">
        <v>2652.6</v>
      </c>
      <c r="AR36" s="49">
        <v>2506.5</v>
      </c>
      <c r="AS36" s="49">
        <v>2627.3</v>
      </c>
      <c r="AT36" s="49">
        <v>2899.9</v>
      </c>
      <c r="AU36" s="49">
        <v>3167.2</v>
      </c>
      <c r="AV36" s="49">
        <v>3300.7</v>
      </c>
      <c r="AW36" s="49">
        <v>2948.2</v>
      </c>
      <c r="AX36" s="49">
        <f>'[1]Corn 3'!AX36+'[1]Corn 2'!AX36+'[1]Corn 1'!AX36</f>
        <v>2985.9000000000005</v>
      </c>
      <c r="AY36" s="50">
        <v>2989.5999999999995</v>
      </c>
      <c r="AZ36" s="51"/>
      <c r="BA36" s="52">
        <f>AZ36-AY36</f>
        <v>-2989.5999999999995</v>
      </c>
      <c r="BB36"/>
      <c r="BC36" s="20">
        <f>AY36-AV36</f>
        <v>-311.10000000000036</v>
      </c>
      <c r="BD36" s="20">
        <f>AZ36-AV36</f>
        <v>-3300.7</v>
      </c>
      <c r="BE36" s="21">
        <f>BA36/AY36</f>
        <v>-1</v>
      </c>
      <c r="BT36" s="4"/>
    </row>
    <row r="37" spans="1:72" s="32" customFormat="1" ht="15.75" x14ac:dyDescent="0.25">
      <c r="A37" s="15" t="s">
        <v>60</v>
      </c>
      <c r="B37" s="22">
        <v>662</v>
      </c>
      <c r="C37" s="22">
        <v>643</v>
      </c>
      <c r="D37" s="22">
        <v>629</v>
      </c>
      <c r="E37" s="22">
        <v>342</v>
      </c>
      <c r="F37" s="22">
        <v>225</v>
      </c>
      <c r="G37" s="22">
        <v>380</v>
      </c>
      <c r="H37" s="22">
        <v>126</v>
      </c>
      <c r="I37" s="22">
        <v>590</v>
      </c>
      <c r="J37" s="22">
        <v>514</v>
      </c>
      <c r="K37" s="22">
        <v>573</v>
      </c>
      <c r="L37" s="22">
        <v>210</v>
      </c>
      <c r="M37" s="22">
        <v>581</v>
      </c>
      <c r="N37" s="22">
        <v>575</v>
      </c>
      <c r="O37" s="22">
        <v>365</v>
      </c>
      <c r="P37" s="22">
        <v>676</v>
      </c>
      <c r="Q37" s="22">
        <v>394</v>
      </c>
      <c r="R37" s="22">
        <v>275</v>
      </c>
      <c r="S37" s="22">
        <v>820</v>
      </c>
      <c r="T37" s="22">
        <v>832</v>
      </c>
      <c r="U37" s="22">
        <v>885</v>
      </c>
      <c r="V37" s="22">
        <v>831</v>
      </c>
      <c r="W37" s="22">
        <v>629</v>
      </c>
      <c r="X37" s="22">
        <v>896</v>
      </c>
      <c r="Y37" s="22">
        <v>1142</v>
      </c>
      <c r="Z37" s="22">
        <v>771</v>
      </c>
      <c r="AA37" s="22">
        <v>766</v>
      </c>
      <c r="AB37" s="22">
        <v>1132</v>
      </c>
      <c r="AC37" s="22">
        <v>1075</v>
      </c>
      <c r="AD37" s="22">
        <v>1080</v>
      </c>
      <c r="AE37" s="22">
        <v>1137</v>
      </c>
      <c r="AF37" s="22">
        <v>1049</v>
      </c>
      <c r="AG37" s="22">
        <v>1474</v>
      </c>
      <c r="AH37" s="22">
        <v>1532</v>
      </c>
      <c r="AI37" s="22">
        <v>1613</v>
      </c>
      <c r="AJ37" s="22">
        <v>1947</v>
      </c>
      <c r="AK37" s="22">
        <v>1802</v>
      </c>
      <c r="AL37" s="22">
        <v>2090</v>
      </c>
      <c r="AM37" s="22">
        <v>2612</v>
      </c>
      <c r="AN37" s="22">
        <v>2333</v>
      </c>
      <c r="AO37" s="22">
        <v>1417</v>
      </c>
      <c r="AP37" s="22">
        <v>2567</v>
      </c>
      <c r="AQ37" s="22">
        <v>2430</v>
      </c>
      <c r="AR37" s="22">
        <v>2664</v>
      </c>
      <c r="AS37" s="22">
        <v>3351</v>
      </c>
      <c r="AT37" s="22">
        <v>3031</v>
      </c>
      <c r="AU37" s="22">
        <v>3390</v>
      </c>
      <c r="AV37" s="22">
        <v>3542</v>
      </c>
      <c r="AW37" s="22">
        <v>3091.3980394817177</v>
      </c>
      <c r="AX37" s="22">
        <v>3372.7540774975728</v>
      </c>
      <c r="AY37" s="24">
        <v>3421.802448787379</v>
      </c>
      <c r="AZ37" s="35"/>
      <c r="BA37" s="19">
        <f>AZ37-AY37</f>
        <v>-3421.802448787379</v>
      </c>
      <c r="BB37"/>
      <c r="BC37" s="25">
        <f>AY37-AV37</f>
        <v>-120.19755121262097</v>
      </c>
      <c r="BD37" s="25">
        <f>AZ37-AV37</f>
        <v>-3542</v>
      </c>
      <c r="BE37" s="21">
        <v>0</v>
      </c>
      <c r="BT37" s="4">
        <f>AZ37/1000</f>
        <v>0</v>
      </c>
    </row>
    <row r="38" spans="1:72" s="32" customFormat="1" ht="15.75" x14ac:dyDescent="0.25">
      <c r="A38" s="15" t="s">
        <v>61</v>
      </c>
      <c r="B38" s="16">
        <v>1645</v>
      </c>
      <c r="C38" s="16">
        <v>1495</v>
      </c>
      <c r="D38" s="16">
        <v>1305</v>
      </c>
      <c r="E38" s="16">
        <v>949</v>
      </c>
      <c r="F38" s="16">
        <v>673</v>
      </c>
      <c r="G38" s="16">
        <v>1150</v>
      </c>
      <c r="H38" s="16">
        <v>321</v>
      </c>
      <c r="I38" s="16">
        <v>1475</v>
      </c>
      <c r="J38" s="16">
        <v>1391</v>
      </c>
      <c r="K38" s="16">
        <v>1810</v>
      </c>
      <c r="L38" s="16">
        <v>713</v>
      </c>
      <c r="M38" s="16">
        <v>1976</v>
      </c>
      <c r="N38" s="16">
        <v>1795</v>
      </c>
      <c r="O38" s="16">
        <v>954</v>
      </c>
      <c r="P38" s="16">
        <v>2030.8</v>
      </c>
      <c r="Q38" s="16">
        <v>1218.7</v>
      </c>
      <c r="R38" s="16">
        <v>592.70000000000005</v>
      </c>
      <c r="S38" s="16">
        <v>2612.6999999999998</v>
      </c>
      <c r="T38" s="16">
        <v>2679.9</v>
      </c>
      <c r="U38" s="16">
        <v>2948.2</v>
      </c>
      <c r="V38" s="16">
        <v>2628</v>
      </c>
      <c r="W38" s="16">
        <v>1288.8</v>
      </c>
      <c r="X38" s="16">
        <v>2229.4</v>
      </c>
      <c r="Y38" s="16">
        <v>2953.8</v>
      </c>
      <c r="Z38" s="16">
        <v>1988.3</v>
      </c>
      <c r="AA38" s="16">
        <v>2054.5</v>
      </c>
      <c r="AB38" s="16">
        <v>3277.5</v>
      </c>
      <c r="AC38" s="16">
        <v>3002.6</v>
      </c>
      <c r="AD38" s="16">
        <v>2969.4</v>
      </c>
      <c r="AE38" s="16">
        <v>3242.4</v>
      </c>
      <c r="AF38" s="16">
        <v>3106.2</v>
      </c>
      <c r="AG38" s="16">
        <v>4396</v>
      </c>
      <c r="AH38" s="16">
        <v>4642.3999999999996</v>
      </c>
      <c r="AI38" s="16">
        <v>4273.6000000000004</v>
      </c>
      <c r="AJ38" s="16">
        <v>6128</v>
      </c>
      <c r="AK38" s="16">
        <v>4364</v>
      </c>
      <c r="AL38" s="16">
        <v>4859.8</v>
      </c>
      <c r="AM38" s="16">
        <v>7574.5</v>
      </c>
      <c r="AN38" s="16">
        <v>6243.1</v>
      </c>
      <c r="AO38" s="16">
        <v>3435.4</v>
      </c>
      <c r="AP38" s="16">
        <v>6681.3</v>
      </c>
      <c r="AQ38" s="16">
        <v>6445.8</v>
      </c>
      <c r="AR38" s="16">
        <v>6676.8</v>
      </c>
      <c r="AS38" s="16">
        <v>8804.6</v>
      </c>
      <c r="AT38" s="16">
        <v>8788.9</v>
      </c>
      <c r="AU38" s="16">
        <v>10737</v>
      </c>
      <c r="AV38" s="16">
        <v>11691.5</v>
      </c>
      <c r="AW38" s="16">
        <v>9114</v>
      </c>
      <c r="AX38" s="16">
        <f>'[1]Corn 3'!AX38+'[1]Corn 2'!AX38+'[1]Corn 1'!AX38</f>
        <v>10070.5</v>
      </c>
      <c r="AY38" s="17">
        <f>'[1]Corn 3'!AY38+'[1]Corn 2'!AY38+'[1]Corn 1'!AY38</f>
        <v>10172.6</v>
      </c>
      <c r="AZ38" s="35"/>
      <c r="BA38" s="19">
        <f>AZ38-AY38</f>
        <v>-10172.6</v>
      </c>
      <c r="BB38"/>
      <c r="BC38" s="20">
        <f>AY38-AV38</f>
        <v>-1518.8999999999996</v>
      </c>
      <c r="BD38" s="20">
        <f>AZ38-AV38</f>
        <v>-11691.5</v>
      </c>
      <c r="BE38" s="21">
        <f>BA38/AY38</f>
        <v>-1</v>
      </c>
      <c r="BT38" s="4">
        <f>AZ38*1000</f>
        <v>0</v>
      </c>
    </row>
    <row r="39" spans="1:72" ht="15.75" x14ac:dyDescent="0.25">
      <c r="A39" s="26" t="s">
        <v>70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41"/>
      <c r="AZ39" s="42"/>
      <c r="BA39" s="43"/>
      <c r="BC39" s="2"/>
      <c r="BD39" s="2"/>
      <c r="BE39" s="33"/>
    </row>
    <row r="40" spans="1:72" ht="15.75" x14ac:dyDescent="0.25">
      <c r="A40" s="34" t="s">
        <v>59</v>
      </c>
      <c r="B40" s="36">
        <v>396.8</v>
      </c>
      <c r="C40" s="36">
        <v>421.8</v>
      </c>
      <c r="D40" s="36">
        <v>380</v>
      </c>
      <c r="E40" s="36">
        <v>503</v>
      </c>
      <c r="F40" s="36">
        <v>507</v>
      </c>
      <c r="G40" s="36">
        <v>556</v>
      </c>
      <c r="H40" s="36">
        <v>473</v>
      </c>
      <c r="I40" s="36">
        <v>468</v>
      </c>
      <c r="J40" s="36">
        <v>421</v>
      </c>
      <c r="K40" s="36">
        <v>530</v>
      </c>
      <c r="L40" s="36">
        <v>551.79999999999995</v>
      </c>
      <c r="M40" s="36">
        <v>551.79999999999995</v>
      </c>
      <c r="N40" s="36">
        <v>570</v>
      </c>
      <c r="O40" s="36">
        <v>524</v>
      </c>
      <c r="P40" s="36">
        <v>563</v>
      </c>
      <c r="Q40" s="36">
        <v>580</v>
      </c>
      <c r="R40" s="36">
        <v>533.6</v>
      </c>
      <c r="S40" s="36">
        <v>590.20000000000005</v>
      </c>
      <c r="T40" s="36">
        <v>650</v>
      </c>
      <c r="U40" s="36">
        <v>650</v>
      </c>
      <c r="V40" s="36">
        <v>585</v>
      </c>
      <c r="W40" s="36">
        <v>304.2</v>
      </c>
      <c r="X40" s="36">
        <v>317.89999999999998</v>
      </c>
      <c r="Y40" s="16">
        <v>320</v>
      </c>
      <c r="Z40" s="36">
        <v>322.89999999999998</v>
      </c>
      <c r="AA40" s="36">
        <v>324.5</v>
      </c>
      <c r="AB40" s="36">
        <v>360.2</v>
      </c>
      <c r="AC40" s="36">
        <v>371</v>
      </c>
      <c r="AD40" s="36">
        <v>385.8</v>
      </c>
      <c r="AE40" s="36">
        <v>362.7</v>
      </c>
      <c r="AF40" s="36">
        <v>367.1</v>
      </c>
      <c r="AG40" s="36">
        <v>353.3</v>
      </c>
      <c r="AH40" s="16">
        <v>373.4</v>
      </c>
      <c r="AI40" s="16">
        <v>382.4</v>
      </c>
      <c r="AJ40" s="16">
        <v>477.6</v>
      </c>
      <c r="AK40" s="16">
        <v>454.6</v>
      </c>
      <c r="AL40" s="16">
        <v>506.7</v>
      </c>
      <c r="AM40" s="16">
        <v>606.4</v>
      </c>
      <c r="AN40" s="16">
        <v>514.29999999999995</v>
      </c>
      <c r="AO40" s="16">
        <v>354.3</v>
      </c>
      <c r="AP40" s="16">
        <v>491.7</v>
      </c>
      <c r="AQ40" s="16">
        <v>483.4</v>
      </c>
      <c r="AR40" s="16">
        <v>410.8</v>
      </c>
      <c r="AS40" s="16">
        <v>452.4</v>
      </c>
      <c r="AT40" s="16">
        <v>471.9</v>
      </c>
      <c r="AU40" s="16">
        <v>566.79999999999995</v>
      </c>
      <c r="AV40" s="16">
        <v>609.1</v>
      </c>
      <c r="AW40" s="16">
        <v>551</v>
      </c>
      <c r="AX40" s="16">
        <f>'[1]Corn 3'!AX40+'[1]Corn 2'!AX40+'[1]Corn 1'!AX40</f>
        <v>597.1</v>
      </c>
      <c r="AY40" s="17">
        <v>576.79999999999995</v>
      </c>
      <c r="AZ40" s="35"/>
      <c r="BA40" s="19">
        <f>AZ40-AY40</f>
        <v>-576.79999999999995</v>
      </c>
      <c r="BC40" s="20">
        <f>AY40-AV40</f>
        <v>-32.300000000000068</v>
      </c>
      <c r="BD40" s="20">
        <f>AZ40-AV40</f>
        <v>-609.1</v>
      </c>
      <c r="BE40" s="21">
        <f>BA40/AY40</f>
        <v>-1</v>
      </c>
      <c r="BJ40" t="s">
        <v>71</v>
      </c>
      <c r="BK40" s="44">
        <v>0.11</v>
      </c>
    </row>
    <row r="41" spans="1:72" ht="15.75" x14ac:dyDescent="0.25">
      <c r="A41" s="34" t="s">
        <v>60</v>
      </c>
      <c r="B41" s="22">
        <v>596</v>
      </c>
      <c r="C41" s="22">
        <v>605</v>
      </c>
      <c r="D41" s="22">
        <v>589</v>
      </c>
      <c r="E41" s="22">
        <v>529</v>
      </c>
      <c r="F41" s="22">
        <v>349</v>
      </c>
      <c r="G41" s="22">
        <v>545</v>
      </c>
      <c r="H41" s="22">
        <v>200</v>
      </c>
      <c r="I41" s="22">
        <v>700</v>
      </c>
      <c r="J41" s="22">
        <v>300</v>
      </c>
      <c r="K41" s="22">
        <v>547</v>
      </c>
      <c r="L41" s="22">
        <v>210</v>
      </c>
      <c r="M41" s="22">
        <v>625</v>
      </c>
      <c r="N41" s="22">
        <v>600</v>
      </c>
      <c r="O41" s="22">
        <v>330</v>
      </c>
      <c r="P41" s="22">
        <v>630</v>
      </c>
      <c r="Q41" s="22">
        <v>409</v>
      </c>
      <c r="R41" s="22">
        <v>370</v>
      </c>
      <c r="S41" s="22">
        <v>700</v>
      </c>
      <c r="T41" s="22">
        <v>650</v>
      </c>
      <c r="U41" s="22">
        <v>700</v>
      </c>
      <c r="V41" s="22">
        <v>620</v>
      </c>
      <c r="W41" s="22">
        <v>690</v>
      </c>
      <c r="X41" s="22">
        <v>925</v>
      </c>
      <c r="Y41" s="22">
        <v>980</v>
      </c>
      <c r="Z41" s="22">
        <v>960</v>
      </c>
      <c r="AA41" s="22">
        <v>1000</v>
      </c>
      <c r="AB41" s="22">
        <v>1150</v>
      </c>
      <c r="AC41" s="22">
        <v>1160</v>
      </c>
      <c r="AD41" s="22">
        <v>1050</v>
      </c>
      <c r="AE41" s="22">
        <v>1170</v>
      </c>
      <c r="AF41" s="22">
        <v>1218</v>
      </c>
      <c r="AG41" s="22">
        <v>1388</v>
      </c>
      <c r="AH41" s="22">
        <v>1350</v>
      </c>
      <c r="AI41" s="22">
        <v>1470</v>
      </c>
      <c r="AJ41" s="22">
        <v>1842</v>
      </c>
      <c r="AK41" s="22">
        <v>1609</v>
      </c>
      <c r="AL41" s="22">
        <v>2584</v>
      </c>
      <c r="AM41" s="22">
        <v>2846</v>
      </c>
      <c r="AN41" s="22">
        <v>2857</v>
      </c>
      <c r="AO41" s="22">
        <v>2468</v>
      </c>
      <c r="AP41" s="22">
        <v>3970</v>
      </c>
      <c r="AQ41" s="22">
        <v>3897</v>
      </c>
      <c r="AR41" s="22">
        <v>4363</v>
      </c>
      <c r="AS41" s="22">
        <v>4855</v>
      </c>
      <c r="AT41" s="22">
        <v>5095</v>
      </c>
      <c r="AU41" s="22">
        <v>5128</v>
      </c>
      <c r="AV41" s="22">
        <v>5161</v>
      </c>
      <c r="AW41" s="22">
        <v>4993.1177858439196</v>
      </c>
      <c r="AX41" s="22">
        <v>5714.8832691341477</v>
      </c>
      <c r="AY41" s="24">
        <v>5088.9714751426245</v>
      </c>
      <c r="AZ41" s="35"/>
      <c r="BA41" s="19">
        <f>AZ41-AY41</f>
        <v>-5088.9714751426245</v>
      </c>
      <c r="BC41" s="25">
        <f>AY41-AV41</f>
        <v>-72.028524857375487</v>
      </c>
      <c r="BD41" s="25">
        <f>AZ41-AV41</f>
        <v>-5161</v>
      </c>
      <c r="BE41" s="21">
        <v>0</v>
      </c>
      <c r="BF41" s="44">
        <f>(AZ41/AV41)-1</f>
        <v>-1</v>
      </c>
      <c r="BJ41" t="s">
        <v>72</v>
      </c>
      <c r="BK41" s="44">
        <v>0.06</v>
      </c>
      <c r="BL41" s="44"/>
      <c r="BT41" s="4">
        <f>AZ41/1000</f>
        <v>0</v>
      </c>
    </row>
    <row r="42" spans="1:72" s="32" customFormat="1" ht="15.75" x14ac:dyDescent="0.25">
      <c r="A42" s="34" t="s">
        <v>61</v>
      </c>
      <c r="B42" s="36">
        <v>237</v>
      </c>
      <c r="C42" s="36">
        <v>255</v>
      </c>
      <c r="D42" s="36">
        <v>224</v>
      </c>
      <c r="E42" s="36">
        <v>266</v>
      </c>
      <c r="F42" s="36">
        <v>177</v>
      </c>
      <c r="G42" s="36">
        <v>303</v>
      </c>
      <c r="H42" s="36">
        <v>95</v>
      </c>
      <c r="I42" s="36">
        <v>328</v>
      </c>
      <c r="J42" s="36">
        <v>126</v>
      </c>
      <c r="K42" s="36">
        <v>290</v>
      </c>
      <c r="L42" s="36">
        <v>116</v>
      </c>
      <c r="M42" s="36">
        <v>345</v>
      </c>
      <c r="N42" s="36">
        <v>342</v>
      </c>
      <c r="O42" s="36">
        <v>173</v>
      </c>
      <c r="P42" s="36">
        <v>354.7</v>
      </c>
      <c r="Q42" s="36">
        <v>237.2</v>
      </c>
      <c r="R42" s="36">
        <v>197.4</v>
      </c>
      <c r="S42" s="36">
        <v>413.1</v>
      </c>
      <c r="T42" s="36">
        <v>422.5</v>
      </c>
      <c r="U42" s="36">
        <v>455</v>
      </c>
      <c r="V42" s="36">
        <v>362.7</v>
      </c>
      <c r="W42" s="36">
        <v>209.9</v>
      </c>
      <c r="X42" s="36">
        <v>294.10000000000002</v>
      </c>
      <c r="Y42" s="36">
        <v>313.60000000000002</v>
      </c>
      <c r="Z42" s="36">
        <v>310</v>
      </c>
      <c r="AA42" s="36">
        <v>324.5</v>
      </c>
      <c r="AB42" s="36">
        <v>414.2</v>
      </c>
      <c r="AC42" s="36">
        <v>430.4</v>
      </c>
      <c r="AD42" s="36">
        <v>405.1</v>
      </c>
      <c r="AE42" s="36">
        <v>424.4</v>
      </c>
      <c r="AF42" s="36">
        <v>447.1</v>
      </c>
      <c r="AG42" s="36">
        <v>490.4</v>
      </c>
      <c r="AH42" s="36">
        <v>504.1</v>
      </c>
      <c r="AI42" s="36">
        <v>562.1</v>
      </c>
      <c r="AJ42" s="36">
        <v>879.7</v>
      </c>
      <c r="AK42" s="36">
        <v>731.6</v>
      </c>
      <c r="AL42" s="36">
        <v>1309.4000000000001</v>
      </c>
      <c r="AM42" s="36">
        <v>1725.9</v>
      </c>
      <c r="AN42" s="36">
        <v>1469.2</v>
      </c>
      <c r="AO42" s="36">
        <v>874.4</v>
      </c>
      <c r="AP42" s="36">
        <v>1951.9</v>
      </c>
      <c r="AQ42" s="36">
        <v>1884</v>
      </c>
      <c r="AR42" s="36">
        <v>1792.5</v>
      </c>
      <c r="AS42" s="36">
        <v>2196.3000000000002</v>
      </c>
      <c r="AT42" s="36">
        <v>2404.3000000000002</v>
      </c>
      <c r="AU42" s="36">
        <v>2906.4</v>
      </c>
      <c r="AV42" s="36">
        <v>3143.8</v>
      </c>
      <c r="AW42" s="36">
        <v>2751.2</v>
      </c>
      <c r="AX42" s="36">
        <f>'[1]Corn 3'!AX42+'[1]Corn 2'!AX42+'[1]Corn 1'!AX42</f>
        <v>3412.4</v>
      </c>
      <c r="AY42" s="17">
        <f>'[1]Corn 3'!AY42+'[1]Corn 2'!AY42+'[1]Corn 1'!AY42</f>
        <v>3122.1000000000004</v>
      </c>
      <c r="AZ42" s="35"/>
      <c r="BA42" s="19">
        <f>AZ42-AY42</f>
        <v>-3122.1000000000004</v>
      </c>
      <c r="BB42"/>
      <c r="BC42" s="20">
        <f>AY42-AV42</f>
        <v>-21.699999999999818</v>
      </c>
      <c r="BD42" s="20">
        <f>AZ42-AV42</f>
        <v>-3143.8</v>
      </c>
      <c r="BE42" s="21">
        <f>BA42/AY42</f>
        <v>-1</v>
      </c>
      <c r="BJ42" s="32" t="s">
        <v>73</v>
      </c>
      <c r="BK42" s="44">
        <v>0.05</v>
      </c>
      <c r="BL42" s="44"/>
      <c r="BT42" s="4">
        <f>AZ42*1000</f>
        <v>0</v>
      </c>
    </row>
    <row r="43" spans="1:72" ht="15.75" x14ac:dyDescent="0.25">
      <c r="A43" s="53" t="s">
        <v>74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41"/>
      <c r="AZ43" s="42"/>
      <c r="BA43" s="43"/>
      <c r="BC43" s="2"/>
      <c r="BD43" s="2"/>
      <c r="BE43" s="33"/>
      <c r="BJ43" t="s">
        <v>75</v>
      </c>
      <c r="BK43" s="44">
        <v>0.09</v>
      </c>
      <c r="BL43" s="44"/>
    </row>
    <row r="44" spans="1:72" ht="15.75" x14ac:dyDescent="0.25">
      <c r="A44" s="34" t="s">
        <v>59</v>
      </c>
      <c r="B44" s="36">
        <v>198.2</v>
      </c>
      <c r="C44" s="36">
        <v>208.1</v>
      </c>
      <c r="D44" s="36">
        <v>170</v>
      </c>
      <c r="E44" s="36">
        <v>308</v>
      </c>
      <c r="F44" s="36">
        <v>283</v>
      </c>
      <c r="G44" s="36">
        <v>389.5</v>
      </c>
      <c r="H44" s="36">
        <v>266.5</v>
      </c>
      <c r="I44" s="36">
        <v>262</v>
      </c>
      <c r="J44" s="36">
        <v>340</v>
      </c>
      <c r="K44" s="36">
        <v>475.6</v>
      </c>
      <c r="L44" s="36">
        <v>443.5</v>
      </c>
      <c r="M44" s="36">
        <v>456</v>
      </c>
      <c r="N44" s="36">
        <v>428</v>
      </c>
      <c r="O44" s="36">
        <v>320</v>
      </c>
      <c r="P44" s="36">
        <v>325</v>
      </c>
      <c r="Q44" s="36">
        <v>386.3</v>
      </c>
      <c r="R44" s="36">
        <v>397.9</v>
      </c>
      <c r="S44" s="36">
        <v>463.7</v>
      </c>
      <c r="T44" s="36">
        <v>460</v>
      </c>
      <c r="U44" s="36">
        <v>440</v>
      </c>
      <c r="V44" s="36">
        <v>436</v>
      </c>
      <c r="W44" s="36">
        <v>257.2</v>
      </c>
      <c r="X44" s="36">
        <v>277.7</v>
      </c>
      <c r="Y44" s="16">
        <v>283</v>
      </c>
      <c r="Z44" s="36">
        <v>278</v>
      </c>
      <c r="AA44" s="36">
        <v>280</v>
      </c>
      <c r="AB44" s="36">
        <v>282.8</v>
      </c>
      <c r="AC44" s="36">
        <v>297.8</v>
      </c>
      <c r="AD44" s="36">
        <v>294.8</v>
      </c>
      <c r="AE44" s="36">
        <v>290.10000000000002</v>
      </c>
      <c r="AF44" s="36">
        <v>295.3</v>
      </c>
      <c r="AG44" s="36">
        <v>290.89999999999998</v>
      </c>
      <c r="AH44" s="16">
        <v>329.6</v>
      </c>
      <c r="AI44" s="16">
        <v>309.89999999999998</v>
      </c>
      <c r="AJ44" s="16">
        <v>349.6</v>
      </c>
      <c r="AK44" s="16">
        <v>351.6</v>
      </c>
      <c r="AL44" s="16">
        <v>379.8</v>
      </c>
      <c r="AM44" s="16">
        <v>405</v>
      </c>
      <c r="AN44" s="16">
        <v>406.4</v>
      </c>
      <c r="AO44" s="16">
        <v>492.5</v>
      </c>
      <c r="AP44" s="16">
        <v>467.4</v>
      </c>
      <c r="AQ44" s="16">
        <v>488.5</v>
      </c>
      <c r="AR44" s="16">
        <v>451.6</v>
      </c>
      <c r="AS44" s="16">
        <v>467.6</v>
      </c>
      <c r="AT44" s="16">
        <v>523.4</v>
      </c>
      <c r="AU44" s="16">
        <v>581.6</v>
      </c>
      <c r="AV44" s="16">
        <v>639.4</v>
      </c>
      <c r="AW44" s="16">
        <v>418.1</v>
      </c>
      <c r="AX44" s="16">
        <f>'[1]Corn 3'!AX44+'[1]Corn 2'!AX44+'[1]Corn 1'!AX44</f>
        <v>468.90000000000003</v>
      </c>
      <c r="AY44" s="17">
        <v>461.3</v>
      </c>
      <c r="AZ44" s="35"/>
      <c r="BA44" s="19">
        <f>AZ44-AY44</f>
        <v>-461.3</v>
      </c>
      <c r="BC44" s="20">
        <f>AY44-AV44</f>
        <v>-178.09999999999997</v>
      </c>
      <c r="BD44" s="20">
        <f>AZ44-AV44</f>
        <v>-639.4</v>
      </c>
      <c r="BE44" s="21">
        <f>BA44/AY44</f>
        <v>-1</v>
      </c>
      <c r="BJ44" t="s">
        <v>76</v>
      </c>
      <c r="BK44" s="44">
        <v>0.15</v>
      </c>
      <c r="BL44" s="44"/>
    </row>
    <row r="45" spans="1:72" ht="15.75" x14ac:dyDescent="0.25">
      <c r="A45" s="34" t="s">
        <v>60</v>
      </c>
      <c r="B45" s="22">
        <v>660</v>
      </c>
      <c r="C45" s="22">
        <v>833</v>
      </c>
      <c r="D45" s="22">
        <v>676</v>
      </c>
      <c r="E45" s="22">
        <v>249</v>
      </c>
      <c r="F45" s="22">
        <v>208</v>
      </c>
      <c r="G45" s="22">
        <v>290</v>
      </c>
      <c r="H45" s="22">
        <v>96</v>
      </c>
      <c r="I45" s="22">
        <v>630</v>
      </c>
      <c r="J45" s="22">
        <v>520</v>
      </c>
      <c r="K45" s="22">
        <v>736</v>
      </c>
      <c r="L45" s="22">
        <v>280</v>
      </c>
      <c r="M45" s="22">
        <v>830</v>
      </c>
      <c r="N45" s="22">
        <v>850</v>
      </c>
      <c r="O45" s="22">
        <v>400</v>
      </c>
      <c r="P45" s="22">
        <v>790</v>
      </c>
      <c r="Q45" s="22">
        <v>200</v>
      </c>
      <c r="R45" s="22">
        <v>150</v>
      </c>
      <c r="S45" s="22">
        <v>950</v>
      </c>
      <c r="T45" s="22">
        <v>880</v>
      </c>
      <c r="U45" s="22">
        <v>993</v>
      </c>
      <c r="V45" s="22">
        <v>406</v>
      </c>
      <c r="W45" s="22">
        <v>237</v>
      </c>
      <c r="X45" s="22">
        <v>850</v>
      </c>
      <c r="Y45" s="22">
        <v>817</v>
      </c>
      <c r="Z45" s="22">
        <v>520</v>
      </c>
      <c r="AA45" s="22">
        <v>299</v>
      </c>
      <c r="AB45" s="22">
        <v>1016</v>
      </c>
      <c r="AC45" s="22">
        <v>510</v>
      </c>
      <c r="AD45" s="22">
        <v>663</v>
      </c>
      <c r="AE45" s="22">
        <v>804</v>
      </c>
      <c r="AF45" s="22">
        <v>606</v>
      </c>
      <c r="AG45" s="22">
        <v>1110</v>
      </c>
      <c r="AH45" s="22">
        <v>1503</v>
      </c>
      <c r="AI45" s="22">
        <v>1141</v>
      </c>
      <c r="AJ45" s="22">
        <v>2017</v>
      </c>
      <c r="AK45" s="22">
        <v>2239</v>
      </c>
      <c r="AL45" s="22">
        <v>1429</v>
      </c>
      <c r="AM45" s="22">
        <v>2542</v>
      </c>
      <c r="AN45" s="22">
        <v>2619</v>
      </c>
      <c r="AO45" s="22">
        <v>1502</v>
      </c>
      <c r="AP45" s="22">
        <v>2966</v>
      </c>
      <c r="AQ45" s="22">
        <v>3048</v>
      </c>
      <c r="AR45" s="22">
        <v>4084</v>
      </c>
      <c r="AS45" s="22">
        <v>4695</v>
      </c>
      <c r="AT45" s="22">
        <v>4005</v>
      </c>
      <c r="AU45" s="22">
        <v>4728</v>
      </c>
      <c r="AV45" s="22">
        <v>4523</v>
      </c>
      <c r="AW45" s="22">
        <v>3696.1370485529778</v>
      </c>
      <c r="AX45" s="22">
        <v>4095.9443378119004</v>
      </c>
      <c r="AY45" s="24">
        <v>4349.412646273865</v>
      </c>
      <c r="AZ45" s="35"/>
      <c r="BA45" s="19">
        <f>AZ45-AY45</f>
        <v>-4349.412646273865</v>
      </c>
      <c r="BC45" s="25">
        <f>AY45-AV45</f>
        <v>-173.58735372613501</v>
      </c>
      <c r="BD45" s="25">
        <f>AZ45-AV45</f>
        <v>-4523</v>
      </c>
      <c r="BE45" s="21">
        <v>0</v>
      </c>
      <c r="BF45" s="44">
        <f>(AZ45/AV45)-1</f>
        <v>-1</v>
      </c>
      <c r="BJ45" t="s">
        <v>77</v>
      </c>
      <c r="BK45" s="44">
        <v>0.05</v>
      </c>
      <c r="BT45" s="4">
        <f>AZ45/1000</f>
        <v>0</v>
      </c>
    </row>
    <row r="46" spans="1:72" s="32" customFormat="1" ht="15.75" x14ac:dyDescent="0.25">
      <c r="A46" s="34" t="s">
        <v>61</v>
      </c>
      <c r="B46" s="36">
        <v>131</v>
      </c>
      <c r="C46" s="36">
        <v>173</v>
      </c>
      <c r="D46" s="36">
        <v>115</v>
      </c>
      <c r="E46" s="36">
        <v>77</v>
      </c>
      <c r="F46" s="36">
        <v>59</v>
      </c>
      <c r="G46" s="36">
        <v>113</v>
      </c>
      <c r="H46" s="36">
        <v>26</v>
      </c>
      <c r="I46" s="36">
        <v>165</v>
      </c>
      <c r="J46" s="36">
        <v>177</v>
      </c>
      <c r="K46" s="36">
        <v>350</v>
      </c>
      <c r="L46" s="36">
        <v>124</v>
      </c>
      <c r="M46" s="36">
        <v>379</v>
      </c>
      <c r="N46" s="36">
        <v>364</v>
      </c>
      <c r="O46" s="36">
        <v>128</v>
      </c>
      <c r="P46" s="36">
        <v>256.8</v>
      </c>
      <c r="Q46" s="36">
        <v>77.3</v>
      </c>
      <c r="R46" s="36">
        <v>59.7</v>
      </c>
      <c r="S46" s="36">
        <v>440.5</v>
      </c>
      <c r="T46" s="36">
        <v>404.8</v>
      </c>
      <c r="U46" s="36">
        <v>436.9</v>
      </c>
      <c r="V46" s="36">
        <v>177</v>
      </c>
      <c r="W46" s="36">
        <v>61</v>
      </c>
      <c r="X46" s="36">
        <v>236</v>
      </c>
      <c r="Y46" s="36">
        <v>231.2</v>
      </c>
      <c r="Z46" s="36">
        <v>144.6</v>
      </c>
      <c r="AA46" s="36">
        <v>83.7</v>
      </c>
      <c r="AB46" s="36">
        <v>287.3</v>
      </c>
      <c r="AC46" s="36">
        <v>134</v>
      </c>
      <c r="AD46" s="36">
        <v>195.5</v>
      </c>
      <c r="AE46" s="36">
        <v>233.2</v>
      </c>
      <c r="AF46" s="36">
        <v>179</v>
      </c>
      <c r="AG46" s="36">
        <v>322.89999999999998</v>
      </c>
      <c r="AH46" s="36">
        <v>495.4</v>
      </c>
      <c r="AI46" s="36">
        <v>353.6</v>
      </c>
      <c r="AJ46" s="36">
        <v>705.1</v>
      </c>
      <c r="AK46" s="36">
        <v>787.2</v>
      </c>
      <c r="AL46" s="36">
        <v>542.79999999999995</v>
      </c>
      <c r="AM46" s="36">
        <v>1029.4000000000001</v>
      </c>
      <c r="AN46" s="36">
        <v>1064.3</v>
      </c>
      <c r="AO46" s="36">
        <v>739.5</v>
      </c>
      <c r="AP46" s="36">
        <v>1386.3</v>
      </c>
      <c r="AQ46" s="36">
        <v>1488.8</v>
      </c>
      <c r="AR46" s="36">
        <v>1844.4</v>
      </c>
      <c r="AS46" s="36">
        <v>2195.1999999999998</v>
      </c>
      <c r="AT46" s="36">
        <v>2096</v>
      </c>
      <c r="AU46" s="36">
        <v>2750</v>
      </c>
      <c r="AV46" s="36">
        <v>2892</v>
      </c>
      <c r="AW46" s="36">
        <v>1545.4</v>
      </c>
      <c r="AX46" s="36">
        <f>'[1]Corn 3'!AX46+'[1]Corn 2'!AX46+'[1]Corn 1'!AX46</f>
        <v>1920.5</v>
      </c>
      <c r="AY46" s="17">
        <f>'[1]Corn 3'!AY46+'[1]Corn 2'!AY46+'[1]Corn 1'!AY46</f>
        <v>2118.6</v>
      </c>
      <c r="AZ46" s="35"/>
      <c r="BA46" s="19">
        <f>AZ46-AY46</f>
        <v>-2118.6</v>
      </c>
      <c r="BB46"/>
      <c r="BC46" s="20">
        <f>AY46-AV46</f>
        <v>-773.40000000000009</v>
      </c>
      <c r="BD46" s="20">
        <f>AZ46-AV46</f>
        <v>-2892</v>
      </c>
      <c r="BE46" s="21">
        <f>BA46/AY46</f>
        <v>-1</v>
      </c>
      <c r="BJ46" s="32" t="s">
        <v>78</v>
      </c>
      <c r="BK46" s="44">
        <v>7.0000000000000007E-2</v>
      </c>
      <c r="BT46" s="4">
        <f>AZ46*1000</f>
        <v>0</v>
      </c>
    </row>
    <row r="47" spans="1:72" ht="15.75" x14ac:dyDescent="0.25">
      <c r="A47" s="53" t="s">
        <v>79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41"/>
      <c r="AZ47" s="42"/>
      <c r="BA47" s="43"/>
      <c r="BC47" s="2"/>
      <c r="BD47" s="2"/>
      <c r="BE47" s="33"/>
      <c r="BJ47" t="s">
        <v>80</v>
      </c>
      <c r="BK47" s="44">
        <v>0.03</v>
      </c>
    </row>
    <row r="48" spans="1:72" ht="15.75" x14ac:dyDescent="0.25">
      <c r="A48" s="34" t="s">
        <v>59</v>
      </c>
      <c r="B48" s="36">
        <v>530</v>
      </c>
      <c r="C48" s="36">
        <v>496</v>
      </c>
      <c r="D48" s="36">
        <v>426</v>
      </c>
      <c r="E48" s="36">
        <v>520</v>
      </c>
      <c r="F48" s="36">
        <v>520</v>
      </c>
      <c r="G48" s="36">
        <v>505.8</v>
      </c>
      <c r="H48" s="36">
        <v>480</v>
      </c>
      <c r="I48" s="36">
        <v>400</v>
      </c>
      <c r="J48" s="36">
        <v>460</v>
      </c>
      <c r="K48" s="36">
        <v>512</v>
      </c>
      <c r="L48" s="36">
        <v>638</v>
      </c>
      <c r="M48" s="36">
        <v>641</v>
      </c>
      <c r="N48" s="36">
        <v>540</v>
      </c>
      <c r="O48" s="36">
        <v>630</v>
      </c>
      <c r="P48" s="36">
        <v>586</v>
      </c>
      <c r="Q48" s="36">
        <v>610.70000000000005</v>
      </c>
      <c r="R48" s="36">
        <v>486.8</v>
      </c>
      <c r="S48" s="36">
        <v>704.3</v>
      </c>
      <c r="T48" s="36">
        <v>651.20000000000005</v>
      </c>
      <c r="U48" s="36">
        <v>688.3</v>
      </c>
      <c r="V48" s="36">
        <v>522.6</v>
      </c>
      <c r="W48" s="36">
        <v>480.8</v>
      </c>
      <c r="X48" s="36">
        <v>581.79999999999995</v>
      </c>
      <c r="Y48" s="16">
        <v>619</v>
      </c>
      <c r="Z48" s="36">
        <v>612.79999999999995</v>
      </c>
      <c r="AA48" s="36">
        <v>695.6</v>
      </c>
      <c r="AB48" s="36">
        <v>713.7</v>
      </c>
      <c r="AC48" s="36">
        <v>681.6</v>
      </c>
      <c r="AD48" s="36">
        <v>558.9</v>
      </c>
      <c r="AE48" s="36">
        <v>638.79999999999995</v>
      </c>
      <c r="AF48" s="36">
        <v>673.9</v>
      </c>
      <c r="AG48" s="36">
        <v>694.2</v>
      </c>
      <c r="AH48" s="16">
        <v>689.3</v>
      </c>
      <c r="AI48" s="16">
        <v>535.6</v>
      </c>
      <c r="AJ48" s="16">
        <v>723</v>
      </c>
      <c r="AK48" s="16">
        <v>520.6</v>
      </c>
      <c r="AL48" s="16">
        <v>408.7</v>
      </c>
      <c r="AM48" s="16">
        <v>480.6</v>
      </c>
      <c r="AN48" s="16">
        <v>480.6</v>
      </c>
      <c r="AO48" s="16">
        <v>460.2</v>
      </c>
      <c r="AP48" s="16">
        <v>514</v>
      </c>
      <c r="AQ48" s="16">
        <v>535.1</v>
      </c>
      <c r="AR48" s="16">
        <v>501.9</v>
      </c>
      <c r="AS48" s="16">
        <v>519.5</v>
      </c>
      <c r="AT48" s="16">
        <v>543.9</v>
      </c>
      <c r="AU48" s="16">
        <v>560.79999999999995</v>
      </c>
      <c r="AV48" s="16">
        <v>584</v>
      </c>
      <c r="AW48" s="16">
        <v>602.5</v>
      </c>
      <c r="AX48" s="16">
        <f>'[1]Corn 3'!AX48+'[1]Corn 2'!AX48+'[1]Corn 1'!AX48</f>
        <v>588.6</v>
      </c>
      <c r="AY48" s="17">
        <v>590.5</v>
      </c>
      <c r="AZ48" s="35"/>
      <c r="BA48" s="19">
        <f>AZ48-AY48</f>
        <v>-590.5</v>
      </c>
      <c r="BC48" s="20">
        <f>AY48-AV48</f>
        <v>6.5</v>
      </c>
      <c r="BD48" s="20">
        <f>AZ48-AV48</f>
        <v>-584</v>
      </c>
      <c r="BE48" s="21">
        <f>BA48/AY48</f>
        <v>-1</v>
      </c>
      <c r="BJ48" t="s">
        <v>81</v>
      </c>
      <c r="BK48" s="44">
        <v>0.03</v>
      </c>
    </row>
    <row r="49" spans="1:72" ht="15.75" x14ac:dyDescent="0.25">
      <c r="A49" s="34" t="s">
        <v>60</v>
      </c>
      <c r="B49" s="22">
        <v>660</v>
      </c>
      <c r="C49" s="22">
        <v>549</v>
      </c>
      <c r="D49" s="22">
        <v>394</v>
      </c>
      <c r="E49" s="22">
        <v>212</v>
      </c>
      <c r="F49" s="22">
        <v>85</v>
      </c>
      <c r="G49" s="22">
        <v>307</v>
      </c>
      <c r="H49" s="22">
        <v>36</v>
      </c>
      <c r="I49" s="22">
        <v>660</v>
      </c>
      <c r="J49" s="22">
        <v>380</v>
      </c>
      <c r="K49" s="22">
        <v>430</v>
      </c>
      <c r="L49" s="22">
        <v>120</v>
      </c>
      <c r="M49" s="22">
        <v>710</v>
      </c>
      <c r="N49" s="22">
        <v>480</v>
      </c>
      <c r="O49" s="22">
        <v>360</v>
      </c>
      <c r="P49" s="22">
        <v>660</v>
      </c>
      <c r="Q49" s="22">
        <v>300</v>
      </c>
      <c r="R49" s="22">
        <v>68</v>
      </c>
      <c r="S49" s="22">
        <v>680</v>
      </c>
      <c r="T49" s="22">
        <v>720</v>
      </c>
      <c r="U49" s="22">
        <v>855</v>
      </c>
      <c r="V49" s="22">
        <v>525</v>
      </c>
      <c r="W49" s="22">
        <v>190</v>
      </c>
      <c r="X49" s="22">
        <v>760</v>
      </c>
      <c r="Y49" s="22">
        <v>1028</v>
      </c>
      <c r="Z49" s="22">
        <v>400</v>
      </c>
      <c r="AA49" s="22">
        <v>895</v>
      </c>
      <c r="AB49" s="22">
        <v>1050</v>
      </c>
      <c r="AC49" s="22">
        <v>520</v>
      </c>
      <c r="AD49" s="22">
        <v>460</v>
      </c>
      <c r="AE49" s="22">
        <v>1159</v>
      </c>
      <c r="AF49" s="22">
        <v>498</v>
      </c>
      <c r="AG49" s="22">
        <v>1084</v>
      </c>
      <c r="AH49" s="22">
        <v>805</v>
      </c>
      <c r="AI49" s="22">
        <v>327</v>
      </c>
      <c r="AJ49" s="22">
        <v>1313</v>
      </c>
      <c r="AK49" s="22">
        <v>142</v>
      </c>
      <c r="AL49" s="22">
        <v>240</v>
      </c>
      <c r="AM49" s="22">
        <v>835</v>
      </c>
      <c r="AN49" s="22">
        <v>315</v>
      </c>
      <c r="AO49" s="22">
        <v>356</v>
      </c>
      <c r="AP49" s="22">
        <v>815</v>
      </c>
      <c r="AQ49" s="22">
        <v>778</v>
      </c>
      <c r="AR49" s="22">
        <v>792</v>
      </c>
      <c r="AS49" s="22">
        <v>1232</v>
      </c>
      <c r="AT49" s="22">
        <v>842</v>
      </c>
      <c r="AU49" s="22">
        <v>929</v>
      </c>
      <c r="AV49" s="22">
        <v>619</v>
      </c>
      <c r="AW49" s="22">
        <v>804</v>
      </c>
      <c r="AX49" s="22">
        <v>541</v>
      </c>
      <c r="AY49" s="24">
        <v>842</v>
      </c>
      <c r="AZ49" s="35"/>
      <c r="BA49" s="19">
        <f>AZ49-AY49</f>
        <v>-842</v>
      </c>
      <c r="BC49" s="25">
        <f>AY49-AV49</f>
        <v>223</v>
      </c>
      <c r="BD49" s="25">
        <f>AZ49-AV49</f>
        <v>-619</v>
      </c>
      <c r="BE49" s="21">
        <v>0</v>
      </c>
      <c r="BJ49" t="s">
        <v>82</v>
      </c>
      <c r="BK49" s="44">
        <v>0.68</v>
      </c>
      <c r="BT49" s="4">
        <f>AZ49/1000</f>
        <v>0</v>
      </c>
    </row>
    <row r="50" spans="1:72" s="32" customFormat="1" ht="15.75" x14ac:dyDescent="0.25">
      <c r="A50" s="34" t="s">
        <v>61</v>
      </c>
      <c r="B50" s="36">
        <v>350</v>
      </c>
      <c r="C50" s="36">
        <v>272</v>
      </c>
      <c r="D50" s="36">
        <v>168</v>
      </c>
      <c r="E50" s="36">
        <v>110</v>
      </c>
      <c r="F50" s="36">
        <v>44</v>
      </c>
      <c r="G50" s="36">
        <v>155</v>
      </c>
      <c r="H50" s="36">
        <v>17</v>
      </c>
      <c r="I50" s="36">
        <v>264</v>
      </c>
      <c r="J50" s="36">
        <v>175</v>
      </c>
      <c r="K50" s="36">
        <v>220</v>
      </c>
      <c r="L50" s="36">
        <v>77</v>
      </c>
      <c r="M50" s="36">
        <v>455</v>
      </c>
      <c r="N50" s="36">
        <v>259</v>
      </c>
      <c r="O50" s="36">
        <v>227</v>
      </c>
      <c r="P50" s="36">
        <v>386.8</v>
      </c>
      <c r="Q50" s="36">
        <v>183.2</v>
      </c>
      <c r="R50" s="36">
        <v>33.1</v>
      </c>
      <c r="S50" s="36">
        <v>478.9</v>
      </c>
      <c r="T50" s="36">
        <v>468.9</v>
      </c>
      <c r="U50" s="36">
        <v>588.5</v>
      </c>
      <c r="V50" s="36">
        <v>274.39999999999998</v>
      </c>
      <c r="W50" s="36">
        <v>91.4</v>
      </c>
      <c r="X50" s="36">
        <v>442.2</v>
      </c>
      <c r="Y50" s="36">
        <v>636.29999999999995</v>
      </c>
      <c r="Z50" s="36">
        <v>245.1</v>
      </c>
      <c r="AA50" s="36">
        <v>622.6</v>
      </c>
      <c r="AB50" s="36">
        <v>749.4</v>
      </c>
      <c r="AC50" s="36">
        <v>372.8</v>
      </c>
      <c r="AD50" s="36">
        <v>257.10000000000002</v>
      </c>
      <c r="AE50" s="36">
        <v>740.4</v>
      </c>
      <c r="AF50" s="36">
        <v>335.6</v>
      </c>
      <c r="AG50" s="36">
        <v>752.5</v>
      </c>
      <c r="AH50" s="36">
        <v>554.9</v>
      </c>
      <c r="AI50" s="36">
        <v>175.1</v>
      </c>
      <c r="AJ50" s="36">
        <v>949.3</v>
      </c>
      <c r="AK50" s="36">
        <v>73.900000000000006</v>
      </c>
      <c r="AL50" s="36">
        <v>98.1</v>
      </c>
      <c r="AM50" s="36">
        <v>401.3</v>
      </c>
      <c r="AN50" s="36">
        <v>151.4</v>
      </c>
      <c r="AO50" s="36">
        <v>163.80000000000001</v>
      </c>
      <c r="AP50" s="36">
        <v>418.9</v>
      </c>
      <c r="AQ50" s="36">
        <v>416.3</v>
      </c>
      <c r="AR50" s="36">
        <v>397.5</v>
      </c>
      <c r="AS50" s="36">
        <v>640</v>
      </c>
      <c r="AT50" s="36">
        <v>458</v>
      </c>
      <c r="AU50" s="36">
        <v>521</v>
      </c>
      <c r="AV50" s="36">
        <v>361.5</v>
      </c>
      <c r="AW50" s="36">
        <v>484.4</v>
      </c>
      <c r="AX50" s="36">
        <f>'[1]Corn 3'!AX50+'[1]Corn 2'!AX50+'[1]Corn 1'!AX50</f>
        <v>318.39999999999998</v>
      </c>
      <c r="AY50" s="17">
        <f>'[1]Corn 3'!AY50+'[1]Corn 2'!AY50+'[1]Corn 1'!AY50</f>
        <v>497.1</v>
      </c>
      <c r="AZ50" s="35"/>
      <c r="BA50" s="19">
        <f>AZ50-AY50</f>
        <v>-497.1</v>
      </c>
      <c r="BB50"/>
      <c r="BC50" s="20">
        <f>AY50-AV50</f>
        <v>135.60000000000002</v>
      </c>
      <c r="BD50" s="20">
        <f>AZ50-AV50</f>
        <v>-361.5</v>
      </c>
      <c r="BE50" s="21">
        <f>BA50/AY50</f>
        <v>-1</v>
      </c>
      <c r="BJ50" t="s">
        <v>81</v>
      </c>
      <c r="BK50" s="44">
        <v>0.09</v>
      </c>
      <c r="BT50" s="4">
        <f>AZ50*1000</f>
        <v>0</v>
      </c>
    </row>
    <row r="51" spans="1:72" ht="15.75" x14ac:dyDescent="0.25">
      <c r="A51" s="53" t="s">
        <v>83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41"/>
      <c r="AZ51" s="42"/>
      <c r="BA51" s="43"/>
      <c r="BC51" s="2"/>
      <c r="BD51" s="2"/>
      <c r="BE51" s="33"/>
      <c r="BJ51" t="s">
        <v>84</v>
      </c>
      <c r="BK51" s="44">
        <v>0.1</v>
      </c>
    </row>
    <row r="52" spans="1:72" ht="15.75" x14ac:dyDescent="0.25">
      <c r="A52" s="34" t="s">
        <v>59</v>
      </c>
      <c r="B52" s="36">
        <v>170.7</v>
      </c>
      <c r="C52" s="36">
        <v>155</v>
      </c>
      <c r="D52" s="36">
        <v>118</v>
      </c>
      <c r="E52" s="36">
        <v>159</v>
      </c>
      <c r="F52" s="36">
        <v>190</v>
      </c>
      <c r="G52" s="36">
        <v>148</v>
      </c>
      <c r="H52" s="36">
        <v>358.6</v>
      </c>
      <c r="I52" s="36">
        <v>150</v>
      </c>
      <c r="J52" s="36">
        <v>165</v>
      </c>
      <c r="K52" s="36">
        <v>180</v>
      </c>
      <c r="L52" s="36">
        <v>171.6</v>
      </c>
      <c r="M52" s="36">
        <v>151</v>
      </c>
      <c r="N52" s="36">
        <v>153</v>
      </c>
      <c r="O52" s="36">
        <v>52.6</v>
      </c>
      <c r="P52" s="36">
        <v>142</v>
      </c>
      <c r="Q52" s="36">
        <v>143.1</v>
      </c>
      <c r="R52" s="36">
        <v>32.6</v>
      </c>
      <c r="S52" s="36">
        <v>134</v>
      </c>
      <c r="T52" s="36">
        <v>136.4</v>
      </c>
      <c r="U52" s="36">
        <v>141.6</v>
      </c>
      <c r="V52" s="36">
        <v>126.2</v>
      </c>
      <c r="W52" s="36">
        <v>67.5</v>
      </c>
      <c r="X52" s="36">
        <v>79.099999999999994</v>
      </c>
      <c r="Y52" s="16">
        <v>97.2</v>
      </c>
      <c r="Z52" s="36">
        <v>83</v>
      </c>
      <c r="AA52" s="36">
        <v>103.8</v>
      </c>
      <c r="AB52" s="36">
        <v>109.3</v>
      </c>
      <c r="AC52" s="36">
        <v>124.1</v>
      </c>
      <c r="AD52" s="36">
        <v>65.2</v>
      </c>
      <c r="AE52" s="36">
        <v>84</v>
      </c>
      <c r="AF52" s="36">
        <v>82.6</v>
      </c>
      <c r="AG52" s="36">
        <v>79.5</v>
      </c>
      <c r="AH52" s="16">
        <v>71.2</v>
      </c>
      <c r="AI52" s="16">
        <v>37</v>
      </c>
      <c r="AJ52" s="16">
        <v>73.5</v>
      </c>
      <c r="AK52" s="16">
        <v>7.6</v>
      </c>
      <c r="AL52" s="16">
        <v>13.3</v>
      </c>
      <c r="AM52" s="16">
        <v>32.4</v>
      </c>
      <c r="AN52" s="16">
        <v>25.9</v>
      </c>
      <c r="AO52" s="16">
        <v>25</v>
      </c>
      <c r="AP52" s="16">
        <v>29.2</v>
      </c>
      <c r="AQ52" s="16">
        <v>40.9</v>
      </c>
      <c r="AR52" s="16">
        <v>53.7</v>
      </c>
      <c r="AS52" s="16">
        <v>59.7</v>
      </c>
      <c r="AT52" s="16">
        <v>52.9</v>
      </c>
      <c r="AU52" s="16">
        <v>52.3</v>
      </c>
      <c r="AV52" s="16">
        <v>50.5</v>
      </c>
      <c r="AW52" s="16">
        <v>67.400000000000006</v>
      </c>
      <c r="AX52" s="16">
        <f>'[1]Corn 3'!AX52+'[1]Corn 2'!AX52+'[1]Corn 1'!AX52</f>
        <v>64.2</v>
      </c>
      <c r="AY52" s="17">
        <v>63.6</v>
      </c>
      <c r="AZ52" s="35"/>
      <c r="BA52" s="19">
        <f>AZ52-AY52</f>
        <v>-63.6</v>
      </c>
      <c r="BC52" s="20">
        <f>AY52-AV52</f>
        <v>13.100000000000001</v>
      </c>
      <c r="BD52" s="20">
        <f>AZ52-AV52</f>
        <v>-50.5</v>
      </c>
      <c r="BE52" s="21">
        <v>0</v>
      </c>
      <c r="BJ52" t="s">
        <v>85</v>
      </c>
      <c r="BK52" s="44">
        <v>0.04</v>
      </c>
    </row>
    <row r="53" spans="1:72" ht="15.75" x14ac:dyDescent="0.25">
      <c r="A53" s="34" t="s">
        <v>60</v>
      </c>
      <c r="B53" s="22">
        <v>507</v>
      </c>
      <c r="C53" s="22">
        <v>400</v>
      </c>
      <c r="D53" s="22">
        <v>347</v>
      </c>
      <c r="E53" s="22">
        <v>17</v>
      </c>
      <c r="F53" s="22">
        <v>50</v>
      </c>
      <c r="G53" s="22">
        <v>154</v>
      </c>
      <c r="H53" s="22">
        <v>6</v>
      </c>
      <c r="I53" s="22">
        <v>520</v>
      </c>
      <c r="J53" s="22">
        <v>340</v>
      </c>
      <c r="K53" s="22">
        <v>400</v>
      </c>
      <c r="L53" s="22">
        <v>60</v>
      </c>
      <c r="M53" s="22">
        <v>480</v>
      </c>
      <c r="N53" s="22">
        <v>330</v>
      </c>
      <c r="O53" s="22">
        <v>300</v>
      </c>
      <c r="P53" s="22">
        <v>500</v>
      </c>
      <c r="Q53" s="22">
        <v>245</v>
      </c>
      <c r="R53" s="22">
        <v>34</v>
      </c>
      <c r="S53" s="22">
        <v>660</v>
      </c>
      <c r="T53" s="22">
        <v>610</v>
      </c>
      <c r="U53" s="22">
        <v>593</v>
      </c>
      <c r="V53" s="22">
        <v>370</v>
      </c>
      <c r="W53" s="22">
        <v>102</v>
      </c>
      <c r="X53" s="22">
        <v>249</v>
      </c>
      <c r="Y53" s="22">
        <v>606</v>
      </c>
      <c r="Z53" s="22">
        <v>96</v>
      </c>
      <c r="AA53" s="22">
        <v>671</v>
      </c>
      <c r="AB53" s="22">
        <v>650</v>
      </c>
      <c r="AC53" s="22">
        <v>470</v>
      </c>
      <c r="AD53" s="22">
        <v>451</v>
      </c>
      <c r="AE53" s="22">
        <v>625</v>
      </c>
      <c r="AF53" s="22">
        <v>459</v>
      </c>
      <c r="AG53" s="22">
        <v>677</v>
      </c>
      <c r="AH53" s="22">
        <v>604</v>
      </c>
      <c r="AI53" s="22">
        <v>248</v>
      </c>
      <c r="AJ53" s="22">
        <v>672</v>
      </c>
      <c r="AK53" s="22">
        <v>337</v>
      </c>
      <c r="AL53" s="22">
        <v>355</v>
      </c>
      <c r="AM53" s="22">
        <v>633</v>
      </c>
      <c r="AN53" s="22">
        <v>288</v>
      </c>
      <c r="AO53" s="22">
        <v>309</v>
      </c>
      <c r="AP53" s="22">
        <v>348</v>
      </c>
      <c r="AQ53" s="22">
        <v>473</v>
      </c>
      <c r="AR53" s="22">
        <v>645</v>
      </c>
      <c r="AS53" s="22">
        <v>574</v>
      </c>
      <c r="AT53" s="22">
        <v>523</v>
      </c>
      <c r="AU53" s="22">
        <v>485</v>
      </c>
      <c r="AV53" s="22">
        <v>550</v>
      </c>
      <c r="AW53" s="22">
        <v>342</v>
      </c>
      <c r="AX53" s="22">
        <v>321</v>
      </c>
      <c r="AY53" s="24">
        <v>523</v>
      </c>
      <c r="AZ53" s="35"/>
      <c r="BA53" s="19">
        <f>AZ53-AY53</f>
        <v>-523</v>
      </c>
      <c r="BC53" s="25">
        <f>AY53-AV53</f>
        <v>-27</v>
      </c>
      <c r="BD53" s="25">
        <f>AZ53-AV53</f>
        <v>-550</v>
      </c>
      <c r="BE53" s="21">
        <v>0</v>
      </c>
      <c r="BK53" s="44"/>
    </row>
    <row r="54" spans="1:72" s="32" customFormat="1" ht="15.75" x14ac:dyDescent="0.25">
      <c r="A54" s="34" t="s">
        <v>61</v>
      </c>
      <c r="B54" s="36">
        <v>87</v>
      </c>
      <c r="C54" s="36">
        <v>62</v>
      </c>
      <c r="D54" s="36">
        <v>41</v>
      </c>
      <c r="E54" s="36">
        <v>3</v>
      </c>
      <c r="F54" s="36">
        <v>10</v>
      </c>
      <c r="G54" s="36">
        <v>23</v>
      </c>
      <c r="H54" s="36">
        <v>2</v>
      </c>
      <c r="I54" s="36">
        <v>78</v>
      </c>
      <c r="J54" s="36">
        <v>56</v>
      </c>
      <c r="K54" s="36">
        <v>72</v>
      </c>
      <c r="L54" s="36">
        <v>10</v>
      </c>
      <c r="M54" s="36">
        <v>73</v>
      </c>
      <c r="N54" s="36">
        <v>51</v>
      </c>
      <c r="O54" s="36">
        <v>16</v>
      </c>
      <c r="P54" s="36">
        <v>71</v>
      </c>
      <c r="Q54" s="36">
        <v>35.1</v>
      </c>
      <c r="R54" s="36">
        <v>1.1000000000000001</v>
      </c>
      <c r="S54" s="36">
        <v>88.4</v>
      </c>
      <c r="T54" s="36">
        <v>83.2</v>
      </c>
      <c r="U54" s="36">
        <v>84</v>
      </c>
      <c r="V54" s="36">
        <v>46.7</v>
      </c>
      <c r="W54" s="36">
        <v>6.9</v>
      </c>
      <c r="X54" s="36">
        <v>19.7</v>
      </c>
      <c r="Y54" s="36">
        <v>58.9</v>
      </c>
      <c r="Z54" s="36">
        <v>8</v>
      </c>
      <c r="AA54" s="36">
        <v>69.599999999999994</v>
      </c>
      <c r="AB54" s="36">
        <v>71</v>
      </c>
      <c r="AC54" s="36">
        <v>58.3</v>
      </c>
      <c r="AD54" s="36">
        <v>29.4</v>
      </c>
      <c r="AE54" s="36">
        <v>52.5</v>
      </c>
      <c r="AF54" s="36">
        <v>37.9</v>
      </c>
      <c r="AG54" s="36">
        <v>53.8</v>
      </c>
      <c r="AH54" s="36">
        <v>43</v>
      </c>
      <c r="AI54" s="36">
        <v>9.1999999999999993</v>
      </c>
      <c r="AJ54" s="36">
        <v>49.4</v>
      </c>
      <c r="AK54" s="36">
        <v>2.6</v>
      </c>
      <c r="AL54" s="36">
        <v>4.7</v>
      </c>
      <c r="AM54" s="36">
        <v>20.5</v>
      </c>
      <c r="AN54" s="36">
        <v>7.5</v>
      </c>
      <c r="AO54" s="36">
        <v>7.7</v>
      </c>
      <c r="AP54" s="36">
        <v>10.199999999999999</v>
      </c>
      <c r="AQ54" s="36">
        <v>19.3</v>
      </c>
      <c r="AR54" s="36">
        <v>34.6</v>
      </c>
      <c r="AS54" s="36">
        <v>34.299999999999997</v>
      </c>
      <c r="AT54" s="36">
        <v>27.7</v>
      </c>
      <c r="AU54" s="36">
        <v>25.4</v>
      </c>
      <c r="AV54" s="36">
        <v>27.8</v>
      </c>
      <c r="AW54" s="36">
        <v>23.1</v>
      </c>
      <c r="AX54" s="36">
        <f>'[1]Corn 3'!AX54+'[1]Corn 2'!AX54+'[1]Corn 1'!AX54</f>
        <v>20.6</v>
      </c>
      <c r="AY54" s="17">
        <f>'[1]Corn 3'!AY54+'[1]Corn 2'!AY54+'[1]Corn 1'!AY54</f>
        <v>31.9</v>
      </c>
      <c r="AZ54" s="35"/>
      <c r="BA54" s="19">
        <f>AZ54-AY54</f>
        <v>-31.9</v>
      </c>
      <c r="BC54" s="20">
        <f>AY54-AV54</f>
        <v>4.0999999999999979</v>
      </c>
      <c r="BD54" s="20">
        <f>AZ54-AV54</f>
        <v>-27.8</v>
      </c>
      <c r="BE54" s="21">
        <v>0</v>
      </c>
      <c r="BT54" s="4"/>
    </row>
    <row r="55" spans="1:72" ht="15.75" x14ac:dyDescent="0.25">
      <c r="A55" s="53" t="s">
        <v>86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41"/>
      <c r="AZ55" s="42"/>
      <c r="BA55" s="43"/>
      <c r="BC55" s="2"/>
      <c r="BD55" s="2"/>
      <c r="BE55" s="33"/>
    </row>
    <row r="56" spans="1:72" ht="15.75" x14ac:dyDescent="0.25">
      <c r="A56" s="34" t="s">
        <v>59</v>
      </c>
      <c r="B56" s="36">
        <v>297.39999999999998</v>
      </c>
      <c r="C56" s="36">
        <v>252</v>
      </c>
      <c r="D56" s="36">
        <v>216</v>
      </c>
      <c r="E56" s="36">
        <v>290</v>
      </c>
      <c r="F56" s="36">
        <v>303</v>
      </c>
      <c r="G56" s="36">
        <v>230</v>
      </c>
      <c r="H56" s="36">
        <v>255</v>
      </c>
      <c r="I56" s="36">
        <v>300</v>
      </c>
      <c r="J56" s="36">
        <v>330</v>
      </c>
      <c r="K56" s="36">
        <v>353</v>
      </c>
      <c r="L56" s="36">
        <v>304</v>
      </c>
      <c r="M56" s="36">
        <v>316</v>
      </c>
      <c r="N56" s="36">
        <v>315</v>
      </c>
      <c r="O56" s="36">
        <v>230</v>
      </c>
      <c r="P56" s="36">
        <v>256</v>
      </c>
      <c r="Q56" s="36">
        <v>270</v>
      </c>
      <c r="R56" s="36">
        <v>89</v>
      </c>
      <c r="S56" s="36">
        <v>231.7</v>
      </c>
      <c r="T56" s="36">
        <v>261</v>
      </c>
      <c r="U56" s="36">
        <v>266</v>
      </c>
      <c r="V56" s="36">
        <v>255.8</v>
      </c>
      <c r="W56" s="36">
        <v>108.9</v>
      </c>
      <c r="X56" s="36">
        <v>120</v>
      </c>
      <c r="Y56" s="16">
        <v>161</v>
      </c>
      <c r="Z56" s="36">
        <v>140.1</v>
      </c>
      <c r="AA56" s="36">
        <v>165.3</v>
      </c>
      <c r="AB56" s="36">
        <v>178.5</v>
      </c>
      <c r="AC56" s="36">
        <v>192.8</v>
      </c>
      <c r="AD56" s="36">
        <v>189.5</v>
      </c>
      <c r="AE56" s="36">
        <v>187.6</v>
      </c>
      <c r="AF56" s="36">
        <v>195.1</v>
      </c>
      <c r="AG56" s="36">
        <v>193</v>
      </c>
      <c r="AH56" s="16">
        <v>194</v>
      </c>
      <c r="AI56" s="16">
        <v>69.599999999999994</v>
      </c>
      <c r="AJ56" s="16">
        <v>157.19999999999999</v>
      </c>
      <c r="AK56" s="16">
        <v>39.799999999999997</v>
      </c>
      <c r="AL56" s="16">
        <v>53.1</v>
      </c>
      <c r="AM56" s="16">
        <v>76.599999999999994</v>
      </c>
      <c r="AN56" s="16">
        <v>62.9</v>
      </c>
      <c r="AO56" s="16">
        <v>84.6</v>
      </c>
      <c r="AP56" s="16">
        <v>86.5</v>
      </c>
      <c r="AQ56" s="16">
        <v>108.6</v>
      </c>
      <c r="AR56" s="16">
        <v>96.1</v>
      </c>
      <c r="AS56" s="16">
        <v>107.6</v>
      </c>
      <c r="AT56" s="16">
        <v>96.3</v>
      </c>
      <c r="AU56" s="16">
        <v>116.1</v>
      </c>
      <c r="AV56" s="16">
        <v>120.4</v>
      </c>
      <c r="AW56" s="16">
        <v>117</v>
      </c>
      <c r="AX56" s="16">
        <f>'[1]Corn 3'!AX56+'[1]Corn 2'!AX56+'[1]Corn 1'!AX56</f>
        <v>117.2</v>
      </c>
      <c r="AY56" s="17">
        <v>117.2</v>
      </c>
      <c r="AZ56" s="35"/>
      <c r="BA56" s="19">
        <f>AZ56-AY56</f>
        <v>-117.2</v>
      </c>
      <c r="BC56" s="20">
        <f>AY56-AV56</f>
        <v>-3.2000000000000028</v>
      </c>
      <c r="BD56" s="20">
        <f>AZ56-AV56</f>
        <v>-120.4</v>
      </c>
      <c r="BE56" s="21">
        <v>0</v>
      </c>
    </row>
    <row r="57" spans="1:72" ht="15.75" x14ac:dyDescent="0.25">
      <c r="A57" s="34" t="s">
        <v>60</v>
      </c>
      <c r="B57" s="22">
        <v>658</v>
      </c>
      <c r="C57" s="22">
        <v>496</v>
      </c>
      <c r="D57" s="22">
        <v>593</v>
      </c>
      <c r="E57" s="22">
        <v>138</v>
      </c>
      <c r="F57" s="22">
        <v>69</v>
      </c>
      <c r="G57" s="22">
        <v>175</v>
      </c>
      <c r="H57" s="22">
        <v>100</v>
      </c>
      <c r="I57" s="22">
        <v>630</v>
      </c>
      <c r="J57" s="22">
        <v>505</v>
      </c>
      <c r="K57" s="22">
        <v>538</v>
      </c>
      <c r="L57" s="22">
        <v>220</v>
      </c>
      <c r="M57" s="22">
        <v>550</v>
      </c>
      <c r="N57" s="22">
        <v>550</v>
      </c>
      <c r="O57" s="22">
        <v>300</v>
      </c>
      <c r="P57" s="22">
        <v>540</v>
      </c>
      <c r="Q57" s="22">
        <v>200</v>
      </c>
      <c r="R57" s="22">
        <v>102</v>
      </c>
      <c r="S57" s="22">
        <v>740</v>
      </c>
      <c r="T57" s="22">
        <v>600</v>
      </c>
      <c r="U57" s="22">
        <v>900</v>
      </c>
      <c r="V57" s="22">
        <v>783</v>
      </c>
      <c r="W57" s="22">
        <v>33</v>
      </c>
      <c r="X57" s="22">
        <v>341</v>
      </c>
      <c r="Y57" s="22">
        <v>930</v>
      </c>
      <c r="Z57" s="22">
        <v>60</v>
      </c>
      <c r="AA57" s="22">
        <v>450</v>
      </c>
      <c r="AB57" s="22">
        <v>690</v>
      </c>
      <c r="AC57" s="22">
        <v>702</v>
      </c>
      <c r="AD57" s="22">
        <v>476</v>
      </c>
      <c r="AE57" s="22">
        <v>900</v>
      </c>
      <c r="AF57" s="22">
        <v>363</v>
      </c>
      <c r="AG57" s="22">
        <v>666</v>
      </c>
      <c r="AH57" s="22">
        <v>857</v>
      </c>
      <c r="AI57" s="22">
        <v>91</v>
      </c>
      <c r="AJ57" s="22">
        <v>617</v>
      </c>
      <c r="AK57" s="22">
        <v>106</v>
      </c>
      <c r="AL57" s="22">
        <v>496</v>
      </c>
      <c r="AM57" s="22">
        <v>462</v>
      </c>
      <c r="AN57" s="22">
        <v>322</v>
      </c>
      <c r="AO57" s="22">
        <v>237</v>
      </c>
      <c r="AP57" s="22">
        <v>446</v>
      </c>
      <c r="AQ57" s="22">
        <v>780</v>
      </c>
      <c r="AR57" s="22">
        <v>480</v>
      </c>
      <c r="AS57" s="22">
        <v>827</v>
      </c>
      <c r="AT57" s="22">
        <v>515</v>
      </c>
      <c r="AU57" s="22">
        <v>641</v>
      </c>
      <c r="AV57" s="22">
        <v>818</v>
      </c>
      <c r="AW57" s="22">
        <v>565</v>
      </c>
      <c r="AX57" s="22">
        <v>449</v>
      </c>
      <c r="AY57" s="24">
        <v>645</v>
      </c>
      <c r="AZ57" s="35"/>
      <c r="BA57" s="19">
        <f>AZ57-AY57</f>
        <v>-645</v>
      </c>
      <c r="BC57" s="25">
        <f>AY57-AV57</f>
        <v>-173</v>
      </c>
      <c r="BD57" s="25">
        <f>AZ57-AV57</f>
        <v>-818</v>
      </c>
      <c r="BE57" s="21">
        <v>0</v>
      </c>
    </row>
    <row r="58" spans="1:72" s="32" customFormat="1" ht="15.75" x14ac:dyDescent="0.25">
      <c r="A58" s="34" t="s">
        <v>61</v>
      </c>
      <c r="B58" s="36">
        <v>196</v>
      </c>
      <c r="C58" s="36">
        <v>125</v>
      </c>
      <c r="D58" s="36">
        <v>128</v>
      </c>
      <c r="E58" s="36">
        <v>40</v>
      </c>
      <c r="F58" s="36">
        <v>21</v>
      </c>
      <c r="G58" s="36">
        <v>40</v>
      </c>
      <c r="H58" s="36">
        <v>26</v>
      </c>
      <c r="I58" s="36">
        <v>189</v>
      </c>
      <c r="J58" s="36">
        <v>167</v>
      </c>
      <c r="K58" s="36">
        <v>190</v>
      </c>
      <c r="L58" s="36">
        <v>67</v>
      </c>
      <c r="M58" s="36">
        <v>174</v>
      </c>
      <c r="N58" s="36">
        <v>173</v>
      </c>
      <c r="O58" s="36">
        <v>69</v>
      </c>
      <c r="P58" s="36">
        <v>138.19999999999999</v>
      </c>
      <c r="Q58" s="36">
        <v>54</v>
      </c>
      <c r="R58" s="36">
        <v>9.1</v>
      </c>
      <c r="S58" s="36">
        <v>171.5</v>
      </c>
      <c r="T58" s="36">
        <v>156.6</v>
      </c>
      <c r="U58" s="36">
        <v>239.4</v>
      </c>
      <c r="V58" s="36">
        <v>200.3</v>
      </c>
      <c r="W58" s="36">
        <v>3.6</v>
      </c>
      <c r="X58" s="36">
        <v>40.9</v>
      </c>
      <c r="Y58" s="36">
        <v>149.69999999999999</v>
      </c>
      <c r="Z58" s="36">
        <v>8.4</v>
      </c>
      <c r="AA58" s="36">
        <v>74.400000000000006</v>
      </c>
      <c r="AB58" s="36">
        <v>123.2</v>
      </c>
      <c r="AC58" s="36">
        <v>135.30000000000001</v>
      </c>
      <c r="AD58" s="36">
        <v>90.2</v>
      </c>
      <c r="AE58" s="36">
        <v>168.8</v>
      </c>
      <c r="AF58" s="36">
        <v>70.8</v>
      </c>
      <c r="AG58" s="36">
        <v>128.5</v>
      </c>
      <c r="AH58" s="36">
        <v>166.3</v>
      </c>
      <c r="AI58" s="36">
        <v>6.3</v>
      </c>
      <c r="AJ58" s="36">
        <v>97</v>
      </c>
      <c r="AK58" s="36">
        <v>4.2</v>
      </c>
      <c r="AL58" s="36">
        <v>26.3</v>
      </c>
      <c r="AM58" s="36">
        <v>35.4</v>
      </c>
      <c r="AN58" s="36">
        <v>20.3</v>
      </c>
      <c r="AO58" s="36">
        <v>20.100000000000001</v>
      </c>
      <c r="AP58" s="36">
        <v>38.6</v>
      </c>
      <c r="AQ58" s="36">
        <v>84.7</v>
      </c>
      <c r="AR58" s="36">
        <v>46.1</v>
      </c>
      <c r="AS58" s="36">
        <v>89</v>
      </c>
      <c r="AT58" s="36">
        <v>49.6</v>
      </c>
      <c r="AU58" s="36">
        <v>74.400000000000006</v>
      </c>
      <c r="AV58" s="36">
        <v>98.5</v>
      </c>
      <c r="AW58" s="36">
        <v>66.099999999999994</v>
      </c>
      <c r="AX58" s="36">
        <f>'[1]Corn 3'!AX58+'[1]Corn 2'!AX58+'[1]Corn 1'!AX58</f>
        <v>52.6</v>
      </c>
      <c r="AY58" s="17">
        <f>'[1]Corn 3'!AY58+'[1]Corn 2'!AY58+'[1]Corn 1'!AY58</f>
        <v>75.599999999999994</v>
      </c>
      <c r="AZ58" s="35"/>
      <c r="BA58" s="19">
        <f>AZ58-AY58</f>
        <v>-75.599999999999994</v>
      </c>
      <c r="BC58" s="20">
        <f>AY58-AV58</f>
        <v>-22.900000000000006</v>
      </c>
      <c r="BD58" s="20">
        <f>AZ58-AV58</f>
        <v>-98.5</v>
      </c>
      <c r="BE58" s="21">
        <v>0</v>
      </c>
      <c r="BT58" s="4"/>
    </row>
    <row r="59" spans="1:72" ht="15.75" x14ac:dyDescent="0.25">
      <c r="A59" s="53" t="s">
        <v>87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41"/>
      <c r="AZ59" s="42"/>
      <c r="BA59" s="43"/>
      <c r="BC59" s="2"/>
      <c r="BD59" s="2"/>
      <c r="BE59" s="33"/>
    </row>
    <row r="60" spans="1:72" ht="15.75" x14ac:dyDescent="0.25">
      <c r="A60" s="34" t="s">
        <v>59</v>
      </c>
      <c r="B60" s="36">
        <v>407.2</v>
      </c>
      <c r="C60" s="36">
        <v>330</v>
      </c>
      <c r="D60" s="36">
        <v>295</v>
      </c>
      <c r="E60" s="36">
        <v>370</v>
      </c>
      <c r="F60" s="36">
        <v>370</v>
      </c>
      <c r="G60" s="36">
        <v>300</v>
      </c>
      <c r="H60" s="36">
        <v>180</v>
      </c>
      <c r="I60" s="36">
        <v>340</v>
      </c>
      <c r="J60" s="36">
        <v>365</v>
      </c>
      <c r="K60" s="36">
        <v>375</v>
      </c>
      <c r="L60" s="36">
        <v>400</v>
      </c>
      <c r="M60" s="36">
        <v>350</v>
      </c>
      <c r="N60" s="36">
        <v>350</v>
      </c>
      <c r="O60" s="36">
        <v>240</v>
      </c>
      <c r="P60" s="36">
        <v>387</v>
      </c>
      <c r="Q60" s="36">
        <v>315</v>
      </c>
      <c r="R60" s="36">
        <v>82.6</v>
      </c>
      <c r="S60" s="36">
        <v>363.2</v>
      </c>
      <c r="T60" s="36">
        <v>362.1</v>
      </c>
      <c r="U60" s="36">
        <v>355.9</v>
      </c>
      <c r="V60" s="36">
        <v>335.3</v>
      </c>
      <c r="W60" s="36">
        <v>106</v>
      </c>
      <c r="X60" s="36">
        <v>245.9</v>
      </c>
      <c r="Y60" s="16">
        <v>300</v>
      </c>
      <c r="Z60" s="36">
        <v>270</v>
      </c>
      <c r="AA60" s="36">
        <v>281</v>
      </c>
      <c r="AB60" s="36">
        <v>285.2</v>
      </c>
      <c r="AC60" s="36">
        <v>273.8</v>
      </c>
      <c r="AD60" s="36">
        <v>246.4</v>
      </c>
      <c r="AE60" s="36">
        <v>283.39999999999998</v>
      </c>
      <c r="AF60" s="36">
        <v>286.2</v>
      </c>
      <c r="AG60" s="36">
        <v>304.2</v>
      </c>
      <c r="AH60" s="16">
        <v>309.7</v>
      </c>
      <c r="AI60" s="16">
        <v>272.5</v>
      </c>
      <c r="AJ60" s="16">
        <v>298.3</v>
      </c>
      <c r="AK60" s="16">
        <v>205.8</v>
      </c>
      <c r="AL60" s="16">
        <v>94.5</v>
      </c>
      <c r="AM60" s="16">
        <v>228.6</v>
      </c>
      <c r="AN60" s="16">
        <v>214.7</v>
      </c>
      <c r="AO60" s="16">
        <v>184.6</v>
      </c>
      <c r="AP60" s="16">
        <v>158</v>
      </c>
      <c r="AQ60" s="16">
        <v>215.7</v>
      </c>
      <c r="AR60" s="16">
        <v>218.4</v>
      </c>
      <c r="AS60" s="16">
        <v>235.8</v>
      </c>
      <c r="AT60" s="16">
        <v>238.2</v>
      </c>
      <c r="AU60" s="16">
        <v>253.2</v>
      </c>
      <c r="AV60" s="16">
        <v>202.2</v>
      </c>
      <c r="AW60" s="16">
        <v>194.10000000000002</v>
      </c>
      <c r="AX60" s="16">
        <f>'[1]Corn 3'!AX60+'[1]Corn 2'!AX60+'[1]Corn 1'!AX60</f>
        <v>196.2</v>
      </c>
      <c r="AY60" s="17">
        <v>196.2</v>
      </c>
      <c r="AZ60" s="35"/>
      <c r="BA60" s="19">
        <f>AZ60-AY60</f>
        <v>-196.2</v>
      </c>
      <c r="BC60" s="20">
        <f>AY60-AV60</f>
        <v>-6</v>
      </c>
      <c r="BD60" s="20">
        <f>AZ60-AV60</f>
        <v>-202.2</v>
      </c>
      <c r="BE60" s="21">
        <v>0</v>
      </c>
    </row>
    <row r="61" spans="1:72" ht="15.75" x14ac:dyDescent="0.25">
      <c r="A61" s="34" t="s">
        <v>60</v>
      </c>
      <c r="B61" s="22">
        <v>797</v>
      </c>
      <c r="C61" s="22">
        <v>818</v>
      </c>
      <c r="D61" s="22">
        <v>827</v>
      </c>
      <c r="E61" s="22">
        <v>204</v>
      </c>
      <c r="F61" s="22">
        <v>173</v>
      </c>
      <c r="G61" s="22">
        <v>400</v>
      </c>
      <c r="H61" s="22">
        <v>120</v>
      </c>
      <c r="I61" s="22">
        <v>780</v>
      </c>
      <c r="J61" s="22">
        <v>580</v>
      </c>
      <c r="K61" s="22">
        <v>565</v>
      </c>
      <c r="L61" s="22">
        <v>215</v>
      </c>
      <c r="M61" s="22">
        <v>510</v>
      </c>
      <c r="N61" s="22">
        <v>550</v>
      </c>
      <c r="O61" s="22">
        <v>400</v>
      </c>
      <c r="P61" s="22">
        <v>600</v>
      </c>
      <c r="Q61" s="22">
        <v>107</v>
      </c>
      <c r="R61" s="22">
        <v>61</v>
      </c>
      <c r="S61" s="22">
        <v>704</v>
      </c>
      <c r="T61" s="22">
        <v>700</v>
      </c>
      <c r="U61" s="22">
        <v>819</v>
      </c>
      <c r="V61" s="22">
        <v>620</v>
      </c>
      <c r="W61" s="22">
        <v>66</v>
      </c>
      <c r="X61" s="22">
        <v>143</v>
      </c>
      <c r="Y61" s="22">
        <v>466</v>
      </c>
      <c r="Z61" s="22">
        <v>160</v>
      </c>
      <c r="AA61" s="22">
        <v>280</v>
      </c>
      <c r="AB61" s="22">
        <v>288</v>
      </c>
      <c r="AC61" s="22">
        <v>410</v>
      </c>
      <c r="AD61" s="22">
        <v>575</v>
      </c>
      <c r="AE61" s="22">
        <v>780</v>
      </c>
      <c r="AF61" s="22">
        <v>334</v>
      </c>
      <c r="AG61" s="22">
        <v>610</v>
      </c>
      <c r="AH61" s="22">
        <v>685</v>
      </c>
      <c r="AI61" s="22">
        <v>461</v>
      </c>
      <c r="AJ61" s="22">
        <v>640</v>
      </c>
      <c r="AK61" s="22">
        <v>117</v>
      </c>
      <c r="AL61" s="22">
        <v>167</v>
      </c>
      <c r="AM61" s="22">
        <v>411</v>
      </c>
      <c r="AN61" s="22">
        <v>271</v>
      </c>
      <c r="AO61" s="22">
        <v>120</v>
      </c>
      <c r="AP61" s="22">
        <v>345</v>
      </c>
      <c r="AQ61" s="22">
        <v>527</v>
      </c>
      <c r="AR61" s="22">
        <v>528</v>
      </c>
      <c r="AS61" s="22">
        <v>798</v>
      </c>
      <c r="AT61" s="22">
        <v>592</v>
      </c>
      <c r="AU61" s="22">
        <v>526</v>
      </c>
      <c r="AV61" s="22">
        <v>980</v>
      </c>
      <c r="AW61" s="22">
        <v>1195.8464708912929</v>
      </c>
      <c r="AX61" s="22">
        <v>1150.5005096839961</v>
      </c>
      <c r="AY61" s="24">
        <v>1150.5005096839961</v>
      </c>
      <c r="AZ61" s="35"/>
      <c r="BA61" s="19">
        <f>AZ61-AY61</f>
        <v>-1150.5005096839961</v>
      </c>
      <c r="BC61" s="25">
        <f>AY61-AV61</f>
        <v>170.50050968399614</v>
      </c>
      <c r="BD61" s="25">
        <f>AZ61-AV61</f>
        <v>-980</v>
      </c>
      <c r="BE61" s="21">
        <v>0</v>
      </c>
    </row>
    <row r="62" spans="1:72" s="32" customFormat="1" ht="15.75" x14ac:dyDescent="0.25">
      <c r="A62" s="34" t="s">
        <v>61</v>
      </c>
      <c r="B62" s="36">
        <v>325</v>
      </c>
      <c r="C62" s="36">
        <v>270</v>
      </c>
      <c r="D62" s="36">
        <v>244</v>
      </c>
      <c r="E62" s="36">
        <v>76</v>
      </c>
      <c r="F62" s="36">
        <v>64</v>
      </c>
      <c r="G62" s="36">
        <v>120</v>
      </c>
      <c r="H62" s="36">
        <v>22</v>
      </c>
      <c r="I62" s="36">
        <v>265</v>
      </c>
      <c r="J62" s="36">
        <v>212</v>
      </c>
      <c r="K62" s="36">
        <v>212</v>
      </c>
      <c r="L62" s="36">
        <v>86</v>
      </c>
      <c r="M62" s="36">
        <v>179</v>
      </c>
      <c r="N62" s="36">
        <v>193</v>
      </c>
      <c r="O62" s="36">
        <v>96</v>
      </c>
      <c r="P62" s="36">
        <v>232.2</v>
      </c>
      <c r="Q62" s="36">
        <v>33.700000000000003</v>
      </c>
      <c r="R62" s="36">
        <v>5</v>
      </c>
      <c r="S62" s="36">
        <v>255.7</v>
      </c>
      <c r="T62" s="36">
        <v>253.5</v>
      </c>
      <c r="U62" s="36">
        <v>291.5</v>
      </c>
      <c r="V62" s="36">
        <v>207.9</v>
      </c>
      <c r="W62" s="36">
        <v>7</v>
      </c>
      <c r="X62" s="36">
        <v>35.200000000000003</v>
      </c>
      <c r="Y62" s="36">
        <v>139.80000000000001</v>
      </c>
      <c r="Z62" s="36">
        <v>43.2</v>
      </c>
      <c r="AA62" s="36">
        <v>78.7</v>
      </c>
      <c r="AB62" s="36">
        <v>82.1</v>
      </c>
      <c r="AC62" s="36">
        <v>67.099999999999994</v>
      </c>
      <c r="AD62" s="36">
        <v>141.69999999999999</v>
      </c>
      <c r="AE62" s="36">
        <v>221.1</v>
      </c>
      <c r="AF62" s="36">
        <v>95.6</v>
      </c>
      <c r="AG62" s="36">
        <v>185.6</v>
      </c>
      <c r="AH62" s="36">
        <v>212.1</v>
      </c>
      <c r="AI62" s="36">
        <v>125.6</v>
      </c>
      <c r="AJ62" s="36">
        <v>190.9</v>
      </c>
      <c r="AK62" s="36">
        <v>24.1</v>
      </c>
      <c r="AL62" s="36">
        <v>15.8</v>
      </c>
      <c r="AM62" s="36">
        <v>94</v>
      </c>
      <c r="AN62" s="36">
        <v>58.2</v>
      </c>
      <c r="AO62" s="36">
        <v>22.2</v>
      </c>
      <c r="AP62" s="36">
        <v>54.6</v>
      </c>
      <c r="AQ62" s="36">
        <v>113.8</v>
      </c>
      <c r="AR62" s="36">
        <v>115.4</v>
      </c>
      <c r="AS62" s="36">
        <v>188.2</v>
      </c>
      <c r="AT62" s="36">
        <v>141</v>
      </c>
      <c r="AU62" s="36">
        <v>133.1</v>
      </c>
      <c r="AV62" s="36">
        <v>198.1</v>
      </c>
      <c r="AW62" s="36">
        <v>232.1</v>
      </c>
      <c r="AX62" s="36">
        <f>'[1]Corn 3'!AX62+'[1]Corn 2'!AX62+'[1]Corn 1'!AX62</f>
        <v>225.7</v>
      </c>
      <c r="AY62" s="17">
        <f>'[1]Corn 3'!AY62+'[1]Corn 2'!AY62+'[1]Corn 1'!AY62</f>
        <v>225.7</v>
      </c>
      <c r="AZ62" s="35"/>
      <c r="BA62" s="19">
        <f>AZ62-AY62</f>
        <v>-225.7</v>
      </c>
      <c r="BC62" s="20">
        <f>AY62-AV62</f>
        <v>27.599999999999994</v>
      </c>
      <c r="BD62" s="20">
        <f>AZ62-AV62</f>
        <v>-198.1</v>
      </c>
      <c r="BE62" s="21">
        <v>0</v>
      </c>
      <c r="BT62" s="4"/>
    </row>
    <row r="63" spans="1:72" ht="15.75" x14ac:dyDescent="0.25">
      <c r="A63" s="53" t="s">
        <v>88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41"/>
      <c r="AZ63" s="42"/>
      <c r="BA63" s="43"/>
      <c r="BC63" s="2"/>
      <c r="BD63" s="2"/>
      <c r="BE63" s="33"/>
    </row>
    <row r="64" spans="1:72" ht="15.75" x14ac:dyDescent="0.25">
      <c r="A64" s="34" t="s">
        <v>59</v>
      </c>
      <c r="B64" s="36">
        <v>122.1</v>
      </c>
      <c r="C64" s="36">
        <v>132</v>
      </c>
      <c r="D64" s="36">
        <v>96</v>
      </c>
      <c r="E64" s="36">
        <v>137</v>
      </c>
      <c r="F64" s="36">
        <v>137</v>
      </c>
      <c r="G64" s="36">
        <v>110</v>
      </c>
      <c r="H64" s="36">
        <v>93.5</v>
      </c>
      <c r="I64" s="36">
        <v>90</v>
      </c>
      <c r="J64" s="36">
        <v>109.2</v>
      </c>
      <c r="K64" s="36">
        <v>120.1</v>
      </c>
      <c r="L64" s="36">
        <v>138.4</v>
      </c>
      <c r="M64" s="36">
        <v>128.19999999999999</v>
      </c>
      <c r="N64" s="36">
        <v>128.19999999999999</v>
      </c>
      <c r="O64" s="36">
        <v>105</v>
      </c>
      <c r="P64" s="36">
        <v>106.5</v>
      </c>
      <c r="Q64" s="36">
        <v>88</v>
      </c>
      <c r="R64" s="36">
        <v>26.4</v>
      </c>
      <c r="S64" s="36">
        <v>131</v>
      </c>
      <c r="T64" s="36">
        <v>112.3</v>
      </c>
      <c r="U64" s="36">
        <v>121.1</v>
      </c>
      <c r="V64" s="36">
        <v>118</v>
      </c>
      <c r="W64" s="36">
        <v>118</v>
      </c>
      <c r="X64" s="36">
        <v>118</v>
      </c>
      <c r="Y64" s="16">
        <v>66</v>
      </c>
      <c r="Z64" s="36">
        <v>77.900000000000006</v>
      </c>
      <c r="AA64" s="36">
        <v>57</v>
      </c>
      <c r="AB64" s="36">
        <v>57</v>
      </c>
      <c r="AC64" s="36">
        <v>79</v>
      </c>
      <c r="AD64" s="36">
        <v>79</v>
      </c>
      <c r="AE64" s="36">
        <v>83.7</v>
      </c>
      <c r="AF64" s="36">
        <v>83.7</v>
      </c>
      <c r="AG64" s="36">
        <v>72.599999999999994</v>
      </c>
      <c r="AH64" s="16">
        <v>71.3</v>
      </c>
      <c r="AI64" s="16">
        <v>58</v>
      </c>
      <c r="AJ64" s="16">
        <v>57.2</v>
      </c>
      <c r="AK64" s="16">
        <v>29.7</v>
      </c>
      <c r="AL64" s="16">
        <v>34.4</v>
      </c>
      <c r="AM64" s="16">
        <v>31</v>
      </c>
      <c r="AN64" s="16">
        <v>30.1</v>
      </c>
      <c r="AO64" s="16">
        <v>28.3</v>
      </c>
      <c r="AP64" s="16">
        <v>37.200000000000003</v>
      </c>
      <c r="AQ64" s="16">
        <v>26.2</v>
      </c>
      <c r="AR64" s="16">
        <v>33.9</v>
      </c>
      <c r="AS64" s="16">
        <v>38.4</v>
      </c>
      <c r="AT64" s="16">
        <v>44.7</v>
      </c>
      <c r="AU64" s="16">
        <v>40.200000000000003</v>
      </c>
      <c r="AV64" s="16">
        <v>58.1</v>
      </c>
      <c r="AW64" s="16">
        <v>48</v>
      </c>
      <c r="AX64" s="16">
        <f>'[1]Corn 3'!AX64+'[1]Corn 2'!AX64+'[1]Corn 1'!AX64</f>
        <v>31.2</v>
      </c>
      <c r="AY64" s="17">
        <v>54.1</v>
      </c>
      <c r="AZ64" s="35"/>
      <c r="BA64" s="19">
        <f>AZ64-AY64</f>
        <v>-54.1</v>
      </c>
      <c r="BC64" s="20">
        <f>AY64-AV64</f>
        <v>-4</v>
      </c>
      <c r="BD64" s="20">
        <f>AZ64-AV64</f>
        <v>-58.1</v>
      </c>
      <c r="BE64" s="21">
        <v>0</v>
      </c>
    </row>
    <row r="65" spans="1:72" ht="15.75" x14ac:dyDescent="0.25">
      <c r="A65" s="34" t="s">
        <v>60</v>
      </c>
      <c r="B65" s="22">
        <v>604</v>
      </c>
      <c r="C65" s="22">
        <v>598</v>
      </c>
      <c r="D65" s="22">
        <v>563</v>
      </c>
      <c r="E65" s="22">
        <v>195</v>
      </c>
      <c r="F65" s="22">
        <v>350</v>
      </c>
      <c r="G65" s="22">
        <v>600</v>
      </c>
      <c r="H65" s="22">
        <v>95</v>
      </c>
      <c r="I65" s="22">
        <v>570</v>
      </c>
      <c r="J65" s="22">
        <v>570</v>
      </c>
      <c r="K65" s="22">
        <v>580</v>
      </c>
      <c r="L65" s="22">
        <v>260</v>
      </c>
      <c r="M65" s="22">
        <v>430</v>
      </c>
      <c r="N65" s="22">
        <v>470</v>
      </c>
      <c r="O65" s="22">
        <v>470</v>
      </c>
      <c r="P65" s="22">
        <v>550</v>
      </c>
      <c r="Q65" s="22">
        <v>500</v>
      </c>
      <c r="R65" s="22">
        <v>61</v>
      </c>
      <c r="S65" s="22">
        <v>545</v>
      </c>
      <c r="T65" s="22">
        <v>416</v>
      </c>
      <c r="U65" s="22">
        <v>438</v>
      </c>
      <c r="V65" s="22">
        <v>540</v>
      </c>
      <c r="W65" s="22">
        <v>540</v>
      </c>
      <c r="X65" s="22">
        <v>279</v>
      </c>
      <c r="Y65" s="22">
        <v>339</v>
      </c>
      <c r="Z65" s="22">
        <v>1501</v>
      </c>
      <c r="AA65" s="22">
        <v>663</v>
      </c>
      <c r="AB65" s="22">
        <v>316</v>
      </c>
      <c r="AC65" s="22">
        <v>599</v>
      </c>
      <c r="AD65" s="22">
        <v>615</v>
      </c>
      <c r="AE65" s="22">
        <v>630</v>
      </c>
      <c r="AF65" s="22">
        <v>550</v>
      </c>
      <c r="AG65" s="22">
        <v>611</v>
      </c>
      <c r="AH65" s="22">
        <v>654</v>
      </c>
      <c r="AI65" s="22">
        <v>720</v>
      </c>
      <c r="AJ65" s="22">
        <v>893</v>
      </c>
      <c r="AK65" s="22">
        <v>754</v>
      </c>
      <c r="AL65" s="22">
        <v>637</v>
      </c>
      <c r="AM65" s="22">
        <v>887</v>
      </c>
      <c r="AN65" s="22">
        <v>1007</v>
      </c>
      <c r="AO65" s="22">
        <v>674</v>
      </c>
      <c r="AP65" s="22">
        <v>674</v>
      </c>
      <c r="AQ65" s="22">
        <v>1091</v>
      </c>
      <c r="AR65" s="22">
        <v>1430</v>
      </c>
      <c r="AS65" s="22">
        <v>1600</v>
      </c>
      <c r="AT65" s="22">
        <v>3550</v>
      </c>
      <c r="AU65" s="22">
        <v>1320</v>
      </c>
      <c r="AV65" s="22">
        <v>2500</v>
      </c>
      <c r="AW65" s="22">
        <v>2526</v>
      </c>
      <c r="AX65" s="22">
        <v>5703</v>
      </c>
      <c r="AY65" s="24">
        <v>3120</v>
      </c>
      <c r="AZ65" s="35"/>
      <c r="BA65" s="19">
        <f>AZ65-AY65</f>
        <v>-3120</v>
      </c>
      <c r="BC65" s="25">
        <f>AY65-AV65</f>
        <v>620</v>
      </c>
      <c r="BD65" s="25">
        <f>AZ65-AV65</f>
        <v>-2500</v>
      </c>
      <c r="BE65" s="21">
        <v>0</v>
      </c>
      <c r="BT65" s="4">
        <f>AZ65/1000</f>
        <v>0</v>
      </c>
    </row>
    <row r="66" spans="1:72" s="32" customFormat="1" ht="15.75" x14ac:dyDescent="0.25">
      <c r="A66" s="34" t="s">
        <v>61</v>
      </c>
      <c r="B66" s="36">
        <v>74</v>
      </c>
      <c r="C66" s="36">
        <v>79</v>
      </c>
      <c r="D66" s="36">
        <v>54</v>
      </c>
      <c r="E66" s="36">
        <v>27</v>
      </c>
      <c r="F66" s="36">
        <v>48</v>
      </c>
      <c r="G66" s="36">
        <v>66</v>
      </c>
      <c r="H66" s="36">
        <v>9</v>
      </c>
      <c r="I66" s="36">
        <v>51</v>
      </c>
      <c r="J66" s="36">
        <v>62</v>
      </c>
      <c r="K66" s="36">
        <v>70</v>
      </c>
      <c r="L66" s="36">
        <v>36</v>
      </c>
      <c r="M66" s="36">
        <v>55</v>
      </c>
      <c r="N66" s="36">
        <v>60</v>
      </c>
      <c r="O66" s="36">
        <v>49</v>
      </c>
      <c r="P66" s="36">
        <v>58.6</v>
      </c>
      <c r="Q66" s="36">
        <v>44</v>
      </c>
      <c r="R66" s="36">
        <v>1.6</v>
      </c>
      <c r="S66" s="36">
        <v>71.400000000000006</v>
      </c>
      <c r="T66" s="36">
        <v>46.7</v>
      </c>
      <c r="U66" s="36">
        <v>53</v>
      </c>
      <c r="V66" s="36">
        <v>63.7</v>
      </c>
      <c r="W66" s="36">
        <v>63.7</v>
      </c>
      <c r="X66" s="36">
        <v>32.9</v>
      </c>
      <c r="Y66" s="36">
        <v>22.4</v>
      </c>
      <c r="Z66" s="36">
        <v>116.9</v>
      </c>
      <c r="AA66" s="36">
        <v>37.799999999999997</v>
      </c>
      <c r="AB66" s="36">
        <v>18</v>
      </c>
      <c r="AC66" s="36">
        <v>21.7</v>
      </c>
      <c r="AD66" s="36">
        <v>48.6</v>
      </c>
      <c r="AE66" s="36">
        <v>52.7</v>
      </c>
      <c r="AF66" s="36">
        <v>46</v>
      </c>
      <c r="AG66" s="36">
        <v>44.4</v>
      </c>
      <c r="AH66" s="36">
        <v>46.6</v>
      </c>
      <c r="AI66" s="36">
        <v>41.8</v>
      </c>
      <c r="AJ66" s="36">
        <v>51.1</v>
      </c>
      <c r="AK66" s="36">
        <v>22.4</v>
      </c>
      <c r="AL66" s="36">
        <v>21.9</v>
      </c>
      <c r="AM66" s="36">
        <v>27.5</v>
      </c>
      <c r="AN66" s="36">
        <v>30.3</v>
      </c>
      <c r="AO66" s="36">
        <v>19.100000000000001</v>
      </c>
      <c r="AP66" s="36">
        <v>25.1</v>
      </c>
      <c r="AQ66" s="36">
        <v>28.6</v>
      </c>
      <c r="AR66" s="36">
        <v>48.5</v>
      </c>
      <c r="AS66" s="36">
        <v>61.4</v>
      </c>
      <c r="AT66" s="36">
        <v>158.69999999999999</v>
      </c>
      <c r="AU66" s="36">
        <v>53.1</v>
      </c>
      <c r="AV66" s="36">
        <v>145.30000000000001</v>
      </c>
      <c r="AW66" s="36">
        <v>121.2</v>
      </c>
      <c r="AX66" s="36">
        <f>'[1]Corn 3'!AX66+'[1]Corn 2'!AX66+'[1]Corn 1'!AX66</f>
        <v>177.9</v>
      </c>
      <c r="AY66" s="17">
        <f>'[1]Corn 3'!AY66+'[1]Corn 2'!AY66+'[1]Corn 1'!AY66</f>
        <v>102</v>
      </c>
      <c r="AZ66" s="35"/>
      <c r="BA66" s="19">
        <f>AZ66-AY66</f>
        <v>-102</v>
      </c>
      <c r="BB66"/>
      <c r="BC66" s="20">
        <f>AY66-AV66</f>
        <v>-43.300000000000011</v>
      </c>
      <c r="BD66" s="20">
        <f>AZ66-AV66</f>
        <v>-145.30000000000001</v>
      </c>
      <c r="BE66" s="21">
        <v>0</v>
      </c>
      <c r="BT66" s="4">
        <f>AZ66*1000</f>
        <v>0</v>
      </c>
    </row>
    <row r="67" spans="1:72" ht="15.75" x14ac:dyDescent="0.25">
      <c r="A67" s="53" t="s">
        <v>89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41"/>
      <c r="AZ67" s="42"/>
      <c r="BA67" s="43"/>
      <c r="BC67" s="2"/>
      <c r="BD67" s="2"/>
      <c r="BE67" s="33"/>
    </row>
    <row r="68" spans="1:72" ht="15.75" x14ac:dyDescent="0.25">
      <c r="A68" s="34" t="s">
        <v>59</v>
      </c>
      <c r="B68" s="36">
        <v>50.7</v>
      </c>
      <c r="C68" s="36">
        <v>52</v>
      </c>
      <c r="D68" s="36">
        <v>48</v>
      </c>
      <c r="E68" s="36">
        <v>54</v>
      </c>
      <c r="F68" s="36">
        <v>65</v>
      </c>
      <c r="G68" s="36">
        <v>105.9</v>
      </c>
      <c r="H68" s="36">
        <v>17.3</v>
      </c>
      <c r="I68" s="36">
        <v>71</v>
      </c>
      <c r="J68" s="36">
        <v>97</v>
      </c>
      <c r="K68" s="36">
        <v>103</v>
      </c>
      <c r="L68" s="36">
        <v>105</v>
      </c>
      <c r="M68" s="36">
        <v>76</v>
      </c>
      <c r="N68" s="36">
        <v>84</v>
      </c>
      <c r="O68" s="36">
        <v>84.9</v>
      </c>
      <c r="P68" s="36">
        <v>80</v>
      </c>
      <c r="Q68" s="36">
        <v>60</v>
      </c>
      <c r="R68" s="36">
        <v>18</v>
      </c>
      <c r="S68" s="36">
        <v>77.5</v>
      </c>
      <c r="T68" s="36">
        <v>92</v>
      </c>
      <c r="U68" s="36">
        <v>100.2</v>
      </c>
      <c r="V68" s="36">
        <v>103</v>
      </c>
      <c r="W68" s="36">
        <v>103</v>
      </c>
      <c r="X68" s="36">
        <v>87</v>
      </c>
      <c r="Y68" s="16">
        <v>87</v>
      </c>
      <c r="Z68" s="36">
        <v>90</v>
      </c>
      <c r="AA68" s="36">
        <v>100.8</v>
      </c>
      <c r="AB68" s="36">
        <v>110.9</v>
      </c>
      <c r="AC68" s="36">
        <v>132</v>
      </c>
      <c r="AD68" s="36">
        <v>127.4</v>
      </c>
      <c r="AE68" s="36">
        <v>142.69999999999999</v>
      </c>
      <c r="AF68" s="36">
        <v>144.6</v>
      </c>
      <c r="AG68" s="36">
        <v>162.69999999999999</v>
      </c>
      <c r="AH68" s="16">
        <v>172.7</v>
      </c>
      <c r="AI68" s="16">
        <v>176.8</v>
      </c>
      <c r="AJ68" s="16">
        <v>221.4</v>
      </c>
      <c r="AK68" s="16">
        <v>206.8</v>
      </c>
      <c r="AL68" s="16">
        <v>206.6</v>
      </c>
      <c r="AM68" s="16">
        <v>226.6</v>
      </c>
      <c r="AN68" s="16">
        <v>176.2</v>
      </c>
      <c r="AO68" s="16">
        <v>177</v>
      </c>
      <c r="AP68" s="16">
        <v>172</v>
      </c>
      <c r="AQ68" s="16">
        <v>143</v>
      </c>
      <c r="AR68" s="16">
        <v>147.9</v>
      </c>
      <c r="AS68" s="16">
        <v>153.69999999999999</v>
      </c>
      <c r="AT68" s="16">
        <v>174.8</v>
      </c>
      <c r="AU68" s="16">
        <v>182.2</v>
      </c>
      <c r="AV68" s="16">
        <v>183.6</v>
      </c>
      <c r="AW68" s="16">
        <v>183.6</v>
      </c>
      <c r="AX68" s="16">
        <f>'[1]Corn 3'!AX68+'[1]Corn 2'!AX68+'[1]Corn 1'!AX68</f>
        <v>190.4</v>
      </c>
      <c r="AY68" s="17">
        <v>183.6</v>
      </c>
      <c r="AZ68" s="35"/>
      <c r="BA68" s="19">
        <f>AZ68-AY68</f>
        <v>-183.6</v>
      </c>
      <c r="BC68" s="20">
        <f>AY68-AV68</f>
        <v>0</v>
      </c>
      <c r="BD68" s="20">
        <f>AZ68-AV68</f>
        <v>-183.6</v>
      </c>
      <c r="BE68" s="21">
        <v>0</v>
      </c>
    </row>
    <row r="69" spans="1:72" ht="15.75" x14ac:dyDescent="0.25">
      <c r="A69" s="34" t="s">
        <v>60</v>
      </c>
      <c r="B69" s="22">
        <v>720</v>
      </c>
      <c r="C69" s="22">
        <v>673</v>
      </c>
      <c r="D69" s="22">
        <v>625</v>
      </c>
      <c r="E69" s="22">
        <v>519</v>
      </c>
      <c r="F69" s="22">
        <v>692</v>
      </c>
      <c r="G69" s="22">
        <v>834</v>
      </c>
      <c r="H69" s="22">
        <v>98</v>
      </c>
      <c r="I69" s="22">
        <v>700</v>
      </c>
      <c r="J69" s="22">
        <v>700</v>
      </c>
      <c r="K69" s="22">
        <v>875</v>
      </c>
      <c r="L69" s="22">
        <v>291</v>
      </c>
      <c r="M69" s="22">
        <v>889</v>
      </c>
      <c r="N69" s="22">
        <v>930</v>
      </c>
      <c r="O69" s="22">
        <v>960</v>
      </c>
      <c r="P69" s="22">
        <v>870</v>
      </c>
      <c r="Q69" s="22">
        <v>530</v>
      </c>
      <c r="R69" s="22">
        <v>150</v>
      </c>
      <c r="S69" s="22">
        <v>889</v>
      </c>
      <c r="T69" s="22">
        <v>926</v>
      </c>
      <c r="U69" s="22">
        <v>1111</v>
      </c>
      <c r="V69" s="22">
        <v>916</v>
      </c>
      <c r="W69" s="22">
        <v>916</v>
      </c>
      <c r="X69" s="22">
        <v>1351</v>
      </c>
      <c r="Y69" s="22">
        <v>1100</v>
      </c>
      <c r="Z69" s="22">
        <v>1100</v>
      </c>
      <c r="AA69" s="22">
        <v>478</v>
      </c>
      <c r="AB69" s="22">
        <v>1200</v>
      </c>
      <c r="AC69" s="22">
        <v>1200</v>
      </c>
      <c r="AD69" s="22">
        <v>1300</v>
      </c>
      <c r="AE69" s="22">
        <v>1330</v>
      </c>
      <c r="AF69" s="22">
        <v>1366</v>
      </c>
      <c r="AG69" s="22">
        <v>2774</v>
      </c>
      <c r="AH69" s="22">
        <v>3560</v>
      </c>
      <c r="AI69" s="22">
        <v>4088</v>
      </c>
      <c r="AJ69" s="22">
        <v>4192</v>
      </c>
      <c r="AK69" s="22">
        <v>2629</v>
      </c>
      <c r="AL69" s="22">
        <v>4557</v>
      </c>
      <c r="AM69" s="22">
        <v>4670</v>
      </c>
      <c r="AN69" s="22">
        <v>3794</v>
      </c>
      <c r="AO69" s="22">
        <v>795</v>
      </c>
      <c r="AP69" s="22">
        <v>4721</v>
      </c>
      <c r="AQ69" s="22">
        <v>808</v>
      </c>
      <c r="AR69" s="22">
        <v>5191</v>
      </c>
      <c r="AS69" s="22">
        <v>5969</v>
      </c>
      <c r="AT69" s="22">
        <v>4172</v>
      </c>
      <c r="AU69" s="22">
        <v>4940</v>
      </c>
      <c r="AV69" s="22">
        <v>4879</v>
      </c>
      <c r="AW69" s="22">
        <v>5078</v>
      </c>
      <c r="AX69" s="22">
        <v>5985</v>
      </c>
      <c r="AY69" s="24">
        <v>5958</v>
      </c>
      <c r="AZ69" s="35"/>
      <c r="BA69" s="19">
        <f>AZ69-AY69</f>
        <v>-5958</v>
      </c>
      <c r="BC69" s="25">
        <f>AY69-AV69</f>
        <v>1079</v>
      </c>
      <c r="BD69" s="25">
        <f>AZ69-AV69</f>
        <v>-4879</v>
      </c>
      <c r="BE69" s="21">
        <v>0</v>
      </c>
    </row>
    <row r="70" spans="1:72" s="32" customFormat="1" ht="15.75" x14ac:dyDescent="0.25">
      <c r="A70" s="34" t="s">
        <v>61</v>
      </c>
      <c r="B70" s="36">
        <v>37</v>
      </c>
      <c r="C70" s="36">
        <v>35</v>
      </c>
      <c r="D70" s="36">
        <v>30</v>
      </c>
      <c r="E70" s="36">
        <v>28</v>
      </c>
      <c r="F70" s="36">
        <v>45</v>
      </c>
      <c r="G70" s="36">
        <v>88</v>
      </c>
      <c r="H70" s="36">
        <v>2</v>
      </c>
      <c r="I70" s="36">
        <v>50</v>
      </c>
      <c r="J70" s="36">
        <v>68</v>
      </c>
      <c r="K70" s="36">
        <v>90</v>
      </c>
      <c r="L70" s="36">
        <v>31</v>
      </c>
      <c r="M70" s="36">
        <v>68</v>
      </c>
      <c r="N70" s="36">
        <v>78</v>
      </c>
      <c r="O70" s="36">
        <v>82</v>
      </c>
      <c r="P70" s="36">
        <v>69.599999999999994</v>
      </c>
      <c r="Q70" s="36">
        <v>31.8</v>
      </c>
      <c r="R70" s="36">
        <v>2.7</v>
      </c>
      <c r="S70" s="36">
        <v>68.900000000000006</v>
      </c>
      <c r="T70" s="36">
        <v>85.2</v>
      </c>
      <c r="U70" s="36">
        <v>111.3</v>
      </c>
      <c r="V70" s="36">
        <v>94.3</v>
      </c>
      <c r="W70" s="36">
        <v>94.3</v>
      </c>
      <c r="X70" s="36">
        <v>117.5</v>
      </c>
      <c r="Y70" s="36">
        <v>95.7</v>
      </c>
      <c r="Z70" s="36">
        <v>99</v>
      </c>
      <c r="AA70" s="36">
        <v>48.2</v>
      </c>
      <c r="AB70" s="36">
        <v>133.1</v>
      </c>
      <c r="AC70" s="36">
        <v>126.2</v>
      </c>
      <c r="AD70" s="36">
        <v>165.6</v>
      </c>
      <c r="AE70" s="36">
        <v>189.8</v>
      </c>
      <c r="AF70" s="36">
        <v>197.5</v>
      </c>
      <c r="AG70" s="36">
        <v>451.3</v>
      </c>
      <c r="AH70" s="36">
        <v>614.79999999999995</v>
      </c>
      <c r="AI70" s="36">
        <v>722.8</v>
      </c>
      <c r="AJ70" s="36">
        <v>928.1</v>
      </c>
      <c r="AK70" s="36">
        <v>543.70000000000005</v>
      </c>
      <c r="AL70" s="36">
        <v>941.5</v>
      </c>
      <c r="AM70" s="36">
        <v>1058.2</v>
      </c>
      <c r="AN70" s="36">
        <v>668.5</v>
      </c>
      <c r="AO70" s="36">
        <v>140.69999999999999</v>
      </c>
      <c r="AP70" s="36">
        <v>812</v>
      </c>
      <c r="AQ70" s="36">
        <v>115.5</v>
      </c>
      <c r="AR70" s="36">
        <v>767.7</v>
      </c>
      <c r="AS70" s="36">
        <v>917.4</v>
      </c>
      <c r="AT70" s="36">
        <v>729.3</v>
      </c>
      <c r="AU70" s="36">
        <v>900.1</v>
      </c>
      <c r="AV70" s="36">
        <v>895.8</v>
      </c>
      <c r="AW70" s="36">
        <v>932.3</v>
      </c>
      <c r="AX70" s="36">
        <f>'[1]Corn 3'!AX70+'[1]Corn 2'!AX70+'[1]Corn 1'!AX70</f>
        <v>1139.5</v>
      </c>
      <c r="AY70" s="17">
        <f>'[1]Corn 3'!AY70+'[1]Corn 2'!AY70+'[1]Corn 1'!AY70</f>
        <v>1134.4000000000001</v>
      </c>
      <c r="AZ70" s="35"/>
      <c r="BA70" s="19">
        <f>AZ70-AY70</f>
        <v>-1134.4000000000001</v>
      </c>
      <c r="BC70" s="20">
        <f>AY70-AV70</f>
        <v>238.60000000000014</v>
      </c>
      <c r="BD70" s="20">
        <f>AZ70-AV70</f>
        <v>-895.8</v>
      </c>
      <c r="BE70" s="21">
        <v>0</v>
      </c>
      <c r="BT70" s="4"/>
    </row>
    <row r="71" spans="1:72" ht="15.75" x14ac:dyDescent="0.25">
      <c r="A71" s="53" t="s">
        <v>90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41"/>
      <c r="AZ71" s="42"/>
      <c r="BA71" s="43"/>
      <c r="BC71" s="2"/>
      <c r="BD71" s="2"/>
      <c r="BE71" s="33"/>
    </row>
    <row r="72" spans="1:72" ht="15.75" x14ac:dyDescent="0.25">
      <c r="A72" s="34" t="s">
        <v>59</v>
      </c>
      <c r="B72" s="36">
        <v>313</v>
      </c>
      <c r="C72" s="36">
        <v>278</v>
      </c>
      <c r="D72" s="36">
        <v>327</v>
      </c>
      <c r="E72" s="36">
        <v>437</v>
      </c>
      <c r="F72" s="36">
        <v>620</v>
      </c>
      <c r="G72" s="36">
        <v>678</v>
      </c>
      <c r="H72" s="36">
        <v>424.2</v>
      </c>
      <c r="I72" s="36">
        <v>420.4</v>
      </c>
      <c r="J72" s="36">
        <v>418</v>
      </c>
      <c r="K72" s="36">
        <v>507.9</v>
      </c>
      <c r="L72" s="36">
        <v>647</v>
      </c>
      <c r="M72" s="36">
        <v>728</v>
      </c>
      <c r="N72" s="36">
        <v>553.79999999999995</v>
      </c>
      <c r="O72" s="36">
        <v>428.9</v>
      </c>
      <c r="P72" s="36">
        <v>557</v>
      </c>
      <c r="Q72" s="36">
        <v>642.1</v>
      </c>
      <c r="R72" s="36">
        <v>489.2</v>
      </c>
      <c r="S72" s="36">
        <v>490.3</v>
      </c>
      <c r="T72" s="36">
        <v>496</v>
      </c>
      <c r="U72" s="36">
        <v>567.6</v>
      </c>
      <c r="V72" s="36">
        <v>681.3</v>
      </c>
      <c r="W72" s="36">
        <v>504.7</v>
      </c>
      <c r="X72" s="36">
        <v>660</v>
      </c>
      <c r="Y72" s="16">
        <v>654.20000000000005</v>
      </c>
      <c r="Z72" s="36">
        <v>705.5</v>
      </c>
      <c r="AA72" s="36">
        <v>672.6</v>
      </c>
      <c r="AB72" s="36">
        <v>797.3</v>
      </c>
      <c r="AC72" s="36">
        <v>734.9</v>
      </c>
      <c r="AD72" s="36">
        <v>802.6</v>
      </c>
      <c r="AE72" s="36">
        <v>777.9</v>
      </c>
      <c r="AF72" s="36">
        <v>833.1</v>
      </c>
      <c r="AG72" s="36">
        <v>831.2</v>
      </c>
      <c r="AH72" s="16">
        <v>818.8</v>
      </c>
      <c r="AI72" s="16">
        <v>806.9</v>
      </c>
      <c r="AJ72" s="16">
        <v>789.9</v>
      </c>
      <c r="AK72" s="16">
        <v>605</v>
      </c>
      <c r="AL72" s="16">
        <v>628.4</v>
      </c>
      <c r="AM72" s="16">
        <v>812.5</v>
      </c>
      <c r="AN72" s="16">
        <v>764.3</v>
      </c>
      <c r="AO72" s="16">
        <v>618.70000000000005</v>
      </c>
      <c r="AP72" s="16">
        <v>646.9</v>
      </c>
      <c r="AQ72" s="16">
        <v>611.20000000000005</v>
      </c>
      <c r="AR72" s="16">
        <v>592.20000000000005</v>
      </c>
      <c r="AS72" s="16">
        <v>592.6</v>
      </c>
      <c r="AT72" s="16">
        <v>753.8</v>
      </c>
      <c r="AU72" s="16">
        <v>814</v>
      </c>
      <c r="AV72" s="16">
        <v>853.4</v>
      </c>
      <c r="AW72" s="16">
        <v>766.5</v>
      </c>
      <c r="AX72" s="16">
        <f>'[1]Corn 3'!AX72+'[1]Corn 2'!AX72+'[1]Corn 1'!AX72</f>
        <v>732.1</v>
      </c>
      <c r="AY72" s="17">
        <v>746.3</v>
      </c>
      <c r="AZ72" s="35"/>
      <c r="BA72" s="19">
        <f>AZ72-AY72</f>
        <v>-746.3</v>
      </c>
      <c r="BC72" s="20">
        <f>AY72-AV72</f>
        <v>-107.10000000000002</v>
      </c>
      <c r="BD72" s="20">
        <f>AZ72-AV72</f>
        <v>-853.4</v>
      </c>
      <c r="BE72" s="21">
        <v>0</v>
      </c>
    </row>
    <row r="73" spans="1:72" ht="15.75" x14ac:dyDescent="0.25">
      <c r="A73" s="34" t="s">
        <v>60</v>
      </c>
      <c r="B73" s="22">
        <v>674</v>
      </c>
      <c r="C73" s="22">
        <v>802</v>
      </c>
      <c r="D73" s="22">
        <v>920</v>
      </c>
      <c r="E73" s="22">
        <v>740</v>
      </c>
      <c r="F73" s="22">
        <v>331</v>
      </c>
      <c r="G73" s="22">
        <v>355</v>
      </c>
      <c r="H73" s="22">
        <v>291</v>
      </c>
      <c r="I73" s="22">
        <v>203</v>
      </c>
      <c r="J73" s="22">
        <v>834</v>
      </c>
      <c r="K73" s="22">
        <v>622</v>
      </c>
      <c r="L73" s="22">
        <v>257</v>
      </c>
      <c r="M73" s="22">
        <v>343</v>
      </c>
      <c r="N73" s="22">
        <v>497</v>
      </c>
      <c r="O73" s="22">
        <v>268</v>
      </c>
      <c r="P73" s="22">
        <v>831</v>
      </c>
      <c r="Q73" s="22">
        <v>814</v>
      </c>
      <c r="R73" s="22">
        <v>578</v>
      </c>
      <c r="S73" s="22">
        <v>1273</v>
      </c>
      <c r="T73" s="22">
        <v>1529</v>
      </c>
      <c r="U73" s="22">
        <v>1213</v>
      </c>
      <c r="V73" s="22">
        <v>1763</v>
      </c>
      <c r="W73" s="22">
        <v>1488</v>
      </c>
      <c r="X73" s="22">
        <v>1532</v>
      </c>
      <c r="Y73" s="22">
        <v>1997</v>
      </c>
      <c r="Z73" s="22">
        <v>1436</v>
      </c>
      <c r="AA73" s="22">
        <v>1063</v>
      </c>
      <c r="AB73" s="22">
        <v>1755</v>
      </c>
      <c r="AC73" s="22">
        <v>2167</v>
      </c>
      <c r="AD73" s="22">
        <v>2039</v>
      </c>
      <c r="AE73" s="22">
        <v>1491</v>
      </c>
      <c r="AF73" s="22">
        <v>2037</v>
      </c>
      <c r="AG73" s="22">
        <v>2366</v>
      </c>
      <c r="AH73" s="22">
        <v>2449</v>
      </c>
      <c r="AI73" s="22">
        <v>2822</v>
      </c>
      <c r="AJ73" s="22">
        <v>2883</v>
      </c>
      <c r="AK73" s="22">
        <v>3594</v>
      </c>
      <c r="AL73" s="22">
        <v>3022</v>
      </c>
      <c r="AM73" s="22">
        <v>3917</v>
      </c>
      <c r="AN73" s="22">
        <v>3629</v>
      </c>
      <c r="AO73" s="22">
        <v>2340</v>
      </c>
      <c r="AP73" s="22">
        <v>3067</v>
      </c>
      <c r="AQ73" s="22">
        <v>3755</v>
      </c>
      <c r="AR73" s="22">
        <v>2753</v>
      </c>
      <c r="AS73" s="22">
        <v>4190</v>
      </c>
      <c r="AT73" s="22">
        <v>3614</v>
      </c>
      <c r="AU73" s="22">
        <v>4144</v>
      </c>
      <c r="AV73" s="22">
        <v>4604</v>
      </c>
      <c r="AW73" s="22">
        <v>3859.424005218526</v>
      </c>
      <c r="AX73" s="54">
        <v>3828.5642671766154</v>
      </c>
      <c r="AY73" s="24">
        <v>4186.4763296317942</v>
      </c>
      <c r="AZ73" s="35"/>
      <c r="BA73" s="19">
        <f>AZ73-AY73</f>
        <v>-4186.4763296317942</v>
      </c>
      <c r="BC73" s="25">
        <f>AY73-AV73</f>
        <v>-417.52367036820579</v>
      </c>
      <c r="BD73" s="25">
        <f>AZ73-AV73</f>
        <v>-4604</v>
      </c>
      <c r="BE73" s="21">
        <v>0</v>
      </c>
      <c r="BF73" s="44">
        <f>(AZ73/AV73)-1</f>
        <v>-1</v>
      </c>
      <c r="BT73" s="4">
        <f>AZ73/1000</f>
        <v>0</v>
      </c>
    </row>
    <row r="74" spans="1:72" ht="16.5" thickBot="1" x14ac:dyDescent="0.3">
      <c r="A74" s="34" t="s">
        <v>61</v>
      </c>
      <c r="B74" s="36">
        <v>211</v>
      </c>
      <c r="C74" s="36">
        <v>223</v>
      </c>
      <c r="D74" s="36">
        <v>301</v>
      </c>
      <c r="E74" s="36">
        <v>323</v>
      </c>
      <c r="F74" s="36">
        <v>205</v>
      </c>
      <c r="G74" s="36">
        <v>241</v>
      </c>
      <c r="H74" s="36">
        <v>124</v>
      </c>
      <c r="I74" s="36">
        <v>85</v>
      </c>
      <c r="J74" s="36">
        <v>349</v>
      </c>
      <c r="K74" s="36">
        <v>316</v>
      </c>
      <c r="L74" s="36">
        <v>166</v>
      </c>
      <c r="M74" s="36">
        <v>250</v>
      </c>
      <c r="N74" s="36">
        <v>276</v>
      </c>
      <c r="O74" s="36">
        <v>115</v>
      </c>
      <c r="P74" s="36">
        <v>462.9</v>
      </c>
      <c r="Q74" s="36">
        <v>522.4</v>
      </c>
      <c r="R74" s="36">
        <v>283</v>
      </c>
      <c r="S74" s="36">
        <v>624.29999999999995</v>
      </c>
      <c r="T74" s="36">
        <v>758.5</v>
      </c>
      <c r="U74" s="36">
        <v>688.6</v>
      </c>
      <c r="V74" s="36">
        <v>1201</v>
      </c>
      <c r="W74" s="36">
        <v>751</v>
      </c>
      <c r="X74" s="36">
        <v>1010.9</v>
      </c>
      <c r="Y74" s="36">
        <v>1306.2</v>
      </c>
      <c r="Z74" s="36">
        <v>1013.1</v>
      </c>
      <c r="AA74" s="36">
        <v>715</v>
      </c>
      <c r="AB74" s="36">
        <v>1399.2</v>
      </c>
      <c r="AC74" s="36">
        <v>1656.8</v>
      </c>
      <c r="AD74" s="36">
        <v>1636.2</v>
      </c>
      <c r="AE74" s="36">
        <v>1159.5</v>
      </c>
      <c r="AF74" s="36">
        <v>1696.7</v>
      </c>
      <c r="AG74" s="36">
        <v>1966.6</v>
      </c>
      <c r="AH74" s="36">
        <v>2005.2</v>
      </c>
      <c r="AI74" s="36">
        <v>2277.1</v>
      </c>
      <c r="AJ74" s="36">
        <v>2277.4</v>
      </c>
      <c r="AK74" s="36">
        <v>2174.3000000000002</v>
      </c>
      <c r="AL74" s="36">
        <v>1899.3</v>
      </c>
      <c r="AM74" s="36">
        <v>3182.3</v>
      </c>
      <c r="AN74" s="36">
        <v>2773.4</v>
      </c>
      <c r="AO74" s="36">
        <v>1447.9</v>
      </c>
      <c r="AP74" s="36">
        <v>1983.7</v>
      </c>
      <c r="AQ74" s="36">
        <v>2294.8000000000002</v>
      </c>
      <c r="AR74" s="36">
        <v>1630.1</v>
      </c>
      <c r="AS74" s="36">
        <v>2482.8000000000002</v>
      </c>
      <c r="AT74" s="36">
        <v>2724.3</v>
      </c>
      <c r="AU74" s="36">
        <v>3373.5</v>
      </c>
      <c r="AV74" s="36">
        <v>3928.7</v>
      </c>
      <c r="AW74" s="36">
        <v>2958.2</v>
      </c>
      <c r="AX74" s="36">
        <f>'[1]Corn 3'!AX74+'[1]Corn 2'!AX74+'[1]Corn 1'!AX74</f>
        <v>2802.8999999999996</v>
      </c>
      <c r="AY74" s="17">
        <f>'[1]Corn 3'!AY74+'[1]Corn 2'!AY74+'[1]Corn 1'!AY74</f>
        <v>2865.2</v>
      </c>
      <c r="AZ74" s="35"/>
      <c r="BA74" s="19">
        <f>AZ74-AY74</f>
        <v>-2865.2</v>
      </c>
      <c r="BC74" s="20">
        <f>AY74-AV74</f>
        <v>-1063.5</v>
      </c>
      <c r="BD74" s="20">
        <f>AZ74-AV74</f>
        <v>-3928.7</v>
      </c>
      <c r="BE74" s="21">
        <v>0</v>
      </c>
      <c r="BT74" s="4">
        <f>AZ74*1000</f>
        <v>0</v>
      </c>
    </row>
    <row r="75" spans="1:72" s="32" customFormat="1" ht="21.75" thickBot="1" x14ac:dyDescent="0.3">
      <c r="A75" s="45" t="s">
        <v>91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55"/>
      <c r="AU75" s="56"/>
      <c r="AV75" s="56"/>
      <c r="AW75" s="56"/>
      <c r="AX75" s="56"/>
      <c r="AY75" s="56"/>
      <c r="AZ75" s="56"/>
      <c r="BA75" s="56"/>
      <c r="BC75" s="2"/>
      <c r="BD75" s="2"/>
      <c r="BE75" s="33"/>
      <c r="BF75" s="57">
        <f>4020/60</f>
        <v>67</v>
      </c>
      <c r="BT75" s="4"/>
    </row>
    <row r="76" spans="1:72" s="32" customFormat="1" ht="15.75" x14ac:dyDescent="0.25">
      <c r="A76" s="48" t="s">
        <v>59</v>
      </c>
      <c r="B76" s="58">
        <v>1112.5999999999999</v>
      </c>
      <c r="C76" s="58">
        <v>1064</v>
      </c>
      <c r="D76" s="58">
        <v>1029</v>
      </c>
      <c r="E76" s="58">
        <v>1004.7</v>
      </c>
      <c r="F76" s="58">
        <v>1097</v>
      </c>
      <c r="G76" s="58">
        <v>1194.2</v>
      </c>
      <c r="H76" s="58">
        <v>1140.5</v>
      </c>
      <c r="I76" s="58">
        <v>1192.8</v>
      </c>
      <c r="J76" s="58">
        <v>1136.5</v>
      </c>
      <c r="K76" s="58">
        <v>1439.8</v>
      </c>
      <c r="L76" s="58">
        <v>1764.6</v>
      </c>
      <c r="M76" s="58">
        <v>1641.2</v>
      </c>
      <c r="N76" s="58">
        <v>1678.3</v>
      </c>
      <c r="O76" s="58">
        <v>1549.8</v>
      </c>
      <c r="P76" s="58">
        <v>1564</v>
      </c>
      <c r="Q76" s="58">
        <v>1521.3</v>
      </c>
      <c r="R76" s="58">
        <v>1440.7</v>
      </c>
      <c r="S76" s="58">
        <v>1879.9</v>
      </c>
      <c r="T76" s="58">
        <v>1849.1</v>
      </c>
      <c r="U76" s="58">
        <v>1966.7</v>
      </c>
      <c r="V76" s="58">
        <v>2174</v>
      </c>
      <c r="W76" s="58">
        <v>1663.4</v>
      </c>
      <c r="X76" s="58">
        <v>1942</v>
      </c>
      <c r="Y76" s="58">
        <v>1975.6</v>
      </c>
      <c r="Z76" s="58">
        <v>2028.6</v>
      </c>
      <c r="AA76" s="58">
        <v>1994.3</v>
      </c>
      <c r="AB76" s="58">
        <v>2327.8000000000002</v>
      </c>
      <c r="AC76" s="58">
        <v>2308.9</v>
      </c>
      <c r="AD76" s="58">
        <v>2264.8000000000002</v>
      </c>
      <c r="AE76" s="58">
        <v>2372.5</v>
      </c>
      <c r="AF76" s="58">
        <v>3259.7</v>
      </c>
      <c r="AG76" s="58">
        <v>3774.7</v>
      </c>
      <c r="AH76" s="58">
        <v>3528.1</v>
      </c>
      <c r="AI76" s="58">
        <v>3723.3</v>
      </c>
      <c r="AJ76" s="58">
        <v>3857.5</v>
      </c>
      <c r="AK76" s="58">
        <v>5291.8</v>
      </c>
      <c r="AL76" s="58">
        <v>6202.9</v>
      </c>
      <c r="AM76" s="58">
        <v>6202.2</v>
      </c>
      <c r="AN76" s="58">
        <v>6480.2</v>
      </c>
      <c r="AO76" s="58">
        <v>7067.4</v>
      </c>
      <c r="AP76" s="58">
        <v>8014.7</v>
      </c>
      <c r="AQ76" s="58">
        <v>7742.1</v>
      </c>
      <c r="AR76" s="58">
        <v>8524.2000000000007</v>
      </c>
      <c r="AS76" s="58">
        <v>9283.5</v>
      </c>
      <c r="AT76" s="58">
        <v>9908.7999999999993</v>
      </c>
      <c r="AU76" s="58">
        <v>10713.4</v>
      </c>
      <c r="AV76" s="58">
        <v>11650.5</v>
      </c>
      <c r="AW76" s="58">
        <v>10983</v>
      </c>
      <c r="AX76" s="58">
        <f>'[1]Corn 3'!AX76+'[1]Corn 2'!AX76+'[1]Corn 1'!AX76</f>
        <v>11394.300000000001</v>
      </c>
      <c r="AY76" s="50">
        <f>'[1]Corn 3'!AY76+'[1]Corn 2'!AY76+'[1]Corn 1'!AY76</f>
        <v>11878.6</v>
      </c>
      <c r="AZ76" s="51">
        <f>AZ80+AZ84+AZ88+AZ92</f>
        <v>11606.2</v>
      </c>
      <c r="BA76" s="52">
        <f>AZ76-AY76</f>
        <v>-272.39999999999964</v>
      </c>
      <c r="BB76"/>
      <c r="BC76" s="20">
        <f>AY76-AV76</f>
        <v>228.10000000000036</v>
      </c>
      <c r="BD76" s="20">
        <f>AZ76-AV76</f>
        <v>-44.299999999999272</v>
      </c>
      <c r="BE76" s="21">
        <v>0</v>
      </c>
      <c r="BF76" s="57"/>
      <c r="BT76" s="4"/>
    </row>
    <row r="77" spans="1:72" s="32" customFormat="1" ht="15.75" x14ac:dyDescent="0.25">
      <c r="A77" s="15" t="s">
        <v>60</v>
      </c>
      <c r="B77" s="22">
        <v>1745</v>
      </c>
      <c r="C77" s="22">
        <v>1269</v>
      </c>
      <c r="D77" s="22">
        <v>1802</v>
      </c>
      <c r="E77" s="22">
        <v>2070</v>
      </c>
      <c r="F77" s="22">
        <v>1902</v>
      </c>
      <c r="G77" s="22">
        <v>2058</v>
      </c>
      <c r="H77" s="22">
        <v>2100</v>
      </c>
      <c r="I77" s="22">
        <v>1813</v>
      </c>
      <c r="J77" s="22">
        <v>2099</v>
      </c>
      <c r="K77" s="22">
        <v>2181</v>
      </c>
      <c r="L77" s="22">
        <v>2524</v>
      </c>
      <c r="M77" s="22">
        <v>2726</v>
      </c>
      <c r="N77" s="22">
        <v>3039</v>
      </c>
      <c r="O77" s="22">
        <v>2155</v>
      </c>
      <c r="P77" s="22">
        <v>2881</v>
      </c>
      <c r="Q77" s="22">
        <v>3016</v>
      </c>
      <c r="R77" s="22">
        <v>2944</v>
      </c>
      <c r="S77" s="22">
        <v>3044</v>
      </c>
      <c r="T77" s="22">
        <v>3448</v>
      </c>
      <c r="U77" s="22">
        <v>3441</v>
      </c>
      <c r="V77" s="22">
        <v>3572</v>
      </c>
      <c r="W77" s="22">
        <v>3228</v>
      </c>
      <c r="X77" s="22">
        <v>3343</v>
      </c>
      <c r="Y77" s="22">
        <v>3231</v>
      </c>
      <c r="Z77" s="22">
        <v>4059</v>
      </c>
      <c r="AA77" s="22">
        <v>3554</v>
      </c>
      <c r="AB77" s="22">
        <v>4266</v>
      </c>
      <c r="AC77" s="22">
        <v>4031</v>
      </c>
      <c r="AD77" s="22">
        <v>3454</v>
      </c>
      <c r="AE77" s="22">
        <v>4043</v>
      </c>
      <c r="AF77" s="22">
        <v>3986</v>
      </c>
      <c r="AG77" s="22">
        <v>4421</v>
      </c>
      <c r="AH77" s="22">
        <v>4411</v>
      </c>
      <c r="AI77" s="22">
        <v>4541</v>
      </c>
      <c r="AJ77" s="22">
        <v>4489</v>
      </c>
      <c r="AK77" s="22">
        <v>5880</v>
      </c>
      <c r="AL77" s="22">
        <v>5789</v>
      </c>
      <c r="AM77" s="22">
        <v>5652</v>
      </c>
      <c r="AN77" s="22">
        <v>6108</v>
      </c>
      <c r="AO77" s="22">
        <v>3996</v>
      </c>
      <c r="AP77" s="22">
        <v>6098</v>
      </c>
      <c r="AQ77" s="22">
        <v>5354</v>
      </c>
      <c r="AR77" s="22">
        <v>6197</v>
      </c>
      <c r="AS77" s="22">
        <v>6122</v>
      </c>
      <c r="AT77" s="22">
        <v>4892</v>
      </c>
      <c r="AU77" s="22">
        <v>5993</v>
      </c>
      <c r="AV77" s="22">
        <v>6641</v>
      </c>
      <c r="AW77" s="22">
        <v>6242.3043066557411</v>
      </c>
      <c r="AX77" s="22">
        <v>7329.9696427160952</v>
      </c>
      <c r="AY77" s="24">
        <v>6854.482497937468</v>
      </c>
      <c r="AZ77" s="59">
        <f>AZ78/AZ76*1000</f>
        <v>6133.2247074839306</v>
      </c>
      <c r="BA77" s="19">
        <f>AZ77-AY77</f>
        <v>-721.25779045353738</v>
      </c>
      <c r="BB77"/>
      <c r="BC77" s="25">
        <f>AY77-AV77</f>
        <v>213.482497937468</v>
      </c>
      <c r="BD77" s="25">
        <f>AZ77-AV77</f>
        <v>-507.77529251606938</v>
      </c>
      <c r="BE77" s="21">
        <v>0</v>
      </c>
      <c r="BF77" s="57"/>
      <c r="BT77" s="4">
        <f>AZ77/1000</f>
        <v>6.1332247074839303</v>
      </c>
    </row>
    <row r="78" spans="1:72" s="32" customFormat="1" ht="15.75" x14ac:dyDescent="0.25">
      <c r="A78" s="15" t="s">
        <v>61</v>
      </c>
      <c r="B78" s="60">
        <v>1942</v>
      </c>
      <c r="C78" s="60">
        <v>1350</v>
      </c>
      <c r="D78" s="60">
        <v>1854</v>
      </c>
      <c r="E78" s="60">
        <v>2080</v>
      </c>
      <c r="F78" s="60">
        <v>2087</v>
      </c>
      <c r="G78" s="60">
        <v>2457</v>
      </c>
      <c r="H78" s="60">
        <v>2395</v>
      </c>
      <c r="I78" s="60">
        <v>2162</v>
      </c>
      <c r="J78" s="60">
        <v>2386</v>
      </c>
      <c r="K78" s="60">
        <v>3140</v>
      </c>
      <c r="L78" s="60">
        <v>4453</v>
      </c>
      <c r="M78" s="60">
        <v>4473</v>
      </c>
      <c r="N78" s="60">
        <v>5100</v>
      </c>
      <c r="O78" s="60">
        <v>3340</v>
      </c>
      <c r="P78" s="60">
        <v>4505.8999999999996</v>
      </c>
      <c r="Q78" s="60">
        <v>4588</v>
      </c>
      <c r="R78" s="60">
        <v>4241.8</v>
      </c>
      <c r="S78" s="60">
        <v>5722.1</v>
      </c>
      <c r="T78" s="60">
        <v>6375.4</v>
      </c>
      <c r="U78" s="60">
        <v>6767.6</v>
      </c>
      <c r="V78" s="60">
        <v>7766.4</v>
      </c>
      <c r="W78" s="60">
        <v>5369.3</v>
      </c>
      <c r="X78" s="60">
        <v>6492.9</v>
      </c>
      <c r="Y78" s="60">
        <v>6383</v>
      </c>
      <c r="Z78" s="60">
        <v>8234.2999999999993</v>
      </c>
      <c r="AA78" s="60">
        <v>7088.2</v>
      </c>
      <c r="AB78" s="60">
        <v>9931.4</v>
      </c>
      <c r="AC78" s="60">
        <v>9355</v>
      </c>
      <c r="AD78" s="60">
        <v>7823.1</v>
      </c>
      <c r="AE78" s="60">
        <v>9592.2000000000007</v>
      </c>
      <c r="AF78" s="60">
        <v>12994</v>
      </c>
      <c r="AG78" s="60">
        <v>16686.2</v>
      </c>
      <c r="AH78" s="60">
        <v>15564.1</v>
      </c>
      <c r="AI78" s="60">
        <v>16906.8</v>
      </c>
      <c r="AJ78" s="60">
        <v>17315.599999999999</v>
      </c>
      <c r="AK78" s="60">
        <v>31116.3</v>
      </c>
      <c r="AL78" s="60">
        <v>35910.6</v>
      </c>
      <c r="AM78" s="60">
        <v>35053.800000000003</v>
      </c>
      <c r="AN78" s="60">
        <v>39582.1</v>
      </c>
      <c r="AO78" s="60">
        <v>28244.400000000001</v>
      </c>
      <c r="AP78" s="60">
        <v>48873.7</v>
      </c>
      <c r="AQ78" s="60">
        <v>41451.199999999997</v>
      </c>
      <c r="AR78" s="60">
        <v>52825.9</v>
      </c>
      <c r="AS78" s="60">
        <v>56836</v>
      </c>
      <c r="AT78" s="60">
        <v>48470.1</v>
      </c>
      <c r="AU78" s="60">
        <v>64210.1</v>
      </c>
      <c r="AV78" s="60">
        <v>77369.5</v>
      </c>
      <c r="AW78" s="60">
        <v>68559.3</v>
      </c>
      <c r="AX78" s="60">
        <f>'[1]Corn 3'!AX78+'[1]Corn 2'!AX78+'[1]Corn 1'!AX78</f>
        <v>83519.900000000009</v>
      </c>
      <c r="AY78" s="17">
        <f>'[1]Corn 3'!AY78+'[1]Corn 2'!AY78+'[1]Corn 1'!AY78</f>
        <v>81421.800000000017</v>
      </c>
      <c r="AZ78" s="35">
        <f>AZ82+AZ86+AZ90+AZ94</f>
        <v>71183.4326</v>
      </c>
      <c r="BA78" s="19">
        <f>AZ78-AY78</f>
        <v>-10238.367400000017</v>
      </c>
      <c r="BB78"/>
      <c r="BC78" s="20">
        <f>AY78-AV78</f>
        <v>4052.3000000000175</v>
      </c>
      <c r="BD78" s="20">
        <f>AZ78-AV78</f>
        <v>-6186.0673999999999</v>
      </c>
      <c r="BE78" s="21">
        <v>0</v>
      </c>
      <c r="BF78" s="57"/>
      <c r="BT78" s="4">
        <f>AZ78*1000</f>
        <v>71183432.599999994</v>
      </c>
    </row>
    <row r="79" spans="1:72" ht="15.75" x14ac:dyDescent="0.25">
      <c r="A79" s="53" t="s">
        <v>92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41"/>
      <c r="AZ79" s="42"/>
      <c r="BA79" s="43"/>
      <c r="BC79" s="2"/>
      <c r="BD79" s="2"/>
      <c r="BE79" s="33"/>
    </row>
    <row r="80" spans="1:72" ht="15.75" x14ac:dyDescent="0.25">
      <c r="A80" s="34" t="s">
        <v>59</v>
      </c>
      <c r="B80" s="36">
        <v>247.3</v>
      </c>
      <c r="C80" s="36">
        <v>179</v>
      </c>
      <c r="D80" s="36">
        <v>76</v>
      </c>
      <c r="E80" s="36">
        <v>86</v>
      </c>
      <c r="F80" s="36">
        <v>110</v>
      </c>
      <c r="G80" s="36">
        <v>158</v>
      </c>
      <c r="H80" s="36">
        <v>197.5</v>
      </c>
      <c r="I80" s="36">
        <v>217.3</v>
      </c>
      <c r="J80" s="36">
        <v>236</v>
      </c>
      <c r="K80" s="36">
        <v>275</v>
      </c>
      <c r="L80" s="36">
        <v>310</v>
      </c>
      <c r="M80" s="36">
        <v>353.4</v>
      </c>
      <c r="N80" s="36">
        <v>352</v>
      </c>
      <c r="O80" s="36">
        <v>320</v>
      </c>
      <c r="P80" s="36">
        <v>290</v>
      </c>
      <c r="Q80" s="36">
        <v>305</v>
      </c>
      <c r="R80" s="36">
        <v>363.4</v>
      </c>
      <c r="S80" s="36">
        <v>449.7</v>
      </c>
      <c r="T80" s="36">
        <v>455</v>
      </c>
      <c r="U80" s="36">
        <v>562.1</v>
      </c>
      <c r="V80" s="36">
        <v>631.70000000000005</v>
      </c>
      <c r="W80" s="36">
        <v>528.4</v>
      </c>
      <c r="X80" s="36">
        <v>553.9</v>
      </c>
      <c r="Y80" s="16">
        <v>557.5</v>
      </c>
      <c r="Z80" s="36">
        <v>542.9</v>
      </c>
      <c r="AA80" s="36">
        <v>738.6</v>
      </c>
      <c r="AB80" s="36">
        <v>879.3</v>
      </c>
      <c r="AC80" s="36">
        <v>970.9</v>
      </c>
      <c r="AD80" s="36">
        <v>1058.7</v>
      </c>
      <c r="AE80" s="36">
        <v>1046.8</v>
      </c>
      <c r="AF80" s="36">
        <v>1592.3</v>
      </c>
      <c r="AG80" s="36">
        <v>1834.6</v>
      </c>
      <c r="AH80" s="16">
        <v>1640.6</v>
      </c>
      <c r="AI80" s="16">
        <v>1990.1</v>
      </c>
      <c r="AJ80" s="16">
        <v>1898.4</v>
      </c>
      <c r="AK80" s="16">
        <v>2739.9</v>
      </c>
      <c r="AL80" s="16">
        <v>3424.7</v>
      </c>
      <c r="AM80" s="16">
        <v>3298.2</v>
      </c>
      <c r="AN80" s="16">
        <v>3416.5</v>
      </c>
      <c r="AO80" s="16">
        <v>3800.1</v>
      </c>
      <c r="AP80" s="16">
        <v>4639.1000000000004</v>
      </c>
      <c r="AQ80" s="16">
        <v>4498.3999999999996</v>
      </c>
      <c r="AR80" s="16">
        <v>4906.3999999999996</v>
      </c>
      <c r="AS80" s="16">
        <v>5455.6</v>
      </c>
      <c r="AT80" s="16">
        <v>5884.3</v>
      </c>
      <c r="AU80" s="16">
        <v>6547.4</v>
      </c>
      <c r="AV80" s="16">
        <v>7428.1</v>
      </c>
      <c r="AW80" s="16">
        <v>7055</v>
      </c>
      <c r="AX80" s="16">
        <f>'[1]Corn 3'!AX80+'[1]Corn 2'!AX80+'[1]Corn 1'!AX80</f>
        <v>7287.4</v>
      </c>
      <c r="AY80" s="17">
        <f>'[1]Corn 3'!AY80+'[1]Corn 2'!AY80+'[1]Corn 1'!AY80</f>
        <v>7566</v>
      </c>
      <c r="AZ80" s="35">
        <v>7450</v>
      </c>
      <c r="BA80" s="19">
        <f>AZ80-AY80</f>
        <v>-116</v>
      </c>
      <c r="BC80" s="20">
        <f>AY80-AV80</f>
        <v>137.89999999999964</v>
      </c>
      <c r="BD80" s="20">
        <f>AZ80-AV80</f>
        <v>21.899999999999636</v>
      </c>
      <c r="BE80" s="21">
        <v>0</v>
      </c>
    </row>
    <row r="81" spans="1:74" ht="15.75" x14ac:dyDescent="0.25">
      <c r="A81" s="34" t="s">
        <v>60</v>
      </c>
      <c r="B81" s="22">
        <v>1558</v>
      </c>
      <c r="C81" s="22">
        <v>1397</v>
      </c>
      <c r="D81" s="22">
        <v>1553</v>
      </c>
      <c r="E81" s="22">
        <v>1658</v>
      </c>
      <c r="F81" s="22">
        <v>1682</v>
      </c>
      <c r="G81" s="22">
        <v>1759</v>
      </c>
      <c r="H81" s="22">
        <v>1760</v>
      </c>
      <c r="I81" s="22">
        <v>1650</v>
      </c>
      <c r="J81" s="22">
        <v>1700</v>
      </c>
      <c r="K81" s="22">
        <v>1900</v>
      </c>
      <c r="L81" s="22">
        <v>2250</v>
      </c>
      <c r="M81" s="22">
        <v>2140</v>
      </c>
      <c r="N81" s="22">
        <v>2350</v>
      </c>
      <c r="O81" s="22">
        <v>2330</v>
      </c>
      <c r="P81" s="22">
        <v>2410</v>
      </c>
      <c r="Q81" s="22">
        <v>2642</v>
      </c>
      <c r="R81" s="22">
        <v>2573</v>
      </c>
      <c r="S81" s="22">
        <v>2609</v>
      </c>
      <c r="T81" s="22">
        <v>2828</v>
      </c>
      <c r="U81" s="22">
        <v>2679</v>
      </c>
      <c r="V81" s="22">
        <v>2808</v>
      </c>
      <c r="W81" s="22">
        <v>2552</v>
      </c>
      <c r="X81" s="22">
        <v>2260</v>
      </c>
      <c r="Y81" s="22">
        <v>2632</v>
      </c>
      <c r="Z81" s="22">
        <v>3396</v>
      </c>
      <c r="AA81" s="22">
        <v>2978</v>
      </c>
      <c r="AB81" s="22">
        <v>3671</v>
      </c>
      <c r="AC81" s="22">
        <v>3450</v>
      </c>
      <c r="AD81" s="22">
        <v>3197</v>
      </c>
      <c r="AE81" s="22">
        <v>3848</v>
      </c>
      <c r="AF81" s="22">
        <v>3683</v>
      </c>
      <c r="AG81" s="22">
        <v>4255</v>
      </c>
      <c r="AH81" s="22">
        <v>4926</v>
      </c>
      <c r="AI81" s="22">
        <v>4079</v>
      </c>
      <c r="AJ81" s="22">
        <v>4014</v>
      </c>
      <c r="AK81" s="22">
        <v>5697</v>
      </c>
      <c r="AL81" s="22">
        <v>5809</v>
      </c>
      <c r="AM81" s="22">
        <v>5473</v>
      </c>
      <c r="AN81" s="22">
        <v>6077</v>
      </c>
      <c r="AO81" s="22">
        <v>4019</v>
      </c>
      <c r="AP81" s="22">
        <v>6223</v>
      </c>
      <c r="AQ81" s="22">
        <v>5869</v>
      </c>
      <c r="AR81" s="22">
        <v>6381</v>
      </c>
      <c r="AS81" s="22">
        <v>6407</v>
      </c>
      <c r="AT81" s="22">
        <v>5650</v>
      </c>
      <c r="AU81" s="22">
        <v>6357</v>
      </c>
      <c r="AV81" s="22">
        <v>6898</v>
      </c>
      <c r="AW81" s="22">
        <v>6916.4108858965265</v>
      </c>
      <c r="AX81" s="22">
        <v>7620.851208935972</v>
      </c>
      <c r="AY81" s="24">
        <v>7166.1061062648687</v>
      </c>
      <c r="AZ81" s="61">
        <v>6350</v>
      </c>
      <c r="BA81" s="19">
        <f>AZ81-AY81</f>
        <v>-816.10610626486869</v>
      </c>
      <c r="BC81" s="25">
        <f>AY81-AV81</f>
        <v>268.10610626486869</v>
      </c>
      <c r="BD81" s="25">
        <f>AZ81-AV81</f>
        <v>-548</v>
      </c>
      <c r="BE81" s="21">
        <v>0</v>
      </c>
      <c r="BF81" s="44">
        <f>(AZ81/AV81)-1</f>
        <v>-7.9443316903450301E-2</v>
      </c>
      <c r="BH81" s="62">
        <f>AV81/60</f>
        <v>114.96666666666667</v>
      </c>
      <c r="BI81" s="62">
        <f>AY81/60</f>
        <v>119.43510177108115</v>
      </c>
      <c r="BT81" s="4">
        <f>AZ81/1000</f>
        <v>6.35</v>
      </c>
    </row>
    <row r="82" spans="1:74" s="32" customFormat="1" ht="15.75" x14ac:dyDescent="0.25">
      <c r="A82" s="34" t="s">
        <v>61</v>
      </c>
      <c r="B82" s="36">
        <v>385</v>
      </c>
      <c r="C82" s="36">
        <v>250</v>
      </c>
      <c r="D82" s="36">
        <v>118</v>
      </c>
      <c r="E82" s="36">
        <v>143</v>
      </c>
      <c r="F82" s="36">
        <v>185</v>
      </c>
      <c r="G82" s="36">
        <v>278</v>
      </c>
      <c r="H82" s="36">
        <v>348</v>
      </c>
      <c r="I82" s="36">
        <v>359</v>
      </c>
      <c r="J82" s="36">
        <v>401</v>
      </c>
      <c r="K82" s="36">
        <v>523</v>
      </c>
      <c r="L82" s="36">
        <v>698</v>
      </c>
      <c r="M82" s="36">
        <v>756</v>
      </c>
      <c r="N82" s="36">
        <v>827</v>
      </c>
      <c r="O82" s="36">
        <v>746</v>
      </c>
      <c r="P82" s="36">
        <v>698.9</v>
      </c>
      <c r="Q82" s="36">
        <v>805.8</v>
      </c>
      <c r="R82" s="36">
        <v>935.2</v>
      </c>
      <c r="S82" s="36">
        <v>1173.0999999999999</v>
      </c>
      <c r="T82" s="36">
        <v>1286.9000000000001</v>
      </c>
      <c r="U82" s="36">
        <v>1505.7</v>
      </c>
      <c r="V82" s="36">
        <v>1773.8</v>
      </c>
      <c r="W82" s="36">
        <v>1348.4</v>
      </c>
      <c r="X82" s="36">
        <v>1251.7</v>
      </c>
      <c r="Y82" s="36">
        <v>1467.2</v>
      </c>
      <c r="Z82" s="36">
        <v>1843.6</v>
      </c>
      <c r="AA82" s="36">
        <v>2199.8000000000002</v>
      </c>
      <c r="AB82" s="36">
        <v>3227.8</v>
      </c>
      <c r="AC82" s="36">
        <v>3446.4</v>
      </c>
      <c r="AD82" s="36">
        <v>3384.4</v>
      </c>
      <c r="AE82" s="36">
        <v>4028.3</v>
      </c>
      <c r="AF82" s="36">
        <v>5864.9</v>
      </c>
      <c r="AG82" s="36">
        <v>7806.8</v>
      </c>
      <c r="AH82" s="36">
        <v>8081.7</v>
      </c>
      <c r="AI82" s="36">
        <v>8118.1</v>
      </c>
      <c r="AJ82" s="36">
        <v>7619.7</v>
      </c>
      <c r="AK82" s="36">
        <v>15610.4</v>
      </c>
      <c r="AL82" s="36">
        <v>19893</v>
      </c>
      <c r="AM82" s="36">
        <v>18049.400000000001</v>
      </c>
      <c r="AN82" s="36">
        <v>20763.400000000001</v>
      </c>
      <c r="AO82" s="36">
        <v>15271.6</v>
      </c>
      <c r="AP82" s="36">
        <v>28867</v>
      </c>
      <c r="AQ82" s="36">
        <v>26400.6</v>
      </c>
      <c r="AR82" s="36">
        <v>31307.200000000001</v>
      </c>
      <c r="AS82" s="36">
        <v>34954.5</v>
      </c>
      <c r="AT82" s="36">
        <v>33243.9</v>
      </c>
      <c r="AU82" s="36">
        <v>41620.1</v>
      </c>
      <c r="AV82" s="36">
        <v>51240.6</v>
      </c>
      <c r="AW82" s="36">
        <v>48795.3</v>
      </c>
      <c r="AX82" s="36">
        <f>'[1]Corn 3'!AX82+'[1]Corn 2'!AX82+'[1]Corn 1'!AX82</f>
        <v>55536.2</v>
      </c>
      <c r="AY82" s="17">
        <f>'[1]Corn 3'!AY82+'[1]Corn 2'!AY82+'[1]Corn 1'!AY82</f>
        <v>54218.799999999996</v>
      </c>
      <c r="AZ82" s="35">
        <f>AZ81*AZ80/1000</f>
        <v>47307.5</v>
      </c>
      <c r="BA82" s="19">
        <f>AZ82-AY82</f>
        <v>-6911.2999999999956</v>
      </c>
      <c r="BB82"/>
      <c r="BC82" s="20">
        <f>AY82-AV82</f>
        <v>2978.1999999999971</v>
      </c>
      <c r="BD82" s="20">
        <f>AZ82-AV82</f>
        <v>-3933.0999999999985</v>
      </c>
      <c r="BE82" s="21">
        <v>0</v>
      </c>
      <c r="BT82" s="4">
        <f>AZ82*1000</f>
        <v>47307500</v>
      </c>
      <c r="BV82" s="32">
        <v>3150</v>
      </c>
    </row>
    <row r="83" spans="1:74" ht="15.75" x14ac:dyDescent="0.25">
      <c r="A83" s="53" t="s">
        <v>93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41"/>
      <c r="AZ83" s="42"/>
      <c r="BA83" s="43"/>
      <c r="BC83" s="2"/>
      <c r="BD83" s="2"/>
      <c r="BE83" s="33"/>
    </row>
    <row r="84" spans="1:74" ht="15.75" x14ac:dyDescent="0.25">
      <c r="A84" s="34" t="s">
        <v>59</v>
      </c>
      <c r="B84" s="36">
        <v>0</v>
      </c>
      <c r="C84" s="36">
        <v>0</v>
      </c>
      <c r="D84" s="36">
        <v>101</v>
      </c>
      <c r="E84" s="36">
        <v>108.6</v>
      </c>
      <c r="F84" s="36">
        <v>132</v>
      </c>
      <c r="G84" s="36">
        <v>145</v>
      </c>
      <c r="H84" s="36">
        <v>127.6</v>
      </c>
      <c r="I84" s="36">
        <v>159.5</v>
      </c>
      <c r="J84" s="36">
        <v>159.5</v>
      </c>
      <c r="K84" s="36">
        <v>215.3</v>
      </c>
      <c r="L84" s="36">
        <v>258</v>
      </c>
      <c r="M84" s="36">
        <v>250</v>
      </c>
      <c r="N84" s="36">
        <v>265</v>
      </c>
      <c r="O84" s="36">
        <v>283</v>
      </c>
      <c r="P84" s="36">
        <v>360</v>
      </c>
      <c r="Q84" s="36">
        <v>369.7</v>
      </c>
      <c r="R84" s="36">
        <v>367.9</v>
      </c>
      <c r="S84" s="36">
        <v>503.2</v>
      </c>
      <c r="T84" s="36">
        <v>497</v>
      </c>
      <c r="U84" s="36">
        <v>452.8</v>
      </c>
      <c r="V84" s="36">
        <v>550.29999999999995</v>
      </c>
      <c r="W84" s="36">
        <v>451.5</v>
      </c>
      <c r="X84" s="36">
        <v>513.70000000000005</v>
      </c>
      <c r="Y84" s="16">
        <v>513.79999999999995</v>
      </c>
      <c r="Z84" s="36">
        <v>545.9</v>
      </c>
      <c r="AA84" s="36">
        <v>481.2</v>
      </c>
      <c r="AB84" s="36">
        <v>701.9</v>
      </c>
      <c r="AC84" s="36">
        <v>628.29999999999995</v>
      </c>
      <c r="AD84" s="36">
        <v>564.4</v>
      </c>
      <c r="AE84" s="36">
        <v>623.4</v>
      </c>
      <c r="AF84" s="36">
        <v>838.2</v>
      </c>
      <c r="AG84" s="36">
        <v>988.3</v>
      </c>
      <c r="AH84" s="16">
        <v>938.5</v>
      </c>
      <c r="AI84" s="16">
        <v>887.5</v>
      </c>
      <c r="AJ84" s="16">
        <v>992.8</v>
      </c>
      <c r="AK84" s="16">
        <v>1267.7</v>
      </c>
      <c r="AL84" s="16">
        <v>1509</v>
      </c>
      <c r="AM84" s="16">
        <v>1574.5</v>
      </c>
      <c r="AN84" s="16">
        <v>1635.5</v>
      </c>
      <c r="AO84" s="16">
        <v>1681</v>
      </c>
      <c r="AP84" s="16">
        <v>1787.9</v>
      </c>
      <c r="AQ84" s="16">
        <v>1735.5</v>
      </c>
      <c r="AR84" s="16">
        <v>1876</v>
      </c>
      <c r="AS84" s="16">
        <v>1855</v>
      </c>
      <c r="AT84" s="16">
        <v>2125.9</v>
      </c>
      <c r="AU84" s="16">
        <v>2180.3000000000002</v>
      </c>
      <c r="AV84" s="16">
        <v>2262.6</v>
      </c>
      <c r="AW84" s="16">
        <v>2136.1000000000004</v>
      </c>
      <c r="AX84" s="16">
        <f>'[1]Corn 3'!AX84+'[1]Corn 2'!AX84+'[1]Corn 1'!AX84</f>
        <v>2081.6</v>
      </c>
      <c r="AY84" s="17">
        <f>'[1]Corn 3'!AY84+'[1]Corn 2'!AY84+'[1]Corn 1'!AY84</f>
        <v>2194.5</v>
      </c>
      <c r="AZ84" s="35">
        <v>2200</v>
      </c>
      <c r="BA84" s="19">
        <f>AZ84-AY84</f>
        <v>5.5</v>
      </c>
      <c r="BC84" s="20">
        <f>AY84-AV84</f>
        <v>-68.099999999999909</v>
      </c>
      <c r="BD84" s="20">
        <f>AZ84-AV84</f>
        <v>-62.599999999999909</v>
      </c>
      <c r="BE84" s="21">
        <v>0</v>
      </c>
    </row>
    <row r="85" spans="1:74" ht="15.75" x14ac:dyDescent="0.25">
      <c r="A85" s="63" t="s">
        <v>94</v>
      </c>
      <c r="B85" s="22">
        <v>0</v>
      </c>
      <c r="C85" s="22">
        <v>0</v>
      </c>
      <c r="D85" s="22">
        <v>1743</v>
      </c>
      <c r="E85" s="22">
        <v>1726</v>
      </c>
      <c r="F85" s="22">
        <v>1780</v>
      </c>
      <c r="G85" s="22">
        <v>1766</v>
      </c>
      <c r="H85" s="22">
        <v>2000</v>
      </c>
      <c r="I85" s="22">
        <v>1800</v>
      </c>
      <c r="J85" s="22">
        <v>2000</v>
      </c>
      <c r="K85" s="22">
        <v>1550</v>
      </c>
      <c r="L85" s="22">
        <v>2440</v>
      </c>
      <c r="M85" s="22">
        <v>2630</v>
      </c>
      <c r="N85" s="22">
        <v>2900</v>
      </c>
      <c r="O85" s="22">
        <v>2271</v>
      </c>
      <c r="P85" s="22">
        <v>2663</v>
      </c>
      <c r="Q85" s="22">
        <v>2352</v>
      </c>
      <c r="R85" s="22">
        <v>2425</v>
      </c>
      <c r="S85" s="22">
        <v>2323</v>
      </c>
      <c r="T85" s="22">
        <v>2970</v>
      </c>
      <c r="U85" s="22">
        <v>3319</v>
      </c>
      <c r="V85" s="22">
        <v>3576</v>
      </c>
      <c r="W85" s="22">
        <v>2977</v>
      </c>
      <c r="X85" s="22">
        <v>3275</v>
      </c>
      <c r="Y85" s="22">
        <v>2323</v>
      </c>
      <c r="Z85" s="22">
        <v>3984</v>
      </c>
      <c r="AA85" s="22">
        <v>2796</v>
      </c>
      <c r="AB85" s="22">
        <v>4331</v>
      </c>
      <c r="AC85" s="22">
        <v>3818</v>
      </c>
      <c r="AD85" s="22">
        <v>2475</v>
      </c>
      <c r="AE85" s="22">
        <v>3595</v>
      </c>
      <c r="AF85" s="22">
        <v>3521</v>
      </c>
      <c r="AG85" s="22">
        <v>3566</v>
      </c>
      <c r="AH85" s="22">
        <v>2463</v>
      </c>
      <c r="AI85" s="22">
        <v>4211</v>
      </c>
      <c r="AJ85" s="22">
        <v>3448</v>
      </c>
      <c r="AK85" s="22">
        <v>5188</v>
      </c>
      <c r="AL85" s="22">
        <v>5183</v>
      </c>
      <c r="AM85" s="22">
        <v>5195</v>
      </c>
      <c r="AN85" s="22">
        <v>5676</v>
      </c>
      <c r="AO85" s="22">
        <v>3730</v>
      </c>
      <c r="AP85" s="22">
        <v>5521</v>
      </c>
      <c r="AQ85" s="22">
        <v>3734</v>
      </c>
      <c r="AR85" s="22">
        <v>5067</v>
      </c>
      <c r="AS85" s="22">
        <v>4735</v>
      </c>
      <c r="AT85" s="22">
        <v>3024</v>
      </c>
      <c r="AU85" s="22">
        <v>5715</v>
      </c>
      <c r="AV85" s="22">
        <v>5795</v>
      </c>
      <c r="AW85" s="22">
        <v>3782.849960207855</v>
      </c>
      <c r="AX85" s="22">
        <v>6390.2357801691014</v>
      </c>
      <c r="AY85" s="24">
        <v>5734.0274322169062</v>
      </c>
      <c r="AZ85" s="61">
        <v>5400</v>
      </c>
      <c r="BA85" s="19">
        <f>AZ85-AY85</f>
        <v>-334.02743221690616</v>
      </c>
      <c r="BC85" s="25">
        <f>AY85-AV85</f>
        <v>-60.972567783093837</v>
      </c>
      <c r="BD85" s="25">
        <f>AZ85-AV85</f>
        <v>-395</v>
      </c>
      <c r="BE85" s="21">
        <v>0</v>
      </c>
      <c r="BF85" s="44">
        <f>(AZ85/AV85)-1</f>
        <v>-6.8162208800690238E-2</v>
      </c>
      <c r="BT85" s="4">
        <f>AZ85/1000</f>
        <v>5.4</v>
      </c>
    </row>
    <row r="86" spans="1:74" s="32" customFormat="1" ht="15.75" x14ac:dyDescent="0.25">
      <c r="A86" s="63" t="s">
        <v>95</v>
      </c>
      <c r="B86" s="36">
        <v>0</v>
      </c>
      <c r="C86" s="36">
        <v>0</v>
      </c>
      <c r="D86" s="36">
        <v>176</v>
      </c>
      <c r="E86" s="36">
        <v>187</v>
      </c>
      <c r="F86" s="36">
        <v>235</v>
      </c>
      <c r="G86" s="36">
        <v>256</v>
      </c>
      <c r="H86" s="36">
        <v>255</v>
      </c>
      <c r="I86" s="36">
        <v>287</v>
      </c>
      <c r="J86" s="36">
        <v>319</v>
      </c>
      <c r="K86" s="36">
        <v>334</v>
      </c>
      <c r="L86" s="36">
        <v>630</v>
      </c>
      <c r="M86" s="36">
        <v>658</v>
      </c>
      <c r="N86" s="36">
        <v>769</v>
      </c>
      <c r="O86" s="36">
        <v>643</v>
      </c>
      <c r="P86" s="36">
        <v>958.5</v>
      </c>
      <c r="Q86" s="36">
        <v>869.4</v>
      </c>
      <c r="R86" s="36">
        <v>892.3</v>
      </c>
      <c r="S86" s="36">
        <v>1169</v>
      </c>
      <c r="T86" s="36">
        <v>1476.3</v>
      </c>
      <c r="U86" s="36">
        <v>1503</v>
      </c>
      <c r="V86" s="36">
        <v>1967.8</v>
      </c>
      <c r="W86" s="36">
        <v>1343.9</v>
      </c>
      <c r="X86" s="36">
        <v>1682.4</v>
      </c>
      <c r="Y86" s="36">
        <v>1193.5999999999999</v>
      </c>
      <c r="Z86" s="36">
        <v>2174.6999999999998</v>
      </c>
      <c r="AA86" s="36">
        <v>1345.6</v>
      </c>
      <c r="AB86" s="36">
        <v>3039.7</v>
      </c>
      <c r="AC86" s="36">
        <v>2353</v>
      </c>
      <c r="AD86" s="36">
        <v>1396.9</v>
      </c>
      <c r="AE86" s="36">
        <v>2241</v>
      </c>
      <c r="AF86" s="36">
        <v>2951.4</v>
      </c>
      <c r="AG86" s="36">
        <v>3524.3</v>
      </c>
      <c r="AH86" s="36">
        <v>2311.9</v>
      </c>
      <c r="AI86" s="36">
        <v>3737.3</v>
      </c>
      <c r="AJ86" s="36">
        <v>3423.2</v>
      </c>
      <c r="AK86" s="36">
        <v>6576.4</v>
      </c>
      <c r="AL86" s="36">
        <v>7820.7</v>
      </c>
      <c r="AM86" s="36">
        <v>8179.6</v>
      </c>
      <c r="AN86" s="36">
        <v>9282.9</v>
      </c>
      <c r="AO86" s="36">
        <v>6269.5</v>
      </c>
      <c r="AP86" s="36">
        <v>9870.6</v>
      </c>
      <c r="AQ86" s="36">
        <v>6481</v>
      </c>
      <c r="AR86" s="36">
        <v>9505.6</v>
      </c>
      <c r="AS86" s="36">
        <v>8783</v>
      </c>
      <c r="AT86" s="36">
        <v>6429</v>
      </c>
      <c r="AU86" s="36">
        <v>12460.3</v>
      </c>
      <c r="AV86" s="36">
        <v>13112.2</v>
      </c>
      <c r="AW86" s="36">
        <v>8080.5</v>
      </c>
      <c r="AX86" s="36">
        <f>'[1]Corn 3'!AX86+'[1]Corn 2'!AX86+'[1]Corn 1'!AX86</f>
        <v>13301.9</v>
      </c>
      <c r="AY86" s="17">
        <f>'[1]Corn 3'!AY86+'[1]Corn 2'!AY86+'[1]Corn 1'!AY86</f>
        <v>12583.3</v>
      </c>
      <c r="AZ86" s="35">
        <f>AZ85*AZ84/1000</f>
        <v>11880</v>
      </c>
      <c r="BA86" s="19">
        <f>AZ86-AY86</f>
        <v>-703.29999999999927</v>
      </c>
      <c r="BB86"/>
      <c r="BC86" s="20">
        <f>AY86-AV86</f>
        <v>-528.90000000000146</v>
      </c>
      <c r="BD86" s="20">
        <f>AZ86-AV86</f>
        <v>-1232.2000000000007</v>
      </c>
      <c r="BE86" s="21">
        <v>0</v>
      </c>
      <c r="BT86" s="4">
        <f>AZ86*1000</f>
        <v>11880000</v>
      </c>
    </row>
    <row r="87" spans="1:74" ht="15.75" x14ac:dyDescent="0.25">
      <c r="A87" s="53" t="s">
        <v>96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41"/>
      <c r="AZ87" s="42"/>
      <c r="BA87" s="43"/>
      <c r="BC87" s="2"/>
      <c r="BD87" s="2"/>
      <c r="BE87" s="33"/>
    </row>
    <row r="88" spans="1:74" ht="15.75" x14ac:dyDescent="0.25">
      <c r="A88" s="34" t="s">
        <v>59</v>
      </c>
      <c r="B88" s="36">
        <v>863</v>
      </c>
      <c r="C88" s="36">
        <v>885</v>
      </c>
      <c r="D88" s="36">
        <v>852</v>
      </c>
      <c r="E88" s="36">
        <v>810.1</v>
      </c>
      <c r="F88" s="36">
        <v>855</v>
      </c>
      <c r="G88" s="36">
        <v>888.7</v>
      </c>
      <c r="H88" s="36">
        <v>813</v>
      </c>
      <c r="I88" s="36">
        <v>813</v>
      </c>
      <c r="J88" s="36">
        <v>737</v>
      </c>
      <c r="K88" s="36">
        <v>943.4</v>
      </c>
      <c r="L88" s="36">
        <v>1183</v>
      </c>
      <c r="M88" s="36">
        <v>1019.3</v>
      </c>
      <c r="N88" s="36">
        <v>1045.8</v>
      </c>
      <c r="O88" s="36">
        <v>930</v>
      </c>
      <c r="P88" s="36">
        <v>890</v>
      </c>
      <c r="Q88" s="36">
        <v>822</v>
      </c>
      <c r="R88" s="36">
        <v>692.1</v>
      </c>
      <c r="S88" s="36">
        <v>906.1</v>
      </c>
      <c r="T88" s="36">
        <v>875.3</v>
      </c>
      <c r="U88" s="36">
        <v>926.5</v>
      </c>
      <c r="V88" s="36">
        <v>964.6</v>
      </c>
      <c r="W88" s="36">
        <v>659.7</v>
      </c>
      <c r="X88" s="36">
        <v>840.4</v>
      </c>
      <c r="Y88" s="16">
        <v>871.8</v>
      </c>
      <c r="Z88" s="36">
        <v>906.1</v>
      </c>
      <c r="AA88" s="36">
        <v>746.3</v>
      </c>
      <c r="AB88" s="36">
        <v>715</v>
      </c>
      <c r="AC88" s="36">
        <v>676.8</v>
      </c>
      <c r="AD88" s="36">
        <v>605</v>
      </c>
      <c r="AE88" s="36">
        <v>662.8</v>
      </c>
      <c r="AF88" s="36">
        <v>785</v>
      </c>
      <c r="AG88" s="36">
        <v>903.5</v>
      </c>
      <c r="AH88" s="16">
        <v>910</v>
      </c>
      <c r="AI88" s="16">
        <v>812.5</v>
      </c>
      <c r="AJ88" s="16">
        <v>933.9</v>
      </c>
      <c r="AK88" s="16">
        <v>1241.9000000000001</v>
      </c>
      <c r="AL88" s="16">
        <v>1215.8</v>
      </c>
      <c r="AM88" s="16">
        <v>1240.5</v>
      </c>
      <c r="AN88" s="16">
        <v>1363</v>
      </c>
      <c r="AO88" s="16">
        <v>1521.1</v>
      </c>
      <c r="AP88" s="16">
        <v>1520.7</v>
      </c>
      <c r="AQ88" s="16">
        <v>1444.6</v>
      </c>
      <c r="AR88" s="16">
        <v>1677</v>
      </c>
      <c r="AS88" s="16">
        <v>1911.7</v>
      </c>
      <c r="AT88" s="16">
        <v>1838.7</v>
      </c>
      <c r="AU88" s="16">
        <v>1919.6</v>
      </c>
      <c r="AV88" s="16">
        <v>1903.7</v>
      </c>
      <c r="AW88" s="16">
        <v>1741.4</v>
      </c>
      <c r="AX88" s="16">
        <f>'[1]Corn 3'!AX88+'[1]Corn 2'!AX88+'[1]Corn 1'!AX88</f>
        <v>1969.1</v>
      </c>
      <c r="AY88" s="17">
        <f>'[1]Corn 3'!AY88+'[1]Corn 2'!AY88+'[1]Corn 1'!AY88</f>
        <v>2061.9</v>
      </c>
      <c r="AZ88" s="35">
        <v>1900</v>
      </c>
      <c r="BA88" s="19">
        <f>AZ88-AY88</f>
        <v>-161.90000000000009</v>
      </c>
      <c r="BC88" s="20">
        <f>AY88-AV88</f>
        <v>158.20000000000005</v>
      </c>
      <c r="BD88" s="20">
        <f>AZ88-AV88</f>
        <v>-3.7000000000000455</v>
      </c>
      <c r="BE88" s="21">
        <v>0</v>
      </c>
    </row>
    <row r="89" spans="1:74" ht="15.75" x14ac:dyDescent="0.25">
      <c r="A89" s="63" t="s">
        <v>94</v>
      </c>
      <c r="B89" s="22">
        <v>1800</v>
      </c>
      <c r="C89" s="22">
        <v>1243</v>
      </c>
      <c r="D89" s="22">
        <v>1831</v>
      </c>
      <c r="E89" s="22">
        <v>2160</v>
      </c>
      <c r="F89" s="22">
        <v>1950</v>
      </c>
      <c r="G89" s="22">
        <v>2160</v>
      </c>
      <c r="H89" s="22">
        <v>2200</v>
      </c>
      <c r="I89" s="22">
        <v>1860</v>
      </c>
      <c r="J89" s="22">
        <v>2250</v>
      </c>
      <c r="K89" s="22">
        <v>2400</v>
      </c>
      <c r="L89" s="22">
        <v>2600</v>
      </c>
      <c r="M89" s="22">
        <v>2941</v>
      </c>
      <c r="N89" s="22">
        <v>3300</v>
      </c>
      <c r="O89" s="22">
        <v>2050</v>
      </c>
      <c r="P89" s="22">
        <v>3100</v>
      </c>
      <c r="Q89" s="22">
        <v>3440</v>
      </c>
      <c r="R89" s="22">
        <v>3396</v>
      </c>
      <c r="S89" s="22">
        <v>3633</v>
      </c>
      <c r="T89" s="22">
        <v>4032</v>
      </c>
      <c r="U89" s="22">
        <v>3945</v>
      </c>
      <c r="V89" s="22">
        <v>4042</v>
      </c>
      <c r="W89" s="22">
        <v>3888</v>
      </c>
      <c r="X89" s="22">
        <v>4060</v>
      </c>
      <c r="Y89" s="22">
        <v>4097</v>
      </c>
      <c r="Z89" s="22">
        <v>4503</v>
      </c>
      <c r="AA89" s="22">
        <v>4549</v>
      </c>
      <c r="AB89" s="22">
        <v>4873</v>
      </c>
      <c r="AC89" s="22">
        <v>4983</v>
      </c>
      <c r="AD89" s="22">
        <v>4653</v>
      </c>
      <c r="AE89" s="22">
        <v>4660</v>
      </c>
      <c r="AF89" s="22">
        <v>4952</v>
      </c>
      <c r="AG89" s="22">
        <v>5568</v>
      </c>
      <c r="AH89" s="22">
        <v>5383</v>
      </c>
      <c r="AI89" s="22">
        <v>5903</v>
      </c>
      <c r="AJ89" s="22">
        <v>6435</v>
      </c>
      <c r="AK89" s="22">
        <v>6905</v>
      </c>
      <c r="AL89" s="22">
        <v>6330</v>
      </c>
      <c r="AM89" s="22">
        <v>6448</v>
      </c>
      <c r="AN89" s="22">
        <v>6599</v>
      </c>
      <c r="AO89" s="22">
        <v>4228</v>
      </c>
      <c r="AP89" s="22">
        <v>6342</v>
      </c>
      <c r="AQ89" s="22">
        <v>5615</v>
      </c>
      <c r="AR89" s="22">
        <v>6853</v>
      </c>
      <c r="AS89" s="22">
        <v>6600</v>
      </c>
      <c r="AT89" s="22">
        <v>4585</v>
      </c>
      <c r="AU89" s="22">
        <v>5076</v>
      </c>
      <c r="AV89" s="22">
        <v>6640</v>
      </c>
      <c r="AW89" s="22">
        <v>6509.3910646606182</v>
      </c>
      <c r="AX89" s="22">
        <v>7245.0315880351427</v>
      </c>
      <c r="AY89" s="24">
        <v>6893.4576846597793</v>
      </c>
      <c r="AZ89" s="64">
        <v>6100</v>
      </c>
      <c r="BA89" s="19">
        <f>AZ89-AY89</f>
        <v>-793.45768465977926</v>
      </c>
      <c r="BC89" s="25">
        <f>AY89-AV89</f>
        <v>253.45768465977926</v>
      </c>
      <c r="BD89" s="25">
        <f>AZ89-AV89</f>
        <v>-540</v>
      </c>
      <c r="BE89" s="21">
        <v>0</v>
      </c>
      <c r="BF89" s="44">
        <f>(AZ89/AV89)-1</f>
        <v>-8.1325301204819289E-2</v>
      </c>
      <c r="BT89" s="4">
        <f>AZ89/1000</f>
        <v>6.1</v>
      </c>
    </row>
    <row r="90" spans="1:74" s="32" customFormat="1" ht="15.75" x14ac:dyDescent="0.25">
      <c r="A90" s="63" t="s">
        <v>95</v>
      </c>
      <c r="B90" s="36">
        <v>1553</v>
      </c>
      <c r="C90" s="36">
        <v>1100</v>
      </c>
      <c r="D90" s="36">
        <v>1560</v>
      </c>
      <c r="E90" s="36">
        <v>1750</v>
      </c>
      <c r="F90" s="36">
        <v>1667</v>
      </c>
      <c r="G90" s="36">
        <v>1920</v>
      </c>
      <c r="H90" s="36">
        <v>1789</v>
      </c>
      <c r="I90" s="36">
        <v>1512</v>
      </c>
      <c r="J90" s="36">
        <v>1658</v>
      </c>
      <c r="K90" s="36">
        <v>2264</v>
      </c>
      <c r="L90" s="36">
        <v>3076</v>
      </c>
      <c r="M90" s="36">
        <v>2998</v>
      </c>
      <c r="N90" s="36">
        <v>3451</v>
      </c>
      <c r="O90" s="36">
        <v>1907</v>
      </c>
      <c r="P90" s="36">
        <v>2759</v>
      </c>
      <c r="Q90" s="36">
        <v>2827.9</v>
      </c>
      <c r="R90" s="36">
        <v>2350.5</v>
      </c>
      <c r="S90" s="36">
        <v>3292</v>
      </c>
      <c r="T90" s="36">
        <v>3529.3</v>
      </c>
      <c r="U90" s="36">
        <v>3654.7</v>
      </c>
      <c r="V90" s="36">
        <v>3898.6</v>
      </c>
      <c r="W90" s="36">
        <v>2565.1</v>
      </c>
      <c r="X90" s="36">
        <v>3412.2</v>
      </c>
      <c r="Y90" s="36">
        <v>3571.8</v>
      </c>
      <c r="Z90" s="36">
        <v>4080.4</v>
      </c>
      <c r="AA90" s="36">
        <v>3394.7</v>
      </c>
      <c r="AB90" s="36">
        <v>3484.3</v>
      </c>
      <c r="AC90" s="36">
        <v>3372.3</v>
      </c>
      <c r="AD90" s="36">
        <v>2814.8</v>
      </c>
      <c r="AE90" s="36">
        <v>3088.8</v>
      </c>
      <c r="AF90" s="36">
        <v>3887.5</v>
      </c>
      <c r="AG90" s="36">
        <v>5031.1000000000004</v>
      </c>
      <c r="AH90" s="36">
        <v>4898.8999999999996</v>
      </c>
      <c r="AI90" s="36">
        <v>4796</v>
      </c>
      <c r="AJ90" s="36">
        <v>6009.8</v>
      </c>
      <c r="AK90" s="36">
        <v>8575.9</v>
      </c>
      <c r="AL90" s="36">
        <v>7696.1</v>
      </c>
      <c r="AM90" s="36">
        <v>7999.1</v>
      </c>
      <c r="AN90" s="36">
        <v>8993.9</v>
      </c>
      <c r="AO90" s="36">
        <v>6430.5</v>
      </c>
      <c r="AP90" s="36">
        <v>9644.2000000000007</v>
      </c>
      <c r="AQ90" s="36">
        <v>8111.7</v>
      </c>
      <c r="AR90" s="36">
        <v>11492</v>
      </c>
      <c r="AS90" s="36">
        <v>12616.9</v>
      </c>
      <c r="AT90" s="36">
        <v>8431</v>
      </c>
      <c r="AU90" s="36">
        <v>9744.6</v>
      </c>
      <c r="AV90" s="36">
        <v>12641.1</v>
      </c>
      <c r="AW90" s="36">
        <v>11335.5</v>
      </c>
      <c r="AX90" s="36">
        <f>'[1]Corn 3'!AX90+'[1]Corn 2'!AX90+'[1]Corn 1'!AX90</f>
        <v>14266.2</v>
      </c>
      <c r="AY90" s="17">
        <f>'[1]Corn 3'!AY90+'[1]Corn 2'!AY90+'[1]Corn 1'!AY90</f>
        <v>14213.699999999999</v>
      </c>
      <c r="AZ90" s="35">
        <f>AZ89*AZ88/1000</f>
        <v>11590</v>
      </c>
      <c r="BA90" s="19">
        <f>AZ90-AY90</f>
        <v>-2623.6999999999989</v>
      </c>
      <c r="BB90"/>
      <c r="BC90" s="20">
        <f>AY90-AV90</f>
        <v>1572.5999999999985</v>
      </c>
      <c r="BD90" s="20">
        <f>AZ90-AV90</f>
        <v>-1051.1000000000004</v>
      </c>
      <c r="BE90" s="21">
        <v>0</v>
      </c>
      <c r="BT90" s="4">
        <f>AZ90*1000</f>
        <v>11590000</v>
      </c>
      <c r="BU90" s="32">
        <f>59*60</f>
        <v>3540</v>
      </c>
    </row>
    <row r="91" spans="1:74" ht="15.75" x14ac:dyDescent="0.25">
      <c r="A91" s="53" t="s">
        <v>97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41"/>
      <c r="AZ91" s="42"/>
      <c r="BA91" s="43"/>
      <c r="BC91" s="2"/>
      <c r="BD91" s="2"/>
      <c r="BE91" s="33"/>
    </row>
    <row r="92" spans="1:74" ht="15.75" x14ac:dyDescent="0.25">
      <c r="A92" s="34" t="s">
        <v>59</v>
      </c>
      <c r="B92" s="36">
        <v>2.2999999999999998</v>
      </c>
      <c r="C92" s="36">
        <v>0</v>
      </c>
      <c r="D92" s="36">
        <v>0</v>
      </c>
      <c r="E92" s="36">
        <v>0</v>
      </c>
      <c r="F92" s="36">
        <v>0</v>
      </c>
      <c r="G92" s="36">
        <v>2.5</v>
      </c>
      <c r="H92" s="36">
        <v>2.4</v>
      </c>
      <c r="I92" s="36">
        <v>3</v>
      </c>
      <c r="J92" s="36">
        <v>4</v>
      </c>
      <c r="K92" s="36">
        <v>6.1</v>
      </c>
      <c r="L92" s="36">
        <v>13.6</v>
      </c>
      <c r="M92" s="36">
        <v>18.5</v>
      </c>
      <c r="N92" s="36">
        <v>15.5</v>
      </c>
      <c r="O92" s="36">
        <v>16.8</v>
      </c>
      <c r="P92" s="36">
        <v>24</v>
      </c>
      <c r="Q92" s="36">
        <v>24.6</v>
      </c>
      <c r="R92" s="36">
        <v>17.3</v>
      </c>
      <c r="S92" s="36">
        <v>20.9</v>
      </c>
      <c r="T92" s="36">
        <v>21.8</v>
      </c>
      <c r="U92" s="36">
        <v>25.3</v>
      </c>
      <c r="V92" s="36">
        <v>27.4</v>
      </c>
      <c r="W92" s="36">
        <v>23.8</v>
      </c>
      <c r="X92" s="36">
        <v>34</v>
      </c>
      <c r="Y92" s="16">
        <v>32.5</v>
      </c>
      <c r="Z92" s="36">
        <v>33.700000000000003</v>
      </c>
      <c r="AA92" s="36">
        <v>28.2</v>
      </c>
      <c r="AB92" s="36">
        <v>31.6</v>
      </c>
      <c r="AC92" s="36">
        <v>32.9</v>
      </c>
      <c r="AD92" s="36">
        <v>36.700000000000003</v>
      </c>
      <c r="AE92" s="36">
        <v>39.5</v>
      </c>
      <c r="AF92" s="36">
        <v>44.2</v>
      </c>
      <c r="AG92" s="36">
        <v>48.3</v>
      </c>
      <c r="AH92" s="16">
        <v>39</v>
      </c>
      <c r="AI92" s="16">
        <v>33.200000000000003</v>
      </c>
      <c r="AJ92" s="16">
        <v>32.4</v>
      </c>
      <c r="AK92" s="16">
        <v>42.3</v>
      </c>
      <c r="AL92" s="16">
        <v>53.4</v>
      </c>
      <c r="AM92" s="16">
        <v>89</v>
      </c>
      <c r="AN92" s="16">
        <v>65.2</v>
      </c>
      <c r="AO92" s="16">
        <v>65.2</v>
      </c>
      <c r="AP92" s="16">
        <v>67</v>
      </c>
      <c r="AQ92" s="16">
        <v>63.6</v>
      </c>
      <c r="AR92" s="16">
        <v>64.8</v>
      </c>
      <c r="AS92" s="16">
        <v>61.2</v>
      </c>
      <c r="AT92" s="16">
        <v>59.9</v>
      </c>
      <c r="AU92" s="16">
        <v>66.099999999999994</v>
      </c>
      <c r="AV92" s="16">
        <v>56.1</v>
      </c>
      <c r="AW92" s="16">
        <v>50.5</v>
      </c>
      <c r="AX92" s="16">
        <f>'[1]Corn 3'!AX92+'[1]Corn 2'!AX92+'[1]Corn 1'!AX92</f>
        <v>56.2</v>
      </c>
      <c r="AY92" s="17">
        <f>'[1]Corn 3'!AY92+'[1]Corn 2'!AY92+'[1]Corn 1'!AY92</f>
        <v>56.2</v>
      </c>
      <c r="AZ92" s="35">
        <v>56.2</v>
      </c>
      <c r="BA92" s="19">
        <f>AZ92-AY92</f>
        <v>0</v>
      </c>
      <c r="BC92" s="20">
        <f>AY92-AV92</f>
        <v>0.10000000000000142</v>
      </c>
      <c r="BD92" s="20">
        <f>AZ92-AV92</f>
        <v>0.10000000000000142</v>
      </c>
      <c r="BE92" s="21">
        <v>0</v>
      </c>
      <c r="BF92" s="44"/>
    </row>
    <row r="93" spans="1:74" ht="15.75" x14ac:dyDescent="0.25">
      <c r="A93" s="34" t="s">
        <v>60</v>
      </c>
      <c r="B93" s="22">
        <v>1217</v>
      </c>
      <c r="C93" s="22">
        <v>0</v>
      </c>
      <c r="D93" s="22">
        <v>0</v>
      </c>
      <c r="E93" s="22">
        <v>0</v>
      </c>
      <c r="F93" s="22">
        <v>0</v>
      </c>
      <c r="G93" s="22">
        <v>1440</v>
      </c>
      <c r="H93" s="22">
        <v>1542</v>
      </c>
      <c r="I93" s="22">
        <v>1500</v>
      </c>
      <c r="J93" s="22">
        <v>1800</v>
      </c>
      <c r="K93" s="22">
        <v>3148</v>
      </c>
      <c r="L93" s="22">
        <v>3691</v>
      </c>
      <c r="M93" s="22">
        <v>3330</v>
      </c>
      <c r="N93" s="22">
        <v>3439</v>
      </c>
      <c r="O93" s="22">
        <v>2702</v>
      </c>
      <c r="P93" s="22">
        <v>3729</v>
      </c>
      <c r="Q93" s="22">
        <v>3451</v>
      </c>
      <c r="R93" s="22">
        <v>3688</v>
      </c>
      <c r="S93" s="22">
        <v>4211</v>
      </c>
      <c r="T93" s="22">
        <v>3803</v>
      </c>
      <c r="U93" s="22">
        <v>4119</v>
      </c>
      <c r="V93" s="22">
        <v>4606</v>
      </c>
      <c r="W93" s="22">
        <v>4702</v>
      </c>
      <c r="X93" s="22">
        <v>4312</v>
      </c>
      <c r="Y93" s="22">
        <v>4628</v>
      </c>
      <c r="Z93" s="22">
        <v>4024</v>
      </c>
      <c r="AA93" s="22">
        <v>5252</v>
      </c>
      <c r="AB93" s="22">
        <v>5684</v>
      </c>
      <c r="AC93" s="22">
        <v>5571</v>
      </c>
      <c r="AD93" s="22">
        <v>6185</v>
      </c>
      <c r="AE93" s="22">
        <v>5927</v>
      </c>
      <c r="AF93" s="22">
        <v>6566</v>
      </c>
      <c r="AG93" s="22">
        <v>6707</v>
      </c>
      <c r="AH93" s="22">
        <v>6965</v>
      </c>
      <c r="AI93" s="22">
        <v>7692</v>
      </c>
      <c r="AJ93" s="22">
        <v>8115</v>
      </c>
      <c r="AK93" s="22">
        <v>8358</v>
      </c>
      <c r="AL93" s="22">
        <v>9379</v>
      </c>
      <c r="AM93" s="22">
        <v>9278</v>
      </c>
      <c r="AN93" s="22">
        <v>8312</v>
      </c>
      <c r="AO93" s="22">
        <v>4184</v>
      </c>
      <c r="AP93" s="22">
        <v>7341</v>
      </c>
      <c r="AQ93" s="22">
        <v>7199</v>
      </c>
      <c r="AR93" s="22">
        <v>8042</v>
      </c>
      <c r="AS93" s="22">
        <v>7869</v>
      </c>
      <c r="AT93" s="22">
        <v>6114</v>
      </c>
      <c r="AU93" s="22">
        <v>5826</v>
      </c>
      <c r="AV93" s="22">
        <v>6696</v>
      </c>
      <c r="AW93" s="22">
        <v>6890.0990099009905</v>
      </c>
      <c r="AX93" s="22">
        <v>7394.5818505338075</v>
      </c>
      <c r="AY93" s="24">
        <v>7223.3701067615657</v>
      </c>
      <c r="AZ93" s="65">
        <v>7223</v>
      </c>
      <c r="BA93" s="19">
        <f>AZ93-AY93</f>
        <v>-0.37010676156569389</v>
      </c>
      <c r="BC93" s="25">
        <f>AY93-AV93</f>
        <v>527.37010676156569</v>
      </c>
      <c r="BD93" s="25">
        <f>AZ93-AV93</f>
        <v>527</v>
      </c>
      <c r="BE93" s="21">
        <v>0</v>
      </c>
      <c r="BT93" s="4">
        <f>AZ93/1000</f>
        <v>7.2229999999999999</v>
      </c>
    </row>
    <row r="94" spans="1:74" ht="16.5" thickBot="1" x14ac:dyDescent="0.3">
      <c r="A94" s="34" t="s">
        <v>61</v>
      </c>
      <c r="B94" s="36">
        <v>3</v>
      </c>
      <c r="C94" s="36">
        <v>0</v>
      </c>
      <c r="D94" s="36">
        <v>0</v>
      </c>
      <c r="E94" s="36">
        <v>0</v>
      </c>
      <c r="F94" s="36">
        <v>0</v>
      </c>
      <c r="G94" s="36">
        <v>4</v>
      </c>
      <c r="H94" s="36">
        <v>4</v>
      </c>
      <c r="I94" s="36">
        <v>5</v>
      </c>
      <c r="J94" s="36">
        <v>7</v>
      </c>
      <c r="K94" s="36">
        <v>19</v>
      </c>
      <c r="L94" s="36">
        <v>50</v>
      </c>
      <c r="M94" s="36">
        <v>62</v>
      </c>
      <c r="N94" s="36">
        <v>53</v>
      </c>
      <c r="O94" s="36">
        <v>45</v>
      </c>
      <c r="P94" s="36">
        <v>89.5</v>
      </c>
      <c r="Q94" s="36">
        <v>84.9</v>
      </c>
      <c r="R94" s="36">
        <v>63.8</v>
      </c>
      <c r="S94" s="36">
        <v>88</v>
      </c>
      <c r="T94" s="36">
        <v>82.9</v>
      </c>
      <c r="U94" s="36">
        <v>104.2</v>
      </c>
      <c r="V94" s="36">
        <v>126.2</v>
      </c>
      <c r="W94" s="36">
        <v>111.9</v>
      </c>
      <c r="X94" s="36">
        <v>146.6</v>
      </c>
      <c r="Y94" s="36">
        <v>150.4</v>
      </c>
      <c r="Z94" s="36">
        <v>135.6</v>
      </c>
      <c r="AA94" s="36">
        <v>148.1</v>
      </c>
      <c r="AB94" s="36">
        <v>179.6</v>
      </c>
      <c r="AC94" s="36">
        <v>183.3</v>
      </c>
      <c r="AD94" s="36">
        <v>227</v>
      </c>
      <c r="AE94" s="36">
        <v>234.1</v>
      </c>
      <c r="AF94" s="36">
        <v>290.2</v>
      </c>
      <c r="AG94" s="36">
        <v>324</v>
      </c>
      <c r="AH94" s="36">
        <v>271.60000000000002</v>
      </c>
      <c r="AI94" s="36">
        <v>255.4</v>
      </c>
      <c r="AJ94" s="36">
        <v>262.89999999999998</v>
      </c>
      <c r="AK94" s="36">
        <v>353.6</v>
      </c>
      <c r="AL94" s="36">
        <v>500.8</v>
      </c>
      <c r="AM94" s="36">
        <v>825.7</v>
      </c>
      <c r="AN94" s="36">
        <v>541.9</v>
      </c>
      <c r="AO94" s="36">
        <v>272.8</v>
      </c>
      <c r="AP94" s="36">
        <v>491.9</v>
      </c>
      <c r="AQ94" s="36">
        <v>457.9</v>
      </c>
      <c r="AR94" s="36">
        <v>521.1</v>
      </c>
      <c r="AS94" s="36">
        <v>481.6</v>
      </c>
      <c r="AT94" s="36">
        <v>366.2</v>
      </c>
      <c r="AU94" s="36">
        <v>385.1</v>
      </c>
      <c r="AV94" s="36">
        <v>375.6</v>
      </c>
      <c r="AW94" s="36">
        <v>348</v>
      </c>
      <c r="AX94" s="36">
        <f>'[1]Corn 3'!AX94+'[1]Corn 2'!AX94+'[1]Corn 1'!AX94</f>
        <v>415.6</v>
      </c>
      <c r="AY94" s="17">
        <f>'[1]Corn 3'!AY94+'[1]Corn 2'!AY94+'[1]Corn 1'!AY94</f>
        <v>406</v>
      </c>
      <c r="AZ94" s="35">
        <f>AZ93*AZ92/1000</f>
        <v>405.93260000000004</v>
      </c>
      <c r="BA94" s="19">
        <f>AZ94-AY94</f>
        <v>-6.7399999999963711E-2</v>
      </c>
      <c r="BC94" s="20">
        <f>AY94-AV94</f>
        <v>30.399999999999977</v>
      </c>
      <c r="BD94" s="20">
        <f>AZ94-AV94</f>
        <v>30.332600000000014</v>
      </c>
      <c r="BE94" s="21">
        <v>0</v>
      </c>
    </row>
    <row r="95" spans="1:74" s="32" customFormat="1" ht="21.75" thickBot="1" x14ac:dyDescent="0.3">
      <c r="A95" s="45" t="s">
        <v>98</v>
      </c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C95" s="2"/>
      <c r="BD95" s="2"/>
      <c r="BE95" s="33"/>
      <c r="BT95" s="4"/>
    </row>
    <row r="96" spans="1:74" s="32" customFormat="1" ht="15.75" x14ac:dyDescent="0.25">
      <c r="A96" s="48" t="s">
        <v>59</v>
      </c>
      <c r="B96" s="58">
        <v>3191</v>
      </c>
      <c r="C96" s="58">
        <v>2969</v>
      </c>
      <c r="D96" s="58">
        <v>3059</v>
      </c>
      <c r="E96" s="58">
        <v>2731</v>
      </c>
      <c r="F96" s="58">
        <v>2940.8</v>
      </c>
      <c r="G96" s="58">
        <v>3154</v>
      </c>
      <c r="H96" s="58">
        <v>2787.9</v>
      </c>
      <c r="I96" s="58">
        <v>2945.5</v>
      </c>
      <c r="J96" s="58">
        <v>2834</v>
      </c>
      <c r="K96" s="58">
        <v>3007.8</v>
      </c>
      <c r="L96" s="58">
        <v>3221.7</v>
      </c>
      <c r="M96" s="58">
        <v>2903.3</v>
      </c>
      <c r="N96" s="58">
        <v>2983.2</v>
      </c>
      <c r="O96" s="58">
        <v>2814.7</v>
      </c>
      <c r="P96" s="58">
        <v>3170.1</v>
      </c>
      <c r="Q96" s="58">
        <v>3297.3</v>
      </c>
      <c r="R96" s="58">
        <v>3091.7</v>
      </c>
      <c r="S96" s="58">
        <v>2949.6</v>
      </c>
      <c r="T96" s="58">
        <v>2893.2</v>
      </c>
      <c r="U96" s="58">
        <v>2651.4</v>
      </c>
      <c r="V96" s="58">
        <v>2695.9</v>
      </c>
      <c r="W96" s="58">
        <v>2546.9</v>
      </c>
      <c r="X96" s="58">
        <v>2613.9</v>
      </c>
      <c r="Y96" s="58">
        <v>2494.5</v>
      </c>
      <c r="Z96" s="58">
        <v>2451.9</v>
      </c>
      <c r="AA96" s="58">
        <v>2347.1</v>
      </c>
      <c r="AB96" s="58">
        <v>2422.5</v>
      </c>
      <c r="AC96" s="58">
        <v>2465.5</v>
      </c>
      <c r="AD96" s="58">
        <v>2484.1</v>
      </c>
      <c r="AE96" s="58">
        <v>2472</v>
      </c>
      <c r="AF96" s="58">
        <v>2404.6</v>
      </c>
      <c r="AG96" s="58">
        <v>2350.9</v>
      </c>
      <c r="AH96" s="58">
        <v>2253.6999999999998</v>
      </c>
      <c r="AI96" s="58">
        <v>2113.3000000000002</v>
      </c>
      <c r="AJ96" s="58">
        <v>2146</v>
      </c>
      <c r="AK96" s="58">
        <v>2242.3000000000002</v>
      </c>
      <c r="AL96" s="58">
        <v>2203</v>
      </c>
      <c r="AM96" s="58">
        <v>2106.5</v>
      </c>
      <c r="AN96" s="58">
        <v>2060.6999999999998</v>
      </c>
      <c r="AO96" s="58">
        <v>2051.3000000000002</v>
      </c>
      <c r="AP96" s="58">
        <v>2138.9</v>
      </c>
      <c r="AQ96" s="58">
        <v>2066.9</v>
      </c>
      <c r="AR96" s="58">
        <v>2027.3</v>
      </c>
      <c r="AS96" s="58">
        <v>2054.5</v>
      </c>
      <c r="AT96" s="58">
        <v>2213.5</v>
      </c>
      <c r="AU96" s="58">
        <v>2280.9</v>
      </c>
      <c r="AV96" s="58">
        <v>2088.8000000000002</v>
      </c>
      <c r="AW96" s="58">
        <v>1916.7</v>
      </c>
      <c r="AX96" s="58">
        <f>'[1]Corn 3'!AX96+'[1]Corn 2'!AX96+'[1]Corn 1'!AX96</f>
        <v>1846.6</v>
      </c>
      <c r="AY96" s="66">
        <f>'[1]Corn 3'!AY96+'[1]Corn 2'!AY96+'[1]Corn 1'!AY96</f>
        <v>1932.6</v>
      </c>
      <c r="AZ96" s="67"/>
      <c r="BA96" s="52">
        <f>AZ96-AY96</f>
        <v>-1932.6</v>
      </c>
      <c r="BB96"/>
      <c r="BC96" s="20">
        <f>AY96-AV96</f>
        <v>-156.20000000000027</v>
      </c>
      <c r="BD96" s="20">
        <f>AZ96-AV96</f>
        <v>-2088.8000000000002</v>
      </c>
      <c r="BE96" s="21">
        <v>0</v>
      </c>
      <c r="BT96" s="4"/>
    </row>
    <row r="97" spans="1:72" s="32" customFormat="1" ht="15.75" x14ac:dyDescent="0.25">
      <c r="A97" s="15" t="s">
        <v>60</v>
      </c>
      <c r="B97" s="22">
        <v>1744</v>
      </c>
      <c r="C97" s="22">
        <v>1528</v>
      </c>
      <c r="D97" s="22">
        <v>1713</v>
      </c>
      <c r="E97" s="22">
        <v>2016</v>
      </c>
      <c r="F97" s="22">
        <v>2051</v>
      </c>
      <c r="G97" s="22">
        <v>2138</v>
      </c>
      <c r="H97" s="22">
        <v>2181</v>
      </c>
      <c r="I97" s="22">
        <v>1948</v>
      </c>
      <c r="J97" s="22">
        <v>2189</v>
      </c>
      <c r="K97" s="22">
        <v>2237</v>
      </c>
      <c r="L97" s="22">
        <v>2295</v>
      </c>
      <c r="M97" s="22">
        <v>2513</v>
      </c>
      <c r="N97" s="22">
        <v>2511</v>
      </c>
      <c r="O97" s="22">
        <v>2010</v>
      </c>
      <c r="P97" s="22">
        <v>2586</v>
      </c>
      <c r="Q97" s="22">
        <v>2522</v>
      </c>
      <c r="R97" s="22">
        <v>2677</v>
      </c>
      <c r="S97" s="22">
        <v>2575</v>
      </c>
      <c r="T97" s="22">
        <v>2908</v>
      </c>
      <c r="U97" s="22">
        <v>2886</v>
      </c>
      <c r="V97" s="22">
        <v>3140</v>
      </c>
      <c r="W97" s="22">
        <v>3134</v>
      </c>
      <c r="X97" s="22">
        <v>3073</v>
      </c>
      <c r="Y97" s="22">
        <v>2883</v>
      </c>
      <c r="Z97" s="22">
        <v>3504</v>
      </c>
      <c r="AA97" s="22">
        <v>3790</v>
      </c>
      <c r="AB97" s="22">
        <v>4148</v>
      </c>
      <c r="AC97" s="22">
        <v>4319</v>
      </c>
      <c r="AD97" s="22">
        <v>4147</v>
      </c>
      <c r="AE97" s="22">
        <v>3904</v>
      </c>
      <c r="AF97" s="22">
        <v>4306</v>
      </c>
      <c r="AG97" s="22">
        <v>4857</v>
      </c>
      <c r="AH97" s="22">
        <v>4852</v>
      </c>
      <c r="AI97" s="22">
        <v>5071</v>
      </c>
      <c r="AJ97" s="22">
        <v>5104</v>
      </c>
      <c r="AK97" s="22">
        <v>5708</v>
      </c>
      <c r="AL97" s="22">
        <v>5755</v>
      </c>
      <c r="AM97" s="22">
        <v>5093</v>
      </c>
      <c r="AN97" s="22">
        <v>5368</v>
      </c>
      <c r="AO97" s="22">
        <v>4775</v>
      </c>
      <c r="AP97" s="22">
        <v>5820</v>
      </c>
      <c r="AQ97" s="22">
        <v>5385</v>
      </c>
      <c r="AR97" s="22">
        <v>5995</v>
      </c>
      <c r="AS97" s="22">
        <v>5726</v>
      </c>
      <c r="AT97" s="22">
        <v>4670</v>
      </c>
      <c r="AU97" s="22">
        <v>5285</v>
      </c>
      <c r="AV97" s="22">
        <v>6088</v>
      </c>
      <c r="AW97" s="22">
        <v>5123.7530129910774</v>
      </c>
      <c r="AX97" s="22">
        <v>5989.2762374092927</v>
      </c>
      <c r="AY97" s="68">
        <v>5896.3405774604171</v>
      </c>
      <c r="AZ97" s="69"/>
      <c r="BA97" s="19">
        <f>AZ97-AY97</f>
        <v>-5896.3405774604171</v>
      </c>
      <c r="BB97"/>
      <c r="BC97" s="25">
        <f>AY97-AV97</f>
        <v>-191.65942253958292</v>
      </c>
      <c r="BD97" s="25">
        <f>AZ97-AV97</f>
        <v>-6088</v>
      </c>
      <c r="BE97" s="21">
        <v>0</v>
      </c>
      <c r="BI97"/>
      <c r="BT97" s="4"/>
    </row>
    <row r="98" spans="1:72" s="32" customFormat="1" ht="15.75" x14ac:dyDescent="0.25">
      <c r="A98" s="15" t="s">
        <v>61</v>
      </c>
      <c r="B98" s="60">
        <v>5566</v>
      </c>
      <c r="C98" s="60">
        <v>4536</v>
      </c>
      <c r="D98" s="60">
        <v>5241</v>
      </c>
      <c r="E98" s="60">
        <v>5506</v>
      </c>
      <c r="F98" s="60">
        <v>6030</v>
      </c>
      <c r="G98" s="60">
        <v>6745</v>
      </c>
      <c r="H98" s="60">
        <v>6081</v>
      </c>
      <c r="I98" s="60">
        <v>5739</v>
      </c>
      <c r="J98" s="60">
        <v>6204</v>
      </c>
      <c r="K98" s="60">
        <v>6728</v>
      </c>
      <c r="L98" s="60">
        <v>7393</v>
      </c>
      <c r="M98" s="60">
        <v>7297</v>
      </c>
      <c r="N98" s="60">
        <v>7490</v>
      </c>
      <c r="O98" s="60">
        <v>5657</v>
      </c>
      <c r="P98" s="60">
        <v>8197.4</v>
      </c>
      <c r="Q98" s="60">
        <v>8317.1</v>
      </c>
      <c r="R98" s="60">
        <v>8276.4</v>
      </c>
      <c r="S98" s="60">
        <v>7594.3</v>
      </c>
      <c r="T98" s="60">
        <v>8412.2999999999993</v>
      </c>
      <c r="U98" s="60">
        <v>7651.9</v>
      </c>
      <c r="V98" s="60">
        <v>8466.1</v>
      </c>
      <c r="W98" s="60">
        <v>7982</v>
      </c>
      <c r="X98" s="60">
        <v>8031.7</v>
      </c>
      <c r="Y98" s="60">
        <v>7191.2</v>
      </c>
      <c r="Z98" s="60">
        <v>8591.9</v>
      </c>
      <c r="AA98" s="60">
        <v>8894.4</v>
      </c>
      <c r="AB98" s="60">
        <v>10047.700000000001</v>
      </c>
      <c r="AC98" s="60">
        <v>10649.1</v>
      </c>
      <c r="AD98" s="60">
        <v>10302.799999999999</v>
      </c>
      <c r="AE98" s="60">
        <v>9651.9</v>
      </c>
      <c r="AF98" s="60">
        <v>10353.200000000001</v>
      </c>
      <c r="AG98" s="60">
        <v>11417.6</v>
      </c>
      <c r="AH98" s="60">
        <v>10935</v>
      </c>
      <c r="AI98" s="60">
        <v>10715.6</v>
      </c>
      <c r="AJ98" s="60">
        <v>10952.3</v>
      </c>
      <c r="AK98" s="60">
        <v>12800</v>
      </c>
      <c r="AL98" s="60">
        <v>12677.7</v>
      </c>
      <c r="AM98" s="60">
        <v>10728.4</v>
      </c>
      <c r="AN98" s="60">
        <v>11061.2</v>
      </c>
      <c r="AO98" s="60">
        <v>9794.2999999999993</v>
      </c>
      <c r="AP98" s="60">
        <v>12447.9</v>
      </c>
      <c r="AQ98" s="60">
        <v>11129.4</v>
      </c>
      <c r="AR98" s="60">
        <v>12153.4</v>
      </c>
      <c r="AS98" s="60">
        <v>11764</v>
      </c>
      <c r="AT98" s="60">
        <v>10336.4</v>
      </c>
      <c r="AU98" s="60">
        <v>12054.9</v>
      </c>
      <c r="AV98" s="60">
        <v>12716.1</v>
      </c>
      <c r="AW98" s="60">
        <v>9820.7000000000007</v>
      </c>
      <c r="AX98" s="60">
        <f>'[1]Corn 3'!AX98+'[1]Corn 2'!AX98+'[1]Corn 1'!AX98</f>
        <v>11059.8</v>
      </c>
      <c r="AY98" s="70">
        <f>'[1]Corn 3'!AY98+'[1]Corn 2'!AY98+'[1]Corn 1'!AY98</f>
        <v>11395.2</v>
      </c>
      <c r="AZ98" s="71"/>
      <c r="BA98" s="19">
        <f>AZ98-AY98</f>
        <v>-11395.2</v>
      </c>
      <c r="BB98"/>
      <c r="BC98" s="20">
        <f>AY98-AV98</f>
        <v>-1320.8999999999996</v>
      </c>
      <c r="BD98" s="20">
        <f>AZ98-AV98</f>
        <v>-12716.1</v>
      </c>
      <c r="BE98" s="21">
        <v>0</v>
      </c>
      <c r="BT98" s="4"/>
    </row>
    <row r="99" spans="1:72" ht="15.75" x14ac:dyDescent="0.25">
      <c r="A99" s="53" t="s">
        <v>99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41"/>
      <c r="AZ99" s="42"/>
      <c r="BA99" s="43"/>
      <c r="BC99" s="2"/>
      <c r="BD99" s="2"/>
      <c r="BE99" s="33"/>
    </row>
    <row r="100" spans="1:72" ht="15.75" x14ac:dyDescent="0.25">
      <c r="A100" s="34" t="s">
        <v>59</v>
      </c>
      <c r="B100" s="36">
        <v>1795.2</v>
      </c>
      <c r="C100" s="36">
        <v>1735</v>
      </c>
      <c r="D100" s="36">
        <v>1685</v>
      </c>
      <c r="E100" s="36">
        <v>1461.4</v>
      </c>
      <c r="F100" s="36">
        <v>1576.8</v>
      </c>
      <c r="G100" s="36">
        <v>1635.6</v>
      </c>
      <c r="H100" s="36">
        <v>1406.6</v>
      </c>
      <c r="I100" s="36">
        <v>1519.2</v>
      </c>
      <c r="J100" s="36">
        <v>1496</v>
      </c>
      <c r="K100" s="36">
        <v>1555.8</v>
      </c>
      <c r="L100" s="36">
        <v>1677</v>
      </c>
      <c r="M100" s="36">
        <v>1526</v>
      </c>
      <c r="N100" s="36">
        <v>1492</v>
      </c>
      <c r="O100" s="36">
        <v>1432</v>
      </c>
      <c r="P100" s="36">
        <v>1580</v>
      </c>
      <c r="Q100" s="36">
        <v>1580</v>
      </c>
      <c r="R100" s="36">
        <v>1507.3</v>
      </c>
      <c r="S100" s="36">
        <v>1507.3</v>
      </c>
      <c r="T100" s="36">
        <v>1510</v>
      </c>
      <c r="U100" s="36">
        <v>1374.1</v>
      </c>
      <c r="V100" s="36">
        <v>1409.5</v>
      </c>
      <c r="W100" s="36">
        <v>1295.3</v>
      </c>
      <c r="X100" s="36">
        <v>1328.6</v>
      </c>
      <c r="Y100" s="16">
        <v>1272.4000000000001</v>
      </c>
      <c r="Z100" s="36">
        <v>1246.4000000000001</v>
      </c>
      <c r="AA100" s="36">
        <v>1201.5999999999999</v>
      </c>
      <c r="AB100" s="36">
        <v>1269.0999999999999</v>
      </c>
      <c r="AC100" s="36">
        <v>1346.5</v>
      </c>
      <c r="AD100" s="36">
        <v>1359.7</v>
      </c>
      <c r="AE100" s="36">
        <v>1371.7</v>
      </c>
      <c r="AF100" s="36">
        <v>1398.5</v>
      </c>
      <c r="AG100" s="36">
        <v>1339.4</v>
      </c>
      <c r="AH100" s="16">
        <v>1290.4000000000001</v>
      </c>
      <c r="AI100" s="16">
        <v>1192.3</v>
      </c>
      <c r="AJ100" s="16">
        <v>1205.4000000000001</v>
      </c>
      <c r="AK100" s="16">
        <v>1312.8</v>
      </c>
      <c r="AL100" s="16">
        <v>1268.5999999999999</v>
      </c>
      <c r="AM100" s="16">
        <v>1326</v>
      </c>
      <c r="AN100" s="16">
        <v>1277.5999999999999</v>
      </c>
      <c r="AO100" s="16">
        <v>1208.4000000000001</v>
      </c>
      <c r="AP100" s="16">
        <v>1267</v>
      </c>
      <c r="AQ100" s="16">
        <v>1165.0999999999999</v>
      </c>
      <c r="AR100" s="16">
        <v>1169.4000000000001</v>
      </c>
      <c r="AS100" s="16">
        <v>1171.2</v>
      </c>
      <c r="AT100" s="16">
        <v>1314.6</v>
      </c>
      <c r="AU100" s="16">
        <v>1394.1</v>
      </c>
      <c r="AV100" s="16">
        <v>1289.0999999999999</v>
      </c>
      <c r="AW100" s="16">
        <v>1143.2</v>
      </c>
      <c r="AX100" s="16">
        <f>'[1]Corn 3'!AX100+'[1]Corn 2'!AX100+'[1]Corn 1'!AX100</f>
        <v>1083.7</v>
      </c>
      <c r="AY100" s="17">
        <f>'[1]Corn 3'!AY100+'[1]Corn 2'!AY100+'[1]Corn 1'!AY100</f>
        <v>1141.3</v>
      </c>
      <c r="AZ100" s="35"/>
      <c r="BA100" s="19">
        <f>AZ100-AY100</f>
        <v>-1141.3</v>
      </c>
      <c r="BC100" s="20">
        <f>AY100-AV100</f>
        <v>-147.79999999999995</v>
      </c>
      <c r="BD100" s="20">
        <f>AZ100-AV100</f>
        <v>-1289.0999999999999</v>
      </c>
      <c r="BE100" s="21">
        <v>0</v>
      </c>
    </row>
    <row r="101" spans="1:72" ht="15.75" x14ac:dyDescent="0.25">
      <c r="A101" s="34" t="s">
        <v>60</v>
      </c>
      <c r="B101" s="22">
        <v>1524</v>
      </c>
      <c r="C101" s="22">
        <v>1476</v>
      </c>
      <c r="D101" s="22">
        <v>1549</v>
      </c>
      <c r="E101" s="22">
        <v>1880</v>
      </c>
      <c r="F101" s="22">
        <v>1793</v>
      </c>
      <c r="G101" s="22">
        <v>1873</v>
      </c>
      <c r="H101" s="22">
        <v>1905</v>
      </c>
      <c r="I101" s="22">
        <v>1660</v>
      </c>
      <c r="J101" s="22">
        <v>2000</v>
      </c>
      <c r="K101" s="22">
        <v>2100</v>
      </c>
      <c r="L101" s="22">
        <v>2000</v>
      </c>
      <c r="M101" s="22">
        <v>2235</v>
      </c>
      <c r="N101" s="22">
        <v>2260</v>
      </c>
      <c r="O101" s="22">
        <v>1645</v>
      </c>
      <c r="P101" s="22">
        <v>2400</v>
      </c>
      <c r="Q101" s="22">
        <v>2470</v>
      </c>
      <c r="R101" s="22">
        <v>2650</v>
      </c>
      <c r="S101" s="22">
        <v>2610</v>
      </c>
      <c r="T101" s="22">
        <v>2750</v>
      </c>
      <c r="U101" s="22">
        <v>2850</v>
      </c>
      <c r="V101" s="22">
        <v>3191</v>
      </c>
      <c r="W101" s="22">
        <v>2981</v>
      </c>
      <c r="X101" s="22">
        <v>3057</v>
      </c>
      <c r="Y101" s="22">
        <v>3253</v>
      </c>
      <c r="Z101" s="22">
        <v>3392</v>
      </c>
      <c r="AA101" s="22">
        <v>3984</v>
      </c>
      <c r="AB101" s="22">
        <v>4198</v>
      </c>
      <c r="AC101" s="22">
        <v>4456</v>
      </c>
      <c r="AD101" s="22">
        <v>4539</v>
      </c>
      <c r="AE101" s="22">
        <v>3850</v>
      </c>
      <c r="AF101" s="22">
        <v>4474</v>
      </c>
      <c r="AG101" s="22">
        <v>4949</v>
      </c>
      <c r="AH101" s="22">
        <v>5071</v>
      </c>
      <c r="AI101" s="22">
        <v>5102</v>
      </c>
      <c r="AJ101" s="22">
        <v>5415</v>
      </c>
      <c r="AK101" s="22">
        <v>5947</v>
      </c>
      <c r="AL101" s="22">
        <v>5874</v>
      </c>
      <c r="AM101" s="22">
        <v>5236</v>
      </c>
      <c r="AN101" s="22">
        <v>5373</v>
      </c>
      <c r="AO101" s="22">
        <v>4900</v>
      </c>
      <c r="AP101" s="22">
        <v>5936</v>
      </c>
      <c r="AQ101" s="22">
        <v>6082</v>
      </c>
      <c r="AR101" s="22">
        <v>6443</v>
      </c>
      <c r="AS101" s="22">
        <v>6424</v>
      </c>
      <c r="AT101" s="22">
        <v>5344</v>
      </c>
      <c r="AU101" s="22">
        <v>5511</v>
      </c>
      <c r="AV101" s="22">
        <v>6161</v>
      </c>
      <c r="AW101" s="22">
        <v>5359.3673897830649</v>
      </c>
      <c r="AX101" s="22">
        <v>6082.2116821998707</v>
      </c>
      <c r="AY101" s="24">
        <v>6058.6647682467365</v>
      </c>
      <c r="AZ101" s="65"/>
      <c r="BA101" s="19">
        <f>AZ101-AY101</f>
        <v>-6058.6647682467365</v>
      </c>
      <c r="BC101" s="25">
        <f>AY101-AV101</f>
        <v>-102.33523175326354</v>
      </c>
      <c r="BD101" s="25">
        <f>AZ101-AV101</f>
        <v>-6161</v>
      </c>
      <c r="BE101" s="21">
        <v>0</v>
      </c>
      <c r="BF101" s="44">
        <f>(AZ101/AV101)-1</f>
        <v>-1</v>
      </c>
    </row>
    <row r="102" spans="1:72" s="32" customFormat="1" ht="15.75" x14ac:dyDescent="0.25">
      <c r="A102" s="34" t="s">
        <v>61</v>
      </c>
      <c r="B102" s="36">
        <v>2735</v>
      </c>
      <c r="C102" s="36">
        <v>2560</v>
      </c>
      <c r="D102" s="36">
        <v>2610</v>
      </c>
      <c r="E102" s="36">
        <v>2747</v>
      </c>
      <c r="F102" s="36">
        <v>2827</v>
      </c>
      <c r="G102" s="36">
        <v>3063</v>
      </c>
      <c r="H102" s="36">
        <v>2680</v>
      </c>
      <c r="I102" s="36">
        <v>2522</v>
      </c>
      <c r="J102" s="36">
        <v>2992</v>
      </c>
      <c r="K102" s="36">
        <v>3267</v>
      </c>
      <c r="L102" s="36">
        <v>3354</v>
      </c>
      <c r="M102" s="36">
        <v>3411</v>
      </c>
      <c r="N102" s="36">
        <v>3372</v>
      </c>
      <c r="O102" s="36">
        <v>2356</v>
      </c>
      <c r="P102" s="36">
        <v>3792</v>
      </c>
      <c r="Q102" s="36">
        <v>3902.6</v>
      </c>
      <c r="R102" s="36">
        <v>3994.3</v>
      </c>
      <c r="S102" s="36">
        <v>3934.1</v>
      </c>
      <c r="T102" s="36">
        <v>4152.5</v>
      </c>
      <c r="U102" s="36">
        <v>3916.2</v>
      </c>
      <c r="V102" s="36">
        <v>4497.8999999999996</v>
      </c>
      <c r="W102" s="36">
        <v>3861.3</v>
      </c>
      <c r="X102" s="36">
        <v>4061.6</v>
      </c>
      <c r="Y102" s="36">
        <v>4138.7</v>
      </c>
      <c r="Z102" s="36">
        <v>4227.8</v>
      </c>
      <c r="AA102" s="36">
        <v>4787.7</v>
      </c>
      <c r="AB102" s="36">
        <v>5327.3</v>
      </c>
      <c r="AC102" s="36">
        <v>6000.4</v>
      </c>
      <c r="AD102" s="36">
        <v>6172.3</v>
      </c>
      <c r="AE102" s="36">
        <v>5280.8</v>
      </c>
      <c r="AF102" s="36">
        <v>6256.8</v>
      </c>
      <c r="AG102" s="36">
        <v>6629.1</v>
      </c>
      <c r="AH102" s="36">
        <v>6543.5</v>
      </c>
      <c r="AI102" s="36">
        <v>6083.6</v>
      </c>
      <c r="AJ102" s="36">
        <v>6526.7</v>
      </c>
      <c r="AK102" s="36">
        <v>7807.4</v>
      </c>
      <c r="AL102" s="36">
        <v>7452.2</v>
      </c>
      <c r="AM102" s="36">
        <v>6943</v>
      </c>
      <c r="AN102" s="36">
        <v>6864.5</v>
      </c>
      <c r="AO102" s="36">
        <v>5921</v>
      </c>
      <c r="AP102" s="36">
        <v>7520.9</v>
      </c>
      <c r="AQ102" s="36">
        <v>7086.5</v>
      </c>
      <c r="AR102" s="36">
        <v>7534.2</v>
      </c>
      <c r="AS102" s="36">
        <v>7524.3</v>
      </c>
      <c r="AT102" s="36">
        <v>7024.6</v>
      </c>
      <c r="AU102" s="36">
        <v>7682.6</v>
      </c>
      <c r="AV102" s="36">
        <v>7942.1</v>
      </c>
      <c r="AW102" s="36">
        <v>6126.8</v>
      </c>
      <c r="AX102" s="36">
        <f>'[1]Corn 3'!AX102+'[1]Corn 2'!AX102+'[1]Corn 1'!AX102</f>
        <v>6591.2999999999993</v>
      </c>
      <c r="AY102" s="17">
        <f>'[1]Corn 3'!AY102+'[1]Corn 2'!AY102+'[1]Corn 1'!AY102</f>
        <v>6914.7</v>
      </c>
      <c r="AZ102" s="35"/>
      <c r="BA102" s="19">
        <f>AZ102-AY102</f>
        <v>-6914.7</v>
      </c>
      <c r="BB102"/>
      <c r="BC102" s="20">
        <f>AY102-AV102</f>
        <v>-1027.4000000000005</v>
      </c>
      <c r="BD102" s="20">
        <f>AZ102-AV102</f>
        <v>-7942.1</v>
      </c>
      <c r="BE102" s="21">
        <v>0</v>
      </c>
      <c r="BT102" s="4"/>
    </row>
    <row r="103" spans="1:72" ht="15.75" x14ac:dyDescent="0.25">
      <c r="A103" s="53" t="s">
        <v>100</v>
      </c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41"/>
      <c r="AZ103" s="42"/>
      <c r="BA103" s="43"/>
      <c r="BC103" s="2"/>
      <c r="BD103" s="2"/>
      <c r="BE103" s="33"/>
      <c r="BH103" s="32"/>
      <c r="BI103" s="32"/>
      <c r="BJ103" s="32"/>
      <c r="BK103" s="32"/>
    </row>
    <row r="104" spans="1:72" ht="15.75" x14ac:dyDescent="0.25">
      <c r="A104" s="34" t="s">
        <v>59</v>
      </c>
      <c r="B104" s="36">
        <v>206.8</v>
      </c>
      <c r="C104" s="36">
        <v>193</v>
      </c>
      <c r="D104" s="36">
        <v>150</v>
      </c>
      <c r="E104" s="36">
        <v>152.6</v>
      </c>
      <c r="F104" s="36">
        <v>144</v>
      </c>
      <c r="G104" s="36">
        <v>140.4</v>
      </c>
      <c r="H104" s="36">
        <v>117</v>
      </c>
      <c r="I104" s="36">
        <v>138</v>
      </c>
      <c r="J104" s="36">
        <v>130</v>
      </c>
      <c r="K104" s="36">
        <v>130</v>
      </c>
      <c r="L104" s="36">
        <v>128.69999999999999</v>
      </c>
      <c r="M104" s="36">
        <v>115.8</v>
      </c>
      <c r="N104" s="36">
        <v>127.4</v>
      </c>
      <c r="O104" s="36">
        <v>115.5</v>
      </c>
      <c r="P104" s="36">
        <v>115.5</v>
      </c>
      <c r="Q104" s="36">
        <v>120</v>
      </c>
      <c r="R104" s="36">
        <v>121.2</v>
      </c>
      <c r="S104" s="36">
        <v>110.4</v>
      </c>
      <c r="T104" s="36">
        <v>71</v>
      </c>
      <c r="U104" s="36">
        <v>91</v>
      </c>
      <c r="V104" s="36">
        <v>59</v>
      </c>
      <c r="W104" s="36">
        <v>56</v>
      </c>
      <c r="X104" s="36">
        <v>51.5</v>
      </c>
      <c r="Y104" s="16">
        <v>46.4</v>
      </c>
      <c r="Z104" s="36">
        <v>46.9</v>
      </c>
      <c r="AA104" s="36">
        <v>50.2</v>
      </c>
      <c r="AB104" s="36">
        <v>52.7</v>
      </c>
      <c r="AC104" s="36">
        <v>49.5</v>
      </c>
      <c r="AD104" s="36">
        <v>46</v>
      </c>
      <c r="AE104" s="36">
        <v>39.799999999999997</v>
      </c>
      <c r="AF104" s="36">
        <v>37.799999999999997</v>
      </c>
      <c r="AG104" s="36">
        <v>37.4</v>
      </c>
      <c r="AH104" s="16">
        <v>37.6</v>
      </c>
      <c r="AI104" s="16">
        <v>34.5</v>
      </c>
      <c r="AJ104" s="16">
        <v>34.299999999999997</v>
      </c>
      <c r="AK104" s="16">
        <v>31.5</v>
      </c>
      <c r="AL104" s="16">
        <v>24.1</v>
      </c>
      <c r="AM104" s="16">
        <v>22.3</v>
      </c>
      <c r="AN104" s="16">
        <v>17.8</v>
      </c>
      <c r="AO104" s="16">
        <v>13.6</v>
      </c>
      <c r="AP104" s="16">
        <v>13.2</v>
      </c>
      <c r="AQ104" s="16">
        <v>13.4</v>
      </c>
      <c r="AR104" s="16">
        <v>11.8</v>
      </c>
      <c r="AS104" s="16">
        <v>11.5</v>
      </c>
      <c r="AT104" s="16">
        <v>12.5</v>
      </c>
      <c r="AU104" s="16">
        <v>11.9</v>
      </c>
      <c r="AV104" s="16">
        <v>15.1</v>
      </c>
      <c r="AW104" s="16">
        <v>16.8</v>
      </c>
      <c r="AX104" s="16">
        <f>'[1]Corn 3'!AX104+'[1]Corn 2'!AX104+'[1]Corn 1'!AX104</f>
        <v>16.600000000000001</v>
      </c>
      <c r="AY104" s="17">
        <f>'[1]Corn 3'!AY104+'[1]Corn 2'!AY104+'[1]Corn 1'!AY104</f>
        <v>16.8</v>
      </c>
      <c r="AZ104" s="35"/>
      <c r="BA104" s="19">
        <f>AZ104-AY104</f>
        <v>-16.8</v>
      </c>
      <c r="BC104" s="20">
        <f>AY104-AV104</f>
        <v>1.7000000000000011</v>
      </c>
      <c r="BD104" s="20">
        <f>AZ104-AV104</f>
        <v>-15.1</v>
      </c>
      <c r="BE104" s="21">
        <v>0</v>
      </c>
    </row>
    <row r="105" spans="1:72" ht="15.75" x14ac:dyDescent="0.25">
      <c r="A105" s="34" t="s">
        <v>60</v>
      </c>
      <c r="B105" s="22">
        <v>1260</v>
      </c>
      <c r="C105" s="22">
        <v>1264</v>
      </c>
      <c r="D105" s="22">
        <v>1160</v>
      </c>
      <c r="E105" s="22">
        <v>1353</v>
      </c>
      <c r="F105" s="22">
        <v>1549</v>
      </c>
      <c r="G105" s="22">
        <v>1585</v>
      </c>
      <c r="H105" s="22">
        <v>1460</v>
      </c>
      <c r="I105" s="22">
        <v>1500</v>
      </c>
      <c r="J105" s="22">
        <v>1770</v>
      </c>
      <c r="K105" s="22">
        <v>1800</v>
      </c>
      <c r="L105" s="22">
        <v>1980</v>
      </c>
      <c r="M105" s="22">
        <v>1775</v>
      </c>
      <c r="N105" s="22">
        <v>2130</v>
      </c>
      <c r="O105" s="22">
        <v>1575</v>
      </c>
      <c r="P105" s="22">
        <v>2500</v>
      </c>
      <c r="Q105" s="22">
        <v>2350</v>
      </c>
      <c r="R105" s="22">
        <v>2600</v>
      </c>
      <c r="S105" s="22">
        <v>2010</v>
      </c>
      <c r="T105" s="22">
        <v>1451</v>
      </c>
      <c r="U105" s="22">
        <v>2400</v>
      </c>
      <c r="V105" s="22">
        <v>2500</v>
      </c>
      <c r="W105" s="22">
        <v>2400</v>
      </c>
      <c r="X105" s="22">
        <v>2390</v>
      </c>
      <c r="Y105" s="22">
        <v>2394</v>
      </c>
      <c r="Z105" s="22">
        <v>2751</v>
      </c>
      <c r="AA105" s="22">
        <v>2751</v>
      </c>
      <c r="AB105" s="22">
        <v>2750</v>
      </c>
      <c r="AC105" s="22">
        <v>2529</v>
      </c>
      <c r="AD105" s="22">
        <v>2600</v>
      </c>
      <c r="AE105" s="22">
        <v>2101</v>
      </c>
      <c r="AF105" s="22">
        <v>2399</v>
      </c>
      <c r="AG105" s="22">
        <v>2548</v>
      </c>
      <c r="AH105" s="22">
        <v>2576</v>
      </c>
      <c r="AI105" s="22">
        <v>2151</v>
      </c>
      <c r="AJ105" s="22">
        <v>2381</v>
      </c>
      <c r="AK105" s="22">
        <v>2429</v>
      </c>
      <c r="AL105" s="22">
        <v>2547</v>
      </c>
      <c r="AM105" s="22">
        <v>2711</v>
      </c>
      <c r="AN105" s="22">
        <v>1363</v>
      </c>
      <c r="AO105" s="22">
        <v>2910</v>
      </c>
      <c r="AP105" s="22">
        <v>2832</v>
      </c>
      <c r="AQ105" s="22">
        <v>2995</v>
      </c>
      <c r="AR105" s="22">
        <v>2701</v>
      </c>
      <c r="AS105" s="22">
        <v>2891</v>
      </c>
      <c r="AT105" s="22">
        <v>2870</v>
      </c>
      <c r="AU105" s="22">
        <v>2960</v>
      </c>
      <c r="AV105" s="22">
        <v>3325</v>
      </c>
      <c r="AW105" s="22">
        <v>3509.3214285714289</v>
      </c>
      <c r="AX105" s="22">
        <v>3730.7349397590356</v>
      </c>
      <c r="AY105" s="24">
        <v>3508.5</v>
      </c>
      <c r="AZ105" s="35"/>
      <c r="BA105" s="19">
        <f>AZ105-AY105</f>
        <v>-3508.5</v>
      </c>
      <c r="BC105" s="25">
        <f>AY105-AV105</f>
        <v>183.5</v>
      </c>
      <c r="BD105" s="25">
        <f>AZ105-AV105</f>
        <v>-3325</v>
      </c>
      <c r="BE105" s="21">
        <v>0</v>
      </c>
      <c r="BF105" s="44"/>
    </row>
    <row r="106" spans="1:72" s="32" customFormat="1" ht="15.75" x14ac:dyDescent="0.25">
      <c r="A106" s="34" t="s">
        <v>61</v>
      </c>
      <c r="B106" s="36">
        <v>261</v>
      </c>
      <c r="C106" s="36">
        <v>244</v>
      </c>
      <c r="D106" s="36">
        <v>174</v>
      </c>
      <c r="E106" s="36">
        <v>207</v>
      </c>
      <c r="F106" s="36">
        <v>223</v>
      </c>
      <c r="G106" s="36">
        <v>223</v>
      </c>
      <c r="H106" s="36">
        <v>171</v>
      </c>
      <c r="I106" s="36">
        <v>207</v>
      </c>
      <c r="J106" s="36">
        <v>230</v>
      </c>
      <c r="K106" s="36">
        <v>234</v>
      </c>
      <c r="L106" s="36">
        <v>255</v>
      </c>
      <c r="M106" s="36">
        <v>206</v>
      </c>
      <c r="N106" s="36">
        <v>271</v>
      </c>
      <c r="O106" s="36">
        <v>182</v>
      </c>
      <c r="P106" s="36">
        <v>288.8</v>
      </c>
      <c r="Q106" s="36">
        <v>282</v>
      </c>
      <c r="R106" s="36">
        <v>315.10000000000002</v>
      </c>
      <c r="S106" s="36">
        <v>221.9</v>
      </c>
      <c r="T106" s="36">
        <v>103</v>
      </c>
      <c r="U106" s="36">
        <v>218.4</v>
      </c>
      <c r="V106" s="36">
        <v>147.5</v>
      </c>
      <c r="W106" s="36">
        <v>134.4</v>
      </c>
      <c r="X106" s="36">
        <v>123.1</v>
      </c>
      <c r="Y106" s="36">
        <v>111.1</v>
      </c>
      <c r="Z106" s="36">
        <v>129</v>
      </c>
      <c r="AA106" s="36">
        <v>138.1</v>
      </c>
      <c r="AB106" s="36">
        <v>144.9</v>
      </c>
      <c r="AC106" s="36">
        <v>125.2</v>
      </c>
      <c r="AD106" s="36">
        <v>119.6</v>
      </c>
      <c r="AE106" s="36">
        <v>83.6</v>
      </c>
      <c r="AF106" s="36">
        <v>90.7</v>
      </c>
      <c r="AG106" s="36">
        <v>95.3</v>
      </c>
      <c r="AH106" s="36">
        <v>96.9</v>
      </c>
      <c r="AI106" s="36">
        <v>74.2</v>
      </c>
      <c r="AJ106" s="36">
        <v>81.7</v>
      </c>
      <c r="AK106" s="36">
        <v>76.5</v>
      </c>
      <c r="AL106" s="36">
        <v>61.4</v>
      </c>
      <c r="AM106" s="36">
        <v>60.5</v>
      </c>
      <c r="AN106" s="36">
        <v>24.3</v>
      </c>
      <c r="AO106" s="36">
        <v>39.6</v>
      </c>
      <c r="AP106" s="36">
        <v>37.4</v>
      </c>
      <c r="AQ106" s="36">
        <v>40.1</v>
      </c>
      <c r="AR106" s="36">
        <v>31.9</v>
      </c>
      <c r="AS106" s="36">
        <v>33.200000000000003</v>
      </c>
      <c r="AT106" s="36">
        <v>35.9</v>
      </c>
      <c r="AU106" s="36">
        <v>35.200000000000003</v>
      </c>
      <c r="AV106" s="36">
        <v>50.2</v>
      </c>
      <c r="AW106" s="36">
        <v>59</v>
      </c>
      <c r="AX106" s="36">
        <f>'[1]Corn 3'!AX106+'[1]Corn 2'!AX106+'[1]Corn 1'!AX106</f>
        <v>61.900000000000006</v>
      </c>
      <c r="AY106" s="17">
        <f>'[1]Corn 3'!AY106+'[1]Corn 2'!AY106+'[1]Corn 1'!AY106</f>
        <v>58.9</v>
      </c>
      <c r="AZ106" s="35"/>
      <c r="BA106" s="19">
        <f>AZ106-AY106</f>
        <v>-58.9</v>
      </c>
      <c r="BC106" s="20">
        <f>AY106-AV106</f>
        <v>8.6999999999999957</v>
      </c>
      <c r="BD106" s="20">
        <f>AZ106-AV106</f>
        <v>-50.2</v>
      </c>
      <c r="BE106" s="21">
        <v>0</v>
      </c>
      <c r="BH106"/>
      <c r="BI106"/>
      <c r="BJ106"/>
      <c r="BK106"/>
      <c r="BT106" s="4"/>
    </row>
    <row r="107" spans="1:72" ht="15.75" x14ac:dyDescent="0.25">
      <c r="A107" s="53" t="s">
        <v>101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41"/>
      <c r="AZ107" s="42"/>
      <c r="BA107" s="43"/>
      <c r="BB107" s="32"/>
      <c r="BC107" s="2"/>
      <c r="BD107" s="2"/>
      <c r="BE107" s="33"/>
      <c r="BH107" s="32"/>
      <c r="BI107" s="32"/>
      <c r="BJ107" s="32"/>
      <c r="BK107" s="32"/>
    </row>
    <row r="108" spans="1:72" ht="15.75" x14ac:dyDescent="0.25">
      <c r="A108" s="34" t="s">
        <v>59</v>
      </c>
      <c r="B108" s="36">
        <v>55</v>
      </c>
      <c r="C108" s="36">
        <v>50</v>
      </c>
      <c r="D108" s="36">
        <v>39</v>
      </c>
      <c r="E108" s="36">
        <v>42</v>
      </c>
      <c r="F108" s="36">
        <v>43</v>
      </c>
      <c r="G108" s="36">
        <v>47.3</v>
      </c>
      <c r="H108" s="36">
        <v>47.3</v>
      </c>
      <c r="I108" s="36">
        <v>47.3</v>
      </c>
      <c r="J108" s="36">
        <v>42</v>
      </c>
      <c r="K108" s="36">
        <v>42</v>
      </c>
      <c r="L108" s="36">
        <v>33.6</v>
      </c>
      <c r="M108" s="36">
        <v>34.5</v>
      </c>
      <c r="N108" s="36">
        <v>36.799999999999997</v>
      </c>
      <c r="O108" s="36">
        <v>33.200000000000003</v>
      </c>
      <c r="P108" s="36">
        <v>26</v>
      </c>
      <c r="Q108" s="36">
        <v>31</v>
      </c>
      <c r="R108" s="36">
        <v>33.200000000000003</v>
      </c>
      <c r="S108" s="36">
        <v>29.6</v>
      </c>
      <c r="T108" s="36">
        <v>22.5</v>
      </c>
      <c r="U108" s="36">
        <v>21.8</v>
      </c>
      <c r="V108" s="36">
        <v>20.5</v>
      </c>
      <c r="W108" s="36">
        <v>17.8</v>
      </c>
      <c r="X108" s="36">
        <v>18</v>
      </c>
      <c r="Y108" s="16">
        <v>16.399999999999999</v>
      </c>
      <c r="Z108" s="36">
        <v>14.4</v>
      </c>
      <c r="AA108" s="36">
        <v>11.8</v>
      </c>
      <c r="AB108" s="36">
        <v>9.6999999999999993</v>
      </c>
      <c r="AC108" s="36">
        <v>11.4</v>
      </c>
      <c r="AD108" s="36">
        <v>11.6</v>
      </c>
      <c r="AE108" s="36">
        <v>11.1</v>
      </c>
      <c r="AF108" s="36">
        <v>10.7</v>
      </c>
      <c r="AG108" s="36">
        <v>8.1</v>
      </c>
      <c r="AH108" s="16">
        <v>8.3000000000000007</v>
      </c>
      <c r="AI108" s="16">
        <v>7</v>
      </c>
      <c r="AJ108" s="16">
        <v>7.2</v>
      </c>
      <c r="AK108" s="16">
        <v>6.1</v>
      </c>
      <c r="AL108" s="16">
        <v>5.9</v>
      </c>
      <c r="AM108" s="16">
        <v>4.4000000000000004</v>
      </c>
      <c r="AN108" s="16">
        <v>2.6</v>
      </c>
      <c r="AO108" s="16">
        <v>2</v>
      </c>
      <c r="AP108" s="16">
        <v>2.7</v>
      </c>
      <c r="AQ108" s="16">
        <v>1</v>
      </c>
      <c r="AR108" s="16">
        <v>1.2</v>
      </c>
      <c r="AS108" s="16">
        <v>1.1000000000000001</v>
      </c>
      <c r="AT108" s="16">
        <v>1.4</v>
      </c>
      <c r="AU108" s="16">
        <v>1.8</v>
      </c>
      <c r="AV108" s="16">
        <v>2</v>
      </c>
      <c r="AW108" s="16">
        <v>1.5</v>
      </c>
      <c r="AX108" s="16">
        <f>'[1]Corn 3'!AX108+'[1]Corn 2'!AX108+'[1]Corn 1'!AX108</f>
        <v>1.5</v>
      </c>
      <c r="AY108" s="17">
        <f>'[1]Corn 3'!AY108+'[1]Corn 2'!AY108+'[1]Corn 1'!AY108</f>
        <v>1.8</v>
      </c>
      <c r="AZ108" s="35"/>
      <c r="BA108" s="19">
        <f>AZ108-AY108</f>
        <v>-1.8</v>
      </c>
      <c r="BB108" s="32"/>
      <c r="BC108" s="20">
        <f>AY108-AV108</f>
        <v>-0.19999999999999996</v>
      </c>
      <c r="BD108" s="20">
        <f>AZ108-AV108</f>
        <v>-2</v>
      </c>
      <c r="BE108" s="21">
        <v>0</v>
      </c>
    </row>
    <row r="109" spans="1:72" ht="15.75" x14ac:dyDescent="0.25">
      <c r="A109" s="34" t="s">
        <v>60</v>
      </c>
      <c r="B109" s="22">
        <v>900</v>
      </c>
      <c r="C109" s="22">
        <v>900</v>
      </c>
      <c r="D109" s="22">
        <v>949</v>
      </c>
      <c r="E109" s="22">
        <v>1088</v>
      </c>
      <c r="F109" s="22">
        <v>1140</v>
      </c>
      <c r="G109" s="22">
        <v>1423</v>
      </c>
      <c r="H109" s="22">
        <v>1400</v>
      </c>
      <c r="I109" s="22">
        <v>1461</v>
      </c>
      <c r="J109" s="22">
        <v>1600</v>
      </c>
      <c r="K109" s="22">
        <v>1548</v>
      </c>
      <c r="L109" s="22">
        <v>1551</v>
      </c>
      <c r="M109" s="22">
        <v>1759</v>
      </c>
      <c r="N109" s="22">
        <v>1769</v>
      </c>
      <c r="O109" s="22">
        <v>1401</v>
      </c>
      <c r="P109" s="22">
        <v>1762</v>
      </c>
      <c r="Q109" s="22">
        <v>1861</v>
      </c>
      <c r="R109" s="22">
        <v>2000</v>
      </c>
      <c r="S109" s="22">
        <v>1841</v>
      </c>
      <c r="T109" s="22">
        <v>1431</v>
      </c>
      <c r="U109" s="22">
        <v>1950</v>
      </c>
      <c r="V109" s="22">
        <v>1951</v>
      </c>
      <c r="W109" s="22">
        <v>2461</v>
      </c>
      <c r="X109" s="22">
        <v>2000</v>
      </c>
      <c r="Y109" s="22">
        <v>1970</v>
      </c>
      <c r="Z109" s="22">
        <v>1951</v>
      </c>
      <c r="AA109" s="22">
        <v>2280</v>
      </c>
      <c r="AB109" s="22">
        <v>2278</v>
      </c>
      <c r="AC109" s="22">
        <v>2096</v>
      </c>
      <c r="AD109" s="22">
        <v>2276</v>
      </c>
      <c r="AE109" s="22">
        <v>2396</v>
      </c>
      <c r="AF109" s="22">
        <v>2196</v>
      </c>
      <c r="AG109" s="22">
        <v>2442</v>
      </c>
      <c r="AH109" s="22">
        <v>2455</v>
      </c>
      <c r="AI109" s="22">
        <v>2507</v>
      </c>
      <c r="AJ109" s="22">
        <v>2351</v>
      </c>
      <c r="AK109" s="22">
        <v>2435</v>
      </c>
      <c r="AL109" s="22">
        <v>2250</v>
      </c>
      <c r="AM109" s="22">
        <v>2332</v>
      </c>
      <c r="AN109" s="22">
        <v>2394</v>
      </c>
      <c r="AO109" s="22">
        <v>2600</v>
      </c>
      <c r="AP109" s="22">
        <v>2332</v>
      </c>
      <c r="AQ109" s="22">
        <v>3069</v>
      </c>
      <c r="AR109" s="22">
        <v>3007</v>
      </c>
      <c r="AS109" s="22">
        <v>3295</v>
      </c>
      <c r="AT109" s="22">
        <v>3620</v>
      </c>
      <c r="AU109" s="22">
        <v>3982</v>
      </c>
      <c r="AV109" s="22">
        <v>4183</v>
      </c>
      <c r="AW109" s="22">
        <v>4544</v>
      </c>
      <c r="AX109" s="22">
        <v>4655</v>
      </c>
      <c r="AY109" s="24">
        <v>4534</v>
      </c>
      <c r="AZ109" s="59"/>
      <c r="BA109" s="19">
        <f>AZ109-AY109</f>
        <v>-4534</v>
      </c>
      <c r="BB109" s="32"/>
      <c r="BC109" s="25">
        <f>AY109-AV109</f>
        <v>351</v>
      </c>
      <c r="BD109" s="25">
        <f>AZ109-AV109</f>
        <v>-4183</v>
      </c>
      <c r="BE109" s="21">
        <v>0</v>
      </c>
      <c r="BF109" s="44"/>
    </row>
    <row r="110" spans="1:72" s="32" customFormat="1" ht="15.75" x14ac:dyDescent="0.25">
      <c r="A110" s="34" t="s">
        <v>61</v>
      </c>
      <c r="B110" s="36">
        <v>50</v>
      </c>
      <c r="C110" s="36">
        <v>45</v>
      </c>
      <c r="D110" s="36">
        <v>37</v>
      </c>
      <c r="E110" s="36">
        <v>46</v>
      </c>
      <c r="F110" s="36">
        <v>49</v>
      </c>
      <c r="G110" s="36">
        <v>67</v>
      </c>
      <c r="H110" s="36">
        <v>66</v>
      </c>
      <c r="I110" s="36">
        <v>69</v>
      </c>
      <c r="J110" s="36">
        <v>67</v>
      </c>
      <c r="K110" s="36">
        <v>65</v>
      </c>
      <c r="L110" s="36">
        <v>52</v>
      </c>
      <c r="M110" s="36">
        <v>61</v>
      </c>
      <c r="N110" s="36">
        <v>65</v>
      </c>
      <c r="O110" s="36">
        <v>47</v>
      </c>
      <c r="P110" s="36">
        <v>45.8</v>
      </c>
      <c r="Q110" s="36">
        <v>57.7</v>
      </c>
      <c r="R110" s="36">
        <v>66.400000000000006</v>
      </c>
      <c r="S110" s="36">
        <v>54.5</v>
      </c>
      <c r="T110" s="36">
        <v>32.200000000000003</v>
      </c>
      <c r="U110" s="36">
        <v>42.5</v>
      </c>
      <c r="V110" s="36">
        <v>40</v>
      </c>
      <c r="W110" s="36">
        <v>43.8</v>
      </c>
      <c r="X110" s="36">
        <v>36</v>
      </c>
      <c r="Y110" s="36">
        <v>32.299999999999997</v>
      </c>
      <c r="Z110" s="36">
        <v>28.1</v>
      </c>
      <c r="AA110" s="36">
        <v>26.9</v>
      </c>
      <c r="AB110" s="36">
        <v>22.1</v>
      </c>
      <c r="AC110" s="36">
        <v>23.9</v>
      </c>
      <c r="AD110" s="36">
        <v>26.4</v>
      </c>
      <c r="AE110" s="36">
        <v>26.6</v>
      </c>
      <c r="AF110" s="36">
        <v>23.5</v>
      </c>
      <c r="AG110" s="36">
        <v>19.8</v>
      </c>
      <c r="AH110" s="36">
        <v>20.399999999999999</v>
      </c>
      <c r="AI110" s="36">
        <v>17.5</v>
      </c>
      <c r="AJ110" s="36">
        <v>16.899999999999999</v>
      </c>
      <c r="AK110" s="36">
        <v>14.9</v>
      </c>
      <c r="AL110" s="36">
        <v>13.3</v>
      </c>
      <c r="AM110" s="36">
        <v>10.3</v>
      </c>
      <c r="AN110" s="36">
        <v>6.2</v>
      </c>
      <c r="AO110" s="36">
        <v>5.2</v>
      </c>
      <c r="AP110" s="36">
        <v>6.3</v>
      </c>
      <c r="AQ110" s="36">
        <v>3.1</v>
      </c>
      <c r="AR110" s="36">
        <v>3.6</v>
      </c>
      <c r="AS110" s="36">
        <v>3.6</v>
      </c>
      <c r="AT110" s="36">
        <v>5.0999999999999996</v>
      </c>
      <c r="AU110" s="36">
        <v>7.2</v>
      </c>
      <c r="AV110" s="36">
        <v>8.4</v>
      </c>
      <c r="AW110" s="36">
        <v>6.8</v>
      </c>
      <c r="AX110" s="36">
        <f>'[1]Corn 3'!AX110+'[1]Corn 2'!AX110+'[1]Corn 1'!AX110</f>
        <v>7</v>
      </c>
      <c r="AY110" s="17">
        <v>7.3</v>
      </c>
      <c r="AZ110" s="35"/>
      <c r="BA110" s="19">
        <f>AZ110-AY110</f>
        <v>-7.3</v>
      </c>
      <c r="BC110" s="20">
        <f>AY110-AV110</f>
        <v>-1.1000000000000005</v>
      </c>
      <c r="BD110" s="20">
        <f>AZ110-AV110</f>
        <v>-8.4</v>
      </c>
      <c r="BE110" s="21">
        <v>0</v>
      </c>
      <c r="BH110"/>
      <c r="BI110"/>
      <c r="BJ110"/>
      <c r="BK110"/>
      <c r="BT110" s="4"/>
    </row>
    <row r="111" spans="1:72" ht="15.75" x14ac:dyDescent="0.25">
      <c r="A111" s="53" t="s">
        <v>102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41"/>
      <c r="AZ111" s="42"/>
      <c r="BA111" s="43"/>
      <c r="BC111" s="2"/>
      <c r="BD111" s="2"/>
      <c r="BE111" s="33"/>
      <c r="BH111" s="32"/>
      <c r="BI111" s="32"/>
      <c r="BJ111" s="32"/>
      <c r="BK111" s="32"/>
    </row>
    <row r="112" spans="1:72" ht="15.75" x14ac:dyDescent="0.25">
      <c r="A112" s="34" t="s">
        <v>59</v>
      </c>
      <c r="B112" s="36">
        <v>1134</v>
      </c>
      <c r="C112" s="36">
        <v>991</v>
      </c>
      <c r="D112" s="36">
        <v>1185</v>
      </c>
      <c r="E112" s="36">
        <v>1075</v>
      </c>
      <c r="F112" s="36">
        <v>1177</v>
      </c>
      <c r="G112" s="36">
        <v>1330.7</v>
      </c>
      <c r="H112" s="36">
        <v>1217</v>
      </c>
      <c r="I112" s="36">
        <v>1241</v>
      </c>
      <c r="J112" s="36">
        <v>1166</v>
      </c>
      <c r="K112" s="36">
        <v>1280</v>
      </c>
      <c r="L112" s="36">
        <v>1382.4</v>
      </c>
      <c r="M112" s="36">
        <v>1227</v>
      </c>
      <c r="N112" s="36">
        <v>1327</v>
      </c>
      <c r="O112" s="36">
        <v>1234</v>
      </c>
      <c r="P112" s="36">
        <v>1448.6</v>
      </c>
      <c r="Q112" s="36">
        <v>1566.3</v>
      </c>
      <c r="R112" s="36">
        <v>1430</v>
      </c>
      <c r="S112" s="36">
        <v>1302.3</v>
      </c>
      <c r="T112" s="36">
        <v>1289.7</v>
      </c>
      <c r="U112" s="36">
        <v>1164.5</v>
      </c>
      <c r="V112" s="36">
        <v>1206.9000000000001</v>
      </c>
      <c r="W112" s="36">
        <v>1177.8</v>
      </c>
      <c r="X112" s="36">
        <v>1215.8</v>
      </c>
      <c r="Y112" s="16">
        <v>1159.3</v>
      </c>
      <c r="Z112" s="36">
        <v>1144.2</v>
      </c>
      <c r="AA112" s="36">
        <v>1083.5</v>
      </c>
      <c r="AB112" s="36">
        <v>1091</v>
      </c>
      <c r="AC112" s="36">
        <v>1058.0999999999999</v>
      </c>
      <c r="AD112" s="36">
        <v>1066.8</v>
      </c>
      <c r="AE112" s="36">
        <v>1049.4000000000001</v>
      </c>
      <c r="AF112" s="36">
        <v>957.6</v>
      </c>
      <c r="AG112" s="36">
        <v>966</v>
      </c>
      <c r="AH112" s="16">
        <v>917.4</v>
      </c>
      <c r="AI112" s="16">
        <v>879.5</v>
      </c>
      <c r="AJ112" s="16">
        <v>899.1</v>
      </c>
      <c r="AK112" s="16">
        <v>891.9</v>
      </c>
      <c r="AL112" s="16">
        <v>904.4</v>
      </c>
      <c r="AM112" s="16">
        <v>753.8</v>
      </c>
      <c r="AN112" s="16">
        <v>762.7</v>
      </c>
      <c r="AO112" s="16">
        <v>827.3</v>
      </c>
      <c r="AP112" s="16">
        <v>856</v>
      </c>
      <c r="AQ112" s="16">
        <v>887.4</v>
      </c>
      <c r="AR112" s="16">
        <v>844.9</v>
      </c>
      <c r="AS112" s="16">
        <v>870.7</v>
      </c>
      <c r="AT112" s="16">
        <v>885</v>
      </c>
      <c r="AU112" s="16">
        <v>873.1</v>
      </c>
      <c r="AV112" s="16">
        <v>782.6</v>
      </c>
      <c r="AW112" s="16">
        <v>755.2</v>
      </c>
      <c r="AX112" s="16">
        <f>'[1]Corn 3'!AX112+'[1]Corn 2'!AX112+'[1]Corn 1'!AX112</f>
        <v>744.8</v>
      </c>
      <c r="AY112" s="17">
        <f>'[1]Corn 3'!AY112+'[1]Corn 2'!AY112+'[1]Corn 1'!AY112</f>
        <v>772.7</v>
      </c>
      <c r="AZ112" s="35"/>
      <c r="BA112" s="19">
        <f>AZ112-AY112</f>
        <v>-772.7</v>
      </c>
      <c r="BC112" s="20">
        <f>AY112-AV112</f>
        <v>-9.8999999999999773</v>
      </c>
      <c r="BD112" s="20">
        <f>AZ112-AV112</f>
        <v>-782.6</v>
      </c>
      <c r="BE112" s="21">
        <v>0</v>
      </c>
    </row>
    <row r="113" spans="1:72" ht="15.75" x14ac:dyDescent="0.25">
      <c r="A113" s="34" t="s">
        <v>60</v>
      </c>
      <c r="B113" s="22">
        <v>2222</v>
      </c>
      <c r="C113" s="22">
        <v>1702</v>
      </c>
      <c r="D113" s="22">
        <v>2042</v>
      </c>
      <c r="E113" s="22">
        <v>2331</v>
      </c>
      <c r="F113" s="22">
        <v>2490</v>
      </c>
      <c r="G113" s="22">
        <v>2549</v>
      </c>
      <c r="H113" s="22">
        <v>2600</v>
      </c>
      <c r="I113" s="22">
        <v>2370</v>
      </c>
      <c r="J113" s="22">
        <v>2500</v>
      </c>
      <c r="K113" s="22">
        <v>2470</v>
      </c>
      <c r="L113" s="22">
        <v>2700</v>
      </c>
      <c r="M113" s="22">
        <v>2950</v>
      </c>
      <c r="N113" s="22">
        <v>2850</v>
      </c>
      <c r="O113" s="22">
        <v>2490</v>
      </c>
      <c r="P113" s="22">
        <v>2810</v>
      </c>
      <c r="Q113" s="22">
        <v>2602</v>
      </c>
      <c r="R113" s="22">
        <v>2728</v>
      </c>
      <c r="S113" s="22">
        <v>2598</v>
      </c>
      <c r="T113" s="22">
        <v>3198</v>
      </c>
      <c r="U113" s="22">
        <v>2984</v>
      </c>
      <c r="V113" s="22">
        <v>3133</v>
      </c>
      <c r="W113" s="22">
        <v>3347</v>
      </c>
      <c r="X113" s="22">
        <v>3135</v>
      </c>
      <c r="Y113" s="22">
        <v>2509</v>
      </c>
      <c r="Z113" s="22">
        <v>3677</v>
      </c>
      <c r="AA113" s="22">
        <v>3638</v>
      </c>
      <c r="AB113" s="22">
        <v>4174</v>
      </c>
      <c r="AC113" s="22">
        <v>4253</v>
      </c>
      <c r="AD113" s="22">
        <v>3735</v>
      </c>
      <c r="AE113" s="22">
        <v>4060</v>
      </c>
      <c r="AF113" s="22">
        <v>4159</v>
      </c>
      <c r="AG113" s="22">
        <v>4838</v>
      </c>
      <c r="AH113" s="22">
        <v>4659</v>
      </c>
      <c r="AI113" s="22">
        <v>5162</v>
      </c>
      <c r="AJ113" s="22">
        <v>4813</v>
      </c>
      <c r="AK113" s="22">
        <v>5495</v>
      </c>
      <c r="AL113" s="22">
        <v>5695</v>
      </c>
      <c r="AM113" s="22">
        <v>4928</v>
      </c>
      <c r="AN113" s="22">
        <v>5462</v>
      </c>
      <c r="AO113" s="22">
        <v>4628</v>
      </c>
      <c r="AP113" s="22">
        <v>5705</v>
      </c>
      <c r="AQ113" s="22">
        <v>4507</v>
      </c>
      <c r="AR113" s="22">
        <v>5425</v>
      </c>
      <c r="AS113" s="22">
        <v>4827</v>
      </c>
      <c r="AT113" s="22">
        <v>3696</v>
      </c>
      <c r="AU113" s="22">
        <v>4959</v>
      </c>
      <c r="AV113" s="22">
        <v>6025</v>
      </c>
      <c r="AW113" s="22">
        <v>4804.1525423728808</v>
      </c>
      <c r="AX113" s="22">
        <v>5907.0784103114938</v>
      </c>
      <c r="AY113" s="24">
        <v>5711.6729649281742</v>
      </c>
      <c r="AZ113" s="65"/>
      <c r="BA113" s="19">
        <f>AZ113-AY113</f>
        <v>-5711.6729649281742</v>
      </c>
      <c r="BC113" s="25">
        <f>AY113-AV113</f>
        <v>-313.32703507182578</v>
      </c>
      <c r="BD113" s="25">
        <f>AZ113-AV113</f>
        <v>-6025</v>
      </c>
      <c r="BE113" s="21">
        <v>0</v>
      </c>
      <c r="BF113" s="44">
        <f>(AZ113/AV113)-1</f>
        <v>-1</v>
      </c>
      <c r="BT113" s="4">
        <f>AZ113/1000</f>
        <v>0</v>
      </c>
    </row>
    <row r="114" spans="1:72" ht="16.5" thickBot="1" x14ac:dyDescent="0.3">
      <c r="A114" s="34" t="s">
        <v>61</v>
      </c>
      <c r="B114" s="36">
        <v>2520</v>
      </c>
      <c r="C114" s="36">
        <v>1687</v>
      </c>
      <c r="D114" s="36">
        <v>2420</v>
      </c>
      <c r="E114" s="36">
        <v>2506</v>
      </c>
      <c r="F114" s="36">
        <v>2931</v>
      </c>
      <c r="G114" s="36">
        <v>3392</v>
      </c>
      <c r="H114" s="36">
        <v>3164</v>
      </c>
      <c r="I114" s="36">
        <v>2941</v>
      </c>
      <c r="J114" s="36">
        <v>2915</v>
      </c>
      <c r="K114" s="36">
        <v>3162</v>
      </c>
      <c r="L114" s="36">
        <v>3733</v>
      </c>
      <c r="M114" s="36">
        <v>3620</v>
      </c>
      <c r="N114" s="36">
        <v>3782</v>
      </c>
      <c r="O114" s="36">
        <v>3073</v>
      </c>
      <c r="P114" s="36">
        <v>4070.8</v>
      </c>
      <c r="Q114" s="36">
        <v>4074.8</v>
      </c>
      <c r="R114" s="36">
        <v>3900.6</v>
      </c>
      <c r="S114" s="36">
        <v>3383.8</v>
      </c>
      <c r="T114" s="36">
        <v>4124.6000000000004</v>
      </c>
      <c r="U114" s="36">
        <v>3474.8</v>
      </c>
      <c r="V114" s="36">
        <v>3780.7</v>
      </c>
      <c r="W114" s="36">
        <v>3942.5</v>
      </c>
      <c r="X114" s="36">
        <v>3811</v>
      </c>
      <c r="Y114" s="36">
        <v>2909.1</v>
      </c>
      <c r="Z114" s="36">
        <v>4207</v>
      </c>
      <c r="AA114" s="36">
        <v>3941.7</v>
      </c>
      <c r="AB114" s="36">
        <v>4553.3999999999996</v>
      </c>
      <c r="AC114" s="36">
        <v>4499.6000000000004</v>
      </c>
      <c r="AD114" s="36">
        <v>3984.5</v>
      </c>
      <c r="AE114" s="36">
        <v>4260.8999999999996</v>
      </c>
      <c r="AF114" s="36">
        <v>3982.2</v>
      </c>
      <c r="AG114" s="36">
        <v>4673.3999999999996</v>
      </c>
      <c r="AH114" s="36">
        <v>4274.2</v>
      </c>
      <c r="AI114" s="36">
        <v>4540.3</v>
      </c>
      <c r="AJ114" s="36">
        <v>4327</v>
      </c>
      <c r="AK114" s="36">
        <v>4901.2</v>
      </c>
      <c r="AL114" s="36">
        <v>5150.8</v>
      </c>
      <c r="AM114" s="36">
        <v>3714.6</v>
      </c>
      <c r="AN114" s="36">
        <v>4166.2</v>
      </c>
      <c r="AO114" s="36">
        <v>3828.5</v>
      </c>
      <c r="AP114" s="36">
        <v>4883.3</v>
      </c>
      <c r="AQ114" s="36">
        <v>3999.7</v>
      </c>
      <c r="AR114" s="36">
        <v>4583.7</v>
      </c>
      <c r="AS114" s="36">
        <v>4202.8999999999996</v>
      </c>
      <c r="AT114" s="36">
        <v>3270.8</v>
      </c>
      <c r="AU114" s="36">
        <v>4329.8999999999996</v>
      </c>
      <c r="AV114" s="36">
        <v>4715.3999999999996</v>
      </c>
      <c r="AW114" s="36">
        <v>3628.1</v>
      </c>
      <c r="AX114" s="36">
        <f>'[1]Corn 3'!AX114+'[1]Corn 2'!AX114+'[1]Corn 1'!AX114</f>
        <v>4399.6000000000004</v>
      </c>
      <c r="AY114" s="17">
        <v>4088.2</v>
      </c>
      <c r="AZ114" s="35"/>
      <c r="BA114" s="19">
        <f>AZ114-AY114</f>
        <v>-4088.2</v>
      </c>
      <c r="BC114" s="20">
        <f>AY114-AV114</f>
        <v>-627.19999999999982</v>
      </c>
      <c r="BD114" s="20">
        <f>AZ114-AV114</f>
        <v>-4715.3999999999996</v>
      </c>
      <c r="BE114" s="21">
        <v>0</v>
      </c>
      <c r="BT114" s="4">
        <f>AZ114*1000</f>
        <v>0</v>
      </c>
    </row>
    <row r="115" spans="1:72" s="32" customFormat="1" ht="21.75" thickBot="1" x14ac:dyDescent="0.3">
      <c r="A115" s="45" t="s">
        <v>103</v>
      </c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C115" s="2"/>
      <c r="BD115" s="2"/>
      <c r="BE115" s="33"/>
      <c r="BT115" s="4"/>
    </row>
    <row r="116" spans="1:72" s="32" customFormat="1" ht="15.75" x14ac:dyDescent="0.25">
      <c r="A116" s="48" t="s">
        <v>59</v>
      </c>
      <c r="B116" s="49">
        <v>4890.5</v>
      </c>
      <c r="C116" s="49">
        <v>4499</v>
      </c>
      <c r="D116" s="49">
        <v>5032</v>
      </c>
      <c r="E116" s="49">
        <v>4977.5</v>
      </c>
      <c r="F116" s="49">
        <v>4922</v>
      </c>
      <c r="G116" s="49">
        <v>5164</v>
      </c>
      <c r="H116" s="49">
        <v>5006</v>
      </c>
      <c r="I116" s="49">
        <v>5311</v>
      </c>
      <c r="J116" s="49">
        <v>5028</v>
      </c>
      <c r="K116" s="49">
        <v>5196</v>
      </c>
      <c r="L116" s="49">
        <v>5905.9</v>
      </c>
      <c r="M116" s="49">
        <v>4967.7</v>
      </c>
      <c r="N116" s="49">
        <v>4670</v>
      </c>
      <c r="O116" s="49">
        <v>4718</v>
      </c>
      <c r="P116" s="49">
        <v>5289.4</v>
      </c>
      <c r="Q116" s="49">
        <v>5674.1</v>
      </c>
      <c r="R116" s="49">
        <v>5288.3</v>
      </c>
      <c r="S116" s="49">
        <v>5622.8</v>
      </c>
      <c r="T116" s="49">
        <v>5699.6</v>
      </c>
      <c r="U116" s="49">
        <v>5212.3</v>
      </c>
      <c r="V116" s="49">
        <v>5201.7</v>
      </c>
      <c r="W116" s="49">
        <v>4523.5</v>
      </c>
      <c r="X116" s="49">
        <v>4803.7</v>
      </c>
      <c r="Y116" s="49">
        <v>5032.8999999999996</v>
      </c>
      <c r="Z116" s="49">
        <v>5353.2</v>
      </c>
      <c r="AA116" s="49">
        <v>4784.5</v>
      </c>
      <c r="AB116" s="49">
        <v>5063.3</v>
      </c>
      <c r="AC116" s="49">
        <v>4558</v>
      </c>
      <c r="AD116" s="49">
        <v>4142.3999999999996</v>
      </c>
      <c r="AE116" s="49">
        <v>4711.8999999999996</v>
      </c>
      <c r="AF116" s="49">
        <v>4864.5</v>
      </c>
      <c r="AG116" s="49">
        <v>5086.2</v>
      </c>
      <c r="AH116" s="49">
        <v>4838.6000000000004</v>
      </c>
      <c r="AI116" s="49">
        <v>3994.6</v>
      </c>
      <c r="AJ116" s="49">
        <v>4133.2</v>
      </c>
      <c r="AK116" s="49">
        <v>4653</v>
      </c>
      <c r="AL116" s="49">
        <v>4569.6000000000004</v>
      </c>
      <c r="AM116" s="49">
        <v>4069.3</v>
      </c>
      <c r="AN116" s="49">
        <v>3809.3</v>
      </c>
      <c r="AO116" s="49">
        <v>3805.4</v>
      </c>
      <c r="AP116" s="49">
        <v>4122.2</v>
      </c>
      <c r="AQ116" s="49">
        <v>3478.3</v>
      </c>
      <c r="AR116" s="49">
        <v>3695.6</v>
      </c>
      <c r="AS116" s="49">
        <v>3757.2</v>
      </c>
      <c r="AT116" s="49">
        <v>4025.8</v>
      </c>
      <c r="AU116" s="49">
        <v>4329.5</v>
      </c>
      <c r="AV116" s="49">
        <v>3999.3</v>
      </c>
      <c r="AW116" s="49">
        <v>3923.8</v>
      </c>
      <c r="AX116" s="49">
        <f>'[1]Corn 3'!AX116+'[1]Corn 2'!AX116+'[1]Corn 1'!AX116</f>
        <v>4063.3</v>
      </c>
      <c r="AY116" s="50">
        <f>'[1]Corn 3'!AY116+'[1]Corn 2'!AY116+'[1]Corn 1'!AY116</f>
        <v>4290.7000000000007</v>
      </c>
      <c r="AZ116" s="67"/>
      <c r="BA116" s="52">
        <f>AZ116-AY116</f>
        <v>-4290.7000000000007</v>
      </c>
      <c r="BB116"/>
      <c r="BC116" s="20">
        <f>AY116-AV116</f>
        <v>291.40000000000055</v>
      </c>
      <c r="BD116" s="20">
        <f>AZ116-AV116</f>
        <v>-3999.3</v>
      </c>
      <c r="BE116" s="21">
        <v>0</v>
      </c>
      <c r="BT116" s="4"/>
    </row>
    <row r="117" spans="1:72" s="32" customFormat="1" ht="15.75" x14ac:dyDescent="0.25">
      <c r="A117" s="15" t="s">
        <v>60</v>
      </c>
      <c r="B117" s="22">
        <v>2042</v>
      </c>
      <c r="C117" s="22">
        <v>1444</v>
      </c>
      <c r="D117" s="22">
        <v>1587</v>
      </c>
      <c r="E117" s="22">
        <v>2145</v>
      </c>
      <c r="F117" s="22">
        <v>2495</v>
      </c>
      <c r="G117" s="22">
        <v>2118</v>
      </c>
      <c r="H117" s="22">
        <v>2000</v>
      </c>
      <c r="I117" s="22">
        <v>2160</v>
      </c>
      <c r="J117" s="22">
        <v>2165</v>
      </c>
      <c r="K117" s="22">
        <v>1579</v>
      </c>
      <c r="L117" s="22">
        <v>2334</v>
      </c>
      <c r="M117" s="22">
        <v>2171</v>
      </c>
      <c r="N117" s="22">
        <v>2383</v>
      </c>
      <c r="O117" s="22">
        <v>2498</v>
      </c>
      <c r="P117" s="22">
        <v>1652</v>
      </c>
      <c r="Q117" s="22">
        <v>2821</v>
      </c>
      <c r="R117" s="22">
        <v>2912</v>
      </c>
      <c r="S117" s="22">
        <v>2923</v>
      </c>
      <c r="T117" s="22">
        <v>3334</v>
      </c>
      <c r="U117" s="22">
        <v>2700</v>
      </c>
      <c r="V117" s="22">
        <v>3063</v>
      </c>
      <c r="W117" s="22">
        <v>3227</v>
      </c>
      <c r="X117" s="22">
        <v>3035</v>
      </c>
      <c r="Y117" s="22">
        <v>2794</v>
      </c>
      <c r="Z117" s="22">
        <v>4214</v>
      </c>
      <c r="AA117" s="22">
        <v>3422</v>
      </c>
      <c r="AB117" s="22">
        <v>4577</v>
      </c>
      <c r="AC117" s="22">
        <v>3956</v>
      </c>
      <c r="AD117" s="22">
        <v>3091</v>
      </c>
      <c r="AE117" s="22">
        <v>4011</v>
      </c>
      <c r="AF117" s="22">
        <v>4867</v>
      </c>
      <c r="AG117" s="22">
        <v>4872</v>
      </c>
      <c r="AH117" s="22">
        <v>3847</v>
      </c>
      <c r="AI117" s="22">
        <v>5717</v>
      </c>
      <c r="AJ117" s="22">
        <v>5225</v>
      </c>
      <c r="AK117" s="22">
        <v>4953</v>
      </c>
      <c r="AL117" s="22">
        <v>5774</v>
      </c>
      <c r="AM117" s="22">
        <v>6113</v>
      </c>
      <c r="AN117" s="22">
        <v>6622</v>
      </c>
      <c r="AO117" s="22">
        <v>6068</v>
      </c>
      <c r="AP117" s="22">
        <v>6583</v>
      </c>
      <c r="AQ117" s="22">
        <v>5530</v>
      </c>
      <c r="AR117" s="22">
        <v>6849</v>
      </c>
      <c r="AS117" s="22">
        <v>5766</v>
      </c>
      <c r="AT117" s="22">
        <v>3971</v>
      </c>
      <c r="AU117" s="22">
        <v>4959</v>
      </c>
      <c r="AV117" s="22">
        <v>6198</v>
      </c>
      <c r="AW117" s="22">
        <v>5662.1153473673476</v>
      </c>
      <c r="AX117" s="22">
        <v>7072.9210986144262</v>
      </c>
      <c r="AY117" s="24">
        <v>6567.8635187731616</v>
      </c>
      <c r="AZ117" s="65"/>
      <c r="BA117" s="19">
        <f>AZ117-AY117</f>
        <v>-6567.8635187731616</v>
      </c>
      <c r="BB117"/>
      <c r="BC117" s="25">
        <f>AY117-AV117</f>
        <v>369.86351877316156</v>
      </c>
      <c r="BD117" s="25">
        <f>AZ117-AV117</f>
        <v>-6198</v>
      </c>
      <c r="BE117" s="21">
        <v>0</v>
      </c>
      <c r="BT117" s="4">
        <f>AZ117/1000</f>
        <v>0</v>
      </c>
    </row>
    <row r="118" spans="1:72" s="32" customFormat="1" ht="15.75" x14ac:dyDescent="0.25">
      <c r="A118" s="15" t="s">
        <v>61</v>
      </c>
      <c r="B118" s="16">
        <v>9985</v>
      </c>
      <c r="C118" s="16">
        <v>6498</v>
      </c>
      <c r="D118" s="16">
        <v>7988</v>
      </c>
      <c r="E118" s="16">
        <v>10677</v>
      </c>
      <c r="F118" s="16">
        <v>12280</v>
      </c>
      <c r="G118" s="16">
        <v>10937</v>
      </c>
      <c r="H118" s="16">
        <v>10013</v>
      </c>
      <c r="I118" s="16">
        <v>11474</v>
      </c>
      <c r="J118" s="16">
        <v>10883</v>
      </c>
      <c r="K118" s="16">
        <v>8206</v>
      </c>
      <c r="L118" s="16">
        <v>13782</v>
      </c>
      <c r="M118" s="16">
        <v>10787</v>
      </c>
      <c r="N118" s="16">
        <v>11131</v>
      </c>
      <c r="O118" s="16">
        <v>11785</v>
      </c>
      <c r="P118" s="16">
        <v>8738.2000000000007</v>
      </c>
      <c r="Q118" s="16">
        <v>16005.5</v>
      </c>
      <c r="R118" s="16">
        <v>15401.9</v>
      </c>
      <c r="S118" s="16">
        <v>16435.3</v>
      </c>
      <c r="T118" s="16">
        <v>19002.5</v>
      </c>
      <c r="U118" s="16">
        <v>14073.5</v>
      </c>
      <c r="V118" s="16">
        <v>15934.7</v>
      </c>
      <c r="W118" s="16">
        <v>14595.2</v>
      </c>
      <c r="X118" s="16">
        <v>14577.3</v>
      </c>
      <c r="Y118" s="16">
        <v>14061.7</v>
      </c>
      <c r="Z118" s="16">
        <v>22559</v>
      </c>
      <c r="AA118" s="16">
        <v>16374.6</v>
      </c>
      <c r="AB118" s="16">
        <v>23175.1</v>
      </c>
      <c r="AC118" s="16">
        <v>18032.099999999999</v>
      </c>
      <c r="AD118" s="16">
        <v>12803.6</v>
      </c>
      <c r="AE118" s="16">
        <v>18899.2</v>
      </c>
      <c r="AF118" s="16">
        <v>23673.3</v>
      </c>
      <c r="AG118" s="16">
        <v>24779.7</v>
      </c>
      <c r="AH118" s="16">
        <v>18614.8</v>
      </c>
      <c r="AI118" s="16">
        <v>22835.599999999999</v>
      </c>
      <c r="AJ118" s="16">
        <v>21595.5</v>
      </c>
      <c r="AK118" s="16">
        <v>23046.799999999999</v>
      </c>
      <c r="AL118" s="16">
        <v>26385.3</v>
      </c>
      <c r="AM118" s="16">
        <v>24873.8</v>
      </c>
      <c r="AN118" s="16">
        <v>25225</v>
      </c>
      <c r="AO118" s="16">
        <v>23089.7</v>
      </c>
      <c r="AP118" s="16">
        <v>27137.8</v>
      </c>
      <c r="AQ118" s="16">
        <v>19236.5</v>
      </c>
      <c r="AR118" s="16">
        <v>25310.3</v>
      </c>
      <c r="AS118" s="16">
        <v>21663.1</v>
      </c>
      <c r="AT118" s="16">
        <v>15984.7</v>
      </c>
      <c r="AU118" s="16">
        <v>21467.9</v>
      </c>
      <c r="AV118" s="16">
        <v>24788.2</v>
      </c>
      <c r="AW118" s="16">
        <v>22217</v>
      </c>
      <c r="AX118" s="16">
        <f>'[1]Corn 3'!AX118+'[1]Corn 2'!AX118+'[1]Corn 1'!AX118</f>
        <v>28739.3</v>
      </c>
      <c r="AY118" s="17">
        <f>'[1]Corn 3'!AY118+'[1]Corn 2'!AY118+'[1]Corn 1'!AY118</f>
        <v>28180.799999999999</v>
      </c>
      <c r="AZ118" s="65"/>
      <c r="BA118" s="19">
        <f>AZ118-AY118</f>
        <v>-28180.799999999999</v>
      </c>
      <c r="BB118"/>
      <c r="BC118" s="20">
        <f>AY118-AV118</f>
        <v>3392.5999999999985</v>
      </c>
      <c r="BD118" s="20">
        <f>AZ118-AV118</f>
        <v>-24788.2</v>
      </c>
      <c r="BE118" s="21">
        <v>0</v>
      </c>
      <c r="BT118" s="4">
        <f>AZ118*1000</f>
        <v>0</v>
      </c>
    </row>
    <row r="119" spans="1:72" ht="15.75" x14ac:dyDescent="0.25">
      <c r="A119" s="53" t="s">
        <v>104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41"/>
      <c r="AZ119" s="42"/>
      <c r="BA119" s="43"/>
      <c r="BC119" s="2"/>
      <c r="BD119" s="2"/>
      <c r="BE119" s="33"/>
    </row>
    <row r="120" spans="1:72" ht="15.75" x14ac:dyDescent="0.25">
      <c r="A120" s="34" t="s">
        <v>59</v>
      </c>
      <c r="B120" s="36">
        <v>2153.9</v>
      </c>
      <c r="C120" s="36">
        <v>1811</v>
      </c>
      <c r="D120" s="36">
        <v>2150</v>
      </c>
      <c r="E120" s="36">
        <v>2165</v>
      </c>
      <c r="F120" s="36">
        <v>2153</v>
      </c>
      <c r="G120" s="36">
        <v>2304</v>
      </c>
      <c r="H120" s="36">
        <v>2270</v>
      </c>
      <c r="I120" s="36">
        <v>2450</v>
      </c>
      <c r="J120" s="36">
        <v>2330</v>
      </c>
      <c r="K120" s="36">
        <v>2470</v>
      </c>
      <c r="L120" s="36">
        <v>2926.2</v>
      </c>
      <c r="M120" s="36">
        <v>2317</v>
      </c>
      <c r="N120" s="36">
        <v>2108</v>
      </c>
      <c r="O120" s="36">
        <v>2122</v>
      </c>
      <c r="P120" s="36">
        <v>2363</v>
      </c>
      <c r="Q120" s="36">
        <v>2600</v>
      </c>
      <c r="R120" s="36">
        <v>2689</v>
      </c>
      <c r="S120" s="36">
        <v>2881</v>
      </c>
      <c r="T120" s="36">
        <v>2750</v>
      </c>
      <c r="U120" s="36">
        <v>2440.5</v>
      </c>
      <c r="V120" s="36">
        <v>2525</v>
      </c>
      <c r="W120" s="36">
        <v>2254.4</v>
      </c>
      <c r="X120" s="36">
        <v>2549.1999999999998</v>
      </c>
      <c r="Y120" s="16">
        <v>2668.3</v>
      </c>
      <c r="Z120" s="36">
        <v>2797</v>
      </c>
      <c r="AA120" s="36">
        <v>2492.5</v>
      </c>
      <c r="AB120" s="36">
        <v>2805.8</v>
      </c>
      <c r="AC120" s="36">
        <v>2447.1</v>
      </c>
      <c r="AD120" s="36">
        <v>2106.1</v>
      </c>
      <c r="AE120" s="36">
        <v>2491.1</v>
      </c>
      <c r="AF120" s="36">
        <v>2772.5</v>
      </c>
      <c r="AG120" s="36">
        <v>2979.4</v>
      </c>
      <c r="AH120" s="16">
        <v>2783</v>
      </c>
      <c r="AI120" s="16">
        <v>2250.1</v>
      </c>
      <c r="AJ120" s="16">
        <v>2485.8000000000002</v>
      </c>
      <c r="AK120" s="16">
        <v>3002.8</v>
      </c>
      <c r="AL120" s="16">
        <v>3047.3</v>
      </c>
      <c r="AM120" s="16">
        <v>2566.1999999999998</v>
      </c>
      <c r="AN120" s="16">
        <v>2456.8000000000002</v>
      </c>
      <c r="AO120" s="16">
        <v>2612.4</v>
      </c>
      <c r="AP120" s="16">
        <v>2917</v>
      </c>
      <c r="AQ120" s="16">
        <v>2430.9</v>
      </c>
      <c r="AR120" s="16">
        <v>2606.6999999999998</v>
      </c>
      <c r="AS120" s="16">
        <v>2629.8</v>
      </c>
      <c r="AT120" s="16">
        <v>2878</v>
      </c>
      <c r="AU120" s="16">
        <v>3151.7</v>
      </c>
      <c r="AV120" s="16">
        <v>2855.8</v>
      </c>
      <c r="AW120" s="16">
        <v>2808.8</v>
      </c>
      <c r="AX120" s="16">
        <f>'[1]Corn 3'!AX120+'[1]Corn 2'!AX120+'[1]Corn 1'!AX120</f>
        <v>3059.7000000000003</v>
      </c>
      <c r="AY120" s="17">
        <f>'[1]Corn 3'!AY120+'[1]Corn 2'!AY120+'[1]Corn 1'!AY120</f>
        <v>3165.6</v>
      </c>
      <c r="AZ120" s="35">
        <v>2600</v>
      </c>
      <c r="BA120" s="19">
        <f>AZ120-AY120</f>
        <v>-565.59999999999991</v>
      </c>
      <c r="BC120" s="20">
        <f>AY120-AV120</f>
        <v>309.79999999999973</v>
      </c>
      <c r="BD120" s="20">
        <f>AZ120-AV120</f>
        <v>-255.80000000000018</v>
      </c>
      <c r="BE120" s="21">
        <v>0</v>
      </c>
    </row>
    <row r="121" spans="1:72" ht="15.75" x14ac:dyDescent="0.25">
      <c r="A121" s="34" t="s">
        <v>60</v>
      </c>
      <c r="B121" s="22">
        <v>2150</v>
      </c>
      <c r="C121" s="22">
        <v>1363</v>
      </c>
      <c r="D121" s="22">
        <v>2027</v>
      </c>
      <c r="E121" s="22">
        <v>2360</v>
      </c>
      <c r="F121" s="22">
        <v>2587</v>
      </c>
      <c r="G121" s="22">
        <v>2350</v>
      </c>
      <c r="H121" s="22">
        <v>2282</v>
      </c>
      <c r="I121" s="22">
        <v>2230</v>
      </c>
      <c r="J121" s="22">
        <v>2420</v>
      </c>
      <c r="K121" s="22">
        <v>1740</v>
      </c>
      <c r="L121" s="22">
        <v>2570</v>
      </c>
      <c r="M121" s="22">
        <v>2450</v>
      </c>
      <c r="N121" s="22">
        <v>2449</v>
      </c>
      <c r="O121" s="22">
        <v>2400</v>
      </c>
      <c r="P121" s="22">
        <v>2103</v>
      </c>
      <c r="Q121" s="22">
        <v>2824</v>
      </c>
      <c r="R121" s="22">
        <v>2886</v>
      </c>
      <c r="S121" s="22">
        <v>2822</v>
      </c>
      <c r="T121" s="22">
        <v>3338</v>
      </c>
      <c r="U121" s="22">
        <v>3243</v>
      </c>
      <c r="V121" s="22">
        <v>3233</v>
      </c>
      <c r="W121" s="22">
        <v>3284</v>
      </c>
      <c r="X121" s="22">
        <v>3319</v>
      </c>
      <c r="Y121" s="22">
        <v>2638</v>
      </c>
      <c r="Z121" s="22">
        <v>4424</v>
      </c>
      <c r="AA121" s="22">
        <v>3757</v>
      </c>
      <c r="AB121" s="22">
        <v>4867</v>
      </c>
      <c r="AC121" s="22">
        <v>4574</v>
      </c>
      <c r="AD121" s="22">
        <v>3995</v>
      </c>
      <c r="AE121" s="22">
        <v>4485</v>
      </c>
      <c r="AF121" s="22">
        <v>4996</v>
      </c>
      <c r="AG121" s="22">
        <v>5158</v>
      </c>
      <c r="AH121" s="22">
        <v>3989</v>
      </c>
      <c r="AI121" s="22">
        <v>5975</v>
      </c>
      <c r="AJ121" s="22">
        <v>4927</v>
      </c>
      <c r="AK121" s="22">
        <v>5580</v>
      </c>
      <c r="AL121" s="22">
        <v>5790</v>
      </c>
      <c r="AM121" s="22">
        <v>6107</v>
      </c>
      <c r="AN121" s="22">
        <v>6457</v>
      </c>
      <c r="AO121" s="22">
        <v>5545</v>
      </c>
      <c r="AP121" s="22">
        <v>6115</v>
      </c>
      <c r="AQ121" s="22">
        <v>4878</v>
      </c>
      <c r="AR121" s="22">
        <v>6394</v>
      </c>
      <c r="AS121" s="22">
        <v>5684</v>
      </c>
      <c r="AT121" s="22">
        <v>3341</v>
      </c>
      <c r="AU121" s="22">
        <v>5210</v>
      </c>
      <c r="AV121" s="22">
        <v>6481</v>
      </c>
      <c r="AW121" s="22">
        <v>5338.9110652235831</v>
      </c>
      <c r="AX121" s="22">
        <v>6601.0639278360622</v>
      </c>
      <c r="AY121" s="24">
        <v>6367.4181513773074</v>
      </c>
      <c r="AZ121" s="65">
        <v>6200</v>
      </c>
      <c r="BA121" s="19">
        <f>AZ121-AY121</f>
        <v>-167.41815137730737</v>
      </c>
      <c r="BC121" s="25">
        <f>AY121-AV121</f>
        <v>-113.58184862269263</v>
      </c>
      <c r="BD121" s="25">
        <f>AZ121-AV121</f>
        <v>-281</v>
      </c>
      <c r="BE121" s="21">
        <v>0</v>
      </c>
      <c r="BF121" s="44">
        <f>(AZ121/AV121)-1</f>
        <v>-4.3357506557630043E-2</v>
      </c>
      <c r="BT121" s="4">
        <f>AZ121/1000</f>
        <v>6.2</v>
      </c>
    </row>
    <row r="122" spans="1:72" s="32" customFormat="1" ht="15.75" x14ac:dyDescent="0.25">
      <c r="A122" s="34" t="s">
        <v>61</v>
      </c>
      <c r="B122" s="36">
        <v>4631</v>
      </c>
      <c r="C122" s="36">
        <v>2468</v>
      </c>
      <c r="D122" s="36">
        <v>4358</v>
      </c>
      <c r="E122" s="36">
        <v>5110</v>
      </c>
      <c r="F122" s="36">
        <v>5570</v>
      </c>
      <c r="G122" s="36">
        <v>5414</v>
      </c>
      <c r="H122" s="36">
        <v>5180</v>
      </c>
      <c r="I122" s="36">
        <v>5464</v>
      </c>
      <c r="J122" s="36">
        <v>5639</v>
      </c>
      <c r="K122" s="36">
        <v>4298</v>
      </c>
      <c r="L122" s="36">
        <v>7520</v>
      </c>
      <c r="M122" s="36">
        <v>5677</v>
      </c>
      <c r="N122" s="36">
        <v>5163</v>
      </c>
      <c r="O122" s="36">
        <v>5092</v>
      </c>
      <c r="P122" s="36">
        <v>4968.8999999999996</v>
      </c>
      <c r="Q122" s="36">
        <v>7342.5</v>
      </c>
      <c r="R122" s="36">
        <v>7760.6</v>
      </c>
      <c r="S122" s="36">
        <v>8129.4</v>
      </c>
      <c r="T122" s="36">
        <v>9180</v>
      </c>
      <c r="U122" s="36">
        <v>7914.8</v>
      </c>
      <c r="V122" s="36">
        <v>8164.5</v>
      </c>
      <c r="W122" s="36">
        <v>7403.9</v>
      </c>
      <c r="X122" s="36">
        <v>8460.7999999999993</v>
      </c>
      <c r="Y122" s="36">
        <v>7037.7</v>
      </c>
      <c r="Z122" s="36">
        <v>12374.9</v>
      </c>
      <c r="AA122" s="36">
        <v>9363.2000000000007</v>
      </c>
      <c r="AB122" s="36">
        <v>13657.2</v>
      </c>
      <c r="AC122" s="36">
        <v>11192.1</v>
      </c>
      <c r="AD122" s="36">
        <v>8414.2999999999993</v>
      </c>
      <c r="AE122" s="36">
        <v>11173</v>
      </c>
      <c r="AF122" s="36">
        <v>13851.3</v>
      </c>
      <c r="AG122" s="36">
        <v>15368.3</v>
      </c>
      <c r="AH122" s="36">
        <v>11100.8</v>
      </c>
      <c r="AI122" s="36">
        <v>13443.3</v>
      </c>
      <c r="AJ122" s="36">
        <v>12247.7</v>
      </c>
      <c r="AK122" s="36">
        <v>16757.099999999999</v>
      </c>
      <c r="AL122" s="36">
        <v>17642.400000000001</v>
      </c>
      <c r="AM122" s="36">
        <v>15671.8</v>
      </c>
      <c r="AN122" s="36">
        <v>15862.9</v>
      </c>
      <c r="AO122" s="36">
        <v>14484.9</v>
      </c>
      <c r="AP122" s="36">
        <v>17837.8</v>
      </c>
      <c r="AQ122" s="36">
        <v>11857.7</v>
      </c>
      <c r="AR122" s="36">
        <v>16667.900000000001</v>
      </c>
      <c r="AS122" s="36">
        <v>14947.8</v>
      </c>
      <c r="AT122" s="36">
        <v>9614.2000000000007</v>
      </c>
      <c r="AU122" s="36">
        <v>16421.599999999999</v>
      </c>
      <c r="AV122" s="36">
        <v>18509.2</v>
      </c>
      <c r="AW122" s="36">
        <v>14995.9</v>
      </c>
      <c r="AX122" s="36">
        <f>'[1]Corn 3'!AX122+'[1]Corn 2'!AX122+'[1]Corn 1'!AX122</f>
        <v>20197.2</v>
      </c>
      <c r="AY122" s="17">
        <f>'[1]Corn 3'!AY122+'[1]Corn 2'!AY122+'[1]Corn 1'!AY122</f>
        <v>20156.7</v>
      </c>
      <c r="AZ122" s="35">
        <f>AZ121*AZ120/1000</f>
        <v>16120</v>
      </c>
      <c r="BA122" s="19">
        <f>AZ122-AY122</f>
        <v>-4036.7000000000007</v>
      </c>
      <c r="BB122"/>
      <c r="BC122" s="20">
        <f>AY122-AV122</f>
        <v>1647.5</v>
      </c>
      <c r="BD122" s="20">
        <f>AZ122-AV122</f>
        <v>-2389.2000000000007</v>
      </c>
      <c r="BE122" s="21">
        <v>0</v>
      </c>
      <c r="BT122" s="4">
        <f>AZ122*1000</f>
        <v>16120000</v>
      </c>
    </row>
    <row r="123" spans="1:72" ht="15.75" x14ac:dyDescent="0.25">
      <c r="A123" s="53" t="s">
        <v>105</v>
      </c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41"/>
      <c r="AZ123" s="42"/>
      <c r="BA123" s="43"/>
      <c r="BC123" s="2"/>
      <c r="BD123" s="2"/>
      <c r="BE123" s="33"/>
    </row>
    <row r="124" spans="1:72" ht="15.75" x14ac:dyDescent="0.25">
      <c r="A124" s="34" t="s">
        <v>59</v>
      </c>
      <c r="B124" s="36">
        <v>1063.5999999999999</v>
      </c>
      <c r="C124" s="36">
        <v>1037</v>
      </c>
      <c r="D124" s="36">
        <v>1097</v>
      </c>
      <c r="E124" s="36">
        <v>949</v>
      </c>
      <c r="F124" s="36">
        <v>950</v>
      </c>
      <c r="G124" s="36">
        <v>950</v>
      </c>
      <c r="H124" s="36">
        <v>921.5</v>
      </c>
      <c r="I124" s="36">
        <v>950</v>
      </c>
      <c r="J124" s="36">
        <v>940</v>
      </c>
      <c r="K124" s="36">
        <v>968</v>
      </c>
      <c r="L124" s="36">
        <v>1008</v>
      </c>
      <c r="M124" s="36">
        <v>967.7</v>
      </c>
      <c r="N124" s="36">
        <v>980</v>
      </c>
      <c r="O124" s="36">
        <v>950</v>
      </c>
      <c r="P124" s="36">
        <v>1050</v>
      </c>
      <c r="Q124" s="36">
        <v>1064.0999999999999</v>
      </c>
      <c r="R124" s="36">
        <v>1031.5</v>
      </c>
      <c r="S124" s="36">
        <v>1041.8</v>
      </c>
      <c r="T124" s="36">
        <v>1062.5999999999999</v>
      </c>
      <c r="U124" s="36">
        <v>1016.9</v>
      </c>
      <c r="V124" s="36">
        <v>1027.0999999999999</v>
      </c>
      <c r="W124" s="36">
        <v>768</v>
      </c>
      <c r="X124" s="36">
        <v>783.4</v>
      </c>
      <c r="Y124" s="16">
        <v>824.6</v>
      </c>
      <c r="Z124" s="36">
        <v>893</v>
      </c>
      <c r="AA124" s="36">
        <v>832</v>
      </c>
      <c r="AB124" s="36">
        <v>848.6</v>
      </c>
      <c r="AC124" s="36">
        <v>814.7</v>
      </c>
      <c r="AD124" s="36">
        <v>798.4</v>
      </c>
      <c r="AE124" s="36">
        <v>784.8</v>
      </c>
      <c r="AF124" s="36">
        <v>706.3</v>
      </c>
      <c r="AG124" s="36">
        <v>715.8</v>
      </c>
      <c r="AH124" s="16">
        <v>667.1</v>
      </c>
      <c r="AI124" s="16">
        <v>593.5</v>
      </c>
      <c r="AJ124" s="16">
        <v>548.20000000000005</v>
      </c>
      <c r="AK124" s="16">
        <v>536.70000000000005</v>
      </c>
      <c r="AL124" s="16">
        <v>489</v>
      </c>
      <c r="AM124" s="16">
        <v>471.9</v>
      </c>
      <c r="AN124" s="16">
        <v>411.5</v>
      </c>
      <c r="AO124" s="16">
        <v>370</v>
      </c>
      <c r="AP124" s="16">
        <v>400.3</v>
      </c>
      <c r="AQ124" s="16">
        <v>319</v>
      </c>
      <c r="AR124" s="16">
        <v>335</v>
      </c>
      <c r="AS124" s="16">
        <v>336</v>
      </c>
      <c r="AT124" s="16">
        <v>346.1</v>
      </c>
      <c r="AU124" s="16">
        <v>353.7</v>
      </c>
      <c r="AV124" s="16">
        <v>312</v>
      </c>
      <c r="AW124" s="16">
        <v>300.10000000000002</v>
      </c>
      <c r="AX124" s="16">
        <f>'[1]Corn 3'!AX124+'[1]Corn 2'!AX124+'[1]Corn 1'!AX124</f>
        <v>288.10000000000002</v>
      </c>
      <c r="AY124" s="17">
        <f>'[1]Corn 3'!AY124+'[1]Corn 2'!AY124+'[1]Corn 1'!AY124</f>
        <v>308</v>
      </c>
      <c r="AZ124" s="65"/>
      <c r="BA124" s="19">
        <f>AZ124-AY124</f>
        <v>-308</v>
      </c>
      <c r="BC124" s="20">
        <f>AY124-AV124</f>
        <v>-4</v>
      </c>
      <c r="BD124" s="20">
        <f>AZ124-AV124</f>
        <v>-312</v>
      </c>
      <c r="BE124" s="21">
        <v>0</v>
      </c>
    </row>
    <row r="125" spans="1:72" ht="15.75" x14ac:dyDescent="0.25">
      <c r="A125" s="34" t="s">
        <v>60</v>
      </c>
      <c r="B125" s="22">
        <v>2514</v>
      </c>
      <c r="C125" s="22">
        <v>1784</v>
      </c>
      <c r="D125" s="22">
        <v>1659</v>
      </c>
      <c r="E125" s="22">
        <v>2500</v>
      </c>
      <c r="F125" s="22">
        <v>2943</v>
      </c>
      <c r="G125" s="22">
        <v>2500</v>
      </c>
      <c r="H125" s="22">
        <v>1700</v>
      </c>
      <c r="I125" s="22">
        <v>2746</v>
      </c>
      <c r="J125" s="22">
        <v>2400</v>
      </c>
      <c r="K125" s="22">
        <v>2040</v>
      </c>
      <c r="L125" s="22">
        <v>2300</v>
      </c>
      <c r="M125" s="22">
        <v>2550</v>
      </c>
      <c r="N125" s="22">
        <v>2700</v>
      </c>
      <c r="O125" s="22">
        <v>2800</v>
      </c>
      <c r="P125" s="22">
        <v>1490</v>
      </c>
      <c r="Q125" s="22">
        <v>3098</v>
      </c>
      <c r="R125" s="22">
        <v>3198</v>
      </c>
      <c r="S125" s="22">
        <v>3298</v>
      </c>
      <c r="T125" s="22">
        <v>3597</v>
      </c>
      <c r="U125" s="22">
        <v>2950</v>
      </c>
      <c r="V125" s="22">
        <v>3550</v>
      </c>
      <c r="W125" s="22">
        <v>3500</v>
      </c>
      <c r="X125" s="22">
        <v>3620</v>
      </c>
      <c r="Y125" s="22">
        <v>3950</v>
      </c>
      <c r="Z125" s="22">
        <v>4420</v>
      </c>
      <c r="AA125" s="22">
        <v>3733</v>
      </c>
      <c r="AB125" s="22">
        <v>4990</v>
      </c>
      <c r="AC125" s="22">
        <v>4100</v>
      </c>
      <c r="AD125" s="22">
        <v>3530</v>
      </c>
      <c r="AE125" s="22">
        <v>4050</v>
      </c>
      <c r="AF125" s="22">
        <v>5470</v>
      </c>
      <c r="AG125" s="22">
        <v>5713</v>
      </c>
      <c r="AH125" s="22">
        <v>4895</v>
      </c>
      <c r="AI125" s="22">
        <v>6400</v>
      </c>
      <c r="AJ125" s="22">
        <v>6515</v>
      </c>
      <c r="AK125" s="22">
        <v>5491</v>
      </c>
      <c r="AL125" s="22">
        <v>6870</v>
      </c>
      <c r="AM125" s="22">
        <v>7385</v>
      </c>
      <c r="AN125" s="22">
        <v>7750</v>
      </c>
      <c r="AO125" s="22">
        <v>7330</v>
      </c>
      <c r="AP125" s="22">
        <v>8152</v>
      </c>
      <c r="AQ125" s="22">
        <v>7997</v>
      </c>
      <c r="AR125" s="22">
        <v>8580</v>
      </c>
      <c r="AS125" s="22">
        <v>8273</v>
      </c>
      <c r="AT125" s="22">
        <v>5722</v>
      </c>
      <c r="AU125" s="22">
        <v>6066</v>
      </c>
      <c r="AV125" s="22">
        <v>8164</v>
      </c>
      <c r="AW125" s="22">
        <v>7899.9999999999991</v>
      </c>
      <c r="AX125" s="22">
        <v>10800</v>
      </c>
      <c r="AY125" s="24">
        <v>8434</v>
      </c>
      <c r="AZ125" s="65"/>
      <c r="BA125" s="19">
        <f>AZ125-AY125</f>
        <v>-8434</v>
      </c>
      <c r="BC125" s="25">
        <f>AY125-AV125</f>
        <v>270</v>
      </c>
      <c r="BD125" s="25">
        <f>AZ125-AV125</f>
        <v>-8164</v>
      </c>
      <c r="BE125" s="21">
        <v>0</v>
      </c>
      <c r="BF125" s="44">
        <f>(AZ125/AV125)-1</f>
        <v>-1</v>
      </c>
      <c r="BT125" s="4">
        <f>AZ125/1000</f>
        <v>0</v>
      </c>
    </row>
    <row r="126" spans="1:72" s="32" customFormat="1" ht="15.75" x14ac:dyDescent="0.25">
      <c r="A126" s="34" t="s">
        <v>61</v>
      </c>
      <c r="B126" s="36">
        <v>2674</v>
      </c>
      <c r="C126" s="36">
        <v>1850</v>
      </c>
      <c r="D126" s="36">
        <v>1820</v>
      </c>
      <c r="E126" s="36">
        <v>2373</v>
      </c>
      <c r="F126" s="36">
        <v>2796</v>
      </c>
      <c r="G126" s="36">
        <v>2375</v>
      </c>
      <c r="H126" s="36">
        <v>1567</v>
      </c>
      <c r="I126" s="36">
        <v>2609</v>
      </c>
      <c r="J126" s="36">
        <v>2256</v>
      </c>
      <c r="K126" s="36">
        <v>1975</v>
      </c>
      <c r="L126" s="36">
        <v>2318</v>
      </c>
      <c r="M126" s="36">
        <v>2468</v>
      </c>
      <c r="N126" s="36">
        <v>2646</v>
      </c>
      <c r="O126" s="36">
        <v>2660</v>
      </c>
      <c r="P126" s="36">
        <v>1564.5</v>
      </c>
      <c r="Q126" s="36">
        <v>3296.3</v>
      </c>
      <c r="R126" s="36">
        <v>3298.5</v>
      </c>
      <c r="S126" s="36">
        <v>3435.4</v>
      </c>
      <c r="T126" s="36">
        <v>3821.8</v>
      </c>
      <c r="U126" s="36">
        <v>2999.9</v>
      </c>
      <c r="V126" s="36">
        <v>3646.2</v>
      </c>
      <c r="W126" s="36">
        <v>2688</v>
      </c>
      <c r="X126" s="36">
        <v>2835.9</v>
      </c>
      <c r="Y126" s="36">
        <v>3257.2</v>
      </c>
      <c r="Z126" s="36">
        <v>3947.1</v>
      </c>
      <c r="AA126" s="36">
        <v>3105.9</v>
      </c>
      <c r="AB126" s="36">
        <v>4234.5</v>
      </c>
      <c r="AC126" s="36">
        <v>3340.3</v>
      </c>
      <c r="AD126" s="36">
        <v>2818.4</v>
      </c>
      <c r="AE126" s="36">
        <v>3178.4</v>
      </c>
      <c r="AF126" s="36">
        <v>3863.5</v>
      </c>
      <c r="AG126" s="36">
        <v>4089.4</v>
      </c>
      <c r="AH126" s="36">
        <v>3265.2</v>
      </c>
      <c r="AI126" s="36">
        <v>3798.4</v>
      </c>
      <c r="AJ126" s="36">
        <v>3571.5</v>
      </c>
      <c r="AK126" s="36">
        <v>2947</v>
      </c>
      <c r="AL126" s="36">
        <v>3359.4</v>
      </c>
      <c r="AM126" s="36">
        <v>3485</v>
      </c>
      <c r="AN126" s="36">
        <v>3189.1</v>
      </c>
      <c r="AO126" s="36">
        <v>2712.1</v>
      </c>
      <c r="AP126" s="36">
        <v>3263.2</v>
      </c>
      <c r="AQ126" s="36">
        <v>2551</v>
      </c>
      <c r="AR126" s="36">
        <v>2874.3</v>
      </c>
      <c r="AS126" s="36">
        <v>2779.7</v>
      </c>
      <c r="AT126" s="36">
        <v>1980.4</v>
      </c>
      <c r="AU126" s="36">
        <v>2145.5</v>
      </c>
      <c r="AV126" s="36">
        <v>2547.1999999999998</v>
      </c>
      <c r="AW126" s="36">
        <v>2370.8000000000002</v>
      </c>
      <c r="AX126" s="36">
        <f>'[1]Corn 3'!AX126+'[1]Corn 2'!AX126+'[1]Corn 1'!AX126</f>
        <v>3111.5</v>
      </c>
      <c r="AY126" s="17">
        <f>'[1]Corn 3'!AY126+'[1]Corn 2'!AY126+'[1]Corn 1'!AY126</f>
        <v>2597.6999999999998</v>
      </c>
      <c r="AZ126" s="65"/>
      <c r="BA126" s="19">
        <f>AZ126-AY126</f>
        <v>-2597.6999999999998</v>
      </c>
      <c r="BB126"/>
      <c r="BC126" s="20">
        <f>AY126-AV126</f>
        <v>50.5</v>
      </c>
      <c r="BD126" s="20">
        <f>AZ126-AV126</f>
        <v>-2547.1999999999998</v>
      </c>
      <c r="BE126" s="21">
        <v>0</v>
      </c>
      <c r="BI126"/>
      <c r="BJ126"/>
      <c r="BK126"/>
      <c r="BL126"/>
      <c r="BM126"/>
      <c r="BN126"/>
      <c r="BT126" s="4">
        <f>AZ126*1000</f>
        <v>0</v>
      </c>
    </row>
    <row r="127" spans="1:72" ht="15.75" x14ac:dyDescent="0.25">
      <c r="A127" s="53" t="s">
        <v>106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41"/>
      <c r="AZ127" s="42"/>
      <c r="BA127" s="43"/>
      <c r="BC127" s="2"/>
      <c r="BD127" s="2"/>
      <c r="BE127" s="33"/>
    </row>
    <row r="128" spans="1:72" ht="15.75" x14ac:dyDescent="0.25">
      <c r="A128" s="34" t="s">
        <v>59</v>
      </c>
      <c r="B128" s="36">
        <v>1673</v>
      </c>
      <c r="C128" s="36">
        <v>1651</v>
      </c>
      <c r="D128" s="36">
        <v>1785</v>
      </c>
      <c r="E128" s="36">
        <v>1863.5</v>
      </c>
      <c r="F128" s="36">
        <v>1819</v>
      </c>
      <c r="G128" s="36">
        <v>1910</v>
      </c>
      <c r="H128" s="36">
        <v>1814.5</v>
      </c>
      <c r="I128" s="36">
        <v>1911</v>
      </c>
      <c r="J128" s="36">
        <v>1758</v>
      </c>
      <c r="K128" s="36">
        <v>1758</v>
      </c>
      <c r="L128" s="36">
        <v>1971.7</v>
      </c>
      <c r="M128" s="36">
        <v>1683</v>
      </c>
      <c r="N128" s="36">
        <v>1582</v>
      </c>
      <c r="O128" s="36">
        <v>1646</v>
      </c>
      <c r="P128" s="36">
        <v>1876.4</v>
      </c>
      <c r="Q128" s="36">
        <v>2010</v>
      </c>
      <c r="R128" s="36">
        <v>1567.8</v>
      </c>
      <c r="S128" s="36">
        <v>1700</v>
      </c>
      <c r="T128" s="36">
        <v>1887</v>
      </c>
      <c r="U128" s="36">
        <v>1754.9</v>
      </c>
      <c r="V128" s="36">
        <v>1649.6</v>
      </c>
      <c r="W128" s="36">
        <v>1501.1</v>
      </c>
      <c r="X128" s="36">
        <v>1471.1</v>
      </c>
      <c r="Y128" s="16">
        <v>1540</v>
      </c>
      <c r="Z128" s="36">
        <v>1663.2</v>
      </c>
      <c r="AA128" s="36">
        <v>1460</v>
      </c>
      <c r="AB128" s="36">
        <v>1408.9</v>
      </c>
      <c r="AC128" s="36">
        <v>1296.2</v>
      </c>
      <c r="AD128" s="36">
        <v>1237.9000000000001</v>
      </c>
      <c r="AE128" s="36">
        <v>1436</v>
      </c>
      <c r="AF128" s="36">
        <v>1385.7</v>
      </c>
      <c r="AG128" s="36">
        <v>1391</v>
      </c>
      <c r="AH128" s="16">
        <v>1388.5</v>
      </c>
      <c r="AI128" s="16">
        <v>1151</v>
      </c>
      <c r="AJ128" s="16">
        <v>1099.2</v>
      </c>
      <c r="AK128" s="16">
        <v>1113.5</v>
      </c>
      <c r="AL128" s="16">
        <v>1033.3</v>
      </c>
      <c r="AM128" s="16">
        <v>1031.2</v>
      </c>
      <c r="AN128" s="16">
        <v>941</v>
      </c>
      <c r="AO128" s="16">
        <v>823</v>
      </c>
      <c r="AP128" s="16">
        <v>804.9</v>
      </c>
      <c r="AQ128" s="16">
        <v>728.4</v>
      </c>
      <c r="AR128" s="16">
        <v>753.9</v>
      </c>
      <c r="AS128" s="16">
        <v>791.4</v>
      </c>
      <c r="AT128" s="16">
        <v>801.7</v>
      </c>
      <c r="AU128" s="16">
        <v>824.1</v>
      </c>
      <c r="AV128" s="16">
        <v>831.5</v>
      </c>
      <c r="AW128" s="16">
        <v>814.9</v>
      </c>
      <c r="AX128" s="16">
        <f>'[1]Corn 3'!AX128+'[1]Corn 2'!AX128+'[1]Corn 1'!AX128</f>
        <v>715.5</v>
      </c>
      <c r="AY128" s="17">
        <f>'[1]Corn 3'!AY128+'[1]Corn 2'!AY128+'[1]Corn 1'!AY128</f>
        <v>817.1</v>
      </c>
      <c r="AZ128" s="65"/>
      <c r="BA128" s="19">
        <f>AZ128-AY128</f>
        <v>-817.1</v>
      </c>
      <c r="BC128" s="20">
        <f>AY128-AV128</f>
        <v>-14.399999999999977</v>
      </c>
      <c r="BD128" s="20">
        <f>AZ128-AV128</f>
        <v>-831.5</v>
      </c>
      <c r="BE128" s="21">
        <v>0</v>
      </c>
    </row>
    <row r="129" spans="1:73" ht="15.75" x14ac:dyDescent="0.25">
      <c r="A129" s="34" t="s">
        <v>60</v>
      </c>
      <c r="B129" s="22">
        <v>1602</v>
      </c>
      <c r="C129" s="22">
        <v>1320</v>
      </c>
      <c r="D129" s="22">
        <v>1014</v>
      </c>
      <c r="E129" s="22">
        <v>1714</v>
      </c>
      <c r="F129" s="22">
        <v>2152</v>
      </c>
      <c r="G129" s="22">
        <v>1648</v>
      </c>
      <c r="H129" s="22">
        <v>1800</v>
      </c>
      <c r="I129" s="22">
        <v>1780</v>
      </c>
      <c r="J129" s="22">
        <v>1700</v>
      </c>
      <c r="K129" s="22">
        <v>1100</v>
      </c>
      <c r="L129" s="22">
        <v>2000</v>
      </c>
      <c r="M129" s="22">
        <v>1570</v>
      </c>
      <c r="N129" s="22">
        <v>2100</v>
      </c>
      <c r="O129" s="22">
        <v>2450</v>
      </c>
      <c r="P129" s="22">
        <v>1175</v>
      </c>
      <c r="Q129" s="22">
        <v>2670</v>
      </c>
      <c r="R129" s="22">
        <v>2770</v>
      </c>
      <c r="S129" s="22">
        <v>2865</v>
      </c>
      <c r="T129" s="22">
        <v>3180</v>
      </c>
      <c r="U129" s="22">
        <v>1800</v>
      </c>
      <c r="V129" s="22">
        <v>2500</v>
      </c>
      <c r="W129" s="22">
        <v>3000</v>
      </c>
      <c r="X129" s="22">
        <v>2230</v>
      </c>
      <c r="Y129" s="22">
        <v>2446</v>
      </c>
      <c r="Z129" s="22">
        <v>3750</v>
      </c>
      <c r="AA129" s="22">
        <v>2675</v>
      </c>
      <c r="AB129" s="22">
        <v>3750</v>
      </c>
      <c r="AC129" s="22">
        <v>2700</v>
      </c>
      <c r="AD129" s="22">
        <v>1269</v>
      </c>
      <c r="AE129" s="22">
        <v>3167</v>
      </c>
      <c r="AF129" s="22">
        <v>4300</v>
      </c>
      <c r="AG129" s="22">
        <v>3826</v>
      </c>
      <c r="AH129" s="22">
        <v>3060</v>
      </c>
      <c r="AI129" s="22">
        <v>4860</v>
      </c>
      <c r="AJ129" s="22">
        <v>5255</v>
      </c>
      <c r="AK129" s="22">
        <v>3002</v>
      </c>
      <c r="AL129" s="22">
        <v>5210</v>
      </c>
      <c r="AM129" s="22">
        <v>5544</v>
      </c>
      <c r="AN129" s="22">
        <v>6560</v>
      </c>
      <c r="AO129" s="22">
        <v>7160</v>
      </c>
      <c r="AP129" s="22">
        <v>7500</v>
      </c>
      <c r="AQ129" s="22">
        <v>6628</v>
      </c>
      <c r="AR129" s="22">
        <v>7651</v>
      </c>
      <c r="AS129" s="22">
        <v>4973</v>
      </c>
      <c r="AT129" s="22">
        <v>5476</v>
      </c>
      <c r="AU129" s="22">
        <v>3520</v>
      </c>
      <c r="AV129" s="22">
        <v>4488</v>
      </c>
      <c r="AW129" s="22">
        <v>5952</v>
      </c>
      <c r="AX129" s="22">
        <v>7590</v>
      </c>
      <c r="AY129" s="24">
        <v>6641.0000000000009</v>
      </c>
      <c r="AZ129" s="65"/>
      <c r="BA129" s="19">
        <f>AZ129-AY129</f>
        <v>-6641.0000000000009</v>
      </c>
      <c r="BC129" s="25">
        <f>AY129-AV129</f>
        <v>2153.0000000000009</v>
      </c>
      <c r="BD129" s="25">
        <f>AZ129-AV129</f>
        <v>-4488</v>
      </c>
      <c r="BE129" s="21">
        <v>0</v>
      </c>
      <c r="BF129" s="44">
        <f>(AZ129/AV129)-1</f>
        <v>-1</v>
      </c>
      <c r="BT129" s="4">
        <f>AZ129/1000</f>
        <v>0</v>
      </c>
    </row>
    <row r="130" spans="1:73" s="32" customFormat="1" ht="15.75" x14ac:dyDescent="0.25">
      <c r="A130" s="34" t="s">
        <v>61</v>
      </c>
      <c r="B130" s="36">
        <v>2680</v>
      </c>
      <c r="C130" s="36">
        <v>2180</v>
      </c>
      <c r="D130" s="36">
        <v>1810</v>
      </c>
      <c r="E130" s="36">
        <v>3194</v>
      </c>
      <c r="F130" s="36">
        <v>3914</v>
      </c>
      <c r="G130" s="36">
        <v>3148</v>
      </c>
      <c r="H130" s="36">
        <v>3266</v>
      </c>
      <c r="I130" s="36">
        <v>3402</v>
      </c>
      <c r="J130" s="36">
        <v>2989</v>
      </c>
      <c r="K130" s="36">
        <v>1934</v>
      </c>
      <c r="L130" s="36">
        <v>3943</v>
      </c>
      <c r="M130" s="36">
        <v>2642</v>
      </c>
      <c r="N130" s="36">
        <v>3322</v>
      </c>
      <c r="O130" s="36">
        <v>4033</v>
      </c>
      <c r="P130" s="36">
        <v>2204.8000000000002</v>
      </c>
      <c r="Q130" s="36">
        <v>5366.7</v>
      </c>
      <c r="R130" s="36">
        <v>4342.8</v>
      </c>
      <c r="S130" s="36">
        <v>4870.5</v>
      </c>
      <c r="T130" s="36">
        <v>6000.7</v>
      </c>
      <c r="U130" s="36">
        <v>3158.8</v>
      </c>
      <c r="V130" s="36">
        <v>4124</v>
      </c>
      <c r="W130" s="36">
        <v>4503.3</v>
      </c>
      <c r="X130" s="36">
        <v>3280.6</v>
      </c>
      <c r="Y130" s="36">
        <v>3766.8</v>
      </c>
      <c r="Z130" s="36">
        <v>6237</v>
      </c>
      <c r="AA130" s="36">
        <v>3905.5</v>
      </c>
      <c r="AB130" s="36">
        <v>5283.4</v>
      </c>
      <c r="AC130" s="36">
        <v>3499.7</v>
      </c>
      <c r="AD130" s="36">
        <v>1570.9</v>
      </c>
      <c r="AE130" s="36">
        <v>4547.8</v>
      </c>
      <c r="AF130" s="36">
        <v>5958.5</v>
      </c>
      <c r="AG130" s="36">
        <v>5322</v>
      </c>
      <c r="AH130" s="36">
        <v>4248.8</v>
      </c>
      <c r="AI130" s="36">
        <v>5593.9</v>
      </c>
      <c r="AJ130" s="36">
        <v>5776.3</v>
      </c>
      <c r="AK130" s="36">
        <v>3342.7</v>
      </c>
      <c r="AL130" s="36">
        <v>5383.5</v>
      </c>
      <c r="AM130" s="36">
        <v>5717</v>
      </c>
      <c r="AN130" s="36">
        <v>6173</v>
      </c>
      <c r="AO130" s="36">
        <v>5892.7</v>
      </c>
      <c r="AP130" s="36">
        <v>6036.8</v>
      </c>
      <c r="AQ130" s="36">
        <v>4827.8</v>
      </c>
      <c r="AR130" s="36">
        <v>5768.1</v>
      </c>
      <c r="AS130" s="36">
        <v>3935.6</v>
      </c>
      <c r="AT130" s="36">
        <v>4390.1000000000004</v>
      </c>
      <c r="AU130" s="36">
        <v>2900.8</v>
      </c>
      <c r="AV130" s="36">
        <v>3731.8</v>
      </c>
      <c r="AW130" s="36">
        <v>4850.3</v>
      </c>
      <c r="AX130" s="36">
        <f>'[1]Corn 3'!AX130+'[1]Corn 2'!AX130+'[1]Corn 1'!AX130</f>
        <v>5430.6</v>
      </c>
      <c r="AY130" s="17">
        <f>'[1]Corn 3'!AY130+'[1]Corn 2'!AY130+'[1]Corn 1'!AY130</f>
        <v>5426.4</v>
      </c>
      <c r="AZ130" s="65"/>
      <c r="BA130" s="19">
        <f>AZ130-AY130</f>
        <v>-5426.4</v>
      </c>
      <c r="BB130"/>
      <c r="BC130" s="20">
        <f>AY130-AV130</f>
        <v>1694.5999999999995</v>
      </c>
      <c r="BD130" s="20">
        <f>AZ130-AV130</f>
        <v>-3731.8</v>
      </c>
      <c r="BE130" s="21">
        <v>0</v>
      </c>
      <c r="BN130"/>
      <c r="BO130"/>
      <c r="BP130"/>
      <c r="BQ130"/>
      <c r="BR130"/>
      <c r="BT130" s="4">
        <f>AZ130*1000</f>
        <v>0</v>
      </c>
      <c r="BU130" s="57">
        <v>0</v>
      </c>
    </row>
    <row r="131" spans="1:73" s="32" customFormat="1" ht="15.75" x14ac:dyDescent="0.25">
      <c r="A131" s="34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17"/>
      <c r="AZ131" s="35"/>
      <c r="BA131" s="19"/>
      <c r="BC131" s="2"/>
      <c r="BD131" s="2"/>
      <c r="BE131" s="33"/>
      <c r="BN131"/>
      <c r="BO131"/>
      <c r="BP131"/>
      <c r="BQ131"/>
      <c r="BR131"/>
      <c r="BT131" s="4"/>
    </row>
    <row r="132" spans="1:73" ht="28.5" x14ac:dyDescent="0.25">
      <c r="A132" s="72" t="s">
        <v>107</v>
      </c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41"/>
      <c r="AZ132" s="42"/>
      <c r="BA132" s="43"/>
      <c r="BC132" s="2"/>
      <c r="BD132" s="2"/>
      <c r="BE132" s="33"/>
    </row>
    <row r="133" spans="1:73" ht="15.75" x14ac:dyDescent="0.25">
      <c r="A133" s="34" t="s">
        <v>59</v>
      </c>
      <c r="B133" s="36">
        <f t="shared" ref="B133:AV133" si="0">B116+B96+B76+B36+B4</f>
        <v>11797.300000000001</v>
      </c>
      <c r="C133" s="36">
        <f t="shared" si="0"/>
        <v>10985.1</v>
      </c>
      <c r="D133" s="36">
        <f t="shared" si="0"/>
        <v>11304.8</v>
      </c>
      <c r="E133" s="36">
        <f t="shared" si="0"/>
        <v>11669.900000000001</v>
      </c>
      <c r="F133" s="36">
        <f t="shared" si="0"/>
        <v>12147.099999999999</v>
      </c>
      <c r="G133" s="36">
        <f t="shared" si="0"/>
        <v>12771.100000000002</v>
      </c>
      <c r="H133" s="36">
        <f t="shared" si="0"/>
        <v>11658.2</v>
      </c>
      <c r="I133" s="36">
        <f t="shared" si="0"/>
        <v>12205.599999999999</v>
      </c>
      <c r="J133" s="36">
        <f t="shared" si="0"/>
        <v>11940.2</v>
      </c>
      <c r="K133" s="36">
        <f t="shared" si="0"/>
        <v>13083.499999999998</v>
      </c>
      <c r="L133" s="36">
        <f t="shared" si="0"/>
        <v>14610.4</v>
      </c>
      <c r="M133" s="36">
        <f t="shared" si="0"/>
        <v>13411.1</v>
      </c>
      <c r="N133" s="36">
        <f t="shared" si="0"/>
        <v>12974.2</v>
      </c>
      <c r="O133" s="36">
        <f t="shared" si="0"/>
        <v>12092.699999999999</v>
      </c>
      <c r="P133" s="36">
        <f t="shared" si="0"/>
        <v>13451.4</v>
      </c>
      <c r="Q133" s="36">
        <f t="shared" si="0"/>
        <v>14027.100000000002</v>
      </c>
      <c r="R133" s="36">
        <f t="shared" si="0"/>
        <v>12436.300000000001</v>
      </c>
      <c r="S133" s="36">
        <f t="shared" si="0"/>
        <v>14151.699999999999</v>
      </c>
      <c r="T133" s="36">
        <f t="shared" si="0"/>
        <v>14282.199999999999</v>
      </c>
      <c r="U133" s="36">
        <f t="shared" si="0"/>
        <v>13756.700000000003</v>
      </c>
      <c r="V133" s="36">
        <f t="shared" si="0"/>
        <v>13798.8</v>
      </c>
      <c r="W133" s="36">
        <f t="shared" si="0"/>
        <v>11391.099999999999</v>
      </c>
      <c r="X133" s="36">
        <f t="shared" si="0"/>
        <v>12513</v>
      </c>
      <c r="Y133" s="16">
        <f t="shared" si="0"/>
        <v>12757.9</v>
      </c>
      <c r="Z133" s="36">
        <f t="shared" si="0"/>
        <v>12972.500000000002</v>
      </c>
      <c r="AA133" s="36">
        <f t="shared" si="0"/>
        <v>12297.8</v>
      </c>
      <c r="AB133" s="36">
        <f t="shared" si="0"/>
        <v>13226.2</v>
      </c>
      <c r="AC133" s="36">
        <f t="shared" si="0"/>
        <v>12783</v>
      </c>
      <c r="AD133" s="36">
        <f t="shared" si="0"/>
        <v>12208.199999999999</v>
      </c>
      <c r="AE133" s="36">
        <f t="shared" si="0"/>
        <v>12963.9</v>
      </c>
      <c r="AF133" s="36">
        <f t="shared" si="0"/>
        <v>14054.9</v>
      </c>
      <c r="AG133" s="36">
        <f t="shared" si="0"/>
        <v>14765.699999999999</v>
      </c>
      <c r="AH133" s="16">
        <f t="shared" si="0"/>
        <v>14171.8</v>
      </c>
      <c r="AI133" s="16">
        <f t="shared" si="0"/>
        <v>12993.900000000001</v>
      </c>
      <c r="AJ133" s="16">
        <f t="shared" si="0"/>
        <v>13806.100000000002</v>
      </c>
      <c r="AK133" s="16">
        <f t="shared" si="0"/>
        <v>15178.1</v>
      </c>
      <c r="AL133" s="16">
        <f t="shared" si="0"/>
        <v>15829.3</v>
      </c>
      <c r="AM133" s="16">
        <f t="shared" si="0"/>
        <v>15828.900000000001</v>
      </c>
      <c r="AN133" s="16">
        <f t="shared" si="0"/>
        <v>15692.9</v>
      </c>
      <c r="AO133" s="16">
        <f t="shared" si="0"/>
        <v>15922.5</v>
      </c>
      <c r="AP133" s="16">
        <f t="shared" si="0"/>
        <v>17591.7</v>
      </c>
      <c r="AQ133" s="16">
        <f t="shared" si="0"/>
        <v>16616.400000000001</v>
      </c>
      <c r="AR133" s="16">
        <f t="shared" si="0"/>
        <v>17492.899999999998</v>
      </c>
      <c r="AS133" s="16">
        <f t="shared" si="0"/>
        <v>18527.3</v>
      </c>
      <c r="AT133" s="16">
        <f t="shared" si="0"/>
        <v>19943.599999999999</v>
      </c>
      <c r="AU133" s="16">
        <f t="shared" si="0"/>
        <v>21580.6</v>
      </c>
      <c r="AV133" s="16">
        <f t="shared" si="0"/>
        <v>22269.200000000001</v>
      </c>
      <c r="AW133" s="16">
        <v>21051.200000000001</v>
      </c>
      <c r="AX133" s="16">
        <f>'[1]Corn 3'!AX133+'[1]Corn 2'!AX133+'[1]Corn 1'!AX133</f>
        <v>21839.9</v>
      </c>
      <c r="AY133" s="17">
        <f>'[1]Corn 3'!AY133+'[1]Corn 2'!AY133+'[1]Corn 1'!AY133</f>
        <v>22721.499999999996</v>
      </c>
      <c r="AZ133" s="16">
        <f>AZ116+AZ96+AZ76+AZ36+AZ4</f>
        <v>14121.1</v>
      </c>
      <c r="BA133" s="19">
        <f>AZ133-AY133</f>
        <v>-8600.399999999996</v>
      </c>
      <c r="BC133" s="73">
        <f>AY133-AV133</f>
        <v>452.29999999999563</v>
      </c>
      <c r="BD133" s="73">
        <f>AZ133-AV133</f>
        <v>-8148.1</v>
      </c>
      <c r="BE133" s="21">
        <v>0</v>
      </c>
    </row>
    <row r="134" spans="1:73" ht="15.75" x14ac:dyDescent="0.25">
      <c r="A134" s="34" t="s">
        <v>60</v>
      </c>
      <c r="B134" s="22">
        <f t="shared" ref="B134:AV134" si="1">B135/B133*1000</f>
        <v>1632.2378849397742</v>
      </c>
      <c r="C134" s="22">
        <f t="shared" si="1"/>
        <v>1276.0011288017406</v>
      </c>
      <c r="D134" s="22">
        <f t="shared" si="1"/>
        <v>1460.7954143372729</v>
      </c>
      <c r="E134" s="22">
        <f t="shared" si="1"/>
        <v>1665.4812809021498</v>
      </c>
      <c r="F134" s="22">
        <f t="shared" si="1"/>
        <v>1752.1877649809421</v>
      </c>
      <c r="G134" s="22">
        <f t="shared" si="1"/>
        <v>1691.7884912027937</v>
      </c>
      <c r="H134" s="22">
        <f t="shared" si="1"/>
        <v>1631.040812475339</v>
      </c>
      <c r="I134" s="22">
        <f t="shared" si="1"/>
        <v>1735.1051976142101</v>
      </c>
      <c r="J134" s="22">
        <f t="shared" si="1"/>
        <v>1773.3371300313227</v>
      </c>
      <c r="K134" s="22">
        <f t="shared" si="1"/>
        <v>1548.8974662743151</v>
      </c>
      <c r="L134" s="22">
        <f t="shared" si="1"/>
        <v>1831.5035864863385</v>
      </c>
      <c r="M134" s="22">
        <f t="shared" si="1"/>
        <v>1880.9046237817927</v>
      </c>
      <c r="N134" s="22">
        <f t="shared" si="1"/>
        <v>2024.5564273712441</v>
      </c>
      <c r="O134" s="22">
        <f t="shared" si="1"/>
        <v>1840.5732384000266</v>
      </c>
      <c r="P134" s="22">
        <f t="shared" si="1"/>
        <v>1791.3451387959617</v>
      </c>
      <c r="Q134" s="22">
        <f t="shared" si="1"/>
        <v>2193.6964875134558</v>
      </c>
      <c r="R134" s="22">
        <f t="shared" si="1"/>
        <v>2348.5843860312148</v>
      </c>
      <c r="S134" s="22">
        <f t="shared" si="1"/>
        <v>2344.1494661418769</v>
      </c>
      <c r="T134" s="22">
        <f t="shared" si="1"/>
        <v>2621.5779081654091</v>
      </c>
      <c r="U134" s="22">
        <f t="shared" si="1"/>
        <v>2355.55765554239</v>
      </c>
      <c r="V134" s="22">
        <f t="shared" si="1"/>
        <v>2588.3120271327948</v>
      </c>
      <c r="W134" s="22">
        <f t="shared" si="1"/>
        <v>2650.1215861505916</v>
      </c>
      <c r="X134" s="22">
        <f t="shared" si="1"/>
        <v>2588.7796691440899</v>
      </c>
      <c r="Y134" s="22">
        <f t="shared" si="1"/>
        <v>2480.0711715878006</v>
      </c>
      <c r="Z134" s="22">
        <f t="shared" si="1"/>
        <v>3259.9498940065519</v>
      </c>
      <c r="AA134" s="22">
        <f t="shared" si="1"/>
        <v>2867.7324399486083</v>
      </c>
      <c r="AB134" s="22">
        <f t="shared" si="1"/>
        <v>3584.6199210657633</v>
      </c>
      <c r="AC134" s="22">
        <f t="shared" si="1"/>
        <v>3295.6661190643817</v>
      </c>
      <c r="AD134" s="22">
        <f t="shared" si="1"/>
        <v>2867.4743205386549</v>
      </c>
      <c r="AE134" s="22">
        <f t="shared" si="1"/>
        <v>3279.4837973140802</v>
      </c>
      <c r="AF134" s="22">
        <f t="shared" si="1"/>
        <v>3654.9317319938241</v>
      </c>
      <c r="AG134" s="22">
        <f t="shared" si="1"/>
        <v>3972.1990830099494</v>
      </c>
      <c r="AH134" s="22">
        <f t="shared" si="1"/>
        <v>3598.9641400527812</v>
      </c>
      <c r="AI134" s="22">
        <f t="shared" si="1"/>
        <v>4311.1075196823122</v>
      </c>
      <c r="AJ134" s="22">
        <f t="shared" si="1"/>
        <v>4158.0822969556921</v>
      </c>
      <c r="AK134" s="22">
        <f t="shared" si="1"/>
        <v>4808.2105138324296</v>
      </c>
      <c r="AL134" s="22">
        <f t="shared" si="1"/>
        <v>5149.0400712602586</v>
      </c>
      <c r="AM134" s="22">
        <f t="shared" si="1"/>
        <v>5057.3128897143824</v>
      </c>
      <c r="AN134" s="22">
        <f t="shared" si="1"/>
        <v>5395.5865391355328</v>
      </c>
      <c r="AO134" s="22">
        <f t="shared" si="1"/>
        <v>4178.4016329094047</v>
      </c>
      <c r="AP134" s="22">
        <f t="shared" si="1"/>
        <v>5561.8729287106989</v>
      </c>
      <c r="AQ134" s="22">
        <f t="shared" si="1"/>
        <v>4857.2193736308709</v>
      </c>
      <c r="AR134" s="22">
        <f t="shared" si="1"/>
        <v>5719.0460129538287</v>
      </c>
      <c r="AS134" s="22">
        <f t="shared" si="1"/>
        <v>5537.0399356625094</v>
      </c>
      <c r="AT134" s="22">
        <f t="shared" si="1"/>
        <v>4367.1553781664288</v>
      </c>
      <c r="AU134" s="22">
        <f t="shared" si="1"/>
        <v>5242.2268148244257</v>
      </c>
      <c r="AV134" s="22">
        <f t="shared" si="1"/>
        <v>5922.6465252456301</v>
      </c>
      <c r="AW134" s="22">
        <v>5486.6279594512434</v>
      </c>
      <c r="AX134" s="22">
        <v>6460.4332116905298</v>
      </c>
      <c r="AY134" s="24">
        <v>6110.3707281649549</v>
      </c>
      <c r="AZ134" s="65"/>
      <c r="BA134" s="19">
        <f>AZ134-AY134</f>
        <v>-6110.3707281649549</v>
      </c>
      <c r="BC134" s="25">
        <f>AY134-AV134</f>
        <v>187.72420291932485</v>
      </c>
      <c r="BD134" s="25">
        <f>AZ134-AV134</f>
        <v>-5922.6465252456301</v>
      </c>
      <c r="BE134" s="21">
        <v>0</v>
      </c>
      <c r="BF134" s="44">
        <f>(AZ134/AV134)-1</f>
        <v>-1</v>
      </c>
      <c r="BT134" s="4">
        <f>AZ134/1000</f>
        <v>0</v>
      </c>
    </row>
    <row r="135" spans="1:73" ht="16.5" thickBot="1" x14ac:dyDescent="0.3">
      <c r="A135" s="34" t="s">
        <v>61</v>
      </c>
      <c r="B135" s="36">
        <f>((B118+B98+B78+B38+B6)*1000)/1000</f>
        <v>19256</v>
      </c>
      <c r="C135" s="36">
        <f t="shared" ref="C135:AV135" si="2">((C118+C98+C78+C38+C6)*1000)/1000</f>
        <v>14017</v>
      </c>
      <c r="D135" s="36">
        <f t="shared" si="2"/>
        <v>16514</v>
      </c>
      <c r="E135" s="36">
        <f t="shared" si="2"/>
        <v>19436</v>
      </c>
      <c r="F135" s="36">
        <f t="shared" si="2"/>
        <v>21284</v>
      </c>
      <c r="G135" s="36">
        <f t="shared" si="2"/>
        <v>21606</v>
      </c>
      <c r="H135" s="36">
        <f t="shared" si="2"/>
        <v>19015</v>
      </c>
      <c r="I135" s="36">
        <f t="shared" si="2"/>
        <v>21178</v>
      </c>
      <c r="J135" s="36">
        <f t="shared" si="2"/>
        <v>21174</v>
      </c>
      <c r="K135" s="36">
        <f t="shared" si="2"/>
        <v>20265</v>
      </c>
      <c r="L135" s="36">
        <f t="shared" si="2"/>
        <v>26759</v>
      </c>
      <c r="M135" s="36">
        <f t="shared" si="2"/>
        <v>25225</v>
      </c>
      <c r="N135" s="36">
        <f t="shared" si="2"/>
        <v>26267</v>
      </c>
      <c r="O135" s="36">
        <f t="shared" si="2"/>
        <v>22257.5</v>
      </c>
      <c r="P135" s="36">
        <f t="shared" si="2"/>
        <v>24096.1</v>
      </c>
      <c r="Q135" s="36">
        <f t="shared" si="2"/>
        <v>30771.200000000001</v>
      </c>
      <c r="R135" s="36">
        <f t="shared" si="2"/>
        <v>29207.7</v>
      </c>
      <c r="S135" s="36">
        <f t="shared" si="2"/>
        <v>33173.699999999997</v>
      </c>
      <c r="T135" s="36">
        <f t="shared" si="2"/>
        <v>37441.9</v>
      </c>
      <c r="U135" s="36">
        <f t="shared" si="2"/>
        <v>32404.7</v>
      </c>
      <c r="V135" s="36">
        <f t="shared" si="2"/>
        <v>35715.600000000006</v>
      </c>
      <c r="W135" s="36">
        <f t="shared" si="2"/>
        <v>30187.8</v>
      </c>
      <c r="X135" s="36">
        <f t="shared" si="2"/>
        <v>32393.4</v>
      </c>
      <c r="Y135" s="36">
        <f t="shared" si="2"/>
        <v>31640.5</v>
      </c>
      <c r="Z135" s="36">
        <f t="shared" si="2"/>
        <v>42289.7</v>
      </c>
      <c r="AA135" s="36">
        <f t="shared" si="2"/>
        <v>35266.799999999996</v>
      </c>
      <c r="AB135" s="36">
        <f t="shared" si="2"/>
        <v>47410.9</v>
      </c>
      <c r="AC135" s="36">
        <f t="shared" si="2"/>
        <v>42128.499999999993</v>
      </c>
      <c r="AD135" s="36">
        <f t="shared" si="2"/>
        <v>35006.700000000004</v>
      </c>
      <c r="AE135" s="36">
        <f t="shared" si="2"/>
        <v>42514.9</v>
      </c>
      <c r="AF135" s="36">
        <f t="shared" si="2"/>
        <v>51369.7</v>
      </c>
      <c r="AG135" s="36">
        <f t="shared" si="2"/>
        <v>58652.3</v>
      </c>
      <c r="AH135" s="36">
        <f t="shared" si="2"/>
        <v>51003.8</v>
      </c>
      <c r="AI135" s="36">
        <f t="shared" si="2"/>
        <v>56018.1</v>
      </c>
      <c r="AJ135" s="36">
        <f t="shared" si="2"/>
        <v>57406.899999999994</v>
      </c>
      <c r="AK135" s="36">
        <f t="shared" si="2"/>
        <v>72979.5</v>
      </c>
      <c r="AL135" s="36">
        <f t="shared" si="2"/>
        <v>81505.700000000012</v>
      </c>
      <c r="AM135" s="36">
        <f t="shared" si="2"/>
        <v>80051.7</v>
      </c>
      <c r="AN135" s="36">
        <f t="shared" si="2"/>
        <v>84672.4</v>
      </c>
      <c r="AO135" s="36">
        <f t="shared" si="2"/>
        <v>66530.600000000006</v>
      </c>
      <c r="AP135" s="36">
        <f t="shared" si="2"/>
        <v>97842.8</v>
      </c>
      <c r="AQ135" s="36">
        <f t="shared" si="2"/>
        <v>80709.500000000015</v>
      </c>
      <c r="AR135" s="36">
        <f t="shared" si="2"/>
        <v>100042.70000000001</v>
      </c>
      <c r="AS135" s="36">
        <f t="shared" si="2"/>
        <v>102586.40000000001</v>
      </c>
      <c r="AT135" s="36">
        <f t="shared" si="2"/>
        <v>87096.799999999988</v>
      </c>
      <c r="AU135" s="36">
        <f t="shared" si="2"/>
        <v>113130.4</v>
      </c>
      <c r="AV135" s="36">
        <f t="shared" si="2"/>
        <v>131892.6</v>
      </c>
      <c r="AW135" s="36">
        <v>115500</v>
      </c>
      <c r="AX135" s="36">
        <f>'[1]Corn 3'!AX135+'[1]Corn 2'!AX135+'[1]Corn 1'!AX135</f>
        <v>141095</v>
      </c>
      <c r="AY135" s="74">
        <f>'[1]Corn 3'!AY135+'[1]Corn 2'!AY135+'[1]Corn 1'!AY135</f>
        <v>138836.80000000002</v>
      </c>
      <c r="AZ135" s="75"/>
      <c r="BA135" s="19">
        <f>AZ135-AY135</f>
        <v>-138836.80000000002</v>
      </c>
      <c r="BC135" s="73">
        <f>AY135-AV135</f>
        <v>6944.2000000000116</v>
      </c>
      <c r="BD135" s="73">
        <f>AZ135-AV135</f>
        <v>-131892.6</v>
      </c>
      <c r="BE135" s="21">
        <v>0</v>
      </c>
      <c r="BT135" s="4">
        <f>AZ135*1000</f>
        <v>0</v>
      </c>
    </row>
    <row r="136" spans="1:73" ht="15.75" thickTop="1" x14ac:dyDescent="0.25">
      <c r="A136" s="76" t="s">
        <v>108</v>
      </c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8">
        <f>AY133-AS133</f>
        <v>4194.1999999999971</v>
      </c>
      <c r="AT136" s="77"/>
      <c r="AU136" s="77"/>
      <c r="AV136" s="77"/>
      <c r="AW136" s="77"/>
      <c r="AX136" s="77"/>
      <c r="AY136" s="77"/>
      <c r="AZ136" s="79">
        <f>(AZ135/AV135)-1</f>
        <v>-1</v>
      </c>
      <c r="BA136" s="77"/>
      <c r="BC136" s="2"/>
      <c r="BD136" s="2"/>
      <c r="BE136" s="2"/>
    </row>
    <row r="137" spans="1:73" x14ac:dyDescent="0.25">
      <c r="A137" s="8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C137" s="2"/>
      <c r="BD137" s="2"/>
      <c r="BE137" s="2"/>
    </row>
    <row r="138" spans="1:73" x14ac:dyDescent="0.25">
      <c r="A138" s="8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>
        <v>1000000</v>
      </c>
      <c r="AU138" s="2"/>
      <c r="AV138" s="2"/>
      <c r="AW138" s="2"/>
      <c r="AX138" s="2"/>
      <c r="AY138" s="2"/>
      <c r="AZ138" s="81">
        <v>0</v>
      </c>
      <c r="BA138" s="2"/>
      <c r="BC138" s="2"/>
      <c r="BD138" s="2"/>
      <c r="BE138" s="2"/>
    </row>
    <row r="139" spans="1:73" x14ac:dyDescent="0.25">
      <c r="AZ139" s="62">
        <v>0</v>
      </c>
      <c r="BA139" s="62">
        <v>0</v>
      </c>
    </row>
    <row r="140" spans="1:73" x14ac:dyDescent="0.25">
      <c r="AY140">
        <v>19700</v>
      </c>
      <c r="BA140" s="62">
        <v>0</v>
      </c>
    </row>
    <row r="141" spans="1:73" x14ac:dyDescent="0.25">
      <c r="AY141" s="62" t="e">
        <f>(AY140/AZ135)</f>
        <v>#DIV/0!</v>
      </c>
      <c r="AZ141" s="62">
        <f>AZ134/60</f>
        <v>0</v>
      </c>
    </row>
    <row r="142" spans="1:73" x14ac:dyDescent="0.25">
      <c r="AZ142">
        <v>67</v>
      </c>
    </row>
    <row r="143" spans="1:73" x14ac:dyDescent="0.25">
      <c r="AZ143" s="62" t="e">
        <f>(AZ142/AZ141)-1</f>
        <v>#DIV/0!</v>
      </c>
      <c r="BA143">
        <v>4.25</v>
      </c>
    </row>
    <row r="144" spans="1:73" x14ac:dyDescent="0.25">
      <c r="BA144">
        <v>13.25</v>
      </c>
    </row>
    <row r="145" spans="53:53" x14ac:dyDescent="0.25">
      <c r="BA145">
        <f>(BA144/BA143)-1</f>
        <v>2.1176470588235294</v>
      </c>
    </row>
    <row r="146" spans="53:53" x14ac:dyDescent="0.25"/>
    <row r="147" spans="53:53" x14ac:dyDescent="0.25"/>
    <row r="148" spans="53:53" x14ac:dyDescent="0.25"/>
    <row r="149" spans="53:53" x14ac:dyDescent="0.25"/>
    <row r="150" spans="53:53" x14ac:dyDescent="0.25"/>
    <row r="151" spans="53:53" x14ac:dyDescent="0.25"/>
    <row r="152" spans="53:53" x14ac:dyDescent="0.25"/>
    <row r="153" spans="53:53" x14ac:dyDescent="0.25"/>
    <row r="154" spans="53:53" x14ac:dyDescent="0.25"/>
    <row r="155" spans="53:53" x14ac:dyDescent="0.25"/>
    <row r="156" spans="53:53" x14ac:dyDescent="0.25"/>
    <row r="157" spans="53:53" x14ac:dyDescent="0.25"/>
    <row r="158" spans="53:53" x14ac:dyDescent="0.25"/>
    <row r="159" spans="53:53" x14ac:dyDescent="0.25"/>
    <row r="160" spans="53:53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mergeCells count="4">
    <mergeCell ref="BC1:BC3"/>
    <mergeCell ref="BD1:BD3"/>
    <mergeCell ref="BE1:BE3"/>
    <mergeCell ref="AY2:BA2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789DC686-7FA1-4357-B719-A6C0D93836CD}">
          <x14:colorSeries rgb="FF376092"/>
          <x14:sparklines>
            <x14:sparkline>
              <xm:f>'Corn Total'!Y4:AY4</xm:f>
              <xm:sqref>BB4</xm:sqref>
            </x14:sparkline>
          </x14:sparklines>
        </x14:sparklineGroup>
        <x14:sparklineGroup manualMax="0" manualMin="0" displayEmptyCellsAs="gap" xr2:uid="{16991A34-E5CB-4CFC-8A99-C652576CF16F}">
          <x14:colorSeries rgb="FF376092"/>
          <x14:sparklines>
            <x14:sparkline>
              <xm:f>'Corn Total'!Y5:AY5</xm:f>
              <xm:sqref>BB5</xm:sqref>
            </x14:sparkline>
          </x14:sparklines>
        </x14:sparklineGroup>
        <x14:sparklineGroup manualMax="0" manualMin="0" displayEmptyCellsAs="gap" xr2:uid="{29B065F7-62E5-4EAC-A186-67A5290F7A0B}">
          <x14:colorSeries rgb="FF376092"/>
          <x14:sparklines>
            <x14:sparkline>
              <xm:f>'Corn Total'!Y6:AY6</xm:f>
              <xm:sqref>BB6</xm:sqref>
            </x14:sparkline>
          </x14:sparklines>
        </x14:sparklineGroup>
        <x14:sparklineGroup manualMax="0" manualMin="0" displayEmptyCellsAs="gap" xr2:uid="{092D9D9F-C9DB-4B76-8183-1BF1DFBF6A43}">
          <x14:colorSeries rgb="FF376092"/>
          <x14:sparklines>
            <x14:sparkline>
              <xm:f>'Corn Total'!Y8:AY8</xm:f>
              <xm:sqref>BB8</xm:sqref>
            </x14:sparkline>
          </x14:sparklines>
        </x14:sparklineGroup>
        <x14:sparklineGroup manualMax="0" manualMin="0" displayEmptyCellsAs="gap" xr2:uid="{7B9D4907-A09A-497F-9E1D-BC978B1E7834}">
          <x14:colorSeries rgb="FF376092"/>
          <x14:sparklines>
            <x14:sparkline>
              <xm:f>'Corn Total'!Y9:AY9</xm:f>
              <xm:sqref>BB9</xm:sqref>
            </x14:sparkline>
          </x14:sparklines>
        </x14:sparklineGroup>
        <x14:sparklineGroup manualMax="0" manualMin="0" displayEmptyCellsAs="gap" xr2:uid="{1779DE75-9F4E-4B68-B114-765B4119518B}">
          <x14:colorSeries rgb="FF376092"/>
          <x14:sparklines>
            <x14:sparkline>
              <xm:f>'Corn Total'!Y10:AY10</xm:f>
              <xm:sqref>BB10</xm:sqref>
            </x14:sparkline>
          </x14:sparklines>
        </x14:sparklineGroup>
        <x14:sparklineGroup manualMax="0" manualMin="0" displayEmptyCellsAs="gap" xr2:uid="{4112884B-7542-4686-B60A-7CFF58280396}">
          <x14:colorSeries rgb="FF376092"/>
          <x14:sparklines>
            <x14:sparkline>
              <xm:f>'Corn Total'!Y12:AY12</xm:f>
              <xm:sqref>BB12</xm:sqref>
            </x14:sparkline>
          </x14:sparklines>
        </x14:sparklineGroup>
        <x14:sparklineGroup manualMax="0" manualMin="0" displayEmptyCellsAs="gap" xr2:uid="{530697D3-C802-4326-90CC-091A59F94F03}">
          <x14:colorSeries rgb="FF376092"/>
          <x14:sparklines>
            <x14:sparkline>
              <xm:f>'Corn Total'!Y13:AY13</xm:f>
              <xm:sqref>BB13</xm:sqref>
            </x14:sparkline>
          </x14:sparklines>
        </x14:sparklineGroup>
        <x14:sparklineGroup manualMax="0" manualMin="0" displayEmptyCellsAs="gap" xr2:uid="{0259DA92-54FE-4EE5-8AF4-68172BE417DB}">
          <x14:colorSeries rgb="FF376092"/>
          <x14:sparklines>
            <x14:sparkline>
              <xm:f>'Corn Total'!Y14:AY14</xm:f>
              <xm:sqref>BB14</xm:sqref>
            </x14:sparkline>
          </x14:sparklines>
        </x14:sparklineGroup>
        <x14:sparklineGroup manualMax="0" manualMin="0" displayEmptyCellsAs="gap" xr2:uid="{2AD49A4F-7DDC-4A97-AD0F-C55C6D1E3428}">
          <x14:colorSeries rgb="FF376092"/>
          <x14:sparklines>
            <x14:sparkline>
              <xm:f>'Corn Total'!Y16:AY16</xm:f>
              <xm:sqref>BB16</xm:sqref>
            </x14:sparkline>
          </x14:sparklines>
        </x14:sparklineGroup>
        <x14:sparklineGroup manualMax="0" manualMin="0" displayEmptyCellsAs="gap" xr2:uid="{E1D144A8-0536-43DD-82DF-AD06D32BBC35}">
          <x14:colorSeries rgb="FF376092"/>
          <x14:sparklines>
            <x14:sparkline>
              <xm:f>'Corn Total'!Y17:AY17</xm:f>
              <xm:sqref>BB17</xm:sqref>
            </x14:sparkline>
          </x14:sparklines>
        </x14:sparklineGroup>
        <x14:sparklineGroup manualMax="0" manualMin="0" displayEmptyCellsAs="gap" xr2:uid="{98E3FCB0-47E2-416A-997A-BD4F574A9D29}">
          <x14:colorSeries rgb="FF376092"/>
          <x14:sparklines>
            <x14:sparkline>
              <xm:f>'Corn Total'!Y18:AY18</xm:f>
              <xm:sqref>BB18</xm:sqref>
            </x14:sparkline>
          </x14:sparklines>
        </x14:sparklineGroup>
        <x14:sparklineGroup manualMax="0" manualMin="0" displayEmptyCellsAs="gap" xr2:uid="{BC12049A-45E1-4063-A83F-62ADB70CB521}">
          <x14:colorSeries rgb="FF376092"/>
          <x14:sparklines>
            <x14:sparkline>
              <xm:f>'Corn Total'!Y20:AY20</xm:f>
              <xm:sqref>BB20</xm:sqref>
            </x14:sparkline>
          </x14:sparklines>
        </x14:sparklineGroup>
        <x14:sparklineGroup manualMax="0" manualMin="0" displayEmptyCellsAs="gap" xr2:uid="{B2A9EE71-56BD-4F7F-8507-318A565F07BC}">
          <x14:colorSeries rgb="FF376092"/>
          <x14:sparklines>
            <x14:sparkline>
              <xm:f>'Corn Total'!Y21:AY21</xm:f>
              <xm:sqref>BB21</xm:sqref>
            </x14:sparkline>
          </x14:sparklines>
        </x14:sparklineGroup>
        <x14:sparklineGroup manualMax="0" manualMin="0" displayEmptyCellsAs="gap" xr2:uid="{E7AFC303-1101-4C5C-B805-2737DA471A3D}">
          <x14:colorSeries rgb="FF376092"/>
          <x14:sparklines>
            <x14:sparkline>
              <xm:f>'Corn Total'!Y24:AY24</xm:f>
              <xm:sqref>BB24</xm:sqref>
            </x14:sparkline>
          </x14:sparklines>
        </x14:sparklineGroup>
        <x14:sparklineGroup manualMax="0" manualMin="0" displayEmptyCellsAs="gap" xr2:uid="{F55D066A-D20C-4228-AD46-C201CA8641BF}">
          <x14:colorSeries rgb="FF376092"/>
          <x14:sparklines>
            <x14:sparkline>
              <xm:f>'Corn Total'!Y25:AY25</xm:f>
              <xm:sqref>BB25</xm:sqref>
            </x14:sparkline>
          </x14:sparklines>
        </x14:sparklineGroup>
        <x14:sparklineGroup manualMax="0" manualMin="0" displayEmptyCellsAs="gap" xr2:uid="{7967192A-8D57-4465-8F4E-E1CF8D0A82A9}">
          <x14:colorSeries rgb="FF376092"/>
          <x14:sparklines>
            <x14:sparkline>
              <xm:f>'Corn Total'!Y26:AY26</xm:f>
              <xm:sqref>BB26</xm:sqref>
            </x14:sparkline>
            <x14:sparkline>
              <xm:f>'Corn Total'!Y27:AY27</xm:f>
              <xm:sqref>BB27</xm:sqref>
            </x14:sparkline>
          </x14:sparklines>
        </x14:sparklineGroup>
        <x14:sparklineGroup manualMax="0" manualMin="0" displayEmptyCellsAs="gap" xr2:uid="{5AB2843E-5220-4EAD-9DA7-38A327E8BF9B}">
          <x14:colorSeries rgb="FF376092"/>
          <x14:sparklines>
            <x14:sparkline>
              <xm:f>'Corn Total'!Y28:AY28</xm:f>
              <xm:sqref>BB28</xm:sqref>
            </x14:sparkline>
          </x14:sparklines>
        </x14:sparklineGroup>
        <x14:sparklineGroup manualMax="0" manualMin="0" displayEmptyCellsAs="gap" xr2:uid="{4C6FCF68-C0D1-4DDB-9F98-C46FC2484219}">
          <x14:colorSeries rgb="FF376092"/>
          <x14:sparklines>
            <x14:sparkline>
              <xm:f>'Corn Total'!Y29:AY29</xm:f>
              <xm:sqref>BB29</xm:sqref>
            </x14:sparkline>
          </x14:sparklines>
        </x14:sparklineGroup>
        <x14:sparklineGroup manualMax="0" manualMin="0" displayEmptyCellsAs="gap" xr2:uid="{30F8BBA9-EDDD-4B32-87DB-DBB79DBF7236}">
          <x14:colorSeries rgb="FF376092"/>
          <x14:sparklines>
            <x14:sparkline>
              <xm:f>'Corn Total'!Y30:AY30</xm:f>
              <xm:sqref>BB30</xm:sqref>
            </x14:sparkline>
          </x14:sparklines>
        </x14:sparklineGroup>
        <x14:sparklineGroup manualMax="0" manualMin="0" displayEmptyCellsAs="gap" xr2:uid="{6274624F-9828-4232-AD0D-E51090C85008}">
          <x14:colorSeries rgb="FF376092"/>
          <x14:sparklines>
            <x14:sparkline>
              <xm:f>'Corn Total'!Y32:AY32</xm:f>
              <xm:sqref>BB32</xm:sqref>
            </x14:sparkline>
          </x14:sparklines>
        </x14:sparklineGroup>
        <x14:sparklineGroup manualMax="0" manualMin="0" displayEmptyCellsAs="gap" xr2:uid="{A96AE05F-1B71-4786-B23A-9B2AEF0D3BE0}">
          <x14:colorSeries rgb="FF376092"/>
          <x14:sparklines>
            <x14:sparkline>
              <xm:f>'Corn Total'!Y33:AY33</xm:f>
              <xm:sqref>BB33</xm:sqref>
            </x14:sparkline>
          </x14:sparklines>
        </x14:sparklineGroup>
        <x14:sparklineGroup manualMax="0" manualMin="0" displayEmptyCellsAs="gap" xr2:uid="{47F8F97E-549E-4D00-8DEA-19F2B71A6C1A}">
          <x14:colorSeries rgb="FF376092"/>
          <x14:sparklines>
            <x14:sparkline>
              <xm:f>'Corn Total'!Y34:AY34</xm:f>
              <xm:sqref>BB34</xm:sqref>
            </x14:sparkline>
          </x14:sparklines>
        </x14:sparklineGroup>
        <x14:sparklineGroup manualMax="0" manualMin="0" displayEmptyCellsAs="gap" xr2:uid="{F8A0FC1F-D738-4A5D-B901-94008FFB2B19}">
          <x14:colorSeries rgb="FF376092"/>
          <x14:sparklines>
            <x14:sparkline>
              <xm:f>'Corn Total'!Y36:AY36</xm:f>
              <xm:sqref>BB36</xm:sqref>
            </x14:sparkline>
          </x14:sparklines>
        </x14:sparklineGroup>
        <x14:sparklineGroup manualMax="0" manualMin="0" displayEmptyCellsAs="gap" xr2:uid="{7947A0D4-1E22-435D-AAF8-AFD9E1ECD03B}">
          <x14:colorSeries rgb="FF376092"/>
          <x14:sparklines>
            <x14:sparkline>
              <xm:f>'Corn Total'!Y37:AY37</xm:f>
              <xm:sqref>BB37</xm:sqref>
            </x14:sparkline>
          </x14:sparklines>
        </x14:sparklineGroup>
        <x14:sparklineGroup manualMax="0" manualMin="0" displayEmptyCellsAs="gap" xr2:uid="{AABBC884-A772-4D79-8500-9E9F4BFF0219}">
          <x14:colorSeries rgb="FF376092"/>
          <x14:sparklines>
            <x14:sparkline>
              <xm:f>'Corn Total'!Y38:AY38</xm:f>
              <xm:sqref>BB38</xm:sqref>
            </x14:sparkline>
          </x14:sparklines>
        </x14:sparklineGroup>
        <x14:sparklineGroup manualMax="0" manualMin="0" displayEmptyCellsAs="gap" xr2:uid="{A7D42D54-AAB1-498F-8B8C-7F6B05C0FC8F}">
          <x14:colorSeries rgb="FF376092"/>
          <x14:sparklines>
            <x14:sparkline>
              <xm:f>'Corn Total'!Y40:AY40</xm:f>
              <xm:sqref>BB40</xm:sqref>
            </x14:sparkline>
          </x14:sparklines>
        </x14:sparklineGroup>
        <x14:sparklineGroup manualMax="0" manualMin="0" displayEmptyCellsAs="gap" xr2:uid="{543DC400-0B59-4306-987E-FE43FEECA3F4}">
          <x14:colorSeries rgb="FF376092"/>
          <x14:sparklines>
            <x14:sparkline>
              <xm:f>'Corn Total'!Y41:AY41</xm:f>
              <xm:sqref>BB41</xm:sqref>
            </x14:sparkline>
          </x14:sparklines>
        </x14:sparklineGroup>
        <x14:sparklineGroup manualMax="0" manualMin="0" displayEmptyCellsAs="gap" xr2:uid="{04B7C546-2995-4A60-A5F3-B5CFCD9B5AE2}">
          <x14:colorSeries rgb="FF376092"/>
          <x14:sparklines>
            <x14:sparkline>
              <xm:f>'Corn Total'!Y42:AY42</xm:f>
              <xm:sqref>BB42</xm:sqref>
            </x14:sparkline>
          </x14:sparklines>
        </x14:sparklineGroup>
        <x14:sparklineGroup manualMax="0" manualMin="0" displayEmptyCellsAs="gap" xr2:uid="{D484A784-1A5C-4C11-AC65-680078ACA06F}">
          <x14:colorSeries rgb="FF376092"/>
          <x14:sparklines>
            <x14:sparkline>
              <xm:f>'Corn Total'!Y44:AY44</xm:f>
              <xm:sqref>BB44</xm:sqref>
            </x14:sparkline>
          </x14:sparklines>
        </x14:sparklineGroup>
        <x14:sparklineGroup manualMax="0" manualMin="0" displayEmptyCellsAs="gap" xr2:uid="{CE378755-EA57-4B7C-A2A5-35A56AC965DF}">
          <x14:colorSeries rgb="FF376092"/>
          <x14:sparklines>
            <x14:sparkline>
              <xm:f>'Corn Total'!Y45:AY45</xm:f>
              <xm:sqref>BB45</xm:sqref>
            </x14:sparkline>
          </x14:sparklines>
        </x14:sparklineGroup>
        <x14:sparklineGroup manualMax="0" manualMin="0" displayEmptyCellsAs="gap" xr2:uid="{EDF535AB-0621-4514-8AD6-E50479C791C8}">
          <x14:colorSeries rgb="FF376092"/>
          <x14:sparklines>
            <x14:sparkline>
              <xm:f>'Corn Total'!Y46:AY46</xm:f>
              <xm:sqref>BB46</xm:sqref>
            </x14:sparkline>
          </x14:sparklines>
        </x14:sparklineGroup>
        <x14:sparklineGroup manualMax="0" manualMin="0" displayEmptyCellsAs="gap" xr2:uid="{E05DFEBD-78A6-4F25-B089-5181D0945188}">
          <x14:colorSeries rgb="FF376092"/>
          <x14:sparklines>
            <x14:sparkline>
              <xm:f>'Corn Total'!Y48:AY48</xm:f>
              <xm:sqref>BB48</xm:sqref>
            </x14:sparkline>
          </x14:sparklines>
        </x14:sparklineGroup>
        <x14:sparklineGroup manualMax="0" manualMin="0" displayEmptyCellsAs="gap" xr2:uid="{EFEFE80A-A4CD-49D8-A3C8-30855A2D1193}">
          <x14:colorSeries rgb="FF376092"/>
          <x14:sparklines>
            <x14:sparkline>
              <xm:f>'Corn Total'!Y49:AY49</xm:f>
              <xm:sqref>BB49</xm:sqref>
            </x14:sparkline>
          </x14:sparklines>
        </x14:sparklineGroup>
        <x14:sparklineGroup manualMax="0" manualMin="0" displayEmptyCellsAs="gap" xr2:uid="{C7EF1773-4855-4D73-B15C-B893638372D4}">
          <x14:colorSeries rgb="FF376092"/>
          <x14:sparklines>
            <x14:sparkline>
              <xm:f>'Corn Total'!Y50:AY50</xm:f>
              <xm:sqref>BB50</xm:sqref>
            </x14:sparkline>
            <x14:sparkline>
              <xm:f>'Corn Total'!Y51:AY51</xm:f>
              <xm:sqref>BB51</xm:sqref>
            </x14:sparkline>
            <x14:sparkline>
              <xm:f>'Corn Total'!Y52:AY52</xm:f>
              <xm:sqref>BB52</xm:sqref>
            </x14:sparkline>
            <x14:sparkline>
              <xm:f>'Corn Total'!Y53:AY53</xm:f>
              <xm:sqref>BB53</xm:sqref>
            </x14:sparkline>
            <x14:sparkline>
              <xm:f>'Corn Total'!Y54:AY54</xm:f>
              <xm:sqref>BB54</xm:sqref>
            </x14:sparkline>
            <x14:sparkline>
              <xm:f>'Corn Total'!Y55:AY55</xm:f>
              <xm:sqref>BB55</xm:sqref>
            </x14:sparkline>
            <x14:sparkline>
              <xm:f>'Corn Total'!Y56:AY56</xm:f>
              <xm:sqref>BB56</xm:sqref>
            </x14:sparkline>
            <x14:sparkline>
              <xm:f>'Corn Total'!Y57:AY57</xm:f>
              <xm:sqref>BB57</xm:sqref>
            </x14:sparkline>
            <x14:sparkline>
              <xm:f>'Corn Total'!Y58:AY58</xm:f>
              <xm:sqref>BB58</xm:sqref>
            </x14:sparkline>
            <x14:sparkline>
              <xm:f>'Corn Total'!Y59:AY59</xm:f>
              <xm:sqref>BB59</xm:sqref>
            </x14:sparkline>
            <x14:sparkline>
              <xm:f>'Corn Total'!Y60:AY60</xm:f>
              <xm:sqref>BB60</xm:sqref>
            </x14:sparkline>
            <x14:sparkline>
              <xm:f>'Corn Total'!Y61:AY61</xm:f>
              <xm:sqref>BB61</xm:sqref>
            </x14:sparkline>
            <x14:sparkline>
              <xm:f>'Corn Total'!Y62:AY62</xm:f>
              <xm:sqref>BB62</xm:sqref>
            </x14:sparkline>
          </x14:sparklines>
        </x14:sparklineGroup>
        <x14:sparklineGroup manualMax="0" manualMin="0" displayEmptyCellsAs="gap" xr2:uid="{0B1AB75E-E14D-4B0C-A52A-75ACAC352801}">
          <x14:colorSeries rgb="FF376092"/>
          <x14:sparklines>
            <x14:sparkline>
              <xm:f>'Corn Total'!Y64:AY64</xm:f>
              <xm:sqref>BB64</xm:sqref>
            </x14:sparkline>
          </x14:sparklines>
        </x14:sparklineGroup>
        <x14:sparklineGroup manualMax="0" manualMin="0" displayEmptyCellsAs="gap" xr2:uid="{E8DBBC95-D186-43BC-BCA4-D8C8A9E94AA0}">
          <x14:colorSeries rgb="FF376092"/>
          <x14:sparklines>
            <x14:sparkline>
              <xm:f>'Corn Total'!Y65:AY65</xm:f>
              <xm:sqref>BB65</xm:sqref>
            </x14:sparkline>
          </x14:sparklines>
        </x14:sparklineGroup>
        <x14:sparklineGroup manualMax="0" manualMin="0" displayEmptyCellsAs="gap" xr2:uid="{41BB2E67-ADA7-4373-BDD2-F7E49294056C}">
          <x14:colorSeries rgb="FF376092"/>
          <x14:sparklines>
            <x14:sparkline>
              <xm:f>'Corn Total'!Y66:AY66</xm:f>
              <xm:sqref>BB66</xm:sqref>
            </x14:sparkline>
            <x14:sparkline>
              <xm:f>'Corn Total'!Y67:AY67</xm:f>
              <xm:sqref>BB67</xm:sqref>
            </x14:sparkline>
            <x14:sparkline>
              <xm:f>'Corn Total'!Y68:AY68</xm:f>
              <xm:sqref>BB68</xm:sqref>
            </x14:sparkline>
            <x14:sparkline>
              <xm:f>'Corn Total'!Y69:AY69</xm:f>
              <xm:sqref>BB69</xm:sqref>
            </x14:sparkline>
            <x14:sparkline>
              <xm:f>'Corn Total'!Y70:AY70</xm:f>
              <xm:sqref>BB70</xm:sqref>
            </x14:sparkline>
          </x14:sparklines>
        </x14:sparklineGroup>
        <x14:sparklineGroup manualMax="0" manualMin="0" displayEmptyCellsAs="gap" xr2:uid="{433787C1-D0FE-4958-8860-A982C2BD5452}">
          <x14:colorSeries rgb="FF376092"/>
          <x14:sparklines>
            <x14:sparkline>
              <xm:f>'Corn Total'!Y72:AY72</xm:f>
              <xm:sqref>BB72</xm:sqref>
            </x14:sparkline>
          </x14:sparklines>
        </x14:sparklineGroup>
        <x14:sparklineGroup manualMax="0" manualMin="0" displayEmptyCellsAs="gap" xr2:uid="{9F51DF08-F4FB-49F2-ABDD-B671C204B2F6}">
          <x14:colorSeries rgb="FF376092"/>
          <x14:sparklines>
            <x14:sparkline>
              <xm:f>'Corn Total'!Y73:AY73</xm:f>
              <xm:sqref>BB73</xm:sqref>
            </x14:sparkline>
          </x14:sparklines>
        </x14:sparklineGroup>
        <x14:sparklineGroup manualMax="0" manualMin="0" displayEmptyCellsAs="gap" xr2:uid="{61BAF9FD-6D0D-42C3-AAFA-F8943F2B5895}">
          <x14:colorSeries rgb="FF376092"/>
          <x14:sparklines>
            <x14:sparkline>
              <xm:f>'Corn Total'!Y74:AY74</xm:f>
              <xm:sqref>BB74</xm:sqref>
            </x14:sparkline>
          </x14:sparklines>
        </x14:sparklineGroup>
        <x14:sparklineGroup manualMax="0" manualMin="0" displayEmptyCellsAs="gap" xr2:uid="{591CBB4B-1EB5-4AF5-8EB4-64FC1CD5A148}">
          <x14:colorSeries rgb="FF376092"/>
          <x14:sparklines>
            <x14:sparkline>
              <xm:f>'Corn Total'!Y76:AY76</xm:f>
              <xm:sqref>BB76</xm:sqref>
            </x14:sparkline>
          </x14:sparklines>
        </x14:sparklineGroup>
        <x14:sparklineGroup manualMax="0" manualMin="0" displayEmptyCellsAs="gap" xr2:uid="{2F32B3B3-D00B-4164-BF6F-13C816BF0A07}">
          <x14:colorSeries rgb="FF376092"/>
          <x14:sparklines>
            <x14:sparkline>
              <xm:f>'Corn Total'!Y77:AY77</xm:f>
              <xm:sqref>BB77</xm:sqref>
            </x14:sparkline>
          </x14:sparklines>
        </x14:sparklineGroup>
        <x14:sparklineGroup manualMax="0" manualMin="0" displayEmptyCellsAs="gap" xr2:uid="{8AD49015-9DF9-49E6-A814-85A3C53676D0}">
          <x14:colorSeries rgb="FF376092"/>
          <x14:sparklines>
            <x14:sparkline>
              <xm:f>'Corn Total'!Y78:AY78</xm:f>
              <xm:sqref>BB78</xm:sqref>
            </x14:sparkline>
          </x14:sparklines>
        </x14:sparklineGroup>
        <x14:sparklineGroup manualMax="0" manualMin="0" displayEmptyCellsAs="gap" xr2:uid="{65FB707A-502C-4FF6-9018-5E74D391F4F0}">
          <x14:colorSeries rgb="FF376092"/>
          <x14:sparklines>
            <x14:sparkline>
              <xm:f>'Corn Total'!Y80:AY80</xm:f>
              <xm:sqref>BB80</xm:sqref>
            </x14:sparkline>
          </x14:sparklines>
        </x14:sparklineGroup>
        <x14:sparklineGroup manualMax="0" manualMin="0" displayEmptyCellsAs="gap" xr2:uid="{6EB2FF85-9CE3-4B9E-9DA3-29B9EF1DDB05}">
          <x14:colorSeries rgb="FF376092"/>
          <x14:sparklines>
            <x14:sparkline>
              <xm:f>'Corn Total'!Y81:AY81</xm:f>
              <xm:sqref>BB81</xm:sqref>
            </x14:sparkline>
          </x14:sparklines>
        </x14:sparklineGroup>
        <x14:sparklineGroup manualMax="0" manualMin="0" displayEmptyCellsAs="gap" xr2:uid="{1D6AA1D3-3C77-4E6E-BE5E-45DED80C35F6}">
          <x14:colorSeries rgb="FF376092"/>
          <x14:sparklines>
            <x14:sparkline>
              <xm:f>'Corn Total'!Y82:AY82</xm:f>
              <xm:sqref>BB82</xm:sqref>
            </x14:sparkline>
          </x14:sparklines>
        </x14:sparklineGroup>
        <x14:sparklineGroup manualMax="0" manualMin="0" displayEmptyCellsAs="gap" xr2:uid="{E413E272-BCA5-4749-B593-FD9576A329C6}">
          <x14:colorSeries rgb="FF376092"/>
          <x14:sparklines>
            <x14:sparkline>
              <xm:f>'Corn Total'!Y84:AY84</xm:f>
              <xm:sqref>BB84</xm:sqref>
            </x14:sparkline>
          </x14:sparklines>
        </x14:sparklineGroup>
        <x14:sparklineGroup manualMax="0" manualMin="0" displayEmptyCellsAs="gap" xr2:uid="{A27A2E39-1D61-4D17-B9B6-B7659BFBC61E}">
          <x14:colorSeries rgb="FF376092"/>
          <x14:sparklines>
            <x14:sparkline>
              <xm:f>'Corn Total'!Y85:AY85</xm:f>
              <xm:sqref>BB85</xm:sqref>
            </x14:sparkline>
          </x14:sparklines>
        </x14:sparklineGroup>
        <x14:sparklineGroup manualMax="0" manualMin="0" displayEmptyCellsAs="gap" xr2:uid="{BB1BE6AA-5280-44AB-A556-6CFDD5B7369A}">
          <x14:colorSeries rgb="FF376092"/>
          <x14:sparklines>
            <x14:sparkline>
              <xm:f>'Corn Total'!Y86:AY86</xm:f>
              <xm:sqref>BB86</xm:sqref>
            </x14:sparkline>
          </x14:sparklines>
        </x14:sparklineGroup>
        <x14:sparklineGroup manualMax="0" manualMin="0" displayEmptyCellsAs="gap" xr2:uid="{42384953-68E5-49C1-9D99-C4EA5FE4C8CA}">
          <x14:colorSeries rgb="FF376092"/>
          <x14:sparklines>
            <x14:sparkline>
              <xm:f>'Corn Total'!Y88:AY88</xm:f>
              <xm:sqref>BB88</xm:sqref>
            </x14:sparkline>
          </x14:sparklines>
        </x14:sparklineGroup>
        <x14:sparklineGroup manualMax="0" manualMin="0" displayEmptyCellsAs="gap" xr2:uid="{85578A25-E0D2-4483-897B-BB30184AB905}">
          <x14:colorSeries rgb="FF376092"/>
          <x14:sparklines>
            <x14:sparkline>
              <xm:f>'Corn Total'!Y89:AY89</xm:f>
              <xm:sqref>BB89</xm:sqref>
            </x14:sparkline>
          </x14:sparklines>
        </x14:sparklineGroup>
        <x14:sparklineGroup manualMax="0" manualMin="0" displayEmptyCellsAs="gap" xr2:uid="{B1F93A46-BA17-40A2-AD2C-B48FD962CF87}">
          <x14:colorSeries rgb="FF376092"/>
          <x14:sparklines>
            <x14:sparkline>
              <xm:f>'Corn Total'!Y90:AY90</xm:f>
              <xm:sqref>BB90</xm:sqref>
            </x14:sparkline>
          </x14:sparklines>
        </x14:sparklineGroup>
        <x14:sparklineGroup manualMax="0" manualMin="0" displayEmptyCellsAs="gap" xr2:uid="{F7B09212-CE22-4FB4-849C-FA1C3E7133B9}">
          <x14:colorSeries rgb="FF376092"/>
          <x14:sparklines>
            <x14:sparkline>
              <xm:f>'Corn Total'!Y92:AY92</xm:f>
              <xm:sqref>BB92</xm:sqref>
            </x14:sparkline>
          </x14:sparklines>
        </x14:sparklineGroup>
        <x14:sparklineGroup manualMax="0" manualMin="0" displayEmptyCellsAs="gap" xr2:uid="{FFAD61ED-7C9B-4CF3-8B80-6E356ED30189}">
          <x14:colorSeries rgb="FF376092"/>
          <x14:sparklines>
            <x14:sparkline>
              <xm:f>'Corn Total'!Y93:AY93</xm:f>
              <xm:sqref>BB93</xm:sqref>
            </x14:sparkline>
          </x14:sparklines>
        </x14:sparklineGroup>
        <x14:sparklineGroup manualMax="0" manualMin="0" displayEmptyCellsAs="gap" xr2:uid="{89E9F6A4-91DC-47C8-8810-317BC126A7CF}">
          <x14:colorSeries rgb="FF376092"/>
          <x14:sparklines>
            <x14:sparkline>
              <xm:f>'Corn Total'!Y94:AY94</xm:f>
              <xm:sqref>BB94</xm:sqref>
            </x14:sparkline>
          </x14:sparklines>
        </x14:sparklineGroup>
        <x14:sparklineGroup manualMax="0" manualMin="0" displayEmptyCellsAs="gap" xr2:uid="{13697848-A1D6-4CE2-893D-F609A998BE36}">
          <x14:colorSeries rgb="FF376092"/>
          <x14:sparklines>
            <x14:sparkline>
              <xm:f>'Corn Total'!Y96:AY96</xm:f>
              <xm:sqref>BB96</xm:sqref>
            </x14:sparkline>
          </x14:sparklines>
        </x14:sparklineGroup>
        <x14:sparklineGroup manualMax="0" manualMin="0" displayEmptyCellsAs="gap" xr2:uid="{937E4B90-6BD4-4182-83EA-8D3A7288792D}">
          <x14:colorSeries rgb="FF376092"/>
          <x14:sparklines>
            <x14:sparkline>
              <xm:f>'Corn Total'!Y97:AY97</xm:f>
              <xm:sqref>BB97</xm:sqref>
            </x14:sparkline>
          </x14:sparklines>
        </x14:sparklineGroup>
        <x14:sparklineGroup manualMax="0" manualMin="0" displayEmptyCellsAs="gap" xr2:uid="{392B8005-9A3F-45D0-80B1-C7957F11AF49}">
          <x14:colorSeries rgb="FF376092"/>
          <x14:sparklines>
            <x14:sparkline>
              <xm:f>'Corn Total'!Y98:AY98</xm:f>
              <xm:sqref>BB98</xm:sqref>
            </x14:sparkline>
          </x14:sparklines>
        </x14:sparklineGroup>
        <x14:sparklineGroup manualMax="0" manualMin="0" displayEmptyCellsAs="gap" xr2:uid="{CBDA72AC-69E1-454A-B643-CAE7457112DE}">
          <x14:colorSeries rgb="FF376092"/>
          <x14:sparklines>
            <x14:sparkline>
              <xm:f>'Corn Total'!Y100:AY100</xm:f>
              <xm:sqref>BB100</xm:sqref>
            </x14:sparkline>
          </x14:sparklines>
        </x14:sparklineGroup>
        <x14:sparklineGroup manualMax="0" manualMin="0" displayEmptyCellsAs="gap" xr2:uid="{7F53530B-86C1-42E2-977D-93CEBD515151}">
          <x14:colorSeries rgb="FF376092"/>
          <x14:sparklines>
            <x14:sparkline>
              <xm:f>'Corn Total'!Y101:AY101</xm:f>
              <xm:sqref>BB101</xm:sqref>
            </x14:sparkline>
          </x14:sparklines>
        </x14:sparklineGroup>
        <x14:sparklineGroup manualMax="0" manualMin="0" displayEmptyCellsAs="gap" xr2:uid="{0583DCD7-C877-4302-8CB3-014062E319A8}">
          <x14:colorSeries rgb="FF376092"/>
          <x14:sparklines>
            <x14:sparkline>
              <xm:f>'Corn Total'!Y102:AY102</xm:f>
              <xm:sqref>BB102</xm:sqref>
            </x14:sparkline>
            <x14:sparkline>
              <xm:f>'Corn Total'!Y103:AY103</xm:f>
              <xm:sqref>BB103</xm:sqref>
            </x14:sparkline>
            <x14:sparkline>
              <xm:f>'Corn Total'!Y104:AY104</xm:f>
              <xm:sqref>BB104</xm:sqref>
            </x14:sparkline>
            <x14:sparkline>
              <xm:f>'Corn Total'!Y105:AY105</xm:f>
              <xm:sqref>BB105</xm:sqref>
            </x14:sparkline>
            <x14:sparkline>
              <xm:f>'Corn Total'!Y106:AY106</xm:f>
              <xm:sqref>BB106</xm:sqref>
            </x14:sparkline>
            <x14:sparkline>
              <xm:f>'Corn Total'!Y107:AY107</xm:f>
              <xm:sqref>BB107</xm:sqref>
            </x14:sparkline>
            <x14:sparkline>
              <xm:f>'Corn Total'!Y108:AY108</xm:f>
              <xm:sqref>BB108</xm:sqref>
            </x14:sparkline>
            <x14:sparkline>
              <xm:f>'Corn Total'!Y109:AY109</xm:f>
              <xm:sqref>BB109</xm:sqref>
            </x14:sparkline>
            <x14:sparkline>
              <xm:f>'Corn Total'!Y110:AY110</xm:f>
              <xm:sqref>BB110</xm:sqref>
            </x14:sparkline>
            <x14:sparkline>
              <xm:f>'Corn Total'!Y111:AY111</xm:f>
              <xm:sqref>BB111</xm:sqref>
            </x14:sparkline>
          </x14:sparklines>
        </x14:sparklineGroup>
        <x14:sparklineGroup manualMax="0" manualMin="0" displayEmptyCellsAs="gap" xr2:uid="{C8F966C0-0E6E-40A7-84AF-5EE640B0D078}">
          <x14:colorSeries rgb="FF376092"/>
          <x14:sparklines>
            <x14:sparkline>
              <xm:f>'Corn Total'!Y112:AY112</xm:f>
              <xm:sqref>BB112</xm:sqref>
            </x14:sparkline>
          </x14:sparklines>
        </x14:sparklineGroup>
        <x14:sparklineGroup manualMax="0" manualMin="0" displayEmptyCellsAs="gap" xr2:uid="{FC5C651A-D977-438E-9D2E-9F67D9413B44}">
          <x14:colorSeries rgb="FF376092"/>
          <x14:sparklines>
            <x14:sparkline>
              <xm:f>'Corn Total'!Y113:AY113</xm:f>
              <xm:sqref>BB113</xm:sqref>
            </x14:sparkline>
          </x14:sparklines>
        </x14:sparklineGroup>
        <x14:sparklineGroup manualMax="0" manualMin="0" displayEmptyCellsAs="gap" xr2:uid="{7D823313-F288-41ED-8C87-714DCBD16173}">
          <x14:colorSeries rgb="FF376092"/>
          <x14:sparklines>
            <x14:sparkline>
              <xm:f>'Corn Total'!Y114:AY114</xm:f>
              <xm:sqref>BB114</xm:sqref>
            </x14:sparkline>
          </x14:sparklines>
        </x14:sparklineGroup>
        <x14:sparklineGroup manualMax="0" manualMin="0" displayEmptyCellsAs="gap" xr2:uid="{BCEB1048-1EE4-4292-92B1-551FB094FC39}">
          <x14:colorSeries rgb="FF376092"/>
          <x14:sparklines>
            <x14:sparkline>
              <xm:f>'Corn Total'!Y116:AY116</xm:f>
              <xm:sqref>BB116</xm:sqref>
            </x14:sparkline>
          </x14:sparklines>
        </x14:sparklineGroup>
        <x14:sparklineGroup manualMax="0" manualMin="0" displayEmptyCellsAs="gap" xr2:uid="{0332C25F-8E50-4BA4-A305-4E2CBF9E6321}">
          <x14:colorSeries rgb="FF376092"/>
          <x14:sparklines>
            <x14:sparkline>
              <xm:f>'Corn Total'!Y117:AY117</xm:f>
              <xm:sqref>BB117</xm:sqref>
            </x14:sparkline>
          </x14:sparklines>
        </x14:sparklineGroup>
        <x14:sparklineGroup manualMax="0" manualMin="0" displayEmptyCellsAs="gap" xr2:uid="{ECF46E34-465F-41FB-9E0A-25DAE6BE5187}">
          <x14:colorSeries rgb="FF376092"/>
          <x14:sparklines>
            <x14:sparkline>
              <xm:f>'Corn Total'!Y118:AY118</xm:f>
              <xm:sqref>BB118</xm:sqref>
            </x14:sparkline>
          </x14:sparklines>
        </x14:sparklineGroup>
        <x14:sparklineGroup manualMax="0" manualMin="0" displayEmptyCellsAs="gap" xr2:uid="{6BA47789-2E72-469B-8157-96ACA2338301}">
          <x14:colorSeries rgb="FF376092"/>
          <x14:sparklines>
            <x14:sparkline>
              <xm:f>'Corn Total'!Y120:AY120</xm:f>
              <xm:sqref>BB120</xm:sqref>
            </x14:sparkline>
          </x14:sparklines>
        </x14:sparklineGroup>
        <x14:sparklineGroup manualMax="0" manualMin="0" displayEmptyCellsAs="gap" xr2:uid="{2AC343A9-277F-479B-A444-6691808C9412}">
          <x14:colorSeries rgb="FF376092"/>
          <x14:sparklines>
            <x14:sparkline>
              <xm:f>'Corn Total'!Y121:AY121</xm:f>
              <xm:sqref>BB121</xm:sqref>
            </x14:sparkline>
          </x14:sparklines>
        </x14:sparklineGroup>
        <x14:sparklineGroup manualMax="0" manualMin="0" displayEmptyCellsAs="gap" xr2:uid="{B95FA0D5-5EC3-45CC-80EF-7F5FEE7F4022}">
          <x14:colorSeries rgb="FF376092"/>
          <x14:sparklines>
            <x14:sparkline>
              <xm:f>'Corn Total'!Y122:AY122</xm:f>
              <xm:sqref>BB122</xm:sqref>
            </x14:sparkline>
          </x14:sparklines>
        </x14:sparklineGroup>
        <x14:sparklineGroup manualMax="0" manualMin="0" displayEmptyCellsAs="gap" xr2:uid="{CD13EE14-068E-40EF-A31D-DC9430EFF689}">
          <x14:colorSeries rgb="FF376092"/>
          <x14:sparklines>
            <x14:sparkline>
              <xm:f>'Corn Total'!Y124:AY124</xm:f>
              <xm:sqref>BB124</xm:sqref>
            </x14:sparkline>
          </x14:sparklines>
        </x14:sparklineGroup>
        <x14:sparklineGroup manualMax="0" manualMin="0" displayEmptyCellsAs="gap" xr2:uid="{B5DCB28F-1C86-40CC-BE82-C1A3778C89D1}">
          <x14:colorSeries rgb="FF376092"/>
          <x14:sparklines>
            <x14:sparkline>
              <xm:f>'Corn Total'!Y125:AY125</xm:f>
              <xm:sqref>BB125</xm:sqref>
            </x14:sparkline>
          </x14:sparklines>
        </x14:sparklineGroup>
        <x14:sparklineGroup manualMax="0" manualMin="0" displayEmptyCellsAs="gap" xr2:uid="{040F9ACE-C357-4EA3-B3F0-EF6598A2ACD7}">
          <x14:colorSeries rgb="FF376092"/>
          <x14:sparklines>
            <x14:sparkline>
              <xm:f>'Corn Total'!Y126:AY126</xm:f>
              <xm:sqref>BB126</xm:sqref>
            </x14:sparkline>
          </x14:sparklines>
        </x14:sparklineGroup>
        <x14:sparklineGroup manualMax="0" manualMin="0" displayEmptyCellsAs="gap" xr2:uid="{1E19EA21-46D4-4422-9B06-6D7E1500AA7B}">
          <x14:colorSeries rgb="FF376092"/>
          <x14:sparklines>
            <x14:sparkline>
              <xm:f>'Corn Total'!Y128:AY128</xm:f>
              <xm:sqref>BB128</xm:sqref>
            </x14:sparkline>
          </x14:sparklines>
        </x14:sparklineGroup>
        <x14:sparklineGroup manualMax="0" manualMin="0" displayEmptyCellsAs="gap" xr2:uid="{DB145FF8-9715-412B-93DA-C0D962FC9516}">
          <x14:colorSeries rgb="FF376092"/>
          <x14:sparklines>
            <x14:sparkline>
              <xm:f>'Corn Total'!Y129:AY129</xm:f>
              <xm:sqref>BB129</xm:sqref>
            </x14:sparkline>
          </x14:sparklines>
        </x14:sparklineGroup>
        <x14:sparklineGroup manualMax="0" manualMin="0" displayEmptyCellsAs="gap" xr2:uid="{57E0BFAC-8264-4631-96E8-69E35727907A}">
          <x14:colorSeries rgb="FF376092"/>
          <x14:sparklines>
            <x14:sparkline>
              <xm:f>'Corn Total'!Y130:AY130</xm:f>
              <xm:sqref>BB130</xm:sqref>
            </x14:sparkline>
          </x14:sparklines>
        </x14:sparklineGroup>
        <x14:sparklineGroup manualMax="0" manualMin="0" displayEmptyCellsAs="gap" xr2:uid="{B478D41C-AFC6-431A-8184-117F0D977C78}">
          <x14:colorSeries rgb="FF376092"/>
          <x14:sparklines>
            <x14:sparkline>
              <xm:f>'Corn Total'!Y133:AY133</xm:f>
              <xm:sqref>BB133</xm:sqref>
            </x14:sparkline>
          </x14:sparklines>
        </x14:sparklineGroup>
        <x14:sparklineGroup manualMax="0" manualMin="0" displayEmptyCellsAs="gap" xr2:uid="{AD7ED0D3-C86D-4721-822B-566E850EDB7A}">
          <x14:colorSeries rgb="FF376092"/>
          <x14:sparklines>
            <x14:sparkline>
              <xm:f>'Corn Total'!Y134:AY134</xm:f>
              <xm:sqref>BB134</xm:sqref>
            </x14:sparkline>
          </x14:sparklines>
        </x14:sparklineGroup>
        <x14:sparklineGroup manualMax="0" manualMin="0" displayEmptyCellsAs="gap" xr2:uid="{EDC4B35E-290D-483A-AC89-C34403D439CB}">
          <x14:colorSeries rgb="FF376092"/>
          <x14:sparklines>
            <x14:sparkline>
              <xm:f>'Corn Total'!Y135:AY135</xm:f>
              <xm:sqref>BB135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952E-B038-4C63-98FB-69BD02737F54}">
  <dimension ref="A1:CM140"/>
  <sheetViews>
    <sheetView tabSelected="1" zoomScale="87" zoomScaleNormal="87" workbookViewId="0">
      <pane xSplit="1" ySplit="3" topLeftCell="AV4" activePane="bottomRight" state="frozen"/>
      <selection sqref="A1:A1048576"/>
      <selection pane="topRight" sqref="A1:A1048576"/>
      <selection pane="bottomLeft" sqref="A1:A1048576"/>
      <selection pane="bottomRight" activeCell="BH11" sqref="BH11"/>
    </sheetView>
  </sheetViews>
  <sheetFormatPr defaultColWidth="8.85546875" defaultRowHeight="15" x14ac:dyDescent="0.25"/>
  <cols>
    <col min="1" max="1" width="34.42578125" style="165" bestFit="1" customWidth="1"/>
    <col min="2" max="44" width="12.85546875" style="90" customWidth="1"/>
    <col min="45" max="49" width="12.85546875" style="90" bestFit="1" customWidth="1"/>
    <col min="50" max="50" width="12.7109375" style="90" customWidth="1"/>
    <col min="51" max="53" width="13.42578125" style="90" customWidth="1"/>
    <col min="54" max="54" width="11.140625" style="90" bestFit="1" customWidth="1"/>
    <col min="55" max="55" width="10.28515625" style="90" customWidth="1"/>
    <col min="56" max="56" width="10.85546875" style="90" bestFit="1" customWidth="1"/>
    <col min="57" max="57" width="15.42578125" style="90" customWidth="1"/>
    <col min="58" max="58" width="8.85546875" style="90" customWidth="1"/>
    <col min="59" max="59" width="71.42578125" style="90" customWidth="1"/>
    <col min="60" max="60" width="16" style="90" bestFit="1" customWidth="1"/>
    <col min="61" max="69" width="8.85546875" style="90" customWidth="1"/>
    <col min="70" max="70" width="8.85546875" style="90"/>
    <col min="71" max="71" width="8.85546875" style="166"/>
    <col min="72" max="72" width="14.42578125" style="90" bestFit="1" customWidth="1"/>
    <col min="73" max="73" width="8.85546875" style="90"/>
    <col min="74" max="74" width="10.28515625" style="90" bestFit="1" customWidth="1"/>
    <col min="75" max="75" width="14.28515625" style="90" bestFit="1" customWidth="1"/>
    <col min="76" max="16384" width="8.85546875" style="90"/>
  </cols>
  <sheetData>
    <row r="1" spans="1:79" ht="21.75" customHeight="1" x14ac:dyDescent="0.25">
      <c r="A1" s="83" t="s">
        <v>109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5"/>
      <c r="AT1" s="85"/>
      <c r="AU1" s="85"/>
      <c r="AV1" s="85"/>
      <c r="AW1" s="85"/>
      <c r="AX1" s="85"/>
      <c r="AY1" s="85"/>
      <c r="AZ1" s="85"/>
      <c r="BA1" s="85"/>
      <c r="BB1" s="86" t="s">
        <v>110</v>
      </c>
      <c r="BC1" s="86"/>
      <c r="BD1" s="87" t="s">
        <v>111</v>
      </c>
      <c r="BE1" s="88"/>
      <c r="BF1" s="89" t="s">
        <v>112</v>
      </c>
      <c r="BG1" s="88"/>
      <c r="BS1" s="90"/>
    </row>
    <row r="2" spans="1:79" ht="15.75" thickBot="1" x14ac:dyDescent="0.3">
      <c r="A2" s="91" t="s">
        <v>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5"/>
      <c r="AT2" s="85"/>
      <c r="AU2" s="85"/>
      <c r="AV2" s="85"/>
      <c r="AW2" s="92"/>
      <c r="AX2" s="92"/>
      <c r="AY2" s="93" t="s">
        <v>5</v>
      </c>
      <c r="AZ2" s="93"/>
      <c r="BA2" s="93"/>
      <c r="BB2" s="94"/>
      <c r="BC2" s="94"/>
      <c r="BD2" s="95"/>
      <c r="BE2" s="96" t="s">
        <v>113</v>
      </c>
      <c r="BF2" s="89"/>
      <c r="BG2" s="88"/>
      <c r="BS2" s="90"/>
    </row>
    <row r="3" spans="1:79" ht="16.5" thickBot="1" x14ac:dyDescent="0.3">
      <c r="A3" s="97" t="s">
        <v>114</v>
      </c>
      <c r="B3" s="98" t="s">
        <v>7</v>
      </c>
      <c r="C3" s="98" t="s">
        <v>8</v>
      </c>
      <c r="D3" s="98" t="s">
        <v>9</v>
      </c>
      <c r="E3" s="98" t="s">
        <v>10</v>
      </c>
      <c r="F3" s="98" t="s">
        <v>11</v>
      </c>
      <c r="G3" s="98" t="s">
        <v>12</v>
      </c>
      <c r="H3" s="98" t="s">
        <v>13</v>
      </c>
      <c r="I3" s="98" t="s">
        <v>14</v>
      </c>
      <c r="J3" s="98" t="s">
        <v>15</v>
      </c>
      <c r="K3" s="98" t="s">
        <v>16</v>
      </c>
      <c r="L3" s="98" t="s">
        <v>17</v>
      </c>
      <c r="M3" s="98" t="s">
        <v>18</v>
      </c>
      <c r="N3" s="98" t="s">
        <v>19</v>
      </c>
      <c r="O3" s="98" t="s">
        <v>20</v>
      </c>
      <c r="P3" s="98" t="s">
        <v>21</v>
      </c>
      <c r="Q3" s="98" t="s">
        <v>22</v>
      </c>
      <c r="R3" s="98" t="s">
        <v>23</v>
      </c>
      <c r="S3" s="98" t="s">
        <v>24</v>
      </c>
      <c r="T3" s="98" t="s">
        <v>25</v>
      </c>
      <c r="U3" s="98" t="s">
        <v>26</v>
      </c>
      <c r="V3" s="98" t="s">
        <v>27</v>
      </c>
      <c r="W3" s="98" t="s">
        <v>28</v>
      </c>
      <c r="X3" s="98" t="s">
        <v>29</v>
      </c>
      <c r="Y3" s="98" t="s">
        <v>30</v>
      </c>
      <c r="Z3" s="98" t="s">
        <v>31</v>
      </c>
      <c r="AA3" s="98" t="s">
        <v>32</v>
      </c>
      <c r="AB3" s="98" t="s">
        <v>33</v>
      </c>
      <c r="AC3" s="98" t="s">
        <v>34</v>
      </c>
      <c r="AD3" s="98" t="s">
        <v>35</v>
      </c>
      <c r="AE3" s="99" t="s">
        <v>36</v>
      </c>
      <c r="AF3" s="99" t="s">
        <v>37</v>
      </c>
      <c r="AG3" s="99" t="s">
        <v>38</v>
      </c>
      <c r="AH3" s="99" t="s">
        <v>39</v>
      </c>
      <c r="AI3" s="99" t="s">
        <v>40</v>
      </c>
      <c r="AJ3" s="99" t="s">
        <v>41</v>
      </c>
      <c r="AK3" s="99" t="s">
        <v>42</v>
      </c>
      <c r="AL3" s="99" t="s">
        <v>43</v>
      </c>
      <c r="AM3" s="99" t="s">
        <v>44</v>
      </c>
      <c r="AN3" s="99" t="s">
        <v>45</v>
      </c>
      <c r="AO3" s="99" t="s">
        <v>46</v>
      </c>
      <c r="AP3" s="99" t="s">
        <v>47</v>
      </c>
      <c r="AQ3" s="99" t="s">
        <v>48</v>
      </c>
      <c r="AR3" s="99" t="s">
        <v>49</v>
      </c>
      <c r="AS3" s="99" t="s">
        <v>50</v>
      </c>
      <c r="AT3" s="99" t="s">
        <v>51</v>
      </c>
      <c r="AU3" s="99" t="s">
        <v>52</v>
      </c>
      <c r="AV3" s="99" t="s">
        <v>53</v>
      </c>
      <c r="AW3" s="99" t="s">
        <v>54</v>
      </c>
      <c r="AX3" s="100" t="s">
        <v>55</v>
      </c>
      <c r="AY3" s="101" t="s">
        <v>56</v>
      </c>
      <c r="AZ3" s="102" t="s">
        <v>57</v>
      </c>
      <c r="BA3" s="102" t="s">
        <v>58</v>
      </c>
      <c r="BB3" s="103" t="s">
        <v>56</v>
      </c>
      <c r="BC3" s="104" t="s">
        <v>57</v>
      </c>
      <c r="BD3" s="105" t="s">
        <v>115</v>
      </c>
      <c r="BE3" s="96"/>
      <c r="BF3" s="89"/>
      <c r="BG3" s="106" t="s">
        <v>116</v>
      </c>
      <c r="BS3" s="90"/>
    </row>
    <row r="4" spans="1:79" x14ac:dyDescent="0.25">
      <c r="A4" s="107" t="s">
        <v>59</v>
      </c>
      <c r="B4" s="108">
        <f t="shared" ref="B4:AY4" si="0">B8+B12+B16+B20+B24+B28+B32</f>
        <v>0</v>
      </c>
      <c r="C4" s="108">
        <f t="shared" si="0"/>
        <v>0</v>
      </c>
      <c r="D4" s="108">
        <f t="shared" si="0"/>
        <v>0</v>
      </c>
      <c r="E4" s="108">
        <f t="shared" si="0"/>
        <v>0</v>
      </c>
      <c r="F4" s="108">
        <f t="shared" si="0"/>
        <v>0</v>
      </c>
      <c r="G4" s="108">
        <f t="shared" si="0"/>
        <v>0</v>
      </c>
      <c r="H4" s="108">
        <f t="shared" si="0"/>
        <v>0</v>
      </c>
      <c r="I4" s="108">
        <f t="shared" si="0"/>
        <v>0</v>
      </c>
      <c r="J4" s="108">
        <f t="shared" si="0"/>
        <v>0</v>
      </c>
      <c r="K4" s="108">
        <f t="shared" si="0"/>
        <v>0.4</v>
      </c>
      <c r="L4" s="108">
        <f t="shared" si="0"/>
        <v>0.6</v>
      </c>
      <c r="M4" s="108">
        <f t="shared" si="0"/>
        <v>32.299999999999997</v>
      </c>
      <c r="N4" s="108">
        <f t="shared" si="0"/>
        <v>74.599999999999994</v>
      </c>
      <c r="O4" s="108">
        <f t="shared" si="0"/>
        <v>42</v>
      </c>
      <c r="P4" s="108">
        <f t="shared" si="0"/>
        <v>6.3</v>
      </c>
      <c r="Q4" s="108">
        <f t="shared" si="0"/>
        <v>12.1</v>
      </c>
      <c r="R4" s="108">
        <f t="shared" si="0"/>
        <v>20</v>
      </c>
      <c r="S4" s="108">
        <f t="shared" si="0"/>
        <v>28.7</v>
      </c>
      <c r="T4" s="108">
        <f t="shared" si="0"/>
        <v>21.400000000000002</v>
      </c>
      <c r="U4" s="108">
        <f t="shared" si="0"/>
        <v>6.7</v>
      </c>
      <c r="V4" s="108">
        <f t="shared" si="0"/>
        <v>25.2</v>
      </c>
      <c r="W4" s="108">
        <f t="shared" si="0"/>
        <v>47.400000000000006</v>
      </c>
      <c r="X4" s="108">
        <f t="shared" si="0"/>
        <v>50.4</v>
      </c>
      <c r="Y4" s="108">
        <f t="shared" si="0"/>
        <v>59.7</v>
      </c>
      <c r="Z4" s="108">
        <f t="shared" si="0"/>
        <v>91.7</v>
      </c>
      <c r="AA4" s="108">
        <f t="shared" si="0"/>
        <v>141.1</v>
      </c>
      <c r="AB4" s="108">
        <f t="shared" si="0"/>
        <v>209.7</v>
      </c>
      <c r="AC4" s="108">
        <f t="shared" si="0"/>
        <v>352.4</v>
      </c>
      <c r="AD4" s="108">
        <f t="shared" si="0"/>
        <v>521.9</v>
      </c>
      <c r="AE4" s="108">
        <f t="shared" si="0"/>
        <v>507.5</v>
      </c>
      <c r="AF4" s="108">
        <f t="shared" si="0"/>
        <v>410.6</v>
      </c>
      <c r="AG4" s="108">
        <f t="shared" si="0"/>
        <v>517.5</v>
      </c>
      <c r="AH4" s="108">
        <f t="shared" si="0"/>
        <v>497.59999999999997</v>
      </c>
      <c r="AI4" s="108">
        <f t="shared" si="0"/>
        <v>574.90000000000009</v>
      </c>
      <c r="AJ4" s="108">
        <f t="shared" si="0"/>
        <v>645.5</v>
      </c>
      <c r="AK4" s="108">
        <f t="shared" si="0"/>
        <v>717.59999999999991</v>
      </c>
      <c r="AL4" s="108">
        <f t="shared" si="0"/>
        <v>901.5</v>
      </c>
      <c r="AM4" s="108">
        <f t="shared" si="0"/>
        <v>1178.9000000000001</v>
      </c>
      <c r="AN4" s="108">
        <f t="shared" si="0"/>
        <v>1441.2</v>
      </c>
      <c r="AO4" s="108">
        <f t="shared" si="0"/>
        <v>1576.3</v>
      </c>
      <c r="AP4" s="108">
        <f t="shared" si="0"/>
        <v>1809</v>
      </c>
      <c r="AQ4" s="108">
        <f t="shared" si="0"/>
        <v>1931.7</v>
      </c>
      <c r="AR4" s="108">
        <f t="shared" si="0"/>
        <v>1988.2999999999997</v>
      </c>
      <c r="AS4" s="108">
        <f t="shared" si="0"/>
        <v>2110.8000000000002</v>
      </c>
      <c r="AT4" s="108">
        <f t="shared" si="0"/>
        <v>2424.6</v>
      </c>
      <c r="AU4" s="108">
        <f t="shared" si="0"/>
        <v>2773.1000000000004</v>
      </c>
      <c r="AV4" s="108">
        <f t="shared" si="0"/>
        <v>3122.2</v>
      </c>
      <c r="AW4" s="108">
        <f t="shared" si="0"/>
        <v>3394.9</v>
      </c>
      <c r="AX4" s="108">
        <f t="shared" si="0"/>
        <v>3697.5</v>
      </c>
      <c r="AY4" s="109">
        <f t="shared" si="0"/>
        <v>3996.6000000000004</v>
      </c>
      <c r="AZ4" s="110">
        <f>AZ8+AZ12+AZ16+AZ20+AZ24+AZ28+AZ32</f>
        <v>3971.7</v>
      </c>
      <c r="BA4" s="110">
        <f>AZ4-AY4</f>
        <v>-24.900000000000546</v>
      </c>
      <c r="BB4" s="111">
        <f>AY4-AX4</f>
        <v>299.10000000000036</v>
      </c>
      <c r="BC4" s="112">
        <f>AZ4-AX4</f>
        <v>274.19999999999982</v>
      </c>
      <c r="BD4" s="113">
        <f>(AX4/AS4)^(1/5)-1</f>
        <v>0.11864482902295115</v>
      </c>
      <c r="BF4" s="114" t="b">
        <v>1</v>
      </c>
      <c r="BS4" s="90"/>
    </row>
    <row r="5" spans="1:79" x14ac:dyDescent="0.25">
      <c r="A5" s="107" t="s">
        <v>60</v>
      </c>
      <c r="B5" s="115">
        <f t="shared" ref="B5:AV5" si="1">IF(B4=0,0,B6*1000000/B4)</f>
        <v>0</v>
      </c>
      <c r="C5" s="115">
        <f t="shared" si="1"/>
        <v>0</v>
      </c>
      <c r="D5" s="115">
        <f t="shared" si="1"/>
        <v>0</v>
      </c>
      <c r="E5" s="115">
        <f t="shared" si="1"/>
        <v>0</v>
      </c>
      <c r="F5" s="115">
        <f t="shared" si="1"/>
        <v>0</v>
      </c>
      <c r="G5" s="115">
        <f t="shared" si="1"/>
        <v>0</v>
      </c>
      <c r="H5" s="115">
        <f t="shared" si="1"/>
        <v>0</v>
      </c>
      <c r="I5" s="115">
        <f t="shared" si="1"/>
        <v>0</v>
      </c>
      <c r="J5" s="115">
        <f t="shared" si="1"/>
        <v>0</v>
      </c>
      <c r="K5" s="115">
        <f t="shared" si="1"/>
        <v>1250</v>
      </c>
      <c r="L5" s="115">
        <f t="shared" si="1"/>
        <v>1833.3333333333335</v>
      </c>
      <c r="M5" s="115">
        <f t="shared" si="1"/>
        <v>1693.498452012384</v>
      </c>
      <c r="N5" s="115">
        <f t="shared" si="1"/>
        <v>1817.6943699731905</v>
      </c>
      <c r="O5" s="115">
        <f t="shared" si="1"/>
        <v>1266.6666666666667</v>
      </c>
      <c r="P5" s="115">
        <f t="shared" si="1"/>
        <v>1825.3968253968255</v>
      </c>
      <c r="Q5" s="115">
        <f t="shared" si="1"/>
        <v>1603.3057851239666</v>
      </c>
      <c r="R5" s="115">
        <f t="shared" si="1"/>
        <v>1820</v>
      </c>
      <c r="S5" s="115">
        <f t="shared" si="1"/>
        <v>2055.7491289198611</v>
      </c>
      <c r="T5" s="115">
        <f t="shared" si="1"/>
        <v>2126.1682242990651</v>
      </c>
      <c r="U5" s="115">
        <f t="shared" si="1"/>
        <v>2119.4029850746269</v>
      </c>
      <c r="V5" s="115">
        <f t="shared" si="1"/>
        <v>1134.9206349206349</v>
      </c>
      <c r="W5" s="115">
        <f t="shared" si="1"/>
        <v>2105.4852320675104</v>
      </c>
      <c r="X5" s="115">
        <f t="shared" si="1"/>
        <v>2444.4444444444443</v>
      </c>
      <c r="Y5" s="115">
        <f t="shared" si="1"/>
        <v>2524.2881072026798</v>
      </c>
      <c r="Z5" s="115">
        <f t="shared" si="1"/>
        <v>2362.0501635768815</v>
      </c>
      <c r="AA5" s="115">
        <f t="shared" si="1"/>
        <v>2615.1665485471299</v>
      </c>
      <c r="AB5" s="115">
        <f t="shared" si="1"/>
        <v>2658.5598474010494</v>
      </c>
      <c r="AC5" s="115">
        <f t="shared" si="1"/>
        <v>2592.7922814982976</v>
      </c>
      <c r="AD5" s="115">
        <f t="shared" si="1"/>
        <v>2720.6361371910334</v>
      </c>
      <c r="AE5" s="115">
        <f t="shared" si="1"/>
        <v>2473.300492610837</v>
      </c>
      <c r="AF5" s="115">
        <f t="shared" si="1"/>
        <v>2630.0535801266437</v>
      </c>
      <c r="AG5" s="115">
        <f t="shared" si="1"/>
        <v>2845.217391304348</v>
      </c>
      <c r="AH5" s="115">
        <f t="shared" si="1"/>
        <v>2841.639871382637</v>
      </c>
      <c r="AI5" s="115">
        <f t="shared" si="1"/>
        <v>2942.5987128196202</v>
      </c>
      <c r="AJ5" s="115">
        <f t="shared" si="1"/>
        <v>3063.051897753679</v>
      </c>
      <c r="AK5" s="115">
        <f t="shared" si="1"/>
        <v>3027.0345596432558</v>
      </c>
      <c r="AL5" s="115">
        <f t="shared" si="1"/>
        <v>2952.3017193566279</v>
      </c>
      <c r="AM5" s="115">
        <f t="shared" si="1"/>
        <v>2876.9228942234281</v>
      </c>
      <c r="AN5" s="115">
        <f t="shared" si="1"/>
        <v>2976.3652511795722</v>
      </c>
      <c r="AO5" s="115">
        <f t="shared" si="1"/>
        <v>2422.6988136775994</v>
      </c>
      <c r="AP5" s="115">
        <f t="shared" si="1"/>
        <v>3060.5291321171912</v>
      </c>
      <c r="AQ5" s="115">
        <f t="shared" si="1"/>
        <v>3112.6013356111193</v>
      </c>
      <c r="AR5" s="115">
        <f t="shared" si="1"/>
        <v>3091.5857767942466</v>
      </c>
      <c r="AS5" s="115">
        <f t="shared" si="1"/>
        <v>3269.8976691301868</v>
      </c>
      <c r="AT5" s="115">
        <f t="shared" si="1"/>
        <v>3164.3570073414171</v>
      </c>
      <c r="AU5" s="115">
        <f t="shared" si="1"/>
        <v>3165.7711586311343</v>
      </c>
      <c r="AV5" s="115">
        <f t="shared" si="1"/>
        <v>3313.9132662865923</v>
      </c>
      <c r="AW5" s="115">
        <f>IF(AW4=0,0,AW6*1000000/AW4)</f>
        <v>3219.9475684114404</v>
      </c>
      <c r="AX5" s="115">
        <f t="shared" ref="AX5:AY5" si="2">IF(AX4=0,0,AX6*1000000/AX4)</f>
        <v>3541.3387423935092</v>
      </c>
      <c r="AY5" s="116">
        <f t="shared" si="2"/>
        <v>3473.4023920332279</v>
      </c>
      <c r="AZ5" s="117">
        <f>IF(AZ4=0,0,AZ6*1000000/AZ4)</f>
        <v>3546.0851524536097</v>
      </c>
      <c r="BA5" s="110">
        <f>AZ5-AY5</f>
        <v>72.682760420381783</v>
      </c>
      <c r="BB5" s="118">
        <f>AY5-AX5</f>
        <v>-67.936350360281267</v>
      </c>
      <c r="BC5" s="119">
        <f>AZ5-AX5</f>
        <v>4.7464100601005157</v>
      </c>
      <c r="BD5" s="113">
        <f>(AX5/AS5)^(1/5)-1</f>
        <v>1.6077096012445447E-2</v>
      </c>
      <c r="BS5" s="90"/>
    </row>
    <row r="6" spans="1:79" x14ac:dyDescent="0.25">
      <c r="A6" s="107" t="s">
        <v>61</v>
      </c>
      <c r="B6" s="108">
        <f t="shared" ref="B6:AV6" si="3">B10+B14+B18+B22+B26+B30+B34</f>
        <v>0</v>
      </c>
      <c r="C6" s="108">
        <f t="shared" si="3"/>
        <v>0</v>
      </c>
      <c r="D6" s="108">
        <f t="shared" si="3"/>
        <v>0</v>
      </c>
      <c r="E6" s="108">
        <f t="shared" si="3"/>
        <v>0</v>
      </c>
      <c r="F6" s="108">
        <f t="shared" si="3"/>
        <v>0</v>
      </c>
      <c r="G6" s="108">
        <f t="shared" si="3"/>
        <v>0</v>
      </c>
      <c r="H6" s="108">
        <f t="shared" si="3"/>
        <v>0</v>
      </c>
      <c r="I6" s="108">
        <f t="shared" si="3"/>
        <v>0</v>
      </c>
      <c r="J6" s="108">
        <f t="shared" si="3"/>
        <v>0</v>
      </c>
      <c r="K6" s="108">
        <f t="shared" si="3"/>
        <v>5.0000000000000001E-4</v>
      </c>
      <c r="L6" s="108">
        <f t="shared" si="3"/>
        <v>1.1000000000000001E-3</v>
      </c>
      <c r="M6" s="108">
        <f t="shared" si="3"/>
        <v>5.4699999999999999E-2</v>
      </c>
      <c r="N6" s="108">
        <f t="shared" si="3"/>
        <v>0.1356</v>
      </c>
      <c r="O6" s="108">
        <f t="shared" si="3"/>
        <v>5.3199999999999997E-2</v>
      </c>
      <c r="P6" s="108">
        <f t="shared" si="3"/>
        <v>1.15E-2</v>
      </c>
      <c r="Q6" s="108">
        <f t="shared" si="3"/>
        <v>1.9399999999999997E-2</v>
      </c>
      <c r="R6" s="108">
        <f t="shared" si="3"/>
        <v>3.6400000000000002E-2</v>
      </c>
      <c r="S6" s="108">
        <f t="shared" si="3"/>
        <v>5.9000000000000004E-2</v>
      </c>
      <c r="T6" s="108">
        <f t="shared" si="3"/>
        <v>4.5499999999999999E-2</v>
      </c>
      <c r="U6" s="108">
        <f t="shared" si="3"/>
        <v>1.4200000000000001E-2</v>
      </c>
      <c r="V6" s="108">
        <f t="shared" si="3"/>
        <v>2.86E-2</v>
      </c>
      <c r="W6" s="108">
        <f t="shared" si="3"/>
        <v>9.98E-2</v>
      </c>
      <c r="X6" s="108">
        <f t="shared" si="3"/>
        <v>0.1232</v>
      </c>
      <c r="Y6" s="108">
        <f t="shared" si="3"/>
        <v>0.1507</v>
      </c>
      <c r="Z6" s="108">
        <f t="shared" si="3"/>
        <v>0.21660000000000001</v>
      </c>
      <c r="AA6" s="108">
        <f t="shared" si="3"/>
        <v>0.36899999999999999</v>
      </c>
      <c r="AB6" s="108">
        <f t="shared" si="3"/>
        <v>0.5575</v>
      </c>
      <c r="AC6" s="108">
        <f t="shared" si="3"/>
        <v>0.91369999999999996</v>
      </c>
      <c r="AD6" s="108">
        <f t="shared" si="3"/>
        <v>1.4199000000000002</v>
      </c>
      <c r="AE6" s="108">
        <f t="shared" si="3"/>
        <v>1.2551999999999999</v>
      </c>
      <c r="AF6" s="108">
        <f t="shared" si="3"/>
        <v>1.0799000000000001</v>
      </c>
      <c r="AG6" s="108">
        <f t="shared" si="3"/>
        <v>1.4723999999999999</v>
      </c>
      <c r="AH6" s="108">
        <f t="shared" si="3"/>
        <v>1.4139999999999999</v>
      </c>
      <c r="AI6" s="108">
        <f t="shared" si="3"/>
        <v>1.6917</v>
      </c>
      <c r="AJ6" s="108">
        <f t="shared" si="3"/>
        <v>1.9771999999999998</v>
      </c>
      <c r="AK6" s="108">
        <f t="shared" si="3"/>
        <v>2.1722000000000001</v>
      </c>
      <c r="AL6" s="108">
        <f t="shared" si="3"/>
        <v>2.6615000000000002</v>
      </c>
      <c r="AM6" s="108">
        <f t="shared" si="3"/>
        <v>3.3916043999999999</v>
      </c>
      <c r="AN6" s="108">
        <f t="shared" si="3"/>
        <v>4.2895376000000001</v>
      </c>
      <c r="AO6" s="108">
        <f t="shared" si="3"/>
        <v>3.8189001400000002</v>
      </c>
      <c r="AP6" s="108">
        <f t="shared" si="3"/>
        <v>5.5364971999999995</v>
      </c>
      <c r="AQ6" s="108">
        <f t="shared" si="3"/>
        <v>6.012611999999999</v>
      </c>
      <c r="AR6" s="108">
        <f t="shared" si="3"/>
        <v>6.1470000000000002</v>
      </c>
      <c r="AS6" s="108">
        <f t="shared" si="3"/>
        <v>6.902099999999999</v>
      </c>
      <c r="AT6" s="108">
        <f t="shared" si="3"/>
        <v>7.6722999999999999</v>
      </c>
      <c r="AU6" s="108">
        <f t="shared" si="3"/>
        <v>8.7789999999999999</v>
      </c>
      <c r="AV6" s="108">
        <f t="shared" si="3"/>
        <v>10.346699999999998</v>
      </c>
      <c r="AW6" s="108">
        <f>AW10+AW14+AW18+AW22+AW26+AW30+AW34</f>
        <v>10.9314</v>
      </c>
      <c r="AX6" s="108">
        <f t="shared" ref="AX6:AY6" si="4">AX10+AX14+AX18+AX22+AX26+AX30+AX34</f>
        <v>13.094099999999999</v>
      </c>
      <c r="AY6" s="109">
        <f t="shared" si="4"/>
        <v>13.8818</v>
      </c>
      <c r="AZ6" s="110">
        <f>AZ10+AZ14+AZ18+AZ22+AZ26+AZ30+AZ34</f>
        <v>14.083986400000001</v>
      </c>
      <c r="BA6" s="110">
        <f>AZ6-AY6</f>
        <v>0.20218640000000043</v>
      </c>
      <c r="BB6" s="120">
        <f>AY6-AX6</f>
        <v>0.78770000000000095</v>
      </c>
      <c r="BC6" s="121">
        <f>AZ6-AX6</f>
        <v>0.98988640000000139</v>
      </c>
      <c r="BD6" s="113">
        <f>(AX6/AS6)^(1/5)-1</f>
        <v>0.13662938934297864</v>
      </c>
      <c r="BS6" s="90"/>
    </row>
    <row r="7" spans="1:79" s="129" customFormat="1" x14ac:dyDescent="0.25">
      <c r="A7" s="122" t="s">
        <v>62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4"/>
      <c r="AZ7" s="125"/>
      <c r="BA7" s="125"/>
      <c r="BB7" s="126"/>
      <c r="BC7" s="127"/>
      <c r="BD7" s="128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</row>
    <row r="8" spans="1:79" x14ac:dyDescent="0.25">
      <c r="A8" s="130" t="s">
        <v>59</v>
      </c>
      <c r="B8" s="108">
        <v>0</v>
      </c>
      <c r="C8" s="108">
        <v>0</v>
      </c>
      <c r="D8" s="108">
        <v>0</v>
      </c>
      <c r="E8" s="108">
        <v>0</v>
      </c>
      <c r="F8" s="108">
        <v>0</v>
      </c>
      <c r="G8" s="108">
        <v>0</v>
      </c>
      <c r="H8" s="108">
        <v>0</v>
      </c>
      <c r="I8" s="108">
        <v>0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6</v>
      </c>
      <c r="T8" s="108">
        <v>0</v>
      </c>
      <c r="U8" s="108">
        <v>1.8</v>
      </c>
      <c r="V8" s="108">
        <v>0</v>
      </c>
      <c r="W8" s="108">
        <v>0</v>
      </c>
      <c r="X8" s="108">
        <v>0</v>
      </c>
      <c r="Y8" s="108">
        <v>0</v>
      </c>
      <c r="Z8" s="108">
        <v>0</v>
      </c>
      <c r="AA8" s="108">
        <v>3.5</v>
      </c>
      <c r="AB8" s="108">
        <v>3</v>
      </c>
      <c r="AC8" s="108">
        <v>12</v>
      </c>
      <c r="AD8" s="108">
        <v>20</v>
      </c>
      <c r="AE8" s="108">
        <v>10</v>
      </c>
      <c r="AF8" s="108">
        <v>5.5</v>
      </c>
      <c r="AG8" s="108">
        <v>15</v>
      </c>
      <c r="AH8" s="108">
        <v>8</v>
      </c>
      <c r="AI8" s="108">
        <v>1.4</v>
      </c>
      <c r="AJ8" s="108">
        <v>3.7</v>
      </c>
      <c r="AK8" s="108">
        <v>3.7</v>
      </c>
      <c r="AL8" s="108">
        <v>12</v>
      </c>
      <c r="AM8" s="108">
        <v>18</v>
      </c>
      <c r="AN8" s="108">
        <v>23.8</v>
      </c>
      <c r="AO8" s="108">
        <v>24</v>
      </c>
      <c r="AP8" s="108">
        <v>30</v>
      </c>
      <c r="AQ8" s="108">
        <v>38.200000000000003</v>
      </c>
      <c r="AR8" s="108">
        <v>40</v>
      </c>
      <c r="AS8" s="108">
        <v>49.8</v>
      </c>
      <c r="AT8" s="108">
        <v>70</v>
      </c>
      <c r="AU8" s="108">
        <v>95</v>
      </c>
      <c r="AV8" s="108">
        <v>123</v>
      </c>
      <c r="AW8" s="108">
        <v>123</v>
      </c>
      <c r="AX8" s="108">
        <v>135.9</v>
      </c>
      <c r="AY8" s="109">
        <v>145.5</v>
      </c>
      <c r="AZ8" s="110">
        <v>145</v>
      </c>
      <c r="BA8" s="110">
        <f>AZ8-AY8</f>
        <v>-0.5</v>
      </c>
      <c r="BB8" s="111">
        <f>AY8-AX8</f>
        <v>9.5999999999999943</v>
      </c>
      <c r="BC8" s="112">
        <f>AZ8-AX8</f>
        <v>9.0999999999999943</v>
      </c>
      <c r="BD8" s="113">
        <f t="shared" ref="BD8:BD50" si="5">(AX8/AS8)^(1/5)-1</f>
        <v>0.22235688426170075</v>
      </c>
      <c r="BF8" s="114" t="b">
        <v>1</v>
      </c>
      <c r="BS8" s="90"/>
    </row>
    <row r="9" spans="1:79" x14ac:dyDescent="0.25">
      <c r="A9" s="130" t="s">
        <v>60</v>
      </c>
      <c r="B9" s="115">
        <v>0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0</v>
      </c>
      <c r="J9" s="115">
        <v>0</v>
      </c>
      <c r="K9" s="115">
        <v>0</v>
      </c>
      <c r="L9" s="115">
        <v>0</v>
      </c>
      <c r="M9" s="115">
        <v>0</v>
      </c>
      <c r="N9" s="115">
        <v>0</v>
      </c>
      <c r="O9" s="115">
        <v>0</v>
      </c>
      <c r="P9" s="115">
        <v>0</v>
      </c>
      <c r="Q9" s="115">
        <v>0</v>
      </c>
      <c r="R9" s="115">
        <v>0</v>
      </c>
      <c r="S9" s="115">
        <v>2800</v>
      </c>
      <c r="T9" s="115">
        <v>0</v>
      </c>
      <c r="U9" s="115">
        <v>2700</v>
      </c>
      <c r="V9" s="115">
        <v>0</v>
      </c>
      <c r="W9" s="115">
        <v>0</v>
      </c>
      <c r="X9" s="115">
        <v>0</v>
      </c>
      <c r="Y9" s="115">
        <v>0</v>
      </c>
      <c r="Z9" s="115">
        <v>0</v>
      </c>
      <c r="AA9" s="115">
        <v>2400</v>
      </c>
      <c r="AB9" s="115">
        <v>2400</v>
      </c>
      <c r="AC9" s="115">
        <v>2400</v>
      </c>
      <c r="AD9" s="115">
        <v>2800</v>
      </c>
      <c r="AE9" s="115">
        <v>2800</v>
      </c>
      <c r="AF9" s="115">
        <v>2800</v>
      </c>
      <c r="AG9" s="115">
        <v>3250</v>
      </c>
      <c r="AH9" s="115">
        <v>2800</v>
      </c>
      <c r="AI9" s="115">
        <v>2800</v>
      </c>
      <c r="AJ9" s="115">
        <v>2800</v>
      </c>
      <c r="AK9" s="115">
        <v>2800</v>
      </c>
      <c r="AL9" s="115">
        <v>2800</v>
      </c>
      <c r="AM9" s="115">
        <v>3135</v>
      </c>
      <c r="AN9" s="115">
        <v>2685</v>
      </c>
      <c r="AO9" s="115">
        <v>3300</v>
      </c>
      <c r="AP9" s="115">
        <v>3000</v>
      </c>
      <c r="AQ9" s="115">
        <v>3077</v>
      </c>
      <c r="AR9" s="115">
        <v>2700</v>
      </c>
      <c r="AS9" s="115">
        <v>3044</v>
      </c>
      <c r="AT9" s="115">
        <v>3000</v>
      </c>
      <c r="AU9" s="115">
        <v>3000</v>
      </c>
      <c r="AV9" s="115">
        <v>2800</v>
      </c>
      <c r="AW9" s="115">
        <v>3000</v>
      </c>
      <c r="AX9" s="115">
        <f t="shared" ref="AX9:AY9" si="6">IF(AX8=0,0,AX10*1000000/AX8)</f>
        <v>3450.3311258278145</v>
      </c>
      <c r="AY9" s="131">
        <f t="shared" si="6"/>
        <v>3294.8453608247423</v>
      </c>
      <c r="AZ9" s="117">
        <v>3295</v>
      </c>
      <c r="BA9" s="110">
        <f>AZ9-AY9</f>
        <v>0.15463917525767101</v>
      </c>
      <c r="BB9" s="118">
        <f t="shared" ref="BB9:BB10" si="7">AY9-AX9</f>
        <v>-155.48576500307217</v>
      </c>
      <c r="BC9" s="119">
        <f t="shared" ref="BC9:BC10" si="8">AZ9-AX9</f>
        <v>-155.3311258278145</v>
      </c>
      <c r="BD9" s="113">
        <f t="shared" si="5"/>
        <v>2.5376182921499346E-2</v>
      </c>
      <c r="BS9" s="90"/>
    </row>
    <row r="10" spans="1:79" s="129" customFormat="1" x14ac:dyDescent="0.25">
      <c r="A10" s="130" t="s">
        <v>61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1.6800000000000002E-2</v>
      </c>
      <c r="T10" s="132">
        <v>0</v>
      </c>
      <c r="U10" s="132">
        <v>4.9000000000000007E-3</v>
      </c>
      <c r="V10" s="132">
        <v>0</v>
      </c>
      <c r="W10" s="132">
        <v>0</v>
      </c>
      <c r="X10" s="132">
        <v>0</v>
      </c>
      <c r="Y10" s="132">
        <v>0</v>
      </c>
      <c r="Z10" s="132">
        <v>0</v>
      </c>
      <c r="AA10" s="132">
        <v>8.4000000000000012E-3</v>
      </c>
      <c r="AB10" s="132">
        <v>7.1999999999999998E-3</v>
      </c>
      <c r="AC10" s="132">
        <v>2.8799999999999999E-2</v>
      </c>
      <c r="AD10" s="132">
        <v>5.6000000000000001E-2</v>
      </c>
      <c r="AE10" s="132">
        <v>2.8000000000000001E-2</v>
      </c>
      <c r="AF10" s="132">
        <v>1.54E-2</v>
      </c>
      <c r="AG10" s="132">
        <v>4.8799999999999996E-2</v>
      </c>
      <c r="AH10" s="132">
        <v>2.24E-2</v>
      </c>
      <c r="AI10" s="132">
        <v>3.8999999999999998E-3</v>
      </c>
      <c r="AJ10" s="132">
        <v>1.04E-2</v>
      </c>
      <c r="AK10" s="132">
        <v>1.04E-2</v>
      </c>
      <c r="AL10" s="132">
        <v>3.3600000000000005E-2</v>
      </c>
      <c r="AM10" s="132">
        <v>5.6430000000000001E-2</v>
      </c>
      <c r="AN10" s="132">
        <v>6.3903000000000001E-2</v>
      </c>
      <c r="AO10" s="132">
        <v>7.9200000000000007E-2</v>
      </c>
      <c r="AP10" s="132">
        <v>0.09</v>
      </c>
      <c r="AQ10" s="132">
        <v>0.1175414</v>
      </c>
      <c r="AR10" s="132">
        <v>0.108</v>
      </c>
      <c r="AS10" s="132">
        <v>0.15159999999999998</v>
      </c>
      <c r="AT10" s="133">
        <v>0.21</v>
      </c>
      <c r="AU10" s="134">
        <v>0.28499999999999998</v>
      </c>
      <c r="AV10" s="134">
        <v>0.34439999999999998</v>
      </c>
      <c r="AW10" s="134">
        <v>0.36899999999999999</v>
      </c>
      <c r="AX10" s="134">
        <v>0.46889999999999998</v>
      </c>
      <c r="AY10" s="135">
        <v>0.47939999999999999</v>
      </c>
      <c r="AZ10" s="110">
        <f>AZ9*AZ8/1000000</f>
        <v>0.47777500000000001</v>
      </c>
      <c r="BA10" s="110">
        <f>AZ10-AY10</f>
        <v>-1.6249999999999876E-3</v>
      </c>
      <c r="BB10" s="120">
        <f t="shared" si="7"/>
        <v>1.0500000000000009E-2</v>
      </c>
      <c r="BC10" s="121">
        <f t="shared" si="8"/>
        <v>8.8750000000000218E-3</v>
      </c>
      <c r="BD10" s="113">
        <f t="shared" si="5"/>
        <v>0.25336108475141228</v>
      </c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</row>
    <row r="11" spans="1:79" x14ac:dyDescent="0.25">
      <c r="A11" s="122" t="s">
        <v>63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7"/>
      <c r="AZ11" s="138"/>
      <c r="BA11" s="138"/>
      <c r="BB11" s="126"/>
      <c r="BC11" s="127"/>
      <c r="BD11" s="128"/>
      <c r="BS11" s="90"/>
    </row>
    <row r="12" spans="1:79" x14ac:dyDescent="0.25">
      <c r="A12" s="130" t="s">
        <v>59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0.4</v>
      </c>
      <c r="L12" s="132">
        <v>0.6</v>
      </c>
      <c r="M12" s="132">
        <v>4.3</v>
      </c>
      <c r="N12" s="132">
        <v>15.6</v>
      </c>
      <c r="O12" s="132">
        <v>7.8</v>
      </c>
      <c r="P12" s="132">
        <v>2.4</v>
      </c>
      <c r="Q12" s="132">
        <v>0.1</v>
      </c>
      <c r="R12" s="132">
        <v>4.5</v>
      </c>
      <c r="S12" s="132">
        <v>0</v>
      </c>
      <c r="T12" s="132">
        <v>4.8</v>
      </c>
      <c r="U12" s="132">
        <v>0</v>
      </c>
      <c r="V12" s="132">
        <v>3.3</v>
      </c>
      <c r="W12" s="132">
        <v>4.7</v>
      </c>
      <c r="X12" s="132">
        <v>8.6999999999999993</v>
      </c>
      <c r="Y12" s="108">
        <v>11.8</v>
      </c>
      <c r="Z12" s="132">
        <v>25</v>
      </c>
      <c r="AA12" s="132">
        <v>28.6</v>
      </c>
      <c r="AB12" s="132">
        <v>41</v>
      </c>
      <c r="AC12" s="132">
        <v>59.5</v>
      </c>
      <c r="AD12" s="132">
        <v>74.400000000000006</v>
      </c>
      <c r="AE12" s="132">
        <v>106.4</v>
      </c>
      <c r="AF12" s="132">
        <v>90.4</v>
      </c>
      <c r="AG12" s="132">
        <v>99.8</v>
      </c>
      <c r="AH12" s="108">
        <v>106</v>
      </c>
      <c r="AI12" s="108">
        <v>122.3</v>
      </c>
      <c r="AJ12" s="108">
        <v>132.30000000000001</v>
      </c>
      <c r="AK12" s="108">
        <v>143.5</v>
      </c>
      <c r="AL12" s="108">
        <v>167.7</v>
      </c>
      <c r="AM12" s="108">
        <v>191.1</v>
      </c>
      <c r="AN12" s="108">
        <v>231.5</v>
      </c>
      <c r="AO12" s="108">
        <v>252.6</v>
      </c>
      <c r="AP12" s="108">
        <v>296</v>
      </c>
      <c r="AQ12" s="108">
        <v>333.6</v>
      </c>
      <c r="AR12" s="108">
        <v>333.7</v>
      </c>
      <c r="AS12" s="108">
        <v>348.4</v>
      </c>
      <c r="AT12" s="108">
        <v>396.5</v>
      </c>
      <c r="AU12" s="108">
        <v>491.7</v>
      </c>
      <c r="AV12" s="108">
        <v>595</v>
      </c>
      <c r="AW12" s="108">
        <v>643.20000000000005</v>
      </c>
      <c r="AX12" s="108">
        <v>694.7</v>
      </c>
      <c r="AY12" s="109">
        <v>717.6</v>
      </c>
      <c r="AZ12" s="110">
        <v>700</v>
      </c>
      <c r="BA12" s="110">
        <f>AZ12-AY12</f>
        <v>-17.600000000000023</v>
      </c>
      <c r="BB12" s="111">
        <f>AY12-AX12</f>
        <v>22.899999999999977</v>
      </c>
      <c r="BC12" s="112">
        <f>AZ12-AX12</f>
        <v>5.2999999999999545</v>
      </c>
      <c r="BD12" s="113">
        <f t="shared" si="5"/>
        <v>0.14800513460992049</v>
      </c>
      <c r="BF12" s="114" t="b">
        <v>1</v>
      </c>
      <c r="BS12" s="90"/>
    </row>
    <row r="13" spans="1:79" x14ac:dyDescent="0.25">
      <c r="A13" s="130" t="s">
        <v>60</v>
      </c>
      <c r="B13" s="115">
        <v>0</v>
      </c>
      <c r="C13" s="115">
        <v>0</v>
      </c>
      <c r="D13" s="115">
        <v>0</v>
      </c>
      <c r="E13" s="115">
        <v>0</v>
      </c>
      <c r="F13" s="115">
        <v>0</v>
      </c>
      <c r="G13" s="115">
        <v>0</v>
      </c>
      <c r="H13" s="115">
        <v>0</v>
      </c>
      <c r="I13" s="115">
        <v>0</v>
      </c>
      <c r="J13" s="115">
        <v>0</v>
      </c>
      <c r="K13" s="115">
        <v>0</v>
      </c>
      <c r="L13" s="115">
        <v>0</v>
      </c>
      <c r="M13" s="115">
        <v>0</v>
      </c>
      <c r="N13" s="115">
        <v>0</v>
      </c>
      <c r="O13" s="115">
        <v>0</v>
      </c>
      <c r="P13" s="115">
        <v>0</v>
      </c>
      <c r="Q13" s="115">
        <v>0</v>
      </c>
      <c r="R13" s="115">
        <v>0</v>
      </c>
      <c r="S13" s="115">
        <v>0</v>
      </c>
      <c r="T13" s="115">
        <v>0</v>
      </c>
      <c r="U13" s="115">
        <v>0</v>
      </c>
      <c r="V13" s="115">
        <v>0</v>
      </c>
      <c r="W13" s="115">
        <v>0</v>
      </c>
      <c r="X13" s="115">
        <v>0</v>
      </c>
      <c r="Y13" s="115">
        <v>0</v>
      </c>
      <c r="Z13" s="115">
        <v>0</v>
      </c>
      <c r="AA13" s="115">
        <v>0</v>
      </c>
      <c r="AB13" s="115">
        <v>0</v>
      </c>
      <c r="AC13" s="115">
        <v>0</v>
      </c>
      <c r="AD13" s="115">
        <v>0</v>
      </c>
      <c r="AE13" s="115">
        <v>0</v>
      </c>
      <c r="AF13" s="115">
        <v>0</v>
      </c>
      <c r="AG13" s="115">
        <v>0</v>
      </c>
      <c r="AH13" s="115">
        <v>0</v>
      </c>
      <c r="AI13" s="115">
        <v>0</v>
      </c>
      <c r="AJ13" s="115">
        <v>0</v>
      </c>
      <c r="AK13" s="115">
        <v>0</v>
      </c>
      <c r="AL13" s="115">
        <v>0</v>
      </c>
      <c r="AM13" s="115">
        <v>0</v>
      </c>
      <c r="AN13" s="115">
        <v>0</v>
      </c>
      <c r="AO13" s="115">
        <v>0</v>
      </c>
      <c r="AP13" s="115">
        <v>0</v>
      </c>
      <c r="AQ13" s="115">
        <v>0</v>
      </c>
      <c r="AR13" s="115">
        <v>0</v>
      </c>
      <c r="AS13" s="115">
        <v>0</v>
      </c>
      <c r="AT13" s="115">
        <v>0</v>
      </c>
      <c r="AU13" s="115">
        <v>0</v>
      </c>
      <c r="AV13" s="115">
        <v>0</v>
      </c>
      <c r="AW13" s="115">
        <v>3547</v>
      </c>
      <c r="AX13" s="115">
        <f t="shared" ref="AX13:AY13" si="9">IF(AX12=0,0,AX14*1000000/AX12)</f>
        <v>3799.0499496185403</v>
      </c>
      <c r="AY13" s="131">
        <f t="shared" si="9"/>
        <v>3659.002229654403</v>
      </c>
      <c r="AZ13" s="117">
        <v>3680</v>
      </c>
      <c r="BA13" s="110">
        <f>AZ13-AY13</f>
        <v>20.997770345597019</v>
      </c>
      <c r="BB13" s="118">
        <f t="shared" ref="BB13:BB14" si="10">AY13-AX13</f>
        <v>-140.04771996413729</v>
      </c>
      <c r="BC13" s="119">
        <f t="shared" ref="BC13:BC14" si="11">AZ13-AX13</f>
        <v>-119.04994961854027</v>
      </c>
      <c r="BD13" s="113"/>
      <c r="BS13" s="90"/>
    </row>
    <row r="14" spans="1:79" s="129" customFormat="1" x14ac:dyDescent="0.25">
      <c r="A14" s="130" t="s">
        <v>61</v>
      </c>
      <c r="B14" s="132">
        <v>0</v>
      </c>
      <c r="C14" s="132">
        <v>0</v>
      </c>
      <c r="D14" s="132">
        <v>0</v>
      </c>
      <c r="E14" s="132">
        <v>0</v>
      </c>
      <c r="F14" s="132">
        <v>0</v>
      </c>
      <c r="G14" s="132">
        <v>0</v>
      </c>
      <c r="H14" s="132">
        <v>0</v>
      </c>
      <c r="I14" s="132">
        <v>0</v>
      </c>
      <c r="J14" s="132">
        <v>0</v>
      </c>
      <c r="K14" s="132">
        <v>5.0000000000000001E-4</v>
      </c>
      <c r="L14" s="132">
        <v>1.1000000000000001E-3</v>
      </c>
      <c r="M14" s="132">
        <v>7.7000000000000002E-3</v>
      </c>
      <c r="N14" s="132">
        <v>3.1199999999999999E-2</v>
      </c>
      <c r="O14" s="132">
        <v>1.5599999999999999E-2</v>
      </c>
      <c r="P14" s="132">
        <v>5.0000000000000001E-3</v>
      </c>
      <c r="Q14" s="132">
        <v>2.0000000000000001E-4</v>
      </c>
      <c r="R14" s="132">
        <v>1.0800000000000001E-2</v>
      </c>
      <c r="S14" s="132">
        <v>0</v>
      </c>
      <c r="T14" s="132">
        <v>1.2999999999999999E-2</v>
      </c>
      <c r="U14" s="132">
        <v>0</v>
      </c>
      <c r="V14" s="132">
        <v>8.8999999999999999E-3</v>
      </c>
      <c r="W14" s="132">
        <v>1.41E-2</v>
      </c>
      <c r="X14" s="132">
        <v>2.6100000000000002E-2</v>
      </c>
      <c r="Y14" s="132">
        <v>3.5400000000000001E-2</v>
      </c>
      <c r="Z14" s="132">
        <v>7.6499999999999999E-2</v>
      </c>
      <c r="AA14" s="132">
        <v>8.9200000000000002E-2</v>
      </c>
      <c r="AB14" s="132">
        <v>0.123</v>
      </c>
      <c r="AC14" s="132">
        <v>0.1779</v>
      </c>
      <c r="AD14" s="132">
        <v>0.22719999999999999</v>
      </c>
      <c r="AE14" s="132">
        <v>0.28299999999999997</v>
      </c>
      <c r="AF14" s="132">
        <v>0.27750000000000002</v>
      </c>
      <c r="AG14" s="132">
        <v>0.31160000000000004</v>
      </c>
      <c r="AH14" s="132">
        <v>0.32650000000000001</v>
      </c>
      <c r="AI14" s="132">
        <v>0.38430000000000003</v>
      </c>
      <c r="AJ14" s="132">
        <v>0.42530000000000001</v>
      </c>
      <c r="AK14" s="132">
        <v>0.4622</v>
      </c>
      <c r="AL14" s="132">
        <v>0.5393</v>
      </c>
      <c r="AM14" s="132">
        <v>0.60769799999999996</v>
      </c>
      <c r="AN14" s="132">
        <v>0.73292899999999994</v>
      </c>
      <c r="AO14" s="132">
        <v>0.76497384000000002</v>
      </c>
      <c r="AP14" s="132">
        <v>0.93032799999999993</v>
      </c>
      <c r="AQ14" s="132">
        <v>1.0952</v>
      </c>
      <c r="AR14" s="132">
        <v>1.1092</v>
      </c>
      <c r="AS14" s="132">
        <v>1.2337</v>
      </c>
      <c r="AT14" s="132">
        <v>1.3751</v>
      </c>
      <c r="AU14" s="132">
        <v>1.5266999999999999</v>
      </c>
      <c r="AV14" s="132">
        <v>2.0944000000000003</v>
      </c>
      <c r="AW14" s="132">
        <v>2.302</v>
      </c>
      <c r="AX14" s="132">
        <v>2.6391999999999998</v>
      </c>
      <c r="AY14" s="109">
        <v>2.6256999999999997</v>
      </c>
      <c r="AZ14" s="110">
        <f>AZ13*AZ12/1000000</f>
        <v>2.5760000000000001</v>
      </c>
      <c r="BA14" s="110">
        <f>AZ14-AY14</f>
        <v>-4.9699999999999633E-2</v>
      </c>
      <c r="BB14" s="120">
        <f t="shared" si="10"/>
        <v>-1.3500000000000068E-2</v>
      </c>
      <c r="BC14" s="121">
        <f t="shared" si="11"/>
        <v>-6.3199999999999701E-2</v>
      </c>
      <c r="BD14" s="113">
        <f t="shared" si="5"/>
        <v>0.16426689162857322</v>
      </c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</row>
    <row r="15" spans="1:79" x14ac:dyDescent="0.25">
      <c r="A15" s="122" t="s">
        <v>64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4"/>
      <c r="AZ15" s="125"/>
      <c r="BA15" s="125"/>
      <c r="BB15" s="126"/>
      <c r="BC15" s="127"/>
      <c r="BD15" s="128"/>
      <c r="BS15" s="90"/>
    </row>
    <row r="16" spans="1:79" x14ac:dyDescent="0.25">
      <c r="A16" s="130" t="s">
        <v>59</v>
      </c>
      <c r="B16" s="132">
        <v>0</v>
      </c>
      <c r="C16" s="132">
        <v>0</v>
      </c>
      <c r="D16" s="132">
        <v>0</v>
      </c>
      <c r="E16" s="132">
        <v>0</v>
      </c>
      <c r="F16" s="132">
        <v>0</v>
      </c>
      <c r="G16" s="132">
        <v>0</v>
      </c>
      <c r="H16" s="132">
        <v>0</v>
      </c>
      <c r="I16" s="132">
        <v>0</v>
      </c>
      <c r="J16" s="132">
        <v>0</v>
      </c>
      <c r="K16" s="132">
        <v>0</v>
      </c>
      <c r="L16" s="132">
        <v>0</v>
      </c>
      <c r="M16" s="132">
        <v>0</v>
      </c>
      <c r="N16" s="132">
        <v>0</v>
      </c>
      <c r="O16" s="132">
        <v>0</v>
      </c>
      <c r="P16" s="132">
        <v>0</v>
      </c>
      <c r="Q16" s="132">
        <v>0</v>
      </c>
      <c r="R16" s="132">
        <v>0</v>
      </c>
      <c r="S16" s="132">
        <v>0</v>
      </c>
      <c r="T16" s="132">
        <v>0</v>
      </c>
      <c r="U16" s="132">
        <v>0</v>
      </c>
      <c r="V16" s="132">
        <v>0</v>
      </c>
      <c r="W16" s="132">
        <v>0</v>
      </c>
      <c r="X16" s="132">
        <v>0</v>
      </c>
      <c r="Y16" s="108">
        <v>0</v>
      </c>
      <c r="Z16" s="132">
        <v>0</v>
      </c>
      <c r="AA16" s="132">
        <v>0</v>
      </c>
      <c r="AB16" s="132">
        <v>0</v>
      </c>
      <c r="AC16" s="132">
        <v>0</v>
      </c>
      <c r="AD16" s="132">
        <v>0</v>
      </c>
      <c r="AE16" s="132">
        <v>0</v>
      </c>
      <c r="AF16" s="132">
        <v>0</v>
      </c>
      <c r="AG16" s="132">
        <v>0</v>
      </c>
      <c r="AH16" s="108">
        <v>0</v>
      </c>
      <c r="AI16" s="108">
        <v>0</v>
      </c>
      <c r="AJ16" s="108">
        <v>0</v>
      </c>
      <c r="AK16" s="108">
        <v>0</v>
      </c>
      <c r="AL16" s="108">
        <v>0</v>
      </c>
      <c r="AM16" s="108">
        <v>0</v>
      </c>
      <c r="AN16" s="108">
        <v>0</v>
      </c>
      <c r="AO16" s="108">
        <v>0</v>
      </c>
      <c r="AP16" s="108">
        <v>0</v>
      </c>
      <c r="AQ16" s="108">
        <v>0.5</v>
      </c>
      <c r="AR16" s="108">
        <v>1.5</v>
      </c>
      <c r="AS16" s="108">
        <v>4</v>
      </c>
      <c r="AT16" s="108">
        <v>6.1</v>
      </c>
      <c r="AU16" s="108">
        <v>6.1</v>
      </c>
      <c r="AV16" s="108">
        <v>12</v>
      </c>
      <c r="AW16" s="108">
        <v>17.5</v>
      </c>
      <c r="AX16" s="108">
        <v>18.600000000000001</v>
      </c>
      <c r="AY16" s="109">
        <v>22</v>
      </c>
      <c r="AZ16" s="110">
        <v>22</v>
      </c>
      <c r="BA16" s="110">
        <f>AZ16-AY16</f>
        <v>0</v>
      </c>
      <c r="BB16" s="111">
        <f>AY16-AX16</f>
        <v>3.3999999999999986</v>
      </c>
      <c r="BC16" s="112">
        <f>AZ16-AX16</f>
        <v>3.3999999999999986</v>
      </c>
      <c r="BD16" s="113">
        <f t="shared" si="5"/>
        <v>0.35984870049040585</v>
      </c>
      <c r="BF16" s="114" t="b">
        <v>1</v>
      </c>
      <c r="BS16" s="90"/>
    </row>
    <row r="17" spans="1:79" x14ac:dyDescent="0.25">
      <c r="A17" s="130" t="s">
        <v>60</v>
      </c>
      <c r="B17" s="115">
        <v>0</v>
      </c>
      <c r="C17" s="115">
        <v>0</v>
      </c>
      <c r="D17" s="115">
        <v>0</v>
      </c>
      <c r="E17" s="115">
        <v>0</v>
      </c>
      <c r="F17" s="115">
        <v>0</v>
      </c>
      <c r="G17" s="115">
        <v>0</v>
      </c>
      <c r="H17" s="115">
        <v>0</v>
      </c>
      <c r="I17" s="115">
        <v>0</v>
      </c>
      <c r="J17" s="115">
        <v>0</v>
      </c>
      <c r="K17" s="115">
        <v>0</v>
      </c>
      <c r="L17" s="115">
        <v>0</v>
      </c>
      <c r="M17" s="115">
        <v>0</v>
      </c>
      <c r="N17" s="115">
        <v>0</v>
      </c>
      <c r="O17" s="115">
        <v>0</v>
      </c>
      <c r="P17" s="115">
        <v>0</v>
      </c>
      <c r="Q17" s="115">
        <v>0</v>
      </c>
      <c r="R17" s="115">
        <v>0</v>
      </c>
      <c r="S17" s="115">
        <v>0</v>
      </c>
      <c r="T17" s="115">
        <v>0</v>
      </c>
      <c r="U17" s="115">
        <v>0</v>
      </c>
      <c r="V17" s="115">
        <v>0</v>
      </c>
      <c r="W17" s="115">
        <v>0</v>
      </c>
      <c r="X17" s="115">
        <v>0</v>
      </c>
      <c r="Y17" s="115">
        <v>0</v>
      </c>
      <c r="Z17" s="115">
        <v>0</v>
      </c>
      <c r="AA17" s="115">
        <v>0</v>
      </c>
      <c r="AB17" s="115">
        <v>0</v>
      </c>
      <c r="AC17" s="115">
        <v>0</v>
      </c>
      <c r="AD17" s="115">
        <v>0</v>
      </c>
      <c r="AE17" s="115">
        <v>0</v>
      </c>
      <c r="AF17" s="115">
        <v>0</v>
      </c>
      <c r="AG17" s="115">
        <v>0</v>
      </c>
      <c r="AH17" s="115">
        <v>0</v>
      </c>
      <c r="AI17" s="115">
        <v>0</v>
      </c>
      <c r="AJ17" s="115">
        <v>0</v>
      </c>
      <c r="AK17" s="115">
        <v>0</v>
      </c>
      <c r="AL17" s="115">
        <v>0</v>
      </c>
      <c r="AM17" s="115">
        <v>0</v>
      </c>
      <c r="AN17" s="115">
        <v>0</v>
      </c>
      <c r="AO17" s="115">
        <v>0</v>
      </c>
      <c r="AP17" s="115">
        <v>0</v>
      </c>
      <c r="AQ17" s="115">
        <v>2938</v>
      </c>
      <c r="AR17" s="115">
        <v>2940</v>
      </c>
      <c r="AS17" s="115">
        <v>2939</v>
      </c>
      <c r="AT17" s="115">
        <v>2688</v>
      </c>
      <c r="AU17" s="115">
        <v>3344</v>
      </c>
      <c r="AV17" s="115">
        <v>3808</v>
      </c>
      <c r="AW17" s="115">
        <v>3460</v>
      </c>
      <c r="AX17" s="115">
        <f t="shared" ref="AX17:AY17" si="12">IF(AX16=0,0,AX18*1000000/AX16)</f>
        <v>3456.9892473118275</v>
      </c>
      <c r="AY17" s="131">
        <f t="shared" si="12"/>
        <v>3459.090909090909</v>
      </c>
      <c r="AZ17" s="117">
        <v>3459</v>
      </c>
      <c r="BA17" s="110">
        <f>AZ17-AY17</f>
        <v>-9.0909090909008228E-2</v>
      </c>
      <c r="BB17" s="118">
        <f t="shared" ref="BB17:BB18" si="13">AY17-AX17</f>
        <v>2.1016617790814962</v>
      </c>
      <c r="BC17" s="119">
        <f t="shared" ref="BC17:BC18" si="14">AZ17-AX17</f>
        <v>2.010752688172488</v>
      </c>
      <c r="BD17" s="113">
        <f t="shared" si="5"/>
        <v>3.2998494382964205E-2</v>
      </c>
      <c r="BS17" s="90"/>
    </row>
    <row r="18" spans="1:79" s="129" customFormat="1" x14ac:dyDescent="0.25">
      <c r="A18" s="130" t="s">
        <v>61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Z18" s="132">
        <v>0</v>
      </c>
      <c r="AA18" s="132">
        <v>0</v>
      </c>
      <c r="AB18" s="132">
        <v>0</v>
      </c>
      <c r="AC18" s="132">
        <v>0</v>
      </c>
      <c r="AD18" s="132">
        <v>0</v>
      </c>
      <c r="AE18" s="132">
        <v>0</v>
      </c>
      <c r="AF18" s="132">
        <v>0</v>
      </c>
      <c r="AG18" s="132">
        <v>0</v>
      </c>
      <c r="AH18" s="132">
        <v>0</v>
      </c>
      <c r="AI18" s="132">
        <v>0</v>
      </c>
      <c r="AJ18" s="132">
        <v>0</v>
      </c>
      <c r="AK18" s="132">
        <v>0</v>
      </c>
      <c r="AL18" s="132">
        <v>0</v>
      </c>
      <c r="AM18" s="132">
        <v>0</v>
      </c>
      <c r="AN18" s="132">
        <v>0</v>
      </c>
      <c r="AO18" s="132">
        <v>0</v>
      </c>
      <c r="AP18" s="132">
        <v>0</v>
      </c>
      <c r="AQ18" s="132">
        <v>1.469E-3</v>
      </c>
      <c r="AR18" s="132">
        <v>4.4000000000000003E-3</v>
      </c>
      <c r="AS18" s="132">
        <v>1.1800000000000001E-2</v>
      </c>
      <c r="AT18" s="132">
        <v>1.6399999999999998E-2</v>
      </c>
      <c r="AU18" s="132">
        <v>2.0399999999999998E-2</v>
      </c>
      <c r="AV18" s="132">
        <v>4.5700000000000005E-2</v>
      </c>
      <c r="AW18" s="132">
        <v>6.0600000000000001E-2</v>
      </c>
      <c r="AX18" s="132">
        <v>6.4299999999999996E-2</v>
      </c>
      <c r="AY18" s="109">
        <v>7.6100000000000001E-2</v>
      </c>
      <c r="AZ18" s="110">
        <f>AZ17*AZ16/1000000</f>
        <v>7.6097999999999999E-2</v>
      </c>
      <c r="BA18" s="110">
        <f>AZ18-AY18</f>
        <v>-2.0000000000020002E-6</v>
      </c>
      <c r="BB18" s="120">
        <f t="shared" si="13"/>
        <v>1.1800000000000005E-2</v>
      </c>
      <c r="BC18" s="121">
        <f t="shared" si="14"/>
        <v>1.1798000000000003E-2</v>
      </c>
      <c r="BD18" s="113">
        <f t="shared" si="5"/>
        <v>0.40367250514989284</v>
      </c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</row>
    <row r="19" spans="1:79" x14ac:dyDescent="0.25">
      <c r="A19" s="122" t="s">
        <v>65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4"/>
      <c r="AZ19" s="125"/>
      <c r="BA19" s="125"/>
      <c r="BB19" s="126"/>
      <c r="BC19" s="127"/>
      <c r="BD19" s="128"/>
      <c r="BS19" s="90"/>
    </row>
    <row r="20" spans="1:79" x14ac:dyDescent="0.25">
      <c r="A20" s="130" t="s">
        <v>59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08">
        <v>0</v>
      </c>
      <c r="Z20" s="132">
        <v>0</v>
      </c>
      <c r="AA20" s="132">
        <v>1.1000000000000001</v>
      </c>
      <c r="AB20" s="132">
        <v>2.1</v>
      </c>
      <c r="AC20" s="132">
        <v>2.1</v>
      </c>
      <c r="AD20" s="132">
        <v>2.8</v>
      </c>
      <c r="AE20" s="132">
        <v>1.9</v>
      </c>
      <c r="AF20" s="132">
        <v>0</v>
      </c>
      <c r="AG20" s="132">
        <v>0</v>
      </c>
      <c r="AH20" s="108">
        <v>0</v>
      </c>
      <c r="AI20" s="108">
        <v>0</v>
      </c>
      <c r="AJ20" s="108">
        <v>0</v>
      </c>
      <c r="AK20" s="108">
        <v>0</v>
      </c>
      <c r="AL20" s="108">
        <v>0</v>
      </c>
      <c r="AM20" s="108">
        <v>0</v>
      </c>
      <c r="AN20" s="108">
        <v>0</v>
      </c>
      <c r="AO20" s="108">
        <v>0</v>
      </c>
      <c r="AP20" s="108">
        <v>0</v>
      </c>
      <c r="AQ20" s="108">
        <v>1.5</v>
      </c>
      <c r="AR20" s="108">
        <v>2.2000000000000002</v>
      </c>
      <c r="AS20" s="108">
        <v>2.2999999999999998</v>
      </c>
      <c r="AT20" s="108">
        <v>4.3</v>
      </c>
      <c r="AU20" s="108">
        <v>4.5</v>
      </c>
      <c r="AV20" s="108">
        <v>6.9</v>
      </c>
      <c r="AW20" s="108">
        <v>17.7</v>
      </c>
      <c r="AX20" s="108">
        <v>13.5</v>
      </c>
      <c r="AY20" s="109">
        <v>17.7</v>
      </c>
      <c r="AZ20" s="110">
        <v>17.7</v>
      </c>
      <c r="BA20" s="110">
        <f>AZ20-AY20</f>
        <v>0</v>
      </c>
      <c r="BB20" s="111">
        <f>AY20-AX20</f>
        <v>4.1999999999999993</v>
      </c>
      <c r="BC20" s="112">
        <f>AZ20-AX20</f>
        <v>4.1999999999999993</v>
      </c>
      <c r="BD20" s="113">
        <f t="shared" si="5"/>
        <v>0.4246926589113853</v>
      </c>
      <c r="BF20" s="114" t="b">
        <v>1</v>
      </c>
      <c r="BS20" s="90"/>
    </row>
    <row r="21" spans="1:79" x14ac:dyDescent="0.25">
      <c r="A21" s="130" t="s">
        <v>60</v>
      </c>
      <c r="B21" s="115">
        <v>0</v>
      </c>
      <c r="C21" s="115">
        <v>0</v>
      </c>
      <c r="D21" s="115">
        <v>0</v>
      </c>
      <c r="E21" s="115">
        <v>0</v>
      </c>
      <c r="F21" s="115">
        <v>0</v>
      </c>
      <c r="G21" s="115">
        <v>0</v>
      </c>
      <c r="H21" s="115">
        <v>0</v>
      </c>
      <c r="I21" s="115">
        <v>0</v>
      </c>
      <c r="J21" s="115">
        <v>0</v>
      </c>
      <c r="K21" s="115">
        <v>0</v>
      </c>
      <c r="L21" s="115">
        <v>0</v>
      </c>
      <c r="M21" s="115">
        <v>0</v>
      </c>
      <c r="N21" s="115">
        <v>0</v>
      </c>
      <c r="O21" s="115">
        <v>0</v>
      </c>
      <c r="P21" s="115">
        <v>0</v>
      </c>
      <c r="Q21" s="115">
        <v>0</v>
      </c>
      <c r="R21" s="115">
        <v>0</v>
      </c>
      <c r="S21" s="115">
        <v>0</v>
      </c>
      <c r="T21" s="115">
        <v>0</v>
      </c>
      <c r="U21" s="115">
        <v>0</v>
      </c>
      <c r="V21" s="115">
        <v>0</v>
      </c>
      <c r="W21" s="115">
        <v>0</v>
      </c>
      <c r="X21" s="115">
        <v>0</v>
      </c>
      <c r="Y21" s="115">
        <v>0</v>
      </c>
      <c r="Z21" s="115">
        <v>0</v>
      </c>
      <c r="AA21" s="115">
        <v>1454</v>
      </c>
      <c r="AB21" s="115">
        <v>2571</v>
      </c>
      <c r="AC21" s="115">
        <v>2571</v>
      </c>
      <c r="AD21" s="115">
        <v>3000</v>
      </c>
      <c r="AE21" s="115">
        <v>3000</v>
      </c>
      <c r="AF21" s="115">
        <v>0</v>
      </c>
      <c r="AG21" s="115">
        <v>0</v>
      </c>
      <c r="AH21" s="115">
        <v>0</v>
      </c>
      <c r="AI21" s="115">
        <v>0</v>
      </c>
      <c r="AJ21" s="115">
        <v>0</v>
      </c>
      <c r="AK21" s="115">
        <v>0</v>
      </c>
      <c r="AL21" s="115">
        <v>0</v>
      </c>
      <c r="AM21" s="115">
        <v>0</v>
      </c>
      <c r="AN21" s="115">
        <v>0</v>
      </c>
      <c r="AO21" s="115">
        <v>0</v>
      </c>
      <c r="AP21" s="115">
        <v>0</v>
      </c>
      <c r="AQ21" s="115">
        <v>2250</v>
      </c>
      <c r="AR21" s="115">
        <v>2400</v>
      </c>
      <c r="AS21" s="115">
        <v>2300</v>
      </c>
      <c r="AT21" s="115">
        <v>3000</v>
      </c>
      <c r="AU21" s="115">
        <v>3000</v>
      </c>
      <c r="AV21" s="115">
        <v>2880</v>
      </c>
      <c r="AW21" s="115">
        <v>3060</v>
      </c>
      <c r="AX21" s="115">
        <f t="shared" ref="AX21:AY21" si="15">IF(AX20=0,0,AX22*1000000/AX20)</f>
        <v>3333.3333333333335</v>
      </c>
      <c r="AY21" s="131">
        <f t="shared" si="15"/>
        <v>3062.146892655368</v>
      </c>
      <c r="AZ21" s="117">
        <v>3062</v>
      </c>
      <c r="BA21" s="110">
        <f>AZ21-AY21</f>
        <v>-0.14689265536799212</v>
      </c>
      <c r="BB21" s="118">
        <f t="shared" ref="BB21:BB22" si="16">AY21-AX21</f>
        <v>-271.18644067796549</v>
      </c>
      <c r="BC21" s="119">
        <f t="shared" ref="BC21:BC22" si="17">AZ21-AX21</f>
        <v>-271.33333333333348</v>
      </c>
      <c r="BD21" s="113">
        <f t="shared" si="5"/>
        <v>7.7035905736427601E-2</v>
      </c>
      <c r="BS21" s="90"/>
    </row>
    <row r="22" spans="1:79" s="129" customFormat="1" x14ac:dyDescent="0.25">
      <c r="A22" s="130" t="s">
        <v>61</v>
      </c>
      <c r="B22" s="132">
        <v>0</v>
      </c>
      <c r="C22" s="132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2">
        <v>0</v>
      </c>
      <c r="K22" s="132">
        <v>0</v>
      </c>
      <c r="L22" s="132">
        <v>0</v>
      </c>
      <c r="M22" s="132">
        <v>0</v>
      </c>
      <c r="N22" s="132">
        <v>0</v>
      </c>
      <c r="O22" s="132">
        <v>0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</v>
      </c>
      <c r="X22" s="132">
        <v>0</v>
      </c>
      <c r="Y22" s="132">
        <v>0</v>
      </c>
      <c r="Z22" s="132">
        <v>0</v>
      </c>
      <c r="AA22" s="132">
        <v>1.6000000000000001E-3</v>
      </c>
      <c r="AB22" s="132">
        <v>5.4000000000000003E-3</v>
      </c>
      <c r="AC22" s="132">
        <v>5.4000000000000003E-3</v>
      </c>
      <c r="AD22" s="132">
        <v>8.4000000000000012E-3</v>
      </c>
      <c r="AE22" s="132">
        <v>5.7000000000000002E-3</v>
      </c>
      <c r="AF22" s="132">
        <v>0</v>
      </c>
      <c r="AG22" s="132">
        <v>0</v>
      </c>
      <c r="AH22" s="132">
        <v>0</v>
      </c>
      <c r="AI22" s="132">
        <v>0</v>
      </c>
      <c r="AJ22" s="132">
        <v>0</v>
      </c>
      <c r="AK22" s="132">
        <v>0</v>
      </c>
      <c r="AL22" s="132">
        <v>0</v>
      </c>
      <c r="AM22" s="132">
        <v>0</v>
      </c>
      <c r="AN22" s="132">
        <v>0</v>
      </c>
      <c r="AO22" s="132">
        <v>0</v>
      </c>
      <c r="AP22" s="132">
        <v>0</v>
      </c>
      <c r="AQ22" s="132">
        <v>3.375E-3</v>
      </c>
      <c r="AR22" s="132">
        <v>5.3E-3</v>
      </c>
      <c r="AS22" s="132">
        <v>5.3E-3</v>
      </c>
      <c r="AT22" s="132">
        <v>1.29E-2</v>
      </c>
      <c r="AU22" s="132">
        <v>1.35E-2</v>
      </c>
      <c r="AV22" s="132">
        <v>1.9899999999999998E-2</v>
      </c>
      <c r="AW22" s="132">
        <v>5.4200000000000005E-2</v>
      </c>
      <c r="AX22" s="132">
        <v>4.4999999999999998E-2</v>
      </c>
      <c r="AY22" s="109">
        <v>5.4200000000000005E-2</v>
      </c>
      <c r="AZ22" s="110">
        <f>AZ21*AZ20/1000000</f>
        <v>5.41974E-2</v>
      </c>
      <c r="BA22" s="110">
        <f>AZ22-AY22</f>
        <v>-2.6000000000053758E-6</v>
      </c>
      <c r="BB22" s="120">
        <f t="shared" si="16"/>
        <v>9.2000000000000068E-3</v>
      </c>
      <c r="BC22" s="121">
        <f t="shared" si="17"/>
        <v>9.1974000000000014E-3</v>
      </c>
      <c r="BD22" s="113">
        <f t="shared" si="5"/>
        <v>0.5338656748780386</v>
      </c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</row>
    <row r="23" spans="1:79" x14ac:dyDescent="0.25">
      <c r="A23" s="122" t="s">
        <v>66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4"/>
      <c r="AZ23" s="125"/>
      <c r="BA23" s="125"/>
      <c r="BB23" s="126"/>
      <c r="BC23" s="127"/>
      <c r="BD23" s="128"/>
      <c r="BS23" s="90"/>
    </row>
    <row r="24" spans="1:79" x14ac:dyDescent="0.25">
      <c r="A24" s="130" t="s">
        <v>59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08">
        <v>0</v>
      </c>
      <c r="Z24" s="132">
        <v>0</v>
      </c>
      <c r="AA24" s="132">
        <v>0</v>
      </c>
      <c r="AB24" s="132">
        <v>0</v>
      </c>
      <c r="AC24" s="132">
        <v>0</v>
      </c>
      <c r="AD24" s="132">
        <v>0</v>
      </c>
      <c r="AE24" s="132">
        <v>0</v>
      </c>
      <c r="AF24" s="132">
        <v>0</v>
      </c>
      <c r="AG24" s="132">
        <v>0</v>
      </c>
      <c r="AH24" s="108">
        <v>0</v>
      </c>
      <c r="AI24" s="108">
        <v>0</v>
      </c>
      <c r="AJ24" s="108">
        <v>0</v>
      </c>
      <c r="AK24" s="108">
        <v>0</v>
      </c>
      <c r="AL24" s="108">
        <v>0</v>
      </c>
      <c r="AM24" s="108">
        <v>0</v>
      </c>
      <c r="AN24" s="108">
        <v>0</v>
      </c>
      <c r="AO24" s="108">
        <v>0</v>
      </c>
      <c r="AP24" s="108">
        <v>18.899999999999999</v>
      </c>
      <c r="AQ24" s="108">
        <v>20.2</v>
      </c>
      <c r="AR24" s="108">
        <v>20.9</v>
      </c>
      <c r="AS24" s="108">
        <v>20.9</v>
      </c>
      <c r="AT24" s="108">
        <v>5.3</v>
      </c>
      <c r="AU24" s="108">
        <v>6.5</v>
      </c>
      <c r="AV24" s="108">
        <v>7.4</v>
      </c>
      <c r="AW24" s="108">
        <v>7.5</v>
      </c>
      <c r="AX24" s="108">
        <v>10</v>
      </c>
      <c r="AY24" s="109">
        <v>12</v>
      </c>
      <c r="AZ24" s="110">
        <v>12</v>
      </c>
      <c r="BA24" s="110">
        <f>AZ24-AY24</f>
        <v>0</v>
      </c>
      <c r="BB24" s="111">
        <f>AY24-AX24</f>
        <v>2</v>
      </c>
      <c r="BC24" s="112">
        <f>AZ24-AX24</f>
        <v>2</v>
      </c>
      <c r="BD24" s="113">
        <f t="shared" si="5"/>
        <v>-0.13707958676098309</v>
      </c>
      <c r="BF24" s="114" t="b">
        <v>1</v>
      </c>
      <c r="BS24" s="90"/>
    </row>
    <row r="25" spans="1:79" x14ac:dyDescent="0.25">
      <c r="A25" s="130" t="s">
        <v>60</v>
      </c>
      <c r="B25" s="115">
        <v>0</v>
      </c>
      <c r="C25" s="115">
        <v>0</v>
      </c>
      <c r="D25" s="115">
        <v>0</v>
      </c>
      <c r="E25" s="115">
        <v>0</v>
      </c>
      <c r="F25" s="115">
        <v>0</v>
      </c>
      <c r="G25" s="115">
        <v>0</v>
      </c>
      <c r="H25" s="115">
        <v>0</v>
      </c>
      <c r="I25" s="115">
        <v>0</v>
      </c>
      <c r="J25" s="115">
        <v>0</v>
      </c>
      <c r="K25" s="115">
        <v>0</v>
      </c>
      <c r="L25" s="115">
        <v>0</v>
      </c>
      <c r="M25" s="115">
        <v>0</v>
      </c>
      <c r="N25" s="115">
        <v>0</v>
      </c>
      <c r="O25" s="115">
        <v>0</v>
      </c>
      <c r="P25" s="115">
        <v>0</v>
      </c>
      <c r="Q25" s="115">
        <v>0</v>
      </c>
      <c r="R25" s="115">
        <v>0</v>
      </c>
      <c r="S25" s="115">
        <v>0</v>
      </c>
      <c r="T25" s="115">
        <v>0</v>
      </c>
      <c r="U25" s="115">
        <v>0</v>
      </c>
      <c r="V25" s="115">
        <v>0</v>
      </c>
      <c r="W25" s="115">
        <v>0</v>
      </c>
      <c r="X25" s="115">
        <v>0</v>
      </c>
      <c r="Y25" s="115">
        <v>0</v>
      </c>
      <c r="Z25" s="115">
        <v>0</v>
      </c>
      <c r="AA25" s="115">
        <v>0</v>
      </c>
      <c r="AB25" s="115">
        <v>0</v>
      </c>
      <c r="AC25" s="115">
        <v>0</v>
      </c>
      <c r="AD25" s="115">
        <v>0</v>
      </c>
      <c r="AE25" s="115">
        <v>0</v>
      </c>
      <c r="AF25" s="115">
        <v>0</v>
      </c>
      <c r="AG25" s="115">
        <v>0</v>
      </c>
      <c r="AH25" s="115">
        <v>0</v>
      </c>
      <c r="AI25" s="115">
        <v>0</v>
      </c>
      <c r="AJ25" s="115">
        <v>0</v>
      </c>
      <c r="AK25" s="115">
        <v>0</v>
      </c>
      <c r="AL25" s="115">
        <v>0</v>
      </c>
      <c r="AM25" s="115">
        <v>0</v>
      </c>
      <c r="AN25" s="115">
        <v>0</v>
      </c>
      <c r="AO25" s="115">
        <v>0</v>
      </c>
      <c r="AP25" s="115">
        <v>2878</v>
      </c>
      <c r="AQ25" s="115">
        <v>2884</v>
      </c>
      <c r="AR25" s="115">
        <v>2751</v>
      </c>
      <c r="AS25" s="115">
        <v>2837</v>
      </c>
      <c r="AT25" s="115">
        <v>2420</v>
      </c>
      <c r="AU25" s="115">
        <v>2650</v>
      </c>
      <c r="AV25" s="115">
        <v>2658</v>
      </c>
      <c r="AW25" s="115">
        <v>2693</v>
      </c>
      <c r="AX25" s="115">
        <f t="shared" ref="AX25:AY25" si="18">IF(AX24=0,0,AX26*1000000/AX24)</f>
        <v>2619.9999999999995</v>
      </c>
      <c r="AY25" s="131">
        <f t="shared" si="18"/>
        <v>2650.0000000000005</v>
      </c>
      <c r="AZ25" s="117">
        <v>2618</v>
      </c>
      <c r="BA25" s="110">
        <f>AZ25-AY25</f>
        <v>-32.000000000000455</v>
      </c>
      <c r="BB25" s="118">
        <f t="shared" ref="BB25:BB26" si="19">AY25-AX25</f>
        <v>30.000000000000909</v>
      </c>
      <c r="BC25" s="119">
        <f t="shared" ref="BC25:BC26" si="20">AZ25-AX25</f>
        <v>-1.9999999999995453</v>
      </c>
      <c r="BD25" s="113">
        <f t="shared" si="5"/>
        <v>-1.5788600004904341E-2</v>
      </c>
      <c r="BS25" s="90"/>
    </row>
    <row r="26" spans="1:79" s="129" customFormat="1" x14ac:dyDescent="0.25">
      <c r="A26" s="130" t="s">
        <v>61</v>
      </c>
      <c r="B26" s="132">
        <v>0</v>
      </c>
      <c r="C26" s="132">
        <v>0</v>
      </c>
      <c r="D26" s="132">
        <v>0</v>
      </c>
      <c r="E26" s="132">
        <v>0</v>
      </c>
      <c r="F26" s="132">
        <v>0</v>
      </c>
      <c r="G26" s="132">
        <v>0</v>
      </c>
      <c r="H26" s="132">
        <v>0</v>
      </c>
      <c r="I26" s="132">
        <v>0</v>
      </c>
      <c r="J26" s="132">
        <v>0</v>
      </c>
      <c r="K26" s="132">
        <v>0</v>
      </c>
      <c r="L26" s="132">
        <v>0</v>
      </c>
      <c r="M26" s="132">
        <v>0</v>
      </c>
      <c r="N26" s="132">
        <v>0</v>
      </c>
      <c r="O26" s="132">
        <v>0</v>
      </c>
      <c r="P26" s="132">
        <v>0</v>
      </c>
      <c r="Q26" s="132">
        <v>0</v>
      </c>
      <c r="R26" s="132">
        <v>0</v>
      </c>
      <c r="S26" s="132">
        <v>0</v>
      </c>
      <c r="T26" s="132">
        <v>0</v>
      </c>
      <c r="U26" s="132">
        <v>0</v>
      </c>
      <c r="V26" s="132">
        <v>0</v>
      </c>
      <c r="W26" s="132">
        <v>0</v>
      </c>
      <c r="X26" s="132">
        <v>0</v>
      </c>
      <c r="Y26" s="132">
        <v>0</v>
      </c>
      <c r="Z26" s="132">
        <v>0</v>
      </c>
      <c r="AA26" s="132">
        <v>0</v>
      </c>
      <c r="AB26" s="132">
        <v>0</v>
      </c>
      <c r="AC26" s="132">
        <v>0</v>
      </c>
      <c r="AD26" s="132">
        <v>0</v>
      </c>
      <c r="AE26" s="132">
        <v>0</v>
      </c>
      <c r="AF26" s="132">
        <v>0</v>
      </c>
      <c r="AG26" s="132">
        <v>0</v>
      </c>
      <c r="AH26" s="132">
        <v>0</v>
      </c>
      <c r="AI26" s="132">
        <v>0</v>
      </c>
      <c r="AJ26" s="132">
        <v>0</v>
      </c>
      <c r="AK26" s="132">
        <v>0</v>
      </c>
      <c r="AL26" s="132">
        <v>0</v>
      </c>
      <c r="AM26" s="132">
        <v>0</v>
      </c>
      <c r="AN26" s="132">
        <v>0</v>
      </c>
      <c r="AO26" s="132">
        <v>0</v>
      </c>
      <c r="AP26" s="132">
        <v>5.4394199999999997E-2</v>
      </c>
      <c r="AQ26" s="132">
        <v>5.8256799999999997E-2</v>
      </c>
      <c r="AR26" s="132">
        <v>5.7500000000000002E-2</v>
      </c>
      <c r="AS26" s="132">
        <v>5.9299999999999999E-2</v>
      </c>
      <c r="AT26" s="132">
        <v>1.2800000000000001E-2</v>
      </c>
      <c r="AU26" s="132">
        <v>1.72E-2</v>
      </c>
      <c r="AV26" s="132">
        <v>1.9699999999999999E-2</v>
      </c>
      <c r="AW26" s="132">
        <v>2.0199999999999999E-2</v>
      </c>
      <c r="AX26" s="132">
        <v>2.6199999999999998E-2</v>
      </c>
      <c r="AY26" s="109">
        <v>3.1800000000000002E-2</v>
      </c>
      <c r="AZ26" s="110">
        <f>AZ25*AZ24/1000000</f>
        <v>3.1415999999999999E-2</v>
      </c>
      <c r="BA26" s="110">
        <f>AZ26-AY26</f>
        <v>-3.8400000000000239E-4</v>
      </c>
      <c r="BB26" s="120">
        <f t="shared" si="19"/>
        <v>5.6000000000000043E-3</v>
      </c>
      <c r="BC26" s="121">
        <f t="shared" si="20"/>
        <v>5.2160000000000019E-3</v>
      </c>
      <c r="BD26" s="113">
        <f t="shared" si="5"/>
        <v>-0.15072308438315563</v>
      </c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</row>
    <row r="27" spans="1:79" x14ac:dyDescent="0.25">
      <c r="A27" s="122" t="s">
        <v>67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4"/>
      <c r="AZ27" s="125"/>
      <c r="BA27" s="125"/>
      <c r="BB27" s="139"/>
      <c r="BC27" s="140"/>
      <c r="BD27" s="141"/>
      <c r="BS27" s="90"/>
    </row>
    <row r="28" spans="1:79" x14ac:dyDescent="0.25">
      <c r="A28" s="130" t="s">
        <v>59</v>
      </c>
      <c r="B28" s="132">
        <v>0</v>
      </c>
      <c r="C28" s="132">
        <v>0</v>
      </c>
      <c r="D28" s="132">
        <v>0</v>
      </c>
      <c r="E28" s="132">
        <v>0</v>
      </c>
      <c r="F28" s="132">
        <v>0</v>
      </c>
      <c r="G28" s="132">
        <v>0</v>
      </c>
      <c r="H28" s="132">
        <v>0</v>
      </c>
      <c r="I28" s="132">
        <v>0</v>
      </c>
      <c r="J28" s="132">
        <v>0</v>
      </c>
      <c r="K28" s="132">
        <v>0</v>
      </c>
      <c r="L28" s="132">
        <v>0</v>
      </c>
      <c r="M28" s="132">
        <v>0</v>
      </c>
      <c r="N28" s="132">
        <v>0</v>
      </c>
      <c r="O28" s="132">
        <v>0</v>
      </c>
      <c r="P28" s="132">
        <v>0</v>
      </c>
      <c r="Q28" s="132">
        <v>0</v>
      </c>
      <c r="R28" s="132">
        <v>0</v>
      </c>
      <c r="S28" s="132">
        <v>0</v>
      </c>
      <c r="T28" s="132">
        <v>0</v>
      </c>
      <c r="U28" s="132">
        <v>0</v>
      </c>
      <c r="V28" s="132">
        <v>0</v>
      </c>
      <c r="W28" s="132">
        <v>2.6</v>
      </c>
      <c r="X28" s="132">
        <v>1.6</v>
      </c>
      <c r="Y28" s="108">
        <v>2.2999999999999998</v>
      </c>
      <c r="Z28" s="132">
        <v>0.7</v>
      </c>
      <c r="AA28" s="132">
        <v>2.9</v>
      </c>
      <c r="AB28" s="132">
        <v>15.5</v>
      </c>
      <c r="AC28" s="132">
        <v>35.200000000000003</v>
      </c>
      <c r="AD28" s="132">
        <v>69</v>
      </c>
      <c r="AE28" s="132">
        <v>79.7</v>
      </c>
      <c r="AF28" s="132">
        <v>47</v>
      </c>
      <c r="AG28" s="132">
        <v>71.099999999999994</v>
      </c>
      <c r="AH28" s="108">
        <v>72.2</v>
      </c>
      <c r="AI28" s="108">
        <v>86.9</v>
      </c>
      <c r="AJ28" s="108">
        <v>104.8</v>
      </c>
      <c r="AK28" s="108">
        <v>119.2</v>
      </c>
      <c r="AL28" s="108">
        <v>172.2</v>
      </c>
      <c r="AM28" s="108">
        <v>221.4</v>
      </c>
      <c r="AN28" s="108">
        <v>336.3</v>
      </c>
      <c r="AO28" s="108">
        <v>428.9</v>
      </c>
      <c r="AP28" s="108">
        <v>500.1</v>
      </c>
      <c r="AQ28" s="108">
        <v>549.6</v>
      </c>
      <c r="AR28" s="108">
        <v>561.4</v>
      </c>
      <c r="AS28" s="108">
        <v>607.4</v>
      </c>
      <c r="AT28" s="108">
        <v>731.9</v>
      </c>
      <c r="AU28" s="108">
        <v>828.5</v>
      </c>
      <c r="AV28" s="108">
        <v>939.5</v>
      </c>
      <c r="AW28" s="108">
        <v>1129.3</v>
      </c>
      <c r="AX28" s="108">
        <v>1260.3</v>
      </c>
      <c r="AY28" s="109">
        <v>1401.5</v>
      </c>
      <c r="AZ28" s="110">
        <v>1400</v>
      </c>
      <c r="BA28" s="110">
        <f>AZ28-AY28</f>
        <v>-1.5</v>
      </c>
      <c r="BB28" s="111">
        <f>AY28-AX28</f>
        <v>141.20000000000005</v>
      </c>
      <c r="BC28" s="112">
        <f>AZ28-AX28</f>
        <v>139.70000000000005</v>
      </c>
      <c r="BD28" s="113">
        <f t="shared" si="5"/>
        <v>0.15717709776495803</v>
      </c>
      <c r="BF28" s="114" t="b">
        <v>0</v>
      </c>
      <c r="BG28" s="90" t="s">
        <v>117</v>
      </c>
      <c r="BS28" s="90"/>
    </row>
    <row r="29" spans="1:79" x14ac:dyDescent="0.25">
      <c r="A29" s="130" t="s">
        <v>60</v>
      </c>
      <c r="B29" s="115">
        <v>0</v>
      </c>
      <c r="C29" s="115">
        <v>0</v>
      </c>
      <c r="D29" s="115">
        <v>0</v>
      </c>
      <c r="E29" s="115">
        <v>0</v>
      </c>
      <c r="F29" s="115">
        <v>0</v>
      </c>
      <c r="G29" s="115">
        <v>0</v>
      </c>
      <c r="H29" s="115">
        <v>0</v>
      </c>
      <c r="I29" s="115">
        <v>0</v>
      </c>
      <c r="J29" s="115">
        <v>0</v>
      </c>
      <c r="K29" s="115">
        <v>0</v>
      </c>
      <c r="L29" s="115">
        <v>0</v>
      </c>
      <c r="M29" s="115">
        <v>0</v>
      </c>
      <c r="N29" s="115">
        <v>0</v>
      </c>
      <c r="O29" s="115">
        <v>0</v>
      </c>
      <c r="P29" s="115">
        <v>0</v>
      </c>
      <c r="Q29" s="115">
        <v>0</v>
      </c>
      <c r="R29" s="115">
        <v>0</v>
      </c>
      <c r="S29" s="115">
        <v>0</v>
      </c>
      <c r="T29" s="115">
        <v>0</v>
      </c>
      <c r="U29" s="115">
        <v>0</v>
      </c>
      <c r="V29" s="115">
        <v>0</v>
      </c>
      <c r="W29" s="115">
        <v>2115</v>
      </c>
      <c r="X29" s="115">
        <v>2038</v>
      </c>
      <c r="Y29" s="115">
        <v>2120</v>
      </c>
      <c r="Z29" s="115">
        <v>2100</v>
      </c>
      <c r="AA29" s="115">
        <v>2520</v>
      </c>
      <c r="AB29" s="115">
        <v>2850</v>
      </c>
      <c r="AC29" s="115">
        <v>2700</v>
      </c>
      <c r="AD29" s="115">
        <v>3000</v>
      </c>
      <c r="AE29" s="115">
        <v>2987</v>
      </c>
      <c r="AF29" s="115">
        <v>2990</v>
      </c>
      <c r="AG29" s="115">
        <v>2828</v>
      </c>
      <c r="AH29" s="115">
        <v>2890</v>
      </c>
      <c r="AI29" s="115">
        <v>2675</v>
      </c>
      <c r="AJ29" s="115">
        <v>3000</v>
      </c>
      <c r="AK29" s="115">
        <v>2657</v>
      </c>
      <c r="AL29" s="115">
        <v>3207</v>
      </c>
      <c r="AM29" s="115">
        <v>3020</v>
      </c>
      <c r="AN29" s="115">
        <v>3024</v>
      </c>
      <c r="AO29" s="115">
        <v>3003</v>
      </c>
      <c r="AP29" s="115">
        <v>3270</v>
      </c>
      <c r="AQ29" s="115">
        <v>2905</v>
      </c>
      <c r="AR29" s="115">
        <v>3044</v>
      </c>
      <c r="AS29" s="115">
        <v>3061</v>
      </c>
      <c r="AT29" s="115">
        <v>3048</v>
      </c>
      <c r="AU29" s="115">
        <v>3015</v>
      </c>
      <c r="AV29" s="115">
        <v>3063</v>
      </c>
      <c r="AW29" s="115">
        <v>3598</v>
      </c>
      <c r="AX29" s="115">
        <f t="shared" ref="AX29:AY29" si="21">IF(AX28=0,0,AX30*1000000/AX28)</f>
        <v>3568.0393557089583</v>
      </c>
      <c r="AY29" s="131">
        <f t="shared" si="21"/>
        <v>3470.995362112023</v>
      </c>
      <c r="AZ29" s="117">
        <v>3480</v>
      </c>
      <c r="BA29" s="110">
        <f>AZ29-AY29</f>
        <v>9.0046378879769691</v>
      </c>
      <c r="BB29" s="118">
        <f t="shared" ref="BB29:BB30" si="22">AY29-AX29</f>
        <v>-97.043993596935252</v>
      </c>
      <c r="BC29" s="119">
        <f t="shared" ref="BC29:BC30" si="23">AZ29-AX29</f>
        <v>-88.039355708958283</v>
      </c>
      <c r="BD29" s="113">
        <f t="shared" si="5"/>
        <v>3.1129617158631051E-2</v>
      </c>
      <c r="BS29" s="90"/>
    </row>
    <row r="30" spans="1:79" s="129" customFormat="1" x14ac:dyDescent="0.25">
      <c r="A30" s="130" t="s">
        <v>61</v>
      </c>
      <c r="B30" s="132">
        <v>0</v>
      </c>
      <c r="C30" s="132">
        <v>0</v>
      </c>
      <c r="D30" s="132">
        <v>0</v>
      </c>
      <c r="E30" s="132">
        <v>0</v>
      </c>
      <c r="F30" s="132">
        <v>0</v>
      </c>
      <c r="G30" s="132">
        <v>0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0</v>
      </c>
      <c r="O30" s="132">
        <v>0</v>
      </c>
      <c r="P30" s="132">
        <v>0</v>
      </c>
      <c r="Q30" s="132">
        <v>0</v>
      </c>
      <c r="R30" s="132">
        <v>0</v>
      </c>
      <c r="S30" s="132">
        <v>0</v>
      </c>
      <c r="T30" s="132">
        <v>0</v>
      </c>
      <c r="U30" s="132">
        <v>0</v>
      </c>
      <c r="V30" s="132">
        <v>0</v>
      </c>
      <c r="W30" s="132">
        <v>5.4999999999999997E-3</v>
      </c>
      <c r="X30" s="132">
        <v>3.3E-3</v>
      </c>
      <c r="Y30" s="132">
        <v>4.9000000000000007E-3</v>
      </c>
      <c r="Z30" s="132">
        <v>1.5E-3</v>
      </c>
      <c r="AA30" s="132">
        <v>7.3000000000000001E-3</v>
      </c>
      <c r="AB30" s="132">
        <v>4.4200000000000003E-2</v>
      </c>
      <c r="AC30" s="132">
        <v>9.5000000000000001E-2</v>
      </c>
      <c r="AD30" s="132">
        <v>0.20699999999999999</v>
      </c>
      <c r="AE30" s="132">
        <v>0.23810000000000001</v>
      </c>
      <c r="AF30" s="132">
        <v>0.14050000000000001</v>
      </c>
      <c r="AG30" s="132">
        <v>0.2011</v>
      </c>
      <c r="AH30" s="132">
        <v>0.2087</v>
      </c>
      <c r="AI30" s="132">
        <v>0.23250000000000001</v>
      </c>
      <c r="AJ30" s="132">
        <v>0.31439999999999996</v>
      </c>
      <c r="AK30" s="132">
        <v>0.31669999999999998</v>
      </c>
      <c r="AL30" s="132">
        <v>0.55220000000000002</v>
      </c>
      <c r="AM30" s="132">
        <v>0.668628</v>
      </c>
      <c r="AN30" s="132">
        <v>1.0169712</v>
      </c>
      <c r="AO30" s="132">
        <v>1.2879866999999998</v>
      </c>
      <c r="AP30" s="132">
        <v>1.635327</v>
      </c>
      <c r="AQ30" s="132">
        <v>1.5965879999999999</v>
      </c>
      <c r="AR30" s="132">
        <v>1.7089000000000001</v>
      </c>
      <c r="AS30" s="132">
        <v>1.8593</v>
      </c>
      <c r="AT30" s="132">
        <v>2.2308000000000003</v>
      </c>
      <c r="AU30" s="132">
        <v>2.6230000000000002</v>
      </c>
      <c r="AV30" s="132">
        <v>2.9030999999999998</v>
      </c>
      <c r="AW30" s="132">
        <v>4.0903</v>
      </c>
      <c r="AX30" s="132">
        <v>4.4968000000000004</v>
      </c>
      <c r="AY30" s="109">
        <v>4.8646000000000003</v>
      </c>
      <c r="AZ30" s="110">
        <f>AZ29*AZ28/1000000</f>
        <v>4.8719999999999999</v>
      </c>
      <c r="BA30" s="110">
        <f>AZ30-AY30</f>
        <v>7.3999999999996291E-3</v>
      </c>
      <c r="BB30" s="120">
        <f t="shared" si="22"/>
        <v>0.3677999999999999</v>
      </c>
      <c r="BC30" s="121">
        <f t="shared" si="23"/>
        <v>0.37519999999999953</v>
      </c>
      <c r="BD30" s="113">
        <f t="shared" si="5"/>
        <v>0.19319333996029409</v>
      </c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</row>
    <row r="31" spans="1:79" x14ac:dyDescent="0.25">
      <c r="A31" s="122" t="s">
        <v>68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4"/>
      <c r="AZ31" s="125"/>
      <c r="BA31" s="125"/>
      <c r="BB31" s="126"/>
      <c r="BC31" s="127"/>
      <c r="BD31" s="128"/>
      <c r="BS31" s="90"/>
    </row>
    <row r="32" spans="1:79" x14ac:dyDescent="0.25">
      <c r="A32" s="130" t="s">
        <v>59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28</v>
      </c>
      <c r="N32" s="132">
        <v>59</v>
      </c>
      <c r="O32" s="132">
        <v>34.200000000000003</v>
      </c>
      <c r="P32" s="132">
        <v>3.9</v>
      </c>
      <c r="Q32" s="132">
        <v>12</v>
      </c>
      <c r="R32" s="132">
        <v>15.5</v>
      </c>
      <c r="S32" s="132">
        <v>22.7</v>
      </c>
      <c r="T32" s="132">
        <v>16.600000000000001</v>
      </c>
      <c r="U32" s="132">
        <v>4.9000000000000004</v>
      </c>
      <c r="V32" s="132">
        <v>21.9</v>
      </c>
      <c r="W32" s="132">
        <v>40.1</v>
      </c>
      <c r="X32" s="132">
        <v>40.1</v>
      </c>
      <c r="Y32" s="108">
        <v>45.6</v>
      </c>
      <c r="Z32" s="132">
        <v>66</v>
      </c>
      <c r="AA32" s="132">
        <v>105</v>
      </c>
      <c r="AB32" s="132">
        <v>148.1</v>
      </c>
      <c r="AC32" s="132">
        <v>243.6</v>
      </c>
      <c r="AD32" s="132">
        <v>355.7</v>
      </c>
      <c r="AE32" s="132">
        <v>309.5</v>
      </c>
      <c r="AF32" s="132">
        <v>267.7</v>
      </c>
      <c r="AG32" s="132">
        <v>331.6</v>
      </c>
      <c r="AH32" s="108">
        <v>311.39999999999998</v>
      </c>
      <c r="AI32" s="108">
        <v>364.3</v>
      </c>
      <c r="AJ32" s="108">
        <v>404.7</v>
      </c>
      <c r="AK32" s="108">
        <v>451.2</v>
      </c>
      <c r="AL32" s="108">
        <v>549.6</v>
      </c>
      <c r="AM32" s="108">
        <v>748.4</v>
      </c>
      <c r="AN32" s="108">
        <v>849.6</v>
      </c>
      <c r="AO32" s="108">
        <v>870.8</v>
      </c>
      <c r="AP32" s="108">
        <v>964</v>
      </c>
      <c r="AQ32" s="108">
        <v>988.1</v>
      </c>
      <c r="AR32" s="108">
        <v>1028.5999999999999</v>
      </c>
      <c r="AS32" s="108">
        <v>1078</v>
      </c>
      <c r="AT32" s="108">
        <v>1210.5</v>
      </c>
      <c r="AU32" s="108">
        <v>1340.8</v>
      </c>
      <c r="AV32" s="108">
        <v>1438.4</v>
      </c>
      <c r="AW32" s="108">
        <v>1456.7</v>
      </c>
      <c r="AX32" s="108">
        <v>1564.5</v>
      </c>
      <c r="AY32" s="109">
        <v>1680.3</v>
      </c>
      <c r="AZ32" s="110">
        <v>1675</v>
      </c>
      <c r="BA32" s="110">
        <f>AZ32-AY32</f>
        <v>-5.2999999999999545</v>
      </c>
      <c r="BB32" s="111">
        <f>AY32-AX32</f>
        <v>115.79999999999995</v>
      </c>
      <c r="BC32" s="112">
        <f>AZ32-AX32</f>
        <v>110.5</v>
      </c>
      <c r="BD32" s="113">
        <f t="shared" si="5"/>
        <v>7.7336468741237008E-2</v>
      </c>
      <c r="BF32" s="114" t="b">
        <v>0</v>
      </c>
      <c r="BG32" s="90" t="s">
        <v>118</v>
      </c>
      <c r="BS32" s="90"/>
    </row>
    <row r="33" spans="1:79" x14ac:dyDescent="0.25">
      <c r="A33" s="130" t="s">
        <v>60</v>
      </c>
      <c r="B33" s="115">
        <v>0</v>
      </c>
      <c r="C33" s="115">
        <v>0</v>
      </c>
      <c r="D33" s="115">
        <v>0</v>
      </c>
      <c r="E33" s="115">
        <v>0</v>
      </c>
      <c r="F33" s="115">
        <v>0</v>
      </c>
      <c r="G33" s="115">
        <v>0</v>
      </c>
      <c r="H33" s="115">
        <v>0</v>
      </c>
      <c r="I33" s="115">
        <v>0</v>
      </c>
      <c r="J33" s="115">
        <v>0</v>
      </c>
      <c r="K33" s="115">
        <v>0</v>
      </c>
      <c r="L33" s="115">
        <v>0</v>
      </c>
      <c r="M33" s="115">
        <v>1678.5714285714287</v>
      </c>
      <c r="N33" s="115">
        <v>1769.4915254237289</v>
      </c>
      <c r="O33" s="115">
        <v>1099.4152046783624</v>
      </c>
      <c r="P33" s="115">
        <v>1675</v>
      </c>
      <c r="Q33" s="115">
        <v>1600</v>
      </c>
      <c r="R33" s="115">
        <v>1650</v>
      </c>
      <c r="S33" s="115">
        <v>1860</v>
      </c>
      <c r="T33" s="115">
        <v>1957</v>
      </c>
      <c r="U33" s="115">
        <v>1900</v>
      </c>
      <c r="V33" s="115">
        <v>900</v>
      </c>
      <c r="W33" s="115">
        <v>2000</v>
      </c>
      <c r="X33" s="115">
        <v>2340</v>
      </c>
      <c r="Y33" s="115">
        <v>2420</v>
      </c>
      <c r="Z33" s="115">
        <v>2100</v>
      </c>
      <c r="AA33" s="115">
        <v>2500</v>
      </c>
      <c r="AB33" s="115">
        <v>2550</v>
      </c>
      <c r="AC33" s="115">
        <v>2490</v>
      </c>
      <c r="AD33" s="115">
        <v>2590</v>
      </c>
      <c r="AE33" s="115">
        <v>2263</v>
      </c>
      <c r="AF33" s="115">
        <v>2415</v>
      </c>
      <c r="AG33" s="115">
        <v>2747</v>
      </c>
      <c r="AH33" s="115">
        <v>2750</v>
      </c>
      <c r="AI33" s="115">
        <v>2940</v>
      </c>
      <c r="AJ33" s="115">
        <v>3032</v>
      </c>
      <c r="AK33" s="115">
        <v>3065</v>
      </c>
      <c r="AL33" s="115">
        <v>2795.5</v>
      </c>
      <c r="AM33" s="115">
        <v>2751</v>
      </c>
      <c r="AN33" s="115">
        <v>2914</v>
      </c>
      <c r="AO33" s="115">
        <v>1937</v>
      </c>
      <c r="AP33" s="115">
        <v>2932</v>
      </c>
      <c r="AQ33" s="115">
        <v>3178</v>
      </c>
      <c r="AR33" s="115">
        <v>3066</v>
      </c>
      <c r="AS33" s="115">
        <v>3322</v>
      </c>
      <c r="AT33" s="115">
        <v>3151</v>
      </c>
      <c r="AU33" s="115">
        <v>3387</v>
      </c>
      <c r="AV33" s="115">
        <v>3625</v>
      </c>
      <c r="AW33" s="115">
        <v>3141</v>
      </c>
      <c r="AX33" s="115">
        <f t="shared" ref="AX33:AY33" si="24">IF(AX32=0,0,AX34*1000000/AX32)</f>
        <v>3421.9878555449027</v>
      </c>
      <c r="AY33" s="131">
        <f t="shared" si="24"/>
        <v>3422.0079747664108</v>
      </c>
      <c r="AZ33" s="117">
        <v>3580</v>
      </c>
      <c r="BA33" s="110">
        <f>AZ33-AY33</f>
        <v>157.99202523358917</v>
      </c>
      <c r="BB33" s="118">
        <f t="shared" ref="BB33:BB34" si="25">AY33-AX33</f>
        <v>2.0119221508139162E-2</v>
      </c>
      <c r="BC33" s="119">
        <f t="shared" ref="BC33:BC34" si="26">AZ33-AX33</f>
        <v>158.01214445509731</v>
      </c>
      <c r="BD33" s="113">
        <f t="shared" si="5"/>
        <v>5.9485458142565228E-3</v>
      </c>
      <c r="BS33" s="90"/>
    </row>
    <row r="34" spans="1:79" ht="15.75" thickBot="1" x14ac:dyDescent="0.3">
      <c r="A34" s="130" t="s">
        <v>61</v>
      </c>
      <c r="B34" s="132">
        <v>0</v>
      </c>
      <c r="C34" s="132">
        <v>0</v>
      </c>
      <c r="D34" s="132">
        <v>0</v>
      </c>
      <c r="E34" s="132">
        <v>0</v>
      </c>
      <c r="F34" s="132">
        <v>0</v>
      </c>
      <c r="G34" s="132">
        <v>0</v>
      </c>
      <c r="H34" s="132">
        <v>0</v>
      </c>
      <c r="I34" s="132">
        <v>0</v>
      </c>
      <c r="J34" s="132">
        <v>0</v>
      </c>
      <c r="K34" s="132">
        <v>0</v>
      </c>
      <c r="L34" s="132">
        <v>0</v>
      </c>
      <c r="M34" s="132">
        <v>4.7E-2</v>
      </c>
      <c r="N34" s="132">
        <v>0.10440000000000001</v>
      </c>
      <c r="O34" s="132">
        <v>3.7600000000000001E-2</v>
      </c>
      <c r="P34" s="132">
        <v>6.4999999999999997E-3</v>
      </c>
      <c r="Q34" s="132">
        <v>1.9199999999999998E-2</v>
      </c>
      <c r="R34" s="132">
        <v>2.5600000000000001E-2</v>
      </c>
      <c r="S34" s="132">
        <v>4.2200000000000001E-2</v>
      </c>
      <c r="T34" s="132">
        <v>3.2500000000000001E-2</v>
      </c>
      <c r="U34" s="132">
        <v>9.300000000000001E-3</v>
      </c>
      <c r="V34" s="132">
        <v>1.9699999999999999E-2</v>
      </c>
      <c r="W34" s="132">
        <v>8.0200000000000007E-2</v>
      </c>
      <c r="X34" s="132">
        <v>9.3799999999999994E-2</v>
      </c>
      <c r="Y34" s="132">
        <v>0.11040000000000001</v>
      </c>
      <c r="Z34" s="132">
        <v>0.1386</v>
      </c>
      <c r="AA34" s="132">
        <v>0.26250000000000001</v>
      </c>
      <c r="AB34" s="132">
        <v>0.37769999999999998</v>
      </c>
      <c r="AC34" s="132">
        <v>0.60660000000000003</v>
      </c>
      <c r="AD34" s="132">
        <v>0.92130000000000001</v>
      </c>
      <c r="AE34" s="132">
        <v>0.70040000000000002</v>
      </c>
      <c r="AF34" s="132">
        <v>0.64649999999999996</v>
      </c>
      <c r="AG34" s="132">
        <v>0.91089999999999993</v>
      </c>
      <c r="AH34" s="132">
        <v>0.85639999999999994</v>
      </c>
      <c r="AI34" s="132">
        <v>1.071</v>
      </c>
      <c r="AJ34" s="132">
        <v>1.2270999999999999</v>
      </c>
      <c r="AK34" s="132">
        <v>1.3829</v>
      </c>
      <c r="AL34" s="132">
        <v>1.5364</v>
      </c>
      <c r="AM34" s="132">
        <v>2.0588484</v>
      </c>
      <c r="AN34" s="132">
        <v>2.4757343999999999</v>
      </c>
      <c r="AO34" s="132">
        <v>1.6867395999999999</v>
      </c>
      <c r="AP34" s="132">
        <v>2.8264480000000001</v>
      </c>
      <c r="AQ34" s="132">
        <v>3.1401818000000001</v>
      </c>
      <c r="AR34" s="132">
        <v>3.1536999999999997</v>
      </c>
      <c r="AS34" s="132">
        <v>3.5810999999999997</v>
      </c>
      <c r="AT34" s="132">
        <v>3.8143000000000002</v>
      </c>
      <c r="AU34" s="132">
        <v>4.2931999999999997</v>
      </c>
      <c r="AV34" s="132">
        <v>4.9195000000000002</v>
      </c>
      <c r="AW34" s="132">
        <v>4.0350999999999999</v>
      </c>
      <c r="AX34" s="132">
        <v>5.3536999999999999</v>
      </c>
      <c r="AY34" s="109">
        <v>5.75</v>
      </c>
      <c r="AZ34" s="110">
        <f>AZ33*AZ32/1000000</f>
        <v>5.9965000000000002</v>
      </c>
      <c r="BA34" s="110">
        <f>AZ34-AY34</f>
        <v>0.24650000000000016</v>
      </c>
      <c r="BB34" s="120">
        <f t="shared" si="25"/>
        <v>0.3963000000000001</v>
      </c>
      <c r="BC34" s="121">
        <f t="shared" si="26"/>
        <v>0.64280000000000026</v>
      </c>
      <c r="BD34" s="113">
        <f t="shared" si="5"/>
        <v>8.3746022494288752E-2</v>
      </c>
      <c r="BS34" s="90"/>
    </row>
    <row r="35" spans="1:79" s="129" customFormat="1" ht="16.5" thickBot="1" x14ac:dyDescent="0.3">
      <c r="A35" s="97" t="s">
        <v>119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4"/>
      <c r="AZ35" s="145"/>
      <c r="BA35" s="145"/>
      <c r="BB35" s="146"/>
      <c r="BC35" s="143"/>
      <c r="BD35" s="147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</row>
    <row r="36" spans="1:79" s="129" customFormat="1" x14ac:dyDescent="0.25">
      <c r="A36" s="130" t="s">
        <v>59</v>
      </c>
      <c r="B36" s="132">
        <f t="shared" ref="B36:AV36" si="27">B40+B44+B48+B52+B56+B60+B64+B68+B72</f>
        <v>0</v>
      </c>
      <c r="C36" s="132">
        <f t="shared" si="27"/>
        <v>0</v>
      </c>
      <c r="D36" s="132">
        <f t="shared" si="27"/>
        <v>0</v>
      </c>
      <c r="E36" s="132">
        <f t="shared" si="27"/>
        <v>1.9</v>
      </c>
      <c r="F36" s="132">
        <f t="shared" si="27"/>
        <v>2.4</v>
      </c>
      <c r="G36" s="132">
        <f t="shared" si="27"/>
        <v>1.2</v>
      </c>
      <c r="H36" s="132">
        <f t="shared" si="27"/>
        <v>5</v>
      </c>
      <c r="I36" s="132">
        <f t="shared" si="27"/>
        <v>28</v>
      </c>
      <c r="J36" s="132">
        <f t="shared" si="27"/>
        <v>73</v>
      </c>
      <c r="K36" s="132">
        <f t="shared" si="27"/>
        <v>117.7</v>
      </c>
      <c r="L36" s="132">
        <f t="shared" si="27"/>
        <v>180.6</v>
      </c>
      <c r="M36" s="132">
        <f t="shared" si="27"/>
        <v>246.7</v>
      </c>
      <c r="N36" s="132">
        <f t="shared" si="27"/>
        <v>410.1</v>
      </c>
      <c r="O36" s="132">
        <f t="shared" si="27"/>
        <v>385.4</v>
      </c>
      <c r="P36" s="132">
        <f t="shared" si="27"/>
        <v>282.60000000000002</v>
      </c>
      <c r="Q36" s="132">
        <f t="shared" si="27"/>
        <v>351.1</v>
      </c>
      <c r="R36" s="132">
        <f t="shared" si="27"/>
        <v>422.7</v>
      </c>
      <c r="S36" s="132">
        <f t="shared" si="27"/>
        <v>503.6</v>
      </c>
      <c r="T36" s="132">
        <f t="shared" si="27"/>
        <v>575.9</v>
      </c>
      <c r="U36" s="132">
        <f t="shared" si="27"/>
        <v>532.29999999999995</v>
      </c>
      <c r="V36" s="132">
        <f t="shared" si="27"/>
        <v>593.9</v>
      </c>
      <c r="W36" s="132">
        <f t="shared" si="27"/>
        <v>728.9</v>
      </c>
      <c r="X36" s="132">
        <f t="shared" si="27"/>
        <v>772.80000000000007</v>
      </c>
      <c r="Y36" s="132">
        <f t="shared" si="27"/>
        <v>851</v>
      </c>
      <c r="Z36" s="132">
        <f t="shared" si="27"/>
        <v>962.6</v>
      </c>
      <c r="AA36" s="132">
        <f t="shared" si="27"/>
        <v>1125.0999999999999</v>
      </c>
      <c r="AB36" s="132">
        <f t="shared" si="27"/>
        <v>1240.7</v>
      </c>
      <c r="AC36" s="132">
        <f t="shared" si="27"/>
        <v>1323.3</v>
      </c>
      <c r="AD36" s="132">
        <f t="shared" si="27"/>
        <v>1442.1</v>
      </c>
      <c r="AE36" s="132">
        <f t="shared" si="27"/>
        <v>1487.1</v>
      </c>
      <c r="AF36" s="132">
        <f t="shared" si="27"/>
        <v>1454.8999999999999</v>
      </c>
      <c r="AG36" s="132">
        <f t="shared" si="27"/>
        <v>1580.1</v>
      </c>
      <c r="AH36" s="132">
        <f t="shared" si="27"/>
        <v>1608</v>
      </c>
      <c r="AI36" s="132">
        <f t="shared" si="27"/>
        <v>1861.7</v>
      </c>
      <c r="AJ36" s="132">
        <f t="shared" si="27"/>
        <v>1945.7000000000003</v>
      </c>
      <c r="AK36" s="132">
        <f t="shared" si="27"/>
        <v>2117.1</v>
      </c>
      <c r="AL36" s="132">
        <f t="shared" si="27"/>
        <v>2414.3000000000002</v>
      </c>
      <c r="AM36" s="132">
        <f t="shared" si="27"/>
        <v>2602.1999999999998</v>
      </c>
      <c r="AN36" s="132">
        <f t="shared" si="27"/>
        <v>2845.3</v>
      </c>
      <c r="AO36" s="132">
        <f t="shared" si="27"/>
        <v>2878.2</v>
      </c>
      <c r="AP36" s="132">
        <f t="shared" si="27"/>
        <v>3095.8</v>
      </c>
      <c r="AQ36" s="132">
        <f t="shared" si="27"/>
        <v>3263.5</v>
      </c>
      <c r="AR36" s="132">
        <f t="shared" si="27"/>
        <v>3332.2</v>
      </c>
      <c r="AS36" s="132">
        <f t="shared" si="27"/>
        <v>3356.6</v>
      </c>
      <c r="AT36" s="132">
        <f t="shared" si="27"/>
        <v>3544.3</v>
      </c>
      <c r="AU36" s="132">
        <f t="shared" si="27"/>
        <v>3821.3</v>
      </c>
      <c r="AV36" s="132">
        <f t="shared" si="27"/>
        <v>4099.2</v>
      </c>
      <c r="AW36" s="132">
        <f>SUM(AW40+AW44+AW48+AW64+AW72)</f>
        <v>4406</v>
      </c>
      <c r="AX36" s="132">
        <f t="shared" ref="AX36:AY36" si="28">SUM(AX40+AX44+AX48+AX64+AX72)</f>
        <v>4678.7</v>
      </c>
      <c r="AY36" s="109">
        <f t="shared" si="28"/>
        <v>5018.5</v>
      </c>
      <c r="AZ36" s="110">
        <f>AZ40+AZ44+AZ48+AZ52+AZ56+AZ60+AZ64+AZ68+AZ72</f>
        <v>5016.5</v>
      </c>
      <c r="BA36" s="110">
        <f>AZ36-AY36</f>
        <v>-2</v>
      </c>
      <c r="BB36" s="111">
        <f>AY36-AX36</f>
        <v>339.80000000000018</v>
      </c>
      <c r="BC36" s="112">
        <f>AZ36-AX36</f>
        <v>337.80000000000018</v>
      </c>
      <c r="BD36" s="113">
        <f t="shared" si="5"/>
        <v>6.8673700456364228E-2</v>
      </c>
      <c r="BE36" s="90"/>
      <c r="BF36" s="114" t="b">
        <v>1</v>
      </c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</row>
    <row r="37" spans="1:79" s="129" customFormat="1" x14ac:dyDescent="0.25">
      <c r="A37" s="107" t="s">
        <v>60</v>
      </c>
      <c r="B37" s="115">
        <f t="shared" ref="B37:AY37" si="29">IF(B36=0,0,B38*1000000/B36)</f>
        <v>0</v>
      </c>
      <c r="C37" s="115">
        <f t="shared" si="29"/>
        <v>0</v>
      </c>
      <c r="D37" s="115">
        <f t="shared" si="29"/>
        <v>0</v>
      </c>
      <c r="E37" s="115">
        <f t="shared" si="29"/>
        <v>1157.8947368421054</v>
      </c>
      <c r="F37" s="115">
        <f t="shared" si="29"/>
        <v>1583.3333333333335</v>
      </c>
      <c r="G37" s="115">
        <f t="shared" si="29"/>
        <v>333.33333333333337</v>
      </c>
      <c r="H37" s="115">
        <f t="shared" si="29"/>
        <v>900</v>
      </c>
      <c r="I37" s="115">
        <f t="shared" si="29"/>
        <v>1300</v>
      </c>
      <c r="J37" s="115">
        <f t="shared" si="29"/>
        <v>1158.9041095890411</v>
      </c>
      <c r="K37" s="115">
        <f t="shared" si="29"/>
        <v>1321.1554800339848</v>
      </c>
      <c r="L37" s="115">
        <f t="shared" si="29"/>
        <v>865.44850498338872</v>
      </c>
      <c r="M37" s="115">
        <f t="shared" si="29"/>
        <v>1519.6595054722336</v>
      </c>
      <c r="N37" s="115">
        <f t="shared" si="29"/>
        <v>1557.4250182882222</v>
      </c>
      <c r="O37" s="115">
        <f t="shared" si="29"/>
        <v>694.86248053969905</v>
      </c>
      <c r="P37" s="115">
        <f t="shared" si="29"/>
        <v>1996.8152866242037</v>
      </c>
      <c r="Q37" s="115">
        <f t="shared" si="29"/>
        <v>1481.9139846197663</v>
      </c>
      <c r="R37" s="115">
        <f t="shared" si="29"/>
        <v>1613.6740004731487</v>
      </c>
      <c r="S37" s="115">
        <f t="shared" si="29"/>
        <v>2022.2398729150118</v>
      </c>
      <c r="T37" s="115">
        <f t="shared" si="29"/>
        <v>2201.4238583087345</v>
      </c>
      <c r="U37" s="115">
        <f t="shared" si="29"/>
        <v>1731.9180913018974</v>
      </c>
      <c r="V37" s="115">
        <f t="shared" si="29"/>
        <v>2189.0890722343829</v>
      </c>
      <c r="W37" s="115">
        <f t="shared" si="29"/>
        <v>2141.7204006036495</v>
      </c>
      <c r="X37" s="115">
        <f t="shared" si="29"/>
        <v>2083.0745341614906</v>
      </c>
      <c r="Y37" s="115">
        <f t="shared" si="29"/>
        <v>2425.3819036427731</v>
      </c>
      <c r="Z37" s="115">
        <f t="shared" si="29"/>
        <v>2156.5551630999375</v>
      </c>
      <c r="AA37" s="115">
        <f t="shared" si="29"/>
        <v>1862.9455159541376</v>
      </c>
      <c r="AB37" s="115">
        <f t="shared" si="29"/>
        <v>2030.5472717014588</v>
      </c>
      <c r="AC37" s="115">
        <f t="shared" si="29"/>
        <v>2674.2991007330161</v>
      </c>
      <c r="AD37" s="115">
        <f t="shared" si="29"/>
        <v>2741.210734345746</v>
      </c>
      <c r="AE37" s="115">
        <f t="shared" si="29"/>
        <v>2394.5262591621276</v>
      </c>
      <c r="AF37" s="115">
        <f t="shared" si="29"/>
        <v>2658.0520998006737</v>
      </c>
      <c r="AG37" s="115">
        <f t="shared" si="29"/>
        <v>3056.6419846845138</v>
      </c>
      <c r="AH37" s="115">
        <f t="shared" si="29"/>
        <v>2588.2462686567164</v>
      </c>
      <c r="AI37" s="115">
        <f t="shared" si="29"/>
        <v>2851.9632593865822</v>
      </c>
      <c r="AJ37" s="115">
        <f t="shared" si="29"/>
        <v>3212.9824741738189</v>
      </c>
      <c r="AK37" s="115">
        <f t="shared" si="29"/>
        <v>2879.5522176562276</v>
      </c>
      <c r="AL37" s="115">
        <f t="shared" si="29"/>
        <v>2193.0994491156857</v>
      </c>
      <c r="AM37" s="115">
        <f t="shared" si="29"/>
        <v>2557.0759357466759</v>
      </c>
      <c r="AN37" s="115">
        <f t="shared" si="29"/>
        <v>2851.7629072505538</v>
      </c>
      <c r="AO37" s="115">
        <f t="shared" si="29"/>
        <v>1774.4016051698979</v>
      </c>
      <c r="AP37" s="115">
        <f t="shared" si="29"/>
        <v>3115.4296789198265</v>
      </c>
      <c r="AQ37" s="115">
        <f t="shared" si="29"/>
        <v>3647.3462540217556</v>
      </c>
      <c r="AR37" s="115">
        <f t="shared" si="29"/>
        <v>3311.5959426204913</v>
      </c>
      <c r="AS37" s="115">
        <f t="shared" si="29"/>
        <v>3521.3013168086759</v>
      </c>
      <c r="AT37" s="115">
        <f t="shared" si="29"/>
        <v>3626.160313743193</v>
      </c>
      <c r="AU37" s="115">
        <f t="shared" si="29"/>
        <v>3632.585769240834</v>
      </c>
      <c r="AV37" s="115">
        <f t="shared" si="29"/>
        <v>3848.2874707259953</v>
      </c>
      <c r="AW37" s="115">
        <f t="shared" si="29"/>
        <v>3575.0340444847934</v>
      </c>
      <c r="AX37" s="115">
        <f t="shared" si="29"/>
        <v>3743.5398721867186</v>
      </c>
      <c r="AY37" s="131">
        <f t="shared" si="29"/>
        <v>3704.5332270598783</v>
      </c>
      <c r="AZ37" s="117">
        <f>IF(AZ36=0,0,AZ38*1000000/AZ36)</f>
        <v>3714.5225755008464</v>
      </c>
      <c r="BA37" s="110">
        <f>AZ37-AY37</f>
        <v>9.989348440968115</v>
      </c>
      <c r="BB37" s="118">
        <f t="shared" ref="BB37:BB38" si="30">AY37-AX37</f>
        <v>-39.00664512684034</v>
      </c>
      <c r="BC37" s="119">
        <f t="shared" ref="BC37:BC38" si="31">AZ37-AX37</f>
        <v>-29.017296685872225</v>
      </c>
      <c r="BD37" s="113">
        <f t="shared" si="5"/>
        <v>1.2315425949473768E-2</v>
      </c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</row>
    <row r="38" spans="1:79" s="129" customFormat="1" x14ac:dyDescent="0.25">
      <c r="A38" s="107" t="s">
        <v>61</v>
      </c>
      <c r="B38" s="108">
        <f t="shared" ref="B38:AY38" si="32">B42+B46+B50+B54+B58+B62+B66+B70+B74</f>
        <v>0</v>
      </c>
      <c r="C38" s="108">
        <f t="shared" si="32"/>
        <v>0</v>
      </c>
      <c r="D38" s="108">
        <f t="shared" si="32"/>
        <v>0</v>
      </c>
      <c r="E38" s="108">
        <f t="shared" si="32"/>
        <v>2.2000000000000001E-3</v>
      </c>
      <c r="F38" s="108">
        <f t="shared" si="32"/>
        <v>3.8E-3</v>
      </c>
      <c r="G38" s="108">
        <f t="shared" si="32"/>
        <v>4.0000000000000002E-4</v>
      </c>
      <c r="H38" s="108">
        <f t="shared" si="32"/>
        <v>4.4999999999999997E-3</v>
      </c>
      <c r="I38" s="108">
        <f t="shared" si="32"/>
        <v>3.6400000000000002E-2</v>
      </c>
      <c r="J38" s="108">
        <f t="shared" si="32"/>
        <v>8.4599999999999995E-2</v>
      </c>
      <c r="K38" s="108">
        <f t="shared" si="32"/>
        <v>0.1555</v>
      </c>
      <c r="L38" s="108">
        <f t="shared" si="32"/>
        <v>0.15629999999999999</v>
      </c>
      <c r="M38" s="108">
        <f t="shared" si="32"/>
        <v>0.37490000000000001</v>
      </c>
      <c r="N38" s="108">
        <f t="shared" si="32"/>
        <v>0.63870000000000005</v>
      </c>
      <c r="O38" s="108">
        <f t="shared" si="32"/>
        <v>0.26779999999999998</v>
      </c>
      <c r="P38" s="108">
        <f t="shared" si="32"/>
        <v>0.56430000000000002</v>
      </c>
      <c r="Q38" s="108">
        <f t="shared" si="32"/>
        <v>0.52029999999999998</v>
      </c>
      <c r="R38" s="108">
        <f t="shared" si="32"/>
        <v>0.68209999999999993</v>
      </c>
      <c r="S38" s="108">
        <f t="shared" si="32"/>
        <v>1.0184</v>
      </c>
      <c r="T38" s="108">
        <f t="shared" si="32"/>
        <v>1.2678</v>
      </c>
      <c r="U38" s="108">
        <f t="shared" si="32"/>
        <v>0.92189999999999994</v>
      </c>
      <c r="V38" s="108">
        <f t="shared" si="32"/>
        <v>1.3001</v>
      </c>
      <c r="W38" s="108">
        <f t="shared" si="32"/>
        <v>1.5610999999999999</v>
      </c>
      <c r="X38" s="108">
        <f t="shared" si="32"/>
        <v>1.6098000000000001</v>
      </c>
      <c r="Y38" s="108">
        <f t="shared" si="32"/>
        <v>2.0640000000000001</v>
      </c>
      <c r="Z38" s="108">
        <f t="shared" si="32"/>
        <v>2.0758999999999999</v>
      </c>
      <c r="AA38" s="108">
        <f t="shared" si="32"/>
        <v>2.0960000000000001</v>
      </c>
      <c r="AB38" s="108">
        <f t="shared" si="32"/>
        <v>2.5192999999999999</v>
      </c>
      <c r="AC38" s="108">
        <f t="shared" si="32"/>
        <v>3.5388999999999999</v>
      </c>
      <c r="AD38" s="108">
        <f t="shared" si="32"/>
        <v>3.9531000000000001</v>
      </c>
      <c r="AE38" s="108">
        <f t="shared" si="32"/>
        <v>3.5608999999999997</v>
      </c>
      <c r="AF38" s="108">
        <f t="shared" si="32"/>
        <v>3.8671999999999995</v>
      </c>
      <c r="AG38" s="108">
        <f t="shared" si="32"/>
        <v>4.8297999999999996</v>
      </c>
      <c r="AH38" s="108">
        <f t="shared" si="32"/>
        <v>4.1619000000000002</v>
      </c>
      <c r="AI38" s="108">
        <f t="shared" si="32"/>
        <v>5.3094999999999999</v>
      </c>
      <c r="AJ38" s="108">
        <f t="shared" si="32"/>
        <v>6.2515000000000001</v>
      </c>
      <c r="AK38" s="108">
        <f t="shared" si="32"/>
        <v>6.0962999999999994</v>
      </c>
      <c r="AL38" s="108">
        <f t="shared" si="32"/>
        <v>5.2948000000000004</v>
      </c>
      <c r="AM38" s="108">
        <f t="shared" si="32"/>
        <v>6.6540230000000005</v>
      </c>
      <c r="AN38" s="108">
        <f t="shared" si="32"/>
        <v>8.1141210000000008</v>
      </c>
      <c r="AO38" s="108">
        <f t="shared" si="32"/>
        <v>5.1070827000000003</v>
      </c>
      <c r="AP38" s="108">
        <f t="shared" si="32"/>
        <v>9.6447471999999994</v>
      </c>
      <c r="AQ38" s="108">
        <f t="shared" si="32"/>
        <v>11.903114500000001</v>
      </c>
      <c r="AR38" s="108">
        <f t="shared" si="32"/>
        <v>11.0349</v>
      </c>
      <c r="AS38" s="108">
        <f t="shared" si="32"/>
        <v>11.819600000000001</v>
      </c>
      <c r="AT38" s="108">
        <f t="shared" si="32"/>
        <v>12.8522</v>
      </c>
      <c r="AU38" s="108">
        <f t="shared" si="32"/>
        <v>13.8812</v>
      </c>
      <c r="AV38" s="108">
        <f t="shared" si="32"/>
        <v>15.774900000000001</v>
      </c>
      <c r="AW38" s="108">
        <f t="shared" si="32"/>
        <v>15.7516</v>
      </c>
      <c r="AX38" s="108">
        <f t="shared" si="32"/>
        <v>17.514900000000001</v>
      </c>
      <c r="AY38" s="109">
        <f t="shared" si="32"/>
        <v>18.591200000000001</v>
      </c>
      <c r="AZ38" s="110">
        <f>AZ42+AZ46+AZ50+AZ54+AZ58+AZ62+AZ66+AZ70+AZ74</f>
        <v>18.633902499999998</v>
      </c>
      <c r="BA38" s="110">
        <f>AZ38-AY38</f>
        <v>4.2702499999997201E-2</v>
      </c>
      <c r="BB38" s="120">
        <f t="shared" si="30"/>
        <v>1.0762999999999998</v>
      </c>
      <c r="BC38" s="121">
        <f t="shared" si="31"/>
        <v>1.119002499999997</v>
      </c>
      <c r="BD38" s="113">
        <f t="shared" si="5"/>
        <v>8.1834872278484516E-2</v>
      </c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</row>
    <row r="39" spans="1:79" x14ac:dyDescent="0.25">
      <c r="A39" s="122" t="s">
        <v>70</v>
      </c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4"/>
      <c r="AZ39" s="125"/>
      <c r="BA39" s="125"/>
      <c r="BB39" s="126"/>
      <c r="BC39" s="127"/>
      <c r="BD39" s="128"/>
      <c r="BS39" s="90"/>
    </row>
    <row r="40" spans="1:79" x14ac:dyDescent="0.25">
      <c r="A40" s="130" t="s">
        <v>59</v>
      </c>
      <c r="B40" s="132">
        <v>0</v>
      </c>
      <c r="C40" s="132">
        <v>0</v>
      </c>
      <c r="D40" s="132">
        <v>0</v>
      </c>
      <c r="E40" s="132">
        <v>0</v>
      </c>
      <c r="F40" s="132">
        <v>0</v>
      </c>
      <c r="G40" s="132">
        <v>0</v>
      </c>
      <c r="H40" s="132">
        <v>0</v>
      </c>
      <c r="I40" s="132">
        <v>0</v>
      </c>
      <c r="J40" s="132">
        <v>10</v>
      </c>
      <c r="K40" s="132">
        <v>8.6999999999999993</v>
      </c>
      <c r="L40" s="132">
        <v>8.5</v>
      </c>
      <c r="M40" s="132">
        <v>16.2</v>
      </c>
      <c r="N40" s="132">
        <v>21.9</v>
      </c>
      <c r="O40" s="132">
        <v>16</v>
      </c>
      <c r="P40" s="132">
        <v>4.5999999999999996</v>
      </c>
      <c r="Q40" s="132">
        <v>21.1</v>
      </c>
      <c r="R40" s="132">
        <v>42.7</v>
      </c>
      <c r="S40" s="132">
        <v>62.8</v>
      </c>
      <c r="T40" s="132">
        <v>91.7</v>
      </c>
      <c r="U40" s="132">
        <v>89.1</v>
      </c>
      <c r="V40" s="132">
        <v>120</v>
      </c>
      <c r="W40" s="132">
        <v>144</v>
      </c>
      <c r="X40" s="132">
        <v>162.69999999999999</v>
      </c>
      <c r="Y40" s="108">
        <v>175.7</v>
      </c>
      <c r="Z40" s="132">
        <v>210</v>
      </c>
      <c r="AA40" s="132">
        <v>238.3</v>
      </c>
      <c r="AB40" s="132">
        <v>274</v>
      </c>
      <c r="AC40" s="132">
        <v>342.5</v>
      </c>
      <c r="AD40" s="132">
        <v>375</v>
      </c>
      <c r="AE40" s="132">
        <v>382.5</v>
      </c>
      <c r="AF40" s="132">
        <v>384.4</v>
      </c>
      <c r="AG40" s="132">
        <v>421.5</v>
      </c>
      <c r="AH40" s="108">
        <v>387.4</v>
      </c>
      <c r="AI40" s="108">
        <v>502.1</v>
      </c>
      <c r="AJ40" s="108">
        <v>518.20000000000005</v>
      </c>
      <c r="AK40" s="108">
        <v>559.70000000000005</v>
      </c>
      <c r="AL40" s="108">
        <v>586</v>
      </c>
      <c r="AM40" s="108">
        <v>662.2</v>
      </c>
      <c r="AN40" s="108">
        <v>749.6</v>
      </c>
      <c r="AO40" s="108">
        <v>786.3</v>
      </c>
      <c r="AP40" s="108">
        <v>821.7</v>
      </c>
      <c r="AQ40" s="108">
        <v>951.5</v>
      </c>
      <c r="AR40" s="108">
        <v>992.4</v>
      </c>
      <c r="AS40" s="108">
        <v>976.4</v>
      </c>
      <c r="AT40" s="108">
        <v>1005.7</v>
      </c>
      <c r="AU40" s="108">
        <v>1075.0999999999999</v>
      </c>
      <c r="AV40" s="108">
        <v>1192.7</v>
      </c>
      <c r="AW40" s="108">
        <v>1329.7</v>
      </c>
      <c r="AX40" s="108">
        <v>1436.1</v>
      </c>
      <c r="AY40" s="109">
        <v>1522.3</v>
      </c>
      <c r="AZ40" s="110">
        <v>1520</v>
      </c>
      <c r="BA40" s="110">
        <f>AZ40-AY40</f>
        <v>-2.2999999999999545</v>
      </c>
      <c r="BB40" s="111">
        <f>AY40-AX40</f>
        <v>86.200000000000045</v>
      </c>
      <c r="BC40" s="112">
        <f>AZ40-AX40</f>
        <v>83.900000000000091</v>
      </c>
      <c r="BD40" s="113">
        <f t="shared" si="5"/>
        <v>8.0217931612391657E-2</v>
      </c>
      <c r="BF40" s="114" t="b">
        <v>0</v>
      </c>
      <c r="BG40" s="90" t="s">
        <v>120</v>
      </c>
      <c r="BS40" s="90"/>
    </row>
    <row r="41" spans="1:79" x14ac:dyDescent="0.25">
      <c r="A41" s="130" t="s">
        <v>60</v>
      </c>
      <c r="B41" s="115">
        <v>0</v>
      </c>
      <c r="C41" s="115">
        <v>0</v>
      </c>
      <c r="D41" s="115">
        <v>0</v>
      </c>
      <c r="E41" s="115">
        <v>0</v>
      </c>
      <c r="F41" s="115">
        <v>0</v>
      </c>
      <c r="G41" s="115">
        <v>0</v>
      </c>
      <c r="H41" s="115">
        <v>0</v>
      </c>
      <c r="I41" s="115">
        <v>0</v>
      </c>
      <c r="J41" s="115">
        <v>900</v>
      </c>
      <c r="K41" s="115">
        <v>1563.2183908045979</v>
      </c>
      <c r="L41" s="115">
        <v>1035.294117647059</v>
      </c>
      <c r="M41" s="115">
        <v>1802.4691358024691</v>
      </c>
      <c r="N41" s="115">
        <v>1698.6301369863017</v>
      </c>
      <c r="O41" s="115">
        <v>418.75</v>
      </c>
      <c r="P41" s="115">
        <v>1800</v>
      </c>
      <c r="Q41" s="115">
        <v>1201</v>
      </c>
      <c r="R41" s="115">
        <v>2135</v>
      </c>
      <c r="S41" s="115">
        <v>2200</v>
      </c>
      <c r="T41" s="115">
        <v>1850</v>
      </c>
      <c r="U41" s="115">
        <v>2240</v>
      </c>
      <c r="V41" s="115">
        <v>2100</v>
      </c>
      <c r="W41" s="115">
        <v>2100</v>
      </c>
      <c r="X41" s="115">
        <v>2400</v>
      </c>
      <c r="Y41" s="115">
        <v>2500</v>
      </c>
      <c r="Z41" s="115">
        <v>2300</v>
      </c>
      <c r="AA41" s="115">
        <v>2270</v>
      </c>
      <c r="AB41" s="115">
        <v>2390</v>
      </c>
      <c r="AC41" s="115">
        <v>2698</v>
      </c>
      <c r="AD41" s="115">
        <v>2660</v>
      </c>
      <c r="AE41" s="115">
        <v>2680</v>
      </c>
      <c r="AF41" s="115">
        <v>2820</v>
      </c>
      <c r="AG41" s="115">
        <v>2996</v>
      </c>
      <c r="AH41" s="115">
        <v>2517</v>
      </c>
      <c r="AI41" s="115">
        <v>2650</v>
      </c>
      <c r="AJ41" s="115">
        <v>3087</v>
      </c>
      <c r="AK41" s="115">
        <v>2949</v>
      </c>
      <c r="AL41" s="115">
        <v>2877</v>
      </c>
      <c r="AM41" s="115">
        <v>2804</v>
      </c>
      <c r="AN41" s="115">
        <v>2801</v>
      </c>
      <c r="AO41" s="115">
        <v>1590</v>
      </c>
      <c r="AP41" s="115">
        <v>3010</v>
      </c>
      <c r="AQ41" s="115">
        <v>3180</v>
      </c>
      <c r="AR41" s="115">
        <v>3015</v>
      </c>
      <c r="AS41" s="115">
        <v>3206</v>
      </c>
      <c r="AT41" s="115">
        <v>3267</v>
      </c>
      <c r="AU41" s="115">
        <v>3324</v>
      </c>
      <c r="AV41" s="115">
        <v>3514</v>
      </c>
      <c r="AW41" s="115">
        <v>3312</v>
      </c>
      <c r="AX41" s="115">
        <f t="shared" ref="AX41:AY41" si="33">IF(AX40=0,0,AX42*1000000/AX40)</f>
        <v>3382.9816865120815</v>
      </c>
      <c r="AY41" s="116">
        <f t="shared" si="33"/>
        <v>3431.9779281350588</v>
      </c>
      <c r="AZ41" s="117">
        <v>3450</v>
      </c>
      <c r="BA41" s="110">
        <f>AZ41-AY41</f>
        <v>18.022071864941154</v>
      </c>
      <c r="BB41" s="118">
        <f t="shared" ref="BB41:BB42" si="34">AY41-AX41</f>
        <v>48.996241622977323</v>
      </c>
      <c r="BC41" s="119">
        <f t="shared" ref="BC41:BC42" si="35">AZ41-AX41</f>
        <v>67.018313487918476</v>
      </c>
      <c r="BD41" s="113">
        <f t="shared" si="5"/>
        <v>1.0804637470093859E-2</v>
      </c>
      <c r="BS41" s="90"/>
    </row>
    <row r="42" spans="1:79" s="129" customFormat="1" x14ac:dyDescent="0.25">
      <c r="A42" s="130" t="s">
        <v>61</v>
      </c>
      <c r="B42" s="132">
        <v>0</v>
      </c>
      <c r="C42" s="132">
        <v>0</v>
      </c>
      <c r="D42" s="132">
        <v>0</v>
      </c>
      <c r="E42" s="132">
        <v>0</v>
      </c>
      <c r="F42" s="132">
        <v>0</v>
      </c>
      <c r="G42" s="132">
        <v>0</v>
      </c>
      <c r="H42" s="132">
        <v>0</v>
      </c>
      <c r="I42" s="132">
        <v>0</v>
      </c>
      <c r="J42" s="132">
        <v>8.9999999999999993E-3</v>
      </c>
      <c r="K42" s="132">
        <v>1.3599999999999999E-2</v>
      </c>
      <c r="L42" s="132">
        <v>8.8000000000000005E-3</v>
      </c>
      <c r="M42" s="132">
        <v>2.92E-2</v>
      </c>
      <c r="N42" s="132">
        <v>3.7200000000000004E-2</v>
      </c>
      <c r="O42" s="132">
        <v>6.7000000000000002E-3</v>
      </c>
      <c r="P42" s="132">
        <v>8.3000000000000001E-3</v>
      </c>
      <c r="Q42" s="132">
        <v>2.53E-2</v>
      </c>
      <c r="R42" s="132">
        <v>9.1200000000000003E-2</v>
      </c>
      <c r="S42" s="132">
        <v>0.13819999999999999</v>
      </c>
      <c r="T42" s="132">
        <v>0.1696</v>
      </c>
      <c r="U42" s="132">
        <v>0.1996</v>
      </c>
      <c r="V42" s="132">
        <v>0.252</v>
      </c>
      <c r="W42" s="132">
        <v>0.3024</v>
      </c>
      <c r="X42" s="132">
        <v>0.39050000000000001</v>
      </c>
      <c r="Y42" s="132">
        <v>0.43930000000000002</v>
      </c>
      <c r="Z42" s="132">
        <v>0.48299999999999998</v>
      </c>
      <c r="AA42" s="132">
        <v>0.54089999999999994</v>
      </c>
      <c r="AB42" s="132">
        <v>0.65489999999999993</v>
      </c>
      <c r="AC42" s="132">
        <v>0.92410000000000003</v>
      </c>
      <c r="AD42" s="132">
        <v>0.99750000000000005</v>
      </c>
      <c r="AE42" s="132">
        <v>1.0250999999999999</v>
      </c>
      <c r="AF42" s="132">
        <v>1.0840000000000001</v>
      </c>
      <c r="AG42" s="132">
        <v>1.2627999999999999</v>
      </c>
      <c r="AH42" s="132">
        <v>0.97510000000000008</v>
      </c>
      <c r="AI42" s="132">
        <v>1.3306</v>
      </c>
      <c r="AJ42" s="132">
        <v>1.5997000000000001</v>
      </c>
      <c r="AK42" s="132">
        <v>1.6505999999999998</v>
      </c>
      <c r="AL42" s="132">
        <v>1.6859000000000002</v>
      </c>
      <c r="AM42" s="132">
        <v>1.8568088</v>
      </c>
      <c r="AN42" s="132">
        <v>2.0996296000000001</v>
      </c>
      <c r="AO42" s="132">
        <v>1.2502170000000001</v>
      </c>
      <c r="AP42" s="132">
        <v>2.4733170000000002</v>
      </c>
      <c r="AQ42" s="132">
        <v>3.0257700000000001</v>
      </c>
      <c r="AR42" s="132">
        <v>2.9920999999999998</v>
      </c>
      <c r="AS42" s="132">
        <v>3.1303000000000001</v>
      </c>
      <c r="AT42" s="132">
        <v>3.2856000000000001</v>
      </c>
      <c r="AU42" s="132">
        <v>3.5219999999999998</v>
      </c>
      <c r="AV42" s="132">
        <v>4.2507999999999999</v>
      </c>
      <c r="AW42" s="132">
        <v>4.3228999999999997</v>
      </c>
      <c r="AX42" s="132">
        <v>4.8582999999999998</v>
      </c>
      <c r="AY42" s="109">
        <v>5.2244999999999999</v>
      </c>
      <c r="AZ42" s="110">
        <f>AZ41*AZ40/1000000</f>
        <v>5.2439999999999998</v>
      </c>
      <c r="BA42" s="110">
        <f>AZ42-AY42</f>
        <v>1.9499999999999851E-2</v>
      </c>
      <c r="BB42" s="120">
        <f t="shared" si="34"/>
        <v>0.36620000000000008</v>
      </c>
      <c r="BC42" s="121">
        <f t="shared" si="35"/>
        <v>0.38569999999999993</v>
      </c>
      <c r="BD42" s="113">
        <f t="shared" si="5"/>
        <v>9.189197362275725E-2</v>
      </c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</row>
    <row r="43" spans="1:79" x14ac:dyDescent="0.25">
      <c r="A43" s="122" t="s">
        <v>74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4"/>
      <c r="AZ43" s="125"/>
      <c r="BA43" s="125"/>
      <c r="BB43" s="126"/>
      <c r="BC43" s="127"/>
      <c r="BD43" s="128"/>
      <c r="BS43" s="90"/>
    </row>
    <row r="44" spans="1:79" x14ac:dyDescent="0.25">
      <c r="A44" s="130" t="s">
        <v>59</v>
      </c>
      <c r="B44" s="132">
        <v>0</v>
      </c>
      <c r="C44" s="132">
        <v>0</v>
      </c>
      <c r="D44" s="132">
        <v>0</v>
      </c>
      <c r="E44" s="132">
        <v>0</v>
      </c>
      <c r="F44" s="132">
        <v>0</v>
      </c>
      <c r="G44" s="132">
        <v>0</v>
      </c>
      <c r="H44" s="132">
        <v>0</v>
      </c>
      <c r="I44" s="132">
        <v>0</v>
      </c>
      <c r="J44" s="132">
        <v>0</v>
      </c>
      <c r="K44" s="132">
        <v>0</v>
      </c>
      <c r="L44" s="132">
        <v>0</v>
      </c>
      <c r="M44" s="132">
        <v>0.2</v>
      </c>
      <c r="N44" s="132">
        <v>0.2</v>
      </c>
      <c r="O44" s="132">
        <v>0.4</v>
      </c>
      <c r="P44" s="132">
        <v>0</v>
      </c>
      <c r="Q44" s="132">
        <v>0</v>
      </c>
      <c r="R44" s="132">
        <v>0</v>
      </c>
      <c r="S44" s="132">
        <v>6.8</v>
      </c>
      <c r="T44" s="132">
        <v>13.6</v>
      </c>
      <c r="U44" s="132">
        <v>10.199999999999999</v>
      </c>
      <c r="V44" s="132">
        <v>17.899999999999999</v>
      </c>
      <c r="W44" s="132">
        <v>28.6</v>
      </c>
      <c r="X44" s="132">
        <v>29.9</v>
      </c>
      <c r="Y44" s="108">
        <v>40</v>
      </c>
      <c r="Z44" s="132">
        <v>62</v>
      </c>
      <c r="AA44" s="132">
        <v>86.8</v>
      </c>
      <c r="AB44" s="132">
        <v>116.3</v>
      </c>
      <c r="AC44" s="132">
        <v>159.30000000000001</v>
      </c>
      <c r="AD44" s="132">
        <v>197.1</v>
      </c>
      <c r="AE44" s="132">
        <v>232</v>
      </c>
      <c r="AF44" s="132">
        <v>219.7</v>
      </c>
      <c r="AG44" s="132">
        <v>253.6</v>
      </c>
      <c r="AH44" s="108">
        <v>273.10000000000002</v>
      </c>
      <c r="AI44" s="108">
        <v>343.1</v>
      </c>
      <c r="AJ44" s="108">
        <v>383.6</v>
      </c>
      <c r="AK44" s="108">
        <v>444.6</v>
      </c>
      <c r="AL44" s="108">
        <v>546.4</v>
      </c>
      <c r="AM44" s="108">
        <v>627.29999999999995</v>
      </c>
      <c r="AN44" s="108">
        <v>673.7</v>
      </c>
      <c r="AO44" s="108">
        <v>565</v>
      </c>
      <c r="AP44" s="108">
        <v>693.8</v>
      </c>
      <c r="AQ44" s="108">
        <v>710.5</v>
      </c>
      <c r="AR44" s="108">
        <v>758.1</v>
      </c>
      <c r="AS44" s="108">
        <v>758.9</v>
      </c>
      <c r="AT44" s="108">
        <v>834.8</v>
      </c>
      <c r="AU44" s="108">
        <v>850.7</v>
      </c>
      <c r="AV44" s="108">
        <v>976.6</v>
      </c>
      <c r="AW44" s="108">
        <v>1087</v>
      </c>
      <c r="AX44" s="108">
        <v>1097.9000000000001</v>
      </c>
      <c r="AY44" s="109">
        <v>1148.4000000000001</v>
      </c>
      <c r="AZ44" s="110">
        <v>1150</v>
      </c>
      <c r="BA44" s="110">
        <f>AZ44-AY44</f>
        <v>1.5999999999999091</v>
      </c>
      <c r="BB44" s="111">
        <f>AY44-AX44</f>
        <v>50.5</v>
      </c>
      <c r="BC44" s="112">
        <f>AZ44-AX44</f>
        <v>52.099999999999909</v>
      </c>
      <c r="BD44" s="113">
        <f t="shared" si="5"/>
        <v>7.6652731244537531E-2</v>
      </c>
      <c r="BF44" s="114" t="b">
        <v>1</v>
      </c>
      <c r="BS44" s="90"/>
    </row>
    <row r="45" spans="1:79" x14ac:dyDescent="0.25">
      <c r="A45" s="130" t="s">
        <v>60</v>
      </c>
      <c r="B45" s="115">
        <v>0</v>
      </c>
      <c r="C45" s="115">
        <v>0</v>
      </c>
      <c r="D45" s="115">
        <v>0</v>
      </c>
      <c r="E45" s="115">
        <v>0</v>
      </c>
      <c r="F45" s="115">
        <v>0</v>
      </c>
      <c r="G45" s="115">
        <v>0</v>
      </c>
      <c r="H45" s="115">
        <v>0</v>
      </c>
      <c r="I45" s="115">
        <v>0</v>
      </c>
      <c r="J45" s="115">
        <v>0</v>
      </c>
      <c r="K45" s="115">
        <v>0</v>
      </c>
      <c r="L45" s="115">
        <v>0</v>
      </c>
      <c r="M45" s="115">
        <v>1000</v>
      </c>
      <c r="N45" s="115">
        <v>1000</v>
      </c>
      <c r="O45" s="115">
        <v>1000</v>
      </c>
      <c r="P45" s="115">
        <v>0</v>
      </c>
      <c r="Q45" s="115">
        <v>0</v>
      </c>
      <c r="R45" s="115">
        <v>0</v>
      </c>
      <c r="S45" s="115">
        <v>1800</v>
      </c>
      <c r="T45" s="115">
        <v>1850</v>
      </c>
      <c r="U45" s="115">
        <v>2250</v>
      </c>
      <c r="V45" s="115">
        <v>2000</v>
      </c>
      <c r="W45" s="115">
        <v>1995</v>
      </c>
      <c r="X45" s="115">
        <v>2300</v>
      </c>
      <c r="Y45" s="115">
        <v>2500</v>
      </c>
      <c r="Z45" s="115">
        <v>2300</v>
      </c>
      <c r="AA45" s="115">
        <v>1050</v>
      </c>
      <c r="AB45" s="115">
        <v>2650</v>
      </c>
      <c r="AC45" s="115">
        <v>2490</v>
      </c>
      <c r="AD45" s="115">
        <v>2813</v>
      </c>
      <c r="AE45" s="115">
        <v>2347</v>
      </c>
      <c r="AF45" s="115">
        <v>2212</v>
      </c>
      <c r="AG45" s="115">
        <v>3231</v>
      </c>
      <c r="AH45" s="115">
        <v>2815</v>
      </c>
      <c r="AI45" s="115">
        <v>2531</v>
      </c>
      <c r="AJ45" s="115">
        <v>2983</v>
      </c>
      <c r="AK45" s="115">
        <v>2841</v>
      </c>
      <c r="AL45" s="115">
        <v>1678</v>
      </c>
      <c r="AM45" s="115">
        <v>2374</v>
      </c>
      <c r="AN45" s="115">
        <v>2722</v>
      </c>
      <c r="AO45" s="115">
        <v>1143</v>
      </c>
      <c r="AP45" s="115">
        <v>2952</v>
      </c>
      <c r="AQ45" s="115">
        <v>3573</v>
      </c>
      <c r="AR45" s="115">
        <v>3475</v>
      </c>
      <c r="AS45" s="115">
        <v>3377</v>
      </c>
      <c r="AT45" s="115">
        <v>3258</v>
      </c>
      <c r="AU45" s="115">
        <v>3543</v>
      </c>
      <c r="AV45" s="115">
        <v>3634</v>
      </c>
      <c r="AW45" s="115">
        <v>3540</v>
      </c>
      <c r="AX45" s="115">
        <f t="shared" ref="AX45:AY45" si="36">IF(AX44=0,0,AX46*1000000/AX44)</f>
        <v>3441.0237726568907</v>
      </c>
      <c r="AY45" s="131">
        <f t="shared" si="36"/>
        <v>3553.9881574364335</v>
      </c>
      <c r="AZ45" s="117">
        <v>3500</v>
      </c>
      <c r="BA45" s="110">
        <f>AZ45-AY45</f>
        <v>-53.988157436433539</v>
      </c>
      <c r="BB45" s="118">
        <f t="shared" ref="BB45:BB46" si="37">AY45-AX45</f>
        <v>112.9643847795428</v>
      </c>
      <c r="BC45" s="119">
        <f t="shared" ref="BC45:BC46" si="38">AZ45-AX45</f>
        <v>58.976227343109258</v>
      </c>
      <c r="BD45" s="113">
        <f t="shared" si="5"/>
        <v>3.7633223887161282E-3</v>
      </c>
      <c r="BS45" s="90"/>
    </row>
    <row r="46" spans="1:79" s="129" customFormat="1" x14ac:dyDescent="0.25">
      <c r="A46" s="130" t="s">
        <v>61</v>
      </c>
      <c r="B46" s="132">
        <v>0</v>
      </c>
      <c r="C46" s="132">
        <v>0</v>
      </c>
      <c r="D46" s="132">
        <v>0</v>
      </c>
      <c r="E46" s="132">
        <v>0</v>
      </c>
      <c r="F46" s="132">
        <v>0</v>
      </c>
      <c r="G46" s="132">
        <v>0</v>
      </c>
      <c r="H46" s="132">
        <v>0</v>
      </c>
      <c r="I46" s="132">
        <v>0</v>
      </c>
      <c r="J46" s="132">
        <v>0</v>
      </c>
      <c r="K46" s="132">
        <v>0</v>
      </c>
      <c r="L46" s="132">
        <v>0</v>
      </c>
      <c r="M46" s="132">
        <v>2.0000000000000001E-4</v>
      </c>
      <c r="N46" s="132">
        <v>2.0000000000000001E-4</v>
      </c>
      <c r="O46" s="132">
        <v>4.0000000000000002E-4</v>
      </c>
      <c r="P46" s="132">
        <v>0</v>
      </c>
      <c r="Q46" s="132">
        <v>0</v>
      </c>
      <c r="R46" s="132">
        <v>0</v>
      </c>
      <c r="S46" s="132">
        <v>1.2199999999999999E-2</v>
      </c>
      <c r="T46" s="132">
        <v>2.52E-2</v>
      </c>
      <c r="U46" s="132">
        <v>2.3E-2</v>
      </c>
      <c r="V46" s="132">
        <v>3.5799999999999998E-2</v>
      </c>
      <c r="W46" s="132">
        <v>5.7099999999999998E-2</v>
      </c>
      <c r="X46" s="132">
        <v>6.88E-2</v>
      </c>
      <c r="Y46" s="132">
        <v>0.1</v>
      </c>
      <c r="Z46" s="132">
        <v>0.1426</v>
      </c>
      <c r="AA46" s="132">
        <v>9.11E-2</v>
      </c>
      <c r="AB46" s="132">
        <v>0.30819999999999997</v>
      </c>
      <c r="AC46" s="132">
        <v>0.3967</v>
      </c>
      <c r="AD46" s="132">
        <v>0.5544</v>
      </c>
      <c r="AE46" s="132">
        <v>0.54449999999999998</v>
      </c>
      <c r="AF46" s="132">
        <v>0.48599999999999999</v>
      </c>
      <c r="AG46" s="132">
        <v>0.81940000000000002</v>
      </c>
      <c r="AH46" s="132">
        <v>0.76879999999999993</v>
      </c>
      <c r="AI46" s="132">
        <v>0.86839999999999995</v>
      </c>
      <c r="AJ46" s="132">
        <v>1.1442999999999999</v>
      </c>
      <c r="AK46" s="132">
        <v>1.2630999999999999</v>
      </c>
      <c r="AL46" s="132">
        <v>0.91689999999999994</v>
      </c>
      <c r="AM46" s="132">
        <v>1.4892102</v>
      </c>
      <c r="AN46" s="132">
        <v>1.8338114000000001</v>
      </c>
      <c r="AO46" s="132">
        <v>0.64579500000000001</v>
      </c>
      <c r="AP46" s="132">
        <v>2.0480976000000002</v>
      </c>
      <c r="AQ46" s="132">
        <v>2.5386165000000003</v>
      </c>
      <c r="AR46" s="132">
        <v>2.6344000000000003</v>
      </c>
      <c r="AS46" s="132">
        <v>2.5628000000000002</v>
      </c>
      <c r="AT46" s="132">
        <v>2.7198000000000002</v>
      </c>
      <c r="AU46" s="132">
        <v>3.0735999999999999</v>
      </c>
      <c r="AV46" s="132">
        <v>3.6720000000000002</v>
      </c>
      <c r="AW46" s="132">
        <v>3.8208000000000002</v>
      </c>
      <c r="AX46" s="132">
        <v>3.7779000000000003</v>
      </c>
      <c r="AY46" s="109">
        <v>4.0814000000000004</v>
      </c>
      <c r="AZ46" s="110">
        <v>3.9626000000000001</v>
      </c>
      <c r="BA46" s="110">
        <f>AZ46-AY46</f>
        <v>-0.11880000000000024</v>
      </c>
      <c r="BB46" s="120">
        <f t="shared" si="37"/>
        <v>0.3035000000000001</v>
      </c>
      <c r="BC46" s="121">
        <f t="shared" si="38"/>
        <v>0.18469999999999986</v>
      </c>
      <c r="BD46" s="113">
        <f t="shared" si="5"/>
        <v>8.0704969562853446E-2</v>
      </c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</row>
    <row r="47" spans="1:79" x14ac:dyDescent="0.25">
      <c r="A47" s="122" t="s">
        <v>79</v>
      </c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7"/>
      <c r="AX47" s="127"/>
      <c r="AY47" s="124"/>
      <c r="AZ47" s="125"/>
      <c r="BA47" s="125"/>
      <c r="BB47" s="126"/>
      <c r="BC47" s="127"/>
      <c r="BD47" s="128"/>
      <c r="BS47" s="90"/>
    </row>
    <row r="48" spans="1:79" x14ac:dyDescent="0.25">
      <c r="A48" s="130" t="s">
        <v>59</v>
      </c>
      <c r="B48" s="132">
        <v>0</v>
      </c>
      <c r="C48" s="132">
        <v>0</v>
      </c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32">
        <v>0</v>
      </c>
      <c r="K48" s="132">
        <v>0</v>
      </c>
      <c r="L48" s="132">
        <v>0</v>
      </c>
      <c r="M48" s="132">
        <v>0</v>
      </c>
      <c r="N48" s="132">
        <v>0</v>
      </c>
      <c r="O48" s="132">
        <v>0</v>
      </c>
      <c r="P48" s="132">
        <v>0</v>
      </c>
      <c r="Q48" s="132">
        <v>0</v>
      </c>
      <c r="R48" s="132">
        <v>0</v>
      </c>
      <c r="S48" s="132">
        <v>0</v>
      </c>
      <c r="T48" s="132">
        <v>0</v>
      </c>
      <c r="U48" s="132">
        <v>0</v>
      </c>
      <c r="V48" s="132">
        <v>0</v>
      </c>
      <c r="W48" s="132">
        <v>0</v>
      </c>
      <c r="X48" s="132">
        <v>0</v>
      </c>
      <c r="Y48" s="108">
        <v>0</v>
      </c>
      <c r="Z48" s="132">
        <v>0</v>
      </c>
      <c r="AA48" s="132">
        <v>0</v>
      </c>
      <c r="AB48" s="132">
        <v>0</v>
      </c>
      <c r="AC48" s="132">
        <v>0</v>
      </c>
      <c r="AD48" s="132">
        <v>0</v>
      </c>
      <c r="AE48" s="132">
        <v>0</v>
      </c>
      <c r="AF48" s="132">
        <v>0</v>
      </c>
      <c r="AG48" s="132">
        <v>0</v>
      </c>
      <c r="AH48" s="108">
        <v>0</v>
      </c>
      <c r="AI48" s="108">
        <v>0</v>
      </c>
      <c r="AJ48" s="108">
        <v>0</v>
      </c>
      <c r="AK48" s="108">
        <v>0</v>
      </c>
      <c r="AL48" s="108">
        <v>0</v>
      </c>
      <c r="AM48" s="108">
        <v>0</v>
      </c>
      <c r="AN48" s="108">
        <v>0</v>
      </c>
      <c r="AO48" s="108">
        <v>0</v>
      </c>
      <c r="AP48" s="108">
        <v>0</v>
      </c>
      <c r="AQ48" s="108">
        <v>0</v>
      </c>
      <c r="AR48" s="108">
        <v>0</v>
      </c>
      <c r="AS48" s="108">
        <v>0</v>
      </c>
      <c r="AT48" s="108">
        <v>0</v>
      </c>
      <c r="AU48" s="108">
        <v>0</v>
      </c>
      <c r="AV48" s="108">
        <v>4.5999999999999996</v>
      </c>
      <c r="AW48" s="108">
        <v>3.9</v>
      </c>
      <c r="AX48" s="108">
        <v>4.2</v>
      </c>
      <c r="AY48" s="109">
        <v>4</v>
      </c>
      <c r="AZ48" s="110">
        <v>4</v>
      </c>
      <c r="BA48" s="110">
        <f>AZ48-AY48</f>
        <v>0</v>
      </c>
      <c r="BB48" s="111">
        <f>AY48-AX48</f>
        <v>-0.20000000000000018</v>
      </c>
      <c r="BC48" s="112">
        <f>AZ48-AX48</f>
        <v>-0.20000000000000018</v>
      </c>
      <c r="BD48" s="113" t="e">
        <f t="shared" si="5"/>
        <v>#DIV/0!</v>
      </c>
      <c r="BF48" s="114" t="b">
        <v>1</v>
      </c>
      <c r="BS48" s="90"/>
    </row>
    <row r="49" spans="1:79" x14ac:dyDescent="0.25">
      <c r="A49" s="130" t="s">
        <v>60</v>
      </c>
      <c r="B49" s="115">
        <v>0</v>
      </c>
      <c r="C49" s="115">
        <v>0</v>
      </c>
      <c r="D49" s="115">
        <v>0</v>
      </c>
      <c r="E49" s="115">
        <v>0</v>
      </c>
      <c r="F49" s="115">
        <v>0</v>
      </c>
      <c r="G49" s="115">
        <v>0</v>
      </c>
      <c r="H49" s="115">
        <v>0</v>
      </c>
      <c r="I49" s="115">
        <v>0</v>
      </c>
      <c r="J49" s="115">
        <v>0</v>
      </c>
      <c r="K49" s="115">
        <v>0</v>
      </c>
      <c r="L49" s="115">
        <v>0</v>
      </c>
      <c r="M49" s="115">
        <v>0</v>
      </c>
      <c r="N49" s="115">
        <v>0</v>
      </c>
      <c r="O49" s="115">
        <v>0</v>
      </c>
      <c r="P49" s="115">
        <v>0</v>
      </c>
      <c r="Q49" s="115">
        <v>0</v>
      </c>
      <c r="R49" s="115">
        <v>0</v>
      </c>
      <c r="S49" s="115">
        <v>0</v>
      </c>
      <c r="T49" s="115">
        <v>0</v>
      </c>
      <c r="U49" s="115">
        <v>0</v>
      </c>
      <c r="V49" s="115">
        <v>0</v>
      </c>
      <c r="W49" s="115">
        <v>0</v>
      </c>
      <c r="X49" s="115">
        <v>0</v>
      </c>
      <c r="Y49" s="115">
        <v>0</v>
      </c>
      <c r="Z49" s="115">
        <v>0</v>
      </c>
      <c r="AA49" s="115">
        <v>0</v>
      </c>
      <c r="AB49" s="115">
        <v>0</v>
      </c>
      <c r="AC49" s="115">
        <v>0</v>
      </c>
      <c r="AD49" s="115">
        <v>0</v>
      </c>
      <c r="AE49" s="115">
        <v>0</v>
      </c>
      <c r="AF49" s="115">
        <v>0</v>
      </c>
      <c r="AG49" s="115">
        <v>0</v>
      </c>
      <c r="AH49" s="115">
        <v>0</v>
      </c>
      <c r="AI49" s="115">
        <v>0</v>
      </c>
      <c r="AJ49" s="115">
        <v>0</v>
      </c>
      <c r="AK49" s="115">
        <v>0</v>
      </c>
      <c r="AL49" s="115">
        <v>0</v>
      </c>
      <c r="AM49" s="115">
        <v>0</v>
      </c>
      <c r="AN49" s="115">
        <v>0</v>
      </c>
      <c r="AO49" s="115">
        <v>0</v>
      </c>
      <c r="AP49" s="115">
        <v>0</v>
      </c>
      <c r="AQ49" s="115">
        <v>0</v>
      </c>
      <c r="AR49" s="115">
        <v>0</v>
      </c>
      <c r="AS49" s="115">
        <v>0</v>
      </c>
      <c r="AT49" s="115">
        <v>0</v>
      </c>
      <c r="AU49" s="115">
        <v>0</v>
      </c>
      <c r="AV49" s="115">
        <v>3894</v>
      </c>
      <c r="AW49" s="115">
        <v>3463</v>
      </c>
      <c r="AX49" s="115">
        <f t="shared" ref="AX49:AY49" si="39">IF(AX48=0,0,AX50*1000000/AX48)</f>
        <v>3666.6666666666665</v>
      </c>
      <c r="AY49" s="116">
        <f t="shared" si="39"/>
        <v>3725</v>
      </c>
      <c r="AZ49" s="117">
        <v>3725</v>
      </c>
      <c r="BA49" s="110">
        <f>AZ49-AY49</f>
        <v>0</v>
      </c>
      <c r="BB49" s="118">
        <f t="shared" ref="BB49:BB50" si="40">AY49-AX49</f>
        <v>58.333333333333485</v>
      </c>
      <c r="BC49" s="119">
        <f t="shared" ref="BC49:BC50" si="41">AZ49-AX49</f>
        <v>58.333333333333485</v>
      </c>
      <c r="BD49" s="113" t="e">
        <f t="shared" si="5"/>
        <v>#DIV/0!</v>
      </c>
      <c r="BS49" s="90"/>
    </row>
    <row r="50" spans="1:79" s="129" customFormat="1" x14ac:dyDescent="0.25">
      <c r="A50" s="130" t="s">
        <v>61</v>
      </c>
      <c r="B50" s="132">
        <v>0</v>
      </c>
      <c r="C50" s="132">
        <v>0</v>
      </c>
      <c r="D50" s="132">
        <v>0</v>
      </c>
      <c r="E50" s="132">
        <v>0</v>
      </c>
      <c r="F50" s="132">
        <v>0</v>
      </c>
      <c r="G50" s="132">
        <v>0</v>
      </c>
      <c r="H50" s="132">
        <v>0</v>
      </c>
      <c r="I50" s="132">
        <v>0</v>
      </c>
      <c r="J50" s="132">
        <v>0</v>
      </c>
      <c r="K50" s="132">
        <v>0</v>
      </c>
      <c r="L50" s="132">
        <v>0</v>
      </c>
      <c r="M50" s="132">
        <v>0</v>
      </c>
      <c r="N50" s="132">
        <v>0</v>
      </c>
      <c r="O50" s="132">
        <v>0</v>
      </c>
      <c r="P50" s="132">
        <v>0</v>
      </c>
      <c r="Q50" s="132">
        <v>0</v>
      </c>
      <c r="R50" s="132">
        <v>0</v>
      </c>
      <c r="S50" s="132">
        <v>0</v>
      </c>
      <c r="T50" s="132">
        <v>0</v>
      </c>
      <c r="U50" s="132">
        <v>0</v>
      </c>
      <c r="V50" s="132">
        <v>0</v>
      </c>
      <c r="W50" s="132">
        <v>0</v>
      </c>
      <c r="X50" s="132">
        <v>0</v>
      </c>
      <c r="Y50" s="132">
        <v>0</v>
      </c>
      <c r="Z50" s="132">
        <v>0</v>
      </c>
      <c r="AA50" s="132">
        <v>0</v>
      </c>
      <c r="AB50" s="132">
        <v>0</v>
      </c>
      <c r="AC50" s="132">
        <v>0</v>
      </c>
      <c r="AD50" s="132">
        <v>0</v>
      </c>
      <c r="AE50" s="132">
        <v>0</v>
      </c>
      <c r="AF50" s="132">
        <v>0</v>
      </c>
      <c r="AG50" s="132">
        <v>0</v>
      </c>
      <c r="AH50" s="132">
        <v>0</v>
      </c>
      <c r="AI50" s="132">
        <v>0</v>
      </c>
      <c r="AJ50" s="132">
        <v>0</v>
      </c>
      <c r="AK50" s="132">
        <v>0</v>
      </c>
      <c r="AL50" s="132">
        <v>0</v>
      </c>
      <c r="AM50" s="132">
        <v>0</v>
      </c>
      <c r="AN50" s="132">
        <v>0</v>
      </c>
      <c r="AO50" s="132">
        <v>0</v>
      </c>
      <c r="AP50" s="132">
        <v>0</v>
      </c>
      <c r="AQ50" s="132">
        <v>0</v>
      </c>
      <c r="AR50" s="132">
        <v>0</v>
      </c>
      <c r="AS50" s="132">
        <v>0</v>
      </c>
      <c r="AT50" s="132">
        <v>0</v>
      </c>
      <c r="AU50" s="132">
        <v>0</v>
      </c>
      <c r="AV50" s="132">
        <v>1.7899999999999999E-2</v>
      </c>
      <c r="AW50" s="132">
        <v>1.3699999999999999E-2</v>
      </c>
      <c r="AX50" s="132">
        <v>1.54E-2</v>
      </c>
      <c r="AY50" s="109">
        <v>1.49E-2</v>
      </c>
      <c r="AZ50" s="110">
        <f>AZ49*AZ48/1000000</f>
        <v>1.49E-2</v>
      </c>
      <c r="BA50" s="110">
        <f>AZ50-AY50</f>
        <v>0</v>
      </c>
      <c r="BB50" s="120">
        <f t="shared" si="40"/>
        <v>-5.0000000000000044E-4</v>
      </c>
      <c r="BC50" s="121">
        <f t="shared" si="41"/>
        <v>-5.0000000000000044E-4</v>
      </c>
      <c r="BD50" s="113" t="e">
        <f t="shared" si="5"/>
        <v>#DIV/0!</v>
      </c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</row>
    <row r="51" spans="1:79" x14ac:dyDescent="0.25">
      <c r="A51" s="122" t="s">
        <v>83</v>
      </c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7"/>
      <c r="AX51" s="127"/>
      <c r="AY51" s="124"/>
      <c r="AZ51" s="125"/>
      <c r="BA51" s="125"/>
      <c r="BB51" s="126"/>
      <c r="BC51" s="127"/>
      <c r="BD51" s="128"/>
      <c r="BS51" s="90"/>
    </row>
    <row r="52" spans="1:79" x14ac:dyDescent="0.25">
      <c r="A52" s="130" t="s">
        <v>59</v>
      </c>
      <c r="B52" s="132">
        <v>0</v>
      </c>
      <c r="C52" s="132">
        <v>0</v>
      </c>
      <c r="D52" s="132">
        <v>0</v>
      </c>
      <c r="E52" s="132">
        <v>0</v>
      </c>
      <c r="F52" s="132">
        <v>0</v>
      </c>
      <c r="G52" s="132">
        <v>0</v>
      </c>
      <c r="H52" s="132">
        <v>0</v>
      </c>
      <c r="I52" s="132">
        <v>0</v>
      </c>
      <c r="J52" s="132">
        <v>0</v>
      </c>
      <c r="K52" s="132">
        <v>0</v>
      </c>
      <c r="L52" s="132">
        <v>0</v>
      </c>
      <c r="M52" s="132">
        <v>0</v>
      </c>
      <c r="N52" s="132">
        <v>0</v>
      </c>
      <c r="O52" s="132">
        <v>0</v>
      </c>
      <c r="P52" s="132">
        <v>0</v>
      </c>
      <c r="Q52" s="132">
        <v>0</v>
      </c>
      <c r="R52" s="132">
        <v>0</v>
      </c>
      <c r="S52" s="132">
        <v>0</v>
      </c>
      <c r="T52" s="132">
        <v>0</v>
      </c>
      <c r="U52" s="132">
        <v>0</v>
      </c>
      <c r="V52" s="132">
        <v>0</v>
      </c>
      <c r="W52" s="132">
        <v>0</v>
      </c>
      <c r="X52" s="132">
        <v>0</v>
      </c>
      <c r="Y52" s="108">
        <v>0</v>
      </c>
      <c r="Z52" s="132">
        <v>0</v>
      </c>
      <c r="AA52" s="132">
        <v>0</v>
      </c>
      <c r="AB52" s="132">
        <v>0</v>
      </c>
      <c r="AC52" s="132">
        <v>0</v>
      </c>
      <c r="AD52" s="132">
        <v>0</v>
      </c>
      <c r="AE52" s="132">
        <v>0</v>
      </c>
      <c r="AF52" s="132">
        <v>0</v>
      </c>
      <c r="AG52" s="132">
        <v>0</v>
      </c>
      <c r="AH52" s="108">
        <v>0</v>
      </c>
      <c r="AI52" s="108">
        <v>0</v>
      </c>
      <c r="AJ52" s="108">
        <v>0</v>
      </c>
      <c r="AK52" s="108">
        <v>0</v>
      </c>
      <c r="AL52" s="108">
        <v>0</v>
      </c>
      <c r="AM52" s="108">
        <v>0</v>
      </c>
      <c r="AN52" s="108">
        <v>0</v>
      </c>
      <c r="AO52" s="108">
        <v>0</v>
      </c>
      <c r="AP52" s="108">
        <v>0</v>
      </c>
      <c r="AQ52" s="108">
        <v>0</v>
      </c>
      <c r="AR52" s="108">
        <v>0</v>
      </c>
      <c r="AS52" s="108">
        <v>0</v>
      </c>
      <c r="AT52" s="108">
        <v>0</v>
      </c>
      <c r="AU52" s="108">
        <v>0</v>
      </c>
      <c r="AV52" s="108">
        <v>0</v>
      </c>
      <c r="AW52" s="108">
        <v>0</v>
      </c>
      <c r="AX52" s="108">
        <v>0</v>
      </c>
      <c r="AY52" s="109">
        <v>0</v>
      </c>
      <c r="AZ52" s="110">
        <v>0</v>
      </c>
      <c r="BA52" s="110">
        <f>AZ52-AY52</f>
        <v>0</v>
      </c>
      <c r="BB52" s="120"/>
      <c r="BC52" s="121"/>
      <c r="BD52" s="113"/>
      <c r="BS52" s="90"/>
    </row>
    <row r="53" spans="1:79" x14ac:dyDescent="0.25">
      <c r="A53" s="130" t="s">
        <v>60</v>
      </c>
      <c r="B53" s="115">
        <v>0</v>
      </c>
      <c r="C53" s="115">
        <v>0</v>
      </c>
      <c r="D53" s="115">
        <v>0</v>
      </c>
      <c r="E53" s="115">
        <v>0</v>
      </c>
      <c r="F53" s="115">
        <v>0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5">
        <v>0</v>
      </c>
      <c r="M53" s="115">
        <v>0</v>
      </c>
      <c r="N53" s="115">
        <v>0</v>
      </c>
      <c r="O53" s="115">
        <v>0</v>
      </c>
      <c r="P53" s="115">
        <v>0</v>
      </c>
      <c r="Q53" s="115">
        <v>0</v>
      </c>
      <c r="R53" s="115">
        <v>0</v>
      </c>
      <c r="S53" s="115">
        <v>0</v>
      </c>
      <c r="T53" s="115">
        <v>0</v>
      </c>
      <c r="U53" s="115">
        <v>0</v>
      </c>
      <c r="V53" s="115">
        <v>0</v>
      </c>
      <c r="W53" s="115">
        <v>0</v>
      </c>
      <c r="X53" s="115">
        <v>0</v>
      </c>
      <c r="Y53" s="115">
        <v>0</v>
      </c>
      <c r="Z53" s="115">
        <v>0</v>
      </c>
      <c r="AA53" s="115">
        <v>0</v>
      </c>
      <c r="AB53" s="115">
        <v>0</v>
      </c>
      <c r="AC53" s="115">
        <v>0</v>
      </c>
      <c r="AD53" s="115">
        <v>0</v>
      </c>
      <c r="AE53" s="115">
        <v>0</v>
      </c>
      <c r="AF53" s="115">
        <v>0</v>
      </c>
      <c r="AG53" s="115">
        <v>0</v>
      </c>
      <c r="AH53" s="115">
        <v>0</v>
      </c>
      <c r="AI53" s="115">
        <v>0</v>
      </c>
      <c r="AJ53" s="115">
        <v>0</v>
      </c>
      <c r="AK53" s="115">
        <v>0</v>
      </c>
      <c r="AL53" s="115">
        <v>0</v>
      </c>
      <c r="AM53" s="115">
        <v>0</v>
      </c>
      <c r="AN53" s="115">
        <v>0</v>
      </c>
      <c r="AO53" s="115">
        <v>0</v>
      </c>
      <c r="AP53" s="115">
        <v>0</v>
      </c>
      <c r="AQ53" s="115">
        <v>0</v>
      </c>
      <c r="AR53" s="115">
        <v>0</v>
      </c>
      <c r="AS53" s="115">
        <v>0</v>
      </c>
      <c r="AT53" s="115">
        <v>0</v>
      </c>
      <c r="AU53" s="115">
        <v>0</v>
      </c>
      <c r="AV53" s="115">
        <v>0</v>
      </c>
      <c r="AW53" s="115">
        <v>0</v>
      </c>
      <c r="AX53" s="115">
        <v>0</v>
      </c>
      <c r="AY53" s="131">
        <v>0</v>
      </c>
      <c r="AZ53" s="117">
        <v>0</v>
      </c>
      <c r="BA53" s="110">
        <f>AZ53-AY53</f>
        <v>0</v>
      </c>
      <c r="BB53" s="118"/>
      <c r="BC53" s="119"/>
      <c r="BD53" s="113"/>
      <c r="BS53" s="90"/>
    </row>
    <row r="54" spans="1:79" s="129" customFormat="1" x14ac:dyDescent="0.25">
      <c r="A54" s="130" t="s">
        <v>61</v>
      </c>
      <c r="B54" s="132">
        <v>0</v>
      </c>
      <c r="C54" s="132">
        <v>0</v>
      </c>
      <c r="D54" s="132">
        <v>0</v>
      </c>
      <c r="E54" s="132">
        <v>0</v>
      </c>
      <c r="F54" s="132">
        <v>0</v>
      </c>
      <c r="G54" s="132">
        <v>0</v>
      </c>
      <c r="H54" s="132">
        <v>0</v>
      </c>
      <c r="I54" s="132">
        <v>0</v>
      </c>
      <c r="J54" s="132">
        <v>0</v>
      </c>
      <c r="K54" s="132">
        <v>0</v>
      </c>
      <c r="L54" s="132">
        <v>0</v>
      </c>
      <c r="M54" s="132">
        <v>0</v>
      </c>
      <c r="N54" s="132">
        <v>0</v>
      </c>
      <c r="O54" s="132">
        <v>0</v>
      </c>
      <c r="P54" s="132">
        <v>0</v>
      </c>
      <c r="Q54" s="132">
        <v>0</v>
      </c>
      <c r="R54" s="132">
        <v>0</v>
      </c>
      <c r="S54" s="132">
        <v>0</v>
      </c>
      <c r="T54" s="132">
        <v>0</v>
      </c>
      <c r="U54" s="132">
        <v>0</v>
      </c>
      <c r="V54" s="132">
        <v>0</v>
      </c>
      <c r="W54" s="132">
        <v>0</v>
      </c>
      <c r="X54" s="132">
        <v>0</v>
      </c>
      <c r="Y54" s="132">
        <v>0</v>
      </c>
      <c r="Z54" s="132">
        <v>0</v>
      </c>
      <c r="AA54" s="132">
        <v>0</v>
      </c>
      <c r="AB54" s="132">
        <v>0</v>
      </c>
      <c r="AC54" s="132">
        <v>0</v>
      </c>
      <c r="AD54" s="132">
        <v>0</v>
      </c>
      <c r="AE54" s="132">
        <v>0</v>
      </c>
      <c r="AF54" s="132">
        <v>0</v>
      </c>
      <c r="AG54" s="132">
        <v>0</v>
      </c>
      <c r="AH54" s="132">
        <v>0</v>
      </c>
      <c r="AI54" s="132">
        <v>0</v>
      </c>
      <c r="AJ54" s="132">
        <v>0</v>
      </c>
      <c r="AK54" s="132">
        <v>0</v>
      </c>
      <c r="AL54" s="132">
        <v>0</v>
      </c>
      <c r="AM54" s="132">
        <v>0</v>
      </c>
      <c r="AN54" s="132">
        <v>0</v>
      </c>
      <c r="AO54" s="132">
        <v>0</v>
      </c>
      <c r="AP54" s="132">
        <v>0</v>
      </c>
      <c r="AQ54" s="132">
        <v>0</v>
      </c>
      <c r="AR54" s="132">
        <v>0</v>
      </c>
      <c r="AS54" s="132">
        <v>0</v>
      </c>
      <c r="AT54" s="132">
        <v>0</v>
      </c>
      <c r="AU54" s="132">
        <v>0</v>
      </c>
      <c r="AV54" s="132">
        <v>0</v>
      </c>
      <c r="AW54" s="132">
        <v>0</v>
      </c>
      <c r="AX54" s="132">
        <v>0</v>
      </c>
      <c r="AY54" s="109">
        <v>0</v>
      </c>
      <c r="AZ54" s="110">
        <v>0</v>
      </c>
      <c r="BA54" s="110">
        <f>AZ54-AY54</f>
        <v>0</v>
      </c>
      <c r="BB54" s="120"/>
      <c r="BC54" s="121"/>
      <c r="BD54" s="113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  <c r="CA54" s="90"/>
    </row>
    <row r="55" spans="1:79" x14ac:dyDescent="0.25">
      <c r="A55" s="122" t="s">
        <v>86</v>
      </c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4"/>
      <c r="AZ55" s="125"/>
      <c r="BA55" s="125"/>
      <c r="BB55" s="126"/>
      <c r="BC55" s="127"/>
      <c r="BD55" s="128"/>
      <c r="BS55" s="90"/>
    </row>
    <row r="56" spans="1:79" x14ac:dyDescent="0.25">
      <c r="A56" s="130" t="s">
        <v>59</v>
      </c>
      <c r="B56" s="132">
        <v>0</v>
      </c>
      <c r="C56" s="132">
        <v>0</v>
      </c>
      <c r="D56" s="132">
        <v>0</v>
      </c>
      <c r="E56" s="132">
        <v>0</v>
      </c>
      <c r="F56" s="132">
        <v>0</v>
      </c>
      <c r="G56" s="132">
        <v>0</v>
      </c>
      <c r="H56" s="132">
        <v>0</v>
      </c>
      <c r="I56" s="132">
        <v>0</v>
      </c>
      <c r="J56" s="132">
        <v>0</v>
      </c>
      <c r="K56" s="132">
        <v>0</v>
      </c>
      <c r="L56" s="132">
        <v>0</v>
      </c>
      <c r="M56" s="132">
        <v>0</v>
      </c>
      <c r="N56" s="132">
        <v>0</v>
      </c>
      <c r="O56" s="132">
        <v>0</v>
      </c>
      <c r="P56" s="132">
        <v>0</v>
      </c>
      <c r="Q56" s="132">
        <v>0</v>
      </c>
      <c r="R56" s="132">
        <v>0</v>
      </c>
      <c r="S56" s="132">
        <v>0</v>
      </c>
      <c r="T56" s="132">
        <v>0</v>
      </c>
      <c r="U56" s="132">
        <v>0</v>
      </c>
      <c r="V56" s="132">
        <v>0</v>
      </c>
      <c r="W56" s="132">
        <v>0</v>
      </c>
      <c r="X56" s="132">
        <v>0</v>
      </c>
      <c r="Y56" s="108">
        <v>0</v>
      </c>
      <c r="Z56" s="132">
        <v>0</v>
      </c>
      <c r="AA56" s="132">
        <v>0</v>
      </c>
      <c r="AB56" s="132">
        <v>0</v>
      </c>
      <c r="AC56" s="132">
        <v>0</v>
      </c>
      <c r="AD56" s="132">
        <v>0</v>
      </c>
      <c r="AE56" s="132">
        <v>0</v>
      </c>
      <c r="AF56" s="132">
        <v>0</v>
      </c>
      <c r="AG56" s="132">
        <v>0</v>
      </c>
      <c r="AH56" s="108">
        <v>0</v>
      </c>
      <c r="AI56" s="108">
        <v>0</v>
      </c>
      <c r="AJ56" s="108">
        <v>0</v>
      </c>
      <c r="AK56" s="108">
        <v>0</v>
      </c>
      <c r="AL56" s="108">
        <v>0</v>
      </c>
      <c r="AM56" s="108">
        <v>0</v>
      </c>
      <c r="AN56" s="108">
        <v>0</v>
      </c>
      <c r="AO56" s="108">
        <v>0</v>
      </c>
      <c r="AP56" s="108">
        <v>0</v>
      </c>
      <c r="AQ56" s="108">
        <v>0</v>
      </c>
      <c r="AR56" s="108">
        <v>0</v>
      </c>
      <c r="AS56" s="108">
        <v>0</v>
      </c>
      <c r="AT56" s="108">
        <v>0</v>
      </c>
      <c r="AU56" s="108">
        <v>0</v>
      </c>
      <c r="AV56" s="108">
        <v>0</v>
      </c>
      <c r="AW56" s="108">
        <v>0</v>
      </c>
      <c r="AX56" s="108">
        <v>0</v>
      </c>
      <c r="AY56" s="109">
        <v>0</v>
      </c>
      <c r="AZ56" s="110">
        <v>0</v>
      </c>
      <c r="BA56" s="110">
        <f>AZ56-AY56</f>
        <v>0</v>
      </c>
      <c r="BB56" s="120"/>
      <c r="BC56" s="121"/>
      <c r="BD56" s="113"/>
      <c r="BS56" s="90"/>
    </row>
    <row r="57" spans="1:79" x14ac:dyDescent="0.25">
      <c r="A57" s="130" t="s">
        <v>60</v>
      </c>
      <c r="B57" s="115">
        <v>0</v>
      </c>
      <c r="C57" s="115">
        <v>0</v>
      </c>
      <c r="D57" s="115">
        <v>0</v>
      </c>
      <c r="E57" s="115">
        <v>0</v>
      </c>
      <c r="F57" s="115">
        <v>0</v>
      </c>
      <c r="G57" s="115">
        <v>0</v>
      </c>
      <c r="H57" s="115">
        <v>0</v>
      </c>
      <c r="I57" s="115">
        <v>0</v>
      </c>
      <c r="J57" s="115">
        <v>0</v>
      </c>
      <c r="K57" s="115">
        <v>0</v>
      </c>
      <c r="L57" s="115">
        <v>0</v>
      </c>
      <c r="M57" s="115">
        <v>0</v>
      </c>
      <c r="N57" s="115">
        <v>0</v>
      </c>
      <c r="O57" s="115">
        <v>0</v>
      </c>
      <c r="P57" s="115">
        <v>0</v>
      </c>
      <c r="Q57" s="115">
        <v>0</v>
      </c>
      <c r="R57" s="115">
        <v>0</v>
      </c>
      <c r="S57" s="115">
        <v>0</v>
      </c>
      <c r="T57" s="115">
        <v>0</v>
      </c>
      <c r="U57" s="115">
        <v>0</v>
      </c>
      <c r="V57" s="115">
        <v>0</v>
      </c>
      <c r="W57" s="115">
        <v>0</v>
      </c>
      <c r="X57" s="115">
        <v>0</v>
      </c>
      <c r="Y57" s="115">
        <v>0</v>
      </c>
      <c r="Z57" s="115">
        <v>0</v>
      </c>
      <c r="AA57" s="115">
        <v>0</v>
      </c>
      <c r="AB57" s="115">
        <v>0</v>
      </c>
      <c r="AC57" s="115">
        <v>0</v>
      </c>
      <c r="AD57" s="115">
        <v>0</v>
      </c>
      <c r="AE57" s="115">
        <v>0</v>
      </c>
      <c r="AF57" s="115">
        <v>0</v>
      </c>
      <c r="AG57" s="115">
        <v>0</v>
      </c>
      <c r="AH57" s="115">
        <v>0</v>
      </c>
      <c r="AI57" s="115">
        <v>0</v>
      </c>
      <c r="AJ57" s="115">
        <v>0</v>
      </c>
      <c r="AK57" s="115">
        <v>0</v>
      </c>
      <c r="AL57" s="115">
        <v>0</v>
      </c>
      <c r="AM57" s="115">
        <v>0</v>
      </c>
      <c r="AN57" s="115">
        <v>0</v>
      </c>
      <c r="AO57" s="115">
        <v>0</v>
      </c>
      <c r="AP57" s="115">
        <v>0</v>
      </c>
      <c r="AQ57" s="115">
        <v>0</v>
      </c>
      <c r="AR57" s="115">
        <v>0</v>
      </c>
      <c r="AS57" s="115">
        <v>0</v>
      </c>
      <c r="AT57" s="115">
        <v>0</v>
      </c>
      <c r="AU57" s="115">
        <v>0</v>
      </c>
      <c r="AV57" s="115">
        <v>0</v>
      </c>
      <c r="AW57" s="115">
        <v>0</v>
      </c>
      <c r="AX57" s="115">
        <v>0</v>
      </c>
      <c r="AY57" s="131">
        <v>0</v>
      </c>
      <c r="AZ57" s="117">
        <v>0</v>
      </c>
      <c r="BA57" s="110">
        <f>AZ57-AY57</f>
        <v>0</v>
      </c>
      <c r="BB57" s="118"/>
      <c r="BC57" s="119"/>
      <c r="BD57" s="113"/>
      <c r="BS57" s="90"/>
    </row>
    <row r="58" spans="1:79" s="129" customFormat="1" x14ac:dyDescent="0.25">
      <c r="A58" s="130" t="s">
        <v>61</v>
      </c>
      <c r="B58" s="132">
        <v>0</v>
      </c>
      <c r="C58" s="132">
        <v>0</v>
      </c>
      <c r="D58" s="132">
        <v>0</v>
      </c>
      <c r="E58" s="132">
        <v>0</v>
      </c>
      <c r="F58" s="132">
        <v>0</v>
      </c>
      <c r="G58" s="132">
        <v>0</v>
      </c>
      <c r="H58" s="132">
        <v>0</v>
      </c>
      <c r="I58" s="132">
        <v>0</v>
      </c>
      <c r="J58" s="132">
        <v>0</v>
      </c>
      <c r="K58" s="132">
        <v>0</v>
      </c>
      <c r="L58" s="132">
        <v>0</v>
      </c>
      <c r="M58" s="132">
        <v>0</v>
      </c>
      <c r="N58" s="132">
        <v>0</v>
      </c>
      <c r="O58" s="132">
        <v>0</v>
      </c>
      <c r="P58" s="132">
        <v>0</v>
      </c>
      <c r="Q58" s="132">
        <v>0</v>
      </c>
      <c r="R58" s="132">
        <v>0</v>
      </c>
      <c r="S58" s="132">
        <v>0</v>
      </c>
      <c r="T58" s="132">
        <v>0</v>
      </c>
      <c r="U58" s="132">
        <v>0</v>
      </c>
      <c r="V58" s="132">
        <v>0</v>
      </c>
      <c r="W58" s="132">
        <v>0</v>
      </c>
      <c r="X58" s="132">
        <v>0</v>
      </c>
      <c r="Y58" s="132">
        <v>0</v>
      </c>
      <c r="Z58" s="132">
        <v>0</v>
      </c>
      <c r="AA58" s="132">
        <v>0</v>
      </c>
      <c r="AB58" s="132">
        <v>0</v>
      </c>
      <c r="AC58" s="132">
        <v>0</v>
      </c>
      <c r="AD58" s="132">
        <v>0</v>
      </c>
      <c r="AE58" s="132">
        <v>0</v>
      </c>
      <c r="AF58" s="132">
        <v>0</v>
      </c>
      <c r="AG58" s="132">
        <v>0</v>
      </c>
      <c r="AH58" s="132">
        <v>0</v>
      </c>
      <c r="AI58" s="132">
        <v>0</v>
      </c>
      <c r="AJ58" s="132">
        <v>0</v>
      </c>
      <c r="AK58" s="132">
        <v>0</v>
      </c>
      <c r="AL58" s="132">
        <v>0</v>
      </c>
      <c r="AM58" s="132">
        <v>0</v>
      </c>
      <c r="AN58" s="132">
        <v>0</v>
      </c>
      <c r="AO58" s="132">
        <v>0</v>
      </c>
      <c r="AP58" s="132">
        <v>0</v>
      </c>
      <c r="AQ58" s="132">
        <v>0</v>
      </c>
      <c r="AR58" s="132">
        <v>0</v>
      </c>
      <c r="AS58" s="132">
        <v>0</v>
      </c>
      <c r="AT58" s="132">
        <v>0</v>
      </c>
      <c r="AU58" s="132">
        <v>0</v>
      </c>
      <c r="AV58" s="132">
        <v>0</v>
      </c>
      <c r="AW58" s="132">
        <v>0</v>
      </c>
      <c r="AX58" s="132">
        <v>0</v>
      </c>
      <c r="AY58" s="109">
        <v>0</v>
      </c>
      <c r="AZ58" s="110">
        <v>0</v>
      </c>
      <c r="BA58" s="110">
        <f>AZ58-AY58</f>
        <v>0</v>
      </c>
      <c r="BB58" s="120"/>
      <c r="BC58" s="121"/>
      <c r="BD58" s="113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</row>
    <row r="59" spans="1:79" x14ac:dyDescent="0.25">
      <c r="A59" s="122" t="s">
        <v>83</v>
      </c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4"/>
      <c r="AZ59" s="125"/>
      <c r="BA59" s="125"/>
      <c r="BB59" s="126"/>
      <c r="BC59" s="127"/>
      <c r="BD59" s="128"/>
      <c r="BS59" s="90"/>
    </row>
    <row r="60" spans="1:79" x14ac:dyDescent="0.25">
      <c r="A60" s="130" t="s">
        <v>59</v>
      </c>
      <c r="B60" s="132">
        <v>0</v>
      </c>
      <c r="C60" s="132">
        <v>0</v>
      </c>
      <c r="D60" s="132">
        <v>0</v>
      </c>
      <c r="E60" s="132">
        <v>0</v>
      </c>
      <c r="F60" s="132">
        <v>0</v>
      </c>
      <c r="G60" s="132">
        <v>0</v>
      </c>
      <c r="H60" s="132">
        <v>0</v>
      </c>
      <c r="I60" s="132">
        <v>0</v>
      </c>
      <c r="J60" s="132">
        <v>0</v>
      </c>
      <c r="K60" s="132">
        <v>0</v>
      </c>
      <c r="L60" s="132">
        <v>0</v>
      </c>
      <c r="M60" s="132">
        <v>0</v>
      </c>
      <c r="N60" s="132">
        <v>0</v>
      </c>
      <c r="O60" s="132">
        <v>0</v>
      </c>
      <c r="P60" s="132">
        <v>0</v>
      </c>
      <c r="Q60" s="132">
        <v>0</v>
      </c>
      <c r="R60" s="132">
        <v>0</v>
      </c>
      <c r="S60" s="132">
        <v>0</v>
      </c>
      <c r="T60" s="132">
        <v>0</v>
      </c>
      <c r="U60" s="132">
        <v>0</v>
      </c>
      <c r="V60" s="132">
        <v>0</v>
      </c>
      <c r="W60" s="132">
        <v>0</v>
      </c>
      <c r="X60" s="132">
        <v>0</v>
      </c>
      <c r="Y60" s="108">
        <v>0</v>
      </c>
      <c r="Z60" s="132">
        <v>0</v>
      </c>
      <c r="AA60" s="132">
        <v>0</v>
      </c>
      <c r="AB60" s="132">
        <v>0</v>
      </c>
      <c r="AC60" s="132">
        <v>0</v>
      </c>
      <c r="AD60" s="132">
        <v>0</v>
      </c>
      <c r="AE60" s="132">
        <v>0</v>
      </c>
      <c r="AF60" s="132">
        <v>0</v>
      </c>
      <c r="AG60" s="132">
        <v>0</v>
      </c>
      <c r="AH60" s="108">
        <v>0</v>
      </c>
      <c r="AI60" s="108">
        <v>0</v>
      </c>
      <c r="AJ60" s="108">
        <v>0</v>
      </c>
      <c r="AK60" s="108">
        <v>0</v>
      </c>
      <c r="AL60" s="108">
        <v>0</v>
      </c>
      <c r="AM60" s="108">
        <v>0</v>
      </c>
      <c r="AN60" s="108">
        <v>0</v>
      </c>
      <c r="AO60" s="108">
        <v>0</v>
      </c>
      <c r="AP60" s="108">
        <v>0</v>
      </c>
      <c r="AQ60" s="108">
        <v>0</v>
      </c>
      <c r="AR60" s="108">
        <v>0</v>
      </c>
      <c r="AS60" s="108">
        <v>0</v>
      </c>
      <c r="AT60" s="108">
        <v>0</v>
      </c>
      <c r="AU60" s="108">
        <v>0</v>
      </c>
      <c r="AV60" s="108">
        <v>0</v>
      </c>
      <c r="AW60" s="108">
        <v>0</v>
      </c>
      <c r="AX60" s="108">
        <v>0</v>
      </c>
      <c r="AY60" s="109">
        <v>0</v>
      </c>
      <c r="AZ60" s="110">
        <v>0</v>
      </c>
      <c r="BA60" s="110">
        <f>AZ60-AY60</f>
        <v>0</v>
      </c>
      <c r="BB60" s="120"/>
      <c r="BC60" s="121"/>
      <c r="BD60" s="113"/>
      <c r="BS60" s="90"/>
    </row>
    <row r="61" spans="1:79" x14ac:dyDescent="0.25">
      <c r="A61" s="130" t="s">
        <v>60</v>
      </c>
      <c r="B61" s="115">
        <v>0</v>
      </c>
      <c r="C61" s="115">
        <v>0</v>
      </c>
      <c r="D61" s="115">
        <v>0</v>
      </c>
      <c r="E61" s="115">
        <v>0</v>
      </c>
      <c r="F61" s="115">
        <v>0</v>
      </c>
      <c r="G61" s="115">
        <v>0</v>
      </c>
      <c r="H61" s="115">
        <v>0</v>
      </c>
      <c r="I61" s="115">
        <v>0</v>
      </c>
      <c r="J61" s="115">
        <v>0</v>
      </c>
      <c r="K61" s="115">
        <v>0</v>
      </c>
      <c r="L61" s="115">
        <v>0</v>
      </c>
      <c r="M61" s="115">
        <v>0</v>
      </c>
      <c r="N61" s="115">
        <v>0</v>
      </c>
      <c r="O61" s="115">
        <v>0</v>
      </c>
      <c r="P61" s="115">
        <v>0</v>
      </c>
      <c r="Q61" s="115">
        <v>0</v>
      </c>
      <c r="R61" s="115">
        <v>0</v>
      </c>
      <c r="S61" s="115">
        <v>0</v>
      </c>
      <c r="T61" s="115">
        <v>0</v>
      </c>
      <c r="U61" s="115">
        <v>0</v>
      </c>
      <c r="V61" s="115">
        <v>0</v>
      </c>
      <c r="W61" s="115">
        <v>0</v>
      </c>
      <c r="X61" s="115">
        <v>0</v>
      </c>
      <c r="Y61" s="115">
        <v>0</v>
      </c>
      <c r="Z61" s="115">
        <v>0</v>
      </c>
      <c r="AA61" s="115">
        <v>0</v>
      </c>
      <c r="AB61" s="115">
        <v>0</v>
      </c>
      <c r="AC61" s="115">
        <v>0</v>
      </c>
      <c r="AD61" s="115">
        <v>0</v>
      </c>
      <c r="AE61" s="115">
        <v>0</v>
      </c>
      <c r="AF61" s="115">
        <v>0</v>
      </c>
      <c r="AG61" s="115">
        <v>0</v>
      </c>
      <c r="AH61" s="115">
        <v>0</v>
      </c>
      <c r="AI61" s="115">
        <v>0</v>
      </c>
      <c r="AJ61" s="115">
        <v>0</v>
      </c>
      <c r="AK61" s="115">
        <v>0</v>
      </c>
      <c r="AL61" s="115">
        <v>0</v>
      </c>
      <c r="AM61" s="115">
        <v>0</v>
      </c>
      <c r="AN61" s="115">
        <v>0</v>
      </c>
      <c r="AO61" s="115">
        <v>0</v>
      </c>
      <c r="AP61" s="115">
        <v>0</v>
      </c>
      <c r="AQ61" s="115">
        <v>0</v>
      </c>
      <c r="AR61" s="115">
        <v>0</v>
      </c>
      <c r="AS61" s="115">
        <v>0</v>
      </c>
      <c r="AT61" s="115">
        <v>0</v>
      </c>
      <c r="AU61" s="115">
        <v>0</v>
      </c>
      <c r="AV61" s="115">
        <v>0</v>
      </c>
      <c r="AW61" s="115">
        <v>0</v>
      </c>
      <c r="AX61" s="115">
        <v>0</v>
      </c>
      <c r="AY61" s="131">
        <v>0</v>
      </c>
      <c r="AZ61" s="117">
        <v>0</v>
      </c>
      <c r="BA61" s="110">
        <f>AZ61-AY61</f>
        <v>0</v>
      </c>
      <c r="BB61" s="118"/>
      <c r="BC61" s="119"/>
      <c r="BD61" s="113"/>
      <c r="BS61" s="90"/>
    </row>
    <row r="62" spans="1:79" s="129" customFormat="1" x14ac:dyDescent="0.25">
      <c r="A62" s="130" t="s">
        <v>61</v>
      </c>
      <c r="B62" s="132">
        <v>0</v>
      </c>
      <c r="C62" s="132">
        <v>0</v>
      </c>
      <c r="D62" s="132">
        <v>0</v>
      </c>
      <c r="E62" s="132">
        <v>0</v>
      </c>
      <c r="F62" s="132">
        <v>0</v>
      </c>
      <c r="G62" s="132">
        <v>0</v>
      </c>
      <c r="H62" s="132">
        <v>0</v>
      </c>
      <c r="I62" s="132">
        <v>0</v>
      </c>
      <c r="J62" s="132">
        <v>0</v>
      </c>
      <c r="K62" s="132">
        <v>0</v>
      </c>
      <c r="L62" s="132">
        <v>0</v>
      </c>
      <c r="M62" s="132">
        <v>0</v>
      </c>
      <c r="N62" s="132">
        <v>0</v>
      </c>
      <c r="O62" s="132">
        <v>0</v>
      </c>
      <c r="P62" s="132">
        <v>0</v>
      </c>
      <c r="Q62" s="132">
        <v>0</v>
      </c>
      <c r="R62" s="132">
        <v>0</v>
      </c>
      <c r="S62" s="132">
        <v>0</v>
      </c>
      <c r="T62" s="132">
        <v>0</v>
      </c>
      <c r="U62" s="132">
        <v>0</v>
      </c>
      <c r="V62" s="132">
        <v>0</v>
      </c>
      <c r="W62" s="132">
        <v>0</v>
      </c>
      <c r="X62" s="132">
        <v>0</v>
      </c>
      <c r="Y62" s="132">
        <v>0</v>
      </c>
      <c r="Z62" s="132">
        <v>0</v>
      </c>
      <c r="AA62" s="132">
        <v>0</v>
      </c>
      <c r="AB62" s="132">
        <v>0</v>
      </c>
      <c r="AC62" s="132">
        <v>0</v>
      </c>
      <c r="AD62" s="132">
        <v>0</v>
      </c>
      <c r="AE62" s="132">
        <v>0</v>
      </c>
      <c r="AF62" s="132">
        <v>0</v>
      </c>
      <c r="AG62" s="132">
        <v>0</v>
      </c>
      <c r="AH62" s="132">
        <v>0</v>
      </c>
      <c r="AI62" s="132">
        <v>0</v>
      </c>
      <c r="AJ62" s="132">
        <v>0</v>
      </c>
      <c r="AK62" s="132">
        <v>0</v>
      </c>
      <c r="AL62" s="132">
        <v>0</v>
      </c>
      <c r="AM62" s="132">
        <v>0</v>
      </c>
      <c r="AN62" s="132">
        <v>0</v>
      </c>
      <c r="AO62" s="132">
        <v>0</v>
      </c>
      <c r="AP62" s="132">
        <v>0</v>
      </c>
      <c r="AQ62" s="132">
        <v>0</v>
      </c>
      <c r="AR62" s="132">
        <v>0</v>
      </c>
      <c r="AS62" s="132">
        <v>0</v>
      </c>
      <c r="AT62" s="132">
        <v>0</v>
      </c>
      <c r="AU62" s="132">
        <v>0</v>
      </c>
      <c r="AV62" s="132">
        <v>0</v>
      </c>
      <c r="AW62" s="132">
        <v>0</v>
      </c>
      <c r="AX62" s="132">
        <v>0</v>
      </c>
      <c r="AY62" s="109">
        <v>0</v>
      </c>
      <c r="AZ62" s="110">
        <v>0</v>
      </c>
      <c r="BA62" s="110">
        <f>AZ62-AY62</f>
        <v>0</v>
      </c>
      <c r="BB62" s="120"/>
      <c r="BC62" s="121"/>
      <c r="BD62" s="113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</row>
    <row r="63" spans="1:79" x14ac:dyDescent="0.25">
      <c r="A63" s="122" t="s">
        <v>88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  <c r="AA63" s="127"/>
      <c r="AB63" s="127"/>
      <c r="AC63" s="127"/>
      <c r="AD63" s="127"/>
      <c r="AE63" s="127"/>
      <c r="AF63" s="127"/>
      <c r="AG63" s="127"/>
      <c r="AH63" s="127"/>
      <c r="AI63" s="127"/>
      <c r="AJ63" s="127"/>
      <c r="AK63" s="127"/>
      <c r="AL63" s="127"/>
      <c r="AM63" s="127"/>
      <c r="AN63" s="127"/>
      <c r="AO63" s="127"/>
      <c r="AP63" s="127"/>
      <c r="AQ63" s="127"/>
      <c r="AR63" s="127"/>
      <c r="AS63" s="127"/>
      <c r="AT63" s="127"/>
      <c r="AU63" s="127"/>
      <c r="AV63" s="127"/>
      <c r="AW63" s="127"/>
      <c r="AX63" s="127"/>
      <c r="AY63" s="124"/>
      <c r="AZ63" s="125"/>
      <c r="BA63" s="125"/>
      <c r="BB63" s="126"/>
      <c r="BC63" s="127"/>
      <c r="BD63" s="128"/>
      <c r="BS63" s="90"/>
    </row>
    <row r="64" spans="1:79" x14ac:dyDescent="0.25">
      <c r="A64" s="130" t="s">
        <v>59</v>
      </c>
      <c r="B64" s="132">
        <v>0</v>
      </c>
      <c r="C64" s="132">
        <v>0</v>
      </c>
      <c r="D64" s="132">
        <v>0</v>
      </c>
      <c r="E64" s="132">
        <v>0</v>
      </c>
      <c r="F64" s="132">
        <v>0</v>
      </c>
      <c r="G64" s="132">
        <v>0</v>
      </c>
      <c r="H64" s="132">
        <v>0</v>
      </c>
      <c r="I64" s="132">
        <v>0</v>
      </c>
      <c r="J64" s="132">
        <v>0</v>
      </c>
      <c r="K64" s="132">
        <v>2</v>
      </c>
      <c r="L64" s="132">
        <v>2.1</v>
      </c>
      <c r="M64" s="132">
        <v>2.2999999999999998</v>
      </c>
      <c r="N64" s="132">
        <v>3</v>
      </c>
      <c r="O64" s="132">
        <v>3</v>
      </c>
      <c r="P64" s="132">
        <v>0</v>
      </c>
      <c r="Q64" s="132">
        <v>0</v>
      </c>
      <c r="R64" s="132">
        <v>0</v>
      </c>
      <c r="S64" s="132">
        <v>0</v>
      </c>
      <c r="T64" s="132">
        <v>0</v>
      </c>
      <c r="U64" s="132">
        <v>0</v>
      </c>
      <c r="V64" s="132">
        <v>0</v>
      </c>
      <c r="W64" s="132">
        <v>0</v>
      </c>
      <c r="X64" s="132">
        <v>0</v>
      </c>
      <c r="Y64" s="108">
        <v>0</v>
      </c>
      <c r="Z64" s="132">
        <v>0</v>
      </c>
      <c r="AA64" s="132">
        <v>0</v>
      </c>
      <c r="AB64" s="132">
        <v>0</v>
      </c>
      <c r="AC64" s="132">
        <v>0</v>
      </c>
      <c r="AD64" s="132">
        <v>0</v>
      </c>
      <c r="AE64" s="132">
        <v>0</v>
      </c>
      <c r="AF64" s="132">
        <v>0</v>
      </c>
      <c r="AG64" s="132">
        <v>0</v>
      </c>
      <c r="AH64" s="108">
        <v>0</v>
      </c>
      <c r="AI64" s="108">
        <v>0</v>
      </c>
      <c r="AJ64" s="108">
        <v>0</v>
      </c>
      <c r="AK64" s="108">
        <v>0</v>
      </c>
      <c r="AL64" s="108">
        <v>0</v>
      </c>
      <c r="AM64" s="108">
        <v>0</v>
      </c>
      <c r="AN64" s="108">
        <v>0</v>
      </c>
      <c r="AO64" s="108">
        <v>0</v>
      </c>
      <c r="AP64" s="108">
        <v>0</v>
      </c>
      <c r="AQ64" s="108">
        <v>2.2000000000000002</v>
      </c>
      <c r="AR64" s="108">
        <v>1.6</v>
      </c>
      <c r="AS64" s="108">
        <v>1.3</v>
      </c>
      <c r="AT64" s="108">
        <v>2.8</v>
      </c>
      <c r="AU64" s="108">
        <v>2.2999999999999998</v>
      </c>
      <c r="AV64" s="108">
        <v>5.6</v>
      </c>
      <c r="AW64" s="108">
        <v>6.2</v>
      </c>
      <c r="AX64" s="108">
        <v>4.9000000000000004</v>
      </c>
      <c r="AY64" s="109">
        <v>7.5</v>
      </c>
      <c r="AZ64" s="110">
        <v>7.5</v>
      </c>
      <c r="BA64" s="110">
        <f>AZ64-AY64</f>
        <v>0</v>
      </c>
      <c r="BB64" s="111">
        <f>AY64-AX64</f>
        <v>2.5999999999999996</v>
      </c>
      <c r="BC64" s="112">
        <f>AZ64-AX64</f>
        <v>2.5999999999999996</v>
      </c>
      <c r="BD64" s="113">
        <f t="shared" ref="BD64:BD66" si="42">(AX64/AS64)^(1/5)-1</f>
        <v>0.30391879544001377</v>
      </c>
      <c r="BF64" s="114" t="b">
        <v>1</v>
      </c>
      <c r="BS64" s="90"/>
    </row>
    <row r="65" spans="1:79" x14ac:dyDescent="0.25">
      <c r="A65" s="130" t="s">
        <v>60</v>
      </c>
      <c r="B65" s="115">
        <v>0</v>
      </c>
      <c r="C65" s="115">
        <v>0</v>
      </c>
      <c r="D65" s="115">
        <v>0</v>
      </c>
      <c r="E65" s="115">
        <v>0</v>
      </c>
      <c r="F65" s="115">
        <v>0</v>
      </c>
      <c r="G65" s="115">
        <v>0</v>
      </c>
      <c r="H65" s="115">
        <v>0</v>
      </c>
      <c r="I65" s="115">
        <v>0</v>
      </c>
      <c r="J65" s="115">
        <v>0</v>
      </c>
      <c r="K65" s="115">
        <v>1400</v>
      </c>
      <c r="L65" s="115">
        <v>1428.5714285714287</v>
      </c>
      <c r="M65" s="115">
        <v>1521.7391304347827</v>
      </c>
      <c r="N65" s="115">
        <v>1500</v>
      </c>
      <c r="O65" s="115">
        <v>1500</v>
      </c>
      <c r="P65" s="115">
        <v>0</v>
      </c>
      <c r="Q65" s="115">
        <v>0</v>
      </c>
      <c r="R65" s="115">
        <v>0</v>
      </c>
      <c r="S65" s="115">
        <v>0</v>
      </c>
      <c r="T65" s="115">
        <v>0</v>
      </c>
      <c r="U65" s="115">
        <v>0</v>
      </c>
      <c r="V65" s="115">
        <v>0</v>
      </c>
      <c r="W65" s="115">
        <v>0</v>
      </c>
      <c r="X65" s="115">
        <v>0</v>
      </c>
      <c r="Y65" s="115">
        <v>0</v>
      </c>
      <c r="Z65" s="115">
        <v>0</v>
      </c>
      <c r="AA65" s="115">
        <v>0</v>
      </c>
      <c r="AB65" s="115">
        <v>0</v>
      </c>
      <c r="AC65" s="115">
        <v>0</v>
      </c>
      <c r="AD65" s="115">
        <v>0</v>
      </c>
      <c r="AE65" s="115">
        <v>0</v>
      </c>
      <c r="AF65" s="115">
        <v>0</v>
      </c>
      <c r="AG65" s="115">
        <v>0</v>
      </c>
      <c r="AH65" s="115">
        <v>0</v>
      </c>
      <c r="AI65" s="115">
        <v>0</v>
      </c>
      <c r="AJ65" s="115">
        <v>0</v>
      </c>
      <c r="AK65" s="115">
        <v>0</v>
      </c>
      <c r="AL65" s="115">
        <v>0</v>
      </c>
      <c r="AM65" s="115">
        <v>0</v>
      </c>
      <c r="AN65" s="115">
        <v>0</v>
      </c>
      <c r="AO65" s="115">
        <v>0</v>
      </c>
      <c r="AP65" s="115">
        <v>0</v>
      </c>
      <c r="AQ65" s="115">
        <v>2500</v>
      </c>
      <c r="AR65" s="115">
        <v>2792</v>
      </c>
      <c r="AS65" s="115">
        <v>3430</v>
      </c>
      <c r="AT65" s="115">
        <v>3130</v>
      </c>
      <c r="AU65" s="115">
        <v>2700</v>
      </c>
      <c r="AV65" s="115">
        <v>3405</v>
      </c>
      <c r="AW65" s="115">
        <v>3200</v>
      </c>
      <c r="AX65" s="115">
        <f t="shared" ref="AX65:AY65" si="43">IF(AX64=0,0,AX66*1000000/AX64)</f>
        <v>3591.8367346938771</v>
      </c>
      <c r="AY65" s="116">
        <f t="shared" si="43"/>
        <v>3426.6666666666665</v>
      </c>
      <c r="AZ65" s="117">
        <v>3427</v>
      </c>
      <c r="BA65" s="110">
        <f>AZ65-AY65</f>
        <v>0.33333333333348492</v>
      </c>
      <c r="BB65" s="118">
        <f t="shared" ref="BB65:BB66" si="44">AY65-AX65</f>
        <v>-165.17006802721062</v>
      </c>
      <c r="BC65" s="119">
        <f t="shared" ref="BC65:BC66" si="45">AZ65-AX65</f>
        <v>-164.83673469387713</v>
      </c>
      <c r="BD65" s="113">
        <f t="shared" si="42"/>
        <v>9.2633286462247E-3</v>
      </c>
      <c r="BS65" s="90"/>
    </row>
    <row r="66" spans="1:79" s="129" customFormat="1" x14ac:dyDescent="0.25">
      <c r="A66" s="130" t="s">
        <v>61</v>
      </c>
      <c r="B66" s="132">
        <v>0</v>
      </c>
      <c r="C66" s="132">
        <v>0</v>
      </c>
      <c r="D66" s="132">
        <v>0</v>
      </c>
      <c r="E66" s="132">
        <v>0</v>
      </c>
      <c r="F66" s="132">
        <v>0</v>
      </c>
      <c r="G66" s="132">
        <v>0</v>
      </c>
      <c r="H66" s="132">
        <v>0</v>
      </c>
      <c r="I66" s="132">
        <v>0</v>
      </c>
      <c r="J66" s="132">
        <v>0</v>
      </c>
      <c r="K66" s="132">
        <v>2.8E-3</v>
      </c>
      <c r="L66" s="132">
        <v>3.0000000000000001E-3</v>
      </c>
      <c r="M66" s="132">
        <v>3.5000000000000001E-3</v>
      </c>
      <c r="N66" s="132">
        <v>4.4999999999999997E-3</v>
      </c>
      <c r="O66" s="132">
        <v>4.4999999999999997E-3</v>
      </c>
      <c r="P66" s="132">
        <v>0</v>
      </c>
      <c r="Q66" s="132">
        <v>0</v>
      </c>
      <c r="R66" s="132">
        <v>0</v>
      </c>
      <c r="S66" s="132">
        <v>0</v>
      </c>
      <c r="T66" s="132">
        <v>0</v>
      </c>
      <c r="U66" s="132">
        <v>0</v>
      </c>
      <c r="V66" s="132">
        <v>0</v>
      </c>
      <c r="W66" s="132">
        <v>0</v>
      </c>
      <c r="X66" s="132">
        <v>0</v>
      </c>
      <c r="Y66" s="132">
        <v>0</v>
      </c>
      <c r="Z66" s="132">
        <v>0</v>
      </c>
      <c r="AA66" s="132">
        <v>0</v>
      </c>
      <c r="AB66" s="132">
        <v>0</v>
      </c>
      <c r="AC66" s="132">
        <v>0</v>
      </c>
      <c r="AD66" s="132">
        <v>0</v>
      </c>
      <c r="AE66" s="132">
        <v>0</v>
      </c>
      <c r="AF66" s="132">
        <v>0</v>
      </c>
      <c r="AG66" s="132">
        <v>0</v>
      </c>
      <c r="AH66" s="132">
        <v>0</v>
      </c>
      <c r="AI66" s="132">
        <v>0</v>
      </c>
      <c r="AJ66" s="132">
        <v>0</v>
      </c>
      <c r="AK66" s="132">
        <v>0</v>
      </c>
      <c r="AL66" s="132">
        <v>0</v>
      </c>
      <c r="AM66" s="132">
        <v>0</v>
      </c>
      <c r="AN66" s="132">
        <v>0</v>
      </c>
      <c r="AO66" s="132">
        <v>0</v>
      </c>
      <c r="AP66" s="132">
        <v>0</v>
      </c>
      <c r="AQ66" s="132">
        <v>5.4999999999999997E-3</v>
      </c>
      <c r="AR66" s="132">
        <v>4.4999999999999997E-3</v>
      </c>
      <c r="AS66" s="132">
        <v>4.4999999999999997E-3</v>
      </c>
      <c r="AT66" s="132">
        <v>8.8000000000000005E-3</v>
      </c>
      <c r="AU66" s="132">
        <v>6.1999999999999998E-3</v>
      </c>
      <c r="AV66" s="132">
        <v>1.9100000000000002E-2</v>
      </c>
      <c r="AW66" s="132">
        <v>1.9800000000000002E-2</v>
      </c>
      <c r="AX66" s="132">
        <v>1.7600000000000001E-2</v>
      </c>
      <c r="AY66" s="109">
        <v>2.5700000000000001E-2</v>
      </c>
      <c r="AZ66" s="110">
        <f>AZ65*AZ64/1000000</f>
        <v>2.57025E-2</v>
      </c>
      <c r="BA66" s="110">
        <f>AZ66-AY66</f>
        <v>2.4999999999990308E-6</v>
      </c>
      <c r="BB66" s="120">
        <f t="shared" si="44"/>
        <v>8.0999999999999996E-3</v>
      </c>
      <c r="BC66" s="121">
        <f t="shared" si="45"/>
        <v>8.1024999999999986E-3</v>
      </c>
      <c r="BD66" s="113">
        <f t="shared" si="42"/>
        <v>0.31359059641465081</v>
      </c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</row>
    <row r="67" spans="1:79" x14ac:dyDescent="0.25">
      <c r="A67" s="122" t="s">
        <v>89</v>
      </c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4"/>
      <c r="AZ67" s="125"/>
      <c r="BA67" s="125"/>
      <c r="BB67" s="126"/>
      <c r="BC67" s="127"/>
      <c r="BD67" s="128"/>
      <c r="BS67" s="90"/>
    </row>
    <row r="68" spans="1:79" x14ac:dyDescent="0.25">
      <c r="A68" s="130" t="s">
        <v>59</v>
      </c>
      <c r="B68" s="132">
        <v>0</v>
      </c>
      <c r="C68" s="132">
        <v>0</v>
      </c>
      <c r="D68" s="132">
        <v>0</v>
      </c>
      <c r="E68" s="132">
        <v>0</v>
      </c>
      <c r="F68" s="132">
        <v>0</v>
      </c>
      <c r="G68" s="132">
        <v>0</v>
      </c>
      <c r="H68" s="132">
        <v>0</v>
      </c>
      <c r="I68" s="132">
        <v>0</v>
      </c>
      <c r="J68" s="132">
        <v>0</v>
      </c>
      <c r="K68" s="132">
        <v>0</v>
      </c>
      <c r="L68" s="132">
        <v>0</v>
      </c>
      <c r="M68" s="132">
        <v>0</v>
      </c>
      <c r="N68" s="132">
        <v>0</v>
      </c>
      <c r="O68" s="132">
        <v>0</v>
      </c>
      <c r="P68" s="132">
        <v>0</v>
      </c>
      <c r="Q68" s="132">
        <v>0</v>
      </c>
      <c r="R68" s="132">
        <v>0</v>
      </c>
      <c r="S68" s="132">
        <v>0</v>
      </c>
      <c r="T68" s="132">
        <v>0</v>
      </c>
      <c r="U68" s="132">
        <v>0</v>
      </c>
      <c r="V68" s="132">
        <v>0</v>
      </c>
      <c r="W68" s="132">
        <v>0</v>
      </c>
      <c r="X68" s="132">
        <v>0</v>
      </c>
      <c r="Y68" s="108">
        <v>0</v>
      </c>
      <c r="Z68" s="132">
        <v>0</v>
      </c>
      <c r="AA68" s="132">
        <v>0</v>
      </c>
      <c r="AB68" s="132">
        <v>0</v>
      </c>
      <c r="AC68" s="132">
        <v>0</v>
      </c>
      <c r="AD68" s="132">
        <v>0</v>
      </c>
      <c r="AE68" s="132">
        <v>0</v>
      </c>
      <c r="AF68" s="132">
        <v>0</v>
      </c>
      <c r="AG68" s="132">
        <v>0</v>
      </c>
      <c r="AH68" s="108">
        <v>0</v>
      </c>
      <c r="AI68" s="108">
        <v>0</v>
      </c>
      <c r="AJ68" s="108">
        <v>0</v>
      </c>
      <c r="AK68" s="108">
        <v>0</v>
      </c>
      <c r="AL68" s="108">
        <v>0</v>
      </c>
      <c r="AM68" s="108">
        <v>0</v>
      </c>
      <c r="AN68" s="108">
        <v>0</v>
      </c>
      <c r="AO68" s="108">
        <v>0</v>
      </c>
      <c r="AP68" s="108">
        <v>0</v>
      </c>
      <c r="AQ68" s="108">
        <v>0</v>
      </c>
      <c r="AR68" s="108">
        <v>0</v>
      </c>
      <c r="AS68" s="108">
        <v>0</v>
      </c>
      <c r="AT68" s="108">
        <v>0</v>
      </c>
      <c r="AU68" s="108">
        <v>0</v>
      </c>
      <c r="AV68" s="108">
        <v>0</v>
      </c>
      <c r="AW68" s="108">
        <v>0</v>
      </c>
      <c r="AX68" s="108"/>
      <c r="AY68" s="109">
        <v>0</v>
      </c>
      <c r="AZ68" s="110">
        <v>0</v>
      </c>
      <c r="BA68" s="110">
        <f>AZ68-AY68</f>
        <v>0</v>
      </c>
      <c r="BB68" s="120"/>
      <c r="BC68" s="121"/>
      <c r="BD68" s="113"/>
      <c r="BS68" s="90"/>
    </row>
    <row r="69" spans="1:79" x14ac:dyDescent="0.25">
      <c r="A69" s="130" t="s">
        <v>60</v>
      </c>
      <c r="B69" s="115">
        <v>0</v>
      </c>
      <c r="C69" s="115">
        <v>0</v>
      </c>
      <c r="D69" s="115">
        <v>0</v>
      </c>
      <c r="E69" s="115">
        <v>0</v>
      </c>
      <c r="F69" s="115">
        <v>0</v>
      </c>
      <c r="G69" s="115">
        <v>0</v>
      </c>
      <c r="H69" s="115">
        <v>0</v>
      </c>
      <c r="I69" s="115">
        <v>0</v>
      </c>
      <c r="J69" s="115">
        <v>0</v>
      </c>
      <c r="K69" s="115">
        <v>0</v>
      </c>
      <c r="L69" s="115">
        <v>0</v>
      </c>
      <c r="M69" s="115">
        <v>0</v>
      </c>
      <c r="N69" s="115">
        <v>0</v>
      </c>
      <c r="O69" s="115">
        <v>0</v>
      </c>
      <c r="P69" s="115">
        <v>0</v>
      </c>
      <c r="Q69" s="115">
        <v>0</v>
      </c>
      <c r="R69" s="115">
        <v>0</v>
      </c>
      <c r="S69" s="115">
        <v>0</v>
      </c>
      <c r="T69" s="115">
        <v>0</v>
      </c>
      <c r="U69" s="115">
        <v>0</v>
      </c>
      <c r="V69" s="115">
        <v>0</v>
      </c>
      <c r="W69" s="115">
        <v>0</v>
      </c>
      <c r="X69" s="115">
        <v>0</v>
      </c>
      <c r="Y69" s="115">
        <v>0</v>
      </c>
      <c r="Z69" s="115">
        <v>0</v>
      </c>
      <c r="AA69" s="115">
        <v>0</v>
      </c>
      <c r="AB69" s="115">
        <v>0</v>
      </c>
      <c r="AC69" s="115">
        <v>0</v>
      </c>
      <c r="AD69" s="115">
        <v>0</v>
      </c>
      <c r="AE69" s="115">
        <v>0</v>
      </c>
      <c r="AF69" s="115">
        <v>0</v>
      </c>
      <c r="AG69" s="115">
        <v>0</v>
      </c>
      <c r="AH69" s="115">
        <v>0</v>
      </c>
      <c r="AI69" s="115">
        <v>0</v>
      </c>
      <c r="AJ69" s="115">
        <v>0</v>
      </c>
      <c r="AK69" s="115">
        <v>0</v>
      </c>
      <c r="AL69" s="115">
        <v>0</v>
      </c>
      <c r="AM69" s="115">
        <v>0</v>
      </c>
      <c r="AN69" s="115">
        <v>0</v>
      </c>
      <c r="AO69" s="115">
        <v>0</v>
      </c>
      <c r="AP69" s="115">
        <v>0</v>
      </c>
      <c r="AQ69" s="115">
        <v>0</v>
      </c>
      <c r="AR69" s="115">
        <v>0</v>
      </c>
      <c r="AS69" s="115">
        <v>0</v>
      </c>
      <c r="AT69" s="115">
        <v>0</v>
      </c>
      <c r="AU69" s="115">
        <v>0</v>
      </c>
      <c r="AV69" s="115">
        <v>0</v>
      </c>
      <c r="AW69" s="115">
        <v>0</v>
      </c>
      <c r="AX69" s="115"/>
      <c r="AY69" s="131">
        <v>0</v>
      </c>
      <c r="AZ69" s="117">
        <v>0</v>
      </c>
      <c r="BA69" s="110">
        <f>AZ69-AY69</f>
        <v>0</v>
      </c>
      <c r="BB69" s="118"/>
      <c r="BC69" s="119"/>
      <c r="BD69" s="113"/>
      <c r="BS69" s="90"/>
    </row>
    <row r="70" spans="1:79" s="129" customFormat="1" x14ac:dyDescent="0.25">
      <c r="A70" s="130" t="s">
        <v>61</v>
      </c>
      <c r="B70" s="132">
        <v>0</v>
      </c>
      <c r="C70" s="132">
        <v>0</v>
      </c>
      <c r="D70" s="132">
        <v>0</v>
      </c>
      <c r="E70" s="132">
        <v>0</v>
      </c>
      <c r="F70" s="132">
        <v>0</v>
      </c>
      <c r="G70" s="132">
        <v>0</v>
      </c>
      <c r="H70" s="132">
        <v>0</v>
      </c>
      <c r="I70" s="132">
        <v>0</v>
      </c>
      <c r="J70" s="132">
        <v>0</v>
      </c>
      <c r="K70" s="132">
        <v>0</v>
      </c>
      <c r="L70" s="132">
        <v>0</v>
      </c>
      <c r="M70" s="132">
        <v>0</v>
      </c>
      <c r="N70" s="132">
        <v>0</v>
      </c>
      <c r="O70" s="132">
        <v>0</v>
      </c>
      <c r="P70" s="132">
        <v>0</v>
      </c>
      <c r="Q70" s="132">
        <v>0</v>
      </c>
      <c r="R70" s="132">
        <v>0</v>
      </c>
      <c r="S70" s="132">
        <v>0</v>
      </c>
      <c r="T70" s="132">
        <v>0</v>
      </c>
      <c r="U70" s="132">
        <v>0</v>
      </c>
      <c r="V70" s="132">
        <v>0</v>
      </c>
      <c r="W70" s="132">
        <v>0</v>
      </c>
      <c r="X70" s="132">
        <v>0</v>
      </c>
      <c r="Y70" s="132">
        <v>0</v>
      </c>
      <c r="Z70" s="132">
        <v>0</v>
      </c>
      <c r="AA70" s="132">
        <v>0</v>
      </c>
      <c r="AB70" s="132">
        <v>0</v>
      </c>
      <c r="AC70" s="132">
        <v>0</v>
      </c>
      <c r="AD70" s="132">
        <v>0</v>
      </c>
      <c r="AE70" s="132">
        <v>0</v>
      </c>
      <c r="AF70" s="132">
        <v>0</v>
      </c>
      <c r="AG70" s="132">
        <v>0</v>
      </c>
      <c r="AH70" s="132">
        <v>0</v>
      </c>
      <c r="AI70" s="132">
        <v>0</v>
      </c>
      <c r="AJ70" s="132">
        <v>0</v>
      </c>
      <c r="AK70" s="132">
        <v>0</v>
      </c>
      <c r="AL70" s="132">
        <v>0</v>
      </c>
      <c r="AM70" s="132">
        <v>0</v>
      </c>
      <c r="AN70" s="132">
        <v>0</v>
      </c>
      <c r="AO70" s="132">
        <v>0</v>
      </c>
      <c r="AP70" s="132">
        <v>0</v>
      </c>
      <c r="AQ70" s="132">
        <v>0</v>
      </c>
      <c r="AR70" s="132">
        <v>0</v>
      </c>
      <c r="AS70" s="132">
        <v>0</v>
      </c>
      <c r="AT70" s="132">
        <v>0</v>
      </c>
      <c r="AU70" s="132">
        <v>0</v>
      </c>
      <c r="AV70" s="132">
        <v>0</v>
      </c>
      <c r="AW70" s="132">
        <v>0</v>
      </c>
      <c r="AX70" s="132"/>
      <c r="AY70" s="109">
        <v>0</v>
      </c>
      <c r="AZ70" s="110">
        <v>0</v>
      </c>
      <c r="BA70" s="110">
        <f>AZ70-AY70</f>
        <v>0</v>
      </c>
      <c r="BB70" s="120"/>
      <c r="BC70" s="121"/>
      <c r="BD70" s="113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</row>
    <row r="71" spans="1:79" x14ac:dyDescent="0.25">
      <c r="A71" s="122" t="s">
        <v>90</v>
      </c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4"/>
      <c r="AZ71" s="125"/>
      <c r="BA71" s="125"/>
      <c r="BB71" s="126"/>
      <c r="BC71" s="127"/>
      <c r="BD71" s="128"/>
      <c r="BS71" s="90"/>
    </row>
    <row r="72" spans="1:79" x14ac:dyDescent="0.25">
      <c r="A72" s="130" t="s">
        <v>59</v>
      </c>
      <c r="B72" s="132">
        <v>0</v>
      </c>
      <c r="C72" s="132">
        <v>0</v>
      </c>
      <c r="D72" s="132">
        <v>0</v>
      </c>
      <c r="E72" s="132">
        <v>1.9</v>
      </c>
      <c r="F72" s="132">
        <v>2.4</v>
      </c>
      <c r="G72" s="132">
        <v>1.2</v>
      </c>
      <c r="H72" s="132">
        <v>5</v>
      </c>
      <c r="I72" s="132">
        <v>28</v>
      </c>
      <c r="J72" s="132">
        <v>63</v>
      </c>
      <c r="K72" s="132">
        <v>107</v>
      </c>
      <c r="L72" s="132">
        <v>170</v>
      </c>
      <c r="M72" s="132">
        <v>228</v>
      </c>
      <c r="N72" s="132">
        <v>385</v>
      </c>
      <c r="O72" s="132">
        <v>366</v>
      </c>
      <c r="P72" s="132">
        <v>278</v>
      </c>
      <c r="Q72" s="132">
        <v>330</v>
      </c>
      <c r="R72" s="132">
        <v>380</v>
      </c>
      <c r="S72" s="132">
        <v>434</v>
      </c>
      <c r="T72" s="132">
        <v>470.6</v>
      </c>
      <c r="U72" s="132">
        <v>433</v>
      </c>
      <c r="V72" s="132">
        <v>456</v>
      </c>
      <c r="W72" s="132">
        <v>556.29999999999995</v>
      </c>
      <c r="X72" s="132">
        <v>580.20000000000005</v>
      </c>
      <c r="Y72" s="108">
        <v>635.29999999999995</v>
      </c>
      <c r="Z72" s="132">
        <v>690.6</v>
      </c>
      <c r="AA72" s="132">
        <v>800</v>
      </c>
      <c r="AB72" s="132">
        <v>850.4</v>
      </c>
      <c r="AC72" s="132">
        <v>821.5</v>
      </c>
      <c r="AD72" s="132">
        <v>870</v>
      </c>
      <c r="AE72" s="132">
        <v>872.6</v>
      </c>
      <c r="AF72" s="132">
        <v>850.8</v>
      </c>
      <c r="AG72" s="132">
        <v>905</v>
      </c>
      <c r="AH72" s="108">
        <v>947.5</v>
      </c>
      <c r="AI72" s="108">
        <v>1016.5</v>
      </c>
      <c r="AJ72" s="108">
        <v>1043.9000000000001</v>
      </c>
      <c r="AK72" s="108">
        <v>1112.8</v>
      </c>
      <c r="AL72" s="108">
        <v>1281.9000000000001</v>
      </c>
      <c r="AM72" s="108">
        <v>1312.7</v>
      </c>
      <c r="AN72" s="108">
        <v>1422</v>
      </c>
      <c r="AO72" s="108">
        <v>1526.9</v>
      </c>
      <c r="AP72" s="108">
        <v>1580.3</v>
      </c>
      <c r="AQ72" s="108">
        <v>1599.3</v>
      </c>
      <c r="AR72" s="108">
        <v>1580.1</v>
      </c>
      <c r="AS72" s="108">
        <v>1620</v>
      </c>
      <c r="AT72" s="108">
        <v>1701</v>
      </c>
      <c r="AU72" s="108">
        <v>1893.2</v>
      </c>
      <c r="AV72" s="108">
        <v>1919.7</v>
      </c>
      <c r="AW72" s="108">
        <v>1979.2</v>
      </c>
      <c r="AX72" s="108">
        <v>2135.6</v>
      </c>
      <c r="AY72" s="109">
        <v>2336.3000000000002</v>
      </c>
      <c r="AZ72" s="110">
        <v>2335</v>
      </c>
      <c r="BA72" s="110">
        <f>AZ72-AY72</f>
        <v>-1.3000000000001819</v>
      </c>
      <c r="BB72" s="111">
        <f>AY72-AX72</f>
        <v>200.70000000000027</v>
      </c>
      <c r="BC72" s="112">
        <f>AZ72-AX72</f>
        <v>199.40000000000009</v>
      </c>
      <c r="BD72" s="113">
        <f t="shared" ref="BD72:BD102" si="46">(AX72/AS72)^(1/5)-1</f>
        <v>5.6819892813350759E-2</v>
      </c>
      <c r="BF72" s="114" t="b">
        <v>0</v>
      </c>
      <c r="BG72" s="90" t="s">
        <v>121</v>
      </c>
      <c r="BS72" s="90"/>
    </row>
    <row r="73" spans="1:79" x14ac:dyDescent="0.25">
      <c r="A73" s="130" t="s">
        <v>60</v>
      </c>
      <c r="B73" s="115">
        <v>0</v>
      </c>
      <c r="C73" s="115">
        <v>0</v>
      </c>
      <c r="D73" s="115">
        <v>0</v>
      </c>
      <c r="E73" s="115">
        <v>1157.8947368421052</v>
      </c>
      <c r="F73" s="115">
        <v>1583.3333333333333</v>
      </c>
      <c r="G73" s="115">
        <v>333.33333333333337</v>
      </c>
      <c r="H73" s="115">
        <v>900</v>
      </c>
      <c r="I73" s="115">
        <v>1300</v>
      </c>
      <c r="J73" s="115">
        <v>1200</v>
      </c>
      <c r="K73" s="115">
        <v>1300</v>
      </c>
      <c r="L73" s="115">
        <v>850</v>
      </c>
      <c r="M73" s="115">
        <v>1500</v>
      </c>
      <c r="N73" s="115">
        <v>1550.1298701298699</v>
      </c>
      <c r="O73" s="115">
        <v>700</v>
      </c>
      <c r="P73" s="115">
        <v>2000</v>
      </c>
      <c r="Q73" s="115">
        <v>1500</v>
      </c>
      <c r="R73" s="115">
        <v>1555</v>
      </c>
      <c r="S73" s="115">
        <v>2000</v>
      </c>
      <c r="T73" s="115">
        <v>2280</v>
      </c>
      <c r="U73" s="115">
        <v>1615</v>
      </c>
      <c r="V73" s="115">
        <v>2220</v>
      </c>
      <c r="W73" s="115">
        <v>2160</v>
      </c>
      <c r="X73" s="115">
        <v>1983</v>
      </c>
      <c r="Y73" s="115">
        <v>2400</v>
      </c>
      <c r="Z73" s="115">
        <v>2100</v>
      </c>
      <c r="AA73" s="115">
        <v>1830</v>
      </c>
      <c r="AB73" s="115">
        <v>1830</v>
      </c>
      <c r="AC73" s="115">
        <v>2700</v>
      </c>
      <c r="AD73" s="115">
        <v>2760</v>
      </c>
      <c r="AE73" s="115">
        <v>2282</v>
      </c>
      <c r="AF73" s="115">
        <v>2700</v>
      </c>
      <c r="AG73" s="115">
        <v>3036</v>
      </c>
      <c r="AH73" s="115">
        <v>2552</v>
      </c>
      <c r="AI73" s="115">
        <v>3060</v>
      </c>
      <c r="AJ73" s="115">
        <v>3360</v>
      </c>
      <c r="AK73" s="115">
        <v>2860</v>
      </c>
      <c r="AL73" s="115">
        <v>2100</v>
      </c>
      <c r="AM73" s="115">
        <v>2520</v>
      </c>
      <c r="AN73" s="115">
        <v>2940</v>
      </c>
      <c r="AO73" s="115">
        <v>2103</v>
      </c>
      <c r="AP73" s="115">
        <v>3242</v>
      </c>
      <c r="AQ73" s="115">
        <v>3960</v>
      </c>
      <c r="AR73" s="115">
        <v>3420</v>
      </c>
      <c r="AS73" s="115">
        <v>3779</v>
      </c>
      <c r="AT73" s="115">
        <v>4020</v>
      </c>
      <c r="AU73" s="115">
        <v>3847</v>
      </c>
      <c r="AV73" s="115">
        <v>4020</v>
      </c>
      <c r="AW73" s="115">
        <v>3780</v>
      </c>
      <c r="AX73" s="115">
        <f t="shared" ref="AX73:AY73" si="47">IF(AX72=0,0,AX74*1000000/AX72)</f>
        <v>4142.0209777111822</v>
      </c>
      <c r="AY73" s="116">
        <f t="shared" si="47"/>
        <v>3956.9832641355988</v>
      </c>
      <c r="AZ73" s="117">
        <v>4020</v>
      </c>
      <c r="BA73" s="110">
        <f>AZ73-AY73</f>
        <v>63.016735864401198</v>
      </c>
      <c r="BB73" s="118">
        <f t="shared" ref="BB73:BB74" si="48">AY73-AX73</f>
        <v>-185.03771357558344</v>
      </c>
      <c r="BC73" s="119">
        <f t="shared" ref="BC73:BC74" si="49">AZ73-AX73</f>
        <v>-122.02097771118224</v>
      </c>
      <c r="BD73" s="113">
        <f t="shared" si="46"/>
        <v>1.8514181652585116E-2</v>
      </c>
      <c r="BS73" s="90"/>
    </row>
    <row r="74" spans="1:79" ht="15.75" thickBot="1" x14ac:dyDescent="0.3">
      <c r="A74" s="130" t="s">
        <v>61</v>
      </c>
      <c r="B74" s="132">
        <v>0</v>
      </c>
      <c r="C74" s="132">
        <v>0</v>
      </c>
      <c r="D74" s="132">
        <v>0</v>
      </c>
      <c r="E74" s="132">
        <v>2.2000000000000001E-3</v>
      </c>
      <c r="F74" s="132">
        <v>3.8E-3</v>
      </c>
      <c r="G74" s="132">
        <v>4.0000000000000002E-4</v>
      </c>
      <c r="H74" s="132">
        <v>4.4999999999999997E-3</v>
      </c>
      <c r="I74" s="132">
        <v>3.6400000000000002E-2</v>
      </c>
      <c r="J74" s="132">
        <v>7.5600000000000001E-2</v>
      </c>
      <c r="K74" s="132">
        <v>0.1391</v>
      </c>
      <c r="L74" s="132">
        <v>0.14449999999999999</v>
      </c>
      <c r="M74" s="132">
        <v>0.34200000000000003</v>
      </c>
      <c r="N74" s="132">
        <v>0.5968</v>
      </c>
      <c r="O74" s="132">
        <v>0.25619999999999998</v>
      </c>
      <c r="P74" s="132">
        <v>0.55600000000000005</v>
      </c>
      <c r="Q74" s="132">
        <v>0.495</v>
      </c>
      <c r="R74" s="132">
        <v>0.59089999999999998</v>
      </c>
      <c r="S74" s="132">
        <v>0.86799999999999999</v>
      </c>
      <c r="T74" s="132">
        <v>1.073</v>
      </c>
      <c r="U74" s="132">
        <v>0.69929999999999992</v>
      </c>
      <c r="V74" s="132">
        <v>1.0123</v>
      </c>
      <c r="W74" s="132">
        <v>1.2016</v>
      </c>
      <c r="X74" s="132">
        <v>1.1505000000000001</v>
      </c>
      <c r="Y74" s="132">
        <v>1.5246999999999999</v>
      </c>
      <c r="Z74" s="132">
        <v>1.4502999999999999</v>
      </c>
      <c r="AA74" s="132">
        <v>1.464</v>
      </c>
      <c r="AB74" s="132">
        <v>1.5562</v>
      </c>
      <c r="AC74" s="132">
        <v>2.2180999999999997</v>
      </c>
      <c r="AD74" s="132">
        <v>2.4011999999999998</v>
      </c>
      <c r="AE74" s="132">
        <v>1.9912999999999998</v>
      </c>
      <c r="AF74" s="132">
        <v>2.2971999999999997</v>
      </c>
      <c r="AG74" s="132">
        <v>2.7475999999999998</v>
      </c>
      <c r="AH74" s="132">
        <v>2.4180000000000001</v>
      </c>
      <c r="AI74" s="132">
        <v>3.1105</v>
      </c>
      <c r="AJ74" s="132">
        <v>3.5074999999999998</v>
      </c>
      <c r="AK74" s="132">
        <v>3.1825999999999999</v>
      </c>
      <c r="AL74" s="132">
        <v>2.6920000000000002</v>
      </c>
      <c r="AM74" s="132">
        <v>3.3080039999999999</v>
      </c>
      <c r="AN74" s="132">
        <v>4.1806800000000006</v>
      </c>
      <c r="AO74" s="132">
        <v>3.2110707000000001</v>
      </c>
      <c r="AP74" s="132">
        <v>5.1233325999999995</v>
      </c>
      <c r="AQ74" s="132">
        <v>6.3332280000000001</v>
      </c>
      <c r="AR74" s="132">
        <v>5.4038999999999993</v>
      </c>
      <c r="AS74" s="132">
        <v>6.1219999999999999</v>
      </c>
      <c r="AT74" s="132">
        <v>6.8380000000000001</v>
      </c>
      <c r="AU74" s="132">
        <v>7.2793999999999999</v>
      </c>
      <c r="AV74" s="132">
        <v>7.8151000000000002</v>
      </c>
      <c r="AW74" s="132">
        <v>7.5743999999999998</v>
      </c>
      <c r="AX74" s="132">
        <v>8.8457000000000008</v>
      </c>
      <c r="AY74" s="109">
        <v>9.2446999999999999</v>
      </c>
      <c r="AZ74" s="110">
        <f>AZ73*AZ72/1000000</f>
        <v>9.3866999999999994</v>
      </c>
      <c r="BA74" s="110">
        <f>AZ74-AY74</f>
        <v>0.14199999999999946</v>
      </c>
      <c r="BB74" s="120">
        <f t="shared" si="48"/>
        <v>0.39899999999999913</v>
      </c>
      <c r="BC74" s="121">
        <f t="shared" si="49"/>
        <v>0.54099999999999859</v>
      </c>
      <c r="BD74" s="113">
        <f t="shared" si="46"/>
        <v>7.6385344991584114E-2</v>
      </c>
      <c r="BS74" s="90"/>
    </row>
    <row r="75" spans="1:79" s="129" customFormat="1" ht="16.5" thickBot="1" x14ac:dyDescent="0.3">
      <c r="A75" s="97" t="s">
        <v>91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4"/>
      <c r="AZ75" s="145"/>
      <c r="BA75" s="145"/>
      <c r="BB75" s="149"/>
      <c r="BC75" s="148"/>
      <c r="BD75" s="15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</row>
    <row r="76" spans="1:79" s="129" customFormat="1" x14ac:dyDescent="0.25">
      <c r="A76" s="130" t="s">
        <v>59</v>
      </c>
      <c r="B76" s="151">
        <f t="shared" ref="B76:AV76" si="50">B80+B84+B88+B92</f>
        <v>378</v>
      </c>
      <c r="C76" s="151">
        <f t="shared" si="50"/>
        <v>597</v>
      </c>
      <c r="D76" s="151">
        <f t="shared" si="50"/>
        <v>720</v>
      </c>
      <c r="E76" s="151">
        <f t="shared" si="50"/>
        <v>1117</v>
      </c>
      <c r="F76" s="151">
        <f t="shared" si="50"/>
        <v>1249</v>
      </c>
      <c r="G76" s="151">
        <f t="shared" si="50"/>
        <v>1364</v>
      </c>
      <c r="H76" s="151">
        <f t="shared" si="50"/>
        <v>1647</v>
      </c>
      <c r="I76" s="151">
        <f t="shared" si="50"/>
        <v>2141.9</v>
      </c>
      <c r="J76" s="151">
        <f t="shared" si="50"/>
        <v>2837</v>
      </c>
      <c r="K76" s="151">
        <f t="shared" si="50"/>
        <v>2813.3</v>
      </c>
      <c r="L76" s="151">
        <f t="shared" si="50"/>
        <v>2867.8</v>
      </c>
      <c r="M76" s="151">
        <f t="shared" si="50"/>
        <v>3379.1</v>
      </c>
      <c r="N76" s="151">
        <f t="shared" si="50"/>
        <v>4054.5</v>
      </c>
      <c r="O76" s="151">
        <f t="shared" si="50"/>
        <v>3706</v>
      </c>
      <c r="P76" s="151">
        <f t="shared" si="50"/>
        <v>2946.2</v>
      </c>
      <c r="Q76" s="151">
        <f t="shared" si="50"/>
        <v>3283.5</v>
      </c>
      <c r="R76" s="151">
        <f t="shared" si="50"/>
        <v>3808.6</v>
      </c>
      <c r="S76" s="151">
        <f t="shared" si="50"/>
        <v>4244.3</v>
      </c>
      <c r="T76" s="151">
        <f t="shared" si="50"/>
        <v>4559.8</v>
      </c>
      <c r="U76" s="151">
        <f t="shared" si="50"/>
        <v>3694.7</v>
      </c>
      <c r="V76" s="151">
        <f t="shared" si="50"/>
        <v>3983.7999999999997</v>
      </c>
      <c r="W76" s="151">
        <f t="shared" si="50"/>
        <v>5060.2000000000007</v>
      </c>
      <c r="X76" s="151">
        <f t="shared" si="50"/>
        <v>4955.1000000000004</v>
      </c>
      <c r="Y76" s="151">
        <f t="shared" si="50"/>
        <v>5394.7000000000007</v>
      </c>
      <c r="Z76" s="151">
        <f t="shared" si="50"/>
        <v>5759.5</v>
      </c>
      <c r="AA76" s="151">
        <f t="shared" si="50"/>
        <v>6970.4999999999991</v>
      </c>
      <c r="AB76" s="151">
        <f t="shared" si="50"/>
        <v>8048.4000000000005</v>
      </c>
      <c r="AC76" s="151">
        <f t="shared" si="50"/>
        <v>9659.3000000000011</v>
      </c>
      <c r="AD76" s="151">
        <f t="shared" si="50"/>
        <v>10857</v>
      </c>
      <c r="AE76" s="151">
        <f t="shared" si="50"/>
        <v>10742.599999999999</v>
      </c>
      <c r="AF76" s="151">
        <f t="shared" si="50"/>
        <v>9105.0999999999985</v>
      </c>
      <c r="AG76" s="151">
        <f t="shared" si="50"/>
        <v>9634.7999999999993</v>
      </c>
      <c r="AH76" s="151">
        <f t="shared" si="50"/>
        <v>9900.1</v>
      </c>
      <c r="AI76" s="151">
        <f t="shared" si="50"/>
        <v>10539.2</v>
      </c>
      <c r="AJ76" s="151">
        <f t="shared" si="50"/>
        <v>10819.4</v>
      </c>
      <c r="AK76" s="151">
        <f t="shared" si="50"/>
        <v>11495.2</v>
      </c>
      <c r="AL76" s="151">
        <f t="shared" si="50"/>
        <v>12778.2</v>
      </c>
      <c r="AM76" s="151">
        <f t="shared" si="50"/>
        <v>13909.400000000001</v>
      </c>
      <c r="AN76" s="151">
        <f t="shared" si="50"/>
        <v>14616.1</v>
      </c>
      <c r="AO76" s="151">
        <f t="shared" si="50"/>
        <v>14925.1</v>
      </c>
      <c r="AP76" s="151">
        <f t="shared" si="50"/>
        <v>15193.599999999999</v>
      </c>
      <c r="AQ76" s="151">
        <f t="shared" si="50"/>
        <v>15648.8</v>
      </c>
      <c r="AR76" s="151">
        <f t="shared" si="50"/>
        <v>16102.800000000001</v>
      </c>
      <c r="AS76" s="151">
        <f t="shared" si="50"/>
        <v>16640.099999999999</v>
      </c>
      <c r="AT76" s="151">
        <f t="shared" si="50"/>
        <v>18356.5</v>
      </c>
      <c r="AU76" s="151">
        <f t="shared" si="50"/>
        <v>19246.600000000002</v>
      </c>
      <c r="AV76" s="151">
        <f t="shared" si="50"/>
        <v>20606.699999999997</v>
      </c>
      <c r="AW76" s="151">
        <f>SUM(AW80+AW84+AW88+AW92)</f>
        <v>21423.000000000004</v>
      </c>
      <c r="AX76" s="151">
        <f t="shared" ref="AX76:AY76" si="51">SUM(AX80+AX84+AX88+AX92)</f>
        <v>22035.200000000001</v>
      </c>
      <c r="AY76" s="109">
        <f t="shared" si="51"/>
        <v>22864.000000000004</v>
      </c>
      <c r="AZ76" s="110">
        <f>AZ80+AZ84+AZ88+AZ92</f>
        <v>22270.2</v>
      </c>
      <c r="BA76" s="110">
        <f>AZ76-AY76</f>
        <v>-593.80000000000291</v>
      </c>
      <c r="BB76" s="111">
        <f>AY76-AX76</f>
        <v>828.80000000000291</v>
      </c>
      <c r="BC76" s="112">
        <f>AZ76-AX76</f>
        <v>235</v>
      </c>
      <c r="BD76" s="113">
        <f t="shared" si="46"/>
        <v>5.7772356129744518E-2</v>
      </c>
      <c r="BE76" s="90"/>
      <c r="BF76" s="114" t="b">
        <v>1</v>
      </c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</row>
    <row r="77" spans="1:79" s="129" customFormat="1" x14ac:dyDescent="0.25">
      <c r="A77" s="107" t="s">
        <v>60</v>
      </c>
      <c r="B77" s="115">
        <f t="shared" ref="B77:AV77" si="52">B78*1000000/B76</f>
        <v>1428.5714285714287</v>
      </c>
      <c r="C77" s="115">
        <f t="shared" si="52"/>
        <v>968.17420435510883</v>
      </c>
      <c r="D77" s="115">
        <f t="shared" si="52"/>
        <v>1527.7777777777778</v>
      </c>
      <c r="E77" s="115">
        <f t="shared" si="52"/>
        <v>1641.5398388540737</v>
      </c>
      <c r="F77" s="115">
        <f t="shared" si="52"/>
        <v>1658.9271417133707</v>
      </c>
      <c r="G77" s="115">
        <f t="shared" si="52"/>
        <v>1763.2697947214076</v>
      </c>
      <c r="H77" s="115">
        <f t="shared" si="52"/>
        <v>1879.1742562234363</v>
      </c>
      <c r="I77" s="115">
        <f t="shared" si="52"/>
        <v>1761.5668331854897</v>
      </c>
      <c r="J77" s="115">
        <f t="shared" si="52"/>
        <v>1932.1113852661258</v>
      </c>
      <c r="K77" s="115">
        <f t="shared" si="52"/>
        <v>1757.2601571108662</v>
      </c>
      <c r="L77" s="115">
        <f t="shared" si="52"/>
        <v>1995.1879489504149</v>
      </c>
      <c r="M77" s="115">
        <f t="shared" si="52"/>
        <v>1969.222574058181</v>
      </c>
      <c r="N77" s="115">
        <f t="shared" si="52"/>
        <v>2103.7612529288444</v>
      </c>
      <c r="O77" s="115">
        <f t="shared" si="52"/>
        <v>1685.3750674581759</v>
      </c>
      <c r="P77" s="115">
        <f t="shared" si="52"/>
        <v>2228.5316679112079</v>
      </c>
      <c r="Q77" s="115">
        <f t="shared" si="52"/>
        <v>2198.2945028171162</v>
      </c>
      <c r="R77" s="115">
        <f t="shared" si="52"/>
        <v>2204.1695111064432</v>
      </c>
      <c r="S77" s="115">
        <f t="shared" si="52"/>
        <v>2308.2487100346343</v>
      </c>
      <c r="T77" s="115">
        <f t="shared" si="52"/>
        <v>2192.9909206544148</v>
      </c>
      <c r="U77" s="115">
        <f t="shared" si="52"/>
        <v>2376.0792486534765</v>
      </c>
      <c r="V77" s="115">
        <f t="shared" si="52"/>
        <v>2599.302173803906</v>
      </c>
      <c r="W77" s="115">
        <f t="shared" si="52"/>
        <v>2530.2754831824827</v>
      </c>
      <c r="X77" s="115">
        <f t="shared" si="52"/>
        <v>2682.5291114205565</v>
      </c>
      <c r="Y77" s="115">
        <f t="shared" si="52"/>
        <v>2753.1651435668336</v>
      </c>
      <c r="Z77" s="115">
        <f t="shared" si="52"/>
        <v>2939.2134733917874</v>
      </c>
      <c r="AA77" s="115">
        <f t="shared" si="52"/>
        <v>2911.4697654400698</v>
      </c>
      <c r="AB77" s="115">
        <f t="shared" si="52"/>
        <v>2909.0005466925099</v>
      </c>
      <c r="AC77" s="115">
        <f t="shared" si="52"/>
        <v>2534.4176079011936</v>
      </c>
      <c r="AD77" s="115">
        <f t="shared" si="52"/>
        <v>2651.266464032421</v>
      </c>
      <c r="AE77" s="115">
        <f t="shared" si="52"/>
        <v>2576.5643326568993</v>
      </c>
      <c r="AF77" s="115">
        <f t="shared" si="52"/>
        <v>2909.8856684715165</v>
      </c>
      <c r="AG77" s="115">
        <f t="shared" si="52"/>
        <v>3021.7544733673767</v>
      </c>
      <c r="AH77" s="115">
        <f t="shared" si="52"/>
        <v>2942.8894657629721</v>
      </c>
      <c r="AI77" s="115">
        <f t="shared" si="52"/>
        <v>2997.0680886594805</v>
      </c>
      <c r="AJ77" s="115">
        <f t="shared" si="52"/>
        <v>3136.8560178937837</v>
      </c>
      <c r="AK77" s="115">
        <f t="shared" si="52"/>
        <v>3036.4673950866445</v>
      </c>
      <c r="AL77" s="115">
        <f t="shared" si="52"/>
        <v>2980.9675854189163</v>
      </c>
      <c r="AM77" s="115">
        <f t="shared" si="52"/>
        <v>3005.1988798941716</v>
      </c>
      <c r="AN77" s="115">
        <f t="shared" si="52"/>
        <v>3008.2252173972538</v>
      </c>
      <c r="AO77" s="115">
        <f t="shared" si="52"/>
        <v>2948.0145526663141</v>
      </c>
      <c r="AP77" s="115">
        <f t="shared" si="52"/>
        <v>3333.156045966723</v>
      </c>
      <c r="AQ77" s="115">
        <f t="shared" si="52"/>
        <v>3540.1062126169418</v>
      </c>
      <c r="AR77" s="115">
        <f t="shared" si="52"/>
        <v>3419.1631269096056</v>
      </c>
      <c r="AS77" s="115">
        <f t="shared" si="52"/>
        <v>3647.6643770169649</v>
      </c>
      <c r="AT77" s="115">
        <f t="shared" si="52"/>
        <v>3557.4428676490625</v>
      </c>
      <c r="AU77" s="115">
        <f t="shared" si="52"/>
        <v>3669.9728783265609</v>
      </c>
      <c r="AV77" s="115">
        <f t="shared" si="52"/>
        <v>3880.5679706115016</v>
      </c>
      <c r="AW77" s="115">
        <f>AW78*1000000/AW76</f>
        <v>3274.52737711805</v>
      </c>
      <c r="AX77" s="115">
        <f t="shared" ref="AX77:AY77" si="53">AX78*1000000/AX76</f>
        <v>3929.0907275631716</v>
      </c>
      <c r="AY77" s="131">
        <f t="shared" si="53"/>
        <v>3715.5747025892229</v>
      </c>
      <c r="AZ77" s="117">
        <f>AZ78*1000000/AZ76</f>
        <v>3696.6037395263616</v>
      </c>
      <c r="BA77" s="110">
        <f>AZ77-AY77</f>
        <v>-18.970963062861301</v>
      </c>
      <c r="BB77" s="118">
        <f t="shared" ref="BB77:BB78" si="54">AY77-AX77</f>
        <v>-213.51602497394879</v>
      </c>
      <c r="BC77" s="119">
        <f t="shared" ref="BC77:BC78" si="55">AZ77-AX77</f>
        <v>-232.48698803681009</v>
      </c>
      <c r="BD77" s="113">
        <f t="shared" si="46"/>
        <v>1.4975214722301011E-2</v>
      </c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</row>
    <row r="78" spans="1:79" s="129" customFormat="1" x14ac:dyDescent="0.25">
      <c r="A78" s="107" t="s">
        <v>61</v>
      </c>
      <c r="B78" s="151">
        <f t="shared" ref="B78:AE78" si="56">B82+B86+B90</f>
        <v>0.54</v>
      </c>
      <c r="C78" s="151">
        <f t="shared" si="56"/>
        <v>0.57799999999999996</v>
      </c>
      <c r="D78" s="151">
        <f t="shared" si="56"/>
        <v>1.1000000000000001</v>
      </c>
      <c r="E78" s="151">
        <f t="shared" si="56"/>
        <v>1.8336000000000001</v>
      </c>
      <c r="F78" s="151">
        <f t="shared" si="56"/>
        <v>2.0720000000000001</v>
      </c>
      <c r="G78" s="151">
        <f t="shared" si="56"/>
        <v>2.4051</v>
      </c>
      <c r="H78" s="151">
        <f t="shared" si="56"/>
        <v>3.0949999999999998</v>
      </c>
      <c r="I78" s="151">
        <f t="shared" si="56"/>
        <v>3.7731000000000003</v>
      </c>
      <c r="J78" s="151">
        <f t="shared" si="56"/>
        <v>5.4813999999999989</v>
      </c>
      <c r="K78" s="151">
        <f t="shared" si="56"/>
        <v>4.9436999999999998</v>
      </c>
      <c r="L78" s="151">
        <f t="shared" si="56"/>
        <v>5.7218</v>
      </c>
      <c r="M78" s="151">
        <f t="shared" si="56"/>
        <v>6.6541999999999994</v>
      </c>
      <c r="N78" s="151">
        <f t="shared" si="56"/>
        <v>8.5297000000000001</v>
      </c>
      <c r="O78" s="151">
        <f t="shared" si="56"/>
        <v>6.2460000000000004</v>
      </c>
      <c r="P78" s="151">
        <f t="shared" si="56"/>
        <v>6.5656999999999996</v>
      </c>
      <c r="Q78" s="151">
        <f t="shared" si="56"/>
        <v>7.2181000000000006</v>
      </c>
      <c r="R78" s="151">
        <f t="shared" si="56"/>
        <v>8.3948</v>
      </c>
      <c r="S78" s="151">
        <f t="shared" si="56"/>
        <v>9.7968999999999991</v>
      </c>
      <c r="T78" s="151">
        <f t="shared" si="56"/>
        <v>9.9996000000000009</v>
      </c>
      <c r="U78" s="151">
        <f t="shared" si="56"/>
        <v>8.7789000000000001</v>
      </c>
      <c r="V78" s="151">
        <f t="shared" si="56"/>
        <v>10.3551</v>
      </c>
      <c r="W78" s="151">
        <f t="shared" si="56"/>
        <v>12.803699999999999</v>
      </c>
      <c r="X78" s="151">
        <f t="shared" si="56"/>
        <v>13.292199999999999</v>
      </c>
      <c r="Y78" s="151">
        <f t="shared" si="56"/>
        <v>14.852499999999999</v>
      </c>
      <c r="Z78" s="151">
        <f t="shared" si="56"/>
        <v>16.9284</v>
      </c>
      <c r="AA78" s="151">
        <f t="shared" si="56"/>
        <v>20.294400000000003</v>
      </c>
      <c r="AB78" s="151">
        <f t="shared" si="56"/>
        <v>23.412800000000001</v>
      </c>
      <c r="AC78" s="151">
        <f t="shared" si="56"/>
        <v>24.480699999999999</v>
      </c>
      <c r="AD78" s="151">
        <f t="shared" si="56"/>
        <v>28.784799999999997</v>
      </c>
      <c r="AE78" s="151">
        <f t="shared" si="56"/>
        <v>27.679000000000002</v>
      </c>
      <c r="AF78" s="151">
        <f t="shared" ref="AF78:AY78" si="57">AF82+AF86+AF90+AF94</f>
        <v>26.494800000000001</v>
      </c>
      <c r="AG78" s="151">
        <f t="shared" si="57"/>
        <v>29.114000000000001</v>
      </c>
      <c r="AH78" s="151">
        <f t="shared" si="57"/>
        <v>29.134900000000002</v>
      </c>
      <c r="AI78" s="151">
        <f t="shared" si="57"/>
        <v>31.5867</v>
      </c>
      <c r="AJ78" s="151">
        <f t="shared" si="57"/>
        <v>33.938899999999997</v>
      </c>
      <c r="AK78" s="151">
        <f t="shared" si="57"/>
        <v>34.904800000000002</v>
      </c>
      <c r="AL78" s="151">
        <f t="shared" si="57"/>
        <v>38.0914</v>
      </c>
      <c r="AM78" s="151">
        <f t="shared" si="57"/>
        <v>41.800513299999999</v>
      </c>
      <c r="AN78" s="151">
        <f t="shared" si="57"/>
        <v>43.968520600000005</v>
      </c>
      <c r="AO78" s="151">
        <f t="shared" si="57"/>
        <v>43.999412000000007</v>
      </c>
      <c r="AP78" s="151">
        <f t="shared" si="57"/>
        <v>50.642639699999997</v>
      </c>
      <c r="AQ78" s="151">
        <f t="shared" si="57"/>
        <v>55.398414099999997</v>
      </c>
      <c r="AR78" s="151">
        <f t="shared" si="57"/>
        <v>55.058100000000003</v>
      </c>
      <c r="AS78" s="151">
        <f t="shared" si="57"/>
        <v>60.697499999999991</v>
      </c>
      <c r="AT78" s="151">
        <f t="shared" si="57"/>
        <v>65.302200000000013</v>
      </c>
      <c r="AU78" s="151">
        <f t="shared" si="57"/>
        <v>70.634500000000003</v>
      </c>
      <c r="AV78" s="151">
        <f t="shared" si="57"/>
        <v>79.965700000000012</v>
      </c>
      <c r="AW78" s="151">
        <f t="shared" si="57"/>
        <v>70.150199999999998</v>
      </c>
      <c r="AX78" s="151">
        <f t="shared" si="57"/>
        <v>86.578299999999999</v>
      </c>
      <c r="AY78" s="109">
        <f t="shared" si="57"/>
        <v>84.9529</v>
      </c>
      <c r="AZ78" s="110">
        <f>AZ82+AZ86+AZ90+AZ94</f>
        <v>82.324104599999984</v>
      </c>
      <c r="BA78" s="110">
        <f>AZ78-AY78</f>
        <v>-2.6287954000000155</v>
      </c>
      <c r="BB78" s="120">
        <f t="shared" si="54"/>
        <v>-1.6253999999999991</v>
      </c>
      <c r="BC78" s="121">
        <f t="shared" si="55"/>
        <v>-4.2541954000000146</v>
      </c>
      <c r="BD78" s="113">
        <f t="shared" si="46"/>
        <v>7.3612724290101905E-2</v>
      </c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</row>
    <row r="79" spans="1:79" x14ac:dyDescent="0.25">
      <c r="A79" s="122" t="s">
        <v>92</v>
      </c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4"/>
      <c r="AZ79" s="125"/>
      <c r="BA79" s="125"/>
      <c r="BB79" s="126"/>
      <c r="BC79" s="127"/>
      <c r="BD79" s="128"/>
      <c r="BS79" s="90"/>
    </row>
    <row r="80" spans="1:79" x14ac:dyDescent="0.25">
      <c r="A80" s="130" t="s">
        <v>59</v>
      </c>
      <c r="B80" s="132">
        <v>310</v>
      </c>
      <c r="C80" s="132">
        <v>6</v>
      </c>
      <c r="D80" s="132">
        <v>19</v>
      </c>
      <c r="E80" s="132">
        <v>70</v>
      </c>
      <c r="F80" s="132">
        <v>128</v>
      </c>
      <c r="G80" s="132">
        <v>195</v>
      </c>
      <c r="H80" s="132">
        <v>317</v>
      </c>
      <c r="I80" s="132">
        <v>467</v>
      </c>
      <c r="J80" s="132">
        <v>795</v>
      </c>
      <c r="K80" s="132">
        <v>909.5</v>
      </c>
      <c r="L80" s="132">
        <v>1100</v>
      </c>
      <c r="M80" s="132">
        <v>1375</v>
      </c>
      <c r="N80" s="132">
        <v>1708.2</v>
      </c>
      <c r="O80" s="132">
        <v>1503</v>
      </c>
      <c r="P80" s="132">
        <v>1100</v>
      </c>
      <c r="Q80" s="132">
        <v>1452</v>
      </c>
      <c r="R80" s="132">
        <v>1713.4</v>
      </c>
      <c r="S80" s="132">
        <v>1996</v>
      </c>
      <c r="T80" s="132">
        <v>2295.4</v>
      </c>
      <c r="U80" s="132">
        <v>1905.2</v>
      </c>
      <c r="V80" s="132">
        <v>2095.6999999999998</v>
      </c>
      <c r="W80" s="132">
        <v>2600</v>
      </c>
      <c r="X80" s="132">
        <v>2548</v>
      </c>
      <c r="Y80" s="108">
        <v>2800</v>
      </c>
      <c r="Z80" s="132">
        <v>3120</v>
      </c>
      <c r="AA80" s="132">
        <v>3853.2</v>
      </c>
      <c r="AB80" s="132">
        <v>4419.6000000000004</v>
      </c>
      <c r="AC80" s="132">
        <v>5240.5</v>
      </c>
      <c r="AD80" s="132">
        <v>6105.2</v>
      </c>
      <c r="AE80" s="132">
        <v>6196.8</v>
      </c>
      <c r="AF80" s="132">
        <v>5124.8</v>
      </c>
      <c r="AG80" s="132">
        <v>5675</v>
      </c>
      <c r="AH80" s="108">
        <v>5828.2</v>
      </c>
      <c r="AI80" s="108">
        <v>6224.5</v>
      </c>
      <c r="AJ80" s="108">
        <v>6398.8</v>
      </c>
      <c r="AK80" s="108">
        <v>6980.5</v>
      </c>
      <c r="AL80" s="108">
        <v>7818.2</v>
      </c>
      <c r="AM80" s="108">
        <v>8615.7000000000007</v>
      </c>
      <c r="AN80" s="108">
        <v>8934.5</v>
      </c>
      <c r="AO80" s="108">
        <v>9140</v>
      </c>
      <c r="AP80" s="108">
        <v>9322.7999999999993</v>
      </c>
      <c r="AQ80" s="108">
        <v>9518.6</v>
      </c>
      <c r="AR80" s="108">
        <v>9699.5</v>
      </c>
      <c r="AS80" s="108">
        <v>10004.1</v>
      </c>
      <c r="AT80" s="108">
        <v>10479.700000000001</v>
      </c>
      <c r="AU80" s="108">
        <v>11108.5</v>
      </c>
      <c r="AV80" s="108">
        <v>12086</v>
      </c>
      <c r="AW80" s="108">
        <v>12376.1</v>
      </c>
      <c r="AX80" s="108">
        <v>12738.7</v>
      </c>
      <c r="AY80" s="109">
        <v>13133.6</v>
      </c>
      <c r="AZ80" s="110">
        <v>13120</v>
      </c>
      <c r="BA80" s="110">
        <f>AZ80-AY80</f>
        <v>-13.600000000000364</v>
      </c>
      <c r="BB80" s="111">
        <f>AY80-AX80</f>
        <v>394.89999999999964</v>
      </c>
      <c r="BC80" s="112">
        <f>AZ80-AX80</f>
        <v>381.29999999999927</v>
      </c>
      <c r="BD80" s="113">
        <f t="shared" si="46"/>
        <v>4.9516853795844362E-2</v>
      </c>
      <c r="BF80" s="114" t="b">
        <v>1</v>
      </c>
      <c r="BS80" s="90"/>
    </row>
    <row r="81" spans="1:79" x14ac:dyDescent="0.25">
      <c r="A81" s="130" t="s">
        <v>60</v>
      </c>
      <c r="B81" s="115">
        <v>1451.6129032258066</v>
      </c>
      <c r="C81" s="115">
        <v>1333.3333333333333</v>
      </c>
      <c r="D81" s="115">
        <v>1368.421052631579</v>
      </c>
      <c r="E81" s="115">
        <v>1670</v>
      </c>
      <c r="F81" s="115">
        <v>1796.875</v>
      </c>
      <c r="G81" s="115">
        <v>1849.7435897435896</v>
      </c>
      <c r="H81" s="115">
        <v>1911.6719242902209</v>
      </c>
      <c r="I81" s="115">
        <v>2000</v>
      </c>
      <c r="J81" s="115">
        <v>2080</v>
      </c>
      <c r="K81" s="115">
        <v>2100.0549752611323</v>
      </c>
      <c r="L81" s="115">
        <v>2170</v>
      </c>
      <c r="M81" s="115">
        <v>2000</v>
      </c>
      <c r="N81" s="115">
        <v>2159.9929750614679</v>
      </c>
      <c r="O81" s="115">
        <v>1930.006653359947</v>
      </c>
      <c r="P81" s="115">
        <v>2370</v>
      </c>
      <c r="Q81" s="115">
        <v>2400</v>
      </c>
      <c r="R81" s="115">
        <v>2450</v>
      </c>
      <c r="S81" s="115">
        <v>2490</v>
      </c>
      <c r="T81" s="115">
        <v>2370</v>
      </c>
      <c r="U81" s="115">
        <v>2460</v>
      </c>
      <c r="V81" s="115">
        <v>2730</v>
      </c>
      <c r="W81" s="115">
        <v>2750</v>
      </c>
      <c r="X81" s="115">
        <v>2800</v>
      </c>
      <c r="Y81" s="115">
        <v>3020</v>
      </c>
      <c r="Z81" s="115">
        <v>3090</v>
      </c>
      <c r="AA81" s="115">
        <v>3020</v>
      </c>
      <c r="AB81" s="115">
        <v>2930</v>
      </c>
      <c r="AC81" s="115">
        <v>2864</v>
      </c>
      <c r="AD81" s="115">
        <v>2938</v>
      </c>
      <c r="AE81" s="115">
        <v>2695</v>
      </c>
      <c r="AF81" s="115">
        <v>2997</v>
      </c>
      <c r="AG81" s="115">
        <v>3145</v>
      </c>
      <c r="AH81" s="115">
        <v>3082</v>
      </c>
      <c r="AI81" s="115">
        <v>3015</v>
      </c>
      <c r="AJ81" s="115">
        <v>3190</v>
      </c>
      <c r="AK81" s="115">
        <v>3130</v>
      </c>
      <c r="AL81" s="115">
        <v>3010</v>
      </c>
      <c r="AM81" s="115">
        <v>3069</v>
      </c>
      <c r="AN81" s="115">
        <v>3136</v>
      </c>
      <c r="AO81" s="115">
        <v>2875</v>
      </c>
      <c r="AP81" s="115">
        <v>3294</v>
      </c>
      <c r="AQ81" s="115">
        <v>3488</v>
      </c>
      <c r="AR81" s="115">
        <v>3398</v>
      </c>
      <c r="AS81" s="115">
        <v>3587</v>
      </c>
      <c r="AT81" s="115">
        <v>3485</v>
      </c>
      <c r="AU81" s="115">
        <v>3735</v>
      </c>
      <c r="AV81" s="115">
        <v>3773</v>
      </c>
      <c r="AW81" s="115">
        <v>3179</v>
      </c>
      <c r="AX81" s="115">
        <f t="shared" ref="AX81:AY81" si="58">AX82*1000000/AX80</f>
        <v>4028.0012874155132</v>
      </c>
      <c r="AY81" s="131">
        <f t="shared" si="58"/>
        <v>3740.0027410610946</v>
      </c>
      <c r="AZ81" s="117">
        <v>3640</v>
      </c>
      <c r="BA81" s="110">
        <f>AZ81-AY81</f>
        <v>-100.00274106109464</v>
      </c>
      <c r="BB81" s="118">
        <f t="shared" ref="BB81:BB82" si="59">AY81-AX81</f>
        <v>-287.99854635441852</v>
      </c>
      <c r="BC81" s="119">
        <f t="shared" ref="BC81:BC82" si="60">AZ81-AX81</f>
        <v>-388.00128741551316</v>
      </c>
      <c r="BD81" s="113">
        <f t="shared" si="46"/>
        <v>2.3461817064613033E-2</v>
      </c>
      <c r="BS81" s="90"/>
    </row>
    <row r="82" spans="1:79" s="129" customFormat="1" x14ac:dyDescent="0.25">
      <c r="A82" s="130" t="s">
        <v>61</v>
      </c>
      <c r="B82" s="132">
        <v>0.45</v>
      </c>
      <c r="C82" s="132">
        <v>8.0000000000000002E-3</v>
      </c>
      <c r="D82" s="132">
        <v>2.5999999999999999E-2</v>
      </c>
      <c r="E82" s="132">
        <v>0.1169</v>
      </c>
      <c r="F82" s="132">
        <v>0.23</v>
      </c>
      <c r="G82" s="132">
        <v>0.36069999999999997</v>
      </c>
      <c r="H82" s="132">
        <v>0.60599999999999998</v>
      </c>
      <c r="I82" s="132">
        <v>0.93400000000000005</v>
      </c>
      <c r="J82" s="132">
        <v>1.6536</v>
      </c>
      <c r="K82" s="132">
        <v>1.91</v>
      </c>
      <c r="L82" s="132">
        <v>2.387</v>
      </c>
      <c r="M82" s="132">
        <v>2.75</v>
      </c>
      <c r="N82" s="132">
        <v>3.6896999999999998</v>
      </c>
      <c r="O82" s="132">
        <v>2.9008000000000003</v>
      </c>
      <c r="P82" s="132">
        <v>2.6070000000000002</v>
      </c>
      <c r="Q82" s="132">
        <v>3.4848000000000003</v>
      </c>
      <c r="R82" s="132">
        <v>4.1978</v>
      </c>
      <c r="S82" s="132">
        <v>4.97</v>
      </c>
      <c r="T82" s="132">
        <v>5.4401000000000002</v>
      </c>
      <c r="U82" s="132">
        <v>4.6867999999999999</v>
      </c>
      <c r="V82" s="132">
        <v>5.7213000000000003</v>
      </c>
      <c r="W82" s="132">
        <v>7.15</v>
      </c>
      <c r="X82" s="132">
        <v>7.1343999999999994</v>
      </c>
      <c r="Y82" s="132">
        <v>8.4559999999999995</v>
      </c>
      <c r="Z82" s="132">
        <v>9.6407999999999987</v>
      </c>
      <c r="AA82" s="132">
        <v>11.636700000000001</v>
      </c>
      <c r="AB82" s="132">
        <v>12.949399999999999</v>
      </c>
      <c r="AC82" s="132">
        <v>15.008799999999999</v>
      </c>
      <c r="AD82" s="132">
        <v>17.937099999999997</v>
      </c>
      <c r="AE82" s="132">
        <v>16.700400000000002</v>
      </c>
      <c r="AF82" s="132">
        <v>15.359</v>
      </c>
      <c r="AG82" s="132">
        <v>17.847900000000003</v>
      </c>
      <c r="AH82" s="132">
        <v>17.962499999999999</v>
      </c>
      <c r="AI82" s="132">
        <v>18.7669</v>
      </c>
      <c r="AJ82" s="132">
        <v>20.412200000000002</v>
      </c>
      <c r="AK82" s="132">
        <v>21.849</v>
      </c>
      <c r="AL82" s="132">
        <v>23.532799999999998</v>
      </c>
      <c r="AM82" s="132">
        <v>26.441583300000001</v>
      </c>
      <c r="AN82" s="132">
        <v>28.018592000000002</v>
      </c>
      <c r="AO82" s="132">
        <v>26.2775</v>
      </c>
      <c r="AP82" s="132">
        <v>30.709303199999997</v>
      </c>
      <c r="AQ82" s="132">
        <v>33.200876799999996</v>
      </c>
      <c r="AR82" s="132">
        <v>32.9589</v>
      </c>
      <c r="AS82" s="132">
        <v>35.884699999999995</v>
      </c>
      <c r="AT82" s="132">
        <v>36.521800000000006</v>
      </c>
      <c r="AU82" s="132">
        <v>42.867699999999999</v>
      </c>
      <c r="AV82" s="132">
        <v>46.905800000000006</v>
      </c>
      <c r="AW82" s="132">
        <v>40.420300000000005</v>
      </c>
      <c r="AX82" s="132">
        <v>51.311500000000002</v>
      </c>
      <c r="AY82" s="109">
        <v>49.119699999999995</v>
      </c>
      <c r="AZ82" s="110">
        <f>AZ81*AZ80/1000000</f>
        <v>47.756799999999998</v>
      </c>
      <c r="BA82" s="110">
        <f>AZ82-AY82</f>
        <v>-1.3628999999999962</v>
      </c>
      <c r="BB82" s="120">
        <f t="shared" si="59"/>
        <v>-2.1918000000000077</v>
      </c>
      <c r="BC82" s="121">
        <f t="shared" si="60"/>
        <v>-3.554700000000004</v>
      </c>
      <c r="BD82" s="113">
        <f t="shared" si="46"/>
        <v>7.4140466336185984E-2</v>
      </c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</row>
    <row r="83" spans="1:79" x14ac:dyDescent="0.25">
      <c r="A83" s="122" t="s">
        <v>93</v>
      </c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4"/>
      <c r="AZ83" s="125"/>
      <c r="BA83" s="125"/>
      <c r="BB83" s="126"/>
      <c r="BC83" s="127"/>
      <c r="BD83" s="128"/>
      <c r="BS83" s="90"/>
    </row>
    <row r="84" spans="1:79" x14ac:dyDescent="0.25">
      <c r="A84" s="130" t="s">
        <v>59</v>
      </c>
      <c r="B84" s="132">
        <v>0</v>
      </c>
      <c r="C84" s="132">
        <v>494</v>
      </c>
      <c r="D84" s="132">
        <v>573</v>
      </c>
      <c r="E84" s="132">
        <v>792</v>
      </c>
      <c r="F84" s="132">
        <v>812</v>
      </c>
      <c r="G84" s="132">
        <v>832</v>
      </c>
      <c r="H84" s="132">
        <v>940</v>
      </c>
      <c r="I84" s="132">
        <v>1073.9000000000001</v>
      </c>
      <c r="J84" s="132">
        <v>1307</v>
      </c>
      <c r="K84" s="132">
        <v>1234</v>
      </c>
      <c r="L84" s="132">
        <v>1184</v>
      </c>
      <c r="M84" s="132">
        <v>1231</v>
      </c>
      <c r="N84" s="132">
        <v>1300</v>
      </c>
      <c r="O84" s="132">
        <v>1209</v>
      </c>
      <c r="P84" s="132">
        <v>1013.1</v>
      </c>
      <c r="Q84" s="132">
        <v>969.5</v>
      </c>
      <c r="R84" s="132">
        <v>1066.5</v>
      </c>
      <c r="S84" s="132">
        <v>1109</v>
      </c>
      <c r="T84" s="132">
        <v>1097.9000000000001</v>
      </c>
      <c r="U84" s="132">
        <v>845.4</v>
      </c>
      <c r="V84" s="132">
        <v>862.3</v>
      </c>
      <c r="W84" s="132">
        <v>1086.5</v>
      </c>
      <c r="X84" s="132">
        <v>1053.9000000000001</v>
      </c>
      <c r="Y84" s="108">
        <v>1106.5999999999999</v>
      </c>
      <c r="Z84" s="132">
        <v>1064.5</v>
      </c>
      <c r="AA84" s="132">
        <v>1192.2</v>
      </c>
      <c r="AB84" s="132">
        <v>1415.1</v>
      </c>
      <c r="AC84" s="132">
        <v>1797.2</v>
      </c>
      <c r="AD84" s="132">
        <v>2030.8</v>
      </c>
      <c r="AE84" s="132">
        <v>1949.6</v>
      </c>
      <c r="AF84" s="132">
        <v>1737.1</v>
      </c>
      <c r="AG84" s="132">
        <v>1731.4</v>
      </c>
      <c r="AH84" s="108">
        <v>1715.8</v>
      </c>
      <c r="AI84" s="108">
        <v>1712.2</v>
      </c>
      <c r="AJ84" s="108">
        <v>1760.1</v>
      </c>
      <c r="AK84" s="108">
        <v>1815</v>
      </c>
      <c r="AL84" s="108">
        <v>2017</v>
      </c>
      <c r="AM84" s="108">
        <v>2120</v>
      </c>
      <c r="AN84" s="108">
        <v>2300.5</v>
      </c>
      <c r="AO84" s="108">
        <v>2430</v>
      </c>
      <c r="AP84" s="108">
        <v>2522.3000000000002</v>
      </c>
      <c r="AQ84" s="108">
        <v>2672</v>
      </c>
      <c r="AR84" s="108">
        <v>2853.7</v>
      </c>
      <c r="AS84" s="108">
        <v>3016.4</v>
      </c>
      <c r="AT84" s="108">
        <v>3499.3</v>
      </c>
      <c r="AU84" s="108">
        <v>3660.3</v>
      </c>
      <c r="AV84" s="108">
        <v>3887.2</v>
      </c>
      <c r="AW84" s="108">
        <v>4124.3</v>
      </c>
      <c r="AX84" s="108">
        <v>4253.3999999999996</v>
      </c>
      <c r="AY84" s="109">
        <v>4487.3</v>
      </c>
      <c r="AZ84" s="110">
        <v>4300</v>
      </c>
      <c r="BA84" s="110">
        <f>AZ84-AY84</f>
        <v>-187.30000000000018</v>
      </c>
      <c r="BB84" s="111">
        <f>AY84-AX84</f>
        <v>233.90000000000055</v>
      </c>
      <c r="BC84" s="112">
        <f>AZ84-AX84</f>
        <v>46.600000000000364</v>
      </c>
      <c r="BD84" s="113">
        <f t="shared" si="46"/>
        <v>7.1147944969649268E-2</v>
      </c>
      <c r="BF84" s="114" t="b">
        <v>1</v>
      </c>
      <c r="BS84" s="90"/>
    </row>
    <row r="85" spans="1:79" x14ac:dyDescent="0.25">
      <c r="A85" s="130" t="s">
        <v>94</v>
      </c>
      <c r="B85" s="115">
        <v>0</v>
      </c>
      <c r="C85" s="115">
        <v>955.46558704453446</v>
      </c>
      <c r="D85" s="115">
        <v>1481.6753926701572</v>
      </c>
      <c r="E85" s="115">
        <v>1600</v>
      </c>
      <c r="F85" s="115">
        <v>1740.1477832512314</v>
      </c>
      <c r="G85" s="115">
        <v>1764.9038461538462</v>
      </c>
      <c r="H85" s="115">
        <v>1900</v>
      </c>
      <c r="I85" s="115">
        <v>1784.9892913679114</v>
      </c>
      <c r="J85" s="115">
        <v>1959.9846977811781</v>
      </c>
      <c r="K85" s="115">
        <v>1540.032414910859</v>
      </c>
      <c r="L85" s="115">
        <v>1950</v>
      </c>
      <c r="M85" s="115">
        <v>2070.024370430544</v>
      </c>
      <c r="N85" s="115">
        <v>2200</v>
      </c>
      <c r="O85" s="115">
        <v>1600</v>
      </c>
      <c r="P85" s="115">
        <v>2270</v>
      </c>
      <c r="Q85" s="115">
        <v>1990</v>
      </c>
      <c r="R85" s="115">
        <v>2090</v>
      </c>
      <c r="S85" s="115">
        <v>2200</v>
      </c>
      <c r="T85" s="115">
        <v>2210</v>
      </c>
      <c r="U85" s="115">
        <v>2420</v>
      </c>
      <c r="V85" s="115">
        <v>2500</v>
      </c>
      <c r="W85" s="115">
        <v>2100</v>
      </c>
      <c r="X85" s="115">
        <v>2600</v>
      </c>
      <c r="Y85" s="115">
        <v>2100</v>
      </c>
      <c r="Z85" s="115">
        <v>2940</v>
      </c>
      <c r="AA85" s="115">
        <v>2750</v>
      </c>
      <c r="AB85" s="115">
        <v>2900</v>
      </c>
      <c r="AC85" s="115">
        <v>1850</v>
      </c>
      <c r="AD85" s="115">
        <v>1902</v>
      </c>
      <c r="AE85" s="115">
        <v>2280</v>
      </c>
      <c r="AF85" s="115">
        <v>2810</v>
      </c>
      <c r="AG85" s="115">
        <v>2639</v>
      </c>
      <c r="AH85" s="115">
        <v>2436</v>
      </c>
      <c r="AI85" s="115">
        <v>3100</v>
      </c>
      <c r="AJ85" s="115">
        <v>2937</v>
      </c>
      <c r="AK85" s="115">
        <v>2550</v>
      </c>
      <c r="AL85" s="115">
        <v>2880</v>
      </c>
      <c r="AM85" s="115">
        <v>2900</v>
      </c>
      <c r="AN85" s="115">
        <v>3120</v>
      </c>
      <c r="AO85" s="115">
        <v>2980</v>
      </c>
      <c r="AP85" s="115">
        <v>3400</v>
      </c>
      <c r="AQ85" s="115">
        <v>3636</v>
      </c>
      <c r="AR85" s="115">
        <v>3420</v>
      </c>
      <c r="AS85" s="115">
        <v>3767</v>
      </c>
      <c r="AT85" s="115">
        <v>3630</v>
      </c>
      <c r="AU85" s="115">
        <v>2513</v>
      </c>
      <c r="AV85" s="115">
        <v>3723</v>
      </c>
      <c r="AW85" s="115">
        <v>2825</v>
      </c>
      <c r="AX85" s="115">
        <f t="shared" ref="AX85:AY85" si="61">AX86*1000000/AX84</f>
        <v>3338.9993887243149</v>
      </c>
      <c r="AY85" s="131">
        <f t="shared" si="61"/>
        <v>3339.0011811111358</v>
      </c>
      <c r="AZ85" s="117">
        <v>3700</v>
      </c>
      <c r="BA85" s="110">
        <f>AZ85-AY85</f>
        <v>360.99881888886421</v>
      </c>
      <c r="BB85" s="118">
        <f t="shared" ref="BB85:BB86" si="62">AY85-AX85</f>
        <v>1.7923868208526983E-3</v>
      </c>
      <c r="BC85" s="119">
        <f t="shared" ref="BC85:BC86" si="63">AZ85-AX85</f>
        <v>361.00061127568506</v>
      </c>
      <c r="BD85" s="113">
        <f t="shared" si="46"/>
        <v>-2.3832950718454371E-2</v>
      </c>
      <c r="BS85" s="90"/>
    </row>
    <row r="86" spans="1:79" s="129" customFormat="1" x14ac:dyDescent="0.25">
      <c r="A86" s="130" t="s">
        <v>95</v>
      </c>
      <c r="B86" s="132">
        <v>0</v>
      </c>
      <c r="C86" s="132">
        <v>0.47199999999999998</v>
      </c>
      <c r="D86" s="132">
        <v>0.84899999999999998</v>
      </c>
      <c r="E86" s="132">
        <v>1.2672000000000001</v>
      </c>
      <c r="F86" s="132">
        <v>1.413</v>
      </c>
      <c r="G86" s="132">
        <v>1.4684000000000001</v>
      </c>
      <c r="H86" s="132">
        <v>1.786</v>
      </c>
      <c r="I86" s="132">
        <v>1.9169</v>
      </c>
      <c r="J86" s="132">
        <v>2.5616999999999996</v>
      </c>
      <c r="K86" s="132">
        <v>1.9004000000000001</v>
      </c>
      <c r="L86" s="132">
        <v>2.3088000000000002</v>
      </c>
      <c r="M86" s="132">
        <v>2.5482</v>
      </c>
      <c r="N86" s="132">
        <v>2.86</v>
      </c>
      <c r="O86" s="132">
        <v>1.9344000000000001</v>
      </c>
      <c r="P86" s="132">
        <v>2.2996999999999996</v>
      </c>
      <c r="Q86" s="132">
        <v>1.9293</v>
      </c>
      <c r="R86" s="132">
        <v>2.2290000000000001</v>
      </c>
      <c r="S86" s="132">
        <v>2.4398</v>
      </c>
      <c r="T86" s="132">
        <v>2.4264000000000001</v>
      </c>
      <c r="U86" s="132">
        <v>2.0459000000000001</v>
      </c>
      <c r="V86" s="132">
        <v>2.1558000000000002</v>
      </c>
      <c r="W86" s="132">
        <v>2.2816999999999998</v>
      </c>
      <c r="X86" s="132">
        <v>2.7401</v>
      </c>
      <c r="Y86" s="132">
        <v>2.3239000000000001</v>
      </c>
      <c r="Z86" s="132">
        <v>3.1295999999999999</v>
      </c>
      <c r="AA86" s="132">
        <v>3.2786</v>
      </c>
      <c r="AB86" s="132">
        <v>4.1038000000000006</v>
      </c>
      <c r="AC86" s="132">
        <v>3.3248000000000002</v>
      </c>
      <c r="AD86" s="132">
        <v>3.8626</v>
      </c>
      <c r="AE86" s="132">
        <v>4.4451000000000001</v>
      </c>
      <c r="AF86" s="132">
        <v>4.8813000000000004</v>
      </c>
      <c r="AG86" s="132">
        <v>4.5691999999999995</v>
      </c>
      <c r="AH86" s="132">
        <v>4.1796999999999995</v>
      </c>
      <c r="AI86" s="132">
        <v>5.3078000000000003</v>
      </c>
      <c r="AJ86" s="132">
        <v>5.1693999999999996</v>
      </c>
      <c r="AK86" s="132">
        <v>4.6283000000000003</v>
      </c>
      <c r="AL86" s="132">
        <v>5.8090000000000002</v>
      </c>
      <c r="AM86" s="132">
        <v>6.1479999999999997</v>
      </c>
      <c r="AN86" s="132">
        <v>7.1775600000000006</v>
      </c>
      <c r="AO86" s="132">
        <v>7.2413999999999996</v>
      </c>
      <c r="AP86" s="132">
        <v>8.5758200000000002</v>
      </c>
      <c r="AQ86" s="132">
        <v>9.7153919999999996</v>
      </c>
      <c r="AR86" s="132">
        <v>9.7597000000000005</v>
      </c>
      <c r="AS86" s="132">
        <v>11.3628</v>
      </c>
      <c r="AT86" s="132">
        <v>12.702500000000001</v>
      </c>
      <c r="AU86" s="132">
        <v>9.7657000000000007</v>
      </c>
      <c r="AV86" s="132">
        <v>14.8102</v>
      </c>
      <c r="AW86" s="132">
        <v>12.574999999999999</v>
      </c>
      <c r="AX86" s="132">
        <v>14.2021</v>
      </c>
      <c r="AY86" s="109">
        <v>14.9831</v>
      </c>
      <c r="AZ86" s="110">
        <f>AZ85*AZ84/1000000</f>
        <v>15.91</v>
      </c>
      <c r="BA86" s="110">
        <f>AZ86-AY86</f>
        <v>0.92689999999999984</v>
      </c>
      <c r="BB86" s="120">
        <f t="shared" si="62"/>
        <v>0.78100000000000058</v>
      </c>
      <c r="BC86" s="121">
        <f t="shared" si="63"/>
        <v>1.7079000000000004</v>
      </c>
      <c r="BD86" s="113">
        <f t="shared" si="46"/>
        <v>4.5618938614522486E-2</v>
      </c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</row>
    <row r="87" spans="1:79" x14ac:dyDescent="0.25">
      <c r="A87" s="122" t="s">
        <v>96</v>
      </c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4"/>
      <c r="AZ87" s="125"/>
      <c r="BA87" s="125"/>
      <c r="BB87" s="126"/>
      <c r="BC87" s="127"/>
      <c r="BD87" s="128"/>
      <c r="BS87" s="90"/>
    </row>
    <row r="88" spans="1:79" x14ac:dyDescent="0.25">
      <c r="A88" s="130" t="s">
        <v>59</v>
      </c>
      <c r="B88" s="132">
        <v>68</v>
      </c>
      <c r="C88" s="132">
        <v>97</v>
      </c>
      <c r="D88" s="132">
        <v>128</v>
      </c>
      <c r="E88" s="132">
        <v>247</v>
      </c>
      <c r="F88" s="132">
        <v>294</v>
      </c>
      <c r="G88" s="132">
        <v>320</v>
      </c>
      <c r="H88" s="132">
        <v>370</v>
      </c>
      <c r="I88" s="132">
        <v>571</v>
      </c>
      <c r="J88" s="132">
        <v>690</v>
      </c>
      <c r="K88" s="132">
        <v>621</v>
      </c>
      <c r="L88" s="132">
        <v>540</v>
      </c>
      <c r="M88" s="132">
        <v>730.4</v>
      </c>
      <c r="N88" s="132">
        <v>990</v>
      </c>
      <c r="O88" s="132">
        <v>940.5</v>
      </c>
      <c r="P88" s="132">
        <v>790</v>
      </c>
      <c r="Q88" s="132">
        <v>820</v>
      </c>
      <c r="R88" s="132">
        <v>984</v>
      </c>
      <c r="S88" s="132">
        <v>1090</v>
      </c>
      <c r="T88" s="132">
        <v>1122.7</v>
      </c>
      <c r="U88" s="132">
        <v>909.4</v>
      </c>
      <c r="V88" s="132">
        <v>991.2</v>
      </c>
      <c r="W88" s="132">
        <v>1338.1</v>
      </c>
      <c r="X88" s="132">
        <v>1324.7</v>
      </c>
      <c r="Y88" s="108">
        <v>1454.5</v>
      </c>
      <c r="Z88" s="132">
        <v>1540</v>
      </c>
      <c r="AA88" s="132">
        <v>1887.4</v>
      </c>
      <c r="AB88" s="132">
        <v>2170.5</v>
      </c>
      <c r="AC88" s="132">
        <v>2572</v>
      </c>
      <c r="AD88" s="132">
        <v>2662</v>
      </c>
      <c r="AE88" s="132">
        <v>2542.1999999999998</v>
      </c>
      <c r="AF88" s="132">
        <v>2191.4</v>
      </c>
      <c r="AG88" s="132">
        <v>2179.6999999999998</v>
      </c>
      <c r="AH88" s="108">
        <v>2307.1999999999998</v>
      </c>
      <c r="AI88" s="108">
        <v>2549.5</v>
      </c>
      <c r="AJ88" s="108">
        <v>2605.6</v>
      </c>
      <c r="AK88" s="108">
        <v>2644.7</v>
      </c>
      <c r="AL88" s="108">
        <v>2888</v>
      </c>
      <c r="AM88" s="108">
        <v>3101.7</v>
      </c>
      <c r="AN88" s="108">
        <v>3325</v>
      </c>
      <c r="AO88" s="108">
        <v>3285.1</v>
      </c>
      <c r="AP88" s="108">
        <v>3278.5</v>
      </c>
      <c r="AQ88" s="108">
        <v>3386.7</v>
      </c>
      <c r="AR88" s="108">
        <v>3476.4</v>
      </c>
      <c r="AS88" s="108">
        <v>3545.1</v>
      </c>
      <c r="AT88" s="108">
        <v>4299</v>
      </c>
      <c r="AU88" s="108">
        <v>4393.6000000000004</v>
      </c>
      <c r="AV88" s="108">
        <v>4547.3999999999996</v>
      </c>
      <c r="AW88" s="108">
        <v>4833.8999999999996</v>
      </c>
      <c r="AX88" s="108">
        <v>4954.7</v>
      </c>
      <c r="AY88" s="109">
        <v>5152.8999999999996</v>
      </c>
      <c r="AZ88" s="110">
        <v>4760</v>
      </c>
      <c r="BA88" s="110">
        <f>AZ88-AY88</f>
        <v>-392.89999999999964</v>
      </c>
      <c r="BB88" s="111">
        <f>AY88-AX88</f>
        <v>198.19999999999982</v>
      </c>
      <c r="BC88" s="112">
        <f>AZ88-AX88</f>
        <v>-194.69999999999982</v>
      </c>
      <c r="BD88" s="113">
        <f t="shared" si="46"/>
        <v>6.9246345756594607E-2</v>
      </c>
      <c r="BF88" s="114" t="b">
        <v>0</v>
      </c>
      <c r="BG88" s="90" t="s">
        <v>122</v>
      </c>
      <c r="BS88" s="90"/>
    </row>
    <row r="89" spans="1:79" x14ac:dyDescent="0.25">
      <c r="A89" s="130" t="s">
        <v>94</v>
      </c>
      <c r="B89" s="115">
        <v>1323.5294117647059</v>
      </c>
      <c r="C89" s="115">
        <v>1010.3092783505155</v>
      </c>
      <c r="D89" s="115">
        <v>1757.8125</v>
      </c>
      <c r="E89" s="115">
        <v>1819.838056680162</v>
      </c>
      <c r="F89" s="115">
        <v>1459.1836734693877</v>
      </c>
      <c r="G89" s="115">
        <v>1800</v>
      </c>
      <c r="H89" s="115">
        <v>1900</v>
      </c>
      <c r="I89" s="115">
        <v>1615.061295971979</v>
      </c>
      <c r="J89" s="115">
        <v>1834.927536231884</v>
      </c>
      <c r="K89" s="115">
        <v>1824.9597423510465</v>
      </c>
      <c r="L89" s="115">
        <v>1900</v>
      </c>
      <c r="M89" s="115">
        <v>1856.5169769989047</v>
      </c>
      <c r="N89" s="115">
        <v>2000</v>
      </c>
      <c r="O89" s="115">
        <v>1500.0531632110578</v>
      </c>
      <c r="P89" s="115">
        <v>2100</v>
      </c>
      <c r="Q89" s="115">
        <v>2200</v>
      </c>
      <c r="R89" s="115">
        <v>2000</v>
      </c>
      <c r="S89" s="115">
        <v>2190</v>
      </c>
      <c r="T89" s="115">
        <v>1900</v>
      </c>
      <c r="U89" s="115">
        <v>2250</v>
      </c>
      <c r="V89" s="115">
        <v>2500</v>
      </c>
      <c r="W89" s="115">
        <v>2520</v>
      </c>
      <c r="X89" s="115">
        <v>2580</v>
      </c>
      <c r="Y89" s="115">
        <v>2800</v>
      </c>
      <c r="Z89" s="115">
        <v>2700</v>
      </c>
      <c r="AA89" s="115">
        <v>2850</v>
      </c>
      <c r="AB89" s="115">
        <v>2930</v>
      </c>
      <c r="AC89" s="115">
        <v>2390</v>
      </c>
      <c r="AD89" s="115">
        <v>2624</v>
      </c>
      <c r="AE89" s="115">
        <v>2570</v>
      </c>
      <c r="AF89" s="115">
        <v>2790</v>
      </c>
      <c r="AG89" s="115">
        <v>3002</v>
      </c>
      <c r="AH89" s="115">
        <v>2963</v>
      </c>
      <c r="AI89" s="115">
        <v>2880</v>
      </c>
      <c r="AJ89" s="115">
        <v>3140</v>
      </c>
      <c r="AK89" s="115">
        <v>3120</v>
      </c>
      <c r="AL89" s="115">
        <v>2965</v>
      </c>
      <c r="AM89" s="115">
        <v>2900</v>
      </c>
      <c r="AN89" s="115">
        <v>2594</v>
      </c>
      <c r="AO89" s="115">
        <v>3120</v>
      </c>
      <c r="AP89" s="115">
        <v>3389</v>
      </c>
      <c r="AQ89" s="115">
        <v>3609</v>
      </c>
      <c r="AR89" s="115">
        <v>3480</v>
      </c>
      <c r="AS89" s="115">
        <v>3712</v>
      </c>
      <c r="AT89" s="115">
        <v>3672</v>
      </c>
      <c r="AU89" s="115">
        <v>3958</v>
      </c>
      <c r="AV89" s="115">
        <v>3900</v>
      </c>
      <c r="AW89" s="115">
        <v>3480</v>
      </c>
      <c r="AX89" s="115">
        <f t="shared" ref="AX89:AY89" si="64">AX90*1000000/AX88</f>
        <v>4182.9979615314751</v>
      </c>
      <c r="AY89" s="131">
        <f t="shared" si="64"/>
        <v>3981.9907236701665</v>
      </c>
      <c r="AZ89" s="117">
        <v>3850</v>
      </c>
      <c r="BA89" s="110">
        <f>AZ89-AY89</f>
        <v>-131.99072367016652</v>
      </c>
      <c r="BB89" s="118">
        <f t="shared" ref="BB89:BB90" si="65">AY89-AX89</f>
        <v>-201.00723786130857</v>
      </c>
      <c r="BC89" s="119">
        <f t="shared" ref="BC89:BC90" si="66">AZ89-AX89</f>
        <v>-332.99796153147508</v>
      </c>
      <c r="BD89" s="113">
        <f t="shared" si="46"/>
        <v>2.4179165931874413E-2</v>
      </c>
      <c r="BS89" s="90"/>
    </row>
    <row r="90" spans="1:79" s="129" customFormat="1" x14ac:dyDescent="0.25">
      <c r="A90" s="130" t="s">
        <v>95</v>
      </c>
      <c r="B90" s="132">
        <v>0.09</v>
      </c>
      <c r="C90" s="132">
        <v>9.8000000000000004E-2</v>
      </c>
      <c r="D90" s="132">
        <v>0.22500000000000001</v>
      </c>
      <c r="E90" s="132">
        <v>0.44950000000000001</v>
      </c>
      <c r="F90" s="132">
        <v>0.42899999999999999</v>
      </c>
      <c r="G90" s="132">
        <v>0.57599999999999996</v>
      </c>
      <c r="H90" s="132">
        <v>0.70299999999999996</v>
      </c>
      <c r="I90" s="132">
        <v>0.92220000000000002</v>
      </c>
      <c r="J90" s="132">
        <v>1.2661</v>
      </c>
      <c r="K90" s="132">
        <v>1.1333</v>
      </c>
      <c r="L90" s="132">
        <v>1.026</v>
      </c>
      <c r="M90" s="132">
        <v>1.3560000000000001</v>
      </c>
      <c r="N90" s="132">
        <v>1.98</v>
      </c>
      <c r="O90" s="132">
        <v>1.4108000000000001</v>
      </c>
      <c r="P90" s="132">
        <v>1.659</v>
      </c>
      <c r="Q90" s="132">
        <v>1.804</v>
      </c>
      <c r="R90" s="132">
        <v>1.968</v>
      </c>
      <c r="S90" s="132">
        <v>2.3870999999999998</v>
      </c>
      <c r="T90" s="132">
        <v>2.1330999999999998</v>
      </c>
      <c r="U90" s="132">
        <v>2.0462000000000002</v>
      </c>
      <c r="V90" s="132">
        <v>2.4780000000000002</v>
      </c>
      <c r="W90" s="132">
        <v>3.3719999999999999</v>
      </c>
      <c r="X90" s="132">
        <v>3.4177</v>
      </c>
      <c r="Y90" s="132">
        <v>4.0725999999999996</v>
      </c>
      <c r="Z90" s="132">
        <v>4.1580000000000004</v>
      </c>
      <c r="AA90" s="132">
        <v>5.3791000000000002</v>
      </c>
      <c r="AB90" s="132">
        <v>6.3596000000000004</v>
      </c>
      <c r="AC90" s="132">
        <v>6.1471</v>
      </c>
      <c r="AD90" s="132">
        <v>6.9851000000000001</v>
      </c>
      <c r="AE90" s="132">
        <v>6.5335000000000001</v>
      </c>
      <c r="AF90" s="132">
        <v>6.1139999999999999</v>
      </c>
      <c r="AG90" s="132">
        <v>6.5434999999999999</v>
      </c>
      <c r="AH90" s="132">
        <v>6.8361999999999998</v>
      </c>
      <c r="AI90" s="132">
        <v>7.3426</v>
      </c>
      <c r="AJ90" s="132">
        <v>8.1815999999999995</v>
      </c>
      <c r="AK90" s="132">
        <v>8.2515000000000001</v>
      </c>
      <c r="AL90" s="132">
        <v>8.5628999999999991</v>
      </c>
      <c r="AM90" s="132">
        <v>8.9949300000000001</v>
      </c>
      <c r="AN90" s="132">
        <v>8.6250499999999999</v>
      </c>
      <c r="AO90" s="132">
        <v>10.249512000000001</v>
      </c>
      <c r="AP90" s="132">
        <v>11.1108365</v>
      </c>
      <c r="AQ90" s="132">
        <v>12.222600299999998</v>
      </c>
      <c r="AR90" s="132">
        <v>12.097899999999999</v>
      </c>
      <c r="AS90" s="132">
        <v>13.1594</v>
      </c>
      <c r="AT90" s="132">
        <v>15.7859</v>
      </c>
      <c r="AU90" s="132">
        <v>17.684200000000001</v>
      </c>
      <c r="AV90" s="132">
        <v>17.925900000000002</v>
      </c>
      <c r="AW90" s="132">
        <v>16.855799999999999</v>
      </c>
      <c r="AX90" s="132">
        <v>20.7255</v>
      </c>
      <c r="AY90" s="109">
        <v>20.518799999999999</v>
      </c>
      <c r="AZ90" s="110">
        <f>AZ89*AZ88/1000000</f>
        <v>18.326000000000001</v>
      </c>
      <c r="BA90" s="110">
        <f>AZ90-AY90</f>
        <v>-2.1927999999999983</v>
      </c>
      <c r="BB90" s="120">
        <f t="shared" si="65"/>
        <v>-0.20670000000000144</v>
      </c>
      <c r="BC90" s="121">
        <f t="shared" si="66"/>
        <v>-2.3994999999999997</v>
      </c>
      <c r="BD90" s="113">
        <f t="shared" si="46"/>
        <v>9.5100016981100266E-2</v>
      </c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</row>
    <row r="91" spans="1:79" x14ac:dyDescent="0.25">
      <c r="A91" s="122" t="s">
        <v>97</v>
      </c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4"/>
      <c r="AZ91" s="125"/>
      <c r="BA91" s="125"/>
      <c r="BB91" s="126"/>
      <c r="BC91" s="127"/>
      <c r="BD91" s="128"/>
      <c r="BS91" s="90"/>
    </row>
    <row r="92" spans="1:79" x14ac:dyDescent="0.25">
      <c r="A92" s="130" t="s">
        <v>59</v>
      </c>
      <c r="B92" s="132">
        <v>0</v>
      </c>
      <c r="C92" s="132">
        <v>0</v>
      </c>
      <c r="D92" s="132">
        <v>0</v>
      </c>
      <c r="E92" s="132">
        <v>8</v>
      </c>
      <c r="F92" s="132">
        <v>15</v>
      </c>
      <c r="G92" s="132">
        <v>17</v>
      </c>
      <c r="H92" s="132">
        <v>20</v>
      </c>
      <c r="I92" s="132">
        <v>30</v>
      </c>
      <c r="J92" s="132">
        <v>45</v>
      </c>
      <c r="K92" s="132">
        <v>48.8</v>
      </c>
      <c r="L92" s="132">
        <v>43.8</v>
      </c>
      <c r="M92" s="132">
        <v>42.7</v>
      </c>
      <c r="N92" s="132">
        <v>56.3</v>
      </c>
      <c r="O92" s="132">
        <v>53.5</v>
      </c>
      <c r="P92" s="132">
        <v>43.1</v>
      </c>
      <c r="Q92" s="132">
        <v>42</v>
      </c>
      <c r="R92" s="132">
        <v>44.7</v>
      </c>
      <c r="S92" s="132">
        <v>49.3</v>
      </c>
      <c r="T92" s="132">
        <v>43.8</v>
      </c>
      <c r="U92" s="132">
        <v>34.700000000000003</v>
      </c>
      <c r="V92" s="132">
        <v>34.6</v>
      </c>
      <c r="W92" s="132">
        <v>35.6</v>
      </c>
      <c r="X92" s="132">
        <v>28.5</v>
      </c>
      <c r="Y92" s="108">
        <v>33.6</v>
      </c>
      <c r="Z92" s="132">
        <v>35</v>
      </c>
      <c r="AA92" s="132">
        <v>37.700000000000003</v>
      </c>
      <c r="AB92" s="132">
        <v>43.2</v>
      </c>
      <c r="AC92" s="132">
        <v>49.6</v>
      </c>
      <c r="AD92" s="132">
        <v>59</v>
      </c>
      <c r="AE92" s="132">
        <v>54</v>
      </c>
      <c r="AF92" s="132">
        <v>51.8</v>
      </c>
      <c r="AG92" s="132">
        <v>48.7</v>
      </c>
      <c r="AH92" s="108">
        <v>48.9</v>
      </c>
      <c r="AI92" s="108">
        <v>53</v>
      </c>
      <c r="AJ92" s="108">
        <v>54.9</v>
      </c>
      <c r="AK92" s="108">
        <v>55</v>
      </c>
      <c r="AL92" s="108">
        <v>55</v>
      </c>
      <c r="AM92" s="108">
        <v>72</v>
      </c>
      <c r="AN92" s="108">
        <v>56.1</v>
      </c>
      <c r="AO92" s="108">
        <v>70</v>
      </c>
      <c r="AP92" s="108">
        <v>70</v>
      </c>
      <c r="AQ92" s="108">
        <v>71.5</v>
      </c>
      <c r="AR92" s="108">
        <v>73.2</v>
      </c>
      <c r="AS92" s="108">
        <v>74.5</v>
      </c>
      <c r="AT92" s="108">
        <v>78.5</v>
      </c>
      <c r="AU92" s="108">
        <v>84.2</v>
      </c>
      <c r="AV92" s="108">
        <v>86.1</v>
      </c>
      <c r="AW92" s="108">
        <v>88.7</v>
      </c>
      <c r="AX92" s="108">
        <v>88.4</v>
      </c>
      <c r="AY92" s="109">
        <v>90.2</v>
      </c>
      <c r="AZ92" s="110">
        <v>90.2</v>
      </c>
      <c r="BA92" s="110">
        <f>AZ92-AY92</f>
        <v>0</v>
      </c>
      <c r="BB92" s="111">
        <f>AY92-AX92</f>
        <v>1.7999999999999972</v>
      </c>
      <c r="BC92" s="112">
        <f>AZ92-AX92</f>
        <v>1.7999999999999972</v>
      </c>
      <c r="BD92" s="113">
        <f t="shared" si="46"/>
        <v>3.4806620176817571E-2</v>
      </c>
      <c r="BF92" s="114" t="b">
        <v>1</v>
      </c>
      <c r="BS92" s="90"/>
    </row>
    <row r="93" spans="1:79" x14ac:dyDescent="0.25">
      <c r="A93" s="130" t="s">
        <v>60</v>
      </c>
      <c r="B93" s="115">
        <v>0</v>
      </c>
      <c r="C93" s="115">
        <v>0</v>
      </c>
      <c r="D93" s="115">
        <v>0</v>
      </c>
      <c r="E93" s="115">
        <v>2100</v>
      </c>
      <c r="F93" s="115">
        <v>1666.6666666666667</v>
      </c>
      <c r="G93" s="115">
        <v>1900</v>
      </c>
      <c r="H93" s="115">
        <v>2100</v>
      </c>
      <c r="I93" s="115">
        <v>1856.6666666666667</v>
      </c>
      <c r="J93" s="115">
        <v>2028.8888888888889</v>
      </c>
      <c r="K93" s="115">
        <v>1717.2131147540983</v>
      </c>
      <c r="L93" s="115">
        <v>2054.7945205479455</v>
      </c>
      <c r="M93" s="115">
        <v>2000</v>
      </c>
      <c r="N93" s="115">
        <v>2179.3960923623445</v>
      </c>
      <c r="O93" s="115">
        <v>1487.8504672897195</v>
      </c>
      <c r="P93" s="115">
        <v>2350</v>
      </c>
      <c r="Q93" s="115">
        <v>2265</v>
      </c>
      <c r="R93" s="115">
        <v>2000</v>
      </c>
      <c r="S93" s="115">
        <v>2233</v>
      </c>
      <c r="T93" s="115">
        <v>1944</v>
      </c>
      <c r="U93" s="115">
        <v>1945</v>
      </c>
      <c r="V93" s="115">
        <v>2400</v>
      </c>
      <c r="W93" s="115">
        <v>2420</v>
      </c>
      <c r="X93" s="115">
        <v>2243</v>
      </c>
      <c r="Y93" s="115">
        <v>2763</v>
      </c>
      <c r="Z93" s="115">
        <v>2100</v>
      </c>
      <c r="AA93" s="115">
        <v>2690</v>
      </c>
      <c r="AB93" s="115">
        <v>2770</v>
      </c>
      <c r="AC93" s="115">
        <v>2670</v>
      </c>
      <c r="AD93" s="115">
        <v>3198</v>
      </c>
      <c r="AE93" s="115">
        <v>2699</v>
      </c>
      <c r="AF93" s="115">
        <v>2712</v>
      </c>
      <c r="AG93" s="115">
        <v>3150</v>
      </c>
      <c r="AH93" s="115">
        <v>3200</v>
      </c>
      <c r="AI93" s="115">
        <v>3196</v>
      </c>
      <c r="AJ93" s="115">
        <v>3200</v>
      </c>
      <c r="AK93" s="115">
        <v>3200</v>
      </c>
      <c r="AL93" s="115">
        <v>3395</v>
      </c>
      <c r="AM93" s="115">
        <v>3000</v>
      </c>
      <c r="AN93" s="115">
        <v>2626</v>
      </c>
      <c r="AO93" s="115">
        <v>3300</v>
      </c>
      <c r="AP93" s="115">
        <v>3524</v>
      </c>
      <c r="AQ93" s="115">
        <v>3630</v>
      </c>
      <c r="AR93" s="115">
        <v>3300</v>
      </c>
      <c r="AS93" s="115">
        <v>3900</v>
      </c>
      <c r="AT93" s="115">
        <v>3720</v>
      </c>
      <c r="AU93" s="115">
        <v>3720</v>
      </c>
      <c r="AV93" s="115">
        <v>3699</v>
      </c>
      <c r="AW93" s="115">
        <v>3480</v>
      </c>
      <c r="AX93" s="115">
        <f t="shared" ref="AX93:AY93" si="67">AX94*1000000/AX92</f>
        <v>3837.1040723981896</v>
      </c>
      <c r="AY93" s="131">
        <f t="shared" si="67"/>
        <v>3672.9490022172954</v>
      </c>
      <c r="AZ93" s="117">
        <v>3673</v>
      </c>
      <c r="BA93" s="110">
        <f>AZ93-AY93</f>
        <v>5.0997782704598649E-2</v>
      </c>
      <c r="BB93" s="118">
        <f t="shared" ref="BB93:BB94" si="68">AY93-AX93</f>
        <v>-164.1550701808942</v>
      </c>
      <c r="BC93" s="119">
        <f t="shared" ref="BC93:BC94" si="69">AZ93-AX93</f>
        <v>-164.1040723981896</v>
      </c>
      <c r="BD93" s="113">
        <f t="shared" si="46"/>
        <v>-3.2464426443516992E-3</v>
      </c>
      <c r="BS93" s="90"/>
    </row>
    <row r="94" spans="1:79" ht="15.75" thickBot="1" x14ac:dyDescent="0.3">
      <c r="A94" s="130" t="s">
        <v>61</v>
      </c>
      <c r="B94" s="132">
        <v>0</v>
      </c>
      <c r="C94" s="132">
        <v>0</v>
      </c>
      <c r="D94" s="132">
        <v>0</v>
      </c>
      <c r="E94" s="132">
        <v>1.6800000000000002E-2</v>
      </c>
      <c r="F94" s="132">
        <v>2.5000000000000001E-2</v>
      </c>
      <c r="G94" s="132">
        <v>3.2299999999999995E-2</v>
      </c>
      <c r="H94" s="132">
        <v>4.2000000000000003E-2</v>
      </c>
      <c r="I94" s="132">
        <v>5.57E-2</v>
      </c>
      <c r="J94" s="132">
        <v>9.1299999999999992E-2</v>
      </c>
      <c r="K94" s="132">
        <v>8.3799999999999999E-2</v>
      </c>
      <c r="L94" s="132">
        <v>0.09</v>
      </c>
      <c r="M94" s="132">
        <v>8.5400000000000004E-2</v>
      </c>
      <c r="N94" s="132">
        <v>0.1227</v>
      </c>
      <c r="O94" s="132">
        <v>7.959999999999999E-2</v>
      </c>
      <c r="P94" s="132">
        <v>0.1013</v>
      </c>
      <c r="Q94" s="132">
        <v>9.509999999999999E-2</v>
      </c>
      <c r="R94" s="132">
        <v>8.9400000000000007E-2</v>
      </c>
      <c r="S94" s="132">
        <v>0.11009999999999999</v>
      </c>
      <c r="T94" s="132">
        <v>8.5099999999999995E-2</v>
      </c>
      <c r="U94" s="132">
        <v>6.7500000000000004E-2</v>
      </c>
      <c r="V94" s="132">
        <v>8.3000000000000004E-2</v>
      </c>
      <c r="W94" s="132">
        <v>8.6199999999999999E-2</v>
      </c>
      <c r="X94" s="132">
        <v>6.3899999999999998E-2</v>
      </c>
      <c r="Y94" s="132">
        <v>9.2799999999999994E-2</v>
      </c>
      <c r="Z94" s="132">
        <v>7.3499999999999996E-2</v>
      </c>
      <c r="AA94" s="132">
        <v>0.1014</v>
      </c>
      <c r="AB94" s="132">
        <v>0.1197</v>
      </c>
      <c r="AC94" s="132">
        <v>0.13240000000000002</v>
      </c>
      <c r="AD94" s="132">
        <v>0.18869999999999998</v>
      </c>
      <c r="AE94" s="132">
        <v>0.1457</v>
      </c>
      <c r="AF94" s="132">
        <v>0.14050000000000001</v>
      </c>
      <c r="AG94" s="132">
        <v>0.15340000000000001</v>
      </c>
      <c r="AH94" s="132">
        <v>0.1565</v>
      </c>
      <c r="AI94" s="132">
        <v>0.1694</v>
      </c>
      <c r="AJ94" s="132">
        <v>0.1757</v>
      </c>
      <c r="AK94" s="132">
        <v>0.17599999999999999</v>
      </c>
      <c r="AL94" s="132">
        <v>0.18669999999999998</v>
      </c>
      <c r="AM94" s="132">
        <v>0.216</v>
      </c>
      <c r="AN94" s="132">
        <v>0.14731859999999999</v>
      </c>
      <c r="AO94" s="132">
        <v>0.23100000000000001</v>
      </c>
      <c r="AP94" s="132">
        <v>0.24668000000000001</v>
      </c>
      <c r="AQ94" s="132">
        <v>0.25954500000000003</v>
      </c>
      <c r="AR94" s="132">
        <v>0.24159999999999998</v>
      </c>
      <c r="AS94" s="132">
        <v>0.29060000000000002</v>
      </c>
      <c r="AT94" s="132">
        <v>0.29199999999999998</v>
      </c>
      <c r="AU94" s="132">
        <v>0.31689999999999996</v>
      </c>
      <c r="AV94" s="132">
        <v>0.32380000000000003</v>
      </c>
      <c r="AW94" s="132">
        <v>0.29910000000000003</v>
      </c>
      <c r="AX94" s="132">
        <v>0.3392</v>
      </c>
      <c r="AY94" s="109">
        <v>0.33130000000000004</v>
      </c>
      <c r="AZ94" s="110">
        <f>AZ93*AZ92/1000000</f>
        <v>0.33130460000000006</v>
      </c>
      <c r="BA94" s="110">
        <f>AZ94-AY94</f>
        <v>4.6000000000212538E-6</v>
      </c>
      <c r="BB94" s="120">
        <f t="shared" si="68"/>
        <v>-7.8999999999999626E-3</v>
      </c>
      <c r="BC94" s="121">
        <f t="shared" si="69"/>
        <v>-7.8953999999999414E-3</v>
      </c>
      <c r="BD94" s="113">
        <f t="shared" si="46"/>
        <v>3.1411683684505309E-2</v>
      </c>
      <c r="BS94" s="90"/>
    </row>
    <row r="95" spans="1:79" s="129" customFormat="1" ht="16.5" thickBot="1" x14ac:dyDescent="0.3">
      <c r="A95" s="97" t="s">
        <v>98</v>
      </c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4"/>
      <c r="AZ95" s="145"/>
      <c r="BA95" s="145"/>
      <c r="BB95" s="149"/>
      <c r="BC95" s="148"/>
      <c r="BD95" s="15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</row>
    <row r="96" spans="1:79" s="129" customFormat="1" x14ac:dyDescent="0.25">
      <c r="A96" s="130" t="s">
        <v>59</v>
      </c>
      <c r="B96" s="151">
        <f t="shared" ref="B96:AV96" si="70">B100+B104+B108+B112</f>
        <v>530</v>
      </c>
      <c r="C96" s="151">
        <f t="shared" si="70"/>
        <v>671</v>
      </c>
      <c r="D96" s="151">
        <f t="shared" si="70"/>
        <v>651</v>
      </c>
      <c r="E96" s="151">
        <f t="shared" si="70"/>
        <v>710</v>
      </c>
      <c r="F96" s="151">
        <f t="shared" si="70"/>
        <v>733</v>
      </c>
      <c r="G96" s="151">
        <f t="shared" si="70"/>
        <v>744</v>
      </c>
      <c r="H96" s="151">
        <f t="shared" si="70"/>
        <v>728</v>
      </c>
      <c r="I96" s="151">
        <f t="shared" si="70"/>
        <v>790</v>
      </c>
      <c r="J96" s="151">
        <f t="shared" si="70"/>
        <v>925</v>
      </c>
      <c r="K96" s="151">
        <f t="shared" si="70"/>
        <v>906</v>
      </c>
      <c r="L96" s="151">
        <f t="shared" si="70"/>
        <v>876.7</v>
      </c>
      <c r="M96" s="151">
        <f t="shared" si="70"/>
        <v>1010.5</v>
      </c>
      <c r="N96" s="151">
        <f t="shared" si="70"/>
        <v>1189</v>
      </c>
      <c r="O96" s="151">
        <f t="shared" si="70"/>
        <v>1165</v>
      </c>
      <c r="P96" s="151">
        <f t="shared" si="70"/>
        <v>972</v>
      </c>
      <c r="Q96" s="151">
        <f t="shared" si="70"/>
        <v>919</v>
      </c>
      <c r="R96" s="151">
        <f t="shared" si="70"/>
        <v>1084.3</v>
      </c>
      <c r="S96" s="151">
        <f t="shared" si="70"/>
        <v>1175.0999999999999</v>
      </c>
      <c r="T96" s="151">
        <f t="shared" si="70"/>
        <v>1163.5999999999999</v>
      </c>
      <c r="U96" s="151">
        <f t="shared" si="70"/>
        <v>1091.5999999999999</v>
      </c>
      <c r="V96" s="151">
        <f t="shared" si="70"/>
        <v>1097.5999999999999</v>
      </c>
      <c r="W96" s="151">
        <f t="shared" si="70"/>
        <v>1131.0999999999999</v>
      </c>
      <c r="X96" s="151">
        <f t="shared" si="70"/>
        <v>1097.5999999999999</v>
      </c>
      <c r="Y96" s="151">
        <f t="shared" si="70"/>
        <v>1152.9000000000001</v>
      </c>
      <c r="Z96" s="151">
        <f t="shared" si="70"/>
        <v>1172</v>
      </c>
      <c r="AA96" s="151">
        <f t="shared" si="70"/>
        <v>1286.0999999999999</v>
      </c>
      <c r="AB96" s="151">
        <f t="shared" si="70"/>
        <v>1488.9</v>
      </c>
      <c r="AC96" s="151">
        <f t="shared" si="70"/>
        <v>1826.9</v>
      </c>
      <c r="AD96" s="151">
        <f t="shared" si="70"/>
        <v>1891.6</v>
      </c>
      <c r="AE96" s="151">
        <f t="shared" si="70"/>
        <v>1717.5</v>
      </c>
      <c r="AF96" s="151">
        <f t="shared" si="70"/>
        <v>1468.8</v>
      </c>
      <c r="AG96" s="151">
        <f t="shared" si="70"/>
        <v>1396</v>
      </c>
      <c r="AH96" s="151">
        <f t="shared" si="70"/>
        <v>1460.4</v>
      </c>
      <c r="AI96" s="151">
        <f t="shared" si="70"/>
        <v>1591.2</v>
      </c>
      <c r="AJ96" s="151">
        <f t="shared" si="70"/>
        <v>1636.8999999999999</v>
      </c>
      <c r="AK96" s="151">
        <f t="shared" si="70"/>
        <v>1606.2</v>
      </c>
      <c r="AL96" s="151">
        <f t="shared" si="70"/>
        <v>1758.2</v>
      </c>
      <c r="AM96" s="151">
        <f t="shared" si="70"/>
        <v>1989.9</v>
      </c>
      <c r="AN96" s="151">
        <f t="shared" si="70"/>
        <v>2116.1999999999998</v>
      </c>
      <c r="AO96" s="151">
        <f t="shared" si="70"/>
        <v>2326.9</v>
      </c>
      <c r="AP96" s="151">
        <f t="shared" si="70"/>
        <v>2351.3999999999996</v>
      </c>
      <c r="AQ96" s="151">
        <f t="shared" si="70"/>
        <v>2470.1</v>
      </c>
      <c r="AR96" s="151">
        <f t="shared" si="70"/>
        <v>2571.1000000000004</v>
      </c>
      <c r="AS96" s="151">
        <f t="shared" si="70"/>
        <v>2757.1</v>
      </c>
      <c r="AT96" s="151">
        <f t="shared" si="70"/>
        <v>3061.3</v>
      </c>
      <c r="AU96" s="151">
        <f t="shared" si="70"/>
        <v>3198.4</v>
      </c>
      <c r="AV96" s="151">
        <f t="shared" si="70"/>
        <v>3468.2000000000003</v>
      </c>
      <c r="AW96" s="151">
        <f>SUM(AW100+AW112)</f>
        <v>3556.3</v>
      </c>
      <c r="AX96" s="151">
        <f t="shared" ref="AX96:AY96" si="71">SUM(AX100+AX112)</f>
        <v>3672.5</v>
      </c>
      <c r="AY96" s="152">
        <f t="shared" si="71"/>
        <v>3780.3999999999996</v>
      </c>
      <c r="AZ96" s="153">
        <f>AZ100+AZ104+AZ108+AZ112</f>
        <v>3855.6</v>
      </c>
      <c r="BA96" s="110">
        <f>AZ96-AY96</f>
        <v>75.200000000000273</v>
      </c>
      <c r="BB96" s="111">
        <f>AY96-AX96</f>
        <v>107.89999999999964</v>
      </c>
      <c r="BC96" s="112">
        <f>AZ96-AX96</f>
        <v>183.09999999999991</v>
      </c>
      <c r="BD96" s="113">
        <f t="shared" si="46"/>
        <v>5.9014379893546298E-2</v>
      </c>
      <c r="BE96" s="90"/>
      <c r="BF96" s="114" t="b">
        <v>0</v>
      </c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</row>
    <row r="97" spans="1:79" s="129" customFormat="1" x14ac:dyDescent="0.25">
      <c r="A97" s="107" t="s">
        <v>60</v>
      </c>
      <c r="B97" s="115">
        <f t="shared" ref="B97:AW97" si="72">B98*1000000/B96</f>
        <v>1650.9433962264152</v>
      </c>
      <c r="C97" s="115">
        <f t="shared" si="72"/>
        <v>1314.4560357675111</v>
      </c>
      <c r="D97" s="115">
        <f t="shared" si="72"/>
        <v>1566.8202764976959</v>
      </c>
      <c r="E97" s="115">
        <f t="shared" si="72"/>
        <v>1838.0281690140848</v>
      </c>
      <c r="F97" s="115">
        <f t="shared" si="72"/>
        <v>1796.7257844474761</v>
      </c>
      <c r="G97" s="115">
        <f t="shared" si="72"/>
        <v>1855.6451612903227</v>
      </c>
      <c r="H97" s="115">
        <f t="shared" si="72"/>
        <v>1964.5604395604396</v>
      </c>
      <c r="I97" s="115">
        <f t="shared" si="72"/>
        <v>1721.5189873417719</v>
      </c>
      <c r="J97" s="115">
        <f t="shared" si="72"/>
        <v>1964</v>
      </c>
      <c r="K97" s="115">
        <f t="shared" si="72"/>
        <v>1862.5827814569536</v>
      </c>
      <c r="L97" s="115">
        <f t="shared" si="72"/>
        <v>1966.9214098323259</v>
      </c>
      <c r="M97" s="115">
        <f t="shared" si="72"/>
        <v>1964.8688767936665</v>
      </c>
      <c r="N97" s="115">
        <f t="shared" si="72"/>
        <v>2149.957947855341</v>
      </c>
      <c r="O97" s="115">
        <f t="shared" si="72"/>
        <v>1582.4034334763951</v>
      </c>
      <c r="P97" s="115">
        <f t="shared" si="72"/>
        <v>1986.008230452675</v>
      </c>
      <c r="Q97" s="115">
        <f t="shared" si="72"/>
        <v>2079.107725788901</v>
      </c>
      <c r="R97" s="115">
        <f t="shared" si="72"/>
        <v>2134.3724061606572</v>
      </c>
      <c r="S97" s="115">
        <f t="shared" si="72"/>
        <v>2126.967917624032</v>
      </c>
      <c r="T97" s="115">
        <f t="shared" si="72"/>
        <v>2033.2588518391201</v>
      </c>
      <c r="U97" s="115">
        <f t="shared" si="72"/>
        <v>2083.6386954928544</v>
      </c>
      <c r="V97" s="115">
        <f t="shared" si="72"/>
        <v>2276.2390670553937</v>
      </c>
      <c r="W97" s="115">
        <f t="shared" si="72"/>
        <v>2206.259393510742</v>
      </c>
      <c r="X97" s="115">
        <f t="shared" si="72"/>
        <v>2511.8440233236151</v>
      </c>
      <c r="Y97" s="115">
        <f t="shared" si="72"/>
        <v>2228.9010321797205</v>
      </c>
      <c r="Z97" s="115">
        <f t="shared" si="72"/>
        <v>2452.1331058020478</v>
      </c>
      <c r="AA97" s="115">
        <f t="shared" si="72"/>
        <v>2684.3946815955214</v>
      </c>
      <c r="AB97" s="115">
        <f t="shared" si="72"/>
        <v>2731.9497615689429</v>
      </c>
      <c r="AC97" s="115">
        <f t="shared" si="72"/>
        <v>2449.1762001204224</v>
      </c>
      <c r="AD97" s="115">
        <f t="shared" si="72"/>
        <v>2512.1590188200466</v>
      </c>
      <c r="AE97" s="115">
        <f t="shared" si="72"/>
        <v>2408.7918486171761</v>
      </c>
      <c r="AF97" s="115">
        <f t="shared" si="72"/>
        <v>2726.9880174291939</v>
      </c>
      <c r="AG97" s="115">
        <f t="shared" si="72"/>
        <v>2853.4383954154728</v>
      </c>
      <c r="AH97" s="115">
        <f t="shared" si="72"/>
        <v>2778.4168720898383</v>
      </c>
      <c r="AI97" s="115">
        <f t="shared" si="72"/>
        <v>2801.4077425842129</v>
      </c>
      <c r="AJ97" s="115">
        <f t="shared" si="72"/>
        <v>2823.6911234650865</v>
      </c>
      <c r="AK97" s="115">
        <f t="shared" si="72"/>
        <v>2898.9540530444528</v>
      </c>
      <c r="AL97" s="115">
        <f t="shared" si="72"/>
        <v>3086.0539187805712</v>
      </c>
      <c r="AM97" s="115">
        <f t="shared" si="72"/>
        <v>2529.7424996230966</v>
      </c>
      <c r="AN97" s="115">
        <f t="shared" si="72"/>
        <v>2783.5806634533606</v>
      </c>
      <c r="AO97" s="115">
        <f t="shared" si="72"/>
        <v>3262.3275172976919</v>
      </c>
      <c r="AP97" s="115">
        <f t="shared" si="72"/>
        <v>3466.6736837628655</v>
      </c>
      <c r="AQ97" s="115">
        <f t="shared" si="72"/>
        <v>3707.2258613011618</v>
      </c>
      <c r="AR97" s="115">
        <f t="shared" si="72"/>
        <v>3350.2780910894166</v>
      </c>
      <c r="AS97" s="115">
        <f t="shared" si="72"/>
        <v>3674.5493453266113</v>
      </c>
      <c r="AT97" s="115">
        <f t="shared" si="72"/>
        <v>3698.1347793421091</v>
      </c>
      <c r="AU97" s="115">
        <f t="shared" si="72"/>
        <v>3695.0662831415707</v>
      </c>
      <c r="AV97" s="115">
        <f t="shared" si="72"/>
        <v>3844.184303096707</v>
      </c>
      <c r="AW97" s="115">
        <f t="shared" si="72"/>
        <v>3204.5384247673142</v>
      </c>
      <c r="AX97" s="115">
        <f>AX98*1000000/AX96</f>
        <v>3938.4343090537777</v>
      </c>
      <c r="AY97" s="116">
        <f t="shared" ref="AY97" si="73">AY98*1000000/AY96</f>
        <v>3775.3147815046036</v>
      </c>
      <c r="AZ97" s="154">
        <f>AZ98*1000000/AZ96</f>
        <v>3673.8344226579525</v>
      </c>
      <c r="BA97" s="110">
        <f>AZ97-AY97</f>
        <v>-101.48035884665114</v>
      </c>
      <c r="BB97" s="118">
        <f t="shared" ref="BB97:BB98" si="74">AY97-AX97</f>
        <v>-163.11952754917411</v>
      </c>
      <c r="BC97" s="119">
        <f t="shared" ref="BC97:BC98" si="75">AZ97-AX97</f>
        <v>-264.59988639582525</v>
      </c>
      <c r="BD97" s="113">
        <f t="shared" si="46"/>
        <v>1.3967194989153109E-2</v>
      </c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</row>
    <row r="98" spans="1:79" s="129" customFormat="1" x14ac:dyDescent="0.25">
      <c r="A98" s="107" t="s">
        <v>61</v>
      </c>
      <c r="B98" s="151">
        <f t="shared" ref="B98:AY98" si="76">B102+B106+B110+B114</f>
        <v>0.875</v>
      </c>
      <c r="C98" s="151">
        <f t="shared" si="76"/>
        <v>0.88200000000000001</v>
      </c>
      <c r="D98" s="151">
        <f t="shared" si="76"/>
        <v>1.02</v>
      </c>
      <c r="E98" s="151">
        <f t="shared" si="76"/>
        <v>1.3050000000000002</v>
      </c>
      <c r="F98" s="151">
        <f t="shared" si="76"/>
        <v>1.3169999999999999</v>
      </c>
      <c r="G98" s="151">
        <f t="shared" si="76"/>
        <v>1.3806</v>
      </c>
      <c r="H98" s="151">
        <f t="shared" si="76"/>
        <v>1.4301999999999999</v>
      </c>
      <c r="I98" s="151">
        <f t="shared" si="76"/>
        <v>1.3599999999999999</v>
      </c>
      <c r="J98" s="151">
        <f t="shared" si="76"/>
        <v>1.8167</v>
      </c>
      <c r="K98" s="151">
        <f t="shared" si="76"/>
        <v>1.6875</v>
      </c>
      <c r="L98" s="151">
        <f t="shared" si="76"/>
        <v>1.7244000000000002</v>
      </c>
      <c r="M98" s="151">
        <f t="shared" si="76"/>
        <v>1.9855</v>
      </c>
      <c r="N98" s="151">
        <f t="shared" si="76"/>
        <v>2.5563000000000002</v>
      </c>
      <c r="O98" s="151">
        <f t="shared" si="76"/>
        <v>1.8435000000000001</v>
      </c>
      <c r="P98" s="151">
        <f t="shared" si="76"/>
        <v>1.9304000000000001</v>
      </c>
      <c r="Q98" s="151">
        <f t="shared" si="76"/>
        <v>1.9107000000000001</v>
      </c>
      <c r="R98" s="151">
        <f t="shared" si="76"/>
        <v>2.3143000000000002</v>
      </c>
      <c r="S98" s="151">
        <f t="shared" si="76"/>
        <v>2.4994000000000001</v>
      </c>
      <c r="T98" s="151">
        <f t="shared" si="76"/>
        <v>2.3658999999999999</v>
      </c>
      <c r="U98" s="151">
        <f t="shared" si="76"/>
        <v>2.2744999999999997</v>
      </c>
      <c r="V98" s="151">
        <f t="shared" si="76"/>
        <v>2.4984000000000002</v>
      </c>
      <c r="W98" s="151">
        <f t="shared" si="76"/>
        <v>2.4954999999999998</v>
      </c>
      <c r="X98" s="151">
        <f t="shared" si="76"/>
        <v>2.7570000000000001</v>
      </c>
      <c r="Y98" s="151">
        <f t="shared" si="76"/>
        <v>2.5697000000000001</v>
      </c>
      <c r="Z98" s="151">
        <f t="shared" si="76"/>
        <v>2.8738999999999999</v>
      </c>
      <c r="AA98" s="151">
        <f t="shared" si="76"/>
        <v>3.4523999999999999</v>
      </c>
      <c r="AB98" s="151">
        <f t="shared" si="76"/>
        <v>4.0675999999999997</v>
      </c>
      <c r="AC98" s="151">
        <f t="shared" si="76"/>
        <v>4.4744000000000002</v>
      </c>
      <c r="AD98" s="151">
        <f t="shared" si="76"/>
        <v>4.7519999999999998</v>
      </c>
      <c r="AE98" s="151">
        <f t="shared" si="76"/>
        <v>4.1371000000000002</v>
      </c>
      <c r="AF98" s="151">
        <f t="shared" si="76"/>
        <v>4.0053999999999998</v>
      </c>
      <c r="AG98" s="151">
        <f t="shared" si="76"/>
        <v>3.9834000000000001</v>
      </c>
      <c r="AH98" s="151">
        <f t="shared" si="76"/>
        <v>4.0575999999999999</v>
      </c>
      <c r="AI98" s="151">
        <f t="shared" si="76"/>
        <v>4.4576000000000002</v>
      </c>
      <c r="AJ98" s="151">
        <f t="shared" si="76"/>
        <v>4.6220999999999997</v>
      </c>
      <c r="AK98" s="151">
        <f t="shared" si="76"/>
        <v>4.6562999999999999</v>
      </c>
      <c r="AL98" s="151">
        <f t="shared" si="76"/>
        <v>5.4259000000000004</v>
      </c>
      <c r="AM98" s="151">
        <f t="shared" si="76"/>
        <v>5.0339346000000003</v>
      </c>
      <c r="AN98" s="151">
        <f t="shared" si="76"/>
        <v>5.8906134000000012</v>
      </c>
      <c r="AO98" s="151">
        <f t="shared" si="76"/>
        <v>7.5911098999999993</v>
      </c>
      <c r="AP98" s="151">
        <f t="shared" si="76"/>
        <v>8.1515365000000006</v>
      </c>
      <c r="AQ98" s="151">
        <f t="shared" si="76"/>
        <v>9.1572186000000002</v>
      </c>
      <c r="AR98" s="151">
        <f t="shared" si="76"/>
        <v>8.6138999999999992</v>
      </c>
      <c r="AS98" s="151">
        <f t="shared" si="76"/>
        <v>10.1311</v>
      </c>
      <c r="AT98" s="151">
        <f t="shared" si="76"/>
        <v>11.321099999999999</v>
      </c>
      <c r="AU98" s="151">
        <f t="shared" si="76"/>
        <v>11.818300000000001</v>
      </c>
      <c r="AV98" s="151">
        <f t="shared" si="76"/>
        <v>13.3324</v>
      </c>
      <c r="AW98" s="151">
        <f t="shared" si="76"/>
        <v>11.3963</v>
      </c>
      <c r="AX98" s="151">
        <f t="shared" si="76"/>
        <v>14.463899999999999</v>
      </c>
      <c r="AY98" s="152">
        <f t="shared" si="76"/>
        <v>14.272200000000002</v>
      </c>
      <c r="AZ98" s="153">
        <f>AZ102+AZ106+AZ110+AZ114</f>
        <v>14.164836000000001</v>
      </c>
      <c r="BA98" s="110">
        <f>AZ98-AY98</f>
        <v>-0.10736400000000046</v>
      </c>
      <c r="BB98" s="120">
        <f t="shared" si="74"/>
        <v>-0.19169999999999732</v>
      </c>
      <c r="BC98" s="121">
        <f t="shared" si="75"/>
        <v>-0.29906399999999778</v>
      </c>
      <c r="BD98" s="113">
        <f t="shared" si="46"/>
        <v>7.3805840233836406E-2</v>
      </c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</row>
    <row r="99" spans="1:79" x14ac:dyDescent="0.25">
      <c r="A99" s="122" t="s">
        <v>99</v>
      </c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4"/>
      <c r="AZ99" s="125"/>
      <c r="BA99" s="125"/>
      <c r="BB99" s="126"/>
      <c r="BC99" s="127"/>
      <c r="BD99" s="128"/>
      <c r="BS99" s="90"/>
    </row>
    <row r="100" spans="1:79" x14ac:dyDescent="0.25">
      <c r="A100" s="130" t="s">
        <v>59</v>
      </c>
      <c r="B100" s="132">
        <v>85</v>
      </c>
      <c r="C100" s="132">
        <v>112</v>
      </c>
      <c r="D100" s="132">
        <v>103</v>
      </c>
      <c r="E100" s="132">
        <v>150</v>
      </c>
      <c r="F100" s="132">
        <v>190</v>
      </c>
      <c r="G100" s="132">
        <v>228</v>
      </c>
      <c r="H100" s="132">
        <v>258</v>
      </c>
      <c r="I100" s="132">
        <v>310</v>
      </c>
      <c r="J100" s="132">
        <v>431</v>
      </c>
      <c r="K100" s="132">
        <v>430</v>
      </c>
      <c r="L100" s="132">
        <v>415</v>
      </c>
      <c r="M100" s="132">
        <v>498</v>
      </c>
      <c r="N100" s="132">
        <v>595</v>
      </c>
      <c r="O100" s="132">
        <v>583</v>
      </c>
      <c r="P100" s="132">
        <v>472</v>
      </c>
      <c r="Q100" s="132">
        <v>456</v>
      </c>
      <c r="R100" s="132">
        <v>551.79999999999995</v>
      </c>
      <c r="S100" s="132">
        <v>600</v>
      </c>
      <c r="T100" s="132">
        <v>600</v>
      </c>
      <c r="U100" s="132">
        <v>528</v>
      </c>
      <c r="V100" s="132">
        <v>522.70000000000005</v>
      </c>
      <c r="W100" s="132">
        <v>601.1</v>
      </c>
      <c r="X100" s="132">
        <v>577.1</v>
      </c>
      <c r="Y100" s="108">
        <v>594.4</v>
      </c>
      <c r="Z100" s="132">
        <v>642</v>
      </c>
      <c r="AA100" s="132">
        <v>719</v>
      </c>
      <c r="AB100" s="132">
        <v>873.6</v>
      </c>
      <c r="AC100" s="132">
        <v>1065.8</v>
      </c>
      <c r="AD100" s="132">
        <v>1119.0999999999999</v>
      </c>
      <c r="AE100" s="132">
        <v>1060.9000000000001</v>
      </c>
      <c r="AF100" s="132">
        <v>930.4</v>
      </c>
      <c r="AG100" s="132">
        <v>870</v>
      </c>
      <c r="AH100" s="108">
        <v>929.1</v>
      </c>
      <c r="AI100" s="108">
        <v>1019</v>
      </c>
      <c r="AJ100" s="108">
        <v>1024.0999999999999</v>
      </c>
      <c r="AK100" s="108">
        <v>1024</v>
      </c>
      <c r="AL100" s="108">
        <v>1121.2</v>
      </c>
      <c r="AM100" s="108">
        <v>1238.2</v>
      </c>
      <c r="AN100" s="108">
        <v>1319.4</v>
      </c>
      <c r="AO100" s="108">
        <v>1469.3</v>
      </c>
      <c r="AP100" s="108">
        <v>1456.1</v>
      </c>
      <c r="AQ100" s="108">
        <v>1508.5</v>
      </c>
      <c r="AR100" s="108">
        <v>1574.9</v>
      </c>
      <c r="AS100" s="108">
        <v>1647.3</v>
      </c>
      <c r="AT100" s="108">
        <v>1899.3</v>
      </c>
      <c r="AU100" s="108">
        <v>1982.9</v>
      </c>
      <c r="AV100" s="108">
        <v>2171.3000000000002</v>
      </c>
      <c r="AW100" s="108">
        <v>2251.6</v>
      </c>
      <c r="AX100" s="108">
        <v>2316.9</v>
      </c>
      <c r="AY100" s="109">
        <v>2384.1</v>
      </c>
      <c r="AZ100" s="110">
        <v>2500</v>
      </c>
      <c r="BA100" s="110">
        <f>AZ100-AY100</f>
        <v>115.90000000000009</v>
      </c>
      <c r="BB100" s="111">
        <f>AY100-AX100</f>
        <v>67.199999999999818</v>
      </c>
      <c r="BC100" s="112">
        <f>AZ100-AX100</f>
        <v>183.09999999999991</v>
      </c>
      <c r="BD100" s="113">
        <f t="shared" si="46"/>
        <v>7.05992091276606E-2</v>
      </c>
      <c r="BF100" s="114" t="b">
        <v>0</v>
      </c>
      <c r="BG100" s="90" t="s">
        <v>123</v>
      </c>
      <c r="BS100" s="90"/>
    </row>
    <row r="101" spans="1:79" x14ac:dyDescent="0.25">
      <c r="A101" s="130" t="s">
        <v>60</v>
      </c>
      <c r="B101" s="115">
        <v>1117.6470588235295</v>
      </c>
      <c r="C101" s="115">
        <v>1223.2142857142858</v>
      </c>
      <c r="D101" s="115">
        <v>1650.4854368932038</v>
      </c>
      <c r="E101" s="115">
        <v>1700</v>
      </c>
      <c r="F101" s="115">
        <v>1500</v>
      </c>
      <c r="G101" s="115">
        <v>1700</v>
      </c>
      <c r="H101" s="115">
        <v>1800</v>
      </c>
      <c r="I101" s="115">
        <v>1600</v>
      </c>
      <c r="J101" s="115">
        <v>1980.046403712297</v>
      </c>
      <c r="K101" s="115">
        <v>1810</v>
      </c>
      <c r="L101" s="115">
        <v>1930.1204819277109</v>
      </c>
      <c r="M101" s="115">
        <v>1975.1004016064257</v>
      </c>
      <c r="N101" s="115">
        <v>2030.0840336134454</v>
      </c>
      <c r="O101" s="115">
        <v>1500</v>
      </c>
      <c r="P101" s="115">
        <v>2040</v>
      </c>
      <c r="Q101" s="115">
        <v>2200</v>
      </c>
      <c r="R101" s="115">
        <v>2100</v>
      </c>
      <c r="S101" s="115">
        <v>2057</v>
      </c>
      <c r="T101" s="115">
        <v>1980</v>
      </c>
      <c r="U101" s="115">
        <v>1970</v>
      </c>
      <c r="V101" s="115">
        <v>2250</v>
      </c>
      <c r="W101" s="115">
        <v>2300</v>
      </c>
      <c r="X101" s="115">
        <v>2315</v>
      </c>
      <c r="Y101" s="115">
        <v>2350</v>
      </c>
      <c r="Z101" s="115">
        <v>2330</v>
      </c>
      <c r="AA101" s="115">
        <v>2680</v>
      </c>
      <c r="AB101" s="115">
        <v>2670</v>
      </c>
      <c r="AC101" s="115">
        <v>2495</v>
      </c>
      <c r="AD101" s="115">
        <v>2700</v>
      </c>
      <c r="AE101" s="115">
        <v>2340</v>
      </c>
      <c r="AF101" s="115">
        <v>2760</v>
      </c>
      <c r="AG101" s="115">
        <v>2916</v>
      </c>
      <c r="AH101" s="115">
        <v>2961</v>
      </c>
      <c r="AI101" s="115">
        <v>2818</v>
      </c>
      <c r="AJ101" s="115">
        <v>2845</v>
      </c>
      <c r="AK101" s="115">
        <v>2987</v>
      </c>
      <c r="AL101" s="115">
        <v>3010</v>
      </c>
      <c r="AM101" s="115">
        <v>2702</v>
      </c>
      <c r="AN101" s="115">
        <v>2671</v>
      </c>
      <c r="AO101" s="115">
        <v>3231</v>
      </c>
      <c r="AP101" s="115">
        <v>3480</v>
      </c>
      <c r="AQ101" s="115">
        <v>3810</v>
      </c>
      <c r="AR101" s="115">
        <v>3420</v>
      </c>
      <c r="AS101" s="115">
        <v>3747</v>
      </c>
      <c r="AT101" s="115">
        <v>3697</v>
      </c>
      <c r="AU101" s="115">
        <v>3828</v>
      </c>
      <c r="AV101" s="115">
        <v>3844</v>
      </c>
      <c r="AW101" s="115">
        <v>3460</v>
      </c>
      <c r="AX101" s="115">
        <f>AX102*1000000/AX100</f>
        <v>3964.9963313047606</v>
      </c>
      <c r="AY101" s="131">
        <f>AY102*1000000/AY100</f>
        <v>3795.9817121765027</v>
      </c>
      <c r="AZ101" s="117">
        <v>3600</v>
      </c>
      <c r="BA101" s="110">
        <f>AZ101-AY101</f>
        <v>-195.9817121765027</v>
      </c>
      <c r="BB101" s="118">
        <f t="shared" ref="BB101:BB102" si="77">AY101-AX101</f>
        <v>-169.01461912825789</v>
      </c>
      <c r="BC101" s="119">
        <f t="shared" ref="BC101:BC102" si="78">AZ101-AX101</f>
        <v>-364.99633130476059</v>
      </c>
      <c r="BD101" s="113">
        <f t="shared" si="46"/>
        <v>1.1374080514010565E-2</v>
      </c>
      <c r="BS101" s="90"/>
    </row>
    <row r="102" spans="1:79" s="129" customFormat="1" x14ac:dyDescent="0.25">
      <c r="A102" s="130" t="s">
        <v>61</v>
      </c>
      <c r="B102" s="132">
        <v>9.5000000000000001E-2</v>
      </c>
      <c r="C102" s="132">
        <v>0.13700000000000001</v>
      </c>
      <c r="D102" s="132">
        <v>0.17</v>
      </c>
      <c r="E102" s="132">
        <v>0.255</v>
      </c>
      <c r="F102" s="132">
        <v>0.28499999999999998</v>
      </c>
      <c r="G102" s="132">
        <v>0.3876</v>
      </c>
      <c r="H102" s="132">
        <v>0.46439999999999998</v>
      </c>
      <c r="I102" s="132">
        <v>0.496</v>
      </c>
      <c r="J102" s="132">
        <v>0.85339999999999994</v>
      </c>
      <c r="K102" s="132">
        <v>0.77829999999999999</v>
      </c>
      <c r="L102" s="132">
        <v>0.80100000000000005</v>
      </c>
      <c r="M102" s="132">
        <v>0.98360000000000003</v>
      </c>
      <c r="N102" s="132">
        <v>1.2079000000000002</v>
      </c>
      <c r="O102" s="132">
        <v>0.87450000000000006</v>
      </c>
      <c r="P102" s="132">
        <v>0.96289999999999998</v>
      </c>
      <c r="Q102" s="132">
        <v>1.0032000000000001</v>
      </c>
      <c r="R102" s="132">
        <v>1.1588000000000001</v>
      </c>
      <c r="S102" s="132">
        <v>1.2342</v>
      </c>
      <c r="T102" s="132">
        <v>1.1879999999999999</v>
      </c>
      <c r="U102" s="132">
        <v>1.0402</v>
      </c>
      <c r="V102" s="132">
        <v>1.1760999999999999</v>
      </c>
      <c r="W102" s="132">
        <v>1.3825000000000001</v>
      </c>
      <c r="X102" s="132">
        <v>1.3360000000000001</v>
      </c>
      <c r="Y102" s="132">
        <v>1.3968</v>
      </c>
      <c r="Z102" s="132">
        <v>1.4959</v>
      </c>
      <c r="AA102" s="132">
        <v>1.9269000000000001</v>
      </c>
      <c r="AB102" s="132">
        <v>2.3325</v>
      </c>
      <c r="AC102" s="132">
        <v>2.6591999999999998</v>
      </c>
      <c r="AD102" s="132">
        <v>3.0215999999999998</v>
      </c>
      <c r="AE102" s="132">
        <v>2.4824999999999999</v>
      </c>
      <c r="AF102" s="132">
        <v>2.5679000000000003</v>
      </c>
      <c r="AG102" s="132">
        <v>2.5369000000000002</v>
      </c>
      <c r="AH102" s="132">
        <v>2.7511000000000001</v>
      </c>
      <c r="AI102" s="132">
        <v>2.8715000000000002</v>
      </c>
      <c r="AJ102" s="132">
        <v>2.9135999999999997</v>
      </c>
      <c r="AK102" s="132">
        <v>3.0587</v>
      </c>
      <c r="AL102" s="132">
        <v>3.3748</v>
      </c>
      <c r="AM102" s="132">
        <v>3.3456163999999999</v>
      </c>
      <c r="AN102" s="132">
        <v>3.5241174000000006</v>
      </c>
      <c r="AO102" s="132">
        <v>4.7473082999999994</v>
      </c>
      <c r="AP102" s="132">
        <v>5.0672280000000001</v>
      </c>
      <c r="AQ102" s="132">
        <v>5.7473850000000004</v>
      </c>
      <c r="AR102" s="132">
        <v>5.3861999999999997</v>
      </c>
      <c r="AS102" s="132">
        <v>6.1723999999999997</v>
      </c>
      <c r="AT102" s="132">
        <v>7.0217000000000001</v>
      </c>
      <c r="AU102" s="132">
        <v>7.6162999999999998</v>
      </c>
      <c r="AV102" s="132">
        <v>8.3963999999999999</v>
      </c>
      <c r="AW102" s="132">
        <v>7.7027000000000001</v>
      </c>
      <c r="AX102" s="132">
        <v>9.1865000000000006</v>
      </c>
      <c r="AY102" s="109">
        <v>9.0500000000000007</v>
      </c>
      <c r="AZ102" s="110">
        <f>AZ101*AZ100/1000000</f>
        <v>9</v>
      </c>
      <c r="BA102" s="110">
        <f>AZ102-AY102</f>
        <v>-5.0000000000000711E-2</v>
      </c>
      <c r="BB102" s="120">
        <f t="shared" si="77"/>
        <v>-0.13649999999999984</v>
      </c>
      <c r="BC102" s="121">
        <f t="shared" si="78"/>
        <v>-0.18650000000000055</v>
      </c>
      <c r="BD102" s="113">
        <f t="shared" si="46"/>
        <v>8.2777452023312881E-2</v>
      </c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</row>
    <row r="103" spans="1:79" x14ac:dyDescent="0.25">
      <c r="A103" s="122" t="s">
        <v>100</v>
      </c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4"/>
      <c r="AZ103" s="125"/>
      <c r="BA103" s="125"/>
      <c r="BB103" s="126"/>
      <c r="BC103" s="127"/>
      <c r="BD103" s="128"/>
      <c r="BS103" s="90"/>
    </row>
    <row r="104" spans="1:79" x14ac:dyDescent="0.25">
      <c r="A104" s="130" t="s">
        <v>59</v>
      </c>
      <c r="B104" s="132">
        <v>0</v>
      </c>
      <c r="C104" s="132">
        <v>0</v>
      </c>
      <c r="D104" s="132">
        <v>0</v>
      </c>
      <c r="E104" s="132">
        <v>0</v>
      </c>
      <c r="F104" s="132">
        <v>0</v>
      </c>
      <c r="G104" s="132">
        <v>0</v>
      </c>
      <c r="H104" s="132">
        <v>0</v>
      </c>
      <c r="I104" s="132">
        <v>0</v>
      </c>
      <c r="J104" s="132">
        <v>0</v>
      </c>
      <c r="K104" s="132">
        <v>0</v>
      </c>
      <c r="L104" s="132">
        <v>0</v>
      </c>
      <c r="M104" s="132">
        <v>0</v>
      </c>
      <c r="N104" s="132">
        <v>0</v>
      </c>
      <c r="O104" s="132">
        <v>0</v>
      </c>
      <c r="P104" s="132">
        <v>0</v>
      </c>
      <c r="Q104" s="132">
        <v>0</v>
      </c>
      <c r="R104" s="132">
        <v>0</v>
      </c>
      <c r="S104" s="132">
        <v>0</v>
      </c>
      <c r="T104" s="132">
        <v>0</v>
      </c>
      <c r="U104" s="132">
        <v>0</v>
      </c>
      <c r="V104" s="132">
        <v>0</v>
      </c>
      <c r="W104" s="132">
        <v>0</v>
      </c>
      <c r="X104" s="132">
        <v>0</v>
      </c>
      <c r="Y104" s="108">
        <v>0</v>
      </c>
      <c r="Z104" s="132">
        <v>0</v>
      </c>
      <c r="AA104" s="132">
        <v>0</v>
      </c>
      <c r="AB104" s="132">
        <v>0</v>
      </c>
      <c r="AC104" s="132">
        <v>0</v>
      </c>
      <c r="AD104" s="132">
        <v>0</v>
      </c>
      <c r="AE104" s="132">
        <v>0</v>
      </c>
      <c r="AF104" s="132">
        <v>0</v>
      </c>
      <c r="AG104" s="132">
        <v>0</v>
      </c>
      <c r="AH104" s="108">
        <v>0</v>
      </c>
      <c r="AI104" s="108">
        <v>0</v>
      </c>
      <c r="AJ104" s="108">
        <v>0</v>
      </c>
      <c r="AK104" s="108">
        <v>0</v>
      </c>
      <c r="AL104" s="108">
        <v>0</v>
      </c>
      <c r="AM104" s="108">
        <v>0</v>
      </c>
      <c r="AN104" s="108">
        <v>0</v>
      </c>
      <c r="AO104" s="108">
        <v>0</v>
      </c>
      <c r="AP104" s="108">
        <v>0</v>
      </c>
      <c r="AQ104" s="108">
        <v>0</v>
      </c>
      <c r="AR104" s="108">
        <v>0</v>
      </c>
      <c r="AS104" s="108">
        <v>0</v>
      </c>
      <c r="AT104" s="108">
        <v>0</v>
      </c>
      <c r="AU104" s="108">
        <v>0</v>
      </c>
      <c r="AV104" s="108">
        <v>0</v>
      </c>
      <c r="AW104" s="108"/>
      <c r="AX104" s="108"/>
      <c r="AY104" s="109">
        <v>0</v>
      </c>
      <c r="AZ104" s="110">
        <v>0</v>
      </c>
      <c r="BA104" s="110">
        <f>AZ104-AY104</f>
        <v>0</v>
      </c>
      <c r="BB104" s="120"/>
      <c r="BC104" s="121"/>
      <c r="BD104" s="113"/>
      <c r="BS104" s="90"/>
    </row>
    <row r="105" spans="1:79" x14ac:dyDescent="0.25">
      <c r="A105" s="130" t="s">
        <v>60</v>
      </c>
      <c r="B105" s="115">
        <v>0</v>
      </c>
      <c r="C105" s="115">
        <v>0</v>
      </c>
      <c r="D105" s="115">
        <v>0</v>
      </c>
      <c r="E105" s="115">
        <v>0</v>
      </c>
      <c r="F105" s="115">
        <v>0</v>
      </c>
      <c r="G105" s="115">
        <v>0</v>
      </c>
      <c r="H105" s="115">
        <v>0</v>
      </c>
      <c r="I105" s="115">
        <v>0</v>
      </c>
      <c r="J105" s="115">
        <v>0</v>
      </c>
      <c r="K105" s="115">
        <v>0</v>
      </c>
      <c r="L105" s="115">
        <v>0</v>
      </c>
      <c r="M105" s="115">
        <v>0</v>
      </c>
      <c r="N105" s="115">
        <v>0</v>
      </c>
      <c r="O105" s="115">
        <v>0</v>
      </c>
      <c r="P105" s="115">
        <v>0</v>
      </c>
      <c r="Q105" s="115">
        <v>0</v>
      </c>
      <c r="R105" s="115">
        <v>0</v>
      </c>
      <c r="S105" s="115">
        <v>0</v>
      </c>
      <c r="T105" s="115">
        <v>0</v>
      </c>
      <c r="U105" s="115">
        <v>0</v>
      </c>
      <c r="V105" s="115">
        <v>0</v>
      </c>
      <c r="W105" s="115">
        <v>0</v>
      </c>
      <c r="X105" s="115">
        <v>0</v>
      </c>
      <c r="Y105" s="115">
        <v>0</v>
      </c>
      <c r="Z105" s="115">
        <v>0</v>
      </c>
      <c r="AA105" s="115">
        <v>0</v>
      </c>
      <c r="AB105" s="115">
        <v>0</v>
      </c>
      <c r="AC105" s="115">
        <v>0</v>
      </c>
      <c r="AD105" s="115">
        <v>0</v>
      </c>
      <c r="AE105" s="115">
        <v>0</v>
      </c>
      <c r="AF105" s="115">
        <v>0</v>
      </c>
      <c r="AG105" s="115">
        <v>0</v>
      </c>
      <c r="AH105" s="115">
        <v>0</v>
      </c>
      <c r="AI105" s="115">
        <v>0</v>
      </c>
      <c r="AJ105" s="115">
        <v>0</v>
      </c>
      <c r="AK105" s="115">
        <v>0</v>
      </c>
      <c r="AL105" s="115">
        <v>0</v>
      </c>
      <c r="AM105" s="115">
        <v>0</v>
      </c>
      <c r="AN105" s="115">
        <v>0</v>
      </c>
      <c r="AO105" s="115">
        <v>0</v>
      </c>
      <c r="AP105" s="115">
        <v>0</v>
      </c>
      <c r="AQ105" s="115">
        <v>0</v>
      </c>
      <c r="AR105" s="115">
        <v>0</v>
      </c>
      <c r="AS105" s="115">
        <v>0</v>
      </c>
      <c r="AT105" s="115">
        <v>0</v>
      </c>
      <c r="AU105" s="115">
        <v>0</v>
      </c>
      <c r="AV105" s="115">
        <v>0</v>
      </c>
      <c r="AW105" s="115"/>
      <c r="AX105" s="115"/>
      <c r="AY105" s="131">
        <v>0</v>
      </c>
      <c r="AZ105" s="117">
        <v>0</v>
      </c>
      <c r="BA105" s="110">
        <f>AZ105-AY105</f>
        <v>0</v>
      </c>
      <c r="BB105" s="118"/>
      <c r="BC105" s="119"/>
      <c r="BD105" s="113"/>
      <c r="BS105" s="90"/>
    </row>
    <row r="106" spans="1:79" s="129" customFormat="1" x14ac:dyDescent="0.25">
      <c r="A106" s="130" t="s">
        <v>61</v>
      </c>
      <c r="B106" s="132">
        <v>0</v>
      </c>
      <c r="C106" s="132">
        <v>0</v>
      </c>
      <c r="D106" s="132">
        <v>0</v>
      </c>
      <c r="E106" s="132">
        <v>0</v>
      </c>
      <c r="F106" s="132">
        <v>0</v>
      </c>
      <c r="G106" s="132">
        <v>0</v>
      </c>
      <c r="H106" s="132">
        <v>0</v>
      </c>
      <c r="I106" s="132">
        <v>0</v>
      </c>
      <c r="J106" s="132">
        <v>0</v>
      </c>
      <c r="K106" s="132">
        <v>0</v>
      </c>
      <c r="L106" s="132">
        <v>0</v>
      </c>
      <c r="M106" s="132">
        <v>0</v>
      </c>
      <c r="N106" s="132">
        <v>0</v>
      </c>
      <c r="O106" s="132">
        <v>0</v>
      </c>
      <c r="P106" s="132">
        <v>0</v>
      </c>
      <c r="Q106" s="132">
        <v>0</v>
      </c>
      <c r="R106" s="132">
        <v>0</v>
      </c>
      <c r="S106" s="132">
        <v>0</v>
      </c>
      <c r="T106" s="132">
        <v>0</v>
      </c>
      <c r="U106" s="132">
        <v>0</v>
      </c>
      <c r="V106" s="132">
        <v>0</v>
      </c>
      <c r="W106" s="132">
        <v>0</v>
      </c>
      <c r="X106" s="132">
        <v>0</v>
      </c>
      <c r="Y106" s="132">
        <v>0</v>
      </c>
      <c r="Z106" s="132">
        <v>0</v>
      </c>
      <c r="AA106" s="132">
        <v>0</v>
      </c>
      <c r="AB106" s="132">
        <v>0</v>
      </c>
      <c r="AC106" s="132">
        <v>0</v>
      </c>
      <c r="AD106" s="132">
        <v>0</v>
      </c>
      <c r="AE106" s="132">
        <v>0</v>
      </c>
      <c r="AF106" s="132">
        <v>0</v>
      </c>
      <c r="AG106" s="132">
        <v>0</v>
      </c>
      <c r="AH106" s="132">
        <v>0</v>
      </c>
      <c r="AI106" s="132">
        <v>0</v>
      </c>
      <c r="AJ106" s="132">
        <v>0</v>
      </c>
      <c r="AK106" s="132">
        <v>0</v>
      </c>
      <c r="AL106" s="132">
        <v>0</v>
      </c>
      <c r="AM106" s="132">
        <v>0</v>
      </c>
      <c r="AN106" s="132">
        <v>0</v>
      </c>
      <c r="AO106" s="132">
        <v>0</v>
      </c>
      <c r="AP106" s="132">
        <v>0</v>
      </c>
      <c r="AQ106" s="132">
        <v>0</v>
      </c>
      <c r="AR106" s="132">
        <v>0</v>
      </c>
      <c r="AS106" s="132">
        <v>0</v>
      </c>
      <c r="AT106" s="132">
        <v>0</v>
      </c>
      <c r="AU106" s="132">
        <v>0</v>
      </c>
      <c r="AV106" s="132">
        <v>0</v>
      </c>
      <c r="AW106" s="132"/>
      <c r="AX106" s="132"/>
      <c r="AY106" s="109">
        <f>AY105*AY104/1000000</f>
        <v>0</v>
      </c>
      <c r="AZ106" s="110">
        <v>0</v>
      </c>
      <c r="BA106" s="110">
        <f>AZ106-AY106</f>
        <v>0</v>
      </c>
      <c r="BB106" s="120"/>
      <c r="BC106" s="121"/>
      <c r="BD106" s="113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  <c r="CA106" s="90"/>
    </row>
    <row r="107" spans="1:79" x14ac:dyDescent="0.25">
      <c r="A107" s="122" t="s">
        <v>101</v>
      </c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4"/>
      <c r="AZ107" s="125"/>
      <c r="BA107" s="125"/>
      <c r="BB107" s="126"/>
      <c r="BC107" s="127"/>
      <c r="BD107" s="128"/>
      <c r="BS107" s="90"/>
    </row>
    <row r="108" spans="1:79" x14ac:dyDescent="0.25">
      <c r="A108" s="130" t="s">
        <v>59</v>
      </c>
      <c r="B108" s="132">
        <v>0</v>
      </c>
      <c r="C108" s="132">
        <v>0</v>
      </c>
      <c r="D108" s="132">
        <v>0</v>
      </c>
      <c r="E108" s="132">
        <v>0</v>
      </c>
      <c r="F108" s="132">
        <v>0</v>
      </c>
      <c r="G108" s="132">
        <v>0</v>
      </c>
      <c r="H108" s="132">
        <v>0</v>
      </c>
      <c r="I108" s="132">
        <v>0</v>
      </c>
      <c r="J108" s="132">
        <v>0</v>
      </c>
      <c r="K108" s="132">
        <v>0</v>
      </c>
      <c r="L108" s="132">
        <v>0</v>
      </c>
      <c r="M108" s="132">
        <v>0</v>
      </c>
      <c r="N108" s="132">
        <v>0</v>
      </c>
      <c r="O108" s="132">
        <v>0</v>
      </c>
      <c r="P108" s="132">
        <v>0</v>
      </c>
      <c r="Q108" s="132">
        <v>0</v>
      </c>
      <c r="R108" s="132">
        <v>0</v>
      </c>
      <c r="S108" s="132">
        <v>0</v>
      </c>
      <c r="T108" s="132">
        <v>0</v>
      </c>
      <c r="U108" s="132">
        <v>0</v>
      </c>
      <c r="V108" s="132">
        <v>0</v>
      </c>
      <c r="W108" s="132">
        <v>0</v>
      </c>
      <c r="X108" s="132">
        <v>0</v>
      </c>
      <c r="Y108" s="108">
        <v>0</v>
      </c>
      <c r="Z108" s="132">
        <v>0</v>
      </c>
      <c r="AA108" s="132">
        <v>0</v>
      </c>
      <c r="AB108" s="132">
        <v>0</v>
      </c>
      <c r="AC108" s="132">
        <v>0</v>
      </c>
      <c r="AD108" s="132">
        <v>0</v>
      </c>
      <c r="AE108" s="132">
        <v>0</v>
      </c>
      <c r="AF108" s="132">
        <v>0</v>
      </c>
      <c r="AG108" s="132">
        <v>0</v>
      </c>
      <c r="AH108" s="108">
        <v>0</v>
      </c>
      <c r="AI108" s="108">
        <v>0</v>
      </c>
      <c r="AJ108" s="108">
        <v>0</v>
      </c>
      <c r="AK108" s="108">
        <v>0</v>
      </c>
      <c r="AL108" s="108">
        <v>0</v>
      </c>
      <c r="AM108" s="108">
        <v>0</v>
      </c>
      <c r="AN108" s="108">
        <v>0</v>
      </c>
      <c r="AO108" s="108">
        <v>0</v>
      </c>
      <c r="AP108" s="108">
        <v>0</v>
      </c>
      <c r="AQ108" s="108">
        <v>0</v>
      </c>
      <c r="AR108" s="108">
        <v>0</v>
      </c>
      <c r="AS108" s="108">
        <v>0</v>
      </c>
      <c r="AT108" s="108">
        <v>0</v>
      </c>
      <c r="AU108" s="108">
        <v>0</v>
      </c>
      <c r="AV108" s="108">
        <v>0</v>
      </c>
      <c r="AW108" s="108"/>
      <c r="AX108" s="108"/>
      <c r="AY108" s="109">
        <v>0</v>
      </c>
      <c r="AZ108" s="110">
        <v>0</v>
      </c>
      <c r="BA108" s="110">
        <f>AZ108-AY108</f>
        <v>0</v>
      </c>
      <c r="BB108" s="120"/>
      <c r="BC108" s="121"/>
      <c r="BD108" s="113"/>
      <c r="BS108" s="90"/>
    </row>
    <row r="109" spans="1:79" x14ac:dyDescent="0.25">
      <c r="A109" s="130" t="s">
        <v>60</v>
      </c>
      <c r="B109" s="115">
        <v>0</v>
      </c>
      <c r="C109" s="115">
        <v>0</v>
      </c>
      <c r="D109" s="115">
        <v>0</v>
      </c>
      <c r="E109" s="115">
        <v>0</v>
      </c>
      <c r="F109" s="115">
        <v>0</v>
      </c>
      <c r="G109" s="115">
        <v>0</v>
      </c>
      <c r="H109" s="115">
        <v>0</v>
      </c>
      <c r="I109" s="115">
        <v>0</v>
      </c>
      <c r="J109" s="115">
        <v>0</v>
      </c>
      <c r="K109" s="115">
        <v>0</v>
      </c>
      <c r="L109" s="115">
        <v>0</v>
      </c>
      <c r="M109" s="115">
        <v>0</v>
      </c>
      <c r="N109" s="115">
        <v>0</v>
      </c>
      <c r="O109" s="115">
        <v>0</v>
      </c>
      <c r="P109" s="115">
        <v>0</v>
      </c>
      <c r="Q109" s="115">
        <v>0</v>
      </c>
      <c r="R109" s="115">
        <v>0</v>
      </c>
      <c r="S109" s="115">
        <v>0</v>
      </c>
      <c r="T109" s="115">
        <v>0</v>
      </c>
      <c r="U109" s="115">
        <v>0</v>
      </c>
      <c r="V109" s="115">
        <v>0</v>
      </c>
      <c r="W109" s="115">
        <v>0</v>
      </c>
      <c r="X109" s="115">
        <v>0</v>
      </c>
      <c r="Y109" s="115">
        <v>0</v>
      </c>
      <c r="Z109" s="115">
        <v>0</v>
      </c>
      <c r="AA109" s="115">
        <v>0</v>
      </c>
      <c r="AB109" s="115">
        <v>0</v>
      </c>
      <c r="AC109" s="115">
        <v>0</v>
      </c>
      <c r="AD109" s="115">
        <v>0</v>
      </c>
      <c r="AE109" s="115">
        <v>0</v>
      </c>
      <c r="AF109" s="115">
        <v>0</v>
      </c>
      <c r="AG109" s="115">
        <v>0</v>
      </c>
      <c r="AH109" s="115">
        <v>0</v>
      </c>
      <c r="AI109" s="115">
        <v>0</v>
      </c>
      <c r="AJ109" s="115">
        <v>0</v>
      </c>
      <c r="AK109" s="115">
        <v>0</v>
      </c>
      <c r="AL109" s="115">
        <v>0</v>
      </c>
      <c r="AM109" s="115">
        <v>0</v>
      </c>
      <c r="AN109" s="115">
        <v>0</v>
      </c>
      <c r="AO109" s="115">
        <v>0</v>
      </c>
      <c r="AP109" s="115">
        <v>0</v>
      </c>
      <c r="AQ109" s="115">
        <v>0</v>
      </c>
      <c r="AR109" s="115">
        <v>0</v>
      </c>
      <c r="AS109" s="115">
        <v>0</v>
      </c>
      <c r="AT109" s="115">
        <v>0</v>
      </c>
      <c r="AU109" s="115">
        <v>0</v>
      </c>
      <c r="AV109" s="115">
        <v>0</v>
      </c>
      <c r="AW109" s="115"/>
      <c r="AX109" s="115"/>
      <c r="AY109" s="131">
        <v>0</v>
      </c>
      <c r="AZ109" s="117">
        <v>0</v>
      </c>
      <c r="BA109" s="110">
        <f>AZ109-AY109</f>
        <v>0</v>
      </c>
      <c r="BB109" s="118"/>
      <c r="BC109" s="119"/>
      <c r="BD109" s="113"/>
      <c r="BS109" s="90"/>
    </row>
    <row r="110" spans="1:79" s="129" customFormat="1" x14ac:dyDescent="0.25">
      <c r="A110" s="130" t="s">
        <v>61</v>
      </c>
      <c r="B110" s="132">
        <v>0</v>
      </c>
      <c r="C110" s="132">
        <v>0</v>
      </c>
      <c r="D110" s="132">
        <v>0</v>
      </c>
      <c r="E110" s="132">
        <v>0</v>
      </c>
      <c r="F110" s="132">
        <v>0</v>
      </c>
      <c r="G110" s="132">
        <v>0</v>
      </c>
      <c r="H110" s="132">
        <v>0</v>
      </c>
      <c r="I110" s="132">
        <v>0</v>
      </c>
      <c r="J110" s="132">
        <v>0</v>
      </c>
      <c r="K110" s="132">
        <v>0</v>
      </c>
      <c r="L110" s="132">
        <v>0</v>
      </c>
      <c r="M110" s="132">
        <v>0</v>
      </c>
      <c r="N110" s="132">
        <v>0</v>
      </c>
      <c r="O110" s="132">
        <v>0</v>
      </c>
      <c r="P110" s="132">
        <v>0</v>
      </c>
      <c r="Q110" s="132">
        <v>0</v>
      </c>
      <c r="R110" s="132">
        <v>0</v>
      </c>
      <c r="S110" s="132">
        <v>0</v>
      </c>
      <c r="T110" s="132">
        <v>0</v>
      </c>
      <c r="U110" s="132">
        <v>0</v>
      </c>
      <c r="V110" s="132">
        <v>0</v>
      </c>
      <c r="W110" s="132">
        <v>0</v>
      </c>
      <c r="X110" s="132">
        <v>0</v>
      </c>
      <c r="Y110" s="132">
        <v>0</v>
      </c>
      <c r="Z110" s="132">
        <v>0</v>
      </c>
      <c r="AA110" s="132">
        <v>0</v>
      </c>
      <c r="AB110" s="132">
        <v>0</v>
      </c>
      <c r="AC110" s="132">
        <v>0</v>
      </c>
      <c r="AD110" s="132">
        <v>0</v>
      </c>
      <c r="AE110" s="132">
        <v>0</v>
      </c>
      <c r="AF110" s="132">
        <v>0</v>
      </c>
      <c r="AG110" s="132">
        <v>0</v>
      </c>
      <c r="AH110" s="132">
        <v>0</v>
      </c>
      <c r="AI110" s="132">
        <v>0</v>
      </c>
      <c r="AJ110" s="132">
        <v>0</v>
      </c>
      <c r="AK110" s="132">
        <v>0</v>
      </c>
      <c r="AL110" s="132">
        <v>0</v>
      </c>
      <c r="AM110" s="132">
        <v>0</v>
      </c>
      <c r="AN110" s="132">
        <v>0</v>
      </c>
      <c r="AO110" s="132">
        <v>0</v>
      </c>
      <c r="AP110" s="132">
        <v>0</v>
      </c>
      <c r="AQ110" s="132">
        <v>0</v>
      </c>
      <c r="AR110" s="132">
        <v>0</v>
      </c>
      <c r="AS110" s="132">
        <v>0</v>
      </c>
      <c r="AT110" s="132">
        <v>0</v>
      </c>
      <c r="AU110" s="132">
        <v>0</v>
      </c>
      <c r="AV110" s="132">
        <v>0</v>
      </c>
      <c r="AW110" s="132"/>
      <c r="AX110" s="132"/>
      <c r="AY110" s="109">
        <v>0</v>
      </c>
      <c r="AZ110" s="110">
        <v>0</v>
      </c>
      <c r="BA110" s="110">
        <f>AZ110-AY110</f>
        <v>0</v>
      </c>
      <c r="BB110" s="120"/>
      <c r="BC110" s="121"/>
      <c r="BD110" s="113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</row>
    <row r="111" spans="1:79" x14ac:dyDescent="0.25">
      <c r="A111" s="122" t="s">
        <v>102</v>
      </c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4"/>
      <c r="AZ111" s="125"/>
      <c r="BA111" s="125"/>
      <c r="BB111" s="126"/>
      <c r="BC111" s="127"/>
      <c r="BD111" s="128"/>
      <c r="BS111" s="90"/>
    </row>
    <row r="112" spans="1:79" x14ac:dyDescent="0.25">
      <c r="A112" s="130" t="s">
        <v>59</v>
      </c>
      <c r="B112" s="132">
        <v>445</v>
      </c>
      <c r="C112" s="132">
        <v>559</v>
      </c>
      <c r="D112" s="132">
        <v>548</v>
      </c>
      <c r="E112" s="132">
        <v>560</v>
      </c>
      <c r="F112" s="132">
        <v>543</v>
      </c>
      <c r="G112" s="132">
        <v>516</v>
      </c>
      <c r="H112" s="132">
        <v>470</v>
      </c>
      <c r="I112" s="132">
        <v>480</v>
      </c>
      <c r="J112" s="132">
        <v>494</v>
      </c>
      <c r="K112" s="132">
        <v>476</v>
      </c>
      <c r="L112" s="132">
        <v>461.7</v>
      </c>
      <c r="M112" s="132">
        <v>512.5</v>
      </c>
      <c r="N112" s="132">
        <v>594</v>
      </c>
      <c r="O112" s="132">
        <v>582</v>
      </c>
      <c r="P112" s="132">
        <v>500</v>
      </c>
      <c r="Q112" s="132">
        <v>463</v>
      </c>
      <c r="R112" s="132">
        <v>532.5</v>
      </c>
      <c r="S112" s="132">
        <v>575.1</v>
      </c>
      <c r="T112" s="132">
        <v>563.6</v>
      </c>
      <c r="U112" s="132">
        <v>563.6</v>
      </c>
      <c r="V112" s="132">
        <v>574.9</v>
      </c>
      <c r="W112" s="132">
        <v>530</v>
      </c>
      <c r="X112" s="132">
        <v>520.5</v>
      </c>
      <c r="Y112" s="108">
        <v>558.5</v>
      </c>
      <c r="Z112" s="132">
        <v>530</v>
      </c>
      <c r="AA112" s="132">
        <v>567.1</v>
      </c>
      <c r="AB112" s="132">
        <v>615.29999999999995</v>
      </c>
      <c r="AC112" s="132">
        <v>761.1</v>
      </c>
      <c r="AD112" s="132">
        <v>772.5</v>
      </c>
      <c r="AE112" s="132">
        <v>656.6</v>
      </c>
      <c r="AF112" s="132">
        <v>538.4</v>
      </c>
      <c r="AG112" s="132">
        <v>526</v>
      </c>
      <c r="AH112" s="108">
        <v>531.29999999999995</v>
      </c>
      <c r="AI112" s="108">
        <v>572.20000000000005</v>
      </c>
      <c r="AJ112" s="108">
        <v>612.79999999999995</v>
      </c>
      <c r="AK112" s="108">
        <v>582.20000000000005</v>
      </c>
      <c r="AL112" s="108">
        <v>637</v>
      </c>
      <c r="AM112" s="108">
        <v>751.7</v>
      </c>
      <c r="AN112" s="108">
        <v>796.8</v>
      </c>
      <c r="AO112" s="108">
        <v>857.6</v>
      </c>
      <c r="AP112" s="108">
        <v>895.3</v>
      </c>
      <c r="AQ112" s="108">
        <v>961.6</v>
      </c>
      <c r="AR112" s="108">
        <v>996.2</v>
      </c>
      <c r="AS112" s="108">
        <v>1109.8</v>
      </c>
      <c r="AT112" s="108">
        <v>1162</v>
      </c>
      <c r="AU112" s="108">
        <v>1215.5</v>
      </c>
      <c r="AV112" s="108">
        <v>1296.9000000000001</v>
      </c>
      <c r="AW112" s="108">
        <v>1304.7</v>
      </c>
      <c r="AX112" s="108">
        <v>1355.6</v>
      </c>
      <c r="AY112" s="109">
        <v>1396.3</v>
      </c>
      <c r="AZ112" s="110">
        <v>1355.6</v>
      </c>
      <c r="BA112" s="110">
        <f>AZ112-AY112</f>
        <v>-40.700000000000045</v>
      </c>
      <c r="BB112" s="111">
        <f>AY112-AX112</f>
        <v>40.700000000000045</v>
      </c>
      <c r="BC112" s="112">
        <f>AZ112-AX112</f>
        <v>0</v>
      </c>
      <c r="BD112" s="113">
        <f t="shared" ref="BD112:BD134" si="79">(AX112/AS112)^(1/5)-1</f>
        <v>4.0824167814853762E-2</v>
      </c>
      <c r="BF112" s="114" t="b">
        <v>1</v>
      </c>
      <c r="BS112" s="90"/>
    </row>
    <row r="113" spans="1:79" x14ac:dyDescent="0.25">
      <c r="A113" s="130" t="s">
        <v>60</v>
      </c>
      <c r="B113" s="115">
        <v>1752.8089887640449</v>
      </c>
      <c r="C113" s="115">
        <v>1332.737030411449</v>
      </c>
      <c r="D113" s="115">
        <v>1551.094890510949</v>
      </c>
      <c r="E113" s="115">
        <v>1875</v>
      </c>
      <c r="F113" s="115">
        <v>1900.5524861878453</v>
      </c>
      <c r="G113" s="115">
        <v>1924.4186046511629</v>
      </c>
      <c r="H113" s="115">
        <v>2054.8936170212764</v>
      </c>
      <c r="I113" s="115">
        <v>1800</v>
      </c>
      <c r="J113" s="115">
        <v>1950</v>
      </c>
      <c r="K113" s="115">
        <v>1910.0840336134454</v>
      </c>
      <c r="L113" s="115">
        <v>2000</v>
      </c>
      <c r="M113" s="115">
        <v>1954.9268292682927</v>
      </c>
      <c r="N113" s="115">
        <v>2270.0336700336702</v>
      </c>
      <c r="O113" s="115">
        <v>1664.9484536082475</v>
      </c>
      <c r="P113" s="115">
        <v>1935</v>
      </c>
      <c r="Q113" s="115">
        <v>1960</v>
      </c>
      <c r="R113" s="115">
        <v>2170</v>
      </c>
      <c r="S113" s="115">
        <v>2200</v>
      </c>
      <c r="T113" s="115">
        <v>2090</v>
      </c>
      <c r="U113" s="115">
        <v>2190</v>
      </c>
      <c r="V113" s="115">
        <v>2300</v>
      </c>
      <c r="W113" s="115">
        <v>2100</v>
      </c>
      <c r="X113" s="115">
        <v>2730</v>
      </c>
      <c r="Y113" s="115">
        <v>2100</v>
      </c>
      <c r="Z113" s="115">
        <v>2600</v>
      </c>
      <c r="AA113" s="115">
        <v>2690</v>
      </c>
      <c r="AB113" s="115">
        <v>2820</v>
      </c>
      <c r="AC113" s="115">
        <v>2385</v>
      </c>
      <c r="AD113" s="115">
        <v>2240</v>
      </c>
      <c r="AE113" s="115">
        <v>2520</v>
      </c>
      <c r="AF113" s="115">
        <v>2670</v>
      </c>
      <c r="AG113" s="115">
        <v>2750</v>
      </c>
      <c r="AH113" s="115">
        <v>2459</v>
      </c>
      <c r="AI113" s="115">
        <v>2772</v>
      </c>
      <c r="AJ113" s="115">
        <v>2788</v>
      </c>
      <c r="AK113" s="115">
        <v>2744</v>
      </c>
      <c r="AL113" s="115">
        <v>3220</v>
      </c>
      <c r="AM113" s="115">
        <v>2246</v>
      </c>
      <c r="AN113" s="115">
        <v>2970</v>
      </c>
      <c r="AO113" s="115">
        <v>3316</v>
      </c>
      <c r="AP113" s="115">
        <v>3445</v>
      </c>
      <c r="AQ113" s="115">
        <v>3546</v>
      </c>
      <c r="AR113" s="115">
        <v>3240</v>
      </c>
      <c r="AS113" s="115">
        <v>3567</v>
      </c>
      <c r="AT113" s="115">
        <v>3700</v>
      </c>
      <c r="AU113" s="115">
        <v>3436</v>
      </c>
      <c r="AV113" s="115">
        <v>3787</v>
      </c>
      <c r="AW113" s="115">
        <v>2800</v>
      </c>
      <c r="AX113" s="115">
        <f>AX114*1000000/AX112</f>
        <v>3893.036293892003</v>
      </c>
      <c r="AY113" s="131">
        <f>AY114*1000000/AY112</f>
        <v>3740.0272147819237</v>
      </c>
      <c r="AZ113" s="117">
        <v>3810</v>
      </c>
      <c r="BA113" s="110">
        <f>AZ113-AY113</f>
        <v>69.972785218076297</v>
      </c>
      <c r="BB113" s="118">
        <f t="shared" ref="BB113:BB114" si="80">AY113-AX113</f>
        <v>-153.00907911007926</v>
      </c>
      <c r="BC113" s="119">
        <f t="shared" ref="BC113:BC114" si="81">AZ113-AX113</f>
        <v>-83.036293892002959</v>
      </c>
      <c r="BD113" s="113">
        <f t="shared" si="79"/>
        <v>1.76467937936724E-2</v>
      </c>
      <c r="BS113" s="90"/>
    </row>
    <row r="114" spans="1:79" ht="15.75" thickBot="1" x14ac:dyDescent="0.3">
      <c r="A114" s="130" t="s">
        <v>61</v>
      </c>
      <c r="B114" s="132">
        <v>0.78</v>
      </c>
      <c r="C114" s="132">
        <v>0.745</v>
      </c>
      <c r="D114" s="132">
        <v>0.85</v>
      </c>
      <c r="E114" s="132">
        <v>1.05</v>
      </c>
      <c r="F114" s="132">
        <v>1.032</v>
      </c>
      <c r="G114" s="132">
        <v>0.99299999999999999</v>
      </c>
      <c r="H114" s="132">
        <v>0.96579999999999999</v>
      </c>
      <c r="I114" s="132">
        <v>0.86399999999999999</v>
      </c>
      <c r="J114" s="132">
        <v>0.96329999999999993</v>
      </c>
      <c r="K114" s="132">
        <v>0.90920000000000001</v>
      </c>
      <c r="L114" s="132">
        <v>0.9234</v>
      </c>
      <c r="M114" s="132">
        <v>1.0019</v>
      </c>
      <c r="N114" s="132">
        <v>1.3484</v>
      </c>
      <c r="O114" s="132">
        <v>0.96899999999999997</v>
      </c>
      <c r="P114" s="132">
        <v>0.96750000000000003</v>
      </c>
      <c r="Q114" s="132">
        <v>0.90749999999999997</v>
      </c>
      <c r="R114" s="132">
        <v>1.1555</v>
      </c>
      <c r="S114" s="132">
        <v>1.2652000000000001</v>
      </c>
      <c r="T114" s="132">
        <v>1.1779000000000002</v>
      </c>
      <c r="U114" s="132">
        <v>1.2343</v>
      </c>
      <c r="V114" s="132">
        <v>1.3223</v>
      </c>
      <c r="W114" s="132">
        <v>1.113</v>
      </c>
      <c r="X114" s="132">
        <v>1.421</v>
      </c>
      <c r="Y114" s="132">
        <v>1.1729000000000001</v>
      </c>
      <c r="Z114" s="132">
        <v>1.3779999999999999</v>
      </c>
      <c r="AA114" s="132">
        <v>1.5255000000000001</v>
      </c>
      <c r="AB114" s="132">
        <v>1.7350999999999999</v>
      </c>
      <c r="AC114" s="132">
        <v>1.8152000000000001</v>
      </c>
      <c r="AD114" s="132">
        <v>1.7304000000000002</v>
      </c>
      <c r="AE114" s="132">
        <v>1.6545999999999998</v>
      </c>
      <c r="AF114" s="132">
        <v>1.4375</v>
      </c>
      <c r="AG114" s="132">
        <v>1.4464999999999999</v>
      </c>
      <c r="AH114" s="132">
        <v>1.3065</v>
      </c>
      <c r="AI114" s="132">
        <v>1.5860999999999998</v>
      </c>
      <c r="AJ114" s="132">
        <v>1.7084999999999999</v>
      </c>
      <c r="AK114" s="132">
        <v>1.5975999999999999</v>
      </c>
      <c r="AL114" s="132">
        <v>2.0510999999999999</v>
      </c>
      <c r="AM114" s="132">
        <v>1.6883182000000001</v>
      </c>
      <c r="AN114" s="132">
        <v>2.3664960000000002</v>
      </c>
      <c r="AO114" s="132">
        <v>2.8438016000000004</v>
      </c>
      <c r="AP114" s="132">
        <v>3.0843085000000001</v>
      </c>
      <c r="AQ114" s="132">
        <v>3.4098335999999998</v>
      </c>
      <c r="AR114" s="132">
        <v>3.2277</v>
      </c>
      <c r="AS114" s="132">
        <v>3.9586999999999999</v>
      </c>
      <c r="AT114" s="132">
        <v>4.2993999999999994</v>
      </c>
      <c r="AU114" s="132">
        <v>4.202</v>
      </c>
      <c r="AV114" s="132">
        <v>4.9359999999999999</v>
      </c>
      <c r="AW114" s="132">
        <v>3.6936</v>
      </c>
      <c r="AX114" s="132">
        <v>5.2773999999999992</v>
      </c>
      <c r="AY114" s="109">
        <v>5.2222</v>
      </c>
      <c r="AZ114" s="110">
        <f>AZ113*AZ112/1000000</f>
        <v>5.1648360000000002</v>
      </c>
      <c r="BA114" s="110">
        <f>AZ114-AY114</f>
        <v>-5.7363999999999749E-2</v>
      </c>
      <c r="BB114" s="120">
        <f t="shared" si="80"/>
        <v>-5.519999999999925E-2</v>
      </c>
      <c r="BC114" s="121">
        <f t="shared" si="81"/>
        <v>-0.112563999999999</v>
      </c>
      <c r="BD114" s="113">
        <f t="shared" si="79"/>
        <v>5.9189054845248945E-2</v>
      </c>
      <c r="BS114" s="90"/>
    </row>
    <row r="115" spans="1:79" s="129" customFormat="1" ht="16.5" thickBot="1" x14ac:dyDescent="0.3">
      <c r="A115" s="97" t="s">
        <v>103</v>
      </c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  <c r="AD115" s="148"/>
      <c r="AE115" s="148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4"/>
      <c r="AZ115" s="145"/>
      <c r="BA115" s="145"/>
      <c r="BB115" s="149"/>
      <c r="BC115" s="148"/>
      <c r="BD115" s="15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</row>
    <row r="116" spans="1:79" s="129" customFormat="1" x14ac:dyDescent="0.25">
      <c r="A116" s="130" t="s">
        <v>59</v>
      </c>
      <c r="B116" s="132">
        <f t="shared" ref="B116:AV116" si="82">B120+B124+B128</f>
        <v>6041</v>
      </c>
      <c r="C116" s="132">
        <f t="shared" si="82"/>
        <v>6512</v>
      </c>
      <c r="D116" s="132">
        <f t="shared" si="82"/>
        <v>6780</v>
      </c>
      <c r="E116" s="132">
        <f t="shared" si="82"/>
        <v>6927</v>
      </c>
      <c r="F116" s="132">
        <f t="shared" si="82"/>
        <v>6709</v>
      </c>
      <c r="G116" s="132">
        <f t="shared" si="82"/>
        <v>6284</v>
      </c>
      <c r="H116" s="132">
        <f t="shared" si="82"/>
        <v>6032</v>
      </c>
      <c r="I116" s="132">
        <f t="shared" si="82"/>
        <v>6203</v>
      </c>
      <c r="J116" s="132">
        <f t="shared" si="82"/>
        <v>6239</v>
      </c>
      <c r="K116" s="132">
        <f t="shared" si="82"/>
        <v>5807</v>
      </c>
      <c r="L116" s="132">
        <f t="shared" si="82"/>
        <v>5296</v>
      </c>
      <c r="M116" s="132">
        <f t="shared" si="82"/>
        <v>6038</v>
      </c>
      <c r="N116" s="132">
        <f t="shared" si="82"/>
        <v>6524.6</v>
      </c>
      <c r="O116" s="132">
        <f t="shared" si="82"/>
        <v>6253</v>
      </c>
      <c r="P116" s="132">
        <f t="shared" si="82"/>
        <v>5535.4</v>
      </c>
      <c r="Q116" s="132">
        <f t="shared" si="82"/>
        <v>5016.5</v>
      </c>
      <c r="R116" s="132">
        <f t="shared" si="82"/>
        <v>5381.4</v>
      </c>
      <c r="S116" s="132">
        <f t="shared" si="82"/>
        <v>5550</v>
      </c>
      <c r="T116" s="132">
        <f t="shared" si="82"/>
        <v>5358</v>
      </c>
      <c r="U116" s="132">
        <f t="shared" si="82"/>
        <v>5337.9</v>
      </c>
      <c r="V116" s="132">
        <f t="shared" si="82"/>
        <v>5680.7999999999993</v>
      </c>
      <c r="W116" s="132">
        <f t="shared" si="82"/>
        <v>6190.3</v>
      </c>
      <c r="X116" s="132">
        <f t="shared" si="82"/>
        <v>6119.2999999999993</v>
      </c>
      <c r="Y116" s="132">
        <f t="shared" si="82"/>
        <v>6049.5</v>
      </c>
      <c r="Z116" s="132">
        <f t="shared" si="82"/>
        <v>5984</v>
      </c>
      <c r="AA116" s="132">
        <f t="shared" si="82"/>
        <v>6806.2000000000007</v>
      </c>
      <c r="AB116" s="132">
        <f t="shared" si="82"/>
        <v>7487.1</v>
      </c>
      <c r="AC116" s="132">
        <f t="shared" si="82"/>
        <v>8213.9</v>
      </c>
      <c r="AD116" s="132">
        <f t="shared" si="82"/>
        <v>8588.5</v>
      </c>
      <c r="AE116" s="132">
        <f t="shared" si="82"/>
        <v>8294.7000000000007</v>
      </c>
      <c r="AF116" s="132">
        <f t="shared" si="82"/>
        <v>8247.4</v>
      </c>
      <c r="AG116" s="132">
        <f t="shared" si="82"/>
        <v>8184.7</v>
      </c>
      <c r="AH116" s="132">
        <f t="shared" si="82"/>
        <v>8277</v>
      </c>
      <c r="AI116" s="132">
        <f t="shared" si="82"/>
        <v>8900.9000000000015</v>
      </c>
      <c r="AJ116" s="132">
        <f t="shared" si="82"/>
        <v>9133.5</v>
      </c>
      <c r="AK116" s="132">
        <f t="shared" si="82"/>
        <v>9106.1</v>
      </c>
      <c r="AL116" s="132">
        <f t="shared" si="82"/>
        <v>9883.9000000000015</v>
      </c>
      <c r="AM116" s="132">
        <f t="shared" si="82"/>
        <v>10492.7</v>
      </c>
      <c r="AN116" s="132">
        <f t="shared" si="82"/>
        <v>11074.1</v>
      </c>
      <c r="AO116" s="132">
        <f t="shared" si="82"/>
        <v>11545.400000000001</v>
      </c>
      <c r="AP116" s="132">
        <f t="shared" si="82"/>
        <v>11459.6</v>
      </c>
      <c r="AQ116" s="132">
        <f t="shared" si="82"/>
        <v>11835.1</v>
      </c>
      <c r="AR116" s="132">
        <f t="shared" si="82"/>
        <v>11879.6</v>
      </c>
      <c r="AS116" s="132">
        <f t="shared" si="82"/>
        <v>12085.1</v>
      </c>
      <c r="AT116" s="132">
        <f t="shared" si="82"/>
        <v>12375.3</v>
      </c>
      <c r="AU116" s="132">
        <f t="shared" si="82"/>
        <v>12754.400000000001</v>
      </c>
      <c r="AV116" s="132">
        <f t="shared" si="82"/>
        <v>13218.4</v>
      </c>
      <c r="AW116" s="132">
        <f>SUM(AW120+AW124+AW128)</f>
        <v>13314.900000000001</v>
      </c>
      <c r="AX116" s="132">
        <f>SUM(AX120+AX124+AX128)</f>
        <v>13261.8</v>
      </c>
      <c r="AY116" s="109">
        <f>AY120+AY124+AY128</f>
        <v>13403.1</v>
      </c>
      <c r="AZ116" s="110">
        <f>AZ120+AZ124+AZ128</f>
        <v>13610</v>
      </c>
      <c r="BA116" s="110">
        <f>AZ116-AY116</f>
        <v>206.89999999999964</v>
      </c>
      <c r="BB116" s="111">
        <f>AY116-AX116</f>
        <v>141.30000000000109</v>
      </c>
      <c r="BC116" s="112">
        <f>AZ116-AX116</f>
        <v>348.20000000000073</v>
      </c>
      <c r="BD116" s="113">
        <f t="shared" si="79"/>
        <v>1.8756623005885542E-2</v>
      </c>
      <c r="BE116" s="90"/>
      <c r="BF116" s="114" t="b">
        <v>0</v>
      </c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</row>
    <row r="117" spans="1:79" s="129" customFormat="1" x14ac:dyDescent="0.25">
      <c r="A117" s="107" t="s">
        <v>60</v>
      </c>
      <c r="B117" s="115">
        <f t="shared" ref="B117:AW117" si="83">B118/B116*1000000</f>
        <v>1776.1959940407219</v>
      </c>
      <c r="C117" s="115">
        <f t="shared" si="83"/>
        <v>1269.3488943488944</v>
      </c>
      <c r="D117" s="115">
        <f t="shared" si="83"/>
        <v>1191.740412979351</v>
      </c>
      <c r="E117" s="115">
        <f t="shared" si="83"/>
        <v>1693.3448823444494</v>
      </c>
      <c r="F117" s="115">
        <f t="shared" si="83"/>
        <v>1798.6287077060665</v>
      </c>
      <c r="G117" s="115">
        <f t="shared" si="83"/>
        <v>1443.746021642266</v>
      </c>
      <c r="H117" s="115">
        <f t="shared" si="83"/>
        <v>1651.3925729442969</v>
      </c>
      <c r="I117" s="115">
        <f t="shared" si="83"/>
        <v>1630.7109463162983</v>
      </c>
      <c r="J117" s="115">
        <f t="shared" si="83"/>
        <v>1721.0290110594647</v>
      </c>
      <c r="K117" s="115">
        <f t="shared" si="83"/>
        <v>1091.1830549337008</v>
      </c>
      <c r="L117" s="115">
        <f t="shared" si="83"/>
        <v>1770.7515105740183</v>
      </c>
      <c r="M117" s="115">
        <f t="shared" si="83"/>
        <v>1485.9721762172906</v>
      </c>
      <c r="N117" s="115">
        <f t="shared" si="83"/>
        <v>1830.9474910339331</v>
      </c>
      <c r="O117" s="115">
        <f t="shared" si="83"/>
        <v>1856.9006876699184</v>
      </c>
      <c r="P117" s="115">
        <f t="shared" si="83"/>
        <v>1123.9115511074178</v>
      </c>
      <c r="Q117" s="115">
        <f t="shared" si="83"/>
        <v>1924.6486594239013</v>
      </c>
      <c r="R117" s="115">
        <f t="shared" si="83"/>
        <v>2141.6545880254212</v>
      </c>
      <c r="S117" s="115">
        <f t="shared" si="83"/>
        <v>2085.6576576576576</v>
      </c>
      <c r="T117" s="115">
        <f t="shared" si="83"/>
        <v>2271.4072415080254</v>
      </c>
      <c r="U117" s="115">
        <f t="shared" si="83"/>
        <v>2085.5954588883269</v>
      </c>
      <c r="V117" s="115">
        <f t="shared" si="83"/>
        <v>2093.8600197155333</v>
      </c>
      <c r="W117" s="115">
        <f t="shared" si="83"/>
        <v>2313.8781642246745</v>
      </c>
      <c r="X117" s="115">
        <f t="shared" si="83"/>
        <v>2111.1728465674182</v>
      </c>
      <c r="Y117" s="115">
        <f t="shared" si="83"/>
        <v>2085.2797751880321</v>
      </c>
      <c r="Z117" s="115">
        <f t="shared" si="83"/>
        <v>2717.8308823529414</v>
      </c>
      <c r="AA117" s="115">
        <f t="shared" si="83"/>
        <v>2292.5714789456665</v>
      </c>
      <c r="AB117" s="115">
        <f t="shared" si="83"/>
        <v>2850.3158766411561</v>
      </c>
      <c r="AC117" s="115">
        <f t="shared" si="83"/>
        <v>1978.6703027794354</v>
      </c>
      <c r="AD117" s="115">
        <f t="shared" si="83"/>
        <v>1537.6608255225012</v>
      </c>
      <c r="AE117" s="115">
        <f t="shared" si="83"/>
        <v>2200.1036806635566</v>
      </c>
      <c r="AF117" s="115">
        <f t="shared" si="83"/>
        <v>2782.028275577758</v>
      </c>
      <c r="AG117" s="115">
        <f t="shared" si="83"/>
        <v>2519.1027160433491</v>
      </c>
      <c r="AH117" s="115">
        <f t="shared" si="83"/>
        <v>2222.6772985381181</v>
      </c>
      <c r="AI117" s="115">
        <f t="shared" si="83"/>
        <v>2880.910919120538</v>
      </c>
      <c r="AJ117" s="115">
        <f t="shared" si="83"/>
        <v>3124.1692669841786</v>
      </c>
      <c r="AK117" s="115">
        <f t="shared" si="83"/>
        <v>2037.4693886515638</v>
      </c>
      <c r="AL117" s="115">
        <f t="shared" si="83"/>
        <v>3037.8494319044098</v>
      </c>
      <c r="AM117" s="115">
        <f t="shared" si="83"/>
        <v>2791.7236745546902</v>
      </c>
      <c r="AN117" s="115">
        <f t="shared" si="83"/>
        <v>3145.2820906439342</v>
      </c>
      <c r="AO117" s="115">
        <f t="shared" si="83"/>
        <v>3047.1962946281633</v>
      </c>
      <c r="AP117" s="115">
        <f t="shared" si="83"/>
        <v>3582.2586477713016</v>
      </c>
      <c r="AQ117" s="115">
        <f t="shared" si="83"/>
        <v>3446.3186707336654</v>
      </c>
      <c r="AR117" s="115">
        <f t="shared" si="83"/>
        <v>3271.5074581635745</v>
      </c>
      <c r="AS117" s="115">
        <f t="shared" si="83"/>
        <v>2920.4971411076449</v>
      </c>
      <c r="AT117" s="115">
        <f t="shared" si="83"/>
        <v>3477.2086333260613</v>
      </c>
      <c r="AU117" s="115">
        <f t="shared" si="83"/>
        <v>2016.2218528507804</v>
      </c>
      <c r="AV117" s="115">
        <f t="shared" si="83"/>
        <v>3006.0067784300672</v>
      </c>
      <c r="AW117" s="115">
        <f t="shared" si="83"/>
        <v>3233.3325822950228</v>
      </c>
      <c r="AX117" s="115">
        <f>AX118/AX116*1000000</f>
        <v>3003.2197740879824</v>
      </c>
      <c r="AY117" s="131">
        <f>AY118/AY116*1000000</f>
        <v>3424.6629511083256</v>
      </c>
      <c r="AZ117" s="117">
        <f>AZ118/AZ116*1000000</f>
        <v>3498.3761939750179</v>
      </c>
      <c r="BA117" s="110">
        <f>AZ117-AY117</f>
        <v>73.713242866692326</v>
      </c>
      <c r="BB117" s="118">
        <f t="shared" ref="BB117:BB118" si="84">AY117-AX117</f>
        <v>421.44317702034323</v>
      </c>
      <c r="BC117" s="119">
        <f t="shared" ref="BC117:BC118" si="85">AZ117-AX117</f>
        <v>495.15641988703555</v>
      </c>
      <c r="BD117" s="113">
        <f t="shared" si="79"/>
        <v>5.6018551538392636E-3</v>
      </c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</row>
    <row r="118" spans="1:79" s="129" customFormat="1" x14ac:dyDescent="0.25">
      <c r="A118" s="107" t="s">
        <v>61</v>
      </c>
      <c r="B118" s="108">
        <f t="shared" ref="B118:AX118" si="86">B122+B126+B130</f>
        <v>10.73</v>
      </c>
      <c r="C118" s="108">
        <f t="shared" si="86"/>
        <v>8.266</v>
      </c>
      <c r="D118" s="108">
        <f t="shared" si="86"/>
        <v>8.08</v>
      </c>
      <c r="E118" s="108">
        <f t="shared" si="86"/>
        <v>11.729800000000001</v>
      </c>
      <c r="F118" s="108">
        <f t="shared" si="86"/>
        <v>12.067</v>
      </c>
      <c r="G118" s="108">
        <f t="shared" si="86"/>
        <v>9.0724999999999998</v>
      </c>
      <c r="H118" s="108">
        <f t="shared" si="86"/>
        <v>9.9611999999999998</v>
      </c>
      <c r="I118" s="108">
        <f t="shared" si="86"/>
        <v>10.1153</v>
      </c>
      <c r="J118" s="108">
        <f t="shared" si="86"/>
        <v>10.737500000000001</v>
      </c>
      <c r="K118" s="108">
        <f t="shared" si="86"/>
        <v>6.3365</v>
      </c>
      <c r="L118" s="108">
        <f t="shared" si="86"/>
        <v>9.3779000000000003</v>
      </c>
      <c r="M118" s="108">
        <f t="shared" si="86"/>
        <v>8.9723000000000006</v>
      </c>
      <c r="N118" s="108">
        <f t="shared" si="86"/>
        <v>11.946200000000001</v>
      </c>
      <c r="O118" s="108">
        <f t="shared" si="86"/>
        <v>11.6112</v>
      </c>
      <c r="P118" s="108">
        <f t="shared" si="86"/>
        <v>6.2213000000000003</v>
      </c>
      <c r="Q118" s="108">
        <f t="shared" si="86"/>
        <v>9.6550000000000011</v>
      </c>
      <c r="R118" s="108">
        <f t="shared" si="86"/>
        <v>11.5251</v>
      </c>
      <c r="S118" s="108">
        <f t="shared" si="86"/>
        <v>11.5754</v>
      </c>
      <c r="T118" s="108">
        <f t="shared" si="86"/>
        <v>12.170200000000001</v>
      </c>
      <c r="U118" s="108">
        <f t="shared" si="86"/>
        <v>11.1327</v>
      </c>
      <c r="V118" s="108">
        <f t="shared" si="86"/>
        <v>11.8948</v>
      </c>
      <c r="W118" s="108">
        <f t="shared" si="86"/>
        <v>14.323600000000001</v>
      </c>
      <c r="X118" s="108">
        <f t="shared" si="86"/>
        <v>12.918900000000001</v>
      </c>
      <c r="Y118" s="108">
        <f t="shared" si="86"/>
        <v>12.614899999999999</v>
      </c>
      <c r="Z118" s="108">
        <f t="shared" si="86"/>
        <v>16.263500000000001</v>
      </c>
      <c r="AA118" s="108">
        <f t="shared" si="86"/>
        <v>15.6037</v>
      </c>
      <c r="AB118" s="108">
        <f t="shared" si="86"/>
        <v>21.340600000000002</v>
      </c>
      <c r="AC118" s="108">
        <f t="shared" si="86"/>
        <v>16.252600000000001</v>
      </c>
      <c r="AD118" s="108">
        <f t="shared" si="86"/>
        <v>13.206200000000001</v>
      </c>
      <c r="AE118" s="108">
        <f t="shared" si="86"/>
        <v>18.249200000000002</v>
      </c>
      <c r="AF118" s="108">
        <f t="shared" si="86"/>
        <v>22.944499999999998</v>
      </c>
      <c r="AG118" s="108">
        <f t="shared" si="86"/>
        <v>20.618099999999998</v>
      </c>
      <c r="AH118" s="108">
        <f t="shared" si="86"/>
        <v>18.397100000000002</v>
      </c>
      <c r="AI118" s="108">
        <f t="shared" si="86"/>
        <v>25.642700000000001</v>
      </c>
      <c r="AJ118" s="108">
        <f t="shared" si="86"/>
        <v>28.534599999999998</v>
      </c>
      <c r="AK118" s="108">
        <f t="shared" si="86"/>
        <v>18.553400000000003</v>
      </c>
      <c r="AL118" s="108">
        <f t="shared" si="86"/>
        <v>30.0258</v>
      </c>
      <c r="AM118" s="108">
        <f t="shared" si="86"/>
        <v>29.292718999999998</v>
      </c>
      <c r="AN118" s="108">
        <f t="shared" si="86"/>
        <v>34.831168399999996</v>
      </c>
      <c r="AO118" s="108">
        <f t="shared" si="86"/>
        <v>35.181100100000002</v>
      </c>
      <c r="AP118" s="108">
        <f t="shared" si="86"/>
        <v>41.05125120000001</v>
      </c>
      <c r="AQ118" s="108">
        <f t="shared" si="86"/>
        <v>40.787526100000008</v>
      </c>
      <c r="AR118" s="108">
        <f t="shared" si="86"/>
        <v>38.864200000000004</v>
      </c>
      <c r="AS118" s="108">
        <f t="shared" si="86"/>
        <v>35.294499999999999</v>
      </c>
      <c r="AT118" s="108">
        <f t="shared" si="86"/>
        <v>43.031500000000001</v>
      </c>
      <c r="AU118" s="108">
        <f t="shared" si="86"/>
        <v>25.715699999999998</v>
      </c>
      <c r="AV118" s="108">
        <f t="shared" si="86"/>
        <v>39.7346</v>
      </c>
      <c r="AW118" s="108">
        <f t="shared" si="86"/>
        <v>43.051500000000004</v>
      </c>
      <c r="AX118" s="108">
        <f t="shared" si="86"/>
        <v>39.828099999999999</v>
      </c>
      <c r="AY118" s="109">
        <f>AY122+AY126+AY130</f>
        <v>45.9011</v>
      </c>
      <c r="AZ118" s="110">
        <f>AZ122+AZ126+AZ130</f>
        <v>47.612899999999996</v>
      </c>
      <c r="BA118" s="110">
        <f>AZ118-AY118</f>
        <v>1.7117999999999967</v>
      </c>
      <c r="BB118" s="120">
        <f t="shared" si="84"/>
        <v>6.0730000000000004</v>
      </c>
      <c r="BC118" s="121">
        <f t="shared" si="85"/>
        <v>7.7847999999999971</v>
      </c>
      <c r="BD118" s="113">
        <f t="shared" si="79"/>
        <v>2.4463550044979021E-2</v>
      </c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</row>
    <row r="119" spans="1:79" x14ac:dyDescent="0.25">
      <c r="A119" s="122" t="s">
        <v>104</v>
      </c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4"/>
      <c r="AZ119" s="125"/>
      <c r="BA119" s="125"/>
      <c r="BB119" s="126"/>
      <c r="BC119" s="127"/>
      <c r="BD119" s="128"/>
      <c r="BS119" s="90"/>
    </row>
    <row r="120" spans="1:79" x14ac:dyDescent="0.25">
      <c r="A120" s="130" t="s">
        <v>59</v>
      </c>
      <c r="B120" s="132">
        <v>2200</v>
      </c>
      <c r="C120" s="132">
        <v>2349</v>
      </c>
      <c r="D120" s="132">
        <v>2350</v>
      </c>
      <c r="E120" s="132">
        <v>2420</v>
      </c>
      <c r="F120" s="132">
        <v>2350</v>
      </c>
      <c r="G120" s="132">
        <v>2197</v>
      </c>
      <c r="H120" s="132">
        <v>2050</v>
      </c>
      <c r="I120" s="132">
        <v>2200</v>
      </c>
      <c r="J120" s="132">
        <v>2170</v>
      </c>
      <c r="K120" s="132">
        <v>2140</v>
      </c>
      <c r="L120" s="132">
        <v>1776</v>
      </c>
      <c r="M120" s="132">
        <v>2149</v>
      </c>
      <c r="N120" s="132">
        <v>2406.9</v>
      </c>
      <c r="O120" s="132">
        <v>2286</v>
      </c>
      <c r="P120" s="132">
        <v>1966</v>
      </c>
      <c r="Q120" s="132">
        <v>1797.5</v>
      </c>
      <c r="R120" s="132">
        <v>2000</v>
      </c>
      <c r="S120" s="132">
        <v>2110</v>
      </c>
      <c r="T120" s="132">
        <v>2120.6</v>
      </c>
      <c r="U120" s="132">
        <v>2311.5</v>
      </c>
      <c r="V120" s="132">
        <v>2496.4</v>
      </c>
      <c r="W120" s="132">
        <v>2820</v>
      </c>
      <c r="X120" s="132">
        <v>2769.2</v>
      </c>
      <c r="Y120" s="108">
        <v>2835.6</v>
      </c>
      <c r="Z120" s="132">
        <v>2818</v>
      </c>
      <c r="AA120" s="132">
        <v>3283</v>
      </c>
      <c r="AB120" s="132">
        <v>3637.6</v>
      </c>
      <c r="AC120" s="132">
        <v>3935.9</v>
      </c>
      <c r="AD120" s="132">
        <v>4148.3999999999996</v>
      </c>
      <c r="AE120" s="132">
        <v>3982.5</v>
      </c>
      <c r="AF120" s="132">
        <v>3978.5</v>
      </c>
      <c r="AG120" s="132">
        <v>3977.3</v>
      </c>
      <c r="AH120" s="108">
        <v>4069.2</v>
      </c>
      <c r="AI120" s="108">
        <v>4485.1000000000004</v>
      </c>
      <c r="AJ120" s="108">
        <v>4590.5</v>
      </c>
      <c r="AK120" s="108">
        <v>4460.6000000000004</v>
      </c>
      <c r="AL120" s="108">
        <v>4752.8</v>
      </c>
      <c r="AM120" s="108">
        <v>5010.3999999999996</v>
      </c>
      <c r="AN120" s="108">
        <v>5224.8</v>
      </c>
      <c r="AO120" s="108">
        <v>5451.3</v>
      </c>
      <c r="AP120" s="108">
        <v>5249.6</v>
      </c>
      <c r="AQ120" s="108">
        <v>5464.8</v>
      </c>
      <c r="AR120" s="108">
        <v>5437.5</v>
      </c>
      <c r="AS120" s="108">
        <v>5502.7</v>
      </c>
      <c r="AT120" s="108">
        <v>5623.8</v>
      </c>
      <c r="AU120" s="108">
        <v>5668.8</v>
      </c>
      <c r="AV120" s="108">
        <v>5450</v>
      </c>
      <c r="AW120" s="108">
        <v>5542.8</v>
      </c>
      <c r="AX120" s="108">
        <v>5343.3</v>
      </c>
      <c r="AY120" s="109">
        <v>5412.8</v>
      </c>
      <c r="AZ120" s="110">
        <v>5880</v>
      </c>
      <c r="BA120" s="110">
        <f>AZ120-AY120</f>
        <v>467.19999999999982</v>
      </c>
      <c r="BB120" s="111">
        <f>AY120-AX120</f>
        <v>69.5</v>
      </c>
      <c r="BC120" s="112">
        <f>AZ120-AX120</f>
        <v>536.69999999999982</v>
      </c>
      <c r="BD120" s="113">
        <f t="shared" si="79"/>
        <v>-5.8618402265527836E-3</v>
      </c>
      <c r="BF120" s="114" t="b">
        <v>0</v>
      </c>
      <c r="BG120" s="90" t="s">
        <v>124</v>
      </c>
      <c r="BS120" s="90"/>
    </row>
    <row r="121" spans="1:79" x14ac:dyDescent="0.25">
      <c r="A121" s="130" t="s">
        <v>60</v>
      </c>
      <c r="B121" s="115">
        <v>2090.909090909091</v>
      </c>
      <c r="C121" s="115">
        <v>1340.9961685823755</v>
      </c>
      <c r="D121" s="115">
        <v>1723.4042553191489</v>
      </c>
      <c r="E121" s="115">
        <v>2239.6694214876034</v>
      </c>
      <c r="F121" s="115">
        <v>2229.7872340425533</v>
      </c>
      <c r="G121" s="115">
        <v>1939.9180700955849</v>
      </c>
      <c r="H121" s="115">
        <v>2109.7560975609758</v>
      </c>
      <c r="I121" s="115">
        <v>1870</v>
      </c>
      <c r="J121" s="115">
        <v>2050</v>
      </c>
      <c r="K121" s="115">
        <v>1200</v>
      </c>
      <c r="L121" s="115">
        <v>2169.9887387387384</v>
      </c>
      <c r="M121" s="115">
        <v>2220.0093066542577</v>
      </c>
      <c r="N121" s="115">
        <v>2100.0041547218411</v>
      </c>
      <c r="O121" s="115">
        <v>2000</v>
      </c>
      <c r="P121" s="115">
        <v>1840</v>
      </c>
      <c r="Q121" s="115">
        <v>1900</v>
      </c>
      <c r="R121" s="115">
        <v>2360</v>
      </c>
      <c r="S121" s="115">
        <v>2525</v>
      </c>
      <c r="T121" s="115">
        <v>2610</v>
      </c>
      <c r="U121" s="115">
        <v>2700</v>
      </c>
      <c r="V121" s="115">
        <v>2630</v>
      </c>
      <c r="W121" s="115">
        <v>2550</v>
      </c>
      <c r="X121" s="115">
        <v>2789</v>
      </c>
      <c r="Y121" s="115">
        <v>2516</v>
      </c>
      <c r="Z121" s="115">
        <v>3060</v>
      </c>
      <c r="AA121" s="115">
        <v>2887</v>
      </c>
      <c r="AB121" s="115">
        <v>3016</v>
      </c>
      <c r="AC121" s="115">
        <v>2550</v>
      </c>
      <c r="AD121" s="115">
        <v>2340</v>
      </c>
      <c r="AE121" s="115">
        <v>2422</v>
      </c>
      <c r="AF121" s="115">
        <v>2995</v>
      </c>
      <c r="AG121" s="115">
        <v>2991</v>
      </c>
      <c r="AH121" s="115">
        <v>2337</v>
      </c>
      <c r="AI121" s="115">
        <v>3139</v>
      </c>
      <c r="AJ121" s="115">
        <v>3360</v>
      </c>
      <c r="AK121" s="115">
        <v>2453</v>
      </c>
      <c r="AL121" s="115">
        <v>3348</v>
      </c>
      <c r="AM121" s="115">
        <v>2950</v>
      </c>
      <c r="AN121" s="115">
        <v>3294</v>
      </c>
      <c r="AO121" s="115">
        <v>3090</v>
      </c>
      <c r="AP121" s="115">
        <v>3795</v>
      </c>
      <c r="AQ121" s="115">
        <v>3668</v>
      </c>
      <c r="AR121" s="115">
        <v>3112</v>
      </c>
      <c r="AS121" s="115">
        <v>3925</v>
      </c>
      <c r="AT121" s="115">
        <v>3535</v>
      </c>
      <c r="AU121" s="115">
        <v>2161</v>
      </c>
      <c r="AV121" s="115">
        <v>3860</v>
      </c>
      <c r="AW121" s="115">
        <v>3155</v>
      </c>
      <c r="AX121" s="115">
        <f>AX122/AX120*1000000</f>
        <v>3739.000243295342</v>
      </c>
      <c r="AY121" s="131">
        <f>AY122/AY120*1000000</f>
        <v>3759.994827076559</v>
      </c>
      <c r="AZ121" s="117">
        <v>3780</v>
      </c>
      <c r="BA121" s="110">
        <f>AZ121-AY121</f>
        <v>20.005172923441023</v>
      </c>
      <c r="BB121" s="118">
        <f t="shared" ref="BB121:BB122" si="87">AY121-AX121</f>
        <v>20.994583781216988</v>
      </c>
      <c r="BC121" s="119">
        <f t="shared" ref="BC121:BC122" si="88">AZ121-AX121</f>
        <v>40.999756704658012</v>
      </c>
      <c r="BD121" s="113">
        <f t="shared" si="79"/>
        <v>-9.6626318882477857E-3</v>
      </c>
      <c r="BS121" s="90"/>
    </row>
    <row r="122" spans="1:79" s="129" customFormat="1" x14ac:dyDescent="0.25">
      <c r="A122" s="130" t="s">
        <v>61</v>
      </c>
      <c r="B122" s="132">
        <v>4.5999999999999996</v>
      </c>
      <c r="C122" s="132">
        <v>3.15</v>
      </c>
      <c r="D122" s="132">
        <v>4.05</v>
      </c>
      <c r="E122" s="132">
        <v>5.42</v>
      </c>
      <c r="F122" s="132">
        <v>5.24</v>
      </c>
      <c r="G122" s="132">
        <v>4.2619999999999996</v>
      </c>
      <c r="H122" s="132">
        <v>4.3250000000000002</v>
      </c>
      <c r="I122" s="132">
        <v>4.1139999999999999</v>
      </c>
      <c r="J122" s="132">
        <v>4.4485000000000001</v>
      </c>
      <c r="K122" s="132">
        <v>2.5680000000000001</v>
      </c>
      <c r="L122" s="132">
        <v>3.8538999999999999</v>
      </c>
      <c r="M122" s="132">
        <v>4.7708000000000004</v>
      </c>
      <c r="N122" s="132">
        <v>5.0545</v>
      </c>
      <c r="O122" s="132">
        <v>4.5720000000000001</v>
      </c>
      <c r="P122" s="132">
        <v>3.6173999999999999</v>
      </c>
      <c r="Q122" s="132">
        <v>3.4153000000000002</v>
      </c>
      <c r="R122" s="132">
        <v>4.72</v>
      </c>
      <c r="S122" s="132">
        <v>5.3277999999999999</v>
      </c>
      <c r="T122" s="132">
        <v>5.5348000000000006</v>
      </c>
      <c r="U122" s="132">
        <v>6.2411000000000003</v>
      </c>
      <c r="V122" s="132">
        <v>6.5655000000000001</v>
      </c>
      <c r="W122" s="132">
        <v>7.1909999999999998</v>
      </c>
      <c r="X122" s="132">
        <v>7.7233000000000001</v>
      </c>
      <c r="Y122" s="132">
        <v>7.1343999999999994</v>
      </c>
      <c r="Z122" s="132">
        <v>8.6231000000000009</v>
      </c>
      <c r="AA122" s="132">
        <v>9.4779999999999998</v>
      </c>
      <c r="AB122" s="132">
        <v>10.971</v>
      </c>
      <c r="AC122" s="132">
        <v>10.0365</v>
      </c>
      <c r="AD122" s="132">
        <v>9.7073</v>
      </c>
      <c r="AE122" s="132">
        <v>9.6456</v>
      </c>
      <c r="AF122" s="132">
        <v>11.9156</v>
      </c>
      <c r="AG122" s="132">
        <v>11.896100000000001</v>
      </c>
      <c r="AH122" s="132">
        <v>9.5097000000000005</v>
      </c>
      <c r="AI122" s="132">
        <v>14.078700000000001</v>
      </c>
      <c r="AJ122" s="132">
        <v>15.424100000000001</v>
      </c>
      <c r="AK122" s="132">
        <v>10.9419</v>
      </c>
      <c r="AL122" s="132">
        <v>15.9124</v>
      </c>
      <c r="AM122" s="132">
        <v>14.780679999999998</v>
      </c>
      <c r="AN122" s="132">
        <v>17.2104912</v>
      </c>
      <c r="AO122" s="132">
        <v>16.844517</v>
      </c>
      <c r="AP122" s="132">
        <v>19.922232000000001</v>
      </c>
      <c r="AQ122" s="132">
        <v>20.044886400000003</v>
      </c>
      <c r="AR122" s="132">
        <v>16.921500000000002</v>
      </c>
      <c r="AS122" s="132">
        <v>21.598099999999999</v>
      </c>
      <c r="AT122" s="132">
        <v>19.880099999999999</v>
      </c>
      <c r="AU122" s="132">
        <v>13.174299999999999</v>
      </c>
      <c r="AV122" s="132">
        <v>21.543900000000001</v>
      </c>
      <c r="AW122" s="132">
        <v>18.329999999999998</v>
      </c>
      <c r="AX122" s="132">
        <v>19.9786</v>
      </c>
      <c r="AY122" s="109">
        <v>20.3521</v>
      </c>
      <c r="AZ122" s="110">
        <f>AZ121*AZ120/1000000</f>
        <v>22.226400000000002</v>
      </c>
      <c r="BA122" s="110">
        <f>AZ122-AY122</f>
        <v>1.8743000000000016</v>
      </c>
      <c r="BB122" s="120">
        <f t="shared" si="87"/>
        <v>0.37349999999999994</v>
      </c>
      <c r="BC122" s="121">
        <f t="shared" si="88"/>
        <v>2.2478000000000016</v>
      </c>
      <c r="BD122" s="113">
        <f t="shared" si="79"/>
        <v>-1.5467854102606093E-2</v>
      </c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</row>
    <row r="123" spans="1:79" x14ac:dyDescent="0.25">
      <c r="A123" s="122" t="s">
        <v>105</v>
      </c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4"/>
      <c r="AZ123" s="125"/>
      <c r="BA123" s="125"/>
      <c r="BB123" s="126"/>
      <c r="BC123" s="127"/>
      <c r="BD123" s="128"/>
      <c r="BG123" s="90" t="s">
        <v>124</v>
      </c>
      <c r="BS123" s="90"/>
    </row>
    <row r="124" spans="1:79" x14ac:dyDescent="0.25">
      <c r="A124" s="130" t="s">
        <v>59</v>
      </c>
      <c r="B124" s="132">
        <v>351</v>
      </c>
      <c r="C124" s="132">
        <v>409</v>
      </c>
      <c r="D124" s="132">
        <v>480</v>
      </c>
      <c r="E124" s="132">
        <v>520</v>
      </c>
      <c r="F124" s="132">
        <v>510</v>
      </c>
      <c r="G124" s="132">
        <v>484</v>
      </c>
      <c r="H124" s="132">
        <v>415</v>
      </c>
      <c r="I124" s="132">
        <v>436</v>
      </c>
      <c r="J124" s="132">
        <v>432</v>
      </c>
      <c r="K124" s="132">
        <v>406</v>
      </c>
      <c r="L124" s="132">
        <v>360</v>
      </c>
      <c r="M124" s="132">
        <v>413</v>
      </c>
      <c r="N124" s="132">
        <v>433.7</v>
      </c>
      <c r="O124" s="132">
        <v>390</v>
      </c>
      <c r="P124" s="132">
        <v>300</v>
      </c>
      <c r="Q124" s="132">
        <v>249</v>
      </c>
      <c r="R124" s="132">
        <v>281.39999999999998</v>
      </c>
      <c r="S124" s="132">
        <v>278</v>
      </c>
      <c r="T124" s="132">
        <v>222.4</v>
      </c>
      <c r="U124" s="132">
        <v>222.4</v>
      </c>
      <c r="V124" s="132">
        <v>240.2</v>
      </c>
      <c r="W124" s="132">
        <v>220</v>
      </c>
      <c r="X124" s="132">
        <v>215.6</v>
      </c>
      <c r="Y124" s="108">
        <v>204.8</v>
      </c>
      <c r="Z124" s="132">
        <v>196</v>
      </c>
      <c r="AA124" s="132">
        <v>241.3</v>
      </c>
      <c r="AB124" s="132">
        <v>255.8</v>
      </c>
      <c r="AC124" s="132">
        <v>307</v>
      </c>
      <c r="AD124" s="132">
        <v>350</v>
      </c>
      <c r="AE124" s="132">
        <v>344.8</v>
      </c>
      <c r="AF124" s="132">
        <v>376.9</v>
      </c>
      <c r="AG124" s="132">
        <v>373.4</v>
      </c>
      <c r="AH124" s="108">
        <v>385.3</v>
      </c>
      <c r="AI124" s="108">
        <v>439.6</v>
      </c>
      <c r="AJ124" s="108">
        <v>458.2</v>
      </c>
      <c r="AK124" s="108">
        <v>448.3</v>
      </c>
      <c r="AL124" s="108">
        <v>512.5</v>
      </c>
      <c r="AM124" s="108">
        <v>542.70000000000005</v>
      </c>
      <c r="AN124" s="108">
        <v>600.1</v>
      </c>
      <c r="AO124" s="108">
        <v>639.1</v>
      </c>
      <c r="AP124" s="108">
        <v>640.4</v>
      </c>
      <c r="AQ124" s="108">
        <v>678.2</v>
      </c>
      <c r="AR124" s="108">
        <v>664.6</v>
      </c>
      <c r="AS124" s="108">
        <v>680.6</v>
      </c>
      <c r="AT124" s="108">
        <v>696.3</v>
      </c>
      <c r="AU124" s="108">
        <v>727.6</v>
      </c>
      <c r="AV124" s="108">
        <v>733.4</v>
      </c>
      <c r="AW124" s="108">
        <v>792.1</v>
      </c>
      <c r="AX124" s="108">
        <v>819.8</v>
      </c>
      <c r="AY124" s="109">
        <v>820.6</v>
      </c>
      <c r="AZ124" s="110">
        <v>880</v>
      </c>
      <c r="BA124" s="110">
        <f>AZ124-AY124</f>
        <v>59.399999999999977</v>
      </c>
      <c r="BB124" s="111">
        <f>AY124-AX124</f>
        <v>0.80000000000006821</v>
      </c>
      <c r="BC124" s="112">
        <f>AZ124-AX124</f>
        <v>60.200000000000045</v>
      </c>
      <c r="BD124" s="113">
        <f t="shared" si="79"/>
        <v>3.7918358757165205E-2</v>
      </c>
      <c r="BF124" s="114" t="b">
        <v>0</v>
      </c>
      <c r="BS124" s="90"/>
    </row>
    <row r="125" spans="1:79" x14ac:dyDescent="0.25">
      <c r="A125" s="130" t="s">
        <v>60</v>
      </c>
      <c r="B125" s="115">
        <v>1367.5213675213674</v>
      </c>
      <c r="C125" s="115">
        <v>1075.7946210268949</v>
      </c>
      <c r="D125" s="115">
        <v>895.83333333333337</v>
      </c>
      <c r="E125" s="115">
        <v>1400</v>
      </c>
      <c r="F125" s="115">
        <v>1349.0196078431372</v>
      </c>
      <c r="G125" s="115">
        <v>1154.9586776859503</v>
      </c>
      <c r="H125" s="115">
        <v>1049.8795180722891</v>
      </c>
      <c r="I125" s="115">
        <v>1369.954128440367</v>
      </c>
      <c r="J125" s="115">
        <v>1340.0462962962963</v>
      </c>
      <c r="K125" s="115">
        <v>1250</v>
      </c>
      <c r="L125" s="115">
        <v>1300</v>
      </c>
      <c r="M125" s="115">
        <v>1420.0968523002423</v>
      </c>
      <c r="N125" s="115">
        <v>1450.080700945354</v>
      </c>
      <c r="O125" s="115">
        <v>1540</v>
      </c>
      <c r="P125" s="115">
        <v>833</v>
      </c>
      <c r="Q125" s="115">
        <v>1800</v>
      </c>
      <c r="R125" s="115">
        <v>1820</v>
      </c>
      <c r="S125" s="115">
        <v>2000</v>
      </c>
      <c r="T125" s="115">
        <v>2180</v>
      </c>
      <c r="U125" s="115">
        <v>2200</v>
      </c>
      <c r="V125" s="115">
        <v>2330</v>
      </c>
      <c r="W125" s="115">
        <v>2350.1999999999998</v>
      </c>
      <c r="X125" s="115">
        <v>2000</v>
      </c>
      <c r="Y125" s="115">
        <v>2517</v>
      </c>
      <c r="Z125" s="115">
        <v>2690</v>
      </c>
      <c r="AA125" s="115">
        <v>2265</v>
      </c>
      <c r="AB125" s="115">
        <v>2887</v>
      </c>
      <c r="AC125" s="115">
        <v>2139</v>
      </c>
      <c r="AD125" s="115">
        <v>1840</v>
      </c>
      <c r="AE125" s="115">
        <v>2400</v>
      </c>
      <c r="AF125" s="115">
        <v>2930</v>
      </c>
      <c r="AG125" s="115">
        <v>2535</v>
      </c>
      <c r="AH125" s="115">
        <v>2530</v>
      </c>
      <c r="AI125" s="115">
        <v>3060</v>
      </c>
      <c r="AJ125" s="115">
        <v>3250</v>
      </c>
      <c r="AK125" s="115">
        <v>2420</v>
      </c>
      <c r="AL125" s="115">
        <v>3080</v>
      </c>
      <c r="AM125" s="115">
        <v>3030</v>
      </c>
      <c r="AN125" s="115">
        <v>3200</v>
      </c>
      <c r="AO125" s="115">
        <v>3341</v>
      </c>
      <c r="AP125" s="115">
        <v>3580</v>
      </c>
      <c r="AQ125" s="115">
        <v>3484</v>
      </c>
      <c r="AR125" s="115">
        <v>3642</v>
      </c>
      <c r="AS125" s="115">
        <v>3310</v>
      </c>
      <c r="AT125" s="115">
        <v>3395</v>
      </c>
      <c r="AU125" s="115">
        <v>2802</v>
      </c>
      <c r="AV125" s="115">
        <v>3918</v>
      </c>
      <c r="AW125" s="115">
        <v>3750</v>
      </c>
      <c r="AX125" s="115">
        <f>AX126/AX124*1000000</f>
        <v>3933.0324469382786</v>
      </c>
      <c r="AY125" s="131">
        <f>AY126/AY124*1000000</f>
        <v>3796.0029246892518</v>
      </c>
      <c r="AZ125" s="117">
        <v>3550</v>
      </c>
      <c r="BA125" s="110">
        <f>AZ125-AY125</f>
        <v>-246.00292468925181</v>
      </c>
      <c r="BB125" s="118">
        <f t="shared" ref="BB125:BB126" si="89">AY125-AX125</f>
        <v>-137.02952224902674</v>
      </c>
      <c r="BC125" s="119">
        <f t="shared" ref="BC125:BC126" si="90">AZ125-AX125</f>
        <v>-383.03244693827855</v>
      </c>
      <c r="BD125" s="113">
        <f t="shared" si="79"/>
        <v>3.5094276308145211E-2</v>
      </c>
      <c r="BS125" s="90"/>
    </row>
    <row r="126" spans="1:79" s="129" customFormat="1" x14ac:dyDescent="0.25">
      <c r="A126" s="130" t="s">
        <v>61</v>
      </c>
      <c r="B126" s="132">
        <v>0.48</v>
      </c>
      <c r="C126" s="132">
        <v>0.44</v>
      </c>
      <c r="D126" s="132">
        <v>0.43</v>
      </c>
      <c r="E126" s="132">
        <v>0.72799999999999998</v>
      </c>
      <c r="F126" s="132">
        <v>0.68799999999999994</v>
      </c>
      <c r="G126" s="132">
        <v>0.55900000000000005</v>
      </c>
      <c r="H126" s="132">
        <v>0.43569999999999998</v>
      </c>
      <c r="I126" s="132">
        <v>0.59729999999999994</v>
      </c>
      <c r="J126" s="132">
        <v>0.57889999999999997</v>
      </c>
      <c r="K126" s="132">
        <v>0.50749999999999995</v>
      </c>
      <c r="L126" s="132">
        <v>0.46800000000000003</v>
      </c>
      <c r="M126" s="132">
        <v>0.58650000000000002</v>
      </c>
      <c r="N126" s="132">
        <v>0.62890000000000001</v>
      </c>
      <c r="O126" s="132">
        <v>0.60060000000000002</v>
      </c>
      <c r="P126" s="132">
        <v>0.24990000000000001</v>
      </c>
      <c r="Q126" s="132">
        <v>0.44819999999999999</v>
      </c>
      <c r="R126" s="132">
        <v>0.5121</v>
      </c>
      <c r="S126" s="132">
        <v>0.55600000000000005</v>
      </c>
      <c r="T126" s="132">
        <v>0.48480000000000001</v>
      </c>
      <c r="U126" s="132">
        <v>0.48930000000000001</v>
      </c>
      <c r="V126" s="132">
        <v>0.55970000000000009</v>
      </c>
      <c r="W126" s="132">
        <v>0.51700000000000002</v>
      </c>
      <c r="X126" s="132">
        <v>0.43119999999999997</v>
      </c>
      <c r="Y126" s="132">
        <v>0.51549999999999996</v>
      </c>
      <c r="Z126" s="132">
        <v>0.5272</v>
      </c>
      <c r="AA126" s="132">
        <v>0.54649999999999999</v>
      </c>
      <c r="AB126" s="132">
        <v>0.73850000000000005</v>
      </c>
      <c r="AC126" s="132">
        <v>0.65670000000000006</v>
      </c>
      <c r="AD126" s="132">
        <v>0.64400000000000002</v>
      </c>
      <c r="AE126" s="132">
        <v>0.82750000000000001</v>
      </c>
      <c r="AF126" s="132">
        <v>1.1043000000000001</v>
      </c>
      <c r="AG126" s="132">
        <v>0.9466</v>
      </c>
      <c r="AH126" s="132">
        <v>0.9748</v>
      </c>
      <c r="AI126" s="132">
        <v>1.3452</v>
      </c>
      <c r="AJ126" s="132">
        <v>1.4892000000000001</v>
      </c>
      <c r="AK126" s="132">
        <v>1.0849000000000002</v>
      </c>
      <c r="AL126" s="132">
        <v>1.5785</v>
      </c>
      <c r="AM126" s="132">
        <v>1.6443810000000003</v>
      </c>
      <c r="AN126" s="132">
        <v>1.92032</v>
      </c>
      <c r="AO126" s="132">
        <v>2.1352330999999998</v>
      </c>
      <c r="AP126" s="132">
        <v>2.2926320000000002</v>
      </c>
      <c r="AQ126" s="132">
        <v>2.3628488000000001</v>
      </c>
      <c r="AR126" s="132">
        <v>2.4205000000000001</v>
      </c>
      <c r="AS126" s="132">
        <v>2.2528000000000001</v>
      </c>
      <c r="AT126" s="132">
        <v>2.3639000000000001</v>
      </c>
      <c r="AU126" s="132">
        <v>2.1078999999999999</v>
      </c>
      <c r="AV126" s="132">
        <v>2.8895999999999997</v>
      </c>
      <c r="AW126" s="132">
        <v>2.9648000000000003</v>
      </c>
      <c r="AX126" s="132">
        <v>3.2243000000000004</v>
      </c>
      <c r="AY126" s="109">
        <v>3.1150000000000002</v>
      </c>
      <c r="AZ126" s="110">
        <f>AZ125*AZ124/1000000</f>
        <v>3.1240000000000001</v>
      </c>
      <c r="BA126" s="110">
        <f>AZ126-AY126</f>
        <v>8.999999999999897E-3</v>
      </c>
      <c r="BB126" s="120">
        <f t="shared" si="89"/>
        <v>-0.10930000000000017</v>
      </c>
      <c r="BC126" s="121">
        <f t="shared" si="90"/>
        <v>-0.10030000000000028</v>
      </c>
      <c r="BD126" s="113">
        <f t="shared" si="79"/>
        <v>7.4342017122455584E-2</v>
      </c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  <c r="CA126" s="90"/>
    </row>
    <row r="127" spans="1:79" x14ac:dyDescent="0.25">
      <c r="A127" s="122" t="s">
        <v>106</v>
      </c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4"/>
      <c r="AZ127" s="125"/>
      <c r="BA127" s="125"/>
      <c r="BB127" s="126"/>
      <c r="BC127" s="127"/>
      <c r="BD127" s="128"/>
      <c r="BS127" s="90"/>
    </row>
    <row r="128" spans="1:79" x14ac:dyDescent="0.25">
      <c r="A128" s="130" t="s">
        <v>59</v>
      </c>
      <c r="B128" s="132">
        <v>3490</v>
      </c>
      <c r="C128" s="132">
        <v>3754</v>
      </c>
      <c r="D128" s="132">
        <v>3950</v>
      </c>
      <c r="E128" s="132">
        <v>3987</v>
      </c>
      <c r="F128" s="132">
        <v>3849</v>
      </c>
      <c r="G128" s="132">
        <v>3603</v>
      </c>
      <c r="H128" s="132">
        <v>3567</v>
      </c>
      <c r="I128" s="132">
        <v>3567</v>
      </c>
      <c r="J128" s="132">
        <v>3637</v>
      </c>
      <c r="K128" s="132">
        <v>3261</v>
      </c>
      <c r="L128" s="132">
        <v>3160</v>
      </c>
      <c r="M128" s="132">
        <v>3476</v>
      </c>
      <c r="N128" s="132">
        <v>3684</v>
      </c>
      <c r="O128" s="132">
        <v>3577</v>
      </c>
      <c r="P128" s="132">
        <v>3269.4</v>
      </c>
      <c r="Q128" s="132">
        <v>2970</v>
      </c>
      <c r="R128" s="132">
        <v>3100</v>
      </c>
      <c r="S128" s="132">
        <v>3162</v>
      </c>
      <c r="T128" s="132">
        <v>3015</v>
      </c>
      <c r="U128" s="132">
        <v>2804</v>
      </c>
      <c r="V128" s="132">
        <v>2944.2</v>
      </c>
      <c r="W128" s="132">
        <v>3150.3</v>
      </c>
      <c r="X128" s="132">
        <v>3134.5</v>
      </c>
      <c r="Y128" s="108">
        <v>3009.1</v>
      </c>
      <c r="Z128" s="132">
        <v>2970</v>
      </c>
      <c r="AA128" s="132">
        <v>3281.9</v>
      </c>
      <c r="AB128" s="132">
        <v>3593.7</v>
      </c>
      <c r="AC128" s="132">
        <v>3971</v>
      </c>
      <c r="AD128" s="132">
        <v>4090.1</v>
      </c>
      <c r="AE128" s="132">
        <v>3967.4</v>
      </c>
      <c r="AF128" s="132">
        <v>3892</v>
      </c>
      <c r="AG128" s="132">
        <v>3834</v>
      </c>
      <c r="AH128" s="108">
        <v>3822.5</v>
      </c>
      <c r="AI128" s="108">
        <v>3976.2</v>
      </c>
      <c r="AJ128" s="108">
        <v>4084.8</v>
      </c>
      <c r="AK128" s="108">
        <v>4197.2</v>
      </c>
      <c r="AL128" s="108">
        <v>4618.6000000000004</v>
      </c>
      <c r="AM128" s="108">
        <v>4939.6000000000004</v>
      </c>
      <c r="AN128" s="108">
        <v>5249.2</v>
      </c>
      <c r="AO128" s="108">
        <v>5455</v>
      </c>
      <c r="AP128" s="108">
        <v>5569.6</v>
      </c>
      <c r="AQ128" s="108">
        <v>5692.1</v>
      </c>
      <c r="AR128" s="108">
        <v>5777.5</v>
      </c>
      <c r="AS128" s="108">
        <v>5901.8</v>
      </c>
      <c r="AT128" s="108">
        <v>6055.2</v>
      </c>
      <c r="AU128" s="108">
        <v>6358</v>
      </c>
      <c r="AV128" s="108">
        <v>7035</v>
      </c>
      <c r="AW128" s="108">
        <v>6980</v>
      </c>
      <c r="AX128" s="108">
        <v>7098.7</v>
      </c>
      <c r="AY128" s="109">
        <v>7169.7</v>
      </c>
      <c r="AZ128" s="110">
        <v>6850</v>
      </c>
      <c r="BA128" s="110">
        <f>AZ128-AY128</f>
        <v>-319.69999999999982</v>
      </c>
      <c r="BB128" s="111">
        <f>AY128-AX128</f>
        <v>71</v>
      </c>
      <c r="BC128" s="112">
        <f>AZ128-AX128</f>
        <v>-248.69999999999982</v>
      </c>
      <c r="BD128" s="113">
        <f t="shared" si="79"/>
        <v>3.7621272981640974E-2</v>
      </c>
      <c r="BF128" s="114" t="b">
        <v>0</v>
      </c>
      <c r="BG128" s="90" t="s">
        <v>125</v>
      </c>
      <c r="BS128" s="90"/>
    </row>
    <row r="129" spans="1:91" x14ac:dyDescent="0.25">
      <c r="A129" s="130" t="s">
        <v>60</v>
      </c>
      <c r="B129" s="115">
        <v>1618.9111747851005</v>
      </c>
      <c r="C129" s="115">
        <v>1245.6046883324454</v>
      </c>
      <c r="D129" s="115">
        <v>911.392406073291</v>
      </c>
      <c r="E129" s="115">
        <v>1400</v>
      </c>
      <c r="F129" s="115">
        <v>1594.959729799948</v>
      </c>
      <c r="G129" s="115">
        <v>1179.9888981404386</v>
      </c>
      <c r="H129" s="115">
        <v>1457.9478553406225</v>
      </c>
      <c r="I129" s="115">
        <v>1514.9985982618448</v>
      </c>
      <c r="J129" s="115">
        <v>1570.0027495188342</v>
      </c>
      <c r="K129" s="115">
        <v>1000</v>
      </c>
      <c r="L129" s="115">
        <v>1600</v>
      </c>
      <c r="M129" s="115">
        <v>1039.9884925201382</v>
      </c>
      <c r="N129" s="115">
        <v>1700</v>
      </c>
      <c r="O129" s="115">
        <v>1800</v>
      </c>
      <c r="P129" s="115">
        <v>720</v>
      </c>
      <c r="Q129" s="115">
        <v>1950</v>
      </c>
      <c r="R129" s="115">
        <v>2030</v>
      </c>
      <c r="S129" s="115">
        <v>1800</v>
      </c>
      <c r="T129" s="115">
        <v>2040</v>
      </c>
      <c r="U129" s="115">
        <v>1570</v>
      </c>
      <c r="V129" s="115">
        <v>1620</v>
      </c>
      <c r="W129" s="115">
        <v>2100</v>
      </c>
      <c r="X129" s="115">
        <v>1520</v>
      </c>
      <c r="Y129" s="115">
        <v>1650</v>
      </c>
      <c r="Z129" s="115">
        <v>2395</v>
      </c>
      <c r="AA129" s="115">
        <v>1700</v>
      </c>
      <c r="AB129" s="115">
        <v>2680</v>
      </c>
      <c r="AC129" s="115">
        <v>1400</v>
      </c>
      <c r="AD129" s="115">
        <v>698</v>
      </c>
      <c r="AE129" s="115">
        <v>1960</v>
      </c>
      <c r="AF129" s="115">
        <v>2550</v>
      </c>
      <c r="AG129" s="115">
        <v>2028</v>
      </c>
      <c r="AH129" s="115">
        <v>2070</v>
      </c>
      <c r="AI129" s="115">
        <v>2570</v>
      </c>
      <c r="AJ129" s="115">
        <v>2845</v>
      </c>
      <c r="AK129" s="115">
        <v>1555</v>
      </c>
      <c r="AL129" s="115">
        <v>2714</v>
      </c>
      <c r="AM129" s="115">
        <v>2605</v>
      </c>
      <c r="AN129" s="115">
        <v>2991</v>
      </c>
      <c r="AO129" s="115">
        <v>2970</v>
      </c>
      <c r="AP129" s="115">
        <v>3382</v>
      </c>
      <c r="AQ129" s="115">
        <v>3229</v>
      </c>
      <c r="AR129" s="115">
        <v>3379</v>
      </c>
      <c r="AS129" s="115">
        <v>1939</v>
      </c>
      <c r="AT129" s="115">
        <v>3433</v>
      </c>
      <c r="AU129" s="115">
        <v>1433</v>
      </c>
      <c r="AV129" s="115">
        <v>1986</v>
      </c>
      <c r="AW129" s="115">
        <v>2905</v>
      </c>
      <c r="AX129" s="115">
        <f>AX130/AX128*1000000</f>
        <v>2342.0062828405198</v>
      </c>
      <c r="AY129" s="131">
        <f>AY130/AY128*1000000</f>
        <v>3129.001213439893</v>
      </c>
      <c r="AZ129" s="117">
        <v>3250</v>
      </c>
      <c r="BA129" s="110">
        <f>AZ129-AY129</f>
        <v>120.99878656010696</v>
      </c>
      <c r="BB129" s="118">
        <f t="shared" ref="BB129:BB130" si="91">AY129-AX129</f>
        <v>786.99493059937322</v>
      </c>
      <c r="BC129" s="119">
        <f t="shared" ref="BC129:BC130" si="92">AZ129-AX129</f>
        <v>907.99371715948018</v>
      </c>
      <c r="BD129" s="113">
        <f t="shared" si="79"/>
        <v>3.8489355413551252E-2</v>
      </c>
      <c r="BS129" s="90"/>
    </row>
    <row r="130" spans="1:91" s="129" customFormat="1" ht="15.75" thickBot="1" x14ac:dyDescent="0.3">
      <c r="A130" s="130" t="s">
        <v>61</v>
      </c>
      <c r="B130" s="132">
        <v>5.65</v>
      </c>
      <c r="C130" s="132">
        <v>4.6760000000000002</v>
      </c>
      <c r="D130" s="132">
        <v>3.6</v>
      </c>
      <c r="E130" s="132">
        <v>5.5818000000000003</v>
      </c>
      <c r="F130" s="132">
        <v>6.1390000000000002</v>
      </c>
      <c r="G130" s="132">
        <v>4.2515000000000001</v>
      </c>
      <c r="H130" s="132">
        <v>5.2004999999999999</v>
      </c>
      <c r="I130" s="132">
        <v>5.4039999999999999</v>
      </c>
      <c r="J130" s="132">
        <v>5.7101000000000006</v>
      </c>
      <c r="K130" s="132">
        <v>3.2610000000000001</v>
      </c>
      <c r="L130" s="132">
        <v>5.056</v>
      </c>
      <c r="M130" s="132">
        <v>3.6150000000000002</v>
      </c>
      <c r="N130" s="132">
        <v>6.2628000000000004</v>
      </c>
      <c r="O130" s="132">
        <v>6.4386000000000001</v>
      </c>
      <c r="P130" s="132">
        <v>2.3540000000000001</v>
      </c>
      <c r="Q130" s="132">
        <v>5.7915000000000001</v>
      </c>
      <c r="R130" s="132">
        <v>6.2930000000000001</v>
      </c>
      <c r="S130" s="132">
        <v>5.6916000000000002</v>
      </c>
      <c r="T130" s="132">
        <v>6.1506000000000007</v>
      </c>
      <c r="U130" s="132">
        <v>4.4023000000000003</v>
      </c>
      <c r="V130" s="132">
        <v>4.7696000000000005</v>
      </c>
      <c r="W130" s="132">
        <v>6.6156000000000006</v>
      </c>
      <c r="X130" s="132">
        <v>4.7643999999999993</v>
      </c>
      <c r="Y130" s="132">
        <v>4.9649999999999999</v>
      </c>
      <c r="Z130" s="132">
        <v>7.1132</v>
      </c>
      <c r="AA130" s="132">
        <v>5.5792000000000002</v>
      </c>
      <c r="AB130" s="132">
        <v>9.6311</v>
      </c>
      <c r="AC130" s="132">
        <v>5.5593999999999992</v>
      </c>
      <c r="AD130" s="132">
        <v>2.8549000000000002</v>
      </c>
      <c r="AE130" s="132">
        <v>7.7761000000000005</v>
      </c>
      <c r="AF130" s="132">
        <v>9.9245999999999999</v>
      </c>
      <c r="AG130" s="132">
        <v>7.7753999999999994</v>
      </c>
      <c r="AH130" s="132">
        <v>7.9126000000000003</v>
      </c>
      <c r="AI130" s="132">
        <v>10.2188</v>
      </c>
      <c r="AJ130" s="132">
        <v>11.6213</v>
      </c>
      <c r="AK130" s="132">
        <v>6.5266000000000002</v>
      </c>
      <c r="AL130" s="132">
        <v>12.5349</v>
      </c>
      <c r="AM130" s="132">
        <v>12.867658</v>
      </c>
      <c r="AN130" s="132">
        <v>15.700357199999999</v>
      </c>
      <c r="AO130" s="132">
        <v>16.201350000000001</v>
      </c>
      <c r="AP130" s="132">
        <v>18.836387200000004</v>
      </c>
      <c r="AQ130" s="132">
        <v>18.379790900000003</v>
      </c>
      <c r="AR130" s="132">
        <v>19.522200000000002</v>
      </c>
      <c r="AS130" s="132">
        <v>11.4436</v>
      </c>
      <c r="AT130" s="132">
        <v>20.787500000000001</v>
      </c>
      <c r="AU130" s="132">
        <v>10.4335</v>
      </c>
      <c r="AV130" s="132">
        <v>15.3011</v>
      </c>
      <c r="AW130" s="132">
        <v>21.756700000000002</v>
      </c>
      <c r="AX130" s="132">
        <v>16.6252</v>
      </c>
      <c r="AY130" s="109">
        <v>22.434000000000001</v>
      </c>
      <c r="AZ130" s="110">
        <f>AZ129*AZ128/1000000</f>
        <v>22.262499999999999</v>
      </c>
      <c r="BA130" s="110">
        <f>AZ130-AY130</f>
        <v>-0.17150000000000176</v>
      </c>
      <c r="BB130" s="120">
        <f t="shared" si="91"/>
        <v>5.8088000000000015</v>
      </c>
      <c r="BC130" s="121">
        <f t="shared" si="92"/>
        <v>5.6372999999999998</v>
      </c>
      <c r="BD130" s="113">
        <f t="shared" si="79"/>
        <v>7.7558462383416238E-2</v>
      </c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</row>
    <row r="131" spans="1:91" s="129" customFormat="1" ht="21.75" thickBot="1" x14ac:dyDescent="0.3">
      <c r="A131" s="155" t="s">
        <v>126</v>
      </c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3"/>
      <c r="AY131" s="156"/>
      <c r="AZ131" s="157"/>
      <c r="BA131" s="157"/>
      <c r="BB131" s="146"/>
      <c r="BC131" s="143"/>
      <c r="BD131" s="147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</row>
    <row r="132" spans="1:91" x14ac:dyDescent="0.25">
      <c r="A132" s="130" t="s">
        <v>59</v>
      </c>
      <c r="B132" s="132">
        <f t="shared" ref="B132:AZ132" si="93">B116+B96+B76+B36+B4</f>
        <v>6949</v>
      </c>
      <c r="C132" s="132">
        <f t="shared" si="93"/>
        <v>7780</v>
      </c>
      <c r="D132" s="132">
        <f t="shared" si="93"/>
        <v>8151</v>
      </c>
      <c r="E132" s="132">
        <f t="shared" si="93"/>
        <v>8755.9</v>
      </c>
      <c r="F132" s="132">
        <f t="shared" si="93"/>
        <v>8693.4</v>
      </c>
      <c r="G132" s="132">
        <f t="shared" si="93"/>
        <v>8393.2000000000007</v>
      </c>
      <c r="H132" s="132">
        <f t="shared" si="93"/>
        <v>8412</v>
      </c>
      <c r="I132" s="132">
        <f t="shared" si="93"/>
        <v>9162.9</v>
      </c>
      <c r="J132" s="132">
        <f t="shared" si="93"/>
        <v>10074</v>
      </c>
      <c r="K132" s="132">
        <f t="shared" si="93"/>
        <v>9644.4</v>
      </c>
      <c r="L132" s="132">
        <f t="shared" si="93"/>
        <v>9221.7000000000007</v>
      </c>
      <c r="M132" s="132">
        <f t="shared" si="93"/>
        <v>10706.6</v>
      </c>
      <c r="N132" s="132">
        <f t="shared" si="93"/>
        <v>12252.800000000001</v>
      </c>
      <c r="O132" s="132">
        <f t="shared" si="93"/>
        <v>11551.4</v>
      </c>
      <c r="P132" s="132">
        <f t="shared" si="93"/>
        <v>9742.4999999999982</v>
      </c>
      <c r="Q132" s="132">
        <f t="shared" si="93"/>
        <v>9582.2000000000007</v>
      </c>
      <c r="R132" s="132">
        <f t="shared" si="93"/>
        <v>10717</v>
      </c>
      <c r="S132" s="132">
        <f t="shared" si="93"/>
        <v>11501.700000000003</v>
      </c>
      <c r="T132" s="132">
        <f t="shared" si="93"/>
        <v>11678.7</v>
      </c>
      <c r="U132" s="132">
        <f t="shared" si="93"/>
        <v>10663.2</v>
      </c>
      <c r="V132" s="132">
        <f t="shared" si="93"/>
        <v>11381.3</v>
      </c>
      <c r="W132" s="132">
        <f t="shared" si="93"/>
        <v>13157.9</v>
      </c>
      <c r="X132" s="132">
        <f t="shared" si="93"/>
        <v>12995.199999999999</v>
      </c>
      <c r="Y132" s="108">
        <f t="shared" si="93"/>
        <v>13507.800000000001</v>
      </c>
      <c r="Z132" s="132">
        <f t="shared" si="93"/>
        <v>13969.800000000001</v>
      </c>
      <c r="AA132" s="132">
        <f t="shared" si="93"/>
        <v>16329</v>
      </c>
      <c r="AB132" s="132">
        <f t="shared" si="93"/>
        <v>18474.800000000003</v>
      </c>
      <c r="AC132" s="132">
        <f t="shared" si="93"/>
        <v>21375.8</v>
      </c>
      <c r="AD132" s="132">
        <f t="shared" si="93"/>
        <v>23301.1</v>
      </c>
      <c r="AE132" s="132">
        <f t="shared" si="93"/>
        <v>22749.399999999998</v>
      </c>
      <c r="AF132" s="132">
        <f t="shared" si="93"/>
        <v>20686.799999999996</v>
      </c>
      <c r="AG132" s="132">
        <f t="shared" si="93"/>
        <v>21313.1</v>
      </c>
      <c r="AH132" s="108">
        <f t="shared" si="93"/>
        <v>21743.1</v>
      </c>
      <c r="AI132" s="108">
        <f t="shared" si="93"/>
        <v>23467.900000000005</v>
      </c>
      <c r="AJ132" s="108">
        <f t="shared" si="93"/>
        <v>24181</v>
      </c>
      <c r="AK132" s="108">
        <f t="shared" si="93"/>
        <v>25042.199999999997</v>
      </c>
      <c r="AL132" s="108">
        <f t="shared" si="93"/>
        <v>27736.100000000002</v>
      </c>
      <c r="AM132" s="108">
        <f t="shared" si="93"/>
        <v>30173.100000000002</v>
      </c>
      <c r="AN132" s="108">
        <f t="shared" si="93"/>
        <v>32092.9</v>
      </c>
      <c r="AO132" s="108">
        <f t="shared" si="93"/>
        <v>33251.9</v>
      </c>
      <c r="AP132" s="108">
        <f t="shared" si="93"/>
        <v>33909.399999999994</v>
      </c>
      <c r="AQ132" s="108">
        <f t="shared" si="93"/>
        <v>35149.199999999997</v>
      </c>
      <c r="AR132" s="108">
        <f t="shared" si="93"/>
        <v>35874</v>
      </c>
      <c r="AS132" s="108">
        <f t="shared" si="93"/>
        <v>36949.700000000004</v>
      </c>
      <c r="AT132" s="108">
        <f t="shared" si="93"/>
        <v>39762</v>
      </c>
      <c r="AU132" s="108">
        <f t="shared" si="93"/>
        <v>41793.800000000003</v>
      </c>
      <c r="AV132" s="108">
        <f t="shared" si="93"/>
        <v>44514.69999999999</v>
      </c>
      <c r="AW132" s="108">
        <f t="shared" si="93"/>
        <v>46095.100000000006</v>
      </c>
      <c r="AX132" s="108">
        <f t="shared" si="93"/>
        <v>47345.7</v>
      </c>
      <c r="AY132" s="158">
        <f t="shared" si="93"/>
        <v>49062.6</v>
      </c>
      <c r="AZ132" s="110">
        <f t="shared" si="93"/>
        <v>48724</v>
      </c>
      <c r="BA132" s="110">
        <f>AZ132-AY132</f>
        <v>-338.59999999999854</v>
      </c>
      <c r="BB132" s="111">
        <f>AY132-AX132</f>
        <v>1716.9000000000015</v>
      </c>
      <c r="BC132" s="112">
        <f>AZ132-AX132</f>
        <v>1378.3000000000029</v>
      </c>
      <c r="BD132" s="113">
        <f t="shared" si="79"/>
        <v>5.0833537865198286E-2</v>
      </c>
      <c r="BF132" s="114" t="b">
        <v>1</v>
      </c>
      <c r="BS132" s="90"/>
    </row>
    <row r="133" spans="1:91" ht="14.25" customHeight="1" x14ac:dyDescent="0.25">
      <c r="A133" s="130" t="s">
        <v>60</v>
      </c>
      <c r="B133" s="115">
        <f t="shared" ref="B133:AX133" si="94">B134/B132*1000</f>
        <v>1747.7334868326377</v>
      </c>
      <c r="C133" s="115">
        <f t="shared" si="94"/>
        <v>1250.1285347043702</v>
      </c>
      <c r="D133" s="115">
        <f t="shared" si="94"/>
        <v>1251.3801987486197</v>
      </c>
      <c r="E133" s="115">
        <f t="shared" si="94"/>
        <v>1698.3519683870306</v>
      </c>
      <c r="F133" s="115">
        <f t="shared" si="94"/>
        <v>1778.3375894356639</v>
      </c>
      <c r="G133" s="115">
        <f t="shared" si="94"/>
        <v>1532.0259257494163</v>
      </c>
      <c r="H133" s="115">
        <f t="shared" si="94"/>
        <v>1722.6462196861626</v>
      </c>
      <c r="I133" s="115">
        <f t="shared" si="94"/>
        <v>1668.1181721943926</v>
      </c>
      <c r="J133" s="115">
        <f t="shared" si="94"/>
        <v>1798.7095493349216</v>
      </c>
      <c r="K133" s="115">
        <f t="shared" si="94"/>
        <v>1360.7585749243085</v>
      </c>
      <c r="L133" s="115">
        <f t="shared" si="94"/>
        <v>1841.4717459904359</v>
      </c>
      <c r="M133" s="115">
        <f t="shared" si="94"/>
        <v>1685.0914389255227</v>
      </c>
      <c r="N133" s="115">
        <f t="shared" si="94"/>
        <v>1942.943653695482</v>
      </c>
      <c r="O133" s="115">
        <f t="shared" si="94"/>
        <v>1733.2704260955388</v>
      </c>
      <c r="P133" s="115">
        <f t="shared" si="94"/>
        <v>1569.7408262766232</v>
      </c>
      <c r="Q133" s="115">
        <f t="shared" si="94"/>
        <v>2016.6037026987542</v>
      </c>
      <c r="R133" s="115">
        <f t="shared" si="94"/>
        <v>2141.7094336101522</v>
      </c>
      <c r="S133" s="115">
        <f t="shared" si="94"/>
        <v>2169.1662971560718</v>
      </c>
      <c r="T133" s="115">
        <f t="shared" si="94"/>
        <v>2213.3456634728182</v>
      </c>
      <c r="U133" s="115">
        <f t="shared" si="94"/>
        <v>2168.4109835696599</v>
      </c>
      <c r="V133" s="115">
        <f t="shared" si="94"/>
        <v>2291.2145361250477</v>
      </c>
      <c r="W133" s="115">
        <f t="shared" si="94"/>
        <v>2377.5602489759003</v>
      </c>
      <c r="X133" s="115">
        <f t="shared" si="94"/>
        <v>2362.4953829106134</v>
      </c>
      <c r="Y133" s="115">
        <f t="shared" si="94"/>
        <v>2387.6426953315863</v>
      </c>
      <c r="Z133" s="115">
        <f t="shared" si="94"/>
        <v>2745.801657861959</v>
      </c>
      <c r="AA133" s="115">
        <f t="shared" si="94"/>
        <v>2560.8120521771084</v>
      </c>
      <c r="AB133" s="115">
        <f t="shared" si="94"/>
        <v>2809.1129538614755</v>
      </c>
      <c r="AC133" s="115">
        <f t="shared" si="94"/>
        <v>2323.2019386408929</v>
      </c>
      <c r="AD133" s="115">
        <f t="shared" si="94"/>
        <v>2236.6326053276457</v>
      </c>
      <c r="AE133" s="115">
        <f t="shared" si="94"/>
        <v>2412.4328553720106</v>
      </c>
      <c r="AF133" s="115">
        <f t="shared" si="94"/>
        <v>2822.6598603940683</v>
      </c>
      <c r="AG133" s="115">
        <f t="shared" si="94"/>
        <v>2816.0004879628023</v>
      </c>
      <c r="AH133" s="115">
        <f t="shared" si="94"/>
        <v>2629.1329203287487</v>
      </c>
      <c r="AI133" s="115">
        <f t="shared" si="94"/>
        <v>2926.9001487137739</v>
      </c>
      <c r="AJ133" s="115">
        <f t="shared" si="94"/>
        <v>3115.0200570695993</v>
      </c>
      <c r="AK133" s="115">
        <f t="shared" si="94"/>
        <v>2650.8453730103593</v>
      </c>
      <c r="AL133" s="115">
        <f t="shared" si="94"/>
        <v>2938.3871560889961</v>
      </c>
      <c r="AM133" s="115">
        <f t="shared" si="94"/>
        <v>2855.9476586761052</v>
      </c>
      <c r="AN133" s="115">
        <f t="shared" si="94"/>
        <v>3025.4031577077794</v>
      </c>
      <c r="AO133" s="115">
        <f t="shared" si="94"/>
        <v>2877.9589990346421</v>
      </c>
      <c r="AP133" s="115">
        <f t="shared" si="94"/>
        <v>3392.1765587123336</v>
      </c>
      <c r="AQ133" s="115">
        <f t="shared" si="94"/>
        <v>3506.7337322044318</v>
      </c>
      <c r="AR133" s="115">
        <f t="shared" si="94"/>
        <v>3337.1829179907454</v>
      </c>
      <c r="AS133" s="115">
        <f t="shared" si="94"/>
        <v>3378.7770942659881</v>
      </c>
      <c r="AT133" s="115">
        <f t="shared" si="94"/>
        <v>3525.4589809365739</v>
      </c>
      <c r="AU133" s="115">
        <f t="shared" si="94"/>
        <v>3130.3375141767438</v>
      </c>
      <c r="AV133" s="115">
        <f t="shared" si="94"/>
        <v>3575.3200628107134</v>
      </c>
      <c r="AW133" s="115">
        <f t="shared" si="94"/>
        <v>3281.9323528965115</v>
      </c>
      <c r="AX133" s="115">
        <f t="shared" si="94"/>
        <v>3621.9065300544717</v>
      </c>
      <c r="AY133" s="131">
        <f>AY134/AY132*1000</f>
        <v>3619.8489276964528</v>
      </c>
      <c r="AZ133" s="117">
        <f>AZ134/AZ132*1000</f>
        <v>3629.0068446761347</v>
      </c>
      <c r="BA133" s="110">
        <f>AZ133-AY133</f>
        <v>9.157916979681886</v>
      </c>
      <c r="BB133" s="118">
        <f t="shared" ref="BB133:BB134" si="95">AY133-AX133</f>
        <v>-2.0576023580188121</v>
      </c>
      <c r="BC133" s="119">
        <f t="shared" ref="BC133:BC134" si="96">AZ133-AX133</f>
        <v>7.1003146216630739</v>
      </c>
      <c r="BD133" s="113">
        <f t="shared" si="79"/>
        <v>1.3994360049708554E-2</v>
      </c>
      <c r="BH133" s="159">
        <f>MAX(B133:AX133)</f>
        <v>3621.9065300544717</v>
      </c>
      <c r="BS133" s="90"/>
    </row>
    <row r="134" spans="1:91" ht="15.75" thickBot="1" x14ac:dyDescent="0.3">
      <c r="A134" s="130" t="s">
        <v>61</v>
      </c>
      <c r="B134" s="132">
        <f t="shared" ref="B134:AW134" si="97">(B118+B98+B78+B38+B6)*1000</f>
        <v>12145</v>
      </c>
      <c r="C134" s="132">
        <f t="shared" si="97"/>
        <v>9726</v>
      </c>
      <c r="D134" s="132">
        <f t="shared" si="97"/>
        <v>10200</v>
      </c>
      <c r="E134" s="132">
        <f t="shared" si="97"/>
        <v>14870.600000000002</v>
      </c>
      <c r="F134" s="132">
        <f t="shared" si="97"/>
        <v>15459.8</v>
      </c>
      <c r="G134" s="132">
        <f t="shared" si="97"/>
        <v>12858.6</v>
      </c>
      <c r="H134" s="132">
        <f t="shared" si="97"/>
        <v>14490.9</v>
      </c>
      <c r="I134" s="132">
        <f t="shared" si="97"/>
        <v>15284.800000000001</v>
      </c>
      <c r="J134" s="132">
        <f t="shared" si="97"/>
        <v>18120.2</v>
      </c>
      <c r="K134" s="132">
        <f t="shared" si="97"/>
        <v>13123.7</v>
      </c>
      <c r="L134" s="132">
        <f t="shared" si="97"/>
        <v>16981.500000000004</v>
      </c>
      <c r="M134" s="132">
        <f t="shared" si="97"/>
        <v>18041.600000000002</v>
      </c>
      <c r="N134" s="132">
        <f t="shared" si="97"/>
        <v>23806.500000000004</v>
      </c>
      <c r="O134" s="132">
        <f t="shared" si="97"/>
        <v>20021.700000000004</v>
      </c>
      <c r="P134" s="132">
        <f t="shared" si="97"/>
        <v>15293.199999999999</v>
      </c>
      <c r="Q134" s="132">
        <f t="shared" si="97"/>
        <v>19323.500000000004</v>
      </c>
      <c r="R134" s="132">
        <f t="shared" si="97"/>
        <v>22952.7</v>
      </c>
      <c r="S134" s="132">
        <f t="shared" si="97"/>
        <v>24949.1</v>
      </c>
      <c r="T134" s="132">
        <f t="shared" si="97"/>
        <v>25849.000000000004</v>
      </c>
      <c r="U134" s="132">
        <f t="shared" si="97"/>
        <v>23122.2</v>
      </c>
      <c r="V134" s="132">
        <f t="shared" si="97"/>
        <v>26077</v>
      </c>
      <c r="W134" s="132">
        <f t="shared" si="97"/>
        <v>31283.699999999997</v>
      </c>
      <c r="X134" s="132">
        <f t="shared" si="97"/>
        <v>30701.1</v>
      </c>
      <c r="Y134" s="132">
        <f t="shared" si="97"/>
        <v>32251.800000000003</v>
      </c>
      <c r="Z134" s="132">
        <f t="shared" si="97"/>
        <v>38358.299999999996</v>
      </c>
      <c r="AA134" s="132">
        <f t="shared" si="97"/>
        <v>41815.5</v>
      </c>
      <c r="AB134" s="132">
        <f t="shared" si="97"/>
        <v>51897.799999999996</v>
      </c>
      <c r="AC134" s="132">
        <f t="shared" si="97"/>
        <v>49660.3</v>
      </c>
      <c r="AD134" s="132">
        <f t="shared" si="97"/>
        <v>52115.999999999993</v>
      </c>
      <c r="AE134" s="132">
        <f t="shared" si="97"/>
        <v>54881.400000000009</v>
      </c>
      <c r="AF134" s="132">
        <f t="shared" si="97"/>
        <v>58391.799999999996</v>
      </c>
      <c r="AG134" s="132">
        <f t="shared" si="97"/>
        <v>60017.7</v>
      </c>
      <c r="AH134" s="132">
        <f t="shared" si="97"/>
        <v>57165.500000000007</v>
      </c>
      <c r="AI134" s="132">
        <f t="shared" si="97"/>
        <v>68688.2</v>
      </c>
      <c r="AJ134" s="132">
        <f t="shared" si="97"/>
        <v>75324.299999999974</v>
      </c>
      <c r="AK134" s="132">
        <f t="shared" si="97"/>
        <v>66383.000000000015</v>
      </c>
      <c r="AL134" s="132">
        <f t="shared" si="97"/>
        <v>81499.400000000009</v>
      </c>
      <c r="AM134" s="132">
        <f t="shared" si="97"/>
        <v>86172.794299999994</v>
      </c>
      <c r="AN134" s="132">
        <f t="shared" si="97"/>
        <v>97093.96100000001</v>
      </c>
      <c r="AO134" s="132">
        <f t="shared" si="97"/>
        <v>95697.604840000015</v>
      </c>
      <c r="AP134" s="132">
        <f t="shared" si="97"/>
        <v>115026.6718</v>
      </c>
      <c r="AQ134" s="132">
        <f t="shared" si="97"/>
        <v>123258.88530000001</v>
      </c>
      <c r="AR134" s="132">
        <f t="shared" si="97"/>
        <v>119718.1</v>
      </c>
      <c r="AS134" s="132">
        <f t="shared" si="97"/>
        <v>124844.8</v>
      </c>
      <c r="AT134" s="132">
        <f t="shared" si="97"/>
        <v>140179.30000000005</v>
      </c>
      <c r="AU134" s="132">
        <f t="shared" si="97"/>
        <v>130828.7</v>
      </c>
      <c r="AV134" s="132">
        <f t="shared" si="97"/>
        <v>159154.30000000002</v>
      </c>
      <c r="AW134" s="132">
        <f t="shared" si="97"/>
        <v>151281</v>
      </c>
      <c r="AX134" s="132">
        <v>171481.69999999998</v>
      </c>
      <c r="AY134" s="160">
        <f>(AY118+AY98+AY78+AY38+AY6)*1000</f>
        <v>177599.19999999998</v>
      </c>
      <c r="AZ134" s="110">
        <f>(AZ118+AZ98+AZ78+AZ38+AZ6)*1000</f>
        <v>176819.72949999999</v>
      </c>
      <c r="BA134" s="110">
        <f>AZ134-AY134</f>
        <v>-779.47049999999581</v>
      </c>
      <c r="BB134" s="111">
        <f t="shared" si="95"/>
        <v>6117.5</v>
      </c>
      <c r="BC134" s="112">
        <f t="shared" si="96"/>
        <v>5338.0295000000042</v>
      </c>
      <c r="BD134" s="113">
        <f t="shared" si="79"/>
        <v>6.5539280746393036E-2</v>
      </c>
      <c r="BH134" s="161">
        <f>BH133*AY132</f>
        <v>177700151.3214505</v>
      </c>
      <c r="BS134" s="90"/>
    </row>
    <row r="135" spans="1:91" ht="15.75" thickTop="1" x14ac:dyDescent="0.25">
      <c r="A135" s="162" t="s">
        <v>127</v>
      </c>
      <c r="B135" s="163"/>
      <c r="C135" s="163"/>
      <c r="D135" s="163"/>
      <c r="E135" s="163"/>
      <c r="F135" s="163"/>
      <c r="G135" s="163"/>
      <c r="H135" s="163"/>
      <c r="I135" s="163"/>
      <c r="J135" s="163"/>
      <c r="K135" s="163"/>
      <c r="L135" s="163"/>
      <c r="M135" s="163"/>
      <c r="N135" s="163"/>
      <c r="O135" s="163"/>
      <c r="P135" s="163"/>
      <c r="Q135" s="163"/>
      <c r="R135" s="163"/>
      <c r="S135" s="163"/>
      <c r="T135" s="163"/>
      <c r="U135" s="163"/>
      <c r="V135" s="163"/>
      <c r="W135" s="163"/>
      <c r="X135" s="163"/>
      <c r="Y135" s="163"/>
      <c r="Z135" s="163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  <c r="AK135" s="163"/>
      <c r="AL135" s="163"/>
      <c r="AM135" s="163"/>
      <c r="AN135" s="163"/>
      <c r="AO135" s="163"/>
      <c r="AP135" s="163"/>
      <c r="AQ135" s="163"/>
      <c r="AR135" s="163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S135" s="90"/>
    </row>
    <row r="136" spans="1:91" x14ac:dyDescent="0.25">
      <c r="A136" s="90"/>
      <c r="BS136" s="90"/>
    </row>
    <row r="137" spans="1:91" x14ac:dyDescent="0.25">
      <c r="A137" s="90"/>
      <c r="BS137" s="90"/>
    </row>
    <row r="138" spans="1:91" x14ac:dyDescent="0.25">
      <c r="A138" s="90"/>
      <c r="BS138" s="90"/>
    </row>
    <row r="139" spans="1:91" x14ac:dyDescent="0.25">
      <c r="A139" s="90"/>
      <c r="BS139" s="90"/>
    </row>
    <row r="140" spans="1:91" x14ac:dyDescent="0.25">
      <c r="BS140" s="90"/>
    </row>
  </sheetData>
  <mergeCells count="5">
    <mergeCell ref="BB1:BC2"/>
    <mergeCell ref="BD1:BD2"/>
    <mergeCell ref="BF1:BF3"/>
    <mergeCell ref="AY2:BA2"/>
    <mergeCell ref="BE2:BE3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64054DE-A8FB-4F5C-8FA9-1B9A736FB0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'Brazil area by state '!B133:AY133</xm:f>
              <xm:sqref>BE133</xm:sqref>
            </x14:sparkline>
          </x14:sparklines>
        </x14:sparklineGroup>
        <x14:sparklineGroup type="column" displayEmptyCellsAs="gap" negative="1" xr2:uid="{4C73C8DB-FAC9-44BB-A944-8D5EC91DDD64}">
          <x14:colorSeries theme="4" tint="-0.499984740745262"/>
          <x14:colorNegative rgb="FFFF0000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'Brazil area by state '!AT4:AY4</xm:f>
              <xm:sqref>BE4</xm:sqref>
            </x14:sparkline>
            <x14:sparkline>
              <xm:f>'Brazil area by state '!AT5:AY5</xm:f>
              <xm:sqref>BE5</xm:sqref>
            </x14:sparkline>
            <x14:sparkline>
              <xm:f>'Brazil area by state '!AT6:AY6</xm:f>
              <xm:sqref>BE6</xm:sqref>
            </x14:sparkline>
            <x14:sparkline>
              <xm:f>'Brazil area by state '!AT7:AY7</xm:f>
              <xm:sqref>BE7</xm:sqref>
            </x14:sparkline>
            <x14:sparkline>
              <xm:f>'Brazil area by state '!AT8:AY8</xm:f>
              <xm:sqref>BE8</xm:sqref>
            </x14:sparkline>
            <x14:sparkline>
              <xm:f>'Brazil area by state '!AT9:AY9</xm:f>
              <xm:sqref>BE9</xm:sqref>
            </x14:sparkline>
            <x14:sparkline>
              <xm:f>'Brazil area by state '!AT10:AY10</xm:f>
              <xm:sqref>BE10</xm:sqref>
            </x14:sparkline>
            <x14:sparkline>
              <xm:f>'Brazil area by state '!AT11:AY11</xm:f>
              <xm:sqref>BE11</xm:sqref>
            </x14:sparkline>
            <x14:sparkline>
              <xm:f>'Brazil area by state '!AT12:AY12</xm:f>
              <xm:sqref>BE12</xm:sqref>
            </x14:sparkline>
            <x14:sparkline>
              <xm:f>'Brazil area by state '!AT13:AY13</xm:f>
              <xm:sqref>BE13</xm:sqref>
            </x14:sparkline>
            <x14:sparkline>
              <xm:f>'Brazil area by state '!AT14:AY14</xm:f>
              <xm:sqref>BE14</xm:sqref>
            </x14:sparkline>
            <x14:sparkline>
              <xm:f>'Brazil area by state '!AT15:AY15</xm:f>
              <xm:sqref>BE15</xm:sqref>
            </x14:sparkline>
            <x14:sparkline>
              <xm:f>'Brazil area by state '!AT16:AY16</xm:f>
              <xm:sqref>BE16</xm:sqref>
            </x14:sparkline>
            <x14:sparkline>
              <xm:f>'Brazil area by state '!AT17:AY17</xm:f>
              <xm:sqref>BE17</xm:sqref>
            </x14:sparkline>
            <x14:sparkline>
              <xm:f>'Brazil area by state '!AT18:AY18</xm:f>
              <xm:sqref>BE18</xm:sqref>
            </x14:sparkline>
            <x14:sparkline>
              <xm:f>'Brazil area by state '!AT19:AY19</xm:f>
              <xm:sqref>BE19</xm:sqref>
            </x14:sparkline>
            <x14:sparkline>
              <xm:f>'Brazil area by state '!AT20:AY20</xm:f>
              <xm:sqref>BE20</xm:sqref>
            </x14:sparkline>
            <x14:sparkline>
              <xm:f>'Brazil area by state '!AT21:AY21</xm:f>
              <xm:sqref>BE21</xm:sqref>
            </x14:sparkline>
            <x14:sparkline>
              <xm:f>'Brazil area by state '!AT22:AY22</xm:f>
              <xm:sqref>BE22</xm:sqref>
            </x14:sparkline>
            <x14:sparkline>
              <xm:f>'Brazil area by state '!AT23:AY23</xm:f>
              <xm:sqref>BE23</xm:sqref>
            </x14:sparkline>
            <x14:sparkline>
              <xm:f>'Brazil area by state '!AT24:AY24</xm:f>
              <xm:sqref>BE24</xm:sqref>
            </x14:sparkline>
            <x14:sparkline>
              <xm:f>'Brazil area by state '!AT25:AY25</xm:f>
              <xm:sqref>BE25</xm:sqref>
            </x14:sparkline>
            <x14:sparkline>
              <xm:f>'Brazil area by state '!AT26:AY26</xm:f>
              <xm:sqref>BE26</xm:sqref>
            </x14:sparkline>
            <x14:sparkline>
              <xm:f>'Brazil area by state '!AT27:AY27</xm:f>
              <xm:sqref>BE27</xm:sqref>
            </x14:sparkline>
            <x14:sparkline>
              <xm:f>'Brazil area by state '!AT28:AY28</xm:f>
              <xm:sqref>BE28</xm:sqref>
            </x14:sparkline>
            <x14:sparkline>
              <xm:f>'Brazil area by state '!AT29:AY29</xm:f>
              <xm:sqref>BE29</xm:sqref>
            </x14:sparkline>
            <x14:sparkline>
              <xm:f>'Brazil area by state '!AT30:AY30</xm:f>
              <xm:sqref>BE30</xm:sqref>
            </x14:sparkline>
            <x14:sparkline>
              <xm:f>'Brazil area by state '!AT31:AY31</xm:f>
              <xm:sqref>BE31</xm:sqref>
            </x14:sparkline>
            <x14:sparkline>
              <xm:f>'Brazil area by state '!AT32:AY32</xm:f>
              <xm:sqref>BE32</xm:sqref>
            </x14:sparkline>
            <x14:sparkline>
              <xm:f>'Brazil area by state '!AT33:AY33</xm:f>
              <xm:sqref>BE33</xm:sqref>
            </x14:sparkline>
            <x14:sparkline>
              <xm:f>'Brazil area by state '!AT34:AY34</xm:f>
              <xm:sqref>BE34</xm:sqref>
            </x14:sparkline>
            <x14:sparkline>
              <xm:f>'Brazil area by state '!AT35:AY35</xm:f>
              <xm:sqref>BE35</xm:sqref>
            </x14:sparkline>
            <x14:sparkline>
              <xm:f>'Brazil area by state '!AT36:AY36</xm:f>
              <xm:sqref>BE36</xm:sqref>
            </x14:sparkline>
            <x14:sparkline>
              <xm:f>'Brazil area by state '!AT37:AY37</xm:f>
              <xm:sqref>BE37</xm:sqref>
            </x14:sparkline>
            <x14:sparkline>
              <xm:f>'Brazil area by state '!AT38:AY38</xm:f>
              <xm:sqref>BE38</xm:sqref>
            </x14:sparkline>
            <x14:sparkline>
              <xm:f>'Brazil area by state '!AT39:AY39</xm:f>
              <xm:sqref>BE39</xm:sqref>
            </x14:sparkline>
            <x14:sparkline>
              <xm:f>'Brazil area by state '!AT40:AY40</xm:f>
              <xm:sqref>BE40</xm:sqref>
            </x14:sparkline>
            <x14:sparkline>
              <xm:f>'Brazil area by state '!AT41:AY41</xm:f>
              <xm:sqref>BE41</xm:sqref>
            </x14:sparkline>
            <x14:sparkline>
              <xm:f>'Brazil area by state '!AT42:AY42</xm:f>
              <xm:sqref>BE42</xm:sqref>
            </x14:sparkline>
            <x14:sparkline>
              <xm:f>'Brazil area by state '!AT43:AY43</xm:f>
              <xm:sqref>BE43</xm:sqref>
            </x14:sparkline>
            <x14:sparkline>
              <xm:f>'Brazil area by state '!AT44:AY44</xm:f>
              <xm:sqref>BE44</xm:sqref>
            </x14:sparkline>
            <x14:sparkline>
              <xm:f>'Brazil area by state '!AT45:AY45</xm:f>
              <xm:sqref>BE45</xm:sqref>
            </x14:sparkline>
            <x14:sparkline>
              <xm:f>'Brazil area by state '!AT46:AY46</xm:f>
              <xm:sqref>BE46</xm:sqref>
            </x14:sparkline>
            <x14:sparkline>
              <xm:f>'Brazil area by state '!AT47:AY47</xm:f>
              <xm:sqref>BE47</xm:sqref>
            </x14:sparkline>
            <x14:sparkline>
              <xm:f>'Brazil area by state '!AT48:AY48</xm:f>
              <xm:sqref>BE48</xm:sqref>
            </x14:sparkline>
            <x14:sparkline>
              <xm:f>'Brazil area by state '!AT49:AY49</xm:f>
              <xm:sqref>BE49</xm:sqref>
            </x14:sparkline>
            <x14:sparkline>
              <xm:f>'Brazil area by state '!AT50:AY50</xm:f>
              <xm:sqref>BE50</xm:sqref>
            </x14:sparkline>
            <x14:sparkline>
              <xm:f>'Brazil area by state '!AT51:AY51</xm:f>
              <xm:sqref>BE51</xm:sqref>
            </x14:sparkline>
            <x14:sparkline>
              <xm:f>'Brazil area by state '!AT52:AY52</xm:f>
              <xm:sqref>BE52</xm:sqref>
            </x14:sparkline>
            <x14:sparkline>
              <xm:f>'Brazil area by state '!AT53:AY53</xm:f>
              <xm:sqref>BE53</xm:sqref>
            </x14:sparkline>
            <x14:sparkline>
              <xm:f>'Brazil area by state '!AT54:AY54</xm:f>
              <xm:sqref>BE54</xm:sqref>
            </x14:sparkline>
            <x14:sparkline>
              <xm:f>'Brazil area by state '!AT55:AY55</xm:f>
              <xm:sqref>BE55</xm:sqref>
            </x14:sparkline>
            <x14:sparkline>
              <xm:f>'Brazil area by state '!AT56:AY56</xm:f>
              <xm:sqref>BE56</xm:sqref>
            </x14:sparkline>
            <x14:sparkline>
              <xm:f>'Brazil area by state '!AT57:AY57</xm:f>
              <xm:sqref>BE57</xm:sqref>
            </x14:sparkline>
            <x14:sparkline>
              <xm:f>'Brazil area by state '!AT58:AY58</xm:f>
              <xm:sqref>BE58</xm:sqref>
            </x14:sparkline>
            <x14:sparkline>
              <xm:f>'Brazil area by state '!AT59:AY59</xm:f>
              <xm:sqref>BE59</xm:sqref>
            </x14:sparkline>
            <x14:sparkline>
              <xm:f>'Brazil area by state '!AT60:AY60</xm:f>
              <xm:sqref>BE60</xm:sqref>
            </x14:sparkline>
            <x14:sparkline>
              <xm:f>'Brazil area by state '!AT61:AY61</xm:f>
              <xm:sqref>BE61</xm:sqref>
            </x14:sparkline>
            <x14:sparkline>
              <xm:f>'Brazil area by state '!AT62:AY62</xm:f>
              <xm:sqref>BE62</xm:sqref>
            </x14:sparkline>
            <x14:sparkline>
              <xm:f>'Brazil area by state '!AT63:AY63</xm:f>
              <xm:sqref>BE63</xm:sqref>
            </x14:sparkline>
            <x14:sparkline>
              <xm:f>'Brazil area by state '!AT64:AY64</xm:f>
              <xm:sqref>BE64</xm:sqref>
            </x14:sparkline>
            <x14:sparkline>
              <xm:f>'Brazil area by state '!AT65:AY65</xm:f>
              <xm:sqref>BE65</xm:sqref>
            </x14:sparkline>
            <x14:sparkline>
              <xm:f>'Brazil area by state '!AT66:AY66</xm:f>
              <xm:sqref>BE66</xm:sqref>
            </x14:sparkline>
            <x14:sparkline>
              <xm:f>'Brazil area by state '!AT67:AY67</xm:f>
              <xm:sqref>BE67</xm:sqref>
            </x14:sparkline>
            <x14:sparkline>
              <xm:f>'Brazil area by state '!AT68:AY68</xm:f>
              <xm:sqref>BE68</xm:sqref>
            </x14:sparkline>
            <x14:sparkline>
              <xm:f>'Brazil area by state '!AT69:AY69</xm:f>
              <xm:sqref>BE69</xm:sqref>
            </x14:sparkline>
            <x14:sparkline>
              <xm:f>'Brazil area by state '!AT70:AY70</xm:f>
              <xm:sqref>BE70</xm:sqref>
            </x14:sparkline>
            <x14:sparkline>
              <xm:f>'Brazil area by state '!AT71:AY71</xm:f>
              <xm:sqref>BE71</xm:sqref>
            </x14:sparkline>
            <x14:sparkline>
              <xm:f>'Brazil area by state '!AT72:AY72</xm:f>
              <xm:sqref>BE72</xm:sqref>
            </x14:sparkline>
            <x14:sparkline>
              <xm:f>'Brazil area by state '!AT73:AY73</xm:f>
              <xm:sqref>BE73</xm:sqref>
            </x14:sparkline>
            <x14:sparkline>
              <xm:f>'Brazil area by state '!AT74:AY74</xm:f>
              <xm:sqref>BE74</xm:sqref>
            </x14:sparkline>
            <x14:sparkline>
              <xm:f>'Brazil area by state '!AT75:AY75</xm:f>
              <xm:sqref>BE75</xm:sqref>
            </x14:sparkline>
            <x14:sparkline>
              <xm:f>'Brazil area by state '!AT76:AY76</xm:f>
              <xm:sqref>BE76</xm:sqref>
            </x14:sparkline>
            <x14:sparkline>
              <xm:f>'Brazil area by state '!AT77:AY77</xm:f>
              <xm:sqref>BE77</xm:sqref>
            </x14:sparkline>
            <x14:sparkline>
              <xm:f>'Brazil area by state '!AT78:AY78</xm:f>
              <xm:sqref>BE78</xm:sqref>
            </x14:sparkline>
            <x14:sparkline>
              <xm:f>'Brazil area by state '!AT79:AY79</xm:f>
              <xm:sqref>BE79</xm:sqref>
            </x14:sparkline>
            <x14:sparkline>
              <xm:f>'Brazil area by state '!AT80:AY80</xm:f>
              <xm:sqref>BE80</xm:sqref>
            </x14:sparkline>
            <x14:sparkline>
              <xm:f>'Brazil area by state '!AT81:AY81</xm:f>
              <xm:sqref>BE81</xm:sqref>
            </x14:sparkline>
            <x14:sparkline>
              <xm:f>'Brazil area by state '!AT82:AY82</xm:f>
              <xm:sqref>BE82</xm:sqref>
            </x14:sparkline>
            <x14:sparkline>
              <xm:f>'Brazil area by state '!AT83:AY83</xm:f>
              <xm:sqref>BE83</xm:sqref>
            </x14:sparkline>
            <x14:sparkline>
              <xm:f>'Brazil area by state '!AT84:AY84</xm:f>
              <xm:sqref>BE84</xm:sqref>
            </x14:sparkline>
            <x14:sparkline>
              <xm:f>'Brazil area by state '!AT85:AY85</xm:f>
              <xm:sqref>BE85</xm:sqref>
            </x14:sparkline>
            <x14:sparkline>
              <xm:f>'Brazil area by state '!AT86:AY86</xm:f>
              <xm:sqref>BE86</xm:sqref>
            </x14:sparkline>
            <x14:sparkline>
              <xm:f>'Brazil area by state '!AT87:AY87</xm:f>
              <xm:sqref>BE87</xm:sqref>
            </x14:sparkline>
            <x14:sparkline>
              <xm:f>'Brazil area by state '!AT88:AY88</xm:f>
              <xm:sqref>BE88</xm:sqref>
            </x14:sparkline>
            <x14:sparkline>
              <xm:f>'Brazil area by state '!AT89:AY89</xm:f>
              <xm:sqref>BE89</xm:sqref>
            </x14:sparkline>
            <x14:sparkline>
              <xm:f>'Brazil area by state '!AT90:AY90</xm:f>
              <xm:sqref>BE90</xm:sqref>
            </x14:sparkline>
            <x14:sparkline>
              <xm:f>'Brazil area by state '!AT91:AY91</xm:f>
              <xm:sqref>BE91</xm:sqref>
            </x14:sparkline>
            <x14:sparkline>
              <xm:f>'Brazil area by state '!AT92:AY92</xm:f>
              <xm:sqref>BE92</xm:sqref>
            </x14:sparkline>
            <x14:sparkline>
              <xm:f>'Brazil area by state '!AT93:AY93</xm:f>
              <xm:sqref>BE93</xm:sqref>
            </x14:sparkline>
            <x14:sparkline>
              <xm:f>'Brazil area by state '!AT94:AY94</xm:f>
              <xm:sqref>BE94</xm:sqref>
            </x14:sparkline>
            <x14:sparkline>
              <xm:f>'Brazil area by state '!AT95:AY95</xm:f>
              <xm:sqref>BE95</xm:sqref>
            </x14:sparkline>
            <x14:sparkline>
              <xm:f>'Brazil area by state '!AT96:AY96</xm:f>
              <xm:sqref>BE96</xm:sqref>
            </x14:sparkline>
            <x14:sparkline>
              <xm:f>'Brazil area by state '!AT97:AY97</xm:f>
              <xm:sqref>BE97</xm:sqref>
            </x14:sparkline>
            <x14:sparkline>
              <xm:f>'Brazil area by state '!AT98:AY98</xm:f>
              <xm:sqref>BE98</xm:sqref>
            </x14:sparkline>
            <x14:sparkline>
              <xm:f>'Brazil area by state '!AT99:AY99</xm:f>
              <xm:sqref>BE99</xm:sqref>
            </x14:sparkline>
            <x14:sparkline>
              <xm:f>'Brazil area by state '!AT100:AY100</xm:f>
              <xm:sqref>BE100</xm:sqref>
            </x14:sparkline>
            <x14:sparkline>
              <xm:f>'Brazil area by state '!AT101:AY101</xm:f>
              <xm:sqref>BE101</xm:sqref>
            </x14:sparkline>
            <x14:sparkline>
              <xm:f>'Brazil area by state '!AT102:AY102</xm:f>
              <xm:sqref>BE102</xm:sqref>
            </x14:sparkline>
            <x14:sparkline>
              <xm:f>'Brazil area by state '!AT103:AY103</xm:f>
              <xm:sqref>BE103</xm:sqref>
            </x14:sparkline>
            <x14:sparkline>
              <xm:f>'Brazil area by state '!AT104:AY104</xm:f>
              <xm:sqref>BE104</xm:sqref>
            </x14:sparkline>
            <x14:sparkline>
              <xm:f>'Brazil area by state '!AT105:AY105</xm:f>
              <xm:sqref>BE105</xm:sqref>
            </x14:sparkline>
            <x14:sparkline>
              <xm:f>'Brazil area by state '!AT106:AY106</xm:f>
              <xm:sqref>BE106</xm:sqref>
            </x14:sparkline>
            <x14:sparkline>
              <xm:f>'Brazil area by state '!AT107:AY107</xm:f>
              <xm:sqref>BE107</xm:sqref>
            </x14:sparkline>
            <x14:sparkline>
              <xm:f>'Brazil area by state '!AT108:AY108</xm:f>
              <xm:sqref>BE108</xm:sqref>
            </x14:sparkline>
            <x14:sparkline>
              <xm:f>'Brazil area by state '!AT109:AY109</xm:f>
              <xm:sqref>BE109</xm:sqref>
            </x14:sparkline>
            <x14:sparkline>
              <xm:f>'Brazil area by state '!AT110:AY110</xm:f>
              <xm:sqref>BE110</xm:sqref>
            </x14:sparkline>
            <x14:sparkline>
              <xm:f>'Brazil area by state '!AT111:AY111</xm:f>
              <xm:sqref>BE111</xm:sqref>
            </x14:sparkline>
            <x14:sparkline>
              <xm:f>'Brazil area by state '!AT112:AY112</xm:f>
              <xm:sqref>BE112</xm:sqref>
            </x14:sparkline>
            <x14:sparkline>
              <xm:f>'Brazil area by state '!AT113:AY113</xm:f>
              <xm:sqref>BE113</xm:sqref>
            </x14:sparkline>
            <x14:sparkline>
              <xm:f>'Brazil area by state '!AT114:AY114</xm:f>
              <xm:sqref>BE114</xm:sqref>
            </x14:sparkline>
            <x14:sparkline>
              <xm:f>'Brazil area by state '!AT115:AY115</xm:f>
              <xm:sqref>BE115</xm:sqref>
            </x14:sparkline>
            <x14:sparkline>
              <xm:f>'Brazil area by state '!AT116:AY116</xm:f>
              <xm:sqref>BE116</xm:sqref>
            </x14:sparkline>
            <x14:sparkline>
              <xm:f>'Brazil area by state '!AT117:AY117</xm:f>
              <xm:sqref>BE117</xm:sqref>
            </x14:sparkline>
            <x14:sparkline>
              <xm:f>'Brazil area by state '!AT118:AY118</xm:f>
              <xm:sqref>BE118</xm:sqref>
            </x14:sparkline>
            <x14:sparkline>
              <xm:f>'Brazil area by state '!AT119:AY119</xm:f>
              <xm:sqref>BE119</xm:sqref>
            </x14:sparkline>
            <x14:sparkline>
              <xm:f>'Brazil area by state '!AT120:AY120</xm:f>
              <xm:sqref>BE120</xm:sqref>
            </x14:sparkline>
            <x14:sparkline>
              <xm:f>'Brazil area by state '!AT121:AY121</xm:f>
              <xm:sqref>BE121</xm:sqref>
            </x14:sparkline>
            <x14:sparkline>
              <xm:f>'Brazil area by state '!AT122:AY122</xm:f>
              <xm:sqref>BE122</xm:sqref>
            </x14:sparkline>
            <x14:sparkline>
              <xm:f>'Brazil area by state '!AT123:AY123</xm:f>
              <xm:sqref>BE123</xm:sqref>
            </x14:sparkline>
            <x14:sparkline>
              <xm:f>'Brazil area by state '!AT124:AY124</xm:f>
              <xm:sqref>BE124</xm:sqref>
            </x14:sparkline>
            <x14:sparkline>
              <xm:f>'Brazil area by state '!AT125:AY125</xm:f>
              <xm:sqref>BE125</xm:sqref>
            </x14:sparkline>
            <x14:sparkline>
              <xm:f>'Brazil area by state '!AT126:AY126</xm:f>
              <xm:sqref>BE126</xm:sqref>
            </x14:sparkline>
            <x14:sparkline>
              <xm:f>'Brazil area by state '!AT127:AY127</xm:f>
              <xm:sqref>BE127</xm:sqref>
            </x14:sparkline>
            <x14:sparkline>
              <xm:f>'Brazil area by state '!AT128:AY128</xm:f>
              <xm:sqref>BE128</xm:sqref>
            </x14:sparkline>
            <x14:sparkline>
              <xm:f>'Brazil area by state '!AT129:AY129</xm:f>
              <xm:sqref>BE129</xm:sqref>
            </x14:sparkline>
            <x14:sparkline>
              <xm:f>'Brazil area by state '!AT130:AY130</xm:f>
              <xm:sqref>BE130</xm:sqref>
            </x14:sparkline>
            <x14:sparkline>
              <xm:f>'Brazil area by state '!AT131:AY131</xm:f>
              <xm:sqref>BE131</xm:sqref>
            </x14:sparkline>
            <x14:sparkline>
              <xm:f>'Brazil area by state '!AT132:AY132</xm:f>
              <xm:sqref>BE132</xm:sqref>
            </x14:sparkline>
            <x14:sparkline>
              <xm:f>'Brazil area by state '!AT134:AY134</xm:f>
              <xm:sqref>BE134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Corn Total</vt:lpstr>
      <vt:lpstr>Brazil area by state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2025-12-03T08:56:12Z</dcterms:created>
  <dcterms:modified xsi:type="dcterms:W3CDTF">2025-12-03T08:59:11Z</dcterms:modified>
</cp:coreProperties>
</file>