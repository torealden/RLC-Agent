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laysia Palm" sheetId="2" state="visible" r:id="rId2"/>
    <sheet xmlns:r="http://schemas.openxmlformats.org/officeDocument/2006/relationships" name="Indonesia Palm" sheetId="3" state="visible" r:id="rId3"/>
    <sheet xmlns:r="http://schemas.openxmlformats.org/officeDocument/2006/relationships" name="India Palm" sheetId="4" state="visible" r:id="rId4"/>
    <sheet xmlns:r="http://schemas.openxmlformats.org/officeDocument/2006/relationships" name="China Palm" sheetId="5" state="visible" r:id="rId5"/>
    <sheet xmlns:r="http://schemas.openxmlformats.org/officeDocument/2006/relationships" name="EU Palm" sheetId="6" state="visible" r:id="rId6"/>
    <sheet xmlns:r="http://schemas.openxmlformats.org/officeDocument/2006/relationships" name="Colombia Palm" sheetId="7" state="visible" r:id="rId7"/>
    <sheet xmlns:r="http://schemas.openxmlformats.org/officeDocument/2006/relationships" name="Guatemala Palm" sheetId="8" state="visible" r:id="rId8"/>
    <sheet xmlns:r="http://schemas.openxmlformats.org/officeDocument/2006/relationships" name="Mexico Palm" sheetId="9" state="visible" r:id="rId9"/>
    <sheet xmlns:r="http://schemas.openxmlformats.org/officeDocument/2006/relationships" name="EU Canola" sheetId="10" state="visible" r:id="rId10"/>
    <sheet xmlns:r="http://schemas.openxmlformats.org/officeDocument/2006/relationships" name="Canada Canola" sheetId="11" state="visible" r:id="rId11"/>
    <sheet xmlns:r="http://schemas.openxmlformats.org/officeDocument/2006/relationships" name="Australia Canola" sheetId="12" state="visible" r:id="rId12"/>
    <sheet xmlns:r="http://schemas.openxmlformats.org/officeDocument/2006/relationships" name="Russia Canola" sheetId="13" state="visible" r:id="rId13"/>
    <sheet xmlns:r="http://schemas.openxmlformats.org/officeDocument/2006/relationships" name="China Canola" sheetId="14" state="visible" r:id="rId14"/>
    <sheet xmlns:r="http://schemas.openxmlformats.org/officeDocument/2006/relationships" name="India Canola" sheetId="15" state="visible" r:id="rId15"/>
    <sheet xmlns:r="http://schemas.openxmlformats.org/officeDocument/2006/relationships" name="Turkey Canola" sheetId="16" state="visible" r:id="rId16"/>
    <sheet xmlns:r="http://schemas.openxmlformats.org/officeDocument/2006/relationships" name="Brazil Canola" sheetId="17" state="visible" r:id="rId17"/>
    <sheet xmlns:r="http://schemas.openxmlformats.org/officeDocument/2006/relationships" name="Mexico Canola" sheetId="18" state="visible" r:id="rId18"/>
    <sheet xmlns:r="http://schemas.openxmlformats.org/officeDocument/2006/relationships" name="Ukraine Sun" sheetId="19" state="visible" r:id="rId19"/>
    <sheet xmlns:r="http://schemas.openxmlformats.org/officeDocument/2006/relationships" name="Russia Sun" sheetId="20" state="visible" r:id="rId20"/>
    <sheet xmlns:r="http://schemas.openxmlformats.org/officeDocument/2006/relationships" name="Argentina Sun" sheetId="21" state="visible" r:id="rId21"/>
    <sheet xmlns:r="http://schemas.openxmlformats.org/officeDocument/2006/relationships" name="EU Sun" sheetId="22" state="visible" r:id="rId22"/>
    <sheet xmlns:r="http://schemas.openxmlformats.org/officeDocument/2006/relationships" name="Turkey Sun" sheetId="23" state="visible" r:id="rId23"/>
    <sheet xmlns:r="http://schemas.openxmlformats.org/officeDocument/2006/relationships" name="India Sun" sheetId="24" state="visible" r:id="rId24"/>
    <sheet xmlns:r="http://schemas.openxmlformats.org/officeDocument/2006/relationships" name="China Sun" sheetId="25" state="visible" r:id="rId25"/>
    <sheet xmlns:r="http://schemas.openxmlformats.org/officeDocument/2006/relationships" name="Colombia Sun" sheetId="26" state="visible" r:id="rId26"/>
    <sheet xmlns:r="http://schemas.openxmlformats.org/officeDocument/2006/relationships" name="Mexico Sun" sheetId="27" state="visible" r:id="rId27"/>
    <sheet xmlns:r="http://schemas.openxmlformats.org/officeDocument/2006/relationships" name="US Soybean" sheetId="28" state="visible" r:id="rId28"/>
    <sheet xmlns:r="http://schemas.openxmlformats.org/officeDocument/2006/relationships" name="Brazil Soybean" sheetId="29" state="visible" r:id="rId29"/>
    <sheet xmlns:r="http://schemas.openxmlformats.org/officeDocument/2006/relationships" name="Argentina Soybean" sheetId="30" state="visible" r:id="rId30"/>
    <sheet xmlns:r="http://schemas.openxmlformats.org/officeDocument/2006/relationships" name="China Soybean" sheetId="31" state="visible" r:id="rId31"/>
    <sheet xmlns:r="http://schemas.openxmlformats.org/officeDocument/2006/relationships" name="India Soybean" sheetId="32" state="visible" r:id="rId32"/>
    <sheet xmlns:r="http://schemas.openxmlformats.org/officeDocument/2006/relationships" name="EU Soybean" sheetId="33" state="visible" r:id="rId33"/>
    <sheet xmlns:r="http://schemas.openxmlformats.org/officeDocument/2006/relationships" name="Mexico Soybean" sheetId="34" state="visible" r:id="rId34"/>
    <sheet xmlns:r="http://schemas.openxmlformats.org/officeDocument/2006/relationships" name="US Corn Oil" sheetId="35" state="visible" r:id="rId35"/>
    <sheet xmlns:r="http://schemas.openxmlformats.org/officeDocument/2006/relationships" name="Brazil Corn Oil" sheetId="36" state="visible" r:id="rId36"/>
    <sheet xmlns:r="http://schemas.openxmlformats.org/officeDocument/2006/relationships" name="Mexico Corn Oil" sheetId="37" state="visible" r:id="rId3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3C7D22"/>
      <sz val="13"/>
    </font>
    <font>
      <name val="Calibri"/>
      <b val="1"/>
    </font>
    <font>
      <name val="Calibri"/>
      <b val="1"/>
      <color rgb="003C7D22"/>
    </font>
    <font>
      <name val="Calibri"/>
      <i val="1"/>
      <color rgb="006E7178"/>
      <sz val="9"/>
    </font>
    <font>
      <name val="Calibri"/>
      <b val="1"/>
      <color rgb="00FFFFFF"/>
    </font>
    <font>
      <name val="Calibri"/>
    </font>
    <font>
      <name val="Calibri"/>
      <color rgb="006E7178"/>
      <sz val="9"/>
    </font>
  </fonts>
  <fills count="5">
    <fill>
      <patternFill/>
    </fill>
    <fill>
      <patternFill patternType="gray125"/>
    </fill>
    <fill>
      <patternFill patternType="solid">
        <fgColor rgb="001B2A4A"/>
      </patternFill>
    </fill>
    <fill>
      <patternFill patternType="solid">
        <fgColor rgb="00F2F2F0"/>
      </patternFill>
    </fill>
    <fill>
      <patternFill patternType="solid">
        <fgColor rgb="003C7D22"/>
      </patternFill>
    </fill>
  </fills>
  <borders count="2">
    <border>
      <left/>
      <right/>
      <top/>
      <bottom/>
      <diagonal/>
    </border>
    <border>
      <left style="thin">
        <color rgb="00D4D4CE"/>
      </left>
      <right style="thin">
        <color rgb="00D4D4CE"/>
      </right>
      <top style="thin">
        <color rgb="00D4D4CE"/>
      </top>
      <bottom style="thin">
        <color rgb="00D4D4CE"/>
      </bottom>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5" fillId="4" borderId="0" pivotButton="0" quotePrefix="0" xfId="0"/>
    <xf numFmtId="9" fontId="5" fillId="4" borderId="0" applyAlignment="1" pivotButton="0" quotePrefix="0" xfId="0">
      <alignment horizontal="center"/>
    </xf>
    <xf numFmtId="0" fontId="6" fillId="0" borderId="1" pivotButton="0" quotePrefix="0" xfId="0"/>
    <xf numFmtId="0" fontId="7" fillId="0" borderId="1" pivotButton="0" quotePrefix="0" xfId="0"/>
    <xf numFmtId="9" fontId="0" fillId="0" borderId="1" applyAlignment="1" pivotButton="0" quotePrefix="0" xfId="0">
      <alignment horizontal="center"/>
    </xf>
    <xf numFmtId="9" fontId="2" fillId="0" borderId="1" applyAlignment="1" pivotButton="0" quotePrefix="0" xfId="0">
      <alignment horizontal="center"/>
    </xf>
    <xf numFmtId="0" fontId="2" fillId="0" borderId="0" pivotButton="0" quotePrefix="0" xfId="0"/>
    <xf numFmtId="9" fontId="3" fillId="0" borderId="0" pivotButton="0" quotePrefix="0" xfId="0"/>
    <xf numFmtId="0" fontId="5" fillId="2" borderId="1" pivotButton="0" quotePrefix="0" xfId="0"/>
    <xf numFmtId="0" fontId="5" fillId="2" borderId="1" applyAlignment="1" pivotButton="0" quotePrefix="0" xfId="0">
      <alignment horizontal="center"/>
    </xf>
    <xf numFmtId="0" fontId="0" fillId="0" borderId="1" applyAlignment="1" pivotButton="0" quotePrefix="0" xfId="0">
      <alignment horizontal="center"/>
    </xf>
    <xf numFmtId="0" fontId="2" fillId="3" borderId="1" pivotButton="0" quotePrefix="0" xfId="0"/>
    <xf numFmtId="9" fontId="2" fillId="3" borderId="1" applyAlignment="1" pivotButton="0" quotePrefix="0" xfId="0">
      <alignment horizontal="center"/>
    </xf>
  </cellXfs>
  <cellStyles count="1">
    <cellStyle name="Normal" xfId="0" builtinId="0" hidden="0"/>
  </cellStyles>
  <dxfs count="1">
    <dxf>
      <font>
        <name val="Calibri"/>
        <b val="1"/>
        <color rgb="003C7D22"/>
      </font>
      <fill>
        <patternFill patternType="solid">
          <fgColor rgb="00E2EF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30"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9" customWidth="1" min="14" max="14"/>
  </cols>
  <sheetData>
    <row r="1">
      <c r="A1" s="1" t="inlineStr">
        <is>
          <t>Oilseeds — build progress summary</t>
        </is>
      </c>
    </row>
    <row r="2">
      <c r="A2" s="2" t="inlineStr">
        <is>
          <t>36 country × complex tabs. Each cell = COUNTIF of ✓ on that tab. Fill the checkboxes on the country tabs; this rolls up automatically.</t>
        </is>
      </c>
    </row>
    <row r="4">
      <c r="A4" s="3" t="inlineStr">
        <is>
          <t>Complex</t>
        </is>
      </c>
      <c r="B4" s="3" t="inlineStr">
        <is>
          <t>Country</t>
        </is>
      </c>
      <c r="C4" s="3" t="inlineStr">
        <is>
          <t>Tier / note</t>
        </is>
      </c>
      <c r="D4" s="3" t="inlineStr">
        <is>
          <t>1</t>
        </is>
      </c>
      <c r="E4" s="3" t="inlineStr">
        <is>
          <t>2</t>
        </is>
      </c>
      <c r="F4" s="3" t="inlineStr">
        <is>
          <t>3</t>
        </is>
      </c>
      <c r="G4" s="3" t="inlineStr">
        <is>
          <t>4</t>
        </is>
      </c>
      <c r="H4" s="3" t="inlineStr">
        <is>
          <t>5</t>
        </is>
      </c>
      <c r="I4" s="3" t="inlineStr">
        <is>
          <t>6</t>
        </is>
      </c>
      <c r="J4" s="3" t="inlineStr">
        <is>
          <t>7</t>
        </is>
      </c>
      <c r="K4" s="3" t="inlineStr">
        <is>
          <t>8</t>
        </is>
      </c>
      <c r="L4" s="3" t="inlineStr">
        <is>
          <t>9</t>
        </is>
      </c>
      <c r="M4" s="3" t="inlineStr">
        <is>
          <t>10</t>
        </is>
      </c>
      <c r="N4" s="3" t="inlineStr">
        <is>
          <t>Overall</t>
        </is>
      </c>
    </row>
    <row r="5">
      <c r="A5" s="4" t="inlineStr">
        <is>
          <t>GROUP TOTAL</t>
        </is>
      </c>
      <c r="D5" s="5">
        <f>IFERROR(AVERAGE(D6:D41),0)</f>
        <v/>
      </c>
      <c r="E5" s="5">
        <f>IFERROR(AVERAGE(E6:E41),0)</f>
        <v/>
      </c>
      <c r="F5" s="5">
        <f>IFERROR(AVERAGE(F6:F41),0)</f>
        <v/>
      </c>
      <c r="G5" s="5">
        <f>IFERROR(AVERAGE(G6:G41),0)</f>
        <v/>
      </c>
      <c r="H5" s="5">
        <f>IFERROR(AVERAGE(H6:H41),0)</f>
        <v/>
      </c>
      <c r="I5" s="5">
        <f>IFERROR(AVERAGE(I6:I41),0)</f>
        <v/>
      </c>
      <c r="J5" s="5">
        <f>IFERROR(AVERAGE(J6:J41),0)</f>
        <v/>
      </c>
      <c r="K5" s="5">
        <f>IFERROR(AVERAGE(K6:K41),0)</f>
        <v/>
      </c>
      <c r="L5" s="5">
        <f>IFERROR(AVERAGE(L6:L41),0)</f>
        <v/>
      </c>
      <c r="M5" s="5">
        <f>IFERROR(AVERAGE(M6:M41),0)</f>
        <v/>
      </c>
      <c r="N5" s="5">
        <f>IFERROR(AVERAGE(N6:N41),0)</f>
        <v/>
      </c>
    </row>
    <row r="6">
      <c r="A6" s="6" t="inlineStr">
        <is>
          <t>Palm</t>
        </is>
      </c>
      <c r="B6" s="6" t="inlineStr">
        <is>
          <t>Malaysia</t>
        </is>
      </c>
      <c r="C6" s="7" t="inlineStr">
        <is>
          <t>A — exporter</t>
        </is>
      </c>
      <c r="D6" s="8">
        <f>'Malaysia Palm'!B13</f>
        <v/>
      </c>
      <c r="E6" s="8">
        <f>'Malaysia Palm'!C13</f>
        <v/>
      </c>
      <c r="F6" s="8">
        <f>'Malaysia Palm'!D13</f>
        <v/>
      </c>
      <c r="G6" s="8">
        <f>'Malaysia Palm'!E13</f>
        <v/>
      </c>
      <c r="H6" s="8">
        <f>'Malaysia Palm'!F13</f>
        <v/>
      </c>
      <c r="I6" s="8">
        <f>'Malaysia Palm'!G13</f>
        <v/>
      </c>
      <c r="J6" s="8">
        <f>'Malaysia Palm'!H13</f>
        <v/>
      </c>
      <c r="K6" s="8">
        <f>'Malaysia Palm'!I13</f>
        <v/>
      </c>
      <c r="L6" s="8">
        <f>'Malaysia Palm'!J13</f>
        <v/>
      </c>
      <c r="M6" s="8">
        <f>'Malaysia Palm'!K13</f>
        <v/>
      </c>
      <c r="N6" s="9">
        <f>'Malaysia Palm'!C2</f>
        <v/>
      </c>
    </row>
    <row r="7">
      <c r="A7" s="6" t="inlineStr">
        <is>
          <t>Palm</t>
        </is>
      </c>
      <c r="B7" s="6" t="inlineStr">
        <is>
          <t>Indonesia</t>
        </is>
      </c>
      <c r="C7" s="7" t="inlineStr">
        <is>
          <t>A — exporter</t>
        </is>
      </c>
      <c r="D7" s="8">
        <f>'Indonesia Palm'!B13</f>
        <v/>
      </c>
      <c r="E7" s="8">
        <f>'Indonesia Palm'!C13</f>
        <v/>
      </c>
      <c r="F7" s="8">
        <f>'Indonesia Palm'!D13</f>
        <v/>
      </c>
      <c r="G7" s="8">
        <f>'Indonesia Palm'!E13</f>
        <v/>
      </c>
      <c r="H7" s="8">
        <f>'Indonesia Palm'!F13</f>
        <v/>
      </c>
      <c r="I7" s="8">
        <f>'Indonesia Palm'!G13</f>
        <v/>
      </c>
      <c r="J7" s="8">
        <f>'Indonesia Palm'!H13</f>
        <v/>
      </c>
      <c r="K7" s="8">
        <f>'Indonesia Palm'!I13</f>
        <v/>
      </c>
      <c r="L7" s="8">
        <f>'Indonesia Palm'!J13</f>
        <v/>
      </c>
      <c r="M7" s="8">
        <f>'Indonesia Palm'!K13</f>
        <v/>
      </c>
      <c r="N7" s="9">
        <f>'Indonesia Palm'!C2</f>
        <v/>
      </c>
    </row>
    <row r="8">
      <c r="A8" s="6" t="inlineStr">
        <is>
          <t>Palm</t>
        </is>
      </c>
      <c r="B8" s="6" t="inlineStr">
        <is>
          <t>India</t>
        </is>
      </c>
      <c r="C8" s="7" t="inlineStr">
        <is>
          <t>B — importer</t>
        </is>
      </c>
      <c r="D8" s="8">
        <f>'India Palm'!B8</f>
        <v/>
      </c>
      <c r="E8" s="8">
        <f>'India Palm'!C8</f>
        <v/>
      </c>
      <c r="F8" s="8">
        <f>'India Palm'!D8</f>
        <v/>
      </c>
      <c r="G8" s="8">
        <f>'India Palm'!E8</f>
        <v/>
      </c>
      <c r="H8" s="8">
        <f>'India Palm'!F8</f>
        <v/>
      </c>
      <c r="I8" s="8">
        <f>'India Palm'!G8</f>
        <v/>
      </c>
      <c r="J8" s="8">
        <f>'India Palm'!H8</f>
        <v/>
      </c>
      <c r="K8" s="8">
        <f>'India Palm'!I8</f>
        <v/>
      </c>
      <c r="L8" s="8">
        <f>'India Palm'!J8</f>
        <v/>
      </c>
      <c r="M8" s="8">
        <f>'India Palm'!K8</f>
        <v/>
      </c>
      <c r="N8" s="9">
        <f>'India Palm'!C2</f>
        <v/>
      </c>
    </row>
    <row r="9">
      <c r="A9" s="6" t="inlineStr">
        <is>
          <t>Palm</t>
        </is>
      </c>
      <c r="B9" s="6" t="inlineStr">
        <is>
          <t>China</t>
        </is>
      </c>
      <c r="C9" s="7" t="inlineStr">
        <is>
          <t>B — importer</t>
        </is>
      </c>
      <c r="D9" s="8">
        <f>'China Palm'!B8</f>
        <v/>
      </c>
      <c r="E9" s="8">
        <f>'China Palm'!C8</f>
        <v/>
      </c>
      <c r="F9" s="8">
        <f>'China Palm'!D8</f>
        <v/>
      </c>
      <c r="G9" s="8">
        <f>'China Palm'!E8</f>
        <v/>
      </c>
      <c r="H9" s="8">
        <f>'China Palm'!F8</f>
        <v/>
      </c>
      <c r="I9" s="8">
        <f>'China Palm'!G8</f>
        <v/>
      </c>
      <c r="J9" s="8">
        <f>'China Palm'!H8</f>
        <v/>
      </c>
      <c r="K9" s="8">
        <f>'China Palm'!I8</f>
        <v/>
      </c>
      <c r="L9" s="8">
        <f>'China Palm'!J8</f>
        <v/>
      </c>
      <c r="M9" s="8">
        <f>'China Palm'!K8</f>
        <v/>
      </c>
      <c r="N9" s="9">
        <f>'China Palm'!C2</f>
        <v/>
      </c>
    </row>
    <row r="10">
      <c r="A10" s="6" t="inlineStr">
        <is>
          <t>Palm</t>
        </is>
      </c>
      <c r="B10" s="6" t="inlineStr">
        <is>
          <t>Europe</t>
        </is>
      </c>
      <c r="C10" s="7" t="inlineStr">
        <is>
          <t>B — importer</t>
        </is>
      </c>
      <c r="D10" s="8">
        <f>'EU Palm'!B8</f>
        <v/>
      </c>
      <c r="E10" s="8">
        <f>'EU Palm'!C8</f>
        <v/>
      </c>
      <c r="F10" s="8">
        <f>'EU Palm'!D8</f>
        <v/>
      </c>
      <c r="G10" s="8">
        <f>'EU Palm'!E8</f>
        <v/>
      </c>
      <c r="H10" s="8">
        <f>'EU Palm'!F8</f>
        <v/>
      </c>
      <c r="I10" s="8">
        <f>'EU Palm'!G8</f>
        <v/>
      </c>
      <c r="J10" s="8">
        <f>'EU Palm'!H8</f>
        <v/>
      </c>
      <c r="K10" s="8">
        <f>'EU Palm'!I8</f>
        <v/>
      </c>
      <c r="L10" s="8">
        <f>'EU Palm'!J8</f>
        <v/>
      </c>
      <c r="M10" s="8">
        <f>'EU Palm'!K8</f>
        <v/>
      </c>
      <c r="N10" s="9">
        <f>'EU Palm'!C2</f>
        <v/>
      </c>
    </row>
    <row r="11">
      <c r="A11" s="6" t="inlineStr">
        <is>
          <t>Palm</t>
        </is>
      </c>
      <c r="B11" s="6" t="inlineStr">
        <is>
          <t>Colombia</t>
        </is>
      </c>
      <c r="C11" s="7" t="inlineStr">
        <is>
          <t>D — scenario</t>
        </is>
      </c>
      <c r="D11" s="8">
        <f>'Colombia Palm'!B13</f>
        <v/>
      </c>
      <c r="E11" s="8">
        <f>'Colombia Palm'!C13</f>
        <v/>
      </c>
      <c r="F11" s="8">
        <f>'Colombia Palm'!D13</f>
        <v/>
      </c>
      <c r="G11" s="8">
        <f>'Colombia Palm'!E13</f>
        <v/>
      </c>
      <c r="H11" s="8">
        <f>'Colombia Palm'!F13</f>
        <v/>
      </c>
      <c r="I11" s="8">
        <f>'Colombia Palm'!G13</f>
        <v/>
      </c>
      <c r="J11" s="8">
        <f>'Colombia Palm'!H13</f>
        <v/>
      </c>
      <c r="K11" s="8">
        <f>'Colombia Palm'!I13</f>
        <v/>
      </c>
      <c r="L11" s="8">
        <f>'Colombia Palm'!J13</f>
        <v/>
      </c>
      <c r="M11" s="8">
        <f>'Colombia Palm'!K13</f>
        <v/>
      </c>
      <c r="N11" s="9">
        <f>'Colombia Palm'!C2</f>
        <v/>
      </c>
    </row>
    <row r="12">
      <c r="A12" s="6" t="inlineStr">
        <is>
          <t>Palm</t>
        </is>
      </c>
      <c r="B12" s="6" t="inlineStr">
        <is>
          <t>Guatemala</t>
        </is>
      </c>
      <c r="C12" s="7" t="inlineStr">
        <is>
          <t>D — scenario</t>
        </is>
      </c>
      <c r="D12" s="8">
        <f>'Guatemala Palm'!B13</f>
        <v/>
      </c>
      <c r="E12" s="8">
        <f>'Guatemala Palm'!C13</f>
        <v/>
      </c>
      <c r="F12" s="8">
        <f>'Guatemala Palm'!D13</f>
        <v/>
      </c>
      <c r="G12" s="8">
        <f>'Guatemala Palm'!E13</f>
        <v/>
      </c>
      <c r="H12" s="8">
        <f>'Guatemala Palm'!F13</f>
        <v/>
      </c>
      <c r="I12" s="8">
        <f>'Guatemala Palm'!G13</f>
        <v/>
      </c>
      <c r="J12" s="8">
        <f>'Guatemala Palm'!H13</f>
        <v/>
      </c>
      <c r="K12" s="8">
        <f>'Guatemala Palm'!I13</f>
        <v/>
      </c>
      <c r="L12" s="8">
        <f>'Guatemala Palm'!J13</f>
        <v/>
      </c>
      <c r="M12" s="8">
        <f>'Guatemala Palm'!K13</f>
        <v/>
      </c>
      <c r="N12" s="9">
        <f>'Guatemala Palm'!C2</f>
        <v/>
      </c>
    </row>
    <row r="13">
      <c r="A13" s="6" t="inlineStr">
        <is>
          <t>Palm</t>
        </is>
      </c>
      <c r="B13" s="6" t="inlineStr">
        <is>
          <t>Mexico</t>
        </is>
      </c>
      <c r="C13" s="7" t="inlineStr">
        <is>
          <t>D — scenario</t>
        </is>
      </c>
      <c r="D13" s="8">
        <f>'Mexico Palm'!B8</f>
        <v/>
      </c>
      <c r="E13" s="8">
        <f>'Mexico Palm'!C8</f>
        <v/>
      </c>
      <c r="F13" s="8">
        <f>'Mexico Palm'!D8</f>
        <v/>
      </c>
      <c r="G13" s="8">
        <f>'Mexico Palm'!E8</f>
        <v/>
      </c>
      <c r="H13" s="8">
        <f>'Mexico Palm'!F8</f>
        <v/>
      </c>
      <c r="I13" s="8">
        <f>'Mexico Palm'!G8</f>
        <v/>
      </c>
      <c r="J13" s="8">
        <f>'Mexico Palm'!H8</f>
        <v/>
      </c>
      <c r="K13" s="8">
        <f>'Mexico Palm'!I8</f>
        <v/>
      </c>
      <c r="L13" s="8">
        <f>'Mexico Palm'!J8</f>
        <v/>
      </c>
      <c r="M13" s="8">
        <f>'Mexico Palm'!K8</f>
        <v/>
      </c>
      <c r="N13" s="9">
        <f>'Mexico Palm'!C2</f>
        <v/>
      </c>
    </row>
    <row r="14">
      <c r="A14" s="6" t="inlineStr">
        <is>
          <t>Rapeseed / Canola</t>
        </is>
      </c>
      <c r="B14" s="6" t="inlineStr">
        <is>
          <t>Europe</t>
        </is>
      </c>
      <c r="C14" s="7" t="inlineStr">
        <is>
          <t>A — exporter</t>
        </is>
      </c>
      <c r="D14" s="8">
        <f>'EU Canola'!B10</f>
        <v/>
      </c>
      <c r="E14" s="8">
        <f>'EU Canola'!C10</f>
        <v/>
      </c>
      <c r="F14" s="8">
        <f>'EU Canola'!D10</f>
        <v/>
      </c>
      <c r="G14" s="8">
        <f>'EU Canola'!E10</f>
        <v/>
      </c>
      <c r="H14" s="8">
        <f>'EU Canola'!F10</f>
        <v/>
      </c>
      <c r="I14" s="8">
        <f>'EU Canola'!G10</f>
        <v/>
      </c>
      <c r="J14" s="8">
        <f>'EU Canola'!H10</f>
        <v/>
      </c>
      <c r="K14" s="8">
        <f>'EU Canola'!I10</f>
        <v/>
      </c>
      <c r="L14" s="8">
        <f>'EU Canola'!J10</f>
        <v/>
      </c>
      <c r="M14" s="8">
        <f>'EU Canola'!K10</f>
        <v/>
      </c>
      <c r="N14" s="9">
        <f>'EU Canola'!C2</f>
        <v/>
      </c>
    </row>
    <row r="15">
      <c r="A15" s="6" t="inlineStr">
        <is>
          <t>Rapeseed / Canola</t>
        </is>
      </c>
      <c r="B15" s="6" t="inlineStr">
        <is>
          <t>Canada</t>
        </is>
      </c>
      <c r="C15" s="7" t="inlineStr">
        <is>
          <t>A — exporter</t>
        </is>
      </c>
      <c r="D15" s="8">
        <f>'Canada Canola'!B10</f>
        <v/>
      </c>
      <c r="E15" s="8">
        <f>'Canada Canola'!C10</f>
        <v/>
      </c>
      <c r="F15" s="8">
        <f>'Canada Canola'!D10</f>
        <v/>
      </c>
      <c r="G15" s="8">
        <f>'Canada Canola'!E10</f>
        <v/>
      </c>
      <c r="H15" s="8">
        <f>'Canada Canola'!F10</f>
        <v/>
      </c>
      <c r="I15" s="8">
        <f>'Canada Canola'!G10</f>
        <v/>
      </c>
      <c r="J15" s="8">
        <f>'Canada Canola'!H10</f>
        <v/>
      </c>
      <c r="K15" s="8">
        <f>'Canada Canola'!I10</f>
        <v/>
      </c>
      <c r="L15" s="8">
        <f>'Canada Canola'!J10</f>
        <v/>
      </c>
      <c r="M15" s="8">
        <f>'Canada Canola'!K10</f>
        <v/>
      </c>
      <c r="N15" s="9">
        <f>'Canada Canola'!C2</f>
        <v/>
      </c>
    </row>
    <row r="16">
      <c r="A16" s="6" t="inlineStr">
        <is>
          <t>Rapeseed / Canola</t>
        </is>
      </c>
      <c r="B16" s="6" t="inlineStr">
        <is>
          <t>Australia</t>
        </is>
      </c>
      <c r="C16" s="7" t="inlineStr">
        <is>
          <t>A — exporter</t>
        </is>
      </c>
      <c r="D16" s="8">
        <f>'Australia Canola'!B10</f>
        <v/>
      </c>
      <c r="E16" s="8">
        <f>'Australia Canola'!C10</f>
        <v/>
      </c>
      <c r="F16" s="8">
        <f>'Australia Canola'!D10</f>
        <v/>
      </c>
      <c r="G16" s="8">
        <f>'Australia Canola'!E10</f>
        <v/>
      </c>
      <c r="H16" s="8">
        <f>'Australia Canola'!F10</f>
        <v/>
      </c>
      <c r="I16" s="8">
        <f>'Australia Canola'!G10</f>
        <v/>
      </c>
      <c r="J16" s="8">
        <f>'Australia Canola'!H10</f>
        <v/>
      </c>
      <c r="K16" s="8">
        <f>'Australia Canola'!I10</f>
        <v/>
      </c>
      <c r="L16" s="8">
        <f>'Australia Canola'!J10</f>
        <v/>
      </c>
      <c r="M16" s="8">
        <f>'Australia Canola'!K10</f>
        <v/>
      </c>
      <c r="N16" s="9">
        <f>'Australia Canola'!C2</f>
        <v/>
      </c>
    </row>
    <row r="17">
      <c r="A17" s="6" t="inlineStr">
        <is>
          <t>Rapeseed / Canola</t>
        </is>
      </c>
      <c r="B17" s="6" t="inlineStr">
        <is>
          <t>Russia</t>
        </is>
      </c>
      <c r="C17" s="7" t="inlineStr">
        <is>
          <t>A — exporter</t>
        </is>
      </c>
      <c r="D17" s="8">
        <f>'Russia Canola'!B10</f>
        <v/>
      </c>
      <c r="E17" s="8">
        <f>'Russia Canola'!C10</f>
        <v/>
      </c>
      <c r="F17" s="8">
        <f>'Russia Canola'!D10</f>
        <v/>
      </c>
      <c r="G17" s="8">
        <f>'Russia Canola'!E10</f>
        <v/>
      </c>
      <c r="H17" s="8">
        <f>'Russia Canola'!F10</f>
        <v/>
      </c>
      <c r="I17" s="8">
        <f>'Russia Canola'!G10</f>
        <v/>
      </c>
      <c r="J17" s="8">
        <f>'Russia Canola'!H10</f>
        <v/>
      </c>
      <c r="K17" s="8">
        <f>'Russia Canola'!I10</f>
        <v/>
      </c>
      <c r="L17" s="8">
        <f>'Russia Canola'!J10</f>
        <v/>
      </c>
      <c r="M17" s="8">
        <f>'Russia Canola'!K10</f>
        <v/>
      </c>
      <c r="N17" s="9">
        <f>'Russia Canola'!C2</f>
        <v/>
      </c>
    </row>
    <row r="18">
      <c r="A18" s="6" t="inlineStr">
        <is>
          <t>Rapeseed / Canola</t>
        </is>
      </c>
      <c r="B18" s="6" t="inlineStr">
        <is>
          <t>China</t>
        </is>
      </c>
      <c r="C18" s="7" t="inlineStr">
        <is>
          <t>B — importer</t>
        </is>
      </c>
      <c r="D18" s="8">
        <f>'China Canola'!B10</f>
        <v/>
      </c>
      <c r="E18" s="8">
        <f>'China Canola'!C10</f>
        <v/>
      </c>
      <c r="F18" s="8">
        <f>'China Canola'!D10</f>
        <v/>
      </c>
      <c r="G18" s="8">
        <f>'China Canola'!E10</f>
        <v/>
      </c>
      <c r="H18" s="8">
        <f>'China Canola'!F10</f>
        <v/>
      </c>
      <c r="I18" s="8">
        <f>'China Canola'!G10</f>
        <v/>
      </c>
      <c r="J18" s="8">
        <f>'China Canola'!H10</f>
        <v/>
      </c>
      <c r="K18" s="8">
        <f>'China Canola'!I10</f>
        <v/>
      </c>
      <c r="L18" s="8">
        <f>'China Canola'!J10</f>
        <v/>
      </c>
      <c r="M18" s="8">
        <f>'China Canola'!K10</f>
        <v/>
      </c>
      <c r="N18" s="9">
        <f>'China Canola'!C2</f>
        <v/>
      </c>
    </row>
    <row r="19">
      <c r="A19" s="6" t="inlineStr">
        <is>
          <t>Rapeseed / Canola</t>
        </is>
      </c>
      <c r="B19" s="6" t="inlineStr">
        <is>
          <t>India</t>
        </is>
      </c>
      <c r="C19" s="7" t="inlineStr">
        <is>
          <t>B — importer</t>
        </is>
      </c>
      <c r="D19" s="8">
        <f>'India Canola'!B10</f>
        <v/>
      </c>
      <c r="E19" s="8">
        <f>'India Canola'!C10</f>
        <v/>
      </c>
      <c r="F19" s="8">
        <f>'India Canola'!D10</f>
        <v/>
      </c>
      <c r="G19" s="8">
        <f>'India Canola'!E10</f>
        <v/>
      </c>
      <c r="H19" s="8">
        <f>'India Canola'!F10</f>
        <v/>
      </c>
      <c r="I19" s="8">
        <f>'India Canola'!G10</f>
        <v/>
      </c>
      <c r="J19" s="8">
        <f>'India Canola'!H10</f>
        <v/>
      </c>
      <c r="K19" s="8">
        <f>'India Canola'!I10</f>
        <v/>
      </c>
      <c r="L19" s="8">
        <f>'India Canola'!J10</f>
        <v/>
      </c>
      <c r="M19" s="8">
        <f>'India Canola'!K10</f>
        <v/>
      </c>
      <c r="N19" s="9">
        <f>'India Canola'!C2</f>
        <v/>
      </c>
    </row>
    <row r="20">
      <c r="A20" s="6" t="inlineStr">
        <is>
          <t>Rapeseed / Canola</t>
        </is>
      </c>
      <c r="B20" s="6" t="inlineStr">
        <is>
          <t>Turkey</t>
        </is>
      </c>
      <c r="C20" s="7" t="inlineStr">
        <is>
          <t>B — importer</t>
        </is>
      </c>
      <c r="D20" s="8">
        <f>'Turkey Canola'!B10</f>
        <v/>
      </c>
      <c r="E20" s="8">
        <f>'Turkey Canola'!C10</f>
        <v/>
      </c>
      <c r="F20" s="8">
        <f>'Turkey Canola'!D10</f>
        <v/>
      </c>
      <c r="G20" s="8">
        <f>'Turkey Canola'!E10</f>
        <v/>
      </c>
      <c r="H20" s="8">
        <f>'Turkey Canola'!F10</f>
        <v/>
      </c>
      <c r="I20" s="8">
        <f>'Turkey Canola'!G10</f>
        <v/>
      </c>
      <c r="J20" s="8">
        <f>'Turkey Canola'!H10</f>
        <v/>
      </c>
      <c r="K20" s="8">
        <f>'Turkey Canola'!I10</f>
        <v/>
      </c>
      <c r="L20" s="8">
        <f>'Turkey Canola'!J10</f>
        <v/>
      </c>
      <c r="M20" s="8">
        <f>'Turkey Canola'!K10</f>
        <v/>
      </c>
      <c r="N20" s="9">
        <f>'Turkey Canola'!C2</f>
        <v/>
      </c>
    </row>
    <row r="21">
      <c r="A21" s="6" t="inlineStr">
        <is>
          <t>Rapeseed / Canola</t>
        </is>
      </c>
      <c r="B21" s="6" t="inlineStr">
        <is>
          <t>Brazil</t>
        </is>
      </c>
      <c r="C21" s="7" t="inlineStr">
        <is>
          <t>D — scenario</t>
        </is>
      </c>
      <c r="D21" s="8">
        <f>'Brazil Canola'!B10</f>
        <v/>
      </c>
      <c r="E21" s="8">
        <f>'Brazil Canola'!C10</f>
        <v/>
      </c>
      <c r="F21" s="8">
        <f>'Brazil Canola'!D10</f>
        <v/>
      </c>
      <c r="G21" s="8">
        <f>'Brazil Canola'!E10</f>
        <v/>
      </c>
      <c r="H21" s="8">
        <f>'Brazil Canola'!F10</f>
        <v/>
      </c>
      <c r="I21" s="8">
        <f>'Brazil Canola'!G10</f>
        <v/>
      </c>
      <c r="J21" s="8">
        <f>'Brazil Canola'!H10</f>
        <v/>
      </c>
      <c r="K21" s="8">
        <f>'Brazil Canola'!I10</f>
        <v/>
      </c>
      <c r="L21" s="8">
        <f>'Brazil Canola'!J10</f>
        <v/>
      </c>
      <c r="M21" s="8">
        <f>'Brazil Canola'!K10</f>
        <v/>
      </c>
      <c r="N21" s="9">
        <f>'Brazil Canola'!C2</f>
        <v/>
      </c>
    </row>
    <row r="22">
      <c r="A22" s="6" t="inlineStr">
        <is>
          <t>Rapeseed / Canola</t>
        </is>
      </c>
      <c r="B22" s="6" t="inlineStr">
        <is>
          <t>Mexico</t>
        </is>
      </c>
      <c r="C22" s="7" t="inlineStr">
        <is>
          <t>D — scenario</t>
        </is>
      </c>
      <c r="D22" s="8">
        <f>'Mexico Canola'!B10</f>
        <v/>
      </c>
      <c r="E22" s="8">
        <f>'Mexico Canola'!C10</f>
        <v/>
      </c>
      <c r="F22" s="8">
        <f>'Mexico Canola'!D10</f>
        <v/>
      </c>
      <c r="G22" s="8">
        <f>'Mexico Canola'!E10</f>
        <v/>
      </c>
      <c r="H22" s="8">
        <f>'Mexico Canola'!F10</f>
        <v/>
      </c>
      <c r="I22" s="8">
        <f>'Mexico Canola'!G10</f>
        <v/>
      </c>
      <c r="J22" s="8">
        <f>'Mexico Canola'!H10</f>
        <v/>
      </c>
      <c r="K22" s="8">
        <f>'Mexico Canola'!I10</f>
        <v/>
      </c>
      <c r="L22" s="8">
        <f>'Mexico Canola'!J10</f>
        <v/>
      </c>
      <c r="M22" s="8">
        <f>'Mexico Canola'!K10</f>
        <v/>
      </c>
      <c r="N22" s="9">
        <f>'Mexico Canola'!C2</f>
        <v/>
      </c>
    </row>
    <row r="23">
      <c r="A23" s="6" t="inlineStr">
        <is>
          <t>Sunflower</t>
        </is>
      </c>
      <c r="B23" s="6" t="inlineStr">
        <is>
          <t>Ukraine</t>
        </is>
      </c>
      <c r="C23" s="7" t="inlineStr">
        <is>
          <t>A — exporter</t>
        </is>
      </c>
      <c r="D23" s="8">
        <f>'Ukraine Sun'!B10</f>
        <v/>
      </c>
      <c r="E23" s="8">
        <f>'Ukraine Sun'!C10</f>
        <v/>
      </c>
      <c r="F23" s="8">
        <f>'Ukraine Sun'!D10</f>
        <v/>
      </c>
      <c r="G23" s="8">
        <f>'Ukraine Sun'!E10</f>
        <v/>
      </c>
      <c r="H23" s="8">
        <f>'Ukraine Sun'!F10</f>
        <v/>
      </c>
      <c r="I23" s="8">
        <f>'Ukraine Sun'!G10</f>
        <v/>
      </c>
      <c r="J23" s="8">
        <f>'Ukraine Sun'!H10</f>
        <v/>
      </c>
      <c r="K23" s="8">
        <f>'Ukraine Sun'!I10</f>
        <v/>
      </c>
      <c r="L23" s="8">
        <f>'Ukraine Sun'!J10</f>
        <v/>
      </c>
      <c r="M23" s="8">
        <f>'Ukraine Sun'!K10</f>
        <v/>
      </c>
      <c r="N23" s="9">
        <f>'Ukraine Sun'!C2</f>
        <v/>
      </c>
    </row>
    <row r="24">
      <c r="A24" s="6" t="inlineStr">
        <is>
          <t>Sunflower</t>
        </is>
      </c>
      <c r="B24" s="6" t="inlineStr">
        <is>
          <t>Russia</t>
        </is>
      </c>
      <c r="C24" s="7" t="inlineStr">
        <is>
          <t>A — exporter</t>
        </is>
      </c>
      <c r="D24" s="8">
        <f>'Russia Sun'!B10</f>
        <v/>
      </c>
      <c r="E24" s="8">
        <f>'Russia Sun'!C10</f>
        <v/>
      </c>
      <c r="F24" s="8">
        <f>'Russia Sun'!D10</f>
        <v/>
      </c>
      <c r="G24" s="8">
        <f>'Russia Sun'!E10</f>
        <v/>
      </c>
      <c r="H24" s="8">
        <f>'Russia Sun'!F10</f>
        <v/>
      </c>
      <c r="I24" s="8">
        <f>'Russia Sun'!G10</f>
        <v/>
      </c>
      <c r="J24" s="8">
        <f>'Russia Sun'!H10</f>
        <v/>
      </c>
      <c r="K24" s="8">
        <f>'Russia Sun'!I10</f>
        <v/>
      </c>
      <c r="L24" s="8">
        <f>'Russia Sun'!J10</f>
        <v/>
      </c>
      <c r="M24" s="8">
        <f>'Russia Sun'!K10</f>
        <v/>
      </c>
      <c r="N24" s="9">
        <f>'Russia Sun'!C2</f>
        <v/>
      </c>
    </row>
    <row r="25">
      <c r="A25" s="6" t="inlineStr">
        <is>
          <t>Sunflower</t>
        </is>
      </c>
      <c r="B25" s="6" t="inlineStr">
        <is>
          <t>Argentina</t>
        </is>
      </c>
      <c r="C25" s="7" t="inlineStr">
        <is>
          <t>A — exporter</t>
        </is>
      </c>
      <c r="D25" s="8">
        <f>'Argentina Sun'!B10</f>
        <v/>
      </c>
      <c r="E25" s="8">
        <f>'Argentina Sun'!C10</f>
        <v/>
      </c>
      <c r="F25" s="8">
        <f>'Argentina Sun'!D10</f>
        <v/>
      </c>
      <c r="G25" s="8">
        <f>'Argentina Sun'!E10</f>
        <v/>
      </c>
      <c r="H25" s="8">
        <f>'Argentina Sun'!F10</f>
        <v/>
      </c>
      <c r="I25" s="8">
        <f>'Argentina Sun'!G10</f>
        <v/>
      </c>
      <c r="J25" s="8">
        <f>'Argentina Sun'!H10</f>
        <v/>
      </c>
      <c r="K25" s="8">
        <f>'Argentina Sun'!I10</f>
        <v/>
      </c>
      <c r="L25" s="8">
        <f>'Argentina Sun'!J10</f>
        <v/>
      </c>
      <c r="M25" s="8">
        <f>'Argentina Sun'!K10</f>
        <v/>
      </c>
      <c r="N25" s="9">
        <f>'Argentina Sun'!C2</f>
        <v/>
      </c>
    </row>
    <row r="26">
      <c r="A26" s="6" t="inlineStr">
        <is>
          <t>Sunflower</t>
        </is>
      </c>
      <c r="B26" s="6" t="inlineStr">
        <is>
          <t>Europe</t>
        </is>
      </c>
      <c r="C26" s="7" t="inlineStr">
        <is>
          <t>B — importer</t>
        </is>
      </c>
      <c r="D26" s="8">
        <f>'EU Sun'!B10</f>
        <v/>
      </c>
      <c r="E26" s="8">
        <f>'EU Sun'!C10</f>
        <v/>
      </c>
      <c r="F26" s="8">
        <f>'EU Sun'!D10</f>
        <v/>
      </c>
      <c r="G26" s="8">
        <f>'EU Sun'!E10</f>
        <v/>
      </c>
      <c r="H26" s="8">
        <f>'EU Sun'!F10</f>
        <v/>
      </c>
      <c r="I26" s="8">
        <f>'EU Sun'!G10</f>
        <v/>
      </c>
      <c r="J26" s="8">
        <f>'EU Sun'!H10</f>
        <v/>
      </c>
      <c r="K26" s="8">
        <f>'EU Sun'!I10</f>
        <v/>
      </c>
      <c r="L26" s="8">
        <f>'EU Sun'!J10</f>
        <v/>
      </c>
      <c r="M26" s="8">
        <f>'EU Sun'!K10</f>
        <v/>
      </c>
      <c r="N26" s="9">
        <f>'EU Sun'!C2</f>
        <v/>
      </c>
    </row>
    <row r="27">
      <c r="A27" s="6" t="inlineStr">
        <is>
          <t>Sunflower</t>
        </is>
      </c>
      <c r="B27" s="6" t="inlineStr">
        <is>
          <t>Turkey</t>
        </is>
      </c>
      <c r="C27" s="7" t="inlineStr">
        <is>
          <t>B — importer</t>
        </is>
      </c>
      <c r="D27" s="8">
        <f>'Turkey Sun'!B10</f>
        <v/>
      </c>
      <c r="E27" s="8">
        <f>'Turkey Sun'!C10</f>
        <v/>
      </c>
      <c r="F27" s="8">
        <f>'Turkey Sun'!D10</f>
        <v/>
      </c>
      <c r="G27" s="8">
        <f>'Turkey Sun'!E10</f>
        <v/>
      </c>
      <c r="H27" s="8">
        <f>'Turkey Sun'!F10</f>
        <v/>
      </c>
      <c r="I27" s="8">
        <f>'Turkey Sun'!G10</f>
        <v/>
      </c>
      <c r="J27" s="8">
        <f>'Turkey Sun'!H10</f>
        <v/>
      </c>
      <c r="K27" s="8">
        <f>'Turkey Sun'!I10</f>
        <v/>
      </c>
      <c r="L27" s="8">
        <f>'Turkey Sun'!J10</f>
        <v/>
      </c>
      <c r="M27" s="8">
        <f>'Turkey Sun'!K10</f>
        <v/>
      </c>
      <c r="N27" s="9">
        <f>'Turkey Sun'!C2</f>
        <v/>
      </c>
    </row>
    <row r="28">
      <c r="A28" s="6" t="inlineStr">
        <is>
          <t>Sunflower</t>
        </is>
      </c>
      <c r="B28" s="6" t="inlineStr">
        <is>
          <t>India</t>
        </is>
      </c>
      <c r="C28" s="7" t="inlineStr">
        <is>
          <t>B — importer</t>
        </is>
      </c>
      <c r="D28" s="8">
        <f>'India Sun'!B10</f>
        <v/>
      </c>
      <c r="E28" s="8">
        <f>'India Sun'!C10</f>
        <v/>
      </c>
      <c r="F28" s="8">
        <f>'India Sun'!D10</f>
        <v/>
      </c>
      <c r="G28" s="8">
        <f>'India Sun'!E10</f>
        <v/>
      </c>
      <c r="H28" s="8">
        <f>'India Sun'!F10</f>
        <v/>
      </c>
      <c r="I28" s="8">
        <f>'India Sun'!G10</f>
        <v/>
      </c>
      <c r="J28" s="8">
        <f>'India Sun'!H10</f>
        <v/>
      </c>
      <c r="K28" s="8">
        <f>'India Sun'!I10</f>
        <v/>
      </c>
      <c r="L28" s="8">
        <f>'India Sun'!J10</f>
        <v/>
      </c>
      <c r="M28" s="8">
        <f>'India Sun'!K10</f>
        <v/>
      </c>
      <c r="N28" s="9">
        <f>'India Sun'!C2</f>
        <v/>
      </c>
    </row>
    <row r="29">
      <c r="A29" s="6" t="inlineStr">
        <is>
          <t>Sunflower</t>
        </is>
      </c>
      <c r="B29" s="6" t="inlineStr">
        <is>
          <t>China</t>
        </is>
      </c>
      <c r="C29" s="7" t="inlineStr">
        <is>
          <t>B — importer</t>
        </is>
      </c>
      <c r="D29" s="8">
        <f>'China Sun'!B10</f>
        <v/>
      </c>
      <c r="E29" s="8">
        <f>'China Sun'!C10</f>
        <v/>
      </c>
      <c r="F29" s="8">
        <f>'China Sun'!D10</f>
        <v/>
      </c>
      <c r="G29" s="8">
        <f>'China Sun'!E10</f>
        <v/>
      </c>
      <c r="H29" s="8">
        <f>'China Sun'!F10</f>
        <v/>
      </c>
      <c r="I29" s="8">
        <f>'China Sun'!G10</f>
        <v/>
      </c>
      <c r="J29" s="8">
        <f>'China Sun'!H10</f>
        <v/>
      </c>
      <c r="K29" s="8">
        <f>'China Sun'!I10</f>
        <v/>
      </c>
      <c r="L29" s="8">
        <f>'China Sun'!J10</f>
        <v/>
      </c>
      <c r="M29" s="8">
        <f>'China Sun'!K10</f>
        <v/>
      </c>
      <c r="N29" s="9">
        <f>'China Sun'!C2</f>
        <v/>
      </c>
    </row>
    <row r="30">
      <c r="A30" s="6" t="inlineStr">
        <is>
          <t>Sunflower</t>
        </is>
      </c>
      <c r="B30" s="6" t="inlineStr">
        <is>
          <t>Colombia</t>
        </is>
      </c>
      <c r="C30" s="7" t="inlineStr">
        <is>
          <t>D — scenario</t>
        </is>
      </c>
      <c r="D30" s="8">
        <f>'Colombia Sun'!B10</f>
        <v/>
      </c>
      <c r="E30" s="8">
        <f>'Colombia Sun'!C10</f>
        <v/>
      </c>
      <c r="F30" s="8">
        <f>'Colombia Sun'!D10</f>
        <v/>
      </c>
      <c r="G30" s="8">
        <f>'Colombia Sun'!E10</f>
        <v/>
      </c>
      <c r="H30" s="8">
        <f>'Colombia Sun'!F10</f>
        <v/>
      </c>
      <c r="I30" s="8">
        <f>'Colombia Sun'!G10</f>
        <v/>
      </c>
      <c r="J30" s="8">
        <f>'Colombia Sun'!H10</f>
        <v/>
      </c>
      <c r="K30" s="8">
        <f>'Colombia Sun'!I10</f>
        <v/>
      </c>
      <c r="L30" s="8">
        <f>'Colombia Sun'!J10</f>
        <v/>
      </c>
      <c r="M30" s="8">
        <f>'Colombia Sun'!K10</f>
        <v/>
      </c>
      <c r="N30" s="9">
        <f>'Colombia Sun'!C2</f>
        <v/>
      </c>
    </row>
    <row r="31">
      <c r="A31" s="6" t="inlineStr">
        <is>
          <t>Sunflower</t>
        </is>
      </c>
      <c r="B31" s="6" t="inlineStr">
        <is>
          <t>Mexico</t>
        </is>
      </c>
      <c r="C31" s="7" t="inlineStr">
        <is>
          <t>D — scenario</t>
        </is>
      </c>
      <c r="D31" s="8">
        <f>'Mexico Sun'!B10</f>
        <v/>
      </c>
      <c r="E31" s="8">
        <f>'Mexico Sun'!C10</f>
        <v/>
      </c>
      <c r="F31" s="8">
        <f>'Mexico Sun'!D10</f>
        <v/>
      </c>
      <c r="G31" s="8">
        <f>'Mexico Sun'!E10</f>
        <v/>
      </c>
      <c r="H31" s="8">
        <f>'Mexico Sun'!F10</f>
        <v/>
      </c>
      <c r="I31" s="8">
        <f>'Mexico Sun'!G10</f>
        <v/>
      </c>
      <c r="J31" s="8">
        <f>'Mexico Sun'!H10</f>
        <v/>
      </c>
      <c r="K31" s="8">
        <f>'Mexico Sun'!I10</f>
        <v/>
      </c>
      <c r="L31" s="8">
        <f>'Mexico Sun'!J10</f>
        <v/>
      </c>
      <c r="M31" s="8">
        <f>'Mexico Sun'!K10</f>
        <v/>
      </c>
      <c r="N31" s="9">
        <f>'Mexico Sun'!C2</f>
        <v/>
      </c>
    </row>
    <row r="32">
      <c r="A32" s="6" t="inlineStr">
        <is>
          <t>Soybean</t>
        </is>
      </c>
      <c r="B32" s="6" t="inlineStr">
        <is>
          <t>United States</t>
        </is>
      </c>
      <c r="C32" s="7" t="inlineStr">
        <is>
          <t>A — exporter · US template built</t>
        </is>
      </c>
      <c r="D32" s="8">
        <f>'US Soybean'!B10</f>
        <v/>
      </c>
      <c r="E32" s="8">
        <f>'US Soybean'!C10</f>
        <v/>
      </c>
      <c r="F32" s="8">
        <f>'US Soybean'!D10</f>
        <v/>
      </c>
      <c r="G32" s="8">
        <f>'US Soybean'!E10</f>
        <v/>
      </c>
      <c r="H32" s="8">
        <f>'US Soybean'!F10</f>
        <v/>
      </c>
      <c r="I32" s="8">
        <f>'US Soybean'!G10</f>
        <v/>
      </c>
      <c r="J32" s="8">
        <f>'US Soybean'!H10</f>
        <v/>
      </c>
      <c r="K32" s="8">
        <f>'US Soybean'!I10</f>
        <v/>
      </c>
      <c r="L32" s="8">
        <f>'US Soybean'!J10</f>
        <v/>
      </c>
      <c r="M32" s="8">
        <f>'US Soybean'!K10</f>
        <v/>
      </c>
      <c r="N32" s="9">
        <f>'US Soybean'!C2</f>
        <v/>
      </c>
    </row>
    <row r="33">
      <c r="A33" s="6" t="inlineStr">
        <is>
          <t>Soybean</t>
        </is>
      </c>
      <c r="B33" s="6" t="inlineStr">
        <is>
          <t>Brazil</t>
        </is>
      </c>
      <c r="C33" s="7" t="inlineStr">
        <is>
          <t>A — exporter</t>
        </is>
      </c>
      <c r="D33" s="8">
        <f>'Brazil Soybean'!B10</f>
        <v/>
      </c>
      <c r="E33" s="8">
        <f>'Brazil Soybean'!C10</f>
        <v/>
      </c>
      <c r="F33" s="8">
        <f>'Brazil Soybean'!D10</f>
        <v/>
      </c>
      <c r="G33" s="8">
        <f>'Brazil Soybean'!E10</f>
        <v/>
      </c>
      <c r="H33" s="8">
        <f>'Brazil Soybean'!F10</f>
        <v/>
      </c>
      <c r="I33" s="8">
        <f>'Brazil Soybean'!G10</f>
        <v/>
      </c>
      <c r="J33" s="8">
        <f>'Brazil Soybean'!H10</f>
        <v/>
      </c>
      <c r="K33" s="8">
        <f>'Brazil Soybean'!I10</f>
        <v/>
      </c>
      <c r="L33" s="8">
        <f>'Brazil Soybean'!J10</f>
        <v/>
      </c>
      <c r="M33" s="8">
        <f>'Brazil Soybean'!K10</f>
        <v/>
      </c>
      <c r="N33" s="9">
        <f>'Brazil Soybean'!C2</f>
        <v/>
      </c>
    </row>
    <row r="34">
      <c r="A34" s="6" t="inlineStr">
        <is>
          <t>Soybean</t>
        </is>
      </c>
      <c r="B34" s="6" t="inlineStr">
        <is>
          <t>Argentina</t>
        </is>
      </c>
      <c r="C34" s="7" t="inlineStr">
        <is>
          <t>A — exporter</t>
        </is>
      </c>
      <c r="D34" s="8">
        <f>'Argentina Soybean'!B10</f>
        <v/>
      </c>
      <c r="E34" s="8">
        <f>'Argentina Soybean'!C10</f>
        <v/>
      </c>
      <c r="F34" s="8">
        <f>'Argentina Soybean'!D10</f>
        <v/>
      </c>
      <c r="G34" s="8">
        <f>'Argentina Soybean'!E10</f>
        <v/>
      </c>
      <c r="H34" s="8">
        <f>'Argentina Soybean'!F10</f>
        <v/>
      </c>
      <c r="I34" s="8">
        <f>'Argentina Soybean'!G10</f>
        <v/>
      </c>
      <c r="J34" s="8">
        <f>'Argentina Soybean'!H10</f>
        <v/>
      </c>
      <c r="K34" s="8">
        <f>'Argentina Soybean'!I10</f>
        <v/>
      </c>
      <c r="L34" s="8">
        <f>'Argentina Soybean'!J10</f>
        <v/>
      </c>
      <c r="M34" s="8">
        <f>'Argentina Soybean'!K10</f>
        <v/>
      </c>
      <c r="N34" s="9">
        <f>'Argentina Soybean'!C2</f>
        <v/>
      </c>
    </row>
    <row r="35">
      <c r="A35" s="6" t="inlineStr">
        <is>
          <t>Soybean</t>
        </is>
      </c>
      <c r="B35" s="6" t="inlineStr">
        <is>
          <t>China</t>
        </is>
      </c>
      <c r="C35" s="7" t="inlineStr">
        <is>
          <t>B — importer</t>
        </is>
      </c>
      <c r="D35" s="8">
        <f>'China Soybean'!B10</f>
        <v/>
      </c>
      <c r="E35" s="8">
        <f>'China Soybean'!C10</f>
        <v/>
      </c>
      <c r="F35" s="8">
        <f>'China Soybean'!D10</f>
        <v/>
      </c>
      <c r="G35" s="8">
        <f>'China Soybean'!E10</f>
        <v/>
      </c>
      <c r="H35" s="8">
        <f>'China Soybean'!F10</f>
        <v/>
      </c>
      <c r="I35" s="8">
        <f>'China Soybean'!G10</f>
        <v/>
      </c>
      <c r="J35" s="8">
        <f>'China Soybean'!H10</f>
        <v/>
      </c>
      <c r="K35" s="8">
        <f>'China Soybean'!I10</f>
        <v/>
      </c>
      <c r="L35" s="8">
        <f>'China Soybean'!J10</f>
        <v/>
      </c>
      <c r="M35" s="8">
        <f>'China Soybean'!K10</f>
        <v/>
      </c>
      <c r="N35" s="9">
        <f>'China Soybean'!C2</f>
        <v/>
      </c>
    </row>
    <row r="36">
      <c r="A36" s="6" t="inlineStr">
        <is>
          <t>Soybean</t>
        </is>
      </c>
      <c r="B36" s="6" t="inlineStr">
        <is>
          <t>India</t>
        </is>
      </c>
      <c r="C36" s="7" t="inlineStr">
        <is>
          <t>B — importer</t>
        </is>
      </c>
      <c r="D36" s="8">
        <f>'India Soybean'!B10</f>
        <v/>
      </c>
      <c r="E36" s="8">
        <f>'India Soybean'!C10</f>
        <v/>
      </c>
      <c r="F36" s="8">
        <f>'India Soybean'!D10</f>
        <v/>
      </c>
      <c r="G36" s="8">
        <f>'India Soybean'!E10</f>
        <v/>
      </c>
      <c r="H36" s="8">
        <f>'India Soybean'!F10</f>
        <v/>
      </c>
      <c r="I36" s="8">
        <f>'India Soybean'!G10</f>
        <v/>
      </c>
      <c r="J36" s="8">
        <f>'India Soybean'!H10</f>
        <v/>
      </c>
      <c r="K36" s="8">
        <f>'India Soybean'!I10</f>
        <v/>
      </c>
      <c r="L36" s="8">
        <f>'India Soybean'!J10</f>
        <v/>
      </c>
      <c r="M36" s="8">
        <f>'India Soybean'!K10</f>
        <v/>
      </c>
      <c r="N36" s="9">
        <f>'India Soybean'!C2</f>
        <v/>
      </c>
    </row>
    <row r="37">
      <c r="A37" s="6" t="inlineStr">
        <is>
          <t>Soybean</t>
        </is>
      </c>
      <c r="B37" s="6" t="inlineStr">
        <is>
          <t>Europe</t>
        </is>
      </c>
      <c r="C37" s="7" t="inlineStr">
        <is>
          <t>B — importer</t>
        </is>
      </c>
      <c r="D37" s="8">
        <f>'EU Soybean'!B10</f>
        <v/>
      </c>
      <c r="E37" s="8">
        <f>'EU Soybean'!C10</f>
        <v/>
      </c>
      <c r="F37" s="8">
        <f>'EU Soybean'!D10</f>
        <v/>
      </c>
      <c r="G37" s="8">
        <f>'EU Soybean'!E10</f>
        <v/>
      </c>
      <c r="H37" s="8">
        <f>'EU Soybean'!F10</f>
        <v/>
      </c>
      <c r="I37" s="8">
        <f>'EU Soybean'!G10</f>
        <v/>
      </c>
      <c r="J37" s="8">
        <f>'EU Soybean'!H10</f>
        <v/>
      </c>
      <c r="K37" s="8">
        <f>'EU Soybean'!I10</f>
        <v/>
      </c>
      <c r="L37" s="8">
        <f>'EU Soybean'!J10</f>
        <v/>
      </c>
      <c r="M37" s="8">
        <f>'EU Soybean'!K10</f>
        <v/>
      </c>
      <c r="N37" s="9">
        <f>'EU Soybean'!C2</f>
        <v/>
      </c>
    </row>
    <row r="38">
      <c r="A38" s="6" t="inlineStr">
        <is>
          <t>Soybean</t>
        </is>
      </c>
      <c r="B38" s="6" t="inlineStr">
        <is>
          <t>Mexico</t>
        </is>
      </c>
      <c r="C38" s="7" t="inlineStr">
        <is>
          <t>D — scenario</t>
        </is>
      </c>
      <c r="D38" s="8">
        <f>'Mexico Soybean'!B10</f>
        <v/>
      </c>
      <c r="E38" s="8">
        <f>'Mexico Soybean'!C10</f>
        <v/>
      </c>
      <c r="F38" s="8">
        <f>'Mexico Soybean'!D10</f>
        <v/>
      </c>
      <c r="G38" s="8">
        <f>'Mexico Soybean'!E10</f>
        <v/>
      </c>
      <c r="H38" s="8">
        <f>'Mexico Soybean'!F10</f>
        <v/>
      </c>
      <c r="I38" s="8">
        <f>'Mexico Soybean'!G10</f>
        <v/>
      </c>
      <c r="J38" s="8">
        <f>'Mexico Soybean'!H10</f>
        <v/>
      </c>
      <c r="K38" s="8">
        <f>'Mexico Soybean'!I10</f>
        <v/>
      </c>
      <c r="L38" s="8">
        <f>'Mexico Soybean'!J10</f>
        <v/>
      </c>
      <c r="M38" s="8">
        <f>'Mexico Soybean'!K10</f>
        <v/>
      </c>
      <c r="N38" s="9">
        <f>'Mexico Soybean'!C2</f>
        <v/>
      </c>
    </row>
    <row r="39">
      <c r="A39" s="6" t="inlineStr">
        <is>
          <t>Corn Oil</t>
        </is>
      </c>
      <c r="B39" s="6" t="inlineStr">
        <is>
          <t>United States</t>
        </is>
      </c>
      <c r="C39" s="7" t="inlineStr">
        <is>
          <t>A — exporter · US template built</t>
        </is>
      </c>
      <c r="D39" s="8">
        <f>'US Corn Oil'!B7</f>
        <v/>
      </c>
      <c r="E39" s="8">
        <f>'US Corn Oil'!C7</f>
        <v/>
      </c>
      <c r="F39" s="8">
        <f>'US Corn Oil'!D7</f>
        <v/>
      </c>
      <c r="G39" s="8">
        <f>'US Corn Oil'!E7</f>
        <v/>
      </c>
      <c r="H39" s="8">
        <f>'US Corn Oil'!F7</f>
        <v/>
      </c>
      <c r="I39" s="8">
        <f>'US Corn Oil'!G7</f>
        <v/>
      </c>
      <c r="J39" s="8">
        <f>'US Corn Oil'!H7</f>
        <v/>
      </c>
      <c r="K39" s="8">
        <f>'US Corn Oil'!I7</f>
        <v/>
      </c>
      <c r="L39" s="8">
        <f>'US Corn Oil'!J7</f>
        <v/>
      </c>
      <c r="M39" s="8">
        <f>'US Corn Oil'!K7</f>
        <v/>
      </c>
      <c r="N39" s="9">
        <f>'US Corn Oil'!C2</f>
        <v/>
      </c>
    </row>
    <row r="40">
      <c r="A40" s="6" t="inlineStr">
        <is>
          <t>Corn Oil</t>
        </is>
      </c>
      <c r="B40" s="6" t="inlineStr">
        <is>
          <t>Brazil</t>
        </is>
      </c>
      <c r="C40" s="7" t="inlineStr">
        <is>
          <t>A — exporter</t>
        </is>
      </c>
      <c r="D40" s="8">
        <f>'Brazil Corn Oil'!B7</f>
        <v/>
      </c>
      <c r="E40" s="8">
        <f>'Brazil Corn Oil'!C7</f>
        <v/>
      </c>
      <c r="F40" s="8">
        <f>'Brazil Corn Oil'!D7</f>
        <v/>
      </c>
      <c r="G40" s="8">
        <f>'Brazil Corn Oil'!E7</f>
        <v/>
      </c>
      <c r="H40" s="8">
        <f>'Brazil Corn Oil'!F7</f>
        <v/>
      </c>
      <c r="I40" s="8">
        <f>'Brazil Corn Oil'!G7</f>
        <v/>
      </c>
      <c r="J40" s="8">
        <f>'Brazil Corn Oil'!H7</f>
        <v/>
      </c>
      <c r="K40" s="8">
        <f>'Brazil Corn Oil'!I7</f>
        <v/>
      </c>
      <c r="L40" s="8">
        <f>'Brazil Corn Oil'!J7</f>
        <v/>
      </c>
      <c r="M40" s="8">
        <f>'Brazil Corn Oil'!K7</f>
        <v/>
      </c>
      <c r="N40" s="9">
        <f>'Brazil Corn Oil'!C2</f>
        <v/>
      </c>
    </row>
    <row r="41">
      <c r="A41" s="6" t="inlineStr">
        <is>
          <t>Corn Oil</t>
        </is>
      </c>
      <c r="B41" s="6" t="inlineStr">
        <is>
          <t>Mexico</t>
        </is>
      </c>
      <c r="C41" s="7" t="inlineStr">
        <is>
          <t>D — scenario</t>
        </is>
      </c>
      <c r="D41" s="8">
        <f>'Mexico Corn Oil'!B7</f>
        <v/>
      </c>
      <c r="E41" s="8">
        <f>'Mexico Corn Oil'!C7</f>
        <v/>
      </c>
      <c r="F41" s="8">
        <f>'Mexico Corn Oil'!D7</f>
        <v/>
      </c>
      <c r="G41" s="8">
        <f>'Mexico Corn Oil'!E7</f>
        <v/>
      </c>
      <c r="H41" s="8">
        <f>'Mexico Corn Oil'!F7</f>
        <v/>
      </c>
      <c r="I41" s="8">
        <f>'Mexico Corn Oil'!G7</f>
        <v/>
      </c>
      <c r="J41" s="8">
        <f>'Mexico Corn Oil'!H7</f>
        <v/>
      </c>
      <c r="K41" s="8">
        <f>'Mexico Corn Oil'!I7</f>
        <v/>
      </c>
      <c r="L41" s="8">
        <f>'Mexico Corn Oil'!J7</f>
        <v/>
      </c>
      <c r="M41" s="8">
        <f>'Mexico Corn Oil'!K7</f>
        <v/>
      </c>
      <c r="N41" s="9">
        <f>'Mexico Corn Oil'!C2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MALAYSIA PALM — build progress</t>
        </is>
      </c>
    </row>
    <row r="2">
      <c r="A2" s="10" t="inlineStr">
        <is>
          <t>Overall:</t>
        </is>
      </c>
      <c r="C2" s="11">
        <f>IF(8=0,0,COUNTIF(B5:K12,"✓")/(8*10))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Plantation</t>
        </is>
      </c>
      <c r="B5" s="14" t="n"/>
      <c r="C5" s="14" t="n"/>
      <c r="D5" s="14" t="n"/>
      <c r="E5" s="14" t="n"/>
      <c r="F5" s="14" t="n"/>
      <c r="G5" s="14" t="n"/>
      <c r="H5" s="14" t="n"/>
      <c r="I5" s="14" t="n"/>
      <c r="J5" s="14" t="n"/>
      <c r="K5" s="14" t="n"/>
      <c r="L5" s="8">
        <f>COUNTIF(B5:K5,"✓")/10</f>
        <v/>
      </c>
    </row>
    <row r="6">
      <c r="A6" s="6" t="inlineStr">
        <is>
          <t>Seed S&amp;D</t>
        </is>
      </c>
      <c r="B6" s="14" t="n"/>
      <c r="C6" s="14" t="n"/>
      <c r="D6" s="14" t="n"/>
      <c r="E6" s="14" t="n"/>
      <c r="F6" s="14" t="n"/>
      <c r="G6" s="14" t="n"/>
      <c r="H6" s="14" t="n"/>
      <c r="I6" s="14" t="n"/>
      <c r="J6" s="14" t="n"/>
      <c r="K6" s="14" t="n"/>
      <c r="L6" s="8">
        <f>COUNTIF(B6:K6,"✓")/10</f>
        <v/>
      </c>
    </row>
    <row r="7">
      <c r="A7" s="6" t="inlineStr">
        <is>
          <t>Crush</t>
        </is>
      </c>
      <c r="B7" s="14" t="n"/>
      <c r="C7" s="14" t="n"/>
      <c r="D7" s="14" t="n"/>
      <c r="E7" s="14" t="n"/>
      <c r="F7" s="14" t="n"/>
      <c r="G7" s="14" t="n"/>
      <c r="H7" s="14" t="n"/>
      <c r="I7" s="14" t="n"/>
      <c r="J7" s="14" t="n"/>
      <c r="K7" s="14" t="n"/>
      <c r="L7" s="8">
        <f>COUNTIF(B7:K7,"✓")/10</f>
        <v/>
      </c>
    </row>
    <row r="8">
      <c r="A8" s="6" t="inlineStr">
        <is>
          <t>Oil S&amp;D</t>
        </is>
      </c>
      <c r="B8" s="14" t="n"/>
      <c r="C8" s="14" t="n"/>
      <c r="D8" s="14" t="n"/>
      <c r="E8" s="14" t="n"/>
      <c r="F8" s="14" t="n"/>
      <c r="G8" s="14" t="n"/>
      <c r="H8" s="14" t="n"/>
      <c r="I8" s="14" t="n"/>
      <c r="J8" s="14" t="n"/>
      <c r="K8" s="14" t="n"/>
      <c r="L8" s="8">
        <f>COUNTIF(B8:K8,"✓")/10</f>
        <v/>
      </c>
    </row>
    <row r="9">
      <c r="A9" s="6" t="inlineStr">
        <is>
          <t>Kernel Oil S&amp;D</t>
        </is>
      </c>
      <c r="B9" s="14" t="n"/>
      <c r="C9" s="14" t="n"/>
      <c r="D9" s="14" t="n"/>
      <c r="E9" s="14" t="n"/>
      <c r="F9" s="14" t="n"/>
      <c r="G9" s="14" t="n"/>
      <c r="H9" s="14" t="n"/>
      <c r="I9" s="14" t="n"/>
      <c r="J9" s="14" t="n"/>
      <c r="K9" s="14" t="n"/>
      <c r="L9" s="8">
        <f>COUNTIF(B9:K9,"✓")/10</f>
        <v/>
      </c>
    </row>
    <row r="10">
      <c r="A10" s="6" t="inlineStr">
        <is>
          <t>Meal S&amp;D</t>
        </is>
      </c>
      <c r="B10" s="14" t="n"/>
      <c r="C10" s="14" t="n"/>
      <c r="D10" s="14" t="n"/>
      <c r="E10" s="14" t="n"/>
      <c r="F10" s="14" t="n"/>
      <c r="G10" s="14" t="n"/>
      <c r="H10" s="14" t="n"/>
      <c r="I10" s="14" t="n"/>
      <c r="J10" s="14" t="n"/>
      <c r="K10" s="14" t="n"/>
      <c r="L10" s="8">
        <f>COUNTIF(B10:K10,"✓")/10</f>
        <v/>
      </c>
    </row>
    <row r="11">
      <c r="A11" s="6" t="inlineStr">
        <is>
          <t>Trade</t>
        </is>
      </c>
      <c r="B11" s="14" t="n"/>
      <c r="C11" s="14" t="n"/>
      <c r="D11" s="14" t="n"/>
      <c r="E11" s="14" t="n"/>
      <c r="F11" s="14" t="n"/>
      <c r="G11" s="14" t="n"/>
      <c r="H11" s="14" t="n"/>
      <c r="I11" s="14" t="n"/>
      <c r="J11" s="14" t="n"/>
      <c r="K11" s="14" t="n"/>
      <c r="L11" s="8">
        <f>COUNTIF(B11:K11,"✓")/10</f>
        <v/>
      </c>
    </row>
    <row r="12">
      <c r="A12" s="6" t="inlineStr">
        <is>
          <t>Stocks</t>
        </is>
      </c>
      <c r="B12" s="14" t="n"/>
      <c r="C12" s="14" t="n"/>
      <c r="D12" s="14" t="n"/>
      <c r="E12" s="14" t="n"/>
      <c r="F12" s="14" t="n"/>
      <c r="G12" s="14" t="n"/>
      <c r="H12" s="14" t="n"/>
      <c r="I12" s="14" t="n"/>
      <c r="J12" s="14" t="n"/>
      <c r="K12" s="14" t="n"/>
      <c r="L12" s="8">
        <f>COUNTIF(B12:K12,"✓")/10</f>
        <v/>
      </c>
    </row>
    <row r="13">
      <c r="A13" s="15" t="inlineStr">
        <is>
          <t>TAB TOTAL</t>
        </is>
      </c>
      <c r="B13" s="16">
        <f>IF(8=0,0,COUNTIF(B5:B12,"✓")/8)</f>
        <v/>
      </c>
      <c r="C13" s="16">
        <f>IF(8=0,0,COUNTIF(C5:C12,"✓")/8)</f>
        <v/>
      </c>
      <c r="D13" s="16">
        <f>IF(8=0,0,COUNTIF(D5:D12,"✓")/8)</f>
        <v/>
      </c>
      <c r="E13" s="16">
        <f>IF(8=0,0,COUNTIF(E5:E12,"✓")/8)</f>
        <v/>
      </c>
      <c r="F13" s="16">
        <f>IF(8=0,0,COUNTIF(F5:F12,"✓")/8)</f>
        <v/>
      </c>
      <c r="G13" s="16">
        <f>IF(8=0,0,COUNTIF(G5:G12,"✓")/8)</f>
        <v/>
      </c>
      <c r="H13" s="16">
        <f>IF(8=0,0,COUNTIF(H5:H12,"✓")/8)</f>
        <v/>
      </c>
      <c r="I13" s="16">
        <f>IF(8=0,0,COUNTIF(I5:I12,"✓")/8)</f>
        <v/>
      </c>
      <c r="J13" s="16">
        <f>IF(8=0,0,COUNTIF(J5:J12,"✓")/8)</f>
        <v/>
      </c>
      <c r="K13" s="16">
        <f>IF(8=0,0,COUNTIF(K5:K12,"✓")/8)</f>
        <v/>
      </c>
      <c r="L13" s="16">
        <f>C2</f>
        <v/>
      </c>
    </row>
  </sheetData>
  <conditionalFormatting sqref="B5:K12">
    <cfRule type="cellIs" priority="1" operator="equal" dxfId="0">
      <formula>"✓"</formula>
    </cfRule>
  </conditionalFormatting>
  <dataValidations count="1">
    <dataValidation sqref="B5 B6 B7 B8 B9 B10 B11 B12 C5 C6 C7 C8 C9 C10 C11 C12 D5 D6 D7 D8 D9 D10 D11 D12 E5 E6 E7 E8 E9 E10 E11 E12 F5 F6 F7 F8 F9 F10 F11 F12 G5 G6 G7 G8 G9 G10 G11 G12 H5 H6 H7 H8 H9 H10 H11 H12 I5 I6 I7 I8 I9 I10 I11 I12 J5 J6 J7 J8 J9 J10 J11 J12 K5 K6 K7 K8 K9 K10 K11 K12"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INDONESIA PALM — build progress</t>
        </is>
      </c>
    </row>
    <row r="2">
      <c r="A2" s="10" t="inlineStr">
        <is>
          <t>Overall:</t>
        </is>
      </c>
      <c r="C2" s="11">
        <f>IF(8=0,0,COUNTIF(B5:K12,"✓")/(8*10))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Plantation</t>
        </is>
      </c>
      <c r="B5" s="14" t="n"/>
      <c r="C5" s="14" t="n"/>
      <c r="D5" s="14" t="n"/>
      <c r="E5" s="14" t="n"/>
      <c r="F5" s="14" t="n"/>
      <c r="G5" s="14" t="n"/>
      <c r="H5" s="14" t="n"/>
      <c r="I5" s="14" t="n"/>
      <c r="J5" s="14" t="n"/>
      <c r="K5" s="14" t="n"/>
      <c r="L5" s="8">
        <f>COUNTIF(B5:K5,"✓")/10</f>
        <v/>
      </c>
    </row>
    <row r="6">
      <c r="A6" s="6" t="inlineStr">
        <is>
          <t>Seed S&amp;D</t>
        </is>
      </c>
      <c r="B6" s="14" t="n"/>
      <c r="C6" s="14" t="n"/>
      <c r="D6" s="14" t="n"/>
      <c r="E6" s="14" t="n"/>
      <c r="F6" s="14" t="n"/>
      <c r="G6" s="14" t="n"/>
      <c r="H6" s="14" t="n"/>
      <c r="I6" s="14" t="n"/>
      <c r="J6" s="14" t="n"/>
      <c r="K6" s="14" t="n"/>
      <c r="L6" s="8">
        <f>COUNTIF(B6:K6,"✓")/10</f>
        <v/>
      </c>
    </row>
    <row r="7">
      <c r="A7" s="6" t="inlineStr">
        <is>
          <t>Crush</t>
        </is>
      </c>
      <c r="B7" s="14" t="n"/>
      <c r="C7" s="14" t="n"/>
      <c r="D7" s="14" t="n"/>
      <c r="E7" s="14" t="n"/>
      <c r="F7" s="14" t="n"/>
      <c r="G7" s="14" t="n"/>
      <c r="H7" s="14" t="n"/>
      <c r="I7" s="14" t="n"/>
      <c r="J7" s="14" t="n"/>
      <c r="K7" s="14" t="n"/>
      <c r="L7" s="8">
        <f>COUNTIF(B7:K7,"✓")/10</f>
        <v/>
      </c>
    </row>
    <row r="8">
      <c r="A8" s="6" t="inlineStr">
        <is>
          <t>Oil S&amp;D</t>
        </is>
      </c>
      <c r="B8" s="14" t="n"/>
      <c r="C8" s="14" t="n"/>
      <c r="D8" s="14" t="n"/>
      <c r="E8" s="14" t="n"/>
      <c r="F8" s="14" t="n"/>
      <c r="G8" s="14" t="n"/>
      <c r="H8" s="14" t="n"/>
      <c r="I8" s="14" t="n"/>
      <c r="J8" s="14" t="n"/>
      <c r="K8" s="14" t="n"/>
      <c r="L8" s="8">
        <f>COUNTIF(B8:K8,"✓")/10</f>
        <v/>
      </c>
    </row>
    <row r="9">
      <c r="A9" s="6" t="inlineStr">
        <is>
          <t>Kernel Oil S&amp;D</t>
        </is>
      </c>
      <c r="B9" s="14" t="n"/>
      <c r="C9" s="14" t="n"/>
      <c r="D9" s="14" t="n"/>
      <c r="E9" s="14" t="n"/>
      <c r="F9" s="14" t="n"/>
      <c r="G9" s="14" t="n"/>
      <c r="H9" s="14" t="n"/>
      <c r="I9" s="14" t="n"/>
      <c r="J9" s="14" t="n"/>
      <c r="K9" s="14" t="n"/>
      <c r="L9" s="8">
        <f>COUNTIF(B9:K9,"✓")/10</f>
        <v/>
      </c>
    </row>
    <row r="10">
      <c r="A10" s="6" t="inlineStr">
        <is>
          <t>Meal S&amp;D</t>
        </is>
      </c>
      <c r="B10" s="14" t="n"/>
      <c r="C10" s="14" t="n"/>
      <c r="D10" s="14" t="n"/>
      <c r="E10" s="14" t="n"/>
      <c r="F10" s="14" t="n"/>
      <c r="G10" s="14" t="n"/>
      <c r="H10" s="14" t="n"/>
      <c r="I10" s="14" t="n"/>
      <c r="J10" s="14" t="n"/>
      <c r="K10" s="14" t="n"/>
      <c r="L10" s="8">
        <f>COUNTIF(B10:K10,"✓")/10</f>
        <v/>
      </c>
    </row>
    <row r="11">
      <c r="A11" s="6" t="inlineStr">
        <is>
          <t>Trade</t>
        </is>
      </c>
      <c r="B11" s="14" t="n"/>
      <c r="C11" s="14" t="n"/>
      <c r="D11" s="14" t="n"/>
      <c r="E11" s="14" t="n"/>
      <c r="F11" s="14" t="n"/>
      <c r="G11" s="14" t="n"/>
      <c r="H11" s="14" t="n"/>
      <c r="I11" s="14" t="n"/>
      <c r="J11" s="14" t="n"/>
      <c r="K11" s="14" t="n"/>
      <c r="L11" s="8">
        <f>COUNTIF(B11:K11,"✓")/10</f>
        <v/>
      </c>
    </row>
    <row r="12">
      <c r="A12" s="6" t="inlineStr">
        <is>
          <t>Stocks</t>
        </is>
      </c>
      <c r="B12" s="14" t="n"/>
      <c r="C12" s="14" t="n"/>
      <c r="D12" s="14" t="n"/>
      <c r="E12" s="14" t="n"/>
      <c r="F12" s="14" t="n"/>
      <c r="G12" s="14" t="n"/>
      <c r="H12" s="14" t="n"/>
      <c r="I12" s="14" t="n"/>
      <c r="J12" s="14" t="n"/>
      <c r="K12" s="14" t="n"/>
      <c r="L12" s="8">
        <f>COUNTIF(B12:K12,"✓")/10</f>
        <v/>
      </c>
    </row>
    <row r="13">
      <c r="A13" s="15" t="inlineStr">
        <is>
          <t>TAB TOTAL</t>
        </is>
      </c>
      <c r="B13" s="16">
        <f>IF(8=0,0,COUNTIF(B5:B12,"✓")/8)</f>
        <v/>
      </c>
      <c r="C13" s="16">
        <f>IF(8=0,0,COUNTIF(C5:C12,"✓")/8)</f>
        <v/>
      </c>
      <c r="D13" s="16">
        <f>IF(8=0,0,COUNTIF(D5:D12,"✓")/8)</f>
        <v/>
      </c>
      <c r="E13" s="16">
        <f>IF(8=0,0,COUNTIF(E5:E12,"✓")/8)</f>
        <v/>
      </c>
      <c r="F13" s="16">
        <f>IF(8=0,0,COUNTIF(F5:F12,"✓")/8)</f>
        <v/>
      </c>
      <c r="G13" s="16">
        <f>IF(8=0,0,COUNTIF(G5:G12,"✓")/8)</f>
        <v/>
      </c>
      <c r="H13" s="16">
        <f>IF(8=0,0,COUNTIF(H5:H12,"✓")/8)</f>
        <v/>
      </c>
      <c r="I13" s="16">
        <f>IF(8=0,0,COUNTIF(I5:I12,"✓")/8)</f>
        <v/>
      </c>
      <c r="J13" s="16">
        <f>IF(8=0,0,COUNTIF(J5:J12,"✓")/8)</f>
        <v/>
      </c>
      <c r="K13" s="16">
        <f>IF(8=0,0,COUNTIF(K5:K12,"✓")/8)</f>
        <v/>
      </c>
      <c r="L13" s="16">
        <f>C2</f>
        <v/>
      </c>
    </row>
  </sheetData>
  <conditionalFormatting sqref="B5:K12">
    <cfRule type="cellIs" priority="1" operator="equal" dxfId="0">
      <formula>"✓"</formula>
    </cfRule>
  </conditionalFormatting>
  <dataValidations count="1">
    <dataValidation sqref="B5 B6 B7 B8 B9 B10 B11 B12 C5 C6 C7 C8 C9 C10 C11 C12 D5 D6 D7 D8 D9 D10 D11 D12 E5 E6 E7 E8 E9 E10 E11 E12 F5 F6 F7 F8 F9 F10 F11 F12 G5 G6 G7 G8 G9 G10 G11 G12 H5 H6 H7 H8 H9 H10 H11 H12 I5 I6 I7 I8 I9 I10 I11 I12 J5 J6 J7 J8 J9 J10 J11 J12 K5 K6 K7 K8 K9 K10 K11 K12"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INDIA PALM — build progress</t>
        </is>
      </c>
    </row>
    <row r="2">
      <c r="A2" s="10" t="inlineStr">
        <is>
          <t>Overall:</t>
        </is>
      </c>
      <c r="C2" s="11">
        <f>IF(3=0,0,COUNTIF(B5:K7,"✓")/(3*10))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Kernel Oil S&amp;D</t>
        </is>
      </c>
      <c r="B6" s="14" t="n"/>
      <c r="C6" s="14" t="n"/>
      <c r="D6" s="14" t="n"/>
      <c r="E6" s="14" t="n"/>
      <c r="F6" s="14" t="n"/>
      <c r="G6" s="14" t="n"/>
      <c r="H6" s="14" t="n"/>
      <c r="I6" s="14" t="n"/>
      <c r="J6" s="14" t="n"/>
      <c r="K6" s="14" t="n"/>
      <c r="L6" s="8">
        <f>COUNTIF(B6:K6,"✓")/10</f>
        <v/>
      </c>
    </row>
    <row r="7">
      <c r="A7" s="6" t="inlineStr">
        <is>
          <t>Trade</t>
        </is>
      </c>
      <c r="B7" s="14" t="n"/>
      <c r="C7" s="14" t="n"/>
      <c r="D7" s="14" t="n"/>
      <c r="E7" s="14" t="n"/>
      <c r="F7" s="14" t="n"/>
      <c r="G7" s="14" t="n"/>
      <c r="H7" s="14" t="n"/>
      <c r="I7" s="14" t="n"/>
      <c r="J7" s="14" t="n"/>
      <c r="K7" s="14" t="n"/>
      <c r="L7" s="8">
        <f>COUNTIF(B7:K7,"✓")/10</f>
        <v/>
      </c>
    </row>
    <row r="8">
      <c r="A8" s="15" t="inlineStr">
        <is>
          <t>TAB TOTAL</t>
        </is>
      </c>
      <c r="B8" s="16">
        <f>IF(3=0,0,COUNTIF(B5:B7,"✓")/3)</f>
        <v/>
      </c>
      <c r="C8" s="16">
        <f>IF(3=0,0,COUNTIF(C5:C7,"✓")/3)</f>
        <v/>
      </c>
      <c r="D8" s="16">
        <f>IF(3=0,0,COUNTIF(D5:D7,"✓")/3)</f>
        <v/>
      </c>
      <c r="E8" s="16">
        <f>IF(3=0,0,COUNTIF(E5:E7,"✓")/3)</f>
        <v/>
      </c>
      <c r="F8" s="16">
        <f>IF(3=0,0,COUNTIF(F5:F7,"✓")/3)</f>
        <v/>
      </c>
      <c r="G8" s="16">
        <f>IF(3=0,0,COUNTIF(G5:G7,"✓")/3)</f>
        <v/>
      </c>
      <c r="H8" s="16">
        <f>IF(3=0,0,COUNTIF(H5:H7,"✓")/3)</f>
        <v/>
      </c>
      <c r="I8" s="16">
        <f>IF(3=0,0,COUNTIF(I5:I7,"✓")/3)</f>
        <v/>
      </c>
      <c r="J8" s="16">
        <f>IF(3=0,0,COUNTIF(J5:J7,"✓")/3)</f>
        <v/>
      </c>
      <c r="K8" s="16">
        <f>IF(3=0,0,COUNTIF(K5:K7,"✓")/3)</f>
        <v/>
      </c>
      <c r="L8" s="16">
        <f>C2</f>
        <v/>
      </c>
    </row>
  </sheetData>
  <conditionalFormatting sqref="B5:K7">
    <cfRule type="cellIs" priority="1" operator="equal" dxfId="0">
      <formula>"✓"</formula>
    </cfRule>
  </conditionalFormatting>
  <dataValidations count="1">
    <dataValidation sqref="B5 B6 B7 C5 C6 C7 D5 D6 D7 E5 E6 E7 F5 F6 F7 G5 G6 G7 H5 H6 H7 I5 I6 I7 J5 J6 J7 K5 K6 K7"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CHINA PALM — build progress</t>
        </is>
      </c>
    </row>
    <row r="2">
      <c r="A2" s="10" t="inlineStr">
        <is>
          <t>Overall:</t>
        </is>
      </c>
      <c r="C2" s="11">
        <f>IF(3=0,0,COUNTIF(B5:K7,"✓")/(3*10))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Kernel Oil S&amp;D</t>
        </is>
      </c>
      <c r="B6" s="14" t="n"/>
      <c r="C6" s="14" t="n"/>
      <c r="D6" s="14" t="n"/>
      <c r="E6" s="14" t="n"/>
      <c r="F6" s="14" t="n"/>
      <c r="G6" s="14" t="n"/>
      <c r="H6" s="14" t="n"/>
      <c r="I6" s="14" t="n"/>
      <c r="J6" s="14" t="n"/>
      <c r="K6" s="14" t="n"/>
      <c r="L6" s="8">
        <f>COUNTIF(B6:K6,"✓")/10</f>
        <v/>
      </c>
    </row>
    <row r="7">
      <c r="A7" s="6" t="inlineStr">
        <is>
          <t>Trade</t>
        </is>
      </c>
      <c r="B7" s="14" t="n"/>
      <c r="C7" s="14" t="n"/>
      <c r="D7" s="14" t="n"/>
      <c r="E7" s="14" t="n"/>
      <c r="F7" s="14" t="n"/>
      <c r="G7" s="14" t="n"/>
      <c r="H7" s="14" t="n"/>
      <c r="I7" s="14" t="n"/>
      <c r="J7" s="14" t="n"/>
      <c r="K7" s="14" t="n"/>
      <c r="L7" s="8">
        <f>COUNTIF(B7:K7,"✓")/10</f>
        <v/>
      </c>
    </row>
    <row r="8">
      <c r="A8" s="15" t="inlineStr">
        <is>
          <t>TAB TOTAL</t>
        </is>
      </c>
      <c r="B8" s="16">
        <f>IF(3=0,0,COUNTIF(B5:B7,"✓")/3)</f>
        <v/>
      </c>
      <c r="C8" s="16">
        <f>IF(3=0,0,COUNTIF(C5:C7,"✓")/3)</f>
        <v/>
      </c>
      <c r="D8" s="16">
        <f>IF(3=0,0,COUNTIF(D5:D7,"✓")/3)</f>
        <v/>
      </c>
      <c r="E8" s="16">
        <f>IF(3=0,0,COUNTIF(E5:E7,"✓")/3)</f>
        <v/>
      </c>
      <c r="F8" s="16">
        <f>IF(3=0,0,COUNTIF(F5:F7,"✓")/3)</f>
        <v/>
      </c>
      <c r="G8" s="16">
        <f>IF(3=0,0,COUNTIF(G5:G7,"✓")/3)</f>
        <v/>
      </c>
      <c r="H8" s="16">
        <f>IF(3=0,0,COUNTIF(H5:H7,"✓")/3)</f>
        <v/>
      </c>
      <c r="I8" s="16">
        <f>IF(3=0,0,COUNTIF(I5:I7,"✓")/3)</f>
        <v/>
      </c>
      <c r="J8" s="16">
        <f>IF(3=0,0,COUNTIF(J5:J7,"✓")/3)</f>
        <v/>
      </c>
      <c r="K8" s="16">
        <f>IF(3=0,0,COUNTIF(K5:K7,"✓")/3)</f>
        <v/>
      </c>
      <c r="L8" s="16">
        <f>C2</f>
        <v/>
      </c>
    </row>
  </sheetData>
  <conditionalFormatting sqref="B5:K7">
    <cfRule type="cellIs" priority="1" operator="equal" dxfId="0">
      <formula>"✓"</formula>
    </cfRule>
  </conditionalFormatting>
  <dataValidations count="1">
    <dataValidation sqref="B5 B6 B7 C5 C6 C7 D5 D6 D7 E5 E6 E7 F5 F6 F7 G5 G6 G7 H5 H6 H7 I5 I6 I7 J5 J6 J7 K5 K6 K7"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EUROPE PALM — build progress</t>
        </is>
      </c>
    </row>
    <row r="2">
      <c r="A2" s="10" t="inlineStr">
        <is>
          <t>Overall:</t>
        </is>
      </c>
      <c r="C2" s="11">
        <f>IF(3=0,0,COUNTIF(B5:K7,"✓")/(3*10))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Kernel Oil S&amp;D</t>
        </is>
      </c>
      <c r="B6" s="14" t="n"/>
      <c r="C6" s="14" t="n"/>
      <c r="D6" s="14" t="n"/>
      <c r="E6" s="14" t="n"/>
      <c r="F6" s="14" t="n"/>
      <c r="G6" s="14" t="n"/>
      <c r="H6" s="14" t="n"/>
      <c r="I6" s="14" t="n"/>
      <c r="J6" s="14" t="n"/>
      <c r="K6" s="14" t="n"/>
      <c r="L6" s="8">
        <f>COUNTIF(B6:K6,"✓")/10</f>
        <v/>
      </c>
    </row>
    <row r="7">
      <c r="A7" s="6" t="inlineStr">
        <is>
          <t>Trade</t>
        </is>
      </c>
      <c r="B7" s="14" t="n"/>
      <c r="C7" s="14" t="n"/>
      <c r="D7" s="14" t="n"/>
      <c r="E7" s="14" t="n"/>
      <c r="F7" s="14" t="n"/>
      <c r="G7" s="14" t="n"/>
      <c r="H7" s="14" t="n"/>
      <c r="I7" s="14" t="n"/>
      <c r="J7" s="14" t="n"/>
      <c r="K7" s="14" t="n"/>
      <c r="L7" s="8">
        <f>COUNTIF(B7:K7,"✓")/10</f>
        <v/>
      </c>
    </row>
    <row r="8">
      <c r="A8" s="15" t="inlineStr">
        <is>
          <t>TAB TOTAL</t>
        </is>
      </c>
      <c r="B8" s="16">
        <f>IF(3=0,0,COUNTIF(B5:B7,"✓")/3)</f>
        <v/>
      </c>
      <c r="C8" s="16">
        <f>IF(3=0,0,COUNTIF(C5:C7,"✓")/3)</f>
        <v/>
      </c>
      <c r="D8" s="16">
        <f>IF(3=0,0,COUNTIF(D5:D7,"✓")/3)</f>
        <v/>
      </c>
      <c r="E8" s="16">
        <f>IF(3=0,0,COUNTIF(E5:E7,"✓")/3)</f>
        <v/>
      </c>
      <c r="F8" s="16">
        <f>IF(3=0,0,COUNTIF(F5:F7,"✓")/3)</f>
        <v/>
      </c>
      <c r="G8" s="16">
        <f>IF(3=0,0,COUNTIF(G5:G7,"✓")/3)</f>
        <v/>
      </c>
      <c r="H8" s="16">
        <f>IF(3=0,0,COUNTIF(H5:H7,"✓")/3)</f>
        <v/>
      </c>
      <c r="I8" s="16">
        <f>IF(3=0,0,COUNTIF(I5:I7,"✓")/3)</f>
        <v/>
      </c>
      <c r="J8" s="16">
        <f>IF(3=0,0,COUNTIF(J5:J7,"✓")/3)</f>
        <v/>
      </c>
      <c r="K8" s="16">
        <f>IF(3=0,0,COUNTIF(K5:K7,"✓")/3)</f>
        <v/>
      </c>
      <c r="L8" s="16">
        <f>C2</f>
        <v/>
      </c>
    </row>
  </sheetData>
  <conditionalFormatting sqref="B5:K7">
    <cfRule type="cellIs" priority="1" operator="equal" dxfId="0">
      <formula>"✓"</formula>
    </cfRule>
  </conditionalFormatting>
  <dataValidations count="1">
    <dataValidation sqref="B5 B6 B7 C5 C6 C7 D5 D6 D7 E5 E6 E7 F5 F6 F7 G5 G6 G7 H5 H6 H7 I5 I6 I7 J5 J6 J7 K5 K6 K7"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COLOMBIA PALM — build progress</t>
        </is>
      </c>
    </row>
    <row r="2">
      <c r="A2" s="10" t="inlineStr">
        <is>
          <t>Overall:</t>
        </is>
      </c>
      <c r="C2" s="11">
        <f>IF(8=0,0,COUNTIF(B5:K12,"✓")/(8*10))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Plantation</t>
        </is>
      </c>
      <c r="B5" s="14" t="n"/>
      <c r="C5" s="14" t="n"/>
      <c r="D5" s="14" t="n"/>
      <c r="E5" s="14" t="n"/>
      <c r="F5" s="14" t="n"/>
      <c r="G5" s="14" t="n"/>
      <c r="H5" s="14" t="n"/>
      <c r="I5" s="14" t="n"/>
      <c r="J5" s="14" t="n"/>
      <c r="K5" s="14" t="n"/>
      <c r="L5" s="8">
        <f>COUNTIF(B5:K5,"✓")/10</f>
        <v/>
      </c>
    </row>
    <row r="6">
      <c r="A6" s="6" t="inlineStr">
        <is>
          <t>Seed S&amp;D</t>
        </is>
      </c>
      <c r="B6" s="14" t="n"/>
      <c r="C6" s="14" t="n"/>
      <c r="D6" s="14" t="n"/>
      <c r="E6" s="14" t="n"/>
      <c r="F6" s="14" t="n"/>
      <c r="G6" s="14" t="n"/>
      <c r="H6" s="14" t="n"/>
      <c r="I6" s="14" t="n"/>
      <c r="J6" s="14" t="n"/>
      <c r="K6" s="14" t="n"/>
      <c r="L6" s="8">
        <f>COUNTIF(B6:K6,"✓")/10</f>
        <v/>
      </c>
    </row>
    <row r="7">
      <c r="A7" s="6" t="inlineStr">
        <is>
          <t>Crush</t>
        </is>
      </c>
      <c r="B7" s="14" t="n"/>
      <c r="C7" s="14" t="n"/>
      <c r="D7" s="14" t="n"/>
      <c r="E7" s="14" t="n"/>
      <c r="F7" s="14" t="n"/>
      <c r="G7" s="14" t="n"/>
      <c r="H7" s="14" t="n"/>
      <c r="I7" s="14" t="n"/>
      <c r="J7" s="14" t="n"/>
      <c r="K7" s="14" t="n"/>
      <c r="L7" s="8">
        <f>COUNTIF(B7:K7,"✓")/10</f>
        <v/>
      </c>
    </row>
    <row r="8">
      <c r="A8" s="6" t="inlineStr">
        <is>
          <t>Oil S&amp;D</t>
        </is>
      </c>
      <c r="B8" s="14" t="n"/>
      <c r="C8" s="14" t="n"/>
      <c r="D8" s="14" t="n"/>
      <c r="E8" s="14" t="n"/>
      <c r="F8" s="14" t="n"/>
      <c r="G8" s="14" t="n"/>
      <c r="H8" s="14" t="n"/>
      <c r="I8" s="14" t="n"/>
      <c r="J8" s="14" t="n"/>
      <c r="K8" s="14" t="n"/>
      <c r="L8" s="8">
        <f>COUNTIF(B8:K8,"✓")/10</f>
        <v/>
      </c>
    </row>
    <row r="9">
      <c r="A9" s="6" t="inlineStr">
        <is>
          <t>Kernel Oil S&amp;D</t>
        </is>
      </c>
      <c r="B9" s="14" t="n"/>
      <c r="C9" s="14" t="n"/>
      <c r="D9" s="14" t="n"/>
      <c r="E9" s="14" t="n"/>
      <c r="F9" s="14" t="n"/>
      <c r="G9" s="14" t="n"/>
      <c r="H9" s="14" t="n"/>
      <c r="I9" s="14" t="n"/>
      <c r="J9" s="14" t="n"/>
      <c r="K9" s="14" t="n"/>
      <c r="L9" s="8">
        <f>COUNTIF(B9:K9,"✓")/10</f>
        <v/>
      </c>
    </row>
    <row r="10">
      <c r="A10" s="6" t="inlineStr">
        <is>
          <t>Meal S&amp;D</t>
        </is>
      </c>
      <c r="B10" s="14" t="n"/>
      <c r="C10" s="14" t="n"/>
      <c r="D10" s="14" t="n"/>
      <c r="E10" s="14" t="n"/>
      <c r="F10" s="14" t="n"/>
      <c r="G10" s="14" t="n"/>
      <c r="H10" s="14" t="n"/>
      <c r="I10" s="14" t="n"/>
      <c r="J10" s="14" t="n"/>
      <c r="K10" s="14" t="n"/>
      <c r="L10" s="8">
        <f>COUNTIF(B10:K10,"✓")/10</f>
        <v/>
      </c>
    </row>
    <row r="11">
      <c r="A11" s="6" t="inlineStr">
        <is>
          <t>Trade</t>
        </is>
      </c>
      <c r="B11" s="14" t="n"/>
      <c r="C11" s="14" t="n"/>
      <c r="D11" s="14" t="n"/>
      <c r="E11" s="14" t="n"/>
      <c r="F11" s="14" t="n"/>
      <c r="G11" s="14" t="n"/>
      <c r="H11" s="14" t="n"/>
      <c r="I11" s="14" t="n"/>
      <c r="J11" s="14" t="n"/>
      <c r="K11" s="14" t="n"/>
      <c r="L11" s="8">
        <f>COUNTIF(B11:K11,"✓")/10</f>
        <v/>
      </c>
    </row>
    <row r="12">
      <c r="A12" s="6" t="inlineStr">
        <is>
          <t>Stocks</t>
        </is>
      </c>
      <c r="B12" s="14" t="n"/>
      <c r="C12" s="14" t="n"/>
      <c r="D12" s="14" t="n"/>
      <c r="E12" s="14" t="n"/>
      <c r="F12" s="14" t="n"/>
      <c r="G12" s="14" t="n"/>
      <c r="H12" s="14" t="n"/>
      <c r="I12" s="14" t="n"/>
      <c r="J12" s="14" t="n"/>
      <c r="K12" s="14" t="n"/>
      <c r="L12" s="8">
        <f>COUNTIF(B12:K12,"✓")/10</f>
        <v/>
      </c>
    </row>
    <row r="13">
      <c r="A13" s="15" t="inlineStr">
        <is>
          <t>TAB TOTAL</t>
        </is>
      </c>
      <c r="B13" s="16">
        <f>IF(8=0,0,COUNTIF(B5:B12,"✓")/8)</f>
        <v/>
      </c>
      <c r="C13" s="16">
        <f>IF(8=0,0,COUNTIF(C5:C12,"✓")/8)</f>
        <v/>
      </c>
      <c r="D13" s="16">
        <f>IF(8=0,0,COUNTIF(D5:D12,"✓")/8)</f>
        <v/>
      </c>
      <c r="E13" s="16">
        <f>IF(8=0,0,COUNTIF(E5:E12,"✓")/8)</f>
        <v/>
      </c>
      <c r="F13" s="16">
        <f>IF(8=0,0,COUNTIF(F5:F12,"✓")/8)</f>
        <v/>
      </c>
      <c r="G13" s="16">
        <f>IF(8=0,0,COUNTIF(G5:G12,"✓")/8)</f>
        <v/>
      </c>
      <c r="H13" s="16">
        <f>IF(8=0,0,COUNTIF(H5:H12,"✓")/8)</f>
        <v/>
      </c>
      <c r="I13" s="16">
        <f>IF(8=0,0,COUNTIF(I5:I12,"✓")/8)</f>
        <v/>
      </c>
      <c r="J13" s="16">
        <f>IF(8=0,0,COUNTIF(J5:J12,"✓")/8)</f>
        <v/>
      </c>
      <c r="K13" s="16">
        <f>IF(8=0,0,COUNTIF(K5:K12,"✓")/8)</f>
        <v/>
      </c>
      <c r="L13" s="16">
        <f>C2</f>
        <v/>
      </c>
    </row>
  </sheetData>
  <conditionalFormatting sqref="B5:K12">
    <cfRule type="cellIs" priority="1" operator="equal" dxfId="0">
      <formula>"✓"</formula>
    </cfRule>
  </conditionalFormatting>
  <dataValidations count="1">
    <dataValidation sqref="B5 B6 B7 B8 B9 B10 B11 B12 C5 C6 C7 C8 C9 C10 C11 C12 D5 D6 D7 D8 D9 D10 D11 D12 E5 E6 E7 E8 E9 E10 E11 E12 F5 F6 F7 F8 F9 F10 F11 F12 G5 G6 G7 G8 G9 G10 G11 G12 H5 H6 H7 H8 H9 H10 H11 H12 I5 I6 I7 I8 I9 I10 I11 I12 J5 J6 J7 J8 J9 J10 J11 J12 K5 K6 K7 K8 K9 K10 K11 K12"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GUATEMALA PALM — build progress</t>
        </is>
      </c>
    </row>
    <row r="2">
      <c r="A2" s="10" t="inlineStr">
        <is>
          <t>Overall:</t>
        </is>
      </c>
      <c r="C2" s="11">
        <f>IF(8=0,0,COUNTIF(B5:K12,"✓")/(8*10))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Plantation</t>
        </is>
      </c>
      <c r="B5" s="14" t="n"/>
      <c r="C5" s="14" t="n"/>
      <c r="D5" s="14" t="n"/>
      <c r="E5" s="14" t="n"/>
      <c r="F5" s="14" t="n"/>
      <c r="G5" s="14" t="n"/>
      <c r="H5" s="14" t="n"/>
      <c r="I5" s="14" t="n"/>
      <c r="J5" s="14" t="n"/>
      <c r="K5" s="14" t="n"/>
      <c r="L5" s="8">
        <f>COUNTIF(B5:K5,"✓")/10</f>
        <v/>
      </c>
    </row>
    <row r="6">
      <c r="A6" s="6" t="inlineStr">
        <is>
          <t>Seed S&amp;D</t>
        </is>
      </c>
      <c r="B6" s="14" t="n"/>
      <c r="C6" s="14" t="n"/>
      <c r="D6" s="14" t="n"/>
      <c r="E6" s="14" t="n"/>
      <c r="F6" s="14" t="n"/>
      <c r="G6" s="14" t="n"/>
      <c r="H6" s="14" t="n"/>
      <c r="I6" s="14" t="n"/>
      <c r="J6" s="14" t="n"/>
      <c r="K6" s="14" t="n"/>
      <c r="L6" s="8">
        <f>COUNTIF(B6:K6,"✓")/10</f>
        <v/>
      </c>
    </row>
    <row r="7">
      <c r="A7" s="6" t="inlineStr">
        <is>
          <t>Crush</t>
        </is>
      </c>
      <c r="B7" s="14" t="n"/>
      <c r="C7" s="14" t="n"/>
      <c r="D7" s="14" t="n"/>
      <c r="E7" s="14" t="n"/>
      <c r="F7" s="14" t="n"/>
      <c r="G7" s="14" t="n"/>
      <c r="H7" s="14" t="n"/>
      <c r="I7" s="14" t="n"/>
      <c r="J7" s="14" t="n"/>
      <c r="K7" s="14" t="n"/>
      <c r="L7" s="8">
        <f>COUNTIF(B7:K7,"✓")/10</f>
        <v/>
      </c>
    </row>
    <row r="8">
      <c r="A8" s="6" t="inlineStr">
        <is>
          <t>Oil S&amp;D</t>
        </is>
      </c>
      <c r="B8" s="14" t="n"/>
      <c r="C8" s="14" t="n"/>
      <c r="D8" s="14" t="n"/>
      <c r="E8" s="14" t="n"/>
      <c r="F8" s="14" t="n"/>
      <c r="G8" s="14" t="n"/>
      <c r="H8" s="14" t="n"/>
      <c r="I8" s="14" t="n"/>
      <c r="J8" s="14" t="n"/>
      <c r="K8" s="14" t="n"/>
      <c r="L8" s="8">
        <f>COUNTIF(B8:K8,"✓")/10</f>
        <v/>
      </c>
    </row>
    <row r="9">
      <c r="A9" s="6" t="inlineStr">
        <is>
          <t>Kernel Oil S&amp;D</t>
        </is>
      </c>
      <c r="B9" s="14" t="n"/>
      <c r="C9" s="14" t="n"/>
      <c r="D9" s="14" t="n"/>
      <c r="E9" s="14" t="n"/>
      <c r="F9" s="14" t="n"/>
      <c r="G9" s="14" t="n"/>
      <c r="H9" s="14" t="n"/>
      <c r="I9" s="14" t="n"/>
      <c r="J9" s="14" t="n"/>
      <c r="K9" s="14" t="n"/>
      <c r="L9" s="8">
        <f>COUNTIF(B9:K9,"✓")/10</f>
        <v/>
      </c>
    </row>
    <row r="10">
      <c r="A10" s="6" t="inlineStr">
        <is>
          <t>Meal S&amp;D</t>
        </is>
      </c>
      <c r="B10" s="14" t="n"/>
      <c r="C10" s="14" t="n"/>
      <c r="D10" s="14" t="n"/>
      <c r="E10" s="14" t="n"/>
      <c r="F10" s="14" t="n"/>
      <c r="G10" s="14" t="n"/>
      <c r="H10" s="14" t="n"/>
      <c r="I10" s="14" t="n"/>
      <c r="J10" s="14" t="n"/>
      <c r="K10" s="14" t="n"/>
      <c r="L10" s="8">
        <f>COUNTIF(B10:K10,"✓")/10</f>
        <v/>
      </c>
    </row>
    <row r="11">
      <c r="A11" s="6" t="inlineStr">
        <is>
          <t>Trade</t>
        </is>
      </c>
      <c r="B11" s="14" t="n"/>
      <c r="C11" s="14" t="n"/>
      <c r="D11" s="14" t="n"/>
      <c r="E11" s="14" t="n"/>
      <c r="F11" s="14" t="n"/>
      <c r="G11" s="14" t="n"/>
      <c r="H11" s="14" t="n"/>
      <c r="I11" s="14" t="n"/>
      <c r="J11" s="14" t="n"/>
      <c r="K11" s="14" t="n"/>
      <c r="L11" s="8">
        <f>COUNTIF(B11:K11,"✓")/10</f>
        <v/>
      </c>
    </row>
    <row r="12">
      <c r="A12" s="6" t="inlineStr">
        <is>
          <t>Stocks</t>
        </is>
      </c>
      <c r="B12" s="14" t="n"/>
      <c r="C12" s="14" t="n"/>
      <c r="D12" s="14" t="n"/>
      <c r="E12" s="14" t="n"/>
      <c r="F12" s="14" t="n"/>
      <c r="G12" s="14" t="n"/>
      <c r="H12" s="14" t="n"/>
      <c r="I12" s="14" t="n"/>
      <c r="J12" s="14" t="n"/>
      <c r="K12" s="14" t="n"/>
      <c r="L12" s="8">
        <f>COUNTIF(B12:K12,"✓")/10</f>
        <v/>
      </c>
    </row>
    <row r="13">
      <c r="A13" s="15" t="inlineStr">
        <is>
          <t>TAB TOTAL</t>
        </is>
      </c>
      <c r="B13" s="16">
        <f>IF(8=0,0,COUNTIF(B5:B12,"✓")/8)</f>
        <v/>
      </c>
      <c r="C13" s="16">
        <f>IF(8=0,0,COUNTIF(C5:C12,"✓")/8)</f>
        <v/>
      </c>
      <c r="D13" s="16">
        <f>IF(8=0,0,COUNTIF(D5:D12,"✓")/8)</f>
        <v/>
      </c>
      <c r="E13" s="16">
        <f>IF(8=0,0,COUNTIF(E5:E12,"✓")/8)</f>
        <v/>
      </c>
      <c r="F13" s="16">
        <f>IF(8=0,0,COUNTIF(F5:F12,"✓")/8)</f>
        <v/>
      </c>
      <c r="G13" s="16">
        <f>IF(8=0,0,COUNTIF(G5:G12,"✓")/8)</f>
        <v/>
      </c>
      <c r="H13" s="16">
        <f>IF(8=0,0,COUNTIF(H5:H12,"✓")/8)</f>
        <v/>
      </c>
      <c r="I13" s="16">
        <f>IF(8=0,0,COUNTIF(I5:I12,"✓")/8)</f>
        <v/>
      </c>
      <c r="J13" s="16">
        <f>IF(8=0,0,COUNTIF(J5:J12,"✓")/8)</f>
        <v/>
      </c>
      <c r="K13" s="16">
        <f>IF(8=0,0,COUNTIF(K5:K12,"✓")/8)</f>
        <v/>
      </c>
      <c r="L13" s="16">
        <f>C2</f>
        <v/>
      </c>
    </row>
  </sheetData>
  <conditionalFormatting sqref="B5:K12">
    <cfRule type="cellIs" priority="1" operator="equal" dxfId="0">
      <formula>"✓"</formula>
    </cfRule>
  </conditionalFormatting>
  <dataValidations count="1">
    <dataValidation sqref="B5 B6 B7 B8 B9 B10 B11 B12 C5 C6 C7 C8 C9 C10 C11 C12 D5 D6 D7 D8 D9 D10 D11 D12 E5 E6 E7 E8 E9 E10 E11 E12 F5 F6 F7 F8 F9 F10 F11 F12 G5 G6 G7 G8 G9 G10 G11 G12 H5 H6 H7 H8 H9 H10 H11 H12 I5 I6 I7 I8 I9 I10 I11 I12 J5 J6 J7 J8 J9 J10 J11 J12 K5 K6 K7 K8 K9 K10 K11 K12"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MEXICO PALM — build progress</t>
        </is>
      </c>
    </row>
    <row r="2">
      <c r="A2" s="10" t="inlineStr">
        <is>
          <t>Overall:</t>
        </is>
      </c>
      <c r="C2" s="11">
        <f>IF(3=0,0,COUNTIF(B5:K7,"✓")/(3*10))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Kernel Oil S&amp;D</t>
        </is>
      </c>
      <c r="B6" s="14" t="n"/>
      <c r="C6" s="14" t="n"/>
      <c r="D6" s="14" t="n"/>
      <c r="E6" s="14" t="n"/>
      <c r="F6" s="14" t="n"/>
      <c r="G6" s="14" t="n"/>
      <c r="H6" s="14" t="n"/>
      <c r="I6" s="14" t="n"/>
      <c r="J6" s="14" t="n"/>
      <c r="K6" s="14" t="n"/>
      <c r="L6" s="8">
        <f>COUNTIF(B6:K6,"✓")/10</f>
        <v/>
      </c>
    </row>
    <row r="7">
      <c r="A7" s="6" t="inlineStr">
        <is>
          <t>Trade</t>
        </is>
      </c>
      <c r="B7" s="14" t="n"/>
      <c r="C7" s="14" t="n"/>
      <c r="D7" s="14" t="n"/>
      <c r="E7" s="14" t="n"/>
      <c r="F7" s="14" t="n"/>
      <c r="G7" s="14" t="n"/>
      <c r="H7" s="14" t="n"/>
      <c r="I7" s="14" t="n"/>
      <c r="J7" s="14" t="n"/>
      <c r="K7" s="14" t="n"/>
      <c r="L7" s="8">
        <f>COUNTIF(B7:K7,"✓")/10</f>
        <v/>
      </c>
    </row>
    <row r="8">
      <c r="A8" s="15" t="inlineStr">
        <is>
          <t>TAB TOTAL</t>
        </is>
      </c>
      <c r="B8" s="16">
        <f>IF(3=0,0,COUNTIF(B5:B7,"✓")/3)</f>
        <v/>
      </c>
      <c r="C8" s="16">
        <f>IF(3=0,0,COUNTIF(C5:C7,"✓")/3)</f>
        <v/>
      </c>
      <c r="D8" s="16">
        <f>IF(3=0,0,COUNTIF(D5:D7,"✓")/3)</f>
        <v/>
      </c>
      <c r="E8" s="16">
        <f>IF(3=0,0,COUNTIF(E5:E7,"✓")/3)</f>
        <v/>
      </c>
      <c r="F8" s="16">
        <f>IF(3=0,0,COUNTIF(F5:F7,"✓")/3)</f>
        <v/>
      </c>
      <c r="G8" s="16">
        <f>IF(3=0,0,COUNTIF(G5:G7,"✓")/3)</f>
        <v/>
      </c>
      <c r="H8" s="16">
        <f>IF(3=0,0,COUNTIF(H5:H7,"✓")/3)</f>
        <v/>
      </c>
      <c r="I8" s="16">
        <f>IF(3=0,0,COUNTIF(I5:I7,"✓")/3)</f>
        <v/>
      </c>
      <c r="J8" s="16">
        <f>IF(3=0,0,COUNTIF(J5:J7,"✓")/3)</f>
        <v/>
      </c>
      <c r="K8" s="16">
        <f>IF(3=0,0,COUNTIF(K5:K7,"✓")/3)</f>
        <v/>
      </c>
      <c r="L8" s="16">
        <f>C2</f>
        <v/>
      </c>
    </row>
  </sheetData>
  <conditionalFormatting sqref="B5:K7">
    <cfRule type="cellIs" priority="1" operator="equal" dxfId="0">
      <formula>"✓"</formula>
    </cfRule>
  </conditionalFormatting>
  <dataValidations count="1">
    <dataValidation sqref="B5 B6 B7 C5 C6 C7 D5 D6 D7 E5 E6 E7 F5 F6 F7 G5 G6 G7 H5 H6 H7 I5 I6 I7 J5 J6 J7 K5 K6 K7"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EUROPE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CANADA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AUSTRALIA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RUSSIA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CHINA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INDIA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TURKEY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BRAZIL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MEXICO RAPESEED / CANOLA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UKRAINE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RUSSIA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ARGENTINA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EUROPE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TURKEY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INDIA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CHINA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COLOMBIA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MEXICO SUNFLOWER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UNITED STATES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BRAZIL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ARGENTINA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CHINA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INDIA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EUROPE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MEXICO SOYBEAN — build progress</t>
        </is>
      </c>
    </row>
    <row r="2">
      <c r="A2" s="10" t="inlineStr">
        <is>
          <t>Overall:</t>
        </is>
      </c>
      <c r="C2" s="11">
        <f>IF(5=0,0,COUNTIF(B5:K9,"✓")/(5*10))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Seed S&amp;D</t>
        </is>
      </c>
      <c r="B5" s="14" t="n"/>
      <c r="C5" s="14" t="n"/>
      <c r="D5" s="14" t="n"/>
      <c r="E5" s="14" t="n"/>
      <c r="F5" s="14" t="n"/>
      <c r="G5" s="14" t="n"/>
      <c r="H5" s="14" t="n"/>
      <c r="I5" s="14" t="n"/>
      <c r="J5" s="14" t="n"/>
      <c r="K5" s="14" t="n"/>
      <c r="L5" s="8">
        <f>COUNTIF(B5:K5,"✓")/10</f>
        <v/>
      </c>
    </row>
    <row r="6">
      <c r="A6" s="6" t="inlineStr">
        <is>
          <t>Crush</t>
        </is>
      </c>
      <c r="B6" s="14" t="n"/>
      <c r="C6" s="14" t="n"/>
      <c r="D6" s="14" t="n"/>
      <c r="E6" s="14" t="n"/>
      <c r="F6" s="14" t="n"/>
      <c r="G6" s="14" t="n"/>
      <c r="H6" s="14" t="n"/>
      <c r="I6" s="14" t="n"/>
      <c r="J6" s="14" t="n"/>
      <c r="K6" s="14" t="n"/>
      <c r="L6" s="8">
        <f>COUNTIF(B6:K6,"✓")/10</f>
        <v/>
      </c>
    </row>
    <row r="7">
      <c r="A7" s="6" t="inlineStr">
        <is>
          <t>Oil S&amp;D</t>
        </is>
      </c>
      <c r="B7" s="14" t="n"/>
      <c r="C7" s="14" t="n"/>
      <c r="D7" s="14" t="n"/>
      <c r="E7" s="14" t="n"/>
      <c r="F7" s="14" t="n"/>
      <c r="G7" s="14" t="n"/>
      <c r="H7" s="14" t="n"/>
      <c r="I7" s="14" t="n"/>
      <c r="J7" s="14" t="n"/>
      <c r="K7" s="14" t="n"/>
      <c r="L7" s="8">
        <f>COUNTIF(B7:K7,"✓")/10</f>
        <v/>
      </c>
    </row>
    <row r="8">
      <c r="A8" s="6" t="inlineStr">
        <is>
          <t>Meal S&amp;D</t>
        </is>
      </c>
      <c r="B8" s="14" t="n"/>
      <c r="C8" s="14" t="n"/>
      <c r="D8" s="14" t="n"/>
      <c r="E8" s="14" t="n"/>
      <c r="F8" s="14" t="n"/>
      <c r="G8" s="14" t="n"/>
      <c r="H8" s="14" t="n"/>
      <c r="I8" s="14" t="n"/>
      <c r="J8" s="14" t="n"/>
      <c r="K8" s="14" t="n"/>
      <c r="L8" s="8">
        <f>COUNTIF(B8:K8,"✓")/10</f>
        <v/>
      </c>
    </row>
    <row r="9">
      <c r="A9" s="6" t="inlineStr">
        <is>
          <t>Trade</t>
        </is>
      </c>
      <c r="B9" s="14" t="n"/>
      <c r="C9" s="14" t="n"/>
      <c r="D9" s="14" t="n"/>
      <c r="E9" s="14" t="n"/>
      <c r="F9" s="14" t="n"/>
      <c r="G9" s="14" t="n"/>
      <c r="H9" s="14" t="n"/>
      <c r="I9" s="14" t="n"/>
      <c r="J9" s="14" t="n"/>
      <c r="K9" s="14" t="n"/>
      <c r="L9" s="8">
        <f>COUNTIF(B9:K9,"✓")/10</f>
        <v/>
      </c>
    </row>
    <row r="10">
      <c r="A10" s="15" t="inlineStr">
        <is>
          <t>TAB TOTAL</t>
        </is>
      </c>
      <c r="B10" s="16">
        <f>IF(5=0,0,COUNTIF(B5:B9,"✓")/5)</f>
        <v/>
      </c>
      <c r="C10" s="16">
        <f>IF(5=0,0,COUNTIF(C5:C9,"✓")/5)</f>
        <v/>
      </c>
      <c r="D10" s="16">
        <f>IF(5=0,0,COUNTIF(D5:D9,"✓")/5)</f>
        <v/>
      </c>
      <c r="E10" s="16">
        <f>IF(5=0,0,COUNTIF(E5:E9,"✓")/5)</f>
        <v/>
      </c>
      <c r="F10" s="16">
        <f>IF(5=0,0,COUNTIF(F5:F9,"✓")/5)</f>
        <v/>
      </c>
      <c r="G10" s="16">
        <f>IF(5=0,0,COUNTIF(G5:G9,"✓")/5)</f>
        <v/>
      </c>
      <c r="H10" s="16">
        <f>IF(5=0,0,COUNTIF(H5:H9,"✓")/5)</f>
        <v/>
      </c>
      <c r="I10" s="16">
        <f>IF(5=0,0,COUNTIF(I5:I9,"✓")/5)</f>
        <v/>
      </c>
      <c r="J10" s="16">
        <f>IF(5=0,0,COUNTIF(J5:J9,"✓")/5)</f>
        <v/>
      </c>
      <c r="K10" s="16">
        <f>IF(5=0,0,COUNTIF(K5:K9,"✓")/5)</f>
        <v/>
      </c>
      <c r="L10" s="16">
        <f>C2</f>
        <v/>
      </c>
    </row>
  </sheetData>
  <conditionalFormatting sqref="B5:K9">
    <cfRule type="cellIs" priority="1" operator="equal" dxfId="0">
      <formula>"✓"</formula>
    </cfRule>
  </conditionalFormatting>
  <dataValidations count="1">
    <dataValidation sqref="B5 B6 B7 B8 B9 C5 C6 C7 C8 C9 D5 D6 D7 D8 D9 E5 E6 E7 E8 E9 F5 F6 F7 F8 F9 G5 G6 G7 G8 G9 H5 H6 H7 H8 H9 I5 I6 I7 I8 I9 J5 J6 J7 J8 J9 K5 K6 K7 K8 K9" showDropDown="0" showInputMessage="0" showErrorMessage="0" allowBlank="1" type="list">
      <formula1>"✓"</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UNITED STATES CORN OIL — build progress</t>
        </is>
      </c>
    </row>
    <row r="2">
      <c r="A2" s="10" t="inlineStr">
        <is>
          <t>Overall:</t>
        </is>
      </c>
      <c r="C2" s="11">
        <f>IF(2=0,0,COUNTIF(B5:K6,"✓")/(2*10))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Trade</t>
        </is>
      </c>
      <c r="B6" s="14" t="n"/>
      <c r="C6" s="14" t="n"/>
      <c r="D6" s="14" t="n"/>
      <c r="E6" s="14" t="n"/>
      <c r="F6" s="14" t="n"/>
      <c r="G6" s="14" t="n"/>
      <c r="H6" s="14" t="n"/>
      <c r="I6" s="14" t="n"/>
      <c r="J6" s="14" t="n"/>
      <c r="K6" s="14" t="n"/>
      <c r="L6" s="8">
        <f>COUNTIF(B6:K6,"✓")/10</f>
        <v/>
      </c>
    </row>
    <row r="7">
      <c r="A7" s="15" t="inlineStr">
        <is>
          <t>TAB TOTAL</t>
        </is>
      </c>
      <c r="B7" s="16">
        <f>IF(2=0,0,COUNTIF(B5:B6,"✓")/2)</f>
        <v/>
      </c>
      <c r="C7" s="16">
        <f>IF(2=0,0,COUNTIF(C5:C6,"✓")/2)</f>
        <v/>
      </c>
      <c r="D7" s="16">
        <f>IF(2=0,0,COUNTIF(D5:D6,"✓")/2)</f>
        <v/>
      </c>
      <c r="E7" s="16">
        <f>IF(2=0,0,COUNTIF(E5:E6,"✓")/2)</f>
        <v/>
      </c>
      <c r="F7" s="16">
        <f>IF(2=0,0,COUNTIF(F5:F6,"✓")/2)</f>
        <v/>
      </c>
      <c r="G7" s="16">
        <f>IF(2=0,0,COUNTIF(G5:G6,"✓")/2)</f>
        <v/>
      </c>
      <c r="H7" s="16">
        <f>IF(2=0,0,COUNTIF(H5:H6,"✓")/2)</f>
        <v/>
      </c>
      <c r="I7" s="16">
        <f>IF(2=0,0,COUNTIF(I5:I6,"✓")/2)</f>
        <v/>
      </c>
      <c r="J7" s="16">
        <f>IF(2=0,0,COUNTIF(J5:J6,"✓")/2)</f>
        <v/>
      </c>
      <c r="K7" s="16">
        <f>IF(2=0,0,COUNTIF(K5:K6,"✓")/2)</f>
        <v/>
      </c>
      <c r="L7" s="16">
        <f>C2</f>
        <v/>
      </c>
    </row>
  </sheetData>
  <conditionalFormatting sqref="B5:K6">
    <cfRule type="cellIs" priority="1" operator="equal" dxfId="0">
      <formula>"✓"</formula>
    </cfRule>
  </conditionalFormatting>
  <dataValidations count="1">
    <dataValidation sqref="B5 B6 C5 C6 D5 D6 E5 E6 F5 F6 G5 G6 H5 H6 I5 I6 J5 J6 K5 K6" showDropDown="0" showInputMessage="0" showErrorMessage="0" allowBlank="1" type="list">
      <formula1>"✓"</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BRAZIL CORN OIL — build progress</t>
        </is>
      </c>
    </row>
    <row r="2">
      <c r="A2" s="10" t="inlineStr">
        <is>
          <t>Overall:</t>
        </is>
      </c>
      <c r="C2" s="11">
        <f>IF(2=0,0,COUNTIF(B5:K6,"✓")/(2*10))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Trade</t>
        </is>
      </c>
      <c r="B6" s="14" t="n"/>
      <c r="C6" s="14" t="n"/>
      <c r="D6" s="14" t="n"/>
      <c r="E6" s="14" t="n"/>
      <c r="F6" s="14" t="n"/>
      <c r="G6" s="14" t="n"/>
      <c r="H6" s="14" t="n"/>
      <c r="I6" s="14" t="n"/>
      <c r="J6" s="14" t="n"/>
      <c r="K6" s="14" t="n"/>
      <c r="L6" s="8">
        <f>COUNTIF(B6:K6,"✓")/10</f>
        <v/>
      </c>
    </row>
    <row r="7">
      <c r="A7" s="15" t="inlineStr">
        <is>
          <t>TAB TOTAL</t>
        </is>
      </c>
      <c r="B7" s="16">
        <f>IF(2=0,0,COUNTIF(B5:B6,"✓")/2)</f>
        <v/>
      </c>
      <c r="C7" s="16">
        <f>IF(2=0,0,COUNTIF(C5:C6,"✓")/2)</f>
        <v/>
      </c>
      <c r="D7" s="16">
        <f>IF(2=0,0,COUNTIF(D5:D6,"✓")/2)</f>
        <v/>
      </c>
      <c r="E7" s="16">
        <f>IF(2=0,0,COUNTIF(E5:E6,"✓")/2)</f>
        <v/>
      </c>
      <c r="F7" s="16">
        <f>IF(2=0,0,COUNTIF(F5:F6,"✓")/2)</f>
        <v/>
      </c>
      <c r="G7" s="16">
        <f>IF(2=0,0,COUNTIF(G5:G6,"✓")/2)</f>
        <v/>
      </c>
      <c r="H7" s="16">
        <f>IF(2=0,0,COUNTIF(H5:H6,"✓")/2)</f>
        <v/>
      </c>
      <c r="I7" s="16">
        <f>IF(2=0,0,COUNTIF(I5:I6,"✓")/2)</f>
        <v/>
      </c>
      <c r="J7" s="16">
        <f>IF(2=0,0,COUNTIF(J5:J6,"✓")/2)</f>
        <v/>
      </c>
      <c r="K7" s="16">
        <f>IF(2=0,0,COUNTIF(K5:K6,"✓")/2)</f>
        <v/>
      </c>
      <c r="L7" s="16">
        <f>C2</f>
        <v/>
      </c>
    </row>
  </sheetData>
  <conditionalFormatting sqref="B5:K6">
    <cfRule type="cellIs" priority="1" operator="equal" dxfId="0">
      <formula>"✓"</formula>
    </cfRule>
  </conditionalFormatting>
  <dataValidations count="1">
    <dataValidation sqref="B5 B6 C5 C6 D5 D6 E5 E6 F5 F6 G5 G6 H5 H6 I5 I6 J5 J6 K5 K6" showDropDown="0" showInputMessage="0" showErrorMessage="0" allowBlank="1" type="list">
      <formula1>"✓"</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8" customWidth="1" min="12" max="12"/>
  </cols>
  <sheetData>
    <row r="1">
      <c r="A1" s="1" t="inlineStr">
        <is>
          <t>MEXICO CORN OIL — build progress</t>
        </is>
      </c>
    </row>
    <row r="2">
      <c r="A2" s="10" t="inlineStr">
        <is>
          <t>Overall:</t>
        </is>
      </c>
      <c r="C2" s="11">
        <f>IF(2=0,0,COUNTIF(B5:K6,"✓")/(2*10))</f>
        <v/>
      </c>
      <c r="D2" s="2" t="inlineStr">
        <is>
          <t>mark cells with ✓ as each step completes</t>
        </is>
      </c>
    </row>
    <row r="4">
      <c r="A4" s="12" t="inlineStr">
        <is>
          <t>Balance Sheet</t>
        </is>
      </c>
      <c r="B4" s="13" t="inlineStr">
        <is>
          <t>1</t>
        </is>
      </c>
      <c r="C4" s="13" t="inlineStr">
        <is>
          <t>2</t>
        </is>
      </c>
      <c r="D4" s="13" t="inlineStr">
        <is>
          <t>3</t>
        </is>
      </c>
      <c r="E4" s="13" t="inlineStr">
        <is>
          <t>4</t>
        </is>
      </c>
      <c r="F4" s="13" t="inlineStr">
        <is>
          <t>5</t>
        </is>
      </c>
      <c r="G4" s="13" t="inlineStr">
        <is>
          <t>6</t>
        </is>
      </c>
      <c r="H4" s="13" t="inlineStr">
        <is>
          <t>7</t>
        </is>
      </c>
      <c r="I4" s="13" t="inlineStr">
        <is>
          <t>8</t>
        </is>
      </c>
      <c r="J4" s="13" t="inlineStr">
        <is>
          <t>9</t>
        </is>
      </c>
      <c r="K4" s="13" t="inlineStr">
        <is>
          <t>10</t>
        </is>
      </c>
      <c r="L4" s="13" t="inlineStr">
        <is>
          <t>%</t>
        </is>
      </c>
    </row>
    <row r="5">
      <c r="A5" s="6" t="inlineStr">
        <is>
          <t>Oil S&amp;D</t>
        </is>
      </c>
      <c r="B5" s="14" t="n"/>
      <c r="C5" s="14" t="n"/>
      <c r="D5" s="14" t="n"/>
      <c r="E5" s="14" t="n"/>
      <c r="F5" s="14" t="n"/>
      <c r="G5" s="14" t="n"/>
      <c r="H5" s="14" t="n"/>
      <c r="I5" s="14" t="n"/>
      <c r="J5" s="14" t="n"/>
      <c r="K5" s="14" t="n"/>
      <c r="L5" s="8">
        <f>COUNTIF(B5:K5,"✓")/10</f>
        <v/>
      </c>
    </row>
    <row r="6">
      <c r="A6" s="6" t="inlineStr">
        <is>
          <t>Trade</t>
        </is>
      </c>
      <c r="B6" s="14" t="n"/>
      <c r="C6" s="14" t="n"/>
      <c r="D6" s="14" t="n"/>
      <c r="E6" s="14" t="n"/>
      <c r="F6" s="14" t="n"/>
      <c r="G6" s="14" t="n"/>
      <c r="H6" s="14" t="n"/>
      <c r="I6" s="14" t="n"/>
      <c r="J6" s="14" t="n"/>
      <c r="K6" s="14" t="n"/>
      <c r="L6" s="8">
        <f>COUNTIF(B6:K6,"✓")/10</f>
        <v/>
      </c>
    </row>
    <row r="7">
      <c r="A7" s="15" t="inlineStr">
        <is>
          <t>TAB TOTAL</t>
        </is>
      </c>
      <c r="B7" s="16">
        <f>IF(2=0,0,COUNTIF(B5:B6,"✓")/2)</f>
        <v/>
      </c>
      <c r="C7" s="16">
        <f>IF(2=0,0,COUNTIF(C5:C6,"✓")/2)</f>
        <v/>
      </c>
      <c r="D7" s="16">
        <f>IF(2=0,0,COUNTIF(D5:D6,"✓")/2)</f>
        <v/>
      </c>
      <c r="E7" s="16">
        <f>IF(2=0,0,COUNTIF(E5:E6,"✓")/2)</f>
        <v/>
      </c>
      <c r="F7" s="16">
        <f>IF(2=0,0,COUNTIF(F5:F6,"✓")/2)</f>
        <v/>
      </c>
      <c r="G7" s="16">
        <f>IF(2=0,0,COUNTIF(G5:G6,"✓")/2)</f>
        <v/>
      </c>
      <c r="H7" s="16">
        <f>IF(2=0,0,COUNTIF(H5:H6,"✓")/2)</f>
        <v/>
      </c>
      <c r="I7" s="16">
        <f>IF(2=0,0,COUNTIF(I5:I6,"✓")/2)</f>
        <v/>
      </c>
      <c r="J7" s="16">
        <f>IF(2=0,0,COUNTIF(J5:J6,"✓")/2)</f>
        <v/>
      </c>
      <c r="K7" s="16">
        <f>IF(2=0,0,COUNTIF(K5:K6,"✓")/2)</f>
        <v/>
      </c>
      <c r="L7" s="16">
        <f>C2</f>
        <v/>
      </c>
    </row>
  </sheetData>
  <conditionalFormatting sqref="B5:K6">
    <cfRule type="cellIs" priority="1" operator="equal" dxfId="0">
      <formula>"✓"</formula>
    </cfRule>
  </conditionalFormatting>
  <dataValidations count="1">
    <dataValidation sqref="B5 B6 C5 C6 D5 D6 E5 E6 F5 F6 G5 G6 H5 H6 I5 I6 J5 J6 K5 K6"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2026-07-28T13:37:37Z</dcterms:created>
  <dcterms:modified xmlns:dcterms="http://purl.org/dc/terms/" xmlns:xsi="http://www.w3.org/2001/XMLSchema-instance" xsi:type="dcterms:W3CDTF">2026-07-28T13:37:37Z</dcterms:modified>
</cp:coreProperties>
</file>