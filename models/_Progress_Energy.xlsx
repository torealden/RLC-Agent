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Ethanol" sheetId="2" state="visible" r:id="rId2"/>
    <sheet xmlns:r="http://schemas.openxmlformats.org/officeDocument/2006/relationships" name="US Biodiesel" sheetId="3" state="visible" r:id="rId3"/>
    <sheet xmlns:r="http://schemas.openxmlformats.org/officeDocument/2006/relationships" name="US Renewable Diesel" sheetId="4" state="visible" r:id="rId4"/>
    <sheet xmlns:r="http://schemas.openxmlformats.org/officeDocument/2006/relationships" name="US SAF" sheetId="5" state="visible" r:id="rId5"/>
    <sheet xmlns:r="http://schemas.openxmlformats.org/officeDocument/2006/relationships" name="US Petroleum" sheetId="6" state="visible" r:id="rId6"/>
    <sheet xmlns:r="http://schemas.openxmlformats.org/officeDocument/2006/relationships" name="Brazil Ethanol" sheetId="7" state="visible" r:id="rId7"/>
    <sheet xmlns:r="http://schemas.openxmlformats.org/officeDocument/2006/relationships" name="EU Biodies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3C7D22"/>
      <sz val="13"/>
    </font>
    <font>
      <name val="Calibri"/>
      <b val="1"/>
    </font>
    <font>
      <name val="Calibri"/>
      <b val="1"/>
      <color rgb="003C7D22"/>
    </font>
    <font>
      <name val="Calibri"/>
      <i val="1"/>
      <color rgb="006E7178"/>
      <sz val="9"/>
    </font>
    <font>
      <name val="Calibri"/>
      <b val="1"/>
      <color rgb="00FFFFFF"/>
    </font>
    <font>
      <name val="Calibri"/>
    </font>
    <font>
      <name val="Calibri"/>
      <color rgb="006E7178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0"/>
      </patternFill>
    </fill>
    <fill>
      <patternFill patternType="solid">
        <fgColor rgb="003C7D22"/>
      </patternFill>
    </fill>
  </fills>
  <borders count="2">
    <border>
      <left/>
      <right/>
      <top/>
      <bottom/>
      <diagonal/>
    </border>
    <border>
      <left style="thin">
        <color rgb="00D4D4CE"/>
      </left>
      <right style="thin">
        <color rgb="00D4D4CE"/>
      </right>
      <top style="thin">
        <color rgb="00D4D4CE"/>
      </top>
      <bottom style="thin">
        <color rgb="00D4D4C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0" pivotButton="0" quotePrefix="0" xfId="0"/>
    <xf numFmtId="9" fontId="5" fillId="4" borderId="0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9" fontId="0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2" fillId="0" borderId="0" pivotButton="0" quotePrefix="0" xfId="0"/>
    <xf numFmtId="9" fontId="3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Calibri"/>
        <b val="1"/>
        <color rgb="003C7D22"/>
      </font>
      <fill>
        <patternFill patternType="solid">
          <fgColor rgb="00E2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9" customWidth="1" min="14" max="14"/>
  </cols>
  <sheetData>
    <row r="1">
      <c r="A1" s="1" t="inlineStr">
        <is>
          <t>Energy — build progress summary</t>
        </is>
      </c>
    </row>
    <row r="2">
      <c r="A2" s="2" t="inlineStr">
        <is>
          <t>7 country × complex tabs. Each cell = COUNTIF of ✓ on that tab. Fill the checkboxes on the country tabs; this rolls up automatically.</t>
        </is>
      </c>
    </row>
    <row r="4">
      <c r="A4" s="3" t="inlineStr">
        <is>
          <t>Complex</t>
        </is>
      </c>
      <c r="B4" s="3" t="inlineStr">
        <is>
          <t>Country</t>
        </is>
      </c>
      <c r="C4" s="3" t="inlineStr">
        <is>
          <t>Tier / note</t>
        </is>
      </c>
      <c r="D4" s="3" t="inlineStr">
        <is>
          <t>1</t>
        </is>
      </c>
      <c r="E4" s="3" t="inlineStr">
        <is>
          <t>2</t>
        </is>
      </c>
      <c r="F4" s="3" t="inlineStr">
        <is>
          <t>3</t>
        </is>
      </c>
      <c r="G4" s="3" t="inlineStr">
        <is>
          <t>4</t>
        </is>
      </c>
      <c r="H4" s="3" t="inlineStr">
        <is>
          <t>5</t>
        </is>
      </c>
      <c r="I4" s="3" t="inlineStr">
        <is>
          <t>6</t>
        </is>
      </c>
      <c r="J4" s="3" t="inlineStr">
        <is>
          <t>7</t>
        </is>
      </c>
      <c r="K4" s="3" t="inlineStr">
        <is>
          <t>8</t>
        </is>
      </c>
      <c r="L4" s="3" t="inlineStr">
        <is>
          <t>9</t>
        </is>
      </c>
      <c r="M4" s="3" t="inlineStr">
        <is>
          <t>10</t>
        </is>
      </c>
      <c r="N4" s="3" t="inlineStr">
        <is>
          <t>Overall</t>
        </is>
      </c>
    </row>
    <row r="5">
      <c r="A5" s="4" t="inlineStr">
        <is>
          <t>GROUP TOTAL</t>
        </is>
      </c>
      <c r="D5" s="5">
        <f>IFERROR(AVERAGE(D6:D12),0)</f>
        <v/>
      </c>
      <c r="E5" s="5">
        <f>IFERROR(AVERAGE(E6:E12),0)</f>
        <v/>
      </c>
      <c r="F5" s="5">
        <f>IFERROR(AVERAGE(F6:F12),0)</f>
        <v/>
      </c>
      <c r="G5" s="5">
        <f>IFERROR(AVERAGE(G6:G12),0)</f>
        <v/>
      </c>
      <c r="H5" s="5">
        <f>IFERROR(AVERAGE(H6:H12),0)</f>
        <v/>
      </c>
      <c r="I5" s="5">
        <f>IFERROR(AVERAGE(I6:I12),0)</f>
        <v/>
      </c>
      <c r="J5" s="5">
        <f>IFERROR(AVERAGE(J6:J12),0)</f>
        <v/>
      </c>
      <c r="K5" s="5">
        <f>IFERROR(AVERAGE(K6:K12),0)</f>
        <v/>
      </c>
      <c r="L5" s="5">
        <f>IFERROR(AVERAGE(L6:L12),0)</f>
        <v/>
      </c>
      <c r="M5" s="5">
        <f>IFERROR(AVERAGE(M6:M12),0)</f>
        <v/>
      </c>
      <c r="N5" s="5">
        <f>IFERROR(AVERAGE(N6:N12),0)</f>
        <v/>
      </c>
    </row>
    <row r="6">
      <c r="A6" s="6" t="inlineStr">
        <is>
          <t>Ethanol</t>
        </is>
      </c>
      <c r="B6" s="6" t="inlineStr">
        <is>
          <t>US</t>
        </is>
      </c>
      <c r="C6" s="7" t="inlineStr">
        <is>
          <t>starter — prune</t>
        </is>
      </c>
      <c r="D6" s="8">
        <f>'US Ethanol'!B7</f>
        <v/>
      </c>
      <c r="E6" s="8">
        <f>'US Ethanol'!C7</f>
        <v/>
      </c>
      <c r="F6" s="8">
        <f>'US Ethanol'!D7</f>
        <v/>
      </c>
      <c r="G6" s="8">
        <f>'US Ethanol'!E7</f>
        <v/>
      </c>
      <c r="H6" s="8">
        <f>'US Ethanol'!F7</f>
        <v/>
      </c>
      <c r="I6" s="8">
        <f>'US Ethanol'!G7</f>
        <v/>
      </c>
      <c r="J6" s="8">
        <f>'US Ethanol'!H7</f>
        <v/>
      </c>
      <c r="K6" s="8">
        <f>'US Ethanol'!I7</f>
        <v/>
      </c>
      <c r="L6" s="8">
        <f>'US Ethanol'!J7</f>
        <v/>
      </c>
      <c r="M6" s="8">
        <f>'US Ethanol'!K7</f>
        <v/>
      </c>
      <c r="N6" s="9">
        <f>'US Ethanol'!C2</f>
        <v/>
      </c>
    </row>
    <row r="7">
      <c r="A7" s="6" t="inlineStr">
        <is>
          <t>Biodiesel</t>
        </is>
      </c>
      <c r="B7" s="6" t="inlineStr">
        <is>
          <t>US</t>
        </is>
      </c>
      <c r="C7" s="7" t="inlineStr">
        <is>
          <t>starter — prune</t>
        </is>
      </c>
      <c r="D7" s="8">
        <f>'US Biodiesel'!B7</f>
        <v/>
      </c>
      <c r="E7" s="8">
        <f>'US Biodiesel'!C7</f>
        <v/>
      </c>
      <c r="F7" s="8">
        <f>'US Biodiesel'!D7</f>
        <v/>
      </c>
      <c r="G7" s="8">
        <f>'US Biodiesel'!E7</f>
        <v/>
      </c>
      <c r="H7" s="8">
        <f>'US Biodiesel'!F7</f>
        <v/>
      </c>
      <c r="I7" s="8">
        <f>'US Biodiesel'!G7</f>
        <v/>
      </c>
      <c r="J7" s="8">
        <f>'US Biodiesel'!H7</f>
        <v/>
      </c>
      <c r="K7" s="8">
        <f>'US Biodiesel'!I7</f>
        <v/>
      </c>
      <c r="L7" s="8">
        <f>'US Biodiesel'!J7</f>
        <v/>
      </c>
      <c r="M7" s="8">
        <f>'US Biodiesel'!K7</f>
        <v/>
      </c>
      <c r="N7" s="9">
        <f>'US Biodiesel'!C2</f>
        <v/>
      </c>
    </row>
    <row r="8">
      <c r="A8" s="6" t="inlineStr">
        <is>
          <t>Renewable Diesel</t>
        </is>
      </c>
      <c r="B8" s="6" t="inlineStr">
        <is>
          <t>US</t>
        </is>
      </c>
      <c r="C8" s="7" t="inlineStr">
        <is>
          <t>starter — prune</t>
        </is>
      </c>
      <c r="D8" s="8">
        <f>'US Renewable Diesel'!B7</f>
        <v/>
      </c>
      <c r="E8" s="8">
        <f>'US Renewable Diesel'!C7</f>
        <v/>
      </c>
      <c r="F8" s="8">
        <f>'US Renewable Diesel'!D7</f>
        <v/>
      </c>
      <c r="G8" s="8">
        <f>'US Renewable Diesel'!E7</f>
        <v/>
      </c>
      <c r="H8" s="8">
        <f>'US Renewable Diesel'!F7</f>
        <v/>
      </c>
      <c r="I8" s="8">
        <f>'US Renewable Diesel'!G7</f>
        <v/>
      </c>
      <c r="J8" s="8">
        <f>'US Renewable Diesel'!H7</f>
        <v/>
      </c>
      <c r="K8" s="8">
        <f>'US Renewable Diesel'!I7</f>
        <v/>
      </c>
      <c r="L8" s="8">
        <f>'US Renewable Diesel'!J7</f>
        <v/>
      </c>
      <c r="M8" s="8">
        <f>'US Renewable Diesel'!K7</f>
        <v/>
      </c>
      <c r="N8" s="9">
        <f>'US Renewable Diesel'!C2</f>
        <v/>
      </c>
    </row>
    <row r="9">
      <c r="A9" s="6" t="inlineStr">
        <is>
          <t>SAF</t>
        </is>
      </c>
      <c r="B9" s="6" t="inlineStr">
        <is>
          <t>US</t>
        </is>
      </c>
      <c r="C9" s="7" t="inlineStr">
        <is>
          <t>starter — prune</t>
        </is>
      </c>
      <c r="D9" s="8">
        <f>'US SAF'!B7</f>
        <v/>
      </c>
      <c r="E9" s="8">
        <f>'US SAF'!C7</f>
        <v/>
      </c>
      <c r="F9" s="8">
        <f>'US SAF'!D7</f>
        <v/>
      </c>
      <c r="G9" s="8">
        <f>'US SAF'!E7</f>
        <v/>
      </c>
      <c r="H9" s="8">
        <f>'US SAF'!F7</f>
        <v/>
      </c>
      <c r="I9" s="8">
        <f>'US SAF'!G7</f>
        <v/>
      </c>
      <c r="J9" s="8">
        <f>'US SAF'!H7</f>
        <v/>
      </c>
      <c r="K9" s="8">
        <f>'US SAF'!I7</f>
        <v/>
      </c>
      <c r="L9" s="8">
        <f>'US SAF'!J7</f>
        <v/>
      </c>
      <c r="M9" s="8">
        <f>'US SAF'!K7</f>
        <v/>
      </c>
      <c r="N9" s="9">
        <f>'US SAF'!C2</f>
        <v/>
      </c>
    </row>
    <row r="10">
      <c r="A10" s="6" t="inlineStr">
        <is>
          <t>Petroleum</t>
        </is>
      </c>
      <c r="B10" s="6" t="inlineStr">
        <is>
          <t>US</t>
        </is>
      </c>
      <c r="C10" s="7" t="inlineStr">
        <is>
          <t>starter — prune</t>
        </is>
      </c>
      <c r="D10" s="8">
        <f>'US Petroleum'!B7</f>
        <v/>
      </c>
      <c r="E10" s="8">
        <f>'US Petroleum'!C7</f>
        <v/>
      </c>
      <c r="F10" s="8">
        <f>'US Petroleum'!D7</f>
        <v/>
      </c>
      <c r="G10" s="8">
        <f>'US Petroleum'!E7</f>
        <v/>
      </c>
      <c r="H10" s="8">
        <f>'US Petroleum'!F7</f>
        <v/>
      </c>
      <c r="I10" s="8">
        <f>'US Petroleum'!G7</f>
        <v/>
      </c>
      <c r="J10" s="8">
        <f>'US Petroleum'!H7</f>
        <v/>
      </c>
      <c r="K10" s="8">
        <f>'US Petroleum'!I7</f>
        <v/>
      </c>
      <c r="L10" s="8">
        <f>'US Petroleum'!J7</f>
        <v/>
      </c>
      <c r="M10" s="8">
        <f>'US Petroleum'!K7</f>
        <v/>
      </c>
      <c r="N10" s="9">
        <f>'US Petroleum'!C2</f>
        <v/>
      </c>
    </row>
    <row r="11">
      <c r="A11" s="6" t="inlineStr">
        <is>
          <t>Ethanol</t>
        </is>
      </c>
      <c r="B11" s="6" t="inlineStr">
        <is>
          <t>Brazil</t>
        </is>
      </c>
      <c r="C11" s="7" t="inlineStr">
        <is>
          <t>starter — prune</t>
        </is>
      </c>
      <c r="D11" s="8">
        <f>'Brazil Ethanol'!B7</f>
        <v/>
      </c>
      <c r="E11" s="8">
        <f>'Brazil Ethanol'!C7</f>
        <v/>
      </c>
      <c r="F11" s="8">
        <f>'Brazil Ethanol'!D7</f>
        <v/>
      </c>
      <c r="G11" s="8">
        <f>'Brazil Ethanol'!E7</f>
        <v/>
      </c>
      <c r="H11" s="8">
        <f>'Brazil Ethanol'!F7</f>
        <v/>
      </c>
      <c r="I11" s="8">
        <f>'Brazil Ethanol'!G7</f>
        <v/>
      </c>
      <c r="J11" s="8">
        <f>'Brazil Ethanol'!H7</f>
        <v/>
      </c>
      <c r="K11" s="8">
        <f>'Brazil Ethanol'!I7</f>
        <v/>
      </c>
      <c r="L11" s="8">
        <f>'Brazil Ethanol'!J7</f>
        <v/>
      </c>
      <c r="M11" s="8">
        <f>'Brazil Ethanol'!K7</f>
        <v/>
      </c>
      <c r="N11" s="9">
        <f>'Brazil Ethanol'!C2</f>
        <v/>
      </c>
    </row>
    <row r="12">
      <c r="A12" s="6" t="inlineStr">
        <is>
          <t>Biodiesel</t>
        </is>
      </c>
      <c r="B12" s="6" t="inlineStr">
        <is>
          <t>EU</t>
        </is>
      </c>
      <c r="C12" s="7" t="inlineStr">
        <is>
          <t>starter — prune</t>
        </is>
      </c>
      <c r="D12" s="8">
        <f>'EU Biodiesel'!B7</f>
        <v/>
      </c>
      <c r="E12" s="8">
        <f>'EU Biodiesel'!C7</f>
        <v/>
      </c>
      <c r="F12" s="8">
        <f>'EU Biodiesel'!D7</f>
        <v/>
      </c>
      <c r="G12" s="8">
        <f>'EU Biodiesel'!E7</f>
        <v/>
      </c>
      <c r="H12" s="8">
        <f>'EU Biodiesel'!F7</f>
        <v/>
      </c>
      <c r="I12" s="8">
        <f>'EU Biodiesel'!G7</f>
        <v/>
      </c>
      <c r="J12" s="8">
        <f>'EU Biodiesel'!H7</f>
        <v/>
      </c>
      <c r="K12" s="8">
        <f>'EU Biodiesel'!I7</f>
        <v/>
      </c>
      <c r="L12" s="8">
        <f>'EU Biodiesel'!J7</f>
        <v/>
      </c>
      <c r="M12" s="8">
        <f>'EU Biodiesel'!K7</f>
        <v/>
      </c>
      <c r="N12" s="9">
        <f>'EU Biodiesel'!C2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US ETHANOL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US BIODIESEL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US RENEWABLE DIESEL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US SAF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US PETROLEUM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BRAZIL ETHANOL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</cols>
  <sheetData>
    <row r="1">
      <c r="A1" s="1" t="inlineStr">
        <is>
          <t>EU BIODIESEL — build progress</t>
        </is>
      </c>
    </row>
    <row r="2">
      <c r="A2" s="10" t="inlineStr">
        <is>
          <t>Overall:</t>
        </is>
      </c>
      <c r="C2" s="11">
        <f>IF(2=0,0,COUNTIF(B5:K6,"✓")/(2*10))</f>
        <v/>
      </c>
      <c r="D2" s="2" t="inlineStr">
        <is>
          <t>mark cells with ✓ as each step completes</t>
        </is>
      </c>
    </row>
    <row r="4">
      <c r="A4" s="12" t="inlineStr">
        <is>
          <t>Balance Sheet</t>
        </is>
      </c>
      <c r="B4" s="13" t="inlineStr">
        <is>
          <t>1</t>
        </is>
      </c>
      <c r="C4" s="13" t="inlineStr">
        <is>
          <t>2</t>
        </is>
      </c>
      <c r="D4" s="13" t="inlineStr">
        <is>
          <t>3</t>
        </is>
      </c>
      <c r="E4" s="13" t="inlineStr">
        <is>
          <t>4</t>
        </is>
      </c>
      <c r="F4" s="13" t="inlineStr">
        <is>
          <t>5</t>
        </is>
      </c>
      <c r="G4" s="13" t="inlineStr">
        <is>
          <t>6</t>
        </is>
      </c>
      <c r="H4" s="13" t="inlineStr">
        <is>
          <t>7</t>
        </is>
      </c>
      <c r="I4" s="13" t="inlineStr">
        <is>
          <t>8</t>
        </is>
      </c>
      <c r="J4" s="13" t="inlineStr">
        <is>
          <t>9</t>
        </is>
      </c>
      <c r="K4" s="13" t="inlineStr">
        <is>
          <t>10</t>
        </is>
      </c>
      <c r="L4" s="13" t="inlineStr">
        <is>
          <t>%</t>
        </is>
      </c>
    </row>
    <row r="5">
      <c r="A5" s="6" t="inlineStr">
        <is>
          <t>Balance (S&amp;D)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8">
        <f>COUNTIF(B5:K5,"✓")/10</f>
        <v/>
      </c>
    </row>
    <row r="6">
      <c r="A6" s="6" t="inlineStr">
        <is>
          <t>Feedstock / Trade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8">
        <f>COUNTIF(B6:K6,"✓")/10</f>
        <v/>
      </c>
    </row>
    <row r="7">
      <c r="A7" s="15" t="inlineStr">
        <is>
          <t>TAB TOTAL</t>
        </is>
      </c>
      <c r="B7" s="16">
        <f>IF(2=0,0,COUNTIF(B5:B6,"✓")/2)</f>
        <v/>
      </c>
      <c r="C7" s="16">
        <f>IF(2=0,0,COUNTIF(C5:C6,"✓")/2)</f>
        <v/>
      </c>
      <c r="D7" s="16">
        <f>IF(2=0,0,COUNTIF(D5:D6,"✓")/2)</f>
        <v/>
      </c>
      <c r="E7" s="16">
        <f>IF(2=0,0,COUNTIF(E5:E6,"✓")/2)</f>
        <v/>
      </c>
      <c r="F7" s="16">
        <f>IF(2=0,0,COUNTIF(F5:F6,"✓")/2)</f>
        <v/>
      </c>
      <c r="G7" s="16">
        <f>IF(2=0,0,COUNTIF(G5:G6,"✓")/2)</f>
        <v/>
      </c>
      <c r="H7" s="16">
        <f>IF(2=0,0,COUNTIF(H5:H6,"✓")/2)</f>
        <v/>
      </c>
      <c r="I7" s="16">
        <f>IF(2=0,0,COUNTIF(I5:I6,"✓")/2)</f>
        <v/>
      </c>
      <c r="J7" s="16">
        <f>IF(2=0,0,COUNTIF(J5:J6,"✓")/2)</f>
        <v/>
      </c>
      <c r="K7" s="16">
        <f>IF(2=0,0,COUNTIF(K5:K6,"✓")/2)</f>
        <v/>
      </c>
      <c r="L7" s="16">
        <f>C2</f>
        <v/>
      </c>
    </row>
  </sheetData>
  <conditionalFormatting sqref="B5:K6">
    <cfRule type="cellIs" priority="1" operator="equal" dxfId="0">
      <formula>"✓"</formula>
    </cfRule>
  </conditionalFormatting>
  <dataValidations count="1">
    <dataValidation sqref="B5 B6 C5 C6 D5 D6 E5 E6 F5 F6 G5 G6 H5 H6 I5 I6 J5 J6 K5 K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2026-07-28T13:37:37Z</dcterms:created>
  <dcterms:modified xmlns:dcterms="http://purl.org/dc/terms/" xmlns:xsi="http://www.w3.org/2001/XMLSchema-instance" xsi:type="dcterms:W3CDTF">2026-07-28T13:37:37Z</dcterms:modified>
</cp:coreProperties>
</file>