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 Corn" sheetId="2" state="visible" r:id="rId2"/>
    <sheet xmlns:r="http://schemas.openxmlformats.org/officeDocument/2006/relationships" name="Brazil Corn" sheetId="3" state="visible" r:id="rId3"/>
    <sheet xmlns:r="http://schemas.openxmlformats.org/officeDocument/2006/relationships" name="Argentina Corn" sheetId="4" state="visible" r:id="rId4"/>
    <sheet xmlns:r="http://schemas.openxmlformats.org/officeDocument/2006/relationships" name="Ukraine Corn" sheetId="5" state="visible" r:id="rId5"/>
    <sheet xmlns:r="http://schemas.openxmlformats.org/officeDocument/2006/relationships" name="China Corn" sheetId="6" state="visible" r:id="rId6"/>
    <sheet xmlns:r="http://schemas.openxmlformats.org/officeDocument/2006/relationships" name="EU Corn" sheetId="7" state="visible" r:id="rId7"/>
    <sheet xmlns:r="http://schemas.openxmlformats.org/officeDocument/2006/relationships" name="US Sorghum" sheetId="8" state="visible" r:id="rId8"/>
    <sheet xmlns:r="http://schemas.openxmlformats.org/officeDocument/2006/relationships" name="Argentina Sorghum" sheetId="9" state="visible" r:id="rId9"/>
    <sheet xmlns:r="http://schemas.openxmlformats.org/officeDocument/2006/relationships" name="EU Barley" sheetId="10" state="visible" r:id="rId10"/>
    <sheet xmlns:r="http://schemas.openxmlformats.org/officeDocument/2006/relationships" name="Russia Barley" sheetId="11" state="visible" r:id="rId11"/>
    <sheet xmlns:r="http://schemas.openxmlformats.org/officeDocument/2006/relationships" name="Australia Barley" sheetId="12" state="visible" r:id="rId12"/>
    <sheet xmlns:r="http://schemas.openxmlformats.org/officeDocument/2006/relationships" name="Canada Barle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3C7D22"/>
      <sz val="13"/>
    </font>
    <font>
      <name val="Calibri"/>
      <b val="1"/>
    </font>
    <font>
      <name val="Calibri"/>
      <b val="1"/>
      <color rgb="003C7D22"/>
    </font>
    <font>
      <name val="Calibri"/>
      <i val="1"/>
      <color rgb="006E7178"/>
      <sz val="9"/>
    </font>
    <font>
      <name val="Calibri"/>
      <b val="1"/>
      <color rgb="00FFFFFF"/>
    </font>
    <font>
      <name val="Calibri"/>
    </font>
    <font>
      <name val="Calibri"/>
      <color rgb="006E7178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0"/>
      </patternFill>
    </fill>
    <fill>
      <patternFill patternType="solid">
        <fgColor rgb="003C7D22"/>
      </patternFill>
    </fill>
  </fills>
  <borders count="2">
    <border>
      <left/>
      <right/>
      <top/>
      <bottom/>
      <diagonal/>
    </border>
    <border>
      <left style="thin">
        <color rgb="00D4D4CE"/>
      </left>
      <right style="thin">
        <color rgb="00D4D4CE"/>
      </right>
      <top style="thin">
        <color rgb="00D4D4CE"/>
      </top>
      <bottom style="thin">
        <color rgb="00D4D4C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4" borderId="0" pivotButton="0" quotePrefix="0" xfId="0"/>
    <xf numFmtId="9" fontId="5" fillId="4" borderId="0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9" fontId="0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2" fillId="0" borderId="0" pivotButton="0" quotePrefix="0" xfId="0"/>
    <xf numFmtId="9" fontId="3" fillId="0" borderId="0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9" fontId="2" fillId="3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Calibri"/>
        <b val="1"/>
        <color rgb="003C7D22"/>
      </font>
      <fill>
        <patternFill patternType="solid">
          <fgColor rgb="00E2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9" customWidth="1" min="14" max="14"/>
  </cols>
  <sheetData>
    <row r="1">
      <c r="A1" s="1" t="inlineStr">
        <is>
          <t>Feed Grains — build progress summary</t>
        </is>
      </c>
    </row>
    <row r="2">
      <c r="A2" s="2" t="inlineStr">
        <is>
          <t>12 country × complex tabs. Each cell = COUNTIF of ✓ on that tab. Fill the checkboxes on the country tabs; this rolls up automatically.</t>
        </is>
      </c>
    </row>
    <row r="4">
      <c r="A4" s="3" t="inlineStr">
        <is>
          <t>Complex</t>
        </is>
      </c>
      <c r="B4" s="3" t="inlineStr">
        <is>
          <t>Country</t>
        </is>
      </c>
      <c r="C4" s="3" t="inlineStr">
        <is>
          <t>Tier / note</t>
        </is>
      </c>
      <c r="D4" s="3" t="inlineStr">
        <is>
          <t>1</t>
        </is>
      </c>
      <c r="E4" s="3" t="inlineStr">
        <is>
          <t>2</t>
        </is>
      </c>
      <c r="F4" s="3" t="inlineStr">
        <is>
          <t>3</t>
        </is>
      </c>
      <c r="G4" s="3" t="inlineStr">
        <is>
          <t>4</t>
        </is>
      </c>
      <c r="H4" s="3" t="inlineStr">
        <is>
          <t>5</t>
        </is>
      </c>
      <c r="I4" s="3" t="inlineStr">
        <is>
          <t>6</t>
        </is>
      </c>
      <c r="J4" s="3" t="inlineStr">
        <is>
          <t>7</t>
        </is>
      </c>
      <c r="K4" s="3" t="inlineStr">
        <is>
          <t>8</t>
        </is>
      </c>
      <c r="L4" s="3" t="inlineStr">
        <is>
          <t>9</t>
        </is>
      </c>
      <c r="M4" s="3" t="inlineStr">
        <is>
          <t>10</t>
        </is>
      </c>
      <c r="N4" s="3" t="inlineStr">
        <is>
          <t>Overall</t>
        </is>
      </c>
    </row>
    <row r="5">
      <c r="A5" s="4" t="inlineStr">
        <is>
          <t>GROUP TOTAL</t>
        </is>
      </c>
      <c r="D5" s="5">
        <f>IFERROR(AVERAGE(D6:D17),0)</f>
        <v/>
      </c>
      <c r="E5" s="5">
        <f>IFERROR(AVERAGE(E6:E17),0)</f>
        <v/>
      </c>
      <c r="F5" s="5">
        <f>IFERROR(AVERAGE(F6:F17),0)</f>
        <v/>
      </c>
      <c r="G5" s="5">
        <f>IFERROR(AVERAGE(G6:G17),0)</f>
        <v/>
      </c>
      <c r="H5" s="5">
        <f>IFERROR(AVERAGE(H6:H17),0)</f>
        <v/>
      </c>
      <c r="I5" s="5">
        <f>IFERROR(AVERAGE(I6:I17),0)</f>
        <v/>
      </c>
      <c r="J5" s="5">
        <f>IFERROR(AVERAGE(J6:J17),0)</f>
        <v/>
      </c>
      <c r="K5" s="5">
        <f>IFERROR(AVERAGE(K6:K17),0)</f>
        <v/>
      </c>
      <c r="L5" s="5">
        <f>IFERROR(AVERAGE(L6:L17),0)</f>
        <v/>
      </c>
      <c r="M5" s="5">
        <f>IFERROR(AVERAGE(M6:M17),0)</f>
        <v/>
      </c>
      <c r="N5" s="5">
        <f>IFERROR(AVERAGE(N6:N17),0)</f>
        <v/>
      </c>
    </row>
    <row r="6">
      <c r="A6" s="6" t="inlineStr">
        <is>
          <t>Corn</t>
        </is>
      </c>
      <c r="B6" s="6" t="inlineStr">
        <is>
          <t>United States</t>
        </is>
      </c>
      <c r="C6" s="7" t="inlineStr">
        <is>
          <t>starter — prune</t>
        </is>
      </c>
      <c r="D6" s="8">
        <f>'US Corn'!B9</f>
        <v/>
      </c>
      <c r="E6" s="8">
        <f>'US Corn'!C9</f>
        <v/>
      </c>
      <c r="F6" s="8">
        <f>'US Corn'!D9</f>
        <v/>
      </c>
      <c r="G6" s="8">
        <f>'US Corn'!E9</f>
        <v/>
      </c>
      <c r="H6" s="8">
        <f>'US Corn'!F9</f>
        <v/>
      </c>
      <c r="I6" s="8">
        <f>'US Corn'!G9</f>
        <v/>
      </c>
      <c r="J6" s="8">
        <f>'US Corn'!H9</f>
        <v/>
      </c>
      <c r="K6" s="8">
        <f>'US Corn'!I9</f>
        <v/>
      </c>
      <c r="L6" s="8">
        <f>'US Corn'!J9</f>
        <v/>
      </c>
      <c r="M6" s="8">
        <f>'US Corn'!K9</f>
        <v/>
      </c>
      <c r="N6" s="9">
        <f>'US Corn'!C2</f>
        <v/>
      </c>
    </row>
    <row r="7">
      <c r="A7" s="6" t="inlineStr">
        <is>
          <t>Corn</t>
        </is>
      </c>
      <c r="B7" s="6" t="inlineStr">
        <is>
          <t>Brazil</t>
        </is>
      </c>
      <c r="C7" s="7" t="inlineStr">
        <is>
          <t>starter — prune</t>
        </is>
      </c>
      <c r="D7" s="8">
        <f>'Brazil Corn'!B9</f>
        <v/>
      </c>
      <c r="E7" s="8">
        <f>'Brazil Corn'!C9</f>
        <v/>
      </c>
      <c r="F7" s="8">
        <f>'Brazil Corn'!D9</f>
        <v/>
      </c>
      <c r="G7" s="8">
        <f>'Brazil Corn'!E9</f>
        <v/>
      </c>
      <c r="H7" s="8">
        <f>'Brazil Corn'!F9</f>
        <v/>
      </c>
      <c r="I7" s="8">
        <f>'Brazil Corn'!G9</f>
        <v/>
      </c>
      <c r="J7" s="8">
        <f>'Brazil Corn'!H9</f>
        <v/>
      </c>
      <c r="K7" s="8">
        <f>'Brazil Corn'!I9</f>
        <v/>
      </c>
      <c r="L7" s="8">
        <f>'Brazil Corn'!J9</f>
        <v/>
      </c>
      <c r="M7" s="8">
        <f>'Brazil Corn'!K9</f>
        <v/>
      </c>
      <c r="N7" s="9">
        <f>'Brazil Corn'!C2</f>
        <v/>
      </c>
    </row>
    <row r="8">
      <c r="A8" s="6" t="inlineStr">
        <is>
          <t>Corn</t>
        </is>
      </c>
      <c r="B8" s="6" t="inlineStr">
        <is>
          <t>Argentina</t>
        </is>
      </c>
      <c r="C8" s="7" t="inlineStr">
        <is>
          <t>starter — prune</t>
        </is>
      </c>
      <c r="D8" s="8">
        <f>'Argentina Corn'!B9</f>
        <v/>
      </c>
      <c r="E8" s="8">
        <f>'Argentina Corn'!C9</f>
        <v/>
      </c>
      <c r="F8" s="8">
        <f>'Argentina Corn'!D9</f>
        <v/>
      </c>
      <c r="G8" s="8">
        <f>'Argentina Corn'!E9</f>
        <v/>
      </c>
      <c r="H8" s="8">
        <f>'Argentina Corn'!F9</f>
        <v/>
      </c>
      <c r="I8" s="8">
        <f>'Argentina Corn'!G9</f>
        <v/>
      </c>
      <c r="J8" s="8">
        <f>'Argentina Corn'!H9</f>
        <v/>
      </c>
      <c r="K8" s="8">
        <f>'Argentina Corn'!I9</f>
        <v/>
      </c>
      <c r="L8" s="8">
        <f>'Argentina Corn'!J9</f>
        <v/>
      </c>
      <c r="M8" s="8">
        <f>'Argentina Corn'!K9</f>
        <v/>
      </c>
      <c r="N8" s="9">
        <f>'Argentina Corn'!C2</f>
        <v/>
      </c>
    </row>
    <row r="9">
      <c r="A9" s="6" t="inlineStr">
        <is>
          <t>Corn</t>
        </is>
      </c>
      <c r="B9" s="6" t="inlineStr">
        <is>
          <t>Ukraine</t>
        </is>
      </c>
      <c r="C9" s="7" t="inlineStr">
        <is>
          <t>starter — prune</t>
        </is>
      </c>
      <c r="D9" s="8">
        <f>'Ukraine Corn'!B9</f>
        <v/>
      </c>
      <c r="E9" s="8">
        <f>'Ukraine Corn'!C9</f>
        <v/>
      </c>
      <c r="F9" s="8">
        <f>'Ukraine Corn'!D9</f>
        <v/>
      </c>
      <c r="G9" s="8">
        <f>'Ukraine Corn'!E9</f>
        <v/>
      </c>
      <c r="H9" s="8">
        <f>'Ukraine Corn'!F9</f>
        <v/>
      </c>
      <c r="I9" s="8">
        <f>'Ukraine Corn'!G9</f>
        <v/>
      </c>
      <c r="J9" s="8">
        <f>'Ukraine Corn'!H9</f>
        <v/>
      </c>
      <c r="K9" s="8">
        <f>'Ukraine Corn'!I9</f>
        <v/>
      </c>
      <c r="L9" s="8">
        <f>'Ukraine Corn'!J9</f>
        <v/>
      </c>
      <c r="M9" s="8">
        <f>'Ukraine Corn'!K9</f>
        <v/>
      </c>
      <c r="N9" s="9">
        <f>'Ukraine Corn'!C2</f>
        <v/>
      </c>
    </row>
    <row r="10">
      <c r="A10" s="6" t="inlineStr">
        <is>
          <t>Corn</t>
        </is>
      </c>
      <c r="B10" s="6" t="inlineStr">
        <is>
          <t>China</t>
        </is>
      </c>
      <c r="C10" s="7" t="inlineStr">
        <is>
          <t>starter — prune</t>
        </is>
      </c>
      <c r="D10" s="8">
        <f>'China Corn'!B9</f>
        <v/>
      </c>
      <c r="E10" s="8">
        <f>'China Corn'!C9</f>
        <v/>
      </c>
      <c r="F10" s="8">
        <f>'China Corn'!D9</f>
        <v/>
      </c>
      <c r="G10" s="8">
        <f>'China Corn'!E9</f>
        <v/>
      </c>
      <c r="H10" s="8">
        <f>'China Corn'!F9</f>
        <v/>
      </c>
      <c r="I10" s="8">
        <f>'China Corn'!G9</f>
        <v/>
      </c>
      <c r="J10" s="8">
        <f>'China Corn'!H9</f>
        <v/>
      </c>
      <c r="K10" s="8">
        <f>'China Corn'!I9</f>
        <v/>
      </c>
      <c r="L10" s="8">
        <f>'China Corn'!J9</f>
        <v/>
      </c>
      <c r="M10" s="8">
        <f>'China Corn'!K9</f>
        <v/>
      </c>
      <c r="N10" s="9">
        <f>'China Corn'!C2</f>
        <v/>
      </c>
    </row>
    <row r="11">
      <c r="A11" s="6" t="inlineStr">
        <is>
          <t>Corn</t>
        </is>
      </c>
      <c r="B11" s="6" t="inlineStr">
        <is>
          <t>Europe</t>
        </is>
      </c>
      <c r="C11" s="7" t="inlineStr">
        <is>
          <t>starter — prune</t>
        </is>
      </c>
      <c r="D11" s="8">
        <f>'EU Corn'!B9</f>
        <v/>
      </c>
      <c r="E11" s="8">
        <f>'EU Corn'!C9</f>
        <v/>
      </c>
      <c r="F11" s="8">
        <f>'EU Corn'!D9</f>
        <v/>
      </c>
      <c r="G11" s="8">
        <f>'EU Corn'!E9</f>
        <v/>
      </c>
      <c r="H11" s="8">
        <f>'EU Corn'!F9</f>
        <v/>
      </c>
      <c r="I11" s="8">
        <f>'EU Corn'!G9</f>
        <v/>
      </c>
      <c r="J11" s="8">
        <f>'EU Corn'!H9</f>
        <v/>
      </c>
      <c r="K11" s="8">
        <f>'EU Corn'!I9</f>
        <v/>
      </c>
      <c r="L11" s="8">
        <f>'EU Corn'!J9</f>
        <v/>
      </c>
      <c r="M11" s="8">
        <f>'EU Corn'!K9</f>
        <v/>
      </c>
      <c r="N11" s="9">
        <f>'EU Corn'!C2</f>
        <v/>
      </c>
    </row>
    <row r="12">
      <c r="A12" s="6" t="inlineStr">
        <is>
          <t>Sorghum</t>
        </is>
      </c>
      <c r="B12" s="6" t="inlineStr">
        <is>
          <t>United States</t>
        </is>
      </c>
      <c r="C12" s="7" t="inlineStr">
        <is>
          <t>starter — prune</t>
        </is>
      </c>
      <c r="D12" s="8">
        <f>'US Sorghum'!B8</f>
        <v/>
      </c>
      <c r="E12" s="8">
        <f>'US Sorghum'!C8</f>
        <v/>
      </c>
      <c r="F12" s="8">
        <f>'US Sorghum'!D8</f>
        <v/>
      </c>
      <c r="G12" s="8">
        <f>'US Sorghum'!E8</f>
        <v/>
      </c>
      <c r="H12" s="8">
        <f>'US Sorghum'!F8</f>
        <v/>
      </c>
      <c r="I12" s="8">
        <f>'US Sorghum'!G8</f>
        <v/>
      </c>
      <c r="J12" s="8">
        <f>'US Sorghum'!H8</f>
        <v/>
      </c>
      <c r="K12" s="8">
        <f>'US Sorghum'!I8</f>
        <v/>
      </c>
      <c r="L12" s="8">
        <f>'US Sorghum'!J8</f>
        <v/>
      </c>
      <c r="M12" s="8">
        <f>'US Sorghum'!K8</f>
        <v/>
      </c>
      <c r="N12" s="9">
        <f>'US Sorghum'!C2</f>
        <v/>
      </c>
    </row>
    <row r="13">
      <c r="A13" s="6" t="inlineStr">
        <is>
          <t>Sorghum</t>
        </is>
      </c>
      <c r="B13" s="6" t="inlineStr">
        <is>
          <t>Argentina</t>
        </is>
      </c>
      <c r="C13" s="7" t="inlineStr">
        <is>
          <t>starter — prune</t>
        </is>
      </c>
      <c r="D13" s="8">
        <f>'Argentina Sorghum'!B8</f>
        <v/>
      </c>
      <c r="E13" s="8">
        <f>'Argentina Sorghum'!C8</f>
        <v/>
      </c>
      <c r="F13" s="8">
        <f>'Argentina Sorghum'!D8</f>
        <v/>
      </c>
      <c r="G13" s="8">
        <f>'Argentina Sorghum'!E8</f>
        <v/>
      </c>
      <c r="H13" s="8">
        <f>'Argentina Sorghum'!F8</f>
        <v/>
      </c>
      <c r="I13" s="8">
        <f>'Argentina Sorghum'!G8</f>
        <v/>
      </c>
      <c r="J13" s="8">
        <f>'Argentina Sorghum'!H8</f>
        <v/>
      </c>
      <c r="K13" s="8">
        <f>'Argentina Sorghum'!I8</f>
        <v/>
      </c>
      <c r="L13" s="8">
        <f>'Argentina Sorghum'!J8</f>
        <v/>
      </c>
      <c r="M13" s="8">
        <f>'Argentina Sorghum'!K8</f>
        <v/>
      </c>
      <c r="N13" s="9">
        <f>'Argentina Sorghum'!C2</f>
        <v/>
      </c>
    </row>
    <row r="14">
      <c r="A14" s="6" t="inlineStr">
        <is>
          <t>Barley</t>
        </is>
      </c>
      <c r="B14" s="6" t="inlineStr">
        <is>
          <t>Europe</t>
        </is>
      </c>
      <c r="C14" s="7" t="inlineStr">
        <is>
          <t>starter — prune</t>
        </is>
      </c>
      <c r="D14" s="8">
        <f>'EU Barley'!B8</f>
        <v/>
      </c>
      <c r="E14" s="8">
        <f>'EU Barley'!C8</f>
        <v/>
      </c>
      <c r="F14" s="8">
        <f>'EU Barley'!D8</f>
        <v/>
      </c>
      <c r="G14" s="8">
        <f>'EU Barley'!E8</f>
        <v/>
      </c>
      <c r="H14" s="8">
        <f>'EU Barley'!F8</f>
        <v/>
      </c>
      <c r="I14" s="8">
        <f>'EU Barley'!G8</f>
        <v/>
      </c>
      <c r="J14" s="8">
        <f>'EU Barley'!H8</f>
        <v/>
      </c>
      <c r="K14" s="8">
        <f>'EU Barley'!I8</f>
        <v/>
      </c>
      <c r="L14" s="8">
        <f>'EU Barley'!J8</f>
        <v/>
      </c>
      <c r="M14" s="8">
        <f>'EU Barley'!K8</f>
        <v/>
      </c>
      <c r="N14" s="9">
        <f>'EU Barley'!C2</f>
        <v/>
      </c>
    </row>
    <row r="15">
      <c r="A15" s="6" t="inlineStr">
        <is>
          <t>Barley</t>
        </is>
      </c>
      <c r="B15" s="6" t="inlineStr">
        <is>
          <t>Russia</t>
        </is>
      </c>
      <c r="C15" s="7" t="inlineStr">
        <is>
          <t>starter — prune</t>
        </is>
      </c>
      <c r="D15" s="8">
        <f>'Russia Barley'!B8</f>
        <v/>
      </c>
      <c r="E15" s="8">
        <f>'Russia Barley'!C8</f>
        <v/>
      </c>
      <c r="F15" s="8">
        <f>'Russia Barley'!D8</f>
        <v/>
      </c>
      <c r="G15" s="8">
        <f>'Russia Barley'!E8</f>
        <v/>
      </c>
      <c r="H15" s="8">
        <f>'Russia Barley'!F8</f>
        <v/>
      </c>
      <c r="I15" s="8">
        <f>'Russia Barley'!G8</f>
        <v/>
      </c>
      <c r="J15" s="8">
        <f>'Russia Barley'!H8</f>
        <v/>
      </c>
      <c r="K15" s="8">
        <f>'Russia Barley'!I8</f>
        <v/>
      </c>
      <c r="L15" s="8">
        <f>'Russia Barley'!J8</f>
        <v/>
      </c>
      <c r="M15" s="8">
        <f>'Russia Barley'!K8</f>
        <v/>
      </c>
      <c r="N15" s="9">
        <f>'Russia Barley'!C2</f>
        <v/>
      </c>
    </row>
    <row r="16">
      <c r="A16" s="6" t="inlineStr">
        <is>
          <t>Barley</t>
        </is>
      </c>
      <c r="B16" s="6" t="inlineStr">
        <is>
          <t>Australia</t>
        </is>
      </c>
      <c r="C16" s="7" t="inlineStr">
        <is>
          <t>starter — prune</t>
        </is>
      </c>
      <c r="D16" s="8">
        <f>'Australia Barley'!B8</f>
        <v/>
      </c>
      <c r="E16" s="8">
        <f>'Australia Barley'!C8</f>
        <v/>
      </c>
      <c r="F16" s="8">
        <f>'Australia Barley'!D8</f>
        <v/>
      </c>
      <c r="G16" s="8">
        <f>'Australia Barley'!E8</f>
        <v/>
      </c>
      <c r="H16" s="8">
        <f>'Australia Barley'!F8</f>
        <v/>
      </c>
      <c r="I16" s="8">
        <f>'Australia Barley'!G8</f>
        <v/>
      </c>
      <c r="J16" s="8">
        <f>'Australia Barley'!H8</f>
        <v/>
      </c>
      <c r="K16" s="8">
        <f>'Australia Barley'!I8</f>
        <v/>
      </c>
      <c r="L16" s="8">
        <f>'Australia Barley'!J8</f>
        <v/>
      </c>
      <c r="M16" s="8">
        <f>'Australia Barley'!K8</f>
        <v/>
      </c>
      <c r="N16" s="9">
        <f>'Australia Barley'!C2</f>
        <v/>
      </c>
    </row>
    <row r="17">
      <c r="A17" s="6" t="inlineStr">
        <is>
          <t>Barley</t>
        </is>
      </c>
      <c r="B17" s="6" t="inlineStr">
        <is>
          <t>Canada</t>
        </is>
      </c>
      <c r="C17" s="7" t="inlineStr">
        <is>
          <t>starter — prune</t>
        </is>
      </c>
      <c r="D17" s="8">
        <f>'Canada Barley'!B8</f>
        <v/>
      </c>
      <c r="E17" s="8">
        <f>'Canada Barley'!C8</f>
        <v/>
      </c>
      <c r="F17" s="8">
        <f>'Canada Barley'!D8</f>
        <v/>
      </c>
      <c r="G17" s="8">
        <f>'Canada Barley'!E8</f>
        <v/>
      </c>
      <c r="H17" s="8">
        <f>'Canada Barley'!F8</f>
        <v/>
      </c>
      <c r="I17" s="8">
        <f>'Canada Barley'!G8</f>
        <v/>
      </c>
      <c r="J17" s="8">
        <f>'Canada Barley'!H8</f>
        <v/>
      </c>
      <c r="K17" s="8">
        <f>'Canada Barley'!I8</f>
        <v/>
      </c>
      <c r="L17" s="8">
        <f>'Canada Barley'!J8</f>
        <v/>
      </c>
      <c r="M17" s="8">
        <f>'Canada Barley'!K8</f>
        <v/>
      </c>
      <c r="N17" s="9">
        <f>'Canada Barley'!C2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UNITED STATES CORN — build progress</t>
        </is>
      </c>
    </row>
    <row r="2">
      <c r="A2" s="10" t="inlineStr">
        <is>
          <t>Overall:</t>
        </is>
      </c>
      <c r="C2" s="11">
        <f>IF(4=0,0,COUNTIF(B5:K8,"✓")/(4*10))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6" t="inlineStr">
        <is>
          <t>Ethanol / DDGS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8">
        <f>COUNTIF(B8:K8,"✓")/10</f>
        <v/>
      </c>
    </row>
    <row r="9">
      <c r="A9" s="15" t="inlineStr">
        <is>
          <t>TAB TOTAL</t>
        </is>
      </c>
      <c r="B9" s="16">
        <f>IF(4=0,0,COUNTIF(B5:B8,"✓")/4)</f>
        <v/>
      </c>
      <c r="C9" s="16">
        <f>IF(4=0,0,COUNTIF(C5:C8,"✓")/4)</f>
        <v/>
      </c>
      <c r="D9" s="16">
        <f>IF(4=0,0,COUNTIF(D5:D8,"✓")/4)</f>
        <v/>
      </c>
      <c r="E9" s="16">
        <f>IF(4=0,0,COUNTIF(E5:E8,"✓")/4)</f>
        <v/>
      </c>
      <c r="F9" s="16">
        <f>IF(4=0,0,COUNTIF(F5:F8,"✓")/4)</f>
        <v/>
      </c>
      <c r="G9" s="16">
        <f>IF(4=0,0,COUNTIF(G5:G8,"✓")/4)</f>
        <v/>
      </c>
      <c r="H9" s="16">
        <f>IF(4=0,0,COUNTIF(H5:H8,"✓")/4)</f>
        <v/>
      </c>
      <c r="I9" s="16">
        <f>IF(4=0,0,COUNTIF(I5:I8,"✓")/4)</f>
        <v/>
      </c>
      <c r="J9" s="16">
        <f>IF(4=0,0,COUNTIF(J5:J8,"✓")/4)</f>
        <v/>
      </c>
      <c r="K9" s="16">
        <f>IF(4=0,0,COUNTIF(K5:K8,"✓")/4)</f>
        <v/>
      </c>
      <c r="L9" s="16">
        <f>C2</f>
        <v/>
      </c>
    </row>
  </sheetData>
  <conditionalFormatting sqref="B5:K8">
    <cfRule type="cellIs" priority="1" operator="equal" dxfId="0">
      <formula>"✓"</formula>
    </cfRule>
  </conditionalFormatting>
  <dataValidations count="1">
    <dataValidation sqref="B5 B6 B7 B8 C5 C6 C7 C8 D5 D6 D7 D8 E5 E6 E7 E8 F5 F6 F7 F8 G5 G6 G7 G8 H5 H6 H7 H8 I5 I6 I7 I8 J5 J6 J7 J8 K5 K6 K7 K8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BRAZIL CORN — build progress</t>
        </is>
      </c>
    </row>
    <row r="2">
      <c r="A2" s="10" t="inlineStr">
        <is>
          <t>Overall:</t>
        </is>
      </c>
      <c r="C2" s="11">
        <f>IF(4=0,0,COUNTIF(B5:K8,"✓")/(4*10))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6" t="inlineStr">
        <is>
          <t>Ethanol / DDGS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8">
        <f>COUNTIF(B8:K8,"✓")/10</f>
        <v/>
      </c>
    </row>
    <row r="9">
      <c r="A9" s="15" t="inlineStr">
        <is>
          <t>TAB TOTAL</t>
        </is>
      </c>
      <c r="B9" s="16">
        <f>IF(4=0,0,COUNTIF(B5:B8,"✓")/4)</f>
        <v/>
      </c>
      <c r="C9" s="16">
        <f>IF(4=0,0,COUNTIF(C5:C8,"✓")/4)</f>
        <v/>
      </c>
      <c r="D9" s="16">
        <f>IF(4=0,0,COUNTIF(D5:D8,"✓")/4)</f>
        <v/>
      </c>
      <c r="E9" s="16">
        <f>IF(4=0,0,COUNTIF(E5:E8,"✓")/4)</f>
        <v/>
      </c>
      <c r="F9" s="16">
        <f>IF(4=0,0,COUNTIF(F5:F8,"✓")/4)</f>
        <v/>
      </c>
      <c r="G9" s="16">
        <f>IF(4=0,0,COUNTIF(G5:G8,"✓")/4)</f>
        <v/>
      </c>
      <c r="H9" s="16">
        <f>IF(4=0,0,COUNTIF(H5:H8,"✓")/4)</f>
        <v/>
      </c>
      <c r="I9" s="16">
        <f>IF(4=0,0,COUNTIF(I5:I8,"✓")/4)</f>
        <v/>
      </c>
      <c r="J9" s="16">
        <f>IF(4=0,0,COUNTIF(J5:J8,"✓")/4)</f>
        <v/>
      </c>
      <c r="K9" s="16">
        <f>IF(4=0,0,COUNTIF(K5:K8,"✓")/4)</f>
        <v/>
      </c>
      <c r="L9" s="16">
        <f>C2</f>
        <v/>
      </c>
    </row>
  </sheetData>
  <conditionalFormatting sqref="B5:K8">
    <cfRule type="cellIs" priority="1" operator="equal" dxfId="0">
      <formula>"✓"</formula>
    </cfRule>
  </conditionalFormatting>
  <dataValidations count="1">
    <dataValidation sqref="B5 B6 B7 B8 C5 C6 C7 C8 D5 D6 D7 D8 E5 E6 E7 E8 F5 F6 F7 F8 G5 G6 G7 G8 H5 H6 H7 H8 I5 I6 I7 I8 J5 J6 J7 J8 K5 K6 K7 K8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ARGENTINA CORN — build progress</t>
        </is>
      </c>
    </row>
    <row r="2">
      <c r="A2" s="10" t="inlineStr">
        <is>
          <t>Overall:</t>
        </is>
      </c>
      <c r="C2" s="11">
        <f>IF(4=0,0,COUNTIF(B5:K8,"✓")/(4*10))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6" t="inlineStr">
        <is>
          <t>Ethanol / DDGS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8">
        <f>COUNTIF(B8:K8,"✓")/10</f>
        <v/>
      </c>
    </row>
    <row r="9">
      <c r="A9" s="15" t="inlineStr">
        <is>
          <t>TAB TOTAL</t>
        </is>
      </c>
      <c r="B9" s="16">
        <f>IF(4=0,0,COUNTIF(B5:B8,"✓")/4)</f>
        <v/>
      </c>
      <c r="C9" s="16">
        <f>IF(4=0,0,COUNTIF(C5:C8,"✓")/4)</f>
        <v/>
      </c>
      <c r="D9" s="16">
        <f>IF(4=0,0,COUNTIF(D5:D8,"✓")/4)</f>
        <v/>
      </c>
      <c r="E9" s="16">
        <f>IF(4=0,0,COUNTIF(E5:E8,"✓")/4)</f>
        <v/>
      </c>
      <c r="F9" s="16">
        <f>IF(4=0,0,COUNTIF(F5:F8,"✓")/4)</f>
        <v/>
      </c>
      <c r="G9" s="16">
        <f>IF(4=0,0,COUNTIF(G5:G8,"✓")/4)</f>
        <v/>
      </c>
      <c r="H9" s="16">
        <f>IF(4=0,0,COUNTIF(H5:H8,"✓")/4)</f>
        <v/>
      </c>
      <c r="I9" s="16">
        <f>IF(4=0,0,COUNTIF(I5:I8,"✓")/4)</f>
        <v/>
      </c>
      <c r="J9" s="16">
        <f>IF(4=0,0,COUNTIF(J5:J8,"✓")/4)</f>
        <v/>
      </c>
      <c r="K9" s="16">
        <f>IF(4=0,0,COUNTIF(K5:K8,"✓")/4)</f>
        <v/>
      </c>
      <c r="L9" s="16">
        <f>C2</f>
        <v/>
      </c>
    </row>
  </sheetData>
  <conditionalFormatting sqref="B5:K8">
    <cfRule type="cellIs" priority="1" operator="equal" dxfId="0">
      <formula>"✓"</formula>
    </cfRule>
  </conditionalFormatting>
  <dataValidations count="1">
    <dataValidation sqref="B5 B6 B7 B8 C5 C6 C7 C8 D5 D6 D7 D8 E5 E6 E7 E8 F5 F6 F7 F8 G5 G6 G7 G8 H5 H6 H7 H8 I5 I6 I7 I8 J5 J6 J7 J8 K5 K6 K7 K8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UKRAINE CORN — build progress</t>
        </is>
      </c>
    </row>
    <row r="2">
      <c r="A2" s="10" t="inlineStr">
        <is>
          <t>Overall:</t>
        </is>
      </c>
      <c r="C2" s="11">
        <f>IF(4=0,0,COUNTIF(B5:K8,"✓")/(4*10))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6" t="inlineStr">
        <is>
          <t>Ethanol / DDGS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8">
        <f>COUNTIF(B8:K8,"✓")/10</f>
        <v/>
      </c>
    </row>
    <row r="9">
      <c r="A9" s="15" t="inlineStr">
        <is>
          <t>TAB TOTAL</t>
        </is>
      </c>
      <c r="B9" s="16">
        <f>IF(4=0,0,COUNTIF(B5:B8,"✓")/4)</f>
        <v/>
      </c>
      <c r="C9" s="16">
        <f>IF(4=0,0,COUNTIF(C5:C8,"✓")/4)</f>
        <v/>
      </c>
      <c r="D9" s="16">
        <f>IF(4=0,0,COUNTIF(D5:D8,"✓")/4)</f>
        <v/>
      </c>
      <c r="E9" s="16">
        <f>IF(4=0,0,COUNTIF(E5:E8,"✓")/4)</f>
        <v/>
      </c>
      <c r="F9" s="16">
        <f>IF(4=0,0,COUNTIF(F5:F8,"✓")/4)</f>
        <v/>
      </c>
      <c r="G9" s="16">
        <f>IF(4=0,0,COUNTIF(G5:G8,"✓")/4)</f>
        <v/>
      </c>
      <c r="H9" s="16">
        <f>IF(4=0,0,COUNTIF(H5:H8,"✓")/4)</f>
        <v/>
      </c>
      <c r="I9" s="16">
        <f>IF(4=0,0,COUNTIF(I5:I8,"✓")/4)</f>
        <v/>
      </c>
      <c r="J9" s="16">
        <f>IF(4=0,0,COUNTIF(J5:J8,"✓")/4)</f>
        <v/>
      </c>
      <c r="K9" s="16">
        <f>IF(4=0,0,COUNTIF(K5:K8,"✓")/4)</f>
        <v/>
      </c>
      <c r="L9" s="16">
        <f>C2</f>
        <v/>
      </c>
    </row>
  </sheetData>
  <conditionalFormatting sqref="B5:K8">
    <cfRule type="cellIs" priority="1" operator="equal" dxfId="0">
      <formula>"✓"</formula>
    </cfRule>
  </conditionalFormatting>
  <dataValidations count="1">
    <dataValidation sqref="B5 B6 B7 B8 C5 C6 C7 C8 D5 D6 D7 D8 E5 E6 E7 E8 F5 F6 F7 F8 G5 G6 G7 G8 H5 H6 H7 H8 I5 I6 I7 I8 J5 J6 J7 J8 K5 K6 K7 K8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CHINA CORN — build progress</t>
        </is>
      </c>
    </row>
    <row r="2">
      <c r="A2" s="10" t="inlineStr">
        <is>
          <t>Overall:</t>
        </is>
      </c>
      <c r="C2" s="11">
        <f>IF(4=0,0,COUNTIF(B5:K8,"✓")/(4*10))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6" t="inlineStr">
        <is>
          <t>Ethanol / DDGS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8">
        <f>COUNTIF(B8:K8,"✓")/10</f>
        <v/>
      </c>
    </row>
    <row r="9">
      <c r="A9" s="15" t="inlineStr">
        <is>
          <t>TAB TOTAL</t>
        </is>
      </c>
      <c r="B9" s="16">
        <f>IF(4=0,0,COUNTIF(B5:B8,"✓")/4)</f>
        <v/>
      </c>
      <c r="C9" s="16">
        <f>IF(4=0,0,COUNTIF(C5:C8,"✓")/4)</f>
        <v/>
      </c>
      <c r="D9" s="16">
        <f>IF(4=0,0,COUNTIF(D5:D8,"✓")/4)</f>
        <v/>
      </c>
      <c r="E9" s="16">
        <f>IF(4=0,0,COUNTIF(E5:E8,"✓")/4)</f>
        <v/>
      </c>
      <c r="F9" s="16">
        <f>IF(4=0,0,COUNTIF(F5:F8,"✓")/4)</f>
        <v/>
      </c>
      <c r="G9" s="16">
        <f>IF(4=0,0,COUNTIF(G5:G8,"✓")/4)</f>
        <v/>
      </c>
      <c r="H9" s="16">
        <f>IF(4=0,0,COUNTIF(H5:H8,"✓")/4)</f>
        <v/>
      </c>
      <c r="I9" s="16">
        <f>IF(4=0,0,COUNTIF(I5:I8,"✓")/4)</f>
        <v/>
      </c>
      <c r="J9" s="16">
        <f>IF(4=0,0,COUNTIF(J5:J8,"✓")/4)</f>
        <v/>
      </c>
      <c r="K9" s="16">
        <f>IF(4=0,0,COUNTIF(K5:K8,"✓")/4)</f>
        <v/>
      </c>
      <c r="L9" s="16">
        <f>C2</f>
        <v/>
      </c>
    </row>
  </sheetData>
  <conditionalFormatting sqref="B5:K8">
    <cfRule type="cellIs" priority="1" operator="equal" dxfId="0">
      <formula>"✓"</formula>
    </cfRule>
  </conditionalFormatting>
  <dataValidations count="1">
    <dataValidation sqref="B5 B6 B7 B8 C5 C6 C7 C8 D5 D6 D7 D8 E5 E6 E7 E8 F5 F6 F7 F8 G5 G6 G7 G8 H5 H6 H7 H8 I5 I6 I7 I8 J5 J6 J7 J8 K5 K6 K7 K8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EUROPE CORN — build progress</t>
        </is>
      </c>
    </row>
    <row r="2">
      <c r="A2" s="10" t="inlineStr">
        <is>
          <t>Overall:</t>
        </is>
      </c>
      <c r="C2" s="11">
        <f>IF(4=0,0,COUNTIF(B5:K8,"✓")/(4*10))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6" t="inlineStr">
        <is>
          <t>Ethanol / DDGS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8">
        <f>COUNTIF(B8:K8,"✓")/10</f>
        <v/>
      </c>
    </row>
    <row r="9">
      <c r="A9" s="15" t="inlineStr">
        <is>
          <t>TAB TOTAL</t>
        </is>
      </c>
      <c r="B9" s="16">
        <f>IF(4=0,0,COUNTIF(B5:B8,"✓")/4)</f>
        <v/>
      </c>
      <c r="C9" s="16">
        <f>IF(4=0,0,COUNTIF(C5:C8,"✓")/4)</f>
        <v/>
      </c>
      <c r="D9" s="16">
        <f>IF(4=0,0,COUNTIF(D5:D8,"✓")/4)</f>
        <v/>
      </c>
      <c r="E9" s="16">
        <f>IF(4=0,0,COUNTIF(E5:E8,"✓")/4)</f>
        <v/>
      </c>
      <c r="F9" s="16">
        <f>IF(4=0,0,COUNTIF(F5:F8,"✓")/4)</f>
        <v/>
      </c>
      <c r="G9" s="16">
        <f>IF(4=0,0,COUNTIF(G5:G8,"✓")/4)</f>
        <v/>
      </c>
      <c r="H9" s="16">
        <f>IF(4=0,0,COUNTIF(H5:H8,"✓")/4)</f>
        <v/>
      </c>
      <c r="I9" s="16">
        <f>IF(4=0,0,COUNTIF(I5:I8,"✓")/4)</f>
        <v/>
      </c>
      <c r="J9" s="16">
        <f>IF(4=0,0,COUNTIF(J5:J8,"✓")/4)</f>
        <v/>
      </c>
      <c r="K9" s="16">
        <f>IF(4=0,0,COUNTIF(K5:K8,"✓")/4)</f>
        <v/>
      </c>
      <c r="L9" s="16">
        <f>C2</f>
        <v/>
      </c>
    </row>
  </sheetData>
  <conditionalFormatting sqref="B5:K8">
    <cfRule type="cellIs" priority="1" operator="equal" dxfId="0">
      <formula>"✓"</formula>
    </cfRule>
  </conditionalFormatting>
  <dataValidations count="1">
    <dataValidation sqref="B5 B6 B7 B8 C5 C6 C7 C8 D5 D6 D7 D8 E5 E6 E7 E8 F5 F6 F7 F8 G5 G6 G7 G8 H5 H6 H7 H8 I5 I6 I7 I8 J5 J6 J7 J8 K5 K6 K7 K8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UNITED STATES SORGHUM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ARGENTINA SORGHUM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EUROPE BARLEY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RUSSIA BARLEY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AUSTRALIA BARLEY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CANADA BARLEY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2026-07-28T13:37:37Z</dcterms:created>
  <dcterms:modified xmlns:dcterms="http://purl.org/dc/terms/" xmlns:xsi="http://www.w3.org/2001/XMLSchema-instance" xsi:type="dcterms:W3CDTF">2026-07-28T13:37:37Z</dcterms:modified>
</cp:coreProperties>
</file>