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DE26B9B5-E322-4F40-AEA9-FD5421E4C160}" xr6:coauthVersionLast="47" xr6:coauthVersionMax="47" xr10:uidLastSave="{00000000-0000-0000-0000-000000000000}"/>
  <bookViews>
    <workbookView xWindow="4110" yWindow="3105" windowWidth="22860" windowHeight="12030" xr2:uid="{13EDD3E0-679F-461C-B059-F1A22B67C697}"/>
  </bookViews>
  <sheets>
    <sheet name="Data Sources" sheetId="1" r:id="rId1"/>
    <sheet name="Capacity" sheetId="2" r:id="rId2"/>
    <sheet name="annual_data" sheetId="3" r:id="rId3"/>
    <sheet name="monthly_data" sheetId="4" r:id="rId4"/>
    <sheet name="BD" sheetId="5" r:id="rId5"/>
    <sheet name="RD" sheetId="6" r:id="rId6"/>
    <sheet name="SAF" sheetId="7" r:id="rId7"/>
    <sheet name="Jet Fuel" sheetId="8" r:id="rId8"/>
    <sheet name="Diesel" sheetId="9" r:id="rId9"/>
  </sheets>
  <externalReferences>
    <externalReference r:id="rId10"/>
    <externalReference r:id="rId11"/>
    <externalReference r:id="rId12"/>
  </externalReferences>
  <definedNames>
    <definedName name="_xlnm.Print_Area" localSheetId="4">BD!$A$2:$I$12</definedName>
    <definedName name="_xlnm.Print_Area" localSheetId="5">RD!$A$2:$I$12</definedName>
    <definedName name="Z_11027877_8754_42DF_AEF4_DF91AFC7E3D7_.wvu.PrintArea" localSheetId="4" hidden="1">BD!$A$1:$F$12</definedName>
    <definedName name="Z_11027877_8754_42DF_AEF4_DF91AFC7E3D7_.wvu.PrintArea" localSheetId="5" hidden="1">RD!$A$1:$F$12</definedName>
    <definedName name="Z_2C7BB91D_B6C7_4C7E_824A_AD371B7FEFAE_.wvu.Cols" localSheetId="4" hidden="1">BD!#REF!</definedName>
    <definedName name="Z_2C7BB91D_B6C7_4C7E_824A_AD371B7FEFAE_.wvu.Cols" localSheetId="5" hidden="1">RD!#REF!</definedName>
    <definedName name="Z_2C7BB91D_B6C7_4C7E_824A_AD371B7FEFAE_.wvu.PrintArea" localSheetId="4" hidden="1">BD!$A$1:$F$12</definedName>
    <definedName name="Z_2C7BB91D_B6C7_4C7E_824A_AD371B7FEFAE_.wvu.PrintArea" localSheetId="5" hidden="1">RD!$A$1:$F$12</definedName>
    <definedName name="Z_3389ABBF_4A47_4E3C_9E30_013DEA936013_.wvu.PrintArea" localSheetId="4" hidden="1">BD!$A$1:$F$12</definedName>
    <definedName name="Z_3389ABBF_4A47_4E3C_9E30_013DEA936013_.wvu.PrintArea" localSheetId="5" hidden="1">RD!$A$1:$F$12</definedName>
    <definedName name="Z_63FD8648_A18A_466A_B152_26B7B5EB5F8A_.wvu.PrintArea" localSheetId="4" hidden="1">BD!$A$1:$F$12</definedName>
    <definedName name="Z_63FD8648_A18A_466A_B152_26B7B5EB5F8A_.wvu.PrintArea" localSheetId="5" hidden="1">RD!$A$1:$F$12</definedName>
    <definedName name="Z_896AD9BE_343E_4241_9567_E97EA3C7D73E_.wvu.PrintArea" localSheetId="4" hidden="1">BD!$A$1:$F$12</definedName>
    <definedName name="Z_896AD9BE_343E_4241_9567_E97EA3C7D73E_.wvu.PrintArea" localSheetId="5" hidden="1">RD!$A$1:$F$12</definedName>
    <definedName name="Z_8F904101_0CD0_4EB8_918C_6C9451EECAE3_.wvu.PrintArea" localSheetId="4" hidden="1">BD!$A$1:$F$12</definedName>
    <definedName name="Z_8F904101_0CD0_4EB8_918C_6C9451EECAE3_.wvu.PrintArea" localSheetId="5" hidden="1">RD!$A$1:$F$12</definedName>
    <definedName name="Z_A9F82761_E541_4BC7_AF39_E754A8EE4364_.wvu.PrintArea" localSheetId="4" hidden="1">BD!$A$1:$F$12</definedName>
    <definedName name="Z_A9F82761_E541_4BC7_AF39_E754A8EE4364_.wvu.PrintArea" localSheetId="5" hidden="1">RD!$A$1:$F$12</definedName>
    <definedName name="Z_BDBF5671_C3A9_474A_BD59_73FB0F340729_.wvu.PrintArea" localSheetId="4" hidden="1">BD!$A$1:$F$12</definedName>
    <definedName name="Z_BDBF5671_C3A9_474A_BD59_73FB0F340729_.wvu.PrintArea" localSheetId="5" hidden="1">RD!$A$1:$F$12</definedName>
    <definedName name="Z_BE7D4983_2668_442B_8E12_AE767275E8F1_.wvu.PrintArea" localSheetId="4" hidden="1">BD!$A$1:$F$12</definedName>
    <definedName name="Z_BE7D4983_2668_442B_8E12_AE767275E8F1_.wvu.PrintArea" localSheetId="5" hidden="1">RD!$A$1:$F$12</definedName>
    <definedName name="Z_F5DE2E4F_A48B_4F36_85E7_0AB7ADB29149_.wvu.PrintArea" localSheetId="4" hidden="1">BD!$A$1:$F$12</definedName>
    <definedName name="Z_F5DE2E4F_A48B_4F36_85E7_0AB7ADB29149_.wvu.PrintArea" localSheetId="5" hidden="1">RD!$A$1:$F$12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9" i="9" l="1"/>
  <c r="J79" i="9"/>
  <c r="I79" i="9"/>
  <c r="H79" i="9"/>
  <c r="G79" i="9"/>
  <c r="F79" i="9"/>
  <c r="E79" i="9"/>
  <c r="D79" i="9"/>
  <c r="C79" i="9"/>
  <c r="B79" i="9"/>
  <c r="K78" i="9"/>
  <c r="J78" i="9"/>
  <c r="I78" i="9"/>
  <c r="H78" i="9"/>
  <c r="G78" i="9"/>
  <c r="F78" i="9"/>
  <c r="E78" i="9"/>
  <c r="D78" i="9"/>
  <c r="C78" i="9"/>
  <c r="B78" i="9"/>
  <c r="K77" i="9"/>
  <c r="J77" i="9"/>
  <c r="I77" i="9"/>
  <c r="H77" i="9"/>
  <c r="G77" i="9"/>
  <c r="F77" i="9"/>
  <c r="E77" i="9"/>
  <c r="D77" i="9"/>
  <c r="C77" i="9"/>
  <c r="B77" i="9"/>
  <c r="K76" i="9"/>
  <c r="J76" i="9"/>
  <c r="I76" i="9"/>
  <c r="H76" i="9"/>
  <c r="G76" i="9"/>
  <c r="F76" i="9"/>
  <c r="E76" i="9"/>
  <c r="D76" i="9"/>
  <c r="C76" i="9"/>
  <c r="B76" i="9"/>
  <c r="K75" i="9"/>
  <c r="J75" i="9"/>
  <c r="I75" i="9"/>
  <c r="H75" i="9"/>
  <c r="G75" i="9"/>
  <c r="F75" i="9"/>
  <c r="E75" i="9"/>
  <c r="D75" i="9"/>
  <c r="C75" i="9"/>
  <c r="B75" i="9"/>
  <c r="K74" i="9"/>
  <c r="J74" i="9"/>
  <c r="I74" i="9"/>
  <c r="H74" i="9"/>
  <c r="G74" i="9"/>
  <c r="F74" i="9"/>
  <c r="E74" i="9"/>
  <c r="D74" i="9"/>
  <c r="C74" i="9"/>
  <c r="B74" i="9"/>
  <c r="K73" i="9"/>
  <c r="J73" i="9"/>
  <c r="I73" i="9"/>
  <c r="H73" i="9"/>
  <c r="G73" i="9"/>
  <c r="F73" i="9"/>
  <c r="E73" i="9"/>
  <c r="D73" i="9"/>
  <c r="C73" i="9"/>
  <c r="B73" i="9"/>
  <c r="K72" i="9"/>
  <c r="J72" i="9"/>
  <c r="I72" i="9"/>
  <c r="H72" i="9"/>
  <c r="G72" i="9"/>
  <c r="F72" i="9"/>
  <c r="F80" i="9" s="1"/>
  <c r="F7" i="9" s="1"/>
  <c r="E72" i="9"/>
  <c r="E80" i="9" s="1"/>
  <c r="E7" i="9" s="1"/>
  <c r="D72" i="9"/>
  <c r="D80" i="9" s="1"/>
  <c r="D7" i="9" s="1"/>
  <c r="C72" i="9"/>
  <c r="B72" i="9"/>
  <c r="K71" i="9"/>
  <c r="J71" i="9"/>
  <c r="I71" i="9"/>
  <c r="H71" i="9"/>
  <c r="G71" i="9"/>
  <c r="F71" i="9"/>
  <c r="E71" i="9"/>
  <c r="D71" i="9"/>
  <c r="C71" i="9"/>
  <c r="B71" i="9"/>
  <c r="K70" i="9"/>
  <c r="J70" i="9"/>
  <c r="I70" i="9"/>
  <c r="H70" i="9"/>
  <c r="G70" i="9"/>
  <c r="F70" i="9"/>
  <c r="E70" i="9"/>
  <c r="D70" i="9"/>
  <c r="C70" i="9"/>
  <c r="B70" i="9"/>
  <c r="L69" i="9"/>
  <c r="K69" i="9"/>
  <c r="J69" i="9"/>
  <c r="I69" i="9"/>
  <c r="H69" i="9"/>
  <c r="G69" i="9"/>
  <c r="F69" i="9"/>
  <c r="E69" i="9"/>
  <c r="D69" i="9"/>
  <c r="C69" i="9"/>
  <c r="B69" i="9"/>
  <c r="L68" i="9"/>
  <c r="K68" i="9"/>
  <c r="J68" i="9"/>
  <c r="I68" i="9"/>
  <c r="H68" i="9"/>
  <c r="G68" i="9"/>
  <c r="F68" i="9"/>
  <c r="E68" i="9"/>
  <c r="D68" i="9"/>
  <c r="C68" i="9"/>
  <c r="B68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J64" i="9"/>
  <c r="J8" i="9" s="1"/>
  <c r="K63" i="9"/>
  <c r="J63" i="9"/>
  <c r="I63" i="9"/>
  <c r="H63" i="9"/>
  <c r="G63" i="9"/>
  <c r="F63" i="9"/>
  <c r="E63" i="9"/>
  <c r="D63" i="9"/>
  <c r="C63" i="9"/>
  <c r="B63" i="9"/>
  <c r="K62" i="9"/>
  <c r="J62" i="9"/>
  <c r="I62" i="9"/>
  <c r="H62" i="9"/>
  <c r="G62" i="9"/>
  <c r="F62" i="9"/>
  <c r="E62" i="9"/>
  <c r="D62" i="9"/>
  <c r="C62" i="9"/>
  <c r="B62" i="9"/>
  <c r="K61" i="9"/>
  <c r="J61" i="9"/>
  <c r="I61" i="9"/>
  <c r="H61" i="9"/>
  <c r="G61" i="9"/>
  <c r="F61" i="9"/>
  <c r="E61" i="9"/>
  <c r="D61" i="9"/>
  <c r="C61" i="9"/>
  <c r="B61" i="9"/>
  <c r="K60" i="9"/>
  <c r="J60" i="9"/>
  <c r="I60" i="9"/>
  <c r="H60" i="9"/>
  <c r="G60" i="9"/>
  <c r="F60" i="9"/>
  <c r="E60" i="9"/>
  <c r="D60" i="9"/>
  <c r="C60" i="9"/>
  <c r="B60" i="9"/>
  <c r="K59" i="9"/>
  <c r="J59" i="9"/>
  <c r="I59" i="9"/>
  <c r="H59" i="9"/>
  <c r="G59" i="9"/>
  <c r="F59" i="9"/>
  <c r="E59" i="9"/>
  <c r="D59" i="9"/>
  <c r="C59" i="9"/>
  <c r="B59" i="9"/>
  <c r="K58" i="9"/>
  <c r="J58" i="9"/>
  <c r="I58" i="9"/>
  <c r="H58" i="9"/>
  <c r="G58" i="9"/>
  <c r="F58" i="9"/>
  <c r="E58" i="9"/>
  <c r="D58" i="9"/>
  <c r="C58" i="9"/>
  <c r="B58" i="9"/>
  <c r="K57" i="9"/>
  <c r="J57" i="9"/>
  <c r="I57" i="9"/>
  <c r="H57" i="9"/>
  <c r="G57" i="9"/>
  <c r="F57" i="9"/>
  <c r="E57" i="9"/>
  <c r="D57" i="9"/>
  <c r="C57" i="9"/>
  <c r="B57" i="9"/>
  <c r="K56" i="9"/>
  <c r="J56" i="9"/>
  <c r="I56" i="9"/>
  <c r="H56" i="9"/>
  <c r="G56" i="9"/>
  <c r="F56" i="9"/>
  <c r="E56" i="9"/>
  <c r="D56" i="9"/>
  <c r="C56" i="9"/>
  <c r="B56" i="9"/>
  <c r="K55" i="9"/>
  <c r="J55" i="9"/>
  <c r="I55" i="9"/>
  <c r="H55" i="9"/>
  <c r="G55" i="9"/>
  <c r="F55" i="9"/>
  <c r="E55" i="9"/>
  <c r="D55" i="9"/>
  <c r="C55" i="9"/>
  <c r="B55" i="9"/>
  <c r="K54" i="9"/>
  <c r="J54" i="9"/>
  <c r="I54" i="9"/>
  <c r="H54" i="9"/>
  <c r="G54" i="9"/>
  <c r="F54" i="9"/>
  <c r="E54" i="9"/>
  <c r="D54" i="9"/>
  <c r="C54" i="9"/>
  <c r="B54" i="9"/>
  <c r="L53" i="9"/>
  <c r="K53" i="9"/>
  <c r="K64" i="9" s="1"/>
  <c r="K8" i="9" s="1"/>
  <c r="J53" i="9"/>
  <c r="I53" i="9"/>
  <c r="H53" i="9"/>
  <c r="G53" i="9"/>
  <c r="F53" i="9"/>
  <c r="E53" i="9"/>
  <c r="D53" i="9"/>
  <c r="C53" i="9"/>
  <c r="B53" i="9"/>
  <c r="L52" i="9"/>
  <c r="K52" i="9"/>
  <c r="J52" i="9"/>
  <c r="I52" i="9"/>
  <c r="I64" i="9" s="1"/>
  <c r="H52" i="9"/>
  <c r="G52" i="9"/>
  <c r="F52" i="9"/>
  <c r="E52" i="9"/>
  <c r="E64" i="9" s="1"/>
  <c r="E8" i="9" s="1"/>
  <c r="D52" i="9"/>
  <c r="D64" i="9" s="1"/>
  <c r="D8" i="9" s="1"/>
  <c r="C52" i="9"/>
  <c r="C64" i="9" s="1"/>
  <c r="C8" i="9" s="1"/>
  <c r="B52" i="9"/>
  <c r="V51" i="9"/>
  <c r="U51" i="9"/>
  <c r="G51" i="9"/>
  <c r="F51" i="9"/>
  <c r="E51" i="9"/>
  <c r="D51" i="9"/>
  <c r="C51" i="9"/>
  <c r="B51" i="9"/>
  <c r="K47" i="9"/>
  <c r="J47" i="9"/>
  <c r="I47" i="9"/>
  <c r="H47" i="9"/>
  <c r="G47" i="9"/>
  <c r="F47" i="9"/>
  <c r="E47" i="9"/>
  <c r="D47" i="9"/>
  <c r="C47" i="9"/>
  <c r="B47" i="9"/>
  <c r="K46" i="9"/>
  <c r="J46" i="9"/>
  <c r="I46" i="9"/>
  <c r="H46" i="9"/>
  <c r="G46" i="9"/>
  <c r="F46" i="9"/>
  <c r="E46" i="9"/>
  <c r="D46" i="9"/>
  <c r="C46" i="9"/>
  <c r="B46" i="9"/>
  <c r="K45" i="9"/>
  <c r="J45" i="9"/>
  <c r="I45" i="9"/>
  <c r="H45" i="9"/>
  <c r="G45" i="9"/>
  <c r="F45" i="9"/>
  <c r="E45" i="9"/>
  <c r="D45" i="9"/>
  <c r="C45" i="9"/>
  <c r="B45" i="9"/>
  <c r="K44" i="9"/>
  <c r="J44" i="9"/>
  <c r="I44" i="9"/>
  <c r="H44" i="9"/>
  <c r="G44" i="9"/>
  <c r="F44" i="9"/>
  <c r="E44" i="9"/>
  <c r="D44" i="9"/>
  <c r="C44" i="9"/>
  <c r="B44" i="9"/>
  <c r="K43" i="9"/>
  <c r="J43" i="9"/>
  <c r="I43" i="9"/>
  <c r="H43" i="9"/>
  <c r="G43" i="9"/>
  <c r="F43" i="9"/>
  <c r="E43" i="9"/>
  <c r="D43" i="9"/>
  <c r="C43" i="9"/>
  <c r="B43" i="9"/>
  <c r="K42" i="9"/>
  <c r="J42" i="9"/>
  <c r="I42" i="9"/>
  <c r="H42" i="9"/>
  <c r="G42" i="9"/>
  <c r="F42" i="9"/>
  <c r="E42" i="9"/>
  <c r="D42" i="9"/>
  <c r="D48" i="9" s="1"/>
  <c r="C42" i="9"/>
  <c r="B42" i="9"/>
  <c r="K41" i="9"/>
  <c r="J41" i="9"/>
  <c r="J48" i="9" s="1"/>
  <c r="J5" i="9" s="1"/>
  <c r="I41" i="9"/>
  <c r="H41" i="9"/>
  <c r="G41" i="9"/>
  <c r="F41" i="9"/>
  <c r="E41" i="9"/>
  <c r="D41" i="9"/>
  <c r="C41" i="9"/>
  <c r="B41" i="9"/>
  <c r="K40" i="9"/>
  <c r="J40" i="9"/>
  <c r="I40" i="9"/>
  <c r="H40" i="9"/>
  <c r="G40" i="9"/>
  <c r="F40" i="9"/>
  <c r="E40" i="9"/>
  <c r="D40" i="9"/>
  <c r="C40" i="9"/>
  <c r="B40" i="9"/>
  <c r="K39" i="9"/>
  <c r="J39" i="9"/>
  <c r="I39" i="9"/>
  <c r="H39" i="9"/>
  <c r="G39" i="9"/>
  <c r="F39" i="9"/>
  <c r="E39" i="9"/>
  <c r="D39" i="9"/>
  <c r="C39" i="9"/>
  <c r="B39" i="9"/>
  <c r="K38" i="9"/>
  <c r="J38" i="9"/>
  <c r="I38" i="9"/>
  <c r="H38" i="9"/>
  <c r="G38" i="9"/>
  <c r="F38" i="9"/>
  <c r="E38" i="9"/>
  <c r="D38" i="9"/>
  <c r="C38" i="9"/>
  <c r="B38" i="9"/>
  <c r="L37" i="9"/>
  <c r="K37" i="9"/>
  <c r="J37" i="9"/>
  <c r="I37" i="9"/>
  <c r="H37" i="9"/>
  <c r="G37" i="9"/>
  <c r="F37" i="9"/>
  <c r="E37" i="9"/>
  <c r="D37" i="9"/>
  <c r="C37" i="9"/>
  <c r="B37" i="9"/>
  <c r="L36" i="9"/>
  <c r="K36" i="9"/>
  <c r="K48" i="9" s="1"/>
  <c r="K5" i="9" s="1"/>
  <c r="J36" i="9"/>
  <c r="I36" i="9"/>
  <c r="I48" i="9" s="1"/>
  <c r="I5" i="9" s="1"/>
  <c r="H36" i="9"/>
  <c r="G36" i="9"/>
  <c r="F36" i="9"/>
  <c r="E36" i="9"/>
  <c r="D36" i="9"/>
  <c r="C36" i="9"/>
  <c r="B36" i="9"/>
  <c r="V35" i="9"/>
  <c r="U35" i="9"/>
  <c r="T35" i="9"/>
  <c r="T51" i="9" s="1"/>
  <c r="S35" i="9"/>
  <c r="S51" i="9" s="1"/>
  <c r="R35" i="9"/>
  <c r="R51" i="9" s="1"/>
  <c r="Q35" i="9"/>
  <c r="Q51" i="9" s="1"/>
  <c r="P35" i="9"/>
  <c r="P51" i="9" s="1"/>
  <c r="O35" i="9"/>
  <c r="O51" i="9" s="1"/>
  <c r="N35" i="9"/>
  <c r="N51" i="9" s="1"/>
  <c r="M35" i="9"/>
  <c r="M51" i="9" s="1"/>
  <c r="L35" i="9"/>
  <c r="L51" i="9" s="1"/>
  <c r="K35" i="9"/>
  <c r="K51" i="9" s="1"/>
  <c r="J35" i="9"/>
  <c r="J51" i="9" s="1"/>
  <c r="I35" i="9"/>
  <c r="I51" i="9" s="1"/>
  <c r="H35" i="9"/>
  <c r="H51" i="9" s="1"/>
  <c r="G35" i="9"/>
  <c r="F35" i="9"/>
  <c r="E35" i="9"/>
  <c r="D35" i="9"/>
  <c r="C35" i="9"/>
  <c r="B35" i="9"/>
  <c r="K31" i="9"/>
  <c r="J31" i="9"/>
  <c r="I31" i="9"/>
  <c r="H31" i="9"/>
  <c r="G31" i="9"/>
  <c r="F31" i="9"/>
  <c r="E31" i="9"/>
  <c r="D31" i="9"/>
  <c r="C31" i="9"/>
  <c r="B31" i="9"/>
  <c r="K30" i="9"/>
  <c r="J30" i="9"/>
  <c r="I30" i="9"/>
  <c r="H30" i="9"/>
  <c r="G30" i="9"/>
  <c r="F30" i="9"/>
  <c r="E30" i="9"/>
  <c r="D30" i="9"/>
  <c r="C30" i="9"/>
  <c r="B30" i="9"/>
  <c r="K29" i="9"/>
  <c r="J29" i="9"/>
  <c r="I29" i="9"/>
  <c r="H29" i="9"/>
  <c r="G29" i="9"/>
  <c r="F29" i="9"/>
  <c r="E29" i="9"/>
  <c r="D29" i="9"/>
  <c r="C29" i="9"/>
  <c r="B29" i="9"/>
  <c r="K28" i="9"/>
  <c r="J28" i="9"/>
  <c r="I28" i="9"/>
  <c r="H28" i="9"/>
  <c r="G28" i="9"/>
  <c r="F28" i="9"/>
  <c r="E28" i="9"/>
  <c r="D28" i="9"/>
  <c r="C28" i="9"/>
  <c r="B28" i="9"/>
  <c r="K27" i="9"/>
  <c r="J27" i="9"/>
  <c r="I27" i="9"/>
  <c r="H27" i="9"/>
  <c r="G27" i="9"/>
  <c r="F27" i="9"/>
  <c r="E27" i="9"/>
  <c r="D27" i="9"/>
  <c r="C27" i="9"/>
  <c r="B27" i="9"/>
  <c r="K26" i="9"/>
  <c r="J26" i="9"/>
  <c r="I26" i="9"/>
  <c r="H26" i="9"/>
  <c r="G26" i="9"/>
  <c r="F26" i="9"/>
  <c r="E26" i="9"/>
  <c r="D26" i="9"/>
  <c r="C26" i="9"/>
  <c r="B26" i="9"/>
  <c r="K25" i="9"/>
  <c r="J25" i="9"/>
  <c r="I25" i="9"/>
  <c r="H25" i="9"/>
  <c r="G25" i="9"/>
  <c r="F25" i="9"/>
  <c r="E25" i="9"/>
  <c r="D25" i="9"/>
  <c r="C25" i="9"/>
  <c r="B25" i="9"/>
  <c r="K24" i="9"/>
  <c r="J24" i="9"/>
  <c r="I24" i="9"/>
  <c r="H24" i="9"/>
  <c r="G24" i="9"/>
  <c r="F24" i="9"/>
  <c r="E24" i="9"/>
  <c r="D24" i="9"/>
  <c r="C24" i="9"/>
  <c r="B24" i="9"/>
  <c r="K23" i="9"/>
  <c r="J23" i="9"/>
  <c r="I23" i="9"/>
  <c r="H23" i="9"/>
  <c r="G23" i="9"/>
  <c r="F23" i="9"/>
  <c r="E23" i="9"/>
  <c r="D23" i="9"/>
  <c r="C23" i="9"/>
  <c r="B23" i="9"/>
  <c r="K22" i="9"/>
  <c r="J22" i="9"/>
  <c r="I22" i="9"/>
  <c r="H22" i="9"/>
  <c r="G22" i="9"/>
  <c r="F22" i="9"/>
  <c r="E22" i="9"/>
  <c r="D22" i="9"/>
  <c r="C22" i="9"/>
  <c r="B22" i="9"/>
  <c r="L21" i="9"/>
  <c r="K21" i="9"/>
  <c r="J21" i="9"/>
  <c r="I21" i="9"/>
  <c r="H21" i="9"/>
  <c r="G21" i="9"/>
  <c r="F21" i="9"/>
  <c r="E21" i="9"/>
  <c r="D21" i="9"/>
  <c r="C21" i="9"/>
  <c r="B21" i="9"/>
  <c r="L20" i="9"/>
  <c r="K20" i="9"/>
  <c r="J20" i="9"/>
  <c r="I20" i="9"/>
  <c r="H20" i="9"/>
  <c r="G20" i="9"/>
  <c r="F20" i="9"/>
  <c r="E20" i="9"/>
  <c r="D20" i="9"/>
  <c r="C20" i="9"/>
  <c r="B20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I8" i="9"/>
  <c r="D5" i="9"/>
  <c r="F128" i="8"/>
  <c r="D128" i="8"/>
  <c r="C128" i="8"/>
  <c r="B128" i="8"/>
  <c r="K127" i="8"/>
  <c r="J127" i="8"/>
  <c r="I127" i="8"/>
  <c r="H127" i="8"/>
  <c r="G127" i="8"/>
  <c r="F127" i="8"/>
  <c r="E127" i="8"/>
  <c r="D127" i="8"/>
  <c r="C127" i="8"/>
  <c r="B127" i="8"/>
  <c r="K126" i="8"/>
  <c r="J126" i="8"/>
  <c r="I126" i="8"/>
  <c r="H126" i="8"/>
  <c r="G126" i="8"/>
  <c r="F126" i="8"/>
  <c r="E126" i="8"/>
  <c r="D126" i="8"/>
  <c r="C126" i="8"/>
  <c r="B126" i="8"/>
  <c r="K125" i="8"/>
  <c r="J125" i="8"/>
  <c r="I125" i="8"/>
  <c r="H125" i="8"/>
  <c r="G125" i="8"/>
  <c r="F125" i="8"/>
  <c r="E125" i="8"/>
  <c r="D125" i="8"/>
  <c r="C125" i="8"/>
  <c r="B125" i="8"/>
  <c r="K124" i="8"/>
  <c r="J124" i="8"/>
  <c r="I124" i="8"/>
  <c r="H124" i="8"/>
  <c r="G124" i="8"/>
  <c r="F124" i="8"/>
  <c r="E124" i="8"/>
  <c r="D124" i="8"/>
  <c r="C124" i="8"/>
  <c r="B124" i="8"/>
  <c r="K123" i="8"/>
  <c r="J123" i="8"/>
  <c r="I123" i="8"/>
  <c r="H123" i="8"/>
  <c r="G123" i="8"/>
  <c r="F123" i="8"/>
  <c r="E123" i="8"/>
  <c r="D123" i="8"/>
  <c r="C123" i="8"/>
  <c r="B123" i="8"/>
  <c r="K122" i="8"/>
  <c r="J122" i="8"/>
  <c r="I122" i="8"/>
  <c r="H122" i="8"/>
  <c r="G122" i="8"/>
  <c r="F122" i="8"/>
  <c r="E122" i="8"/>
  <c r="D122" i="8"/>
  <c r="C122" i="8"/>
  <c r="B122" i="8"/>
  <c r="K121" i="8"/>
  <c r="J121" i="8"/>
  <c r="I121" i="8"/>
  <c r="H121" i="8"/>
  <c r="G121" i="8"/>
  <c r="F121" i="8"/>
  <c r="E121" i="8"/>
  <c r="D121" i="8"/>
  <c r="C121" i="8"/>
  <c r="B121" i="8"/>
  <c r="K120" i="8"/>
  <c r="J120" i="8"/>
  <c r="I120" i="8"/>
  <c r="H120" i="8"/>
  <c r="G120" i="8"/>
  <c r="F120" i="8"/>
  <c r="E120" i="8"/>
  <c r="D120" i="8"/>
  <c r="C120" i="8"/>
  <c r="B120" i="8"/>
  <c r="K119" i="8"/>
  <c r="J119" i="8"/>
  <c r="I119" i="8"/>
  <c r="H119" i="8"/>
  <c r="G119" i="8"/>
  <c r="F119" i="8"/>
  <c r="E119" i="8"/>
  <c r="D119" i="8"/>
  <c r="C119" i="8"/>
  <c r="B119" i="8"/>
  <c r="K118" i="8"/>
  <c r="J118" i="8"/>
  <c r="I118" i="8"/>
  <c r="H118" i="8"/>
  <c r="G118" i="8"/>
  <c r="F118" i="8"/>
  <c r="E118" i="8"/>
  <c r="D118" i="8"/>
  <c r="C118" i="8"/>
  <c r="B118" i="8"/>
  <c r="L117" i="8"/>
  <c r="K117" i="8"/>
  <c r="J117" i="8"/>
  <c r="I117" i="8"/>
  <c r="H117" i="8"/>
  <c r="G117" i="8"/>
  <c r="F117" i="8"/>
  <c r="E117" i="8"/>
  <c r="D117" i="8"/>
  <c r="C117" i="8"/>
  <c r="B117" i="8"/>
  <c r="L116" i="8"/>
  <c r="K116" i="8"/>
  <c r="J116" i="8"/>
  <c r="I116" i="8"/>
  <c r="H116" i="8"/>
  <c r="G116" i="8"/>
  <c r="F116" i="8"/>
  <c r="E116" i="8"/>
  <c r="D116" i="8"/>
  <c r="C116" i="8"/>
  <c r="B116" i="8"/>
  <c r="C113" i="8"/>
  <c r="K111" i="8"/>
  <c r="K114" i="8" s="1"/>
  <c r="J111" i="8"/>
  <c r="I111" i="8"/>
  <c r="H111" i="8"/>
  <c r="G111" i="8"/>
  <c r="F111" i="8"/>
  <c r="E111" i="8"/>
  <c r="D111" i="8"/>
  <c r="D113" i="8" s="1"/>
  <c r="C111" i="8"/>
  <c r="B111" i="8"/>
  <c r="AK98" i="8"/>
  <c r="AJ98" i="8"/>
  <c r="AI98" i="8"/>
  <c r="AH98" i="8"/>
  <c r="AG98" i="8"/>
  <c r="AF98" i="8"/>
  <c r="AE98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K96" i="8"/>
  <c r="J96" i="8"/>
  <c r="H96" i="8"/>
  <c r="I95" i="8"/>
  <c r="H95" i="8"/>
  <c r="G95" i="8"/>
  <c r="I93" i="8"/>
  <c r="H93" i="8"/>
  <c r="K92" i="8"/>
  <c r="D92" i="8"/>
  <c r="D77" i="8" s="1"/>
  <c r="C92" i="8"/>
  <c r="B92" i="8"/>
  <c r="D90" i="8"/>
  <c r="D75" i="8" s="1"/>
  <c r="B90" i="8"/>
  <c r="J88" i="8"/>
  <c r="H88" i="8"/>
  <c r="F88" i="8"/>
  <c r="E88" i="8"/>
  <c r="D88" i="8"/>
  <c r="K87" i="8"/>
  <c r="B87" i="8"/>
  <c r="B72" i="8" s="1"/>
  <c r="D85" i="8"/>
  <c r="C85" i="8"/>
  <c r="B85" i="8"/>
  <c r="AK83" i="8"/>
  <c r="AJ83" i="8"/>
  <c r="AI83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I76" i="8"/>
  <c r="G76" i="8"/>
  <c r="B75" i="8"/>
  <c r="H74" i="8"/>
  <c r="C69" i="8"/>
  <c r="B69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K64" i="8"/>
  <c r="J64" i="8"/>
  <c r="I64" i="8"/>
  <c r="I8" i="8" s="1"/>
  <c r="K63" i="8"/>
  <c r="J63" i="8"/>
  <c r="I63" i="8"/>
  <c r="H63" i="8"/>
  <c r="G63" i="8"/>
  <c r="F63" i="8"/>
  <c r="E63" i="8"/>
  <c r="D63" i="8"/>
  <c r="C63" i="8"/>
  <c r="B63" i="8"/>
  <c r="K62" i="8"/>
  <c r="J62" i="8"/>
  <c r="I62" i="8"/>
  <c r="H62" i="8"/>
  <c r="G62" i="8"/>
  <c r="F62" i="8"/>
  <c r="E62" i="8"/>
  <c r="D62" i="8"/>
  <c r="C62" i="8"/>
  <c r="B62" i="8"/>
  <c r="K61" i="8"/>
  <c r="J61" i="8"/>
  <c r="I61" i="8"/>
  <c r="H61" i="8"/>
  <c r="H64" i="8" s="1"/>
  <c r="H8" i="8" s="1"/>
  <c r="G61" i="8"/>
  <c r="F61" i="8"/>
  <c r="E61" i="8"/>
  <c r="D61" i="8"/>
  <c r="C61" i="8"/>
  <c r="B61" i="8"/>
  <c r="K60" i="8"/>
  <c r="J60" i="8"/>
  <c r="I60" i="8"/>
  <c r="H60" i="8"/>
  <c r="G60" i="8"/>
  <c r="F60" i="8"/>
  <c r="E60" i="8"/>
  <c r="D60" i="8"/>
  <c r="C60" i="8"/>
  <c r="B60" i="8"/>
  <c r="K59" i="8"/>
  <c r="J59" i="8"/>
  <c r="I59" i="8"/>
  <c r="H59" i="8"/>
  <c r="G59" i="8"/>
  <c r="F59" i="8"/>
  <c r="E59" i="8"/>
  <c r="D59" i="8"/>
  <c r="C59" i="8"/>
  <c r="B59" i="8"/>
  <c r="K58" i="8"/>
  <c r="J58" i="8"/>
  <c r="I58" i="8"/>
  <c r="H58" i="8"/>
  <c r="G58" i="8"/>
  <c r="F58" i="8"/>
  <c r="E58" i="8"/>
  <c r="D58" i="8"/>
  <c r="C58" i="8"/>
  <c r="B58" i="8"/>
  <c r="K57" i="8"/>
  <c r="J57" i="8"/>
  <c r="I57" i="8"/>
  <c r="H57" i="8"/>
  <c r="G57" i="8"/>
  <c r="F57" i="8"/>
  <c r="E57" i="8"/>
  <c r="D57" i="8"/>
  <c r="C57" i="8"/>
  <c r="B57" i="8"/>
  <c r="K56" i="8"/>
  <c r="J56" i="8"/>
  <c r="I56" i="8"/>
  <c r="H56" i="8"/>
  <c r="G56" i="8"/>
  <c r="F56" i="8"/>
  <c r="E56" i="8"/>
  <c r="D56" i="8"/>
  <c r="C56" i="8"/>
  <c r="B56" i="8"/>
  <c r="K55" i="8"/>
  <c r="J55" i="8"/>
  <c r="I55" i="8"/>
  <c r="H55" i="8"/>
  <c r="G55" i="8"/>
  <c r="F55" i="8"/>
  <c r="E55" i="8"/>
  <c r="D55" i="8"/>
  <c r="C55" i="8"/>
  <c r="B55" i="8"/>
  <c r="K54" i="8"/>
  <c r="J54" i="8"/>
  <c r="I54" i="8"/>
  <c r="H54" i="8"/>
  <c r="G54" i="8"/>
  <c r="F54" i="8"/>
  <c r="E54" i="8"/>
  <c r="D54" i="8"/>
  <c r="C54" i="8"/>
  <c r="B54" i="8"/>
  <c r="L53" i="8"/>
  <c r="K53" i="8"/>
  <c r="J53" i="8"/>
  <c r="I53" i="8"/>
  <c r="H53" i="8"/>
  <c r="G53" i="8"/>
  <c r="F53" i="8"/>
  <c r="E53" i="8"/>
  <c r="D53" i="8"/>
  <c r="C53" i="8"/>
  <c r="B53" i="8"/>
  <c r="L52" i="8"/>
  <c r="K52" i="8"/>
  <c r="J52" i="8"/>
  <c r="I52" i="8"/>
  <c r="H52" i="8"/>
  <c r="G52" i="8"/>
  <c r="F52" i="8"/>
  <c r="E52" i="8"/>
  <c r="D52" i="8"/>
  <c r="D64" i="8" s="1"/>
  <c r="D8" i="8" s="1"/>
  <c r="C52" i="8"/>
  <c r="B52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K47" i="8"/>
  <c r="J47" i="8"/>
  <c r="I47" i="8"/>
  <c r="H47" i="8"/>
  <c r="G47" i="8"/>
  <c r="F47" i="8"/>
  <c r="E47" i="8"/>
  <c r="D47" i="8"/>
  <c r="C47" i="8"/>
  <c r="B47" i="8"/>
  <c r="K46" i="8"/>
  <c r="J46" i="8"/>
  <c r="I46" i="8"/>
  <c r="H46" i="8"/>
  <c r="G46" i="8"/>
  <c r="F46" i="8"/>
  <c r="E46" i="8"/>
  <c r="D46" i="8"/>
  <c r="C46" i="8"/>
  <c r="B46" i="8"/>
  <c r="K45" i="8"/>
  <c r="J45" i="8"/>
  <c r="J77" i="8" s="1"/>
  <c r="I45" i="8"/>
  <c r="I77" i="8" s="1"/>
  <c r="H45" i="8"/>
  <c r="G45" i="8"/>
  <c r="F45" i="8"/>
  <c r="E45" i="8"/>
  <c r="D45" i="8"/>
  <c r="C45" i="8"/>
  <c r="B45" i="8"/>
  <c r="K44" i="8"/>
  <c r="J44" i="8"/>
  <c r="I44" i="8"/>
  <c r="H44" i="8"/>
  <c r="G44" i="8"/>
  <c r="F44" i="8"/>
  <c r="E44" i="8"/>
  <c r="D44" i="8"/>
  <c r="C44" i="8"/>
  <c r="B44" i="8"/>
  <c r="K43" i="8"/>
  <c r="K75" i="8" s="1"/>
  <c r="J43" i="8"/>
  <c r="I43" i="8"/>
  <c r="H43" i="8"/>
  <c r="G43" i="8"/>
  <c r="F43" i="8"/>
  <c r="E43" i="8"/>
  <c r="D43" i="8"/>
  <c r="C43" i="8"/>
  <c r="B43" i="8"/>
  <c r="K42" i="8"/>
  <c r="J42" i="8"/>
  <c r="I42" i="8"/>
  <c r="H42" i="8"/>
  <c r="G42" i="8"/>
  <c r="F42" i="8"/>
  <c r="E42" i="8"/>
  <c r="D42" i="8"/>
  <c r="C42" i="8"/>
  <c r="B42" i="8"/>
  <c r="K41" i="8"/>
  <c r="J41" i="8"/>
  <c r="I41" i="8"/>
  <c r="H41" i="8"/>
  <c r="G41" i="8"/>
  <c r="F41" i="8"/>
  <c r="E41" i="8"/>
  <c r="D41" i="8"/>
  <c r="C41" i="8"/>
  <c r="B41" i="8"/>
  <c r="K40" i="8"/>
  <c r="J40" i="8"/>
  <c r="I40" i="8"/>
  <c r="H40" i="8"/>
  <c r="G40" i="8"/>
  <c r="F40" i="8"/>
  <c r="E40" i="8"/>
  <c r="D40" i="8"/>
  <c r="C40" i="8"/>
  <c r="B40" i="8"/>
  <c r="K39" i="8"/>
  <c r="J39" i="8"/>
  <c r="I39" i="8"/>
  <c r="H39" i="8"/>
  <c r="G39" i="8"/>
  <c r="F39" i="8"/>
  <c r="E39" i="8"/>
  <c r="D39" i="8"/>
  <c r="C39" i="8"/>
  <c r="B39" i="8"/>
  <c r="K38" i="8"/>
  <c r="J38" i="8"/>
  <c r="I38" i="8"/>
  <c r="H38" i="8"/>
  <c r="G38" i="8"/>
  <c r="F38" i="8"/>
  <c r="E38" i="8"/>
  <c r="D38" i="8"/>
  <c r="C38" i="8"/>
  <c r="B38" i="8"/>
  <c r="L37" i="8"/>
  <c r="K37" i="8"/>
  <c r="J37" i="8"/>
  <c r="I37" i="8"/>
  <c r="H37" i="8"/>
  <c r="G37" i="8"/>
  <c r="F37" i="8"/>
  <c r="E37" i="8"/>
  <c r="D37" i="8"/>
  <c r="C37" i="8"/>
  <c r="B37" i="8"/>
  <c r="L36" i="8"/>
  <c r="K36" i="8"/>
  <c r="J36" i="8"/>
  <c r="I36" i="8"/>
  <c r="I48" i="8" s="1"/>
  <c r="H36" i="8"/>
  <c r="H48" i="8" s="1"/>
  <c r="H5" i="8" s="1"/>
  <c r="G36" i="8"/>
  <c r="G48" i="8" s="1"/>
  <c r="G5" i="8" s="1"/>
  <c r="F36" i="8"/>
  <c r="E36" i="8"/>
  <c r="D36" i="8"/>
  <c r="C36" i="8"/>
  <c r="B36" i="8"/>
  <c r="B48" i="8" s="1"/>
  <c r="B5" i="8" s="1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K31" i="8"/>
  <c r="K95" i="8" s="1"/>
  <c r="J31" i="8"/>
  <c r="J95" i="8" s="1"/>
  <c r="I31" i="8"/>
  <c r="H31" i="8"/>
  <c r="G31" i="8"/>
  <c r="F31" i="8"/>
  <c r="F95" i="8" s="1"/>
  <c r="E31" i="8"/>
  <c r="E95" i="8" s="1"/>
  <c r="D31" i="8"/>
  <c r="D95" i="8" s="1"/>
  <c r="C31" i="8"/>
  <c r="C95" i="8" s="1"/>
  <c r="B31" i="8"/>
  <c r="B95" i="8" s="1"/>
  <c r="K30" i="8"/>
  <c r="K94" i="8" s="1"/>
  <c r="K79" i="8" s="1"/>
  <c r="J30" i="8"/>
  <c r="J94" i="8" s="1"/>
  <c r="J79" i="8" s="1"/>
  <c r="I30" i="8"/>
  <c r="I94" i="8" s="1"/>
  <c r="I79" i="8" s="1"/>
  <c r="H30" i="8"/>
  <c r="H94" i="8" s="1"/>
  <c r="H79" i="8" s="1"/>
  <c r="G30" i="8"/>
  <c r="G94" i="8" s="1"/>
  <c r="F30" i="8"/>
  <c r="F94" i="8" s="1"/>
  <c r="E30" i="8"/>
  <c r="E94" i="8" s="1"/>
  <c r="D30" i="8"/>
  <c r="D94" i="8" s="1"/>
  <c r="C30" i="8"/>
  <c r="C94" i="8" s="1"/>
  <c r="B30" i="8"/>
  <c r="B94" i="8" s="1"/>
  <c r="K29" i="8"/>
  <c r="K93" i="8" s="1"/>
  <c r="J29" i="8"/>
  <c r="J93" i="8" s="1"/>
  <c r="I29" i="8"/>
  <c r="H29" i="8"/>
  <c r="G29" i="8"/>
  <c r="G93" i="8" s="1"/>
  <c r="F29" i="8"/>
  <c r="F93" i="8" s="1"/>
  <c r="E29" i="8"/>
  <c r="E93" i="8" s="1"/>
  <c r="D29" i="8"/>
  <c r="D93" i="8" s="1"/>
  <c r="D78" i="8" s="1"/>
  <c r="C29" i="8"/>
  <c r="C93" i="8" s="1"/>
  <c r="C78" i="8" s="1"/>
  <c r="B29" i="8"/>
  <c r="B93" i="8" s="1"/>
  <c r="B78" i="8" s="1"/>
  <c r="K28" i="8"/>
  <c r="J28" i="8"/>
  <c r="J92" i="8" s="1"/>
  <c r="I28" i="8"/>
  <c r="I92" i="8" s="1"/>
  <c r="H28" i="8"/>
  <c r="G28" i="8"/>
  <c r="G92" i="8" s="1"/>
  <c r="F28" i="8"/>
  <c r="F92" i="8" s="1"/>
  <c r="E28" i="8"/>
  <c r="E92" i="8" s="1"/>
  <c r="E77" i="8" s="1"/>
  <c r="D28" i="8"/>
  <c r="C28" i="8"/>
  <c r="B28" i="8"/>
  <c r="K27" i="8"/>
  <c r="K91" i="8" s="1"/>
  <c r="J27" i="8"/>
  <c r="J91" i="8" s="1"/>
  <c r="I27" i="8"/>
  <c r="I91" i="8" s="1"/>
  <c r="H27" i="8"/>
  <c r="H91" i="8" s="1"/>
  <c r="G27" i="8"/>
  <c r="G91" i="8" s="1"/>
  <c r="F27" i="8"/>
  <c r="F91" i="8" s="1"/>
  <c r="E27" i="8"/>
  <c r="E91" i="8" s="1"/>
  <c r="D27" i="8"/>
  <c r="D91" i="8" s="1"/>
  <c r="C27" i="8"/>
  <c r="C91" i="8" s="1"/>
  <c r="B27" i="8"/>
  <c r="B91" i="8" s="1"/>
  <c r="K26" i="8"/>
  <c r="K90" i="8" s="1"/>
  <c r="J26" i="8"/>
  <c r="J90" i="8" s="1"/>
  <c r="I26" i="8"/>
  <c r="I90" i="8" s="1"/>
  <c r="H26" i="8"/>
  <c r="H90" i="8" s="1"/>
  <c r="H75" i="8" s="1"/>
  <c r="G26" i="8"/>
  <c r="G90" i="8" s="1"/>
  <c r="G75" i="8" s="1"/>
  <c r="F26" i="8"/>
  <c r="F90" i="8" s="1"/>
  <c r="F75" i="8" s="1"/>
  <c r="E26" i="8"/>
  <c r="E90" i="8" s="1"/>
  <c r="E75" i="8" s="1"/>
  <c r="D26" i="8"/>
  <c r="C26" i="8"/>
  <c r="C90" i="8" s="1"/>
  <c r="C75" i="8" s="1"/>
  <c r="B26" i="8"/>
  <c r="K25" i="8"/>
  <c r="K89" i="8" s="1"/>
  <c r="J25" i="8"/>
  <c r="J89" i="8" s="1"/>
  <c r="J74" i="8" s="1"/>
  <c r="I25" i="8"/>
  <c r="H25" i="8"/>
  <c r="H89" i="8" s="1"/>
  <c r="G25" i="8"/>
  <c r="G89" i="8" s="1"/>
  <c r="G74" i="8" s="1"/>
  <c r="F25" i="8"/>
  <c r="F89" i="8" s="1"/>
  <c r="E25" i="8"/>
  <c r="E89" i="8" s="1"/>
  <c r="D25" i="8"/>
  <c r="D89" i="8" s="1"/>
  <c r="D74" i="8" s="1"/>
  <c r="C25" i="8"/>
  <c r="C89" i="8" s="1"/>
  <c r="C74" i="8" s="1"/>
  <c r="B25" i="8"/>
  <c r="B89" i="8" s="1"/>
  <c r="B74" i="8" s="1"/>
  <c r="K24" i="8"/>
  <c r="K88" i="8" s="1"/>
  <c r="J24" i="8"/>
  <c r="I24" i="8"/>
  <c r="I88" i="8" s="1"/>
  <c r="H24" i="8"/>
  <c r="G24" i="8"/>
  <c r="G88" i="8" s="1"/>
  <c r="F24" i="8"/>
  <c r="E24" i="8"/>
  <c r="D24" i="8"/>
  <c r="C24" i="8"/>
  <c r="C88" i="8" s="1"/>
  <c r="B24" i="8"/>
  <c r="B88" i="8" s="1"/>
  <c r="K23" i="8"/>
  <c r="J23" i="8"/>
  <c r="J87" i="8" s="1"/>
  <c r="I23" i="8"/>
  <c r="I87" i="8" s="1"/>
  <c r="H23" i="8"/>
  <c r="H87" i="8" s="1"/>
  <c r="H72" i="8" s="1"/>
  <c r="G23" i="8"/>
  <c r="G87" i="8" s="1"/>
  <c r="G72" i="8" s="1"/>
  <c r="F23" i="8"/>
  <c r="F87" i="8" s="1"/>
  <c r="F72" i="8" s="1"/>
  <c r="E23" i="8"/>
  <c r="E87" i="8" s="1"/>
  <c r="D23" i="8"/>
  <c r="D87" i="8" s="1"/>
  <c r="C23" i="8"/>
  <c r="C87" i="8" s="1"/>
  <c r="C72" i="8" s="1"/>
  <c r="B23" i="8"/>
  <c r="K22" i="8"/>
  <c r="K86" i="8" s="1"/>
  <c r="J22" i="8"/>
  <c r="J86" i="8" s="1"/>
  <c r="I22" i="8"/>
  <c r="I86" i="8" s="1"/>
  <c r="I71" i="8" s="1"/>
  <c r="H22" i="8"/>
  <c r="G22" i="8"/>
  <c r="F22" i="8"/>
  <c r="E22" i="8"/>
  <c r="D22" i="8"/>
  <c r="C22" i="8"/>
  <c r="B22" i="8"/>
  <c r="L21" i="8"/>
  <c r="L85" i="8" s="1"/>
  <c r="K21" i="8"/>
  <c r="K85" i="8" s="1"/>
  <c r="K70" i="8" s="1"/>
  <c r="J21" i="8"/>
  <c r="J85" i="8" s="1"/>
  <c r="I21" i="8"/>
  <c r="I85" i="8" s="1"/>
  <c r="H21" i="8"/>
  <c r="H85" i="8" s="1"/>
  <c r="G21" i="8"/>
  <c r="G85" i="8" s="1"/>
  <c r="F21" i="8"/>
  <c r="F85" i="8" s="1"/>
  <c r="E21" i="8"/>
  <c r="E85" i="8" s="1"/>
  <c r="D21" i="8"/>
  <c r="C21" i="8"/>
  <c r="B21" i="8"/>
  <c r="L20" i="8"/>
  <c r="K20" i="8"/>
  <c r="J20" i="8"/>
  <c r="I20" i="8"/>
  <c r="H20" i="8"/>
  <c r="H84" i="8" s="1"/>
  <c r="H69" i="8" s="1"/>
  <c r="G20" i="8"/>
  <c r="F20" i="8"/>
  <c r="E20" i="8"/>
  <c r="E84" i="8" s="1"/>
  <c r="E69" i="8" s="1"/>
  <c r="D20" i="8"/>
  <c r="D84" i="8" s="1"/>
  <c r="C20" i="8"/>
  <c r="C84" i="8" s="1"/>
  <c r="B20" i="8"/>
  <c r="B84" i="8" s="1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K13" i="8"/>
  <c r="L13" i="8" s="1"/>
  <c r="M13" i="8" s="1"/>
  <c r="N13" i="8" s="1"/>
  <c r="O13" i="8" s="1"/>
  <c r="P13" i="8" s="1"/>
  <c r="J13" i="8"/>
  <c r="I13" i="8"/>
  <c r="H13" i="8"/>
  <c r="G13" i="8"/>
  <c r="F13" i="8"/>
  <c r="E13" i="8"/>
  <c r="D13" i="8"/>
  <c r="C13" i="8"/>
  <c r="B13" i="8"/>
  <c r="K10" i="8"/>
  <c r="J10" i="8"/>
  <c r="I10" i="8"/>
  <c r="H10" i="8"/>
  <c r="E10" i="8"/>
  <c r="D10" i="8"/>
  <c r="K8" i="8"/>
  <c r="J8" i="8"/>
  <c r="I5" i="8"/>
  <c r="L3" i="8"/>
  <c r="K3" i="8"/>
  <c r="I3" i="8"/>
  <c r="AK95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U82" i="7"/>
  <c r="T82" i="7"/>
  <c r="S82" i="7"/>
  <c r="R82" i="7"/>
  <c r="P82" i="7"/>
  <c r="L82" i="7"/>
  <c r="K82" i="7"/>
  <c r="J82" i="7"/>
  <c r="I82" i="7"/>
  <c r="H82" i="7"/>
  <c r="G82" i="7"/>
  <c r="F82" i="7"/>
  <c r="E82" i="7"/>
  <c r="D82" i="7"/>
  <c r="C82" i="7"/>
  <c r="B82" i="7"/>
  <c r="E79" i="7"/>
  <c r="D79" i="7"/>
  <c r="K78" i="7"/>
  <c r="J78" i="7"/>
  <c r="I78" i="7"/>
  <c r="H78" i="7"/>
  <c r="G78" i="7"/>
  <c r="F78" i="7"/>
  <c r="E78" i="7"/>
  <c r="D78" i="7"/>
  <c r="C78" i="7"/>
  <c r="B78" i="7"/>
  <c r="K77" i="7"/>
  <c r="J77" i="7"/>
  <c r="I77" i="7"/>
  <c r="H77" i="7"/>
  <c r="G77" i="7"/>
  <c r="F77" i="7"/>
  <c r="E77" i="7"/>
  <c r="D77" i="7"/>
  <c r="C77" i="7"/>
  <c r="B77" i="7"/>
  <c r="K76" i="7"/>
  <c r="J76" i="7"/>
  <c r="I76" i="7"/>
  <c r="H76" i="7"/>
  <c r="G76" i="7"/>
  <c r="F76" i="7"/>
  <c r="E76" i="7"/>
  <c r="D76" i="7"/>
  <c r="C76" i="7"/>
  <c r="B76" i="7"/>
  <c r="K75" i="7"/>
  <c r="J75" i="7"/>
  <c r="I75" i="7"/>
  <c r="H75" i="7"/>
  <c r="G75" i="7"/>
  <c r="F75" i="7"/>
  <c r="E75" i="7"/>
  <c r="D75" i="7"/>
  <c r="C75" i="7"/>
  <c r="B75" i="7"/>
  <c r="K74" i="7"/>
  <c r="J74" i="7"/>
  <c r="I74" i="7"/>
  <c r="H74" i="7"/>
  <c r="G74" i="7"/>
  <c r="F74" i="7"/>
  <c r="E74" i="7"/>
  <c r="D74" i="7"/>
  <c r="C74" i="7"/>
  <c r="B74" i="7"/>
  <c r="K73" i="7"/>
  <c r="J73" i="7"/>
  <c r="I73" i="7"/>
  <c r="H73" i="7"/>
  <c r="G73" i="7"/>
  <c r="F73" i="7"/>
  <c r="E73" i="7"/>
  <c r="D73" i="7"/>
  <c r="C73" i="7"/>
  <c r="B73" i="7"/>
  <c r="K72" i="7"/>
  <c r="J72" i="7"/>
  <c r="I72" i="7"/>
  <c r="H72" i="7"/>
  <c r="G72" i="7"/>
  <c r="F72" i="7"/>
  <c r="E72" i="7"/>
  <c r="D72" i="7"/>
  <c r="C72" i="7"/>
  <c r="B72" i="7"/>
  <c r="K71" i="7"/>
  <c r="J71" i="7"/>
  <c r="I71" i="7"/>
  <c r="H71" i="7"/>
  <c r="G71" i="7"/>
  <c r="F71" i="7"/>
  <c r="E71" i="7"/>
  <c r="D71" i="7"/>
  <c r="C71" i="7"/>
  <c r="B71" i="7"/>
  <c r="K70" i="7"/>
  <c r="J70" i="7"/>
  <c r="I70" i="7"/>
  <c r="H70" i="7"/>
  <c r="G70" i="7"/>
  <c r="F70" i="7"/>
  <c r="E70" i="7"/>
  <c r="D70" i="7"/>
  <c r="C70" i="7"/>
  <c r="B70" i="7"/>
  <c r="K69" i="7"/>
  <c r="J69" i="7"/>
  <c r="I69" i="7"/>
  <c r="H69" i="7"/>
  <c r="G69" i="7"/>
  <c r="F69" i="7"/>
  <c r="E69" i="7"/>
  <c r="D69" i="7"/>
  <c r="C69" i="7"/>
  <c r="B69" i="7"/>
  <c r="K68" i="7"/>
  <c r="J68" i="7"/>
  <c r="I68" i="7"/>
  <c r="H68" i="7"/>
  <c r="G68" i="7"/>
  <c r="F68" i="7"/>
  <c r="E68" i="7"/>
  <c r="D68" i="7"/>
  <c r="C68" i="7"/>
  <c r="B68" i="7"/>
  <c r="K67" i="7"/>
  <c r="J67" i="7"/>
  <c r="I67" i="7"/>
  <c r="H67" i="7"/>
  <c r="G67" i="7"/>
  <c r="F67" i="7"/>
  <c r="E67" i="7"/>
  <c r="D67" i="7"/>
  <c r="C67" i="7"/>
  <c r="B67" i="7"/>
  <c r="Z66" i="7"/>
  <c r="Y66" i="7"/>
  <c r="X66" i="7"/>
  <c r="W66" i="7"/>
  <c r="V66" i="7"/>
  <c r="U66" i="7"/>
  <c r="T66" i="7"/>
  <c r="K66" i="7"/>
  <c r="J66" i="7"/>
  <c r="I66" i="7"/>
  <c r="H66" i="7"/>
  <c r="G66" i="7"/>
  <c r="F66" i="7"/>
  <c r="E66" i="7"/>
  <c r="D66" i="7"/>
  <c r="C66" i="7"/>
  <c r="B66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AK50" i="7"/>
  <c r="AD50" i="7"/>
  <c r="Z50" i="7"/>
  <c r="X50" i="7"/>
  <c r="R50" i="7"/>
  <c r="K50" i="7"/>
  <c r="J50" i="7"/>
  <c r="I50" i="7"/>
  <c r="H50" i="7"/>
  <c r="G50" i="7"/>
  <c r="F50" i="7"/>
  <c r="E50" i="7"/>
  <c r="D50" i="7"/>
  <c r="C50" i="7"/>
  <c r="B50" i="7"/>
  <c r="K47" i="7"/>
  <c r="K5" i="7" s="1"/>
  <c r="J47" i="7"/>
  <c r="I47" i="7"/>
  <c r="H47" i="7"/>
  <c r="G47" i="7"/>
  <c r="F47" i="7"/>
  <c r="F5" i="7" s="1"/>
  <c r="E47" i="7"/>
  <c r="D47" i="7"/>
  <c r="C47" i="7"/>
  <c r="C79" i="7" s="1"/>
  <c r="B47" i="7"/>
  <c r="AH45" i="7"/>
  <c r="W39" i="7"/>
  <c r="V39" i="7"/>
  <c r="L38" i="7"/>
  <c r="W37" i="7"/>
  <c r="V37" i="7"/>
  <c r="L37" i="7"/>
  <c r="X34" i="7"/>
  <c r="I34" i="7"/>
  <c r="F34" i="7"/>
  <c r="E34" i="7"/>
  <c r="D34" i="7"/>
  <c r="C34" i="7"/>
  <c r="B34" i="7"/>
  <c r="W31" i="7"/>
  <c r="O31" i="7"/>
  <c r="O23" i="7" s="1"/>
  <c r="M31" i="7"/>
  <c r="L31" i="7"/>
  <c r="K31" i="7"/>
  <c r="J31" i="7"/>
  <c r="I31" i="7"/>
  <c r="H31" i="7"/>
  <c r="G31" i="7"/>
  <c r="F31" i="7"/>
  <c r="E31" i="7"/>
  <c r="D31" i="7"/>
  <c r="C31" i="7"/>
  <c r="B31" i="7"/>
  <c r="AJ29" i="7"/>
  <c r="AI29" i="7"/>
  <c r="AH29" i="7"/>
  <c r="AA29" i="7"/>
  <c r="W29" i="7"/>
  <c r="V29" i="7"/>
  <c r="AB28" i="7"/>
  <c r="AI26" i="7"/>
  <c r="AB26" i="7"/>
  <c r="AA26" i="7"/>
  <c r="AJ25" i="7"/>
  <c r="AB25" i="7"/>
  <c r="AB24" i="7"/>
  <c r="V24" i="7"/>
  <c r="W23" i="7"/>
  <c r="V23" i="7"/>
  <c r="AA22" i="7"/>
  <c r="AA38" i="7" s="1"/>
  <c r="AB21" i="7"/>
  <c r="AB37" i="7" s="1"/>
  <c r="AA21" i="7"/>
  <c r="AA37" i="7" s="1"/>
  <c r="W21" i="7"/>
  <c r="V21" i="7"/>
  <c r="AB20" i="7"/>
  <c r="AB36" i="7" s="1"/>
  <c r="AA19" i="7"/>
  <c r="AD18" i="7"/>
  <c r="AD34" i="7" s="1"/>
  <c r="Z18" i="7"/>
  <c r="Z34" i="7" s="1"/>
  <c r="X18" i="7"/>
  <c r="W18" i="7"/>
  <c r="W34" i="7" s="1"/>
  <c r="V18" i="7"/>
  <c r="V34" i="7" s="1"/>
  <c r="U18" i="7"/>
  <c r="U34" i="7" s="1"/>
  <c r="T18" i="7"/>
  <c r="T34" i="7" s="1"/>
  <c r="P18" i="7"/>
  <c r="P34" i="7" s="1"/>
  <c r="K18" i="7"/>
  <c r="K34" i="7" s="1"/>
  <c r="J18" i="7"/>
  <c r="J34" i="7" s="1"/>
  <c r="I18" i="7"/>
  <c r="H18" i="7"/>
  <c r="H34" i="7" s="1"/>
  <c r="G18" i="7"/>
  <c r="G34" i="7" s="1"/>
  <c r="F18" i="7"/>
  <c r="E18" i="7"/>
  <c r="D18" i="7"/>
  <c r="C18" i="7"/>
  <c r="B18" i="7"/>
  <c r="AJ13" i="7"/>
  <c r="AI13" i="7"/>
  <c r="AH13" i="7"/>
  <c r="AF13" i="7"/>
  <c r="AE13" i="7"/>
  <c r="AB13" i="7"/>
  <c r="AA13" i="7"/>
  <c r="V13" i="7"/>
  <c r="AK12" i="7"/>
  <c r="AJ12" i="7"/>
  <c r="AJ4" i="7" s="1"/>
  <c r="AJ31" i="7" s="1"/>
  <c r="AI12" i="7"/>
  <c r="AI4" i="7" s="1"/>
  <c r="AI31" i="7" s="1"/>
  <c r="AH12" i="7"/>
  <c r="AH4" i="7" s="1"/>
  <c r="AH31" i="7" s="1"/>
  <c r="AH27" i="7" s="1"/>
  <c r="AG12" i="7"/>
  <c r="AF12" i="7"/>
  <c r="AF4" i="7" s="1"/>
  <c r="AF31" i="7" s="1"/>
  <c r="AF24" i="7" s="1"/>
  <c r="AE12" i="7"/>
  <c r="AE4" i="7" s="1"/>
  <c r="AE31" i="7" s="1"/>
  <c r="AD12" i="7"/>
  <c r="AD4" i="7" s="1"/>
  <c r="AC12" i="7"/>
  <c r="AB12" i="7"/>
  <c r="AA12" i="7"/>
  <c r="Z12" i="7"/>
  <c r="Z4" i="7" s="1"/>
  <c r="Y12" i="7"/>
  <c r="Y4" i="7" s="1"/>
  <c r="X12" i="7"/>
  <c r="X4" i="7" s="1"/>
  <c r="W12" i="7"/>
  <c r="W4" i="7" s="1"/>
  <c r="W13" i="7" s="1"/>
  <c r="V12" i="7"/>
  <c r="U12" i="7"/>
  <c r="T12" i="7"/>
  <c r="T4" i="7" s="1"/>
  <c r="S12" i="7"/>
  <c r="R12" i="7"/>
  <c r="Q12" i="7"/>
  <c r="P12" i="7"/>
  <c r="O12" i="7"/>
  <c r="N12" i="7"/>
  <c r="N4" i="7" s="1"/>
  <c r="M12" i="7"/>
  <c r="M4" i="7" s="1"/>
  <c r="M13" i="7" s="1"/>
  <c r="L12" i="7"/>
  <c r="L4" i="7" s="1"/>
  <c r="L13" i="7" s="1"/>
  <c r="K9" i="7"/>
  <c r="J9" i="7"/>
  <c r="I9" i="7"/>
  <c r="H9" i="7"/>
  <c r="G9" i="7"/>
  <c r="F9" i="7"/>
  <c r="E9" i="7"/>
  <c r="D9" i="7"/>
  <c r="C9" i="7"/>
  <c r="B9" i="7"/>
  <c r="J5" i="7"/>
  <c r="I5" i="7"/>
  <c r="H5" i="7"/>
  <c r="G5" i="7"/>
  <c r="E5" i="7"/>
  <c r="D5" i="7"/>
  <c r="C5" i="7"/>
  <c r="AK4" i="7"/>
  <c r="AK13" i="7" s="1"/>
  <c r="AG4" i="7"/>
  <c r="AG31" i="7" s="1"/>
  <c r="AC4" i="7"/>
  <c r="AB4" i="7"/>
  <c r="AB31" i="7" s="1"/>
  <c r="AA4" i="7"/>
  <c r="AA31" i="7" s="1"/>
  <c r="V4" i="7"/>
  <c r="V31" i="7" s="1"/>
  <c r="U4" i="7"/>
  <c r="S4" i="7"/>
  <c r="R4" i="7"/>
  <c r="Q4" i="7"/>
  <c r="P4" i="7"/>
  <c r="O4" i="7"/>
  <c r="O13" i="7" s="1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AK2" i="7"/>
  <c r="AJ2" i="7"/>
  <c r="AI2" i="7"/>
  <c r="AH2" i="7"/>
  <c r="AG2" i="7"/>
  <c r="AF2" i="7"/>
  <c r="AE2" i="7"/>
  <c r="AD2" i="7"/>
  <c r="AC2" i="7"/>
  <c r="AB2" i="7"/>
  <c r="AA2" i="7"/>
  <c r="Z2" i="7"/>
  <c r="Z82" i="7" s="1"/>
  <c r="Y2" i="7"/>
  <c r="X2" i="7"/>
  <c r="X82" i="7" s="1"/>
  <c r="W2" i="7"/>
  <c r="V2" i="7"/>
  <c r="U2" i="7"/>
  <c r="U50" i="7" s="1"/>
  <c r="T2" i="7"/>
  <c r="T50" i="7" s="1"/>
  <c r="S2" i="7"/>
  <c r="R2" i="7"/>
  <c r="R66" i="7" s="1"/>
  <c r="Q2" i="7"/>
  <c r="P2" i="7"/>
  <c r="O2" i="7"/>
  <c r="N2" i="7"/>
  <c r="M2" i="7"/>
  <c r="L2" i="7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S13" i="6"/>
  <c r="Q13" i="6"/>
  <c r="M13" i="6"/>
  <c r="T12" i="6"/>
  <c r="T4" i="6" s="1"/>
  <c r="T13" i="6" s="1"/>
  <c r="S12" i="6"/>
  <c r="S4" i="6" s="1"/>
  <c r="M12" i="6"/>
  <c r="N12" i="6" s="1"/>
  <c r="O12" i="6" s="1"/>
  <c r="P12" i="6" s="1"/>
  <c r="Q12" i="6" s="1"/>
  <c r="R12" i="6" s="1"/>
  <c r="E10" i="6"/>
  <c r="F3" i="6" s="1"/>
  <c r="F6" i="6" s="1"/>
  <c r="F10" i="6" s="1"/>
  <c r="G3" i="6" s="1"/>
  <c r="G6" i="6" s="1"/>
  <c r="G10" i="6" s="1"/>
  <c r="H3" i="6" s="1"/>
  <c r="H6" i="6" s="1"/>
  <c r="H10" i="6" s="1"/>
  <c r="I3" i="6" s="1"/>
  <c r="I6" i="6" s="1"/>
  <c r="I10" i="6" s="1"/>
  <c r="J3" i="6" s="1"/>
  <c r="J6" i="6" s="1"/>
  <c r="J10" i="6" s="1"/>
  <c r="K3" i="6" s="1"/>
  <c r="K6" i="6" s="1"/>
  <c r="L9" i="6"/>
  <c r="K9" i="6"/>
  <c r="J9" i="6"/>
  <c r="I9" i="6"/>
  <c r="H9" i="6"/>
  <c r="G9" i="6"/>
  <c r="F9" i="6"/>
  <c r="E9" i="6"/>
  <c r="D9" i="6"/>
  <c r="C9" i="6"/>
  <c r="B9" i="6"/>
  <c r="B6" i="6"/>
  <c r="B10" i="6" s="1"/>
  <c r="R4" i="6"/>
  <c r="Q4" i="6"/>
  <c r="P4" i="6"/>
  <c r="O4" i="6"/>
  <c r="N4" i="6"/>
  <c r="M4" i="6"/>
  <c r="D3" i="6"/>
  <c r="D6" i="6" s="1"/>
  <c r="D10" i="6" s="1"/>
  <c r="E3" i="6" s="1"/>
  <c r="E6" i="6" s="1"/>
  <c r="C3" i="6"/>
  <c r="C6" i="6" s="1"/>
  <c r="C10" i="6" s="1"/>
  <c r="K98" i="5"/>
  <c r="J98" i="5"/>
  <c r="I98" i="5"/>
  <c r="H98" i="5"/>
  <c r="G98" i="5"/>
  <c r="F98" i="5"/>
  <c r="E98" i="5"/>
  <c r="K97" i="5"/>
  <c r="J97" i="5"/>
  <c r="I97" i="5"/>
  <c r="H97" i="5"/>
  <c r="G97" i="5"/>
  <c r="F97" i="5"/>
  <c r="E97" i="5"/>
  <c r="K96" i="5"/>
  <c r="J96" i="5"/>
  <c r="I96" i="5"/>
  <c r="H96" i="5"/>
  <c r="G96" i="5"/>
  <c r="F96" i="5"/>
  <c r="E96" i="5"/>
  <c r="K95" i="5"/>
  <c r="J95" i="5"/>
  <c r="I95" i="5"/>
  <c r="H95" i="5"/>
  <c r="G95" i="5"/>
  <c r="F95" i="5"/>
  <c r="E95" i="5"/>
  <c r="K94" i="5"/>
  <c r="J94" i="5"/>
  <c r="I94" i="5"/>
  <c r="H94" i="5"/>
  <c r="G94" i="5"/>
  <c r="F94" i="5"/>
  <c r="E94" i="5"/>
  <c r="K93" i="5"/>
  <c r="J93" i="5"/>
  <c r="I93" i="5"/>
  <c r="H93" i="5"/>
  <c r="G93" i="5"/>
  <c r="F93" i="5"/>
  <c r="E93" i="5"/>
  <c r="K92" i="5"/>
  <c r="J92" i="5"/>
  <c r="I92" i="5"/>
  <c r="H92" i="5"/>
  <c r="G92" i="5"/>
  <c r="F92" i="5"/>
  <c r="E92" i="5"/>
  <c r="K91" i="5"/>
  <c r="J91" i="5"/>
  <c r="I91" i="5"/>
  <c r="H91" i="5"/>
  <c r="G91" i="5"/>
  <c r="F91" i="5"/>
  <c r="E91" i="5"/>
  <c r="K90" i="5"/>
  <c r="J90" i="5"/>
  <c r="I90" i="5"/>
  <c r="H90" i="5"/>
  <c r="G90" i="5"/>
  <c r="F90" i="5"/>
  <c r="E90" i="5"/>
  <c r="K89" i="5"/>
  <c r="J89" i="5"/>
  <c r="I89" i="5"/>
  <c r="H89" i="5"/>
  <c r="G89" i="5"/>
  <c r="F89" i="5"/>
  <c r="E89" i="5"/>
  <c r="L88" i="5"/>
  <c r="K88" i="5"/>
  <c r="J88" i="5"/>
  <c r="J12" i="5" s="1"/>
  <c r="I88" i="5"/>
  <c r="H88" i="5"/>
  <c r="G88" i="5"/>
  <c r="F88" i="5"/>
  <c r="F12" i="5" s="1"/>
  <c r="E88" i="5"/>
  <c r="E12" i="5" s="1"/>
  <c r="L87" i="5"/>
  <c r="K87" i="5"/>
  <c r="J87" i="5"/>
  <c r="I87" i="5"/>
  <c r="H87" i="5"/>
  <c r="G87" i="5"/>
  <c r="F87" i="5"/>
  <c r="E87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K82" i="5"/>
  <c r="J82" i="5"/>
  <c r="I82" i="5"/>
  <c r="H82" i="5"/>
  <c r="G82" i="5"/>
  <c r="F82" i="5"/>
  <c r="E82" i="5"/>
  <c r="D82" i="5"/>
  <c r="C82" i="5"/>
  <c r="B82" i="5"/>
  <c r="K81" i="5"/>
  <c r="J81" i="5"/>
  <c r="I81" i="5"/>
  <c r="H81" i="5"/>
  <c r="G81" i="5"/>
  <c r="F81" i="5"/>
  <c r="E81" i="5"/>
  <c r="D81" i="5"/>
  <c r="C81" i="5"/>
  <c r="B81" i="5"/>
  <c r="K80" i="5"/>
  <c r="J80" i="5"/>
  <c r="I80" i="5"/>
  <c r="H80" i="5"/>
  <c r="G80" i="5"/>
  <c r="F80" i="5"/>
  <c r="E80" i="5"/>
  <c r="D80" i="5"/>
  <c r="C80" i="5"/>
  <c r="B80" i="5"/>
  <c r="K79" i="5"/>
  <c r="J79" i="5"/>
  <c r="I79" i="5"/>
  <c r="H79" i="5"/>
  <c r="G79" i="5"/>
  <c r="F79" i="5"/>
  <c r="E79" i="5"/>
  <c r="D79" i="5"/>
  <c r="C79" i="5"/>
  <c r="B79" i="5"/>
  <c r="K78" i="5"/>
  <c r="J78" i="5"/>
  <c r="I78" i="5"/>
  <c r="H78" i="5"/>
  <c r="G78" i="5"/>
  <c r="F78" i="5"/>
  <c r="E78" i="5"/>
  <c r="D78" i="5"/>
  <c r="C78" i="5"/>
  <c r="B78" i="5"/>
  <c r="K77" i="5"/>
  <c r="J77" i="5"/>
  <c r="I77" i="5"/>
  <c r="H77" i="5"/>
  <c r="G77" i="5"/>
  <c r="F77" i="5"/>
  <c r="E77" i="5"/>
  <c r="D77" i="5"/>
  <c r="C77" i="5"/>
  <c r="B77" i="5"/>
  <c r="B83" i="5" s="1"/>
  <c r="B8" i="5" s="1"/>
  <c r="K76" i="5"/>
  <c r="J76" i="5"/>
  <c r="I76" i="5"/>
  <c r="H76" i="5"/>
  <c r="G76" i="5"/>
  <c r="F76" i="5"/>
  <c r="E76" i="5"/>
  <c r="D76" i="5"/>
  <c r="C76" i="5"/>
  <c r="B76" i="5"/>
  <c r="K75" i="5"/>
  <c r="K83" i="5" s="1"/>
  <c r="K8" i="5" s="1"/>
  <c r="J75" i="5"/>
  <c r="I75" i="5"/>
  <c r="I83" i="5" s="1"/>
  <c r="I8" i="5" s="1"/>
  <c r="H75" i="5"/>
  <c r="H83" i="5" s="1"/>
  <c r="H8" i="5" s="1"/>
  <c r="G75" i="5"/>
  <c r="G83" i="5" s="1"/>
  <c r="G8" i="5" s="1"/>
  <c r="F75" i="5"/>
  <c r="F83" i="5" s="1"/>
  <c r="F8" i="5" s="1"/>
  <c r="E75" i="5"/>
  <c r="D75" i="5"/>
  <c r="C75" i="5"/>
  <c r="B75" i="5"/>
  <c r="K74" i="5"/>
  <c r="J74" i="5"/>
  <c r="I74" i="5"/>
  <c r="H74" i="5"/>
  <c r="G74" i="5"/>
  <c r="F74" i="5"/>
  <c r="E74" i="5"/>
  <c r="D74" i="5"/>
  <c r="C74" i="5"/>
  <c r="B74" i="5"/>
  <c r="K73" i="5"/>
  <c r="J73" i="5"/>
  <c r="I73" i="5"/>
  <c r="H73" i="5"/>
  <c r="G73" i="5"/>
  <c r="F73" i="5"/>
  <c r="E73" i="5"/>
  <c r="D73" i="5"/>
  <c r="C73" i="5"/>
  <c r="B73" i="5"/>
  <c r="L72" i="5"/>
  <c r="K72" i="5"/>
  <c r="J72" i="5"/>
  <c r="I72" i="5"/>
  <c r="H72" i="5"/>
  <c r="G72" i="5"/>
  <c r="F72" i="5"/>
  <c r="E72" i="5"/>
  <c r="D72" i="5"/>
  <c r="C72" i="5"/>
  <c r="B72" i="5"/>
  <c r="L71" i="5"/>
  <c r="K71" i="5"/>
  <c r="J71" i="5"/>
  <c r="I71" i="5"/>
  <c r="H71" i="5"/>
  <c r="G71" i="5"/>
  <c r="F71" i="5"/>
  <c r="E71" i="5"/>
  <c r="D71" i="5"/>
  <c r="C71" i="5"/>
  <c r="B71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K66" i="5"/>
  <c r="J66" i="5"/>
  <c r="I66" i="5"/>
  <c r="H66" i="5"/>
  <c r="G66" i="5"/>
  <c r="F66" i="5"/>
  <c r="E66" i="5"/>
  <c r="D66" i="5"/>
  <c r="C66" i="5"/>
  <c r="B66" i="5"/>
  <c r="K65" i="5"/>
  <c r="J65" i="5"/>
  <c r="I65" i="5"/>
  <c r="H65" i="5"/>
  <c r="G65" i="5"/>
  <c r="F65" i="5"/>
  <c r="E65" i="5"/>
  <c r="D65" i="5"/>
  <c r="C65" i="5"/>
  <c r="B65" i="5"/>
  <c r="K64" i="5"/>
  <c r="J64" i="5"/>
  <c r="I64" i="5"/>
  <c r="H64" i="5"/>
  <c r="G64" i="5"/>
  <c r="G67" i="5" s="1"/>
  <c r="G7" i="5" s="1"/>
  <c r="G9" i="9" s="1"/>
  <c r="F64" i="5"/>
  <c r="E64" i="5"/>
  <c r="D64" i="5"/>
  <c r="D67" i="5" s="1"/>
  <c r="D7" i="5" s="1"/>
  <c r="D9" i="9" s="1"/>
  <c r="D13" i="9" s="1"/>
  <c r="C64" i="5"/>
  <c r="B64" i="5"/>
  <c r="K63" i="5"/>
  <c r="J63" i="5"/>
  <c r="I63" i="5"/>
  <c r="H63" i="5"/>
  <c r="G63" i="5"/>
  <c r="F63" i="5"/>
  <c r="E63" i="5"/>
  <c r="D63" i="5"/>
  <c r="C63" i="5"/>
  <c r="B63" i="5"/>
  <c r="K62" i="5"/>
  <c r="J62" i="5"/>
  <c r="I62" i="5"/>
  <c r="H62" i="5"/>
  <c r="G62" i="5"/>
  <c r="F62" i="5"/>
  <c r="E62" i="5"/>
  <c r="D62" i="5"/>
  <c r="C62" i="5"/>
  <c r="B62" i="5"/>
  <c r="K61" i="5"/>
  <c r="J61" i="5"/>
  <c r="I61" i="5"/>
  <c r="H61" i="5"/>
  <c r="G61" i="5"/>
  <c r="F61" i="5"/>
  <c r="E61" i="5"/>
  <c r="D61" i="5"/>
  <c r="C61" i="5"/>
  <c r="B61" i="5"/>
  <c r="K60" i="5"/>
  <c r="J60" i="5"/>
  <c r="I60" i="5"/>
  <c r="H60" i="5"/>
  <c r="G60" i="5"/>
  <c r="F60" i="5"/>
  <c r="E60" i="5"/>
  <c r="D60" i="5"/>
  <c r="C60" i="5"/>
  <c r="B60" i="5"/>
  <c r="K59" i="5"/>
  <c r="J59" i="5"/>
  <c r="I59" i="5"/>
  <c r="H59" i="5"/>
  <c r="G59" i="5"/>
  <c r="F59" i="5"/>
  <c r="E59" i="5"/>
  <c r="D59" i="5"/>
  <c r="C59" i="5"/>
  <c r="B59" i="5"/>
  <c r="K58" i="5"/>
  <c r="J58" i="5"/>
  <c r="I58" i="5"/>
  <c r="H58" i="5"/>
  <c r="G58" i="5"/>
  <c r="F58" i="5"/>
  <c r="E58" i="5"/>
  <c r="D58" i="5"/>
  <c r="C58" i="5"/>
  <c r="B58" i="5"/>
  <c r="K57" i="5"/>
  <c r="J57" i="5"/>
  <c r="I57" i="5"/>
  <c r="H57" i="5"/>
  <c r="G57" i="5"/>
  <c r="F57" i="5"/>
  <c r="E57" i="5"/>
  <c r="E67" i="5" s="1"/>
  <c r="E7" i="5" s="1"/>
  <c r="E9" i="9" s="1"/>
  <c r="E13" i="9" s="1"/>
  <c r="D57" i="5"/>
  <c r="C57" i="5"/>
  <c r="B57" i="5"/>
  <c r="L56" i="5"/>
  <c r="K56" i="5"/>
  <c r="J56" i="5"/>
  <c r="J67" i="5" s="1"/>
  <c r="J7" i="5" s="1"/>
  <c r="J9" i="9" s="1"/>
  <c r="I56" i="5"/>
  <c r="H56" i="5"/>
  <c r="G56" i="5"/>
  <c r="F56" i="5"/>
  <c r="E56" i="5"/>
  <c r="D56" i="5"/>
  <c r="C56" i="5"/>
  <c r="B56" i="5"/>
  <c r="L55" i="5"/>
  <c r="K55" i="5"/>
  <c r="J55" i="5"/>
  <c r="I55" i="5"/>
  <c r="H55" i="5"/>
  <c r="G55" i="5"/>
  <c r="F55" i="5"/>
  <c r="F67" i="5" s="1"/>
  <c r="F7" i="5" s="1"/>
  <c r="F9" i="9" s="1"/>
  <c r="F13" i="9" s="1"/>
  <c r="E55" i="5"/>
  <c r="D55" i="5"/>
  <c r="C55" i="5"/>
  <c r="C67" i="5" s="1"/>
  <c r="C7" i="5" s="1"/>
  <c r="C9" i="9" s="1"/>
  <c r="B55" i="5"/>
  <c r="B67" i="5" s="1"/>
  <c r="B7" i="5" s="1"/>
  <c r="B9" i="9" s="1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V51" i="5"/>
  <c r="U51" i="5"/>
  <c r="T51" i="5"/>
  <c r="S51" i="5"/>
  <c r="R51" i="5"/>
  <c r="Q51" i="5"/>
  <c r="P51" i="5"/>
  <c r="O51" i="5"/>
  <c r="N51" i="5"/>
  <c r="K50" i="5"/>
  <c r="J50" i="5"/>
  <c r="I50" i="5"/>
  <c r="H50" i="5"/>
  <c r="G50" i="5"/>
  <c r="F50" i="5"/>
  <c r="E50" i="5"/>
  <c r="D50" i="5"/>
  <c r="C50" i="5"/>
  <c r="B50" i="5"/>
  <c r="K49" i="5"/>
  <c r="J49" i="5"/>
  <c r="I49" i="5"/>
  <c r="H49" i="5"/>
  <c r="G49" i="5"/>
  <c r="F49" i="5"/>
  <c r="E49" i="5"/>
  <c r="D49" i="5"/>
  <c r="C49" i="5"/>
  <c r="B49" i="5"/>
  <c r="K48" i="5"/>
  <c r="J48" i="5"/>
  <c r="I48" i="5"/>
  <c r="H48" i="5"/>
  <c r="G48" i="5"/>
  <c r="F48" i="5"/>
  <c r="E48" i="5"/>
  <c r="D48" i="5"/>
  <c r="C48" i="5"/>
  <c r="B48" i="5"/>
  <c r="K47" i="5"/>
  <c r="J47" i="5"/>
  <c r="I47" i="5"/>
  <c r="H47" i="5"/>
  <c r="G47" i="5"/>
  <c r="F47" i="5"/>
  <c r="E47" i="5"/>
  <c r="D47" i="5"/>
  <c r="C47" i="5"/>
  <c r="B47" i="5"/>
  <c r="K46" i="5"/>
  <c r="J46" i="5"/>
  <c r="I46" i="5"/>
  <c r="H46" i="5"/>
  <c r="G46" i="5"/>
  <c r="F46" i="5"/>
  <c r="E46" i="5"/>
  <c r="D46" i="5"/>
  <c r="C46" i="5"/>
  <c r="B46" i="5"/>
  <c r="K45" i="5"/>
  <c r="J45" i="5"/>
  <c r="I45" i="5"/>
  <c r="H45" i="5"/>
  <c r="G45" i="5"/>
  <c r="F45" i="5"/>
  <c r="E45" i="5"/>
  <c r="D45" i="5"/>
  <c r="C45" i="5"/>
  <c r="B45" i="5"/>
  <c r="K44" i="5"/>
  <c r="J44" i="5"/>
  <c r="I44" i="5"/>
  <c r="H44" i="5"/>
  <c r="G44" i="5"/>
  <c r="F44" i="5"/>
  <c r="E44" i="5"/>
  <c r="D44" i="5"/>
  <c r="C44" i="5"/>
  <c r="B44" i="5"/>
  <c r="K43" i="5"/>
  <c r="J43" i="5"/>
  <c r="I43" i="5"/>
  <c r="H43" i="5"/>
  <c r="G43" i="5"/>
  <c r="F43" i="5"/>
  <c r="E43" i="5"/>
  <c r="D43" i="5"/>
  <c r="C43" i="5"/>
  <c r="B43" i="5"/>
  <c r="K42" i="5"/>
  <c r="J42" i="5"/>
  <c r="I42" i="5"/>
  <c r="H42" i="5"/>
  <c r="G42" i="5"/>
  <c r="F42" i="5"/>
  <c r="E42" i="5"/>
  <c r="D42" i="5"/>
  <c r="C42" i="5"/>
  <c r="B42" i="5"/>
  <c r="K41" i="5"/>
  <c r="J41" i="5"/>
  <c r="I41" i="5"/>
  <c r="H41" i="5"/>
  <c r="H51" i="5" s="1"/>
  <c r="H5" i="5" s="1"/>
  <c r="G41" i="5"/>
  <c r="F41" i="5"/>
  <c r="E41" i="5"/>
  <c r="D41" i="5"/>
  <c r="C41" i="5"/>
  <c r="B41" i="5"/>
  <c r="L40" i="5"/>
  <c r="K40" i="5"/>
  <c r="J40" i="5"/>
  <c r="I40" i="5"/>
  <c r="H40" i="5"/>
  <c r="G40" i="5"/>
  <c r="F40" i="5"/>
  <c r="E40" i="5"/>
  <c r="D40" i="5"/>
  <c r="C40" i="5"/>
  <c r="B40" i="5"/>
  <c r="L39" i="5"/>
  <c r="K39" i="5"/>
  <c r="J39" i="5"/>
  <c r="I39" i="5"/>
  <c r="H39" i="5"/>
  <c r="G39" i="5"/>
  <c r="F39" i="5"/>
  <c r="E39" i="5"/>
  <c r="D39" i="5"/>
  <c r="C39" i="5"/>
  <c r="B39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K34" i="5"/>
  <c r="J34" i="5"/>
  <c r="I34" i="5"/>
  <c r="H34" i="5"/>
  <c r="G34" i="5"/>
  <c r="F34" i="5"/>
  <c r="E34" i="5"/>
  <c r="D34" i="5"/>
  <c r="C34" i="5"/>
  <c r="B34" i="5"/>
  <c r="K33" i="5"/>
  <c r="J33" i="5"/>
  <c r="I33" i="5"/>
  <c r="H33" i="5"/>
  <c r="G33" i="5"/>
  <c r="F33" i="5"/>
  <c r="E33" i="5"/>
  <c r="D33" i="5"/>
  <c r="C33" i="5"/>
  <c r="B33" i="5"/>
  <c r="K32" i="5"/>
  <c r="J32" i="5"/>
  <c r="I32" i="5"/>
  <c r="H32" i="5"/>
  <c r="G32" i="5"/>
  <c r="F32" i="5"/>
  <c r="E32" i="5"/>
  <c r="D32" i="5"/>
  <c r="C32" i="5"/>
  <c r="B32" i="5"/>
  <c r="K31" i="5"/>
  <c r="J31" i="5"/>
  <c r="I31" i="5"/>
  <c r="H31" i="5"/>
  <c r="G31" i="5"/>
  <c r="F31" i="5"/>
  <c r="E31" i="5"/>
  <c r="D31" i="5"/>
  <c r="C31" i="5"/>
  <c r="B31" i="5"/>
  <c r="K30" i="5"/>
  <c r="J30" i="5"/>
  <c r="I30" i="5"/>
  <c r="H30" i="5"/>
  <c r="G30" i="5"/>
  <c r="F30" i="5"/>
  <c r="E30" i="5"/>
  <c r="D30" i="5"/>
  <c r="C30" i="5"/>
  <c r="B30" i="5"/>
  <c r="K29" i="5"/>
  <c r="J29" i="5"/>
  <c r="I29" i="5"/>
  <c r="H29" i="5"/>
  <c r="G29" i="5"/>
  <c r="F29" i="5"/>
  <c r="E29" i="5"/>
  <c r="D29" i="5"/>
  <c r="C29" i="5"/>
  <c r="B29" i="5"/>
  <c r="K28" i="5"/>
  <c r="J28" i="5"/>
  <c r="I28" i="5"/>
  <c r="H28" i="5"/>
  <c r="G28" i="5"/>
  <c r="F28" i="5"/>
  <c r="E28" i="5"/>
  <c r="D28" i="5"/>
  <c r="C28" i="5"/>
  <c r="B28" i="5"/>
  <c r="K27" i="5"/>
  <c r="J27" i="5"/>
  <c r="I27" i="5"/>
  <c r="H27" i="5"/>
  <c r="G27" i="5"/>
  <c r="F27" i="5"/>
  <c r="E27" i="5"/>
  <c r="D27" i="5"/>
  <c r="C27" i="5"/>
  <c r="B27" i="5"/>
  <c r="K26" i="5"/>
  <c r="J26" i="5"/>
  <c r="I26" i="5"/>
  <c r="H26" i="5"/>
  <c r="G26" i="5"/>
  <c r="F26" i="5"/>
  <c r="E26" i="5"/>
  <c r="D26" i="5"/>
  <c r="C26" i="5"/>
  <c r="B26" i="5"/>
  <c r="K25" i="5"/>
  <c r="J25" i="5"/>
  <c r="I25" i="5"/>
  <c r="H25" i="5"/>
  <c r="G25" i="5"/>
  <c r="F25" i="5"/>
  <c r="E25" i="5"/>
  <c r="D25" i="5"/>
  <c r="C25" i="5"/>
  <c r="B25" i="5"/>
  <c r="L24" i="5"/>
  <c r="K24" i="5"/>
  <c r="J24" i="5"/>
  <c r="I24" i="5"/>
  <c r="H24" i="5"/>
  <c r="G24" i="5"/>
  <c r="F24" i="5"/>
  <c r="E24" i="5"/>
  <c r="D24" i="5"/>
  <c r="C24" i="5"/>
  <c r="B24" i="5"/>
  <c r="L23" i="5"/>
  <c r="K23" i="5"/>
  <c r="J23" i="5"/>
  <c r="I23" i="5"/>
  <c r="I35" i="5" s="1"/>
  <c r="I4" i="5" s="1"/>
  <c r="H23" i="5"/>
  <c r="H35" i="5" s="1"/>
  <c r="H4" i="5" s="1"/>
  <c r="G23" i="5"/>
  <c r="G35" i="5" s="1"/>
  <c r="G4" i="5" s="1"/>
  <c r="F23" i="5"/>
  <c r="F35" i="5" s="1"/>
  <c r="F4" i="5" s="1"/>
  <c r="F13" i="5" s="1"/>
  <c r="E23" i="5"/>
  <c r="E35" i="5" s="1"/>
  <c r="E4" i="5" s="1"/>
  <c r="E13" i="5" s="1"/>
  <c r="D23" i="5"/>
  <c r="D35" i="5" s="1"/>
  <c r="D4" i="5" s="1"/>
  <c r="C23" i="5"/>
  <c r="C35" i="5" s="1"/>
  <c r="C4" i="5" s="1"/>
  <c r="B23" i="5"/>
  <c r="B35" i="5" s="1"/>
  <c r="B4" i="5" s="1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M12" i="5"/>
  <c r="M4" i="5" s="1"/>
  <c r="L12" i="5"/>
  <c r="L4" i="5" s="1"/>
  <c r="P123" i="4"/>
  <c r="P122" i="4"/>
  <c r="O122" i="4"/>
  <c r="O110" i="4"/>
  <c r="O98" i="4"/>
  <c r="O87" i="4"/>
  <c r="O74" i="4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D21" i="1"/>
  <c r="C21" i="1"/>
  <c r="O39" i="7" l="1"/>
  <c r="B9" i="5"/>
  <c r="F9" i="5"/>
  <c r="G9" i="5"/>
  <c r="I9" i="5"/>
  <c r="J13" i="9"/>
  <c r="K10" i="6"/>
  <c r="L3" i="6" s="1"/>
  <c r="L6" i="6" s="1"/>
  <c r="L10" i="6" s="1"/>
  <c r="M3" i="6" s="1"/>
  <c r="M6" i="6" s="1"/>
  <c r="D10" i="9"/>
  <c r="E10" i="9"/>
  <c r="E16" i="9"/>
  <c r="N13" i="6"/>
  <c r="AF82" i="7"/>
  <c r="AF50" i="7"/>
  <c r="AF66" i="7"/>
  <c r="AF18" i="7"/>
  <c r="AF34" i="7" s="1"/>
  <c r="AG13" i="7"/>
  <c r="O13" i="6"/>
  <c r="AG82" i="7"/>
  <c r="AG50" i="7"/>
  <c r="AG66" i="7"/>
  <c r="AG18" i="7"/>
  <c r="AG34" i="7" s="1"/>
  <c r="AA42" i="7"/>
  <c r="AB44" i="7"/>
  <c r="AC31" i="7"/>
  <c r="AC13" i="7"/>
  <c r="T31" i="7"/>
  <c r="T13" i="7"/>
  <c r="P13" i="6"/>
  <c r="L66" i="7"/>
  <c r="L18" i="7"/>
  <c r="L34" i="7" s="1"/>
  <c r="L50" i="7"/>
  <c r="AH82" i="7"/>
  <c r="AH50" i="7"/>
  <c r="AH66" i="7"/>
  <c r="AH18" i="7"/>
  <c r="AH34" i="7" s="1"/>
  <c r="AB42" i="7"/>
  <c r="E51" i="5"/>
  <c r="E5" i="5" s="1"/>
  <c r="K9" i="5"/>
  <c r="AE82" i="7"/>
  <c r="AE50" i="7"/>
  <c r="AE66" i="7"/>
  <c r="AE18" i="7"/>
  <c r="AE34" i="7" s="1"/>
  <c r="M66" i="7"/>
  <c r="M82" i="7"/>
  <c r="M18" i="7"/>
  <c r="M34" i="7" s="1"/>
  <c r="M50" i="7"/>
  <c r="AI82" i="7"/>
  <c r="AI50" i="7"/>
  <c r="AI66" i="7"/>
  <c r="AI18" i="7"/>
  <c r="AI34" i="7" s="1"/>
  <c r="X13" i="7"/>
  <c r="X31" i="7"/>
  <c r="B51" i="5"/>
  <c r="B5" i="5" s="1"/>
  <c r="B6" i="5" s="1"/>
  <c r="B10" i="5" s="1"/>
  <c r="C3" i="5" s="1"/>
  <c r="H9" i="5"/>
  <c r="G12" i="5"/>
  <c r="G13" i="5" s="1"/>
  <c r="R13" i="6"/>
  <c r="N82" i="7"/>
  <c r="N18" i="7"/>
  <c r="N34" i="7" s="1"/>
  <c r="N50" i="7"/>
  <c r="N66" i="7"/>
  <c r="AJ66" i="7"/>
  <c r="AJ50" i="7"/>
  <c r="AJ82" i="7"/>
  <c r="AJ18" i="7"/>
  <c r="AJ34" i="7" s="1"/>
  <c r="Y13" i="7"/>
  <c r="Y31" i="7"/>
  <c r="AA45" i="7"/>
  <c r="F16" i="9"/>
  <c r="I13" i="5"/>
  <c r="C51" i="5"/>
  <c r="C5" i="5" s="1"/>
  <c r="H12" i="5"/>
  <c r="H13" i="5" s="1"/>
  <c r="Z31" i="7"/>
  <c r="Z13" i="7"/>
  <c r="E70" i="8"/>
  <c r="K51" i="5"/>
  <c r="K5" i="5" s="1"/>
  <c r="AH43" i="7"/>
  <c r="V45" i="7"/>
  <c r="D51" i="5"/>
  <c r="D5" i="5" s="1"/>
  <c r="I12" i="5"/>
  <c r="AJ41" i="7"/>
  <c r="L25" i="7"/>
  <c r="L23" i="7"/>
  <c r="L29" i="7"/>
  <c r="L24" i="7"/>
  <c r="L27" i="7"/>
  <c r="L28" i="7"/>
  <c r="L30" i="7"/>
  <c r="L46" i="7" s="1"/>
  <c r="O24" i="7"/>
  <c r="O19" i="7"/>
  <c r="O29" i="7"/>
  <c r="O28" i="7"/>
  <c r="O25" i="7"/>
  <c r="O27" i="7"/>
  <c r="O21" i="7"/>
  <c r="O20" i="7"/>
  <c r="O22" i="7"/>
  <c r="L13" i="5"/>
  <c r="L35" i="5"/>
  <c r="W45" i="7"/>
  <c r="J83" i="5"/>
  <c r="J8" i="5" s="1"/>
  <c r="L8" i="5" s="1"/>
  <c r="AF40" i="7"/>
  <c r="F51" i="5"/>
  <c r="F5" i="5" s="1"/>
  <c r="L26" i="7"/>
  <c r="AG25" i="7"/>
  <c r="AG21" i="7"/>
  <c r="AG29" i="7"/>
  <c r="AG20" i="7"/>
  <c r="AG22" i="7"/>
  <c r="AG23" i="7"/>
  <c r="AG28" i="7"/>
  <c r="AG26" i="7"/>
  <c r="AG19" i="7"/>
  <c r="AG24" i="7"/>
  <c r="AG27" i="7"/>
  <c r="AD31" i="7"/>
  <c r="AD13" i="7"/>
  <c r="O26" i="7"/>
  <c r="M20" i="7"/>
  <c r="M29" i="7"/>
  <c r="M22" i="7"/>
  <c r="M23" i="7"/>
  <c r="M24" i="7"/>
  <c r="M26" i="7"/>
  <c r="M21" i="7"/>
  <c r="M27" i="7"/>
  <c r="M19" i="7"/>
  <c r="M28" i="7"/>
  <c r="M25" i="7"/>
  <c r="B79" i="7"/>
  <c r="B5" i="7"/>
  <c r="B6" i="7" s="1"/>
  <c r="B10" i="7" s="1"/>
  <c r="C3" i="7" s="1"/>
  <c r="C6" i="7" s="1"/>
  <c r="C10" i="7" s="1"/>
  <c r="D3" i="7" s="1"/>
  <c r="D6" i="7" s="1"/>
  <c r="D10" i="7" s="1"/>
  <c r="E3" i="7" s="1"/>
  <c r="E6" i="7" s="1"/>
  <c r="E10" i="7" s="1"/>
  <c r="F3" i="7" s="1"/>
  <c r="F6" i="7" s="1"/>
  <c r="F10" i="7" s="1"/>
  <c r="H92" i="8"/>
  <c r="H77" i="8" s="1"/>
  <c r="H76" i="8"/>
  <c r="AE22" i="7"/>
  <c r="AE28" i="7"/>
  <c r="AE20" i="7"/>
  <c r="AE29" i="7"/>
  <c r="AE21" i="7"/>
  <c r="AE27" i="7"/>
  <c r="AE25" i="7"/>
  <c r="AE23" i="7"/>
  <c r="AE26" i="7"/>
  <c r="AE19" i="7"/>
  <c r="AE24" i="7"/>
  <c r="M13" i="5"/>
  <c r="M35" i="5"/>
  <c r="AI42" i="7"/>
  <c r="P31" i="7"/>
  <c r="P13" i="7"/>
  <c r="AI20" i="7"/>
  <c r="AI22" i="7"/>
  <c r="AI24" i="7"/>
  <c r="AI25" i="7"/>
  <c r="AI23" i="7"/>
  <c r="AI28" i="7"/>
  <c r="AB40" i="7"/>
  <c r="AF27" i="7"/>
  <c r="B86" i="8"/>
  <c r="B71" i="8" s="1"/>
  <c r="B32" i="8"/>
  <c r="B4" i="8" s="1"/>
  <c r="B6" i="8" s="1"/>
  <c r="B9" i="8" s="1"/>
  <c r="B7" i="8" s="1"/>
  <c r="Q13" i="7"/>
  <c r="Q31" i="7"/>
  <c r="N13" i="7"/>
  <c r="N31" i="7"/>
  <c r="AJ20" i="7"/>
  <c r="AJ19" i="7"/>
  <c r="AJ21" i="7"/>
  <c r="AJ22" i="7"/>
  <c r="AJ23" i="7"/>
  <c r="AJ24" i="7"/>
  <c r="AJ28" i="7"/>
  <c r="AJ26" i="7"/>
  <c r="AF26" i="7"/>
  <c r="S13" i="7"/>
  <c r="S31" i="7"/>
  <c r="AA35" i="7"/>
  <c r="AI27" i="7"/>
  <c r="E73" i="8"/>
  <c r="AI45" i="7"/>
  <c r="AI21" i="7"/>
  <c r="AJ27" i="7"/>
  <c r="AF22" i="7"/>
  <c r="AF21" i="7"/>
  <c r="AF20" i="7"/>
  <c r="AF29" i="7"/>
  <c r="AF25" i="7"/>
  <c r="AF23" i="7"/>
  <c r="AF28" i="7"/>
  <c r="G51" i="5"/>
  <c r="G5" i="5" s="1"/>
  <c r="U31" i="7"/>
  <c r="U13" i="7"/>
  <c r="AF19" i="7"/>
  <c r="AF30" i="7" s="1"/>
  <c r="AF46" i="7" s="1"/>
  <c r="N12" i="5"/>
  <c r="V40" i="7"/>
  <c r="AH25" i="7"/>
  <c r="AH21" i="7"/>
  <c r="AH20" i="7"/>
  <c r="AH19" i="7"/>
  <c r="AH23" i="7"/>
  <c r="AH28" i="7"/>
  <c r="AH26" i="7"/>
  <c r="R13" i="7"/>
  <c r="R31" i="7"/>
  <c r="AA82" i="7"/>
  <c r="AA18" i="7"/>
  <c r="AA34" i="7" s="1"/>
  <c r="AA50" i="7"/>
  <c r="AA66" i="7"/>
  <c r="V28" i="7"/>
  <c r="V26" i="7"/>
  <c r="V27" i="7"/>
  <c r="V19" i="7"/>
  <c r="V22" i="7"/>
  <c r="V25" i="7"/>
  <c r="V20" i="7"/>
  <c r="AH24" i="7"/>
  <c r="J48" i="8"/>
  <c r="J5" i="8" s="1"/>
  <c r="K35" i="5"/>
  <c r="K4" i="5" s="1"/>
  <c r="K13" i="5" s="1"/>
  <c r="AB82" i="7"/>
  <c r="AB18" i="7"/>
  <c r="AB34" i="7" s="1"/>
  <c r="AB50" i="7"/>
  <c r="AB66" i="7"/>
  <c r="AI19" i="7"/>
  <c r="J35" i="5"/>
  <c r="J4" i="5" s="1"/>
  <c r="J13" i="5" s="1"/>
  <c r="H67" i="5"/>
  <c r="H7" i="5" s="1"/>
  <c r="H9" i="9" s="1"/>
  <c r="AJ45" i="7"/>
  <c r="F48" i="8"/>
  <c r="F5" i="8" s="1"/>
  <c r="I51" i="5"/>
  <c r="I5" i="5" s="1"/>
  <c r="K12" i="5"/>
  <c r="U12" i="6"/>
  <c r="AC18" i="7"/>
  <c r="AC34" i="7" s="1"/>
  <c r="AC50" i="7"/>
  <c r="AC66" i="7"/>
  <c r="AC82" i="7"/>
  <c r="AA24" i="7"/>
  <c r="AA23" i="7"/>
  <c r="AA27" i="7"/>
  <c r="AA28" i="7"/>
  <c r="AA20" i="7"/>
  <c r="AA25" i="7"/>
  <c r="AH22" i="7"/>
  <c r="AH30" i="7" s="1"/>
  <c r="AH46" i="7" s="1"/>
  <c r="AD82" i="7"/>
  <c r="AD66" i="7"/>
  <c r="I67" i="5"/>
  <c r="I7" i="5" s="1"/>
  <c r="I9" i="9" s="1"/>
  <c r="O66" i="7"/>
  <c r="O18" i="7"/>
  <c r="O34" i="7" s="1"/>
  <c r="O82" i="7"/>
  <c r="AK66" i="7"/>
  <c r="AK18" i="7"/>
  <c r="AK34" i="7" s="1"/>
  <c r="K67" i="5"/>
  <c r="K7" i="5" s="1"/>
  <c r="K9" i="9" s="1"/>
  <c r="Q66" i="7"/>
  <c r="Q18" i="7"/>
  <c r="Q34" i="7" s="1"/>
  <c r="Q50" i="7"/>
  <c r="Q82" i="7"/>
  <c r="C86" i="8"/>
  <c r="C71" i="8" s="1"/>
  <c r="C32" i="8"/>
  <c r="C4" i="8" s="1"/>
  <c r="J51" i="5"/>
  <c r="J5" i="5" s="1"/>
  <c r="W22" i="7"/>
  <c r="W26" i="7"/>
  <c r="W25" i="7"/>
  <c r="W24" i="7"/>
  <c r="W27" i="7"/>
  <c r="W28" i="7"/>
  <c r="W20" i="7"/>
  <c r="D86" i="8"/>
  <c r="D71" i="8" s="1"/>
  <c r="D32" i="8"/>
  <c r="D4" i="8" s="1"/>
  <c r="E86" i="8"/>
  <c r="E71" i="8" s="1"/>
  <c r="E32" i="8"/>
  <c r="E4" i="8" s="1"/>
  <c r="B77" i="8"/>
  <c r="AB41" i="7"/>
  <c r="AK82" i="7"/>
  <c r="F86" i="8"/>
  <c r="F71" i="8" s="1"/>
  <c r="D76" i="8"/>
  <c r="E72" i="8"/>
  <c r="C77" i="8"/>
  <c r="G86" i="8"/>
  <c r="G71" i="8" s="1"/>
  <c r="E76" i="8"/>
  <c r="O50" i="7"/>
  <c r="Q13" i="8"/>
  <c r="H70" i="8"/>
  <c r="H86" i="8"/>
  <c r="H71" i="8" s="1"/>
  <c r="H32" i="8"/>
  <c r="H4" i="8" s="1"/>
  <c r="C83" i="5"/>
  <c r="C8" i="5" s="1"/>
  <c r="C9" i="5" s="1"/>
  <c r="K77" i="8"/>
  <c r="D83" i="5"/>
  <c r="D8" i="5" s="1"/>
  <c r="D9" i="5" s="1"/>
  <c r="W19" i="7"/>
  <c r="J71" i="8"/>
  <c r="E83" i="5"/>
  <c r="E8" i="5" s="1"/>
  <c r="E9" i="5" s="1"/>
  <c r="Y82" i="7"/>
  <c r="Y18" i="7"/>
  <c r="Y34" i="7" s="1"/>
  <c r="AK31" i="7"/>
  <c r="Y50" i="7"/>
  <c r="E74" i="8"/>
  <c r="B64" i="8"/>
  <c r="B8" i="8" s="1"/>
  <c r="P66" i="7"/>
  <c r="P50" i="7"/>
  <c r="AB23" i="7"/>
  <c r="AB22" i="7"/>
  <c r="F74" i="8"/>
  <c r="C64" i="8"/>
  <c r="C8" i="8" s="1"/>
  <c r="D96" i="8"/>
  <c r="E3" i="8"/>
  <c r="E6" i="8" s="1"/>
  <c r="E9" i="8" s="1"/>
  <c r="E7" i="8" s="1"/>
  <c r="E96" i="8"/>
  <c r="F3" i="8"/>
  <c r="F84" i="8"/>
  <c r="F69" i="8" s="1"/>
  <c r="F32" i="8"/>
  <c r="F4" i="8" s="1"/>
  <c r="I70" i="8"/>
  <c r="C68" i="8"/>
  <c r="B10" i="8"/>
  <c r="E64" i="8"/>
  <c r="E8" i="8" s="1"/>
  <c r="S66" i="7"/>
  <c r="S18" i="7"/>
  <c r="S34" i="7" s="1"/>
  <c r="S50" i="7"/>
  <c r="AB29" i="7"/>
  <c r="G84" i="8"/>
  <c r="G69" i="8" s="1"/>
  <c r="G32" i="8"/>
  <c r="G4" i="8" s="1"/>
  <c r="J70" i="8"/>
  <c r="D68" i="8"/>
  <c r="C10" i="8"/>
  <c r="I96" i="8"/>
  <c r="J3" i="8"/>
  <c r="J6" i="8" s="1"/>
  <c r="J9" i="8" s="1"/>
  <c r="J7" i="8" s="1"/>
  <c r="I84" i="8"/>
  <c r="I69" i="8" s="1"/>
  <c r="I68" i="8"/>
  <c r="I32" i="8"/>
  <c r="I4" i="8" s="1"/>
  <c r="G73" i="8"/>
  <c r="K74" i="8"/>
  <c r="AB19" i="7"/>
  <c r="J84" i="8"/>
  <c r="J69" i="8" s="1"/>
  <c r="J32" i="8"/>
  <c r="J4" i="8" s="1"/>
  <c r="D72" i="8"/>
  <c r="B76" i="8"/>
  <c r="G68" i="8"/>
  <c r="F10" i="8"/>
  <c r="C48" i="8"/>
  <c r="C5" i="8" s="1"/>
  <c r="L5" i="8" s="1"/>
  <c r="H68" i="8"/>
  <c r="G10" i="8"/>
  <c r="W82" i="7"/>
  <c r="W50" i="7"/>
  <c r="AB27" i="7"/>
  <c r="D48" i="8"/>
  <c r="D5" i="8" s="1"/>
  <c r="J113" i="8"/>
  <c r="J128" i="8"/>
  <c r="E48" i="8"/>
  <c r="E5" i="8" s="1"/>
  <c r="J75" i="8"/>
  <c r="B68" i="8"/>
  <c r="J68" i="8"/>
  <c r="K73" i="8"/>
  <c r="I89" i="8"/>
  <c r="I74" i="8" s="1"/>
  <c r="I73" i="8"/>
  <c r="I75" i="8"/>
  <c r="F76" i="8"/>
  <c r="F77" i="8"/>
  <c r="F73" i="8"/>
  <c r="G77" i="8"/>
  <c r="F68" i="8"/>
  <c r="F32" i="9"/>
  <c r="F4" i="9" s="1"/>
  <c r="F15" i="9" s="1"/>
  <c r="H73" i="8"/>
  <c r="G32" i="9"/>
  <c r="G4" i="9" s="1"/>
  <c r="G15" i="9" s="1"/>
  <c r="F79" i="8"/>
  <c r="B70" i="8"/>
  <c r="J73" i="8"/>
  <c r="H32" i="9"/>
  <c r="H4" i="9" s="1"/>
  <c r="G79" i="8"/>
  <c r="I32" i="9"/>
  <c r="I4" i="9" s="1"/>
  <c r="I15" i="9" s="1"/>
  <c r="D70" i="8"/>
  <c r="R18" i="7"/>
  <c r="R34" i="7" s="1"/>
  <c r="D69" i="8"/>
  <c r="V82" i="7"/>
  <c r="V50" i="7"/>
  <c r="K72" i="8"/>
  <c r="K84" i="8"/>
  <c r="K69" i="8" s="1"/>
  <c r="K68" i="8"/>
  <c r="I72" i="8"/>
  <c r="E78" i="8"/>
  <c r="F64" i="8"/>
  <c r="F8" i="8" s="1"/>
  <c r="G48" i="9"/>
  <c r="G5" i="9" s="1"/>
  <c r="L68" i="8"/>
  <c r="J72" i="8"/>
  <c r="F78" i="8"/>
  <c r="K32" i="8"/>
  <c r="K4" i="8" s="1"/>
  <c r="G64" i="8"/>
  <c r="G8" i="8" s="1"/>
  <c r="H48" i="9"/>
  <c r="H5" i="9" s="1"/>
  <c r="B73" i="8"/>
  <c r="I6" i="9"/>
  <c r="J6" i="9"/>
  <c r="C73" i="8"/>
  <c r="B79" i="8"/>
  <c r="C79" i="8"/>
  <c r="J78" i="8"/>
  <c r="D79" i="8"/>
  <c r="L84" i="8"/>
  <c r="L69" i="8" s="1"/>
  <c r="H78" i="8"/>
  <c r="C76" i="8"/>
  <c r="K78" i="8"/>
  <c r="E79" i="8"/>
  <c r="K48" i="8"/>
  <c r="K5" i="8" s="1"/>
  <c r="D73" i="8"/>
  <c r="I78" i="8"/>
  <c r="K80" i="9"/>
  <c r="K7" i="9" s="1"/>
  <c r="K71" i="8"/>
  <c r="E68" i="8"/>
  <c r="F48" i="9"/>
  <c r="F5" i="9" s="1"/>
  <c r="I80" i="9"/>
  <c r="I7" i="9" s="1"/>
  <c r="J80" i="9"/>
  <c r="J7" i="9" s="1"/>
  <c r="J76" i="8"/>
  <c r="G78" i="8"/>
  <c r="E48" i="9"/>
  <c r="E5" i="9" s="1"/>
  <c r="K76" i="8"/>
  <c r="B80" i="9"/>
  <c r="B7" i="9" s="1"/>
  <c r="B13" i="9" s="1"/>
  <c r="E32" i="9"/>
  <c r="E4" i="9" s="1"/>
  <c r="K32" i="9"/>
  <c r="K4" i="9" s="1"/>
  <c r="K6" i="9" s="1"/>
  <c r="C48" i="9"/>
  <c r="C5" i="9" s="1"/>
  <c r="C80" i="9"/>
  <c r="C7" i="9" s="1"/>
  <c r="F64" i="9"/>
  <c r="F8" i="9" s="1"/>
  <c r="G80" i="9"/>
  <c r="G7" i="9" s="1"/>
  <c r="G64" i="9"/>
  <c r="G8" i="9" s="1"/>
  <c r="H80" i="9"/>
  <c r="H7" i="9" s="1"/>
  <c r="E128" i="8"/>
  <c r="E113" i="8"/>
  <c r="H64" i="9"/>
  <c r="H8" i="9" s="1"/>
  <c r="F113" i="8"/>
  <c r="G128" i="8"/>
  <c r="G113" i="8"/>
  <c r="H128" i="8"/>
  <c r="H113" i="8"/>
  <c r="I128" i="8"/>
  <c r="I113" i="8"/>
  <c r="J32" i="9"/>
  <c r="J4" i="9" s="1"/>
  <c r="J15" i="9" s="1"/>
  <c r="L111" i="8"/>
  <c r="K128" i="8"/>
  <c r="B32" i="9"/>
  <c r="B4" i="9" s="1"/>
  <c r="C32" i="9"/>
  <c r="C4" i="9" s="1"/>
  <c r="C15" i="9" s="1"/>
  <c r="D32" i="9"/>
  <c r="D4" i="9" s="1"/>
  <c r="D15" i="9" s="1"/>
  <c r="K113" i="8"/>
  <c r="B48" i="9"/>
  <c r="B5" i="9" s="1"/>
  <c r="B64" i="9"/>
  <c r="B8" i="9" s="1"/>
  <c r="L83" i="5" l="1"/>
  <c r="M8" i="5"/>
  <c r="K11" i="9"/>
  <c r="M7" i="6"/>
  <c r="M9" i="6" s="1"/>
  <c r="M10" i="6" s="1"/>
  <c r="N3" i="6" s="1"/>
  <c r="N6" i="6" s="1"/>
  <c r="G3" i="7"/>
  <c r="G6" i="7" s="1"/>
  <c r="G10" i="7" s="1"/>
  <c r="F95" i="7"/>
  <c r="F79" i="7" s="1"/>
  <c r="L49" i="8"/>
  <c r="L48" i="8"/>
  <c r="G96" i="8"/>
  <c r="H3" i="8"/>
  <c r="H6" i="8" s="1"/>
  <c r="H9" i="8" s="1"/>
  <c r="H7" i="8" s="1"/>
  <c r="AE39" i="7"/>
  <c r="C6" i="5"/>
  <c r="C10" i="5" s="1"/>
  <c r="D3" i="5" s="1"/>
  <c r="L45" i="7"/>
  <c r="L41" i="7"/>
  <c r="AE45" i="7"/>
  <c r="AB45" i="7"/>
  <c r="AH42" i="7"/>
  <c r="AF36" i="7"/>
  <c r="AI39" i="7"/>
  <c r="AD26" i="7"/>
  <c r="AD22" i="7"/>
  <c r="AD21" i="7"/>
  <c r="AD19" i="7"/>
  <c r="AD28" i="7"/>
  <c r="AD20" i="7"/>
  <c r="AD27" i="7"/>
  <c r="AD25" i="7"/>
  <c r="AD23" i="7"/>
  <c r="AD24" i="7"/>
  <c r="AD29" i="7"/>
  <c r="AA43" i="7"/>
  <c r="AH44" i="7"/>
  <c r="AF37" i="7"/>
  <c r="AJ44" i="7"/>
  <c r="AI41" i="7"/>
  <c r="AE44" i="7"/>
  <c r="AG43" i="7"/>
  <c r="L33" i="5"/>
  <c r="L27" i="5"/>
  <c r="M27" i="5" s="1"/>
  <c r="L28" i="5"/>
  <c r="M28" i="5" s="1"/>
  <c r="L32" i="5"/>
  <c r="M32" i="5" s="1"/>
  <c r="L30" i="5"/>
  <c r="M30" i="5" s="1"/>
  <c r="L31" i="5"/>
  <c r="M31" i="5" s="1"/>
  <c r="L25" i="5"/>
  <c r="L34" i="5" s="1"/>
  <c r="L26" i="5"/>
  <c r="L29" i="5"/>
  <c r="V43" i="7"/>
  <c r="AI43" i="7"/>
  <c r="M37" i="7"/>
  <c r="M40" i="7"/>
  <c r="C10" i="9"/>
  <c r="C16" i="9"/>
  <c r="W38" i="7"/>
  <c r="AF43" i="7"/>
  <c r="X25" i="7"/>
  <c r="X26" i="7"/>
  <c r="X28" i="7"/>
  <c r="X19" i="7"/>
  <c r="X22" i="7"/>
  <c r="X27" i="7"/>
  <c r="X20" i="7"/>
  <c r="X21" i="7"/>
  <c r="X24" i="7"/>
  <c r="X23" i="7"/>
  <c r="X29" i="7"/>
  <c r="AA41" i="7"/>
  <c r="L102" i="8"/>
  <c r="L103" i="8"/>
  <c r="L104" i="8"/>
  <c r="L128" i="8"/>
  <c r="M111" i="8"/>
  <c r="L107" i="8"/>
  <c r="L108" i="8"/>
  <c r="L105" i="8"/>
  <c r="L106" i="8"/>
  <c r="L101" i="8"/>
  <c r="L110" i="8" s="1"/>
  <c r="L109" i="8"/>
  <c r="AE36" i="7"/>
  <c r="AK24" i="7"/>
  <c r="AK19" i="7"/>
  <c r="AK29" i="7"/>
  <c r="AK21" i="7"/>
  <c r="AK23" i="7"/>
  <c r="AK28" i="7"/>
  <c r="AK20" i="7"/>
  <c r="AK30" i="7" s="1"/>
  <c r="AK46" i="7" s="1"/>
  <c r="AK26" i="7"/>
  <c r="AK22" i="7"/>
  <c r="AK27" i="7"/>
  <c r="AK25" i="7"/>
  <c r="AA39" i="7"/>
  <c r="AH39" i="7"/>
  <c r="AF38" i="7"/>
  <c r="AJ40" i="7"/>
  <c r="AI40" i="7"/>
  <c r="AE38" i="7"/>
  <c r="AG40" i="7"/>
  <c r="Y27" i="7"/>
  <c r="Y25" i="7"/>
  <c r="Y24" i="7"/>
  <c r="Y23" i="7"/>
  <c r="Y26" i="7"/>
  <c r="Y19" i="7"/>
  <c r="Y29" i="7"/>
  <c r="Y21" i="7"/>
  <c r="Y22" i="7"/>
  <c r="Y20" i="7"/>
  <c r="Y28" i="7"/>
  <c r="AG41" i="7"/>
  <c r="W43" i="7"/>
  <c r="J81" i="8"/>
  <c r="J15" i="7"/>
  <c r="J15" i="8"/>
  <c r="B15" i="8"/>
  <c r="B81" i="8"/>
  <c r="B15" i="7"/>
  <c r="O38" i="7"/>
  <c r="AE35" i="7"/>
  <c r="G6" i="9"/>
  <c r="G11" i="9" s="1"/>
  <c r="L43" i="7"/>
  <c r="H80" i="8"/>
  <c r="AF39" i="7"/>
  <c r="AI35" i="7"/>
  <c r="AF41" i="7"/>
  <c r="L39" i="7"/>
  <c r="G80" i="8"/>
  <c r="AA30" i="7"/>
  <c r="AA46" i="7" s="1"/>
  <c r="O42" i="7"/>
  <c r="AF45" i="7"/>
  <c r="J80" i="8"/>
  <c r="K13" i="9"/>
  <c r="AH35" i="7"/>
  <c r="AJ38" i="7"/>
  <c r="AI36" i="7"/>
  <c r="AG42" i="7"/>
  <c r="O36" i="7"/>
  <c r="AE40" i="7"/>
  <c r="G10" i="9"/>
  <c r="G16" i="9"/>
  <c r="L8" i="9"/>
  <c r="M8" i="9" s="1"/>
  <c r="H13" i="9"/>
  <c r="AE42" i="7"/>
  <c r="M36" i="7"/>
  <c r="R29" i="7"/>
  <c r="R28" i="7"/>
  <c r="R25" i="7"/>
  <c r="R24" i="7"/>
  <c r="R27" i="7"/>
  <c r="R19" i="7"/>
  <c r="R22" i="7"/>
  <c r="R26" i="7"/>
  <c r="R20" i="7"/>
  <c r="R21" i="7"/>
  <c r="R23" i="7"/>
  <c r="AE30" i="7"/>
  <c r="AE46" i="7" s="1"/>
  <c r="L8" i="8"/>
  <c r="AA36" i="7"/>
  <c r="AI44" i="7"/>
  <c r="AJ39" i="7"/>
  <c r="AH36" i="7"/>
  <c r="AJ43" i="7"/>
  <c r="AJ37" i="7"/>
  <c r="AI30" i="7"/>
  <c r="AI46" i="7" s="1"/>
  <c r="AG44" i="7"/>
  <c r="O37" i="7"/>
  <c r="D6" i="5"/>
  <c r="D10" i="5" s="1"/>
  <c r="E3" i="5" s="1"/>
  <c r="E6" i="5" s="1"/>
  <c r="E10" i="5" s="1"/>
  <c r="F3" i="5" s="1"/>
  <c r="F6" i="5" s="1"/>
  <c r="F10" i="5" s="1"/>
  <c r="G3" i="5" s="1"/>
  <c r="G6" i="5" s="1"/>
  <c r="G10" i="5" s="1"/>
  <c r="H3" i="5" s="1"/>
  <c r="H6" i="5" s="1"/>
  <c r="H10" i="5" s="1"/>
  <c r="I3" i="5" s="1"/>
  <c r="I6" i="5" s="1"/>
  <c r="I10" i="5" s="1"/>
  <c r="J3" i="5" s="1"/>
  <c r="J6" i="5" s="1"/>
  <c r="J10" i="5" s="1"/>
  <c r="K3" i="5" s="1"/>
  <c r="K6" i="5" s="1"/>
  <c r="K10" i="5" s="1"/>
  <c r="L3" i="5" s="1"/>
  <c r="AF42" i="7"/>
  <c r="E15" i="9"/>
  <c r="M30" i="7"/>
  <c r="M46" i="7" s="1"/>
  <c r="W30" i="7"/>
  <c r="W46" i="7" s="1"/>
  <c r="AH40" i="7"/>
  <c r="AH37" i="7"/>
  <c r="AI37" i="7"/>
  <c r="AJ35" i="7"/>
  <c r="AJ47" i="7" s="1"/>
  <c r="AJ5" i="7" s="1"/>
  <c r="AJ6" i="7" s="1"/>
  <c r="AJ9" i="7" s="1"/>
  <c r="AG39" i="7"/>
  <c r="O43" i="7"/>
  <c r="E15" i="8"/>
  <c r="E81" i="8"/>
  <c r="E15" i="7"/>
  <c r="W40" i="7"/>
  <c r="V44" i="7"/>
  <c r="U28" i="7"/>
  <c r="U27" i="7"/>
  <c r="U26" i="7"/>
  <c r="U25" i="7"/>
  <c r="U19" i="7"/>
  <c r="U22" i="7"/>
  <c r="U24" i="7"/>
  <c r="U21" i="7"/>
  <c r="U20" i="7"/>
  <c r="U29" i="7"/>
  <c r="U23" i="7"/>
  <c r="L42" i="7"/>
  <c r="M39" i="7"/>
  <c r="L5" i="9"/>
  <c r="B6" i="9"/>
  <c r="M38" i="7"/>
  <c r="C96" i="8"/>
  <c r="D3" i="8"/>
  <c r="D6" i="8" s="1"/>
  <c r="D9" i="8" s="1"/>
  <c r="D7" i="8" s="1"/>
  <c r="L40" i="7"/>
  <c r="AB39" i="7"/>
  <c r="AE37" i="7"/>
  <c r="B10" i="9"/>
  <c r="F10" i="9"/>
  <c r="AJ42" i="7"/>
  <c r="AI38" i="7"/>
  <c r="B96" i="8"/>
  <c r="C3" i="8"/>
  <c r="C6" i="8" s="1"/>
  <c r="C9" i="8" s="1"/>
  <c r="C7" i="8" s="1"/>
  <c r="E80" i="8"/>
  <c r="V36" i="7"/>
  <c r="AH41" i="7"/>
  <c r="AJ36" i="7"/>
  <c r="P24" i="7"/>
  <c r="P19" i="7"/>
  <c r="P29" i="7"/>
  <c r="P26" i="7"/>
  <c r="P30" i="7" s="1"/>
  <c r="P46" i="7" s="1"/>
  <c r="P27" i="7"/>
  <c r="P21" i="7"/>
  <c r="P22" i="7"/>
  <c r="P25" i="7"/>
  <c r="P28" i="7"/>
  <c r="P20" i="7"/>
  <c r="P23" i="7"/>
  <c r="AG38" i="7"/>
  <c r="O41" i="7"/>
  <c r="T27" i="7"/>
  <c r="T26" i="7"/>
  <c r="T29" i="7"/>
  <c r="T24" i="7"/>
  <c r="T19" i="7"/>
  <c r="T22" i="7"/>
  <c r="T20" i="7"/>
  <c r="T25" i="7"/>
  <c r="T21" i="7"/>
  <c r="T30" i="7"/>
  <c r="T46" i="7" s="1"/>
  <c r="T23" i="7"/>
  <c r="T28" i="7"/>
  <c r="H16" i="9"/>
  <c r="H10" i="9"/>
  <c r="Z27" i="7"/>
  <c r="Z21" i="7"/>
  <c r="Z24" i="7"/>
  <c r="Z19" i="7"/>
  <c r="Z28" i="7"/>
  <c r="Z20" i="7"/>
  <c r="Z29" i="7"/>
  <c r="Z25" i="7"/>
  <c r="Z23" i="7"/>
  <c r="Z22" i="7"/>
  <c r="Z26" i="7"/>
  <c r="S23" i="7"/>
  <c r="S29" i="7"/>
  <c r="S28" i="7"/>
  <c r="S27" i="7"/>
  <c r="S26" i="7"/>
  <c r="S25" i="7"/>
  <c r="S24" i="7"/>
  <c r="S19" i="7"/>
  <c r="S22" i="7"/>
  <c r="S21" i="7"/>
  <c r="S20" i="7"/>
  <c r="D80" i="8"/>
  <c r="AH38" i="7"/>
  <c r="K80" i="8"/>
  <c r="G3" i="8"/>
  <c r="G6" i="8" s="1"/>
  <c r="G9" i="8" s="1"/>
  <c r="G7" i="8" s="1"/>
  <c r="F96" i="8"/>
  <c r="F70" i="8"/>
  <c r="F80" i="8" s="1"/>
  <c r="E6" i="9"/>
  <c r="E11" i="9" s="1"/>
  <c r="AA44" i="7"/>
  <c r="J16" i="9"/>
  <c r="J10" i="9"/>
  <c r="J11" i="9" s="1"/>
  <c r="AG35" i="7"/>
  <c r="U4" i="6"/>
  <c r="V12" i="6"/>
  <c r="V4" i="6" s="1"/>
  <c r="V41" i="7"/>
  <c r="AJ30" i="7"/>
  <c r="AJ46" i="7" s="1"/>
  <c r="M41" i="7"/>
  <c r="AG30" i="7"/>
  <c r="AG46" i="7" s="1"/>
  <c r="J9" i="5"/>
  <c r="O44" i="7"/>
  <c r="W44" i="7"/>
  <c r="W41" i="7"/>
  <c r="L5" i="5"/>
  <c r="W42" i="7"/>
  <c r="AE43" i="7"/>
  <c r="D6" i="9"/>
  <c r="D11" i="9" s="1"/>
  <c r="I16" i="9"/>
  <c r="I10" i="9"/>
  <c r="I11" i="9" s="1"/>
  <c r="F6" i="9"/>
  <c r="K10" i="9"/>
  <c r="K16" i="9"/>
  <c r="L7" i="9"/>
  <c r="C70" i="8"/>
  <c r="C80" i="8" s="1"/>
  <c r="H6" i="9"/>
  <c r="H11" i="9" s="1"/>
  <c r="W35" i="7"/>
  <c r="W47" i="7" s="1"/>
  <c r="W5" i="7" s="1"/>
  <c r="W6" i="7" s="1"/>
  <c r="W9" i="7" s="1"/>
  <c r="R13" i="8"/>
  <c r="V30" i="7"/>
  <c r="V46" i="7" s="1"/>
  <c r="N19" i="7"/>
  <c r="N23" i="7"/>
  <c r="N24" i="7"/>
  <c r="N25" i="7"/>
  <c r="N26" i="7"/>
  <c r="N29" i="7"/>
  <c r="N21" i="7"/>
  <c r="N27" i="7"/>
  <c r="N22" i="7"/>
  <c r="N28" i="7"/>
  <c r="N20" i="7"/>
  <c r="M44" i="7"/>
  <c r="AG36" i="7"/>
  <c r="O45" i="7"/>
  <c r="G13" i="9"/>
  <c r="C6" i="9"/>
  <c r="AF44" i="7"/>
  <c r="M45" i="7"/>
  <c r="M5" i="8"/>
  <c r="C13" i="9"/>
  <c r="AB35" i="7"/>
  <c r="AB30" i="7"/>
  <c r="AB46" i="7" s="1"/>
  <c r="AA40" i="7"/>
  <c r="AA47" i="7" s="1"/>
  <c r="AA5" i="7" s="1"/>
  <c r="AA6" i="7" s="1"/>
  <c r="AA9" i="7" s="1"/>
  <c r="B80" i="8"/>
  <c r="L4" i="8"/>
  <c r="H15" i="9"/>
  <c r="N5" i="8"/>
  <c r="I80" i="8"/>
  <c r="M68" i="8" s="1"/>
  <c r="F6" i="8"/>
  <c r="F9" i="8" s="1"/>
  <c r="F7" i="8" s="1"/>
  <c r="V38" i="7"/>
  <c r="N4" i="5"/>
  <c r="O12" i="5"/>
  <c r="M35" i="7"/>
  <c r="AG45" i="7"/>
  <c r="O30" i="7"/>
  <c r="O46" i="7" s="1"/>
  <c r="AC26" i="7"/>
  <c r="AC20" i="7"/>
  <c r="AC23" i="7"/>
  <c r="AC27" i="7"/>
  <c r="AC19" i="7"/>
  <c r="AC28" i="7"/>
  <c r="AC29" i="7"/>
  <c r="AC21" i="7"/>
  <c r="AC22" i="7"/>
  <c r="AC25" i="7"/>
  <c r="AC24" i="7"/>
  <c r="D16" i="9"/>
  <c r="AF35" i="7"/>
  <c r="O40" i="7"/>
  <c r="G70" i="8"/>
  <c r="V42" i="7"/>
  <c r="M42" i="7"/>
  <c r="L44" i="7"/>
  <c r="AB38" i="7"/>
  <c r="AE41" i="7"/>
  <c r="K15" i="9"/>
  <c r="L4" i="9"/>
  <c r="I6" i="8"/>
  <c r="I9" i="8" s="1"/>
  <c r="I7" i="8" s="1"/>
  <c r="K6" i="8"/>
  <c r="K9" i="8" s="1"/>
  <c r="K7" i="8" s="1"/>
  <c r="AB43" i="7"/>
  <c r="W36" i="7"/>
  <c r="I13" i="9"/>
  <c r="V35" i="7"/>
  <c r="V47" i="7" s="1"/>
  <c r="V5" i="7" s="1"/>
  <c r="V6" i="7" s="1"/>
  <c r="V9" i="7" s="1"/>
  <c r="Q29" i="7"/>
  <c r="Q28" i="7"/>
  <c r="Q27" i="7"/>
  <c r="Q24" i="7"/>
  <c r="Q25" i="7"/>
  <c r="Q26" i="7"/>
  <c r="Q19" i="7"/>
  <c r="Q22" i="7"/>
  <c r="Q21" i="7"/>
  <c r="Q23" i="7"/>
  <c r="Q20" i="7"/>
  <c r="M23" i="5"/>
  <c r="M29" i="5"/>
  <c r="M26" i="5"/>
  <c r="M24" i="5"/>
  <c r="M33" i="5"/>
  <c r="M43" i="7"/>
  <c r="AG37" i="7"/>
  <c r="O35" i="7"/>
  <c r="N68" i="8" l="1"/>
  <c r="P68" i="8" s="1"/>
  <c r="O68" i="8"/>
  <c r="AA7" i="7"/>
  <c r="AA11" i="7"/>
  <c r="M64" i="9"/>
  <c r="N8" i="9"/>
  <c r="N64" i="9" s="1"/>
  <c r="N7" i="6"/>
  <c r="N9" i="6" s="1"/>
  <c r="N10" i="6" s="1"/>
  <c r="O3" i="6" s="1"/>
  <c r="O6" i="6" s="1"/>
  <c r="Y35" i="7"/>
  <c r="G81" i="8"/>
  <c r="G15" i="7"/>
  <c r="G15" i="8"/>
  <c r="U38" i="7"/>
  <c r="AD36" i="7"/>
  <c r="Z45" i="7"/>
  <c r="N44" i="7"/>
  <c r="Z36" i="7"/>
  <c r="U43" i="7"/>
  <c r="R40" i="7"/>
  <c r="N37" i="7"/>
  <c r="R41" i="7"/>
  <c r="AK35" i="7"/>
  <c r="AD42" i="7"/>
  <c r="U39" i="7"/>
  <c r="AD45" i="7"/>
  <c r="T37" i="7"/>
  <c r="AD40" i="7"/>
  <c r="AC45" i="7"/>
  <c r="U36" i="7"/>
  <c r="AC44" i="7"/>
  <c r="T36" i="7"/>
  <c r="AC35" i="7"/>
  <c r="T38" i="7"/>
  <c r="L74" i="8"/>
  <c r="L76" i="8"/>
  <c r="AK44" i="7"/>
  <c r="M25" i="5"/>
  <c r="M34" i="5" s="1"/>
  <c r="Y41" i="7"/>
  <c r="U41" i="7"/>
  <c r="S36" i="7"/>
  <c r="Z37" i="7"/>
  <c r="D15" i="8"/>
  <c r="D81" i="8"/>
  <c r="D15" i="7"/>
  <c r="R44" i="7"/>
  <c r="AK40" i="7"/>
  <c r="N8" i="5"/>
  <c r="W11" i="7"/>
  <c r="W7" i="7"/>
  <c r="X35" i="7"/>
  <c r="Q40" i="7"/>
  <c r="S39" i="7"/>
  <c r="Y37" i="7"/>
  <c r="R39" i="7"/>
  <c r="X42" i="7"/>
  <c r="Q44" i="7"/>
  <c r="Z38" i="7"/>
  <c r="AD41" i="7"/>
  <c r="Y42" i="7"/>
  <c r="AK36" i="7"/>
  <c r="Z30" i="7"/>
  <c r="Z46" i="7" s="1"/>
  <c r="M105" i="8"/>
  <c r="M109" i="8"/>
  <c r="M103" i="8"/>
  <c r="M104" i="8"/>
  <c r="N111" i="8"/>
  <c r="M102" i="8"/>
  <c r="M110" i="8" s="1"/>
  <c r="M107" i="8"/>
  <c r="M108" i="8"/>
  <c r="M99" i="8"/>
  <c r="M100" i="8"/>
  <c r="M106" i="8"/>
  <c r="M101" i="8"/>
  <c r="T45" i="7"/>
  <c r="L77" i="8"/>
  <c r="R43" i="7"/>
  <c r="N42" i="7"/>
  <c r="S37" i="7"/>
  <c r="Z43" i="7"/>
  <c r="L73" i="8"/>
  <c r="R45" i="7"/>
  <c r="AH47" i="7"/>
  <c r="AH5" i="7" s="1"/>
  <c r="AH6" i="7" s="1"/>
  <c r="AH9" i="7" s="1"/>
  <c r="L73" i="5"/>
  <c r="L82" i="5" s="1"/>
  <c r="L77" i="5"/>
  <c r="L81" i="5"/>
  <c r="L74" i="5"/>
  <c r="L79" i="5"/>
  <c r="L75" i="5"/>
  <c r="L80" i="5"/>
  <c r="L76" i="5"/>
  <c r="L78" i="5"/>
  <c r="AC38" i="7"/>
  <c r="Y38" i="7"/>
  <c r="N48" i="8"/>
  <c r="T41" i="7"/>
  <c r="AE47" i="7"/>
  <c r="AE5" i="7" s="1"/>
  <c r="AE6" i="7" s="1"/>
  <c r="AE9" i="7" s="1"/>
  <c r="N36" i="7"/>
  <c r="U35" i="7"/>
  <c r="U47" i="7" s="1"/>
  <c r="U5" i="7" s="1"/>
  <c r="U6" i="7" s="1"/>
  <c r="U9" i="7" s="1"/>
  <c r="AD35" i="7"/>
  <c r="Z44" i="7"/>
  <c r="AB47" i="7"/>
  <c r="AB5" i="7" s="1"/>
  <c r="AB6" i="7" s="1"/>
  <c r="AB9" i="7" s="1"/>
  <c r="N45" i="7"/>
  <c r="M48" i="8"/>
  <c r="S30" i="7"/>
  <c r="S46" i="7" s="1"/>
  <c r="O5" i="8"/>
  <c r="X45" i="7"/>
  <c r="Q43" i="7"/>
  <c r="Z42" i="7"/>
  <c r="Q45" i="7"/>
  <c r="Y40" i="7"/>
  <c r="AC36" i="7"/>
  <c r="L47" i="7"/>
  <c r="L5" i="7" s="1"/>
  <c r="AC42" i="7"/>
  <c r="T42" i="7"/>
  <c r="U42" i="7"/>
  <c r="H81" i="8"/>
  <c r="H15" i="7"/>
  <c r="H15" i="8"/>
  <c r="X39" i="7"/>
  <c r="X44" i="7"/>
  <c r="AK43" i="7"/>
  <c r="T40" i="7"/>
  <c r="L80" i="9"/>
  <c r="L16" i="9"/>
  <c r="M7" i="9"/>
  <c r="L7" i="5"/>
  <c r="N38" i="7"/>
  <c r="AD38" i="7"/>
  <c r="M47" i="7"/>
  <c r="M5" i="7" s="1"/>
  <c r="M6" i="7" s="1"/>
  <c r="M9" i="7" s="1"/>
  <c r="Q36" i="7"/>
  <c r="P36" i="7"/>
  <c r="B11" i="9"/>
  <c r="O8" i="8"/>
  <c r="M69" i="8"/>
  <c r="X40" i="7"/>
  <c r="L47" i="8"/>
  <c r="L39" i="8"/>
  <c r="L46" i="8"/>
  <c r="L41" i="8"/>
  <c r="L40" i="8"/>
  <c r="L38" i="8"/>
  <c r="L44" i="8"/>
  <c r="L45" i="8"/>
  <c r="L43" i="8"/>
  <c r="L42" i="8"/>
  <c r="H3" i="7"/>
  <c r="H6" i="7" s="1"/>
  <c r="H10" i="7" s="1"/>
  <c r="G95" i="7"/>
  <c r="G79" i="7" s="1"/>
  <c r="P45" i="7"/>
  <c r="R37" i="7"/>
  <c r="AK38" i="7"/>
  <c r="AC39" i="7"/>
  <c r="AK37" i="7"/>
  <c r="M83" i="5"/>
  <c r="Z40" i="7"/>
  <c r="L70" i="8"/>
  <c r="L70" i="7"/>
  <c r="O4" i="5"/>
  <c r="P12" i="5"/>
  <c r="N39" i="7"/>
  <c r="S35" i="7"/>
  <c r="Q39" i="7"/>
  <c r="N13" i="5"/>
  <c r="N35" i="5"/>
  <c r="N35" i="7"/>
  <c r="S40" i="7"/>
  <c r="P44" i="7"/>
  <c r="C81" i="8"/>
  <c r="C15" i="7"/>
  <c r="C15" i="8"/>
  <c r="L48" i="9"/>
  <c r="L6" i="9"/>
  <c r="N8" i="8"/>
  <c r="X37" i="7"/>
  <c r="N5" i="9"/>
  <c r="S38" i="7"/>
  <c r="N30" i="7"/>
  <c r="N46" i="7" s="1"/>
  <c r="AG47" i="7"/>
  <c r="AG5" i="7" s="1"/>
  <c r="AG6" i="7" s="1"/>
  <c r="AG9" i="7" s="1"/>
  <c r="P41" i="7"/>
  <c r="L78" i="8"/>
  <c r="X36" i="7"/>
  <c r="Q41" i="7"/>
  <c r="AC37" i="7"/>
  <c r="U45" i="7"/>
  <c r="AK41" i="7"/>
  <c r="AD39" i="7"/>
  <c r="P35" i="7"/>
  <c r="Q30" i="7"/>
  <c r="Q46" i="7" s="1"/>
  <c r="P40" i="7"/>
  <c r="U40" i="7"/>
  <c r="R36" i="7"/>
  <c r="AK42" i="7"/>
  <c r="AD43" i="7"/>
  <c r="AC43" i="7"/>
  <c r="Z41" i="7"/>
  <c r="R38" i="7"/>
  <c r="AK39" i="7"/>
  <c r="Y43" i="7"/>
  <c r="T43" i="7"/>
  <c r="AD37" i="7"/>
  <c r="N43" i="7"/>
  <c r="Z35" i="7"/>
  <c r="Z47" i="7" s="1"/>
  <c r="Z5" i="7" s="1"/>
  <c r="Z6" i="7" s="1"/>
  <c r="Z9" i="7" s="1"/>
  <c r="N41" i="7"/>
  <c r="V13" i="6"/>
  <c r="Q37" i="7"/>
  <c r="S41" i="7"/>
  <c r="Q38" i="7"/>
  <c r="I81" i="8"/>
  <c r="I15" i="7"/>
  <c r="I15" i="8"/>
  <c r="AC40" i="7"/>
  <c r="C11" i="9"/>
  <c r="S42" i="7"/>
  <c r="P38" i="7"/>
  <c r="Y44" i="7"/>
  <c r="L72" i="8"/>
  <c r="X30" i="7"/>
  <c r="X46" i="7" s="1"/>
  <c r="P42" i="7"/>
  <c r="L65" i="8"/>
  <c r="L64" i="8"/>
  <c r="Y45" i="7"/>
  <c r="L32" i="8"/>
  <c r="L6" i="8"/>
  <c r="L33" i="8"/>
  <c r="T35" i="7"/>
  <c r="T47" i="7" s="1"/>
  <c r="T5" i="7" s="1"/>
  <c r="T6" i="7" s="1"/>
  <c r="T9" i="7" s="1"/>
  <c r="R42" i="7"/>
  <c r="Y39" i="7"/>
  <c r="M8" i="8"/>
  <c r="AD44" i="7"/>
  <c r="R35" i="7"/>
  <c r="AI47" i="7"/>
  <c r="AI5" i="7" s="1"/>
  <c r="AI6" i="7" s="1"/>
  <c r="AI9" i="7" s="1"/>
  <c r="AF47" i="7"/>
  <c r="AF5" i="7" s="1"/>
  <c r="AF6" i="7" s="1"/>
  <c r="AF9" i="7" s="1"/>
  <c r="N40" i="7"/>
  <c r="P39" i="7"/>
  <c r="N4" i="8"/>
  <c r="N32" i="8" s="1"/>
  <c r="K81" i="8"/>
  <c r="K15" i="7"/>
  <c r="K15" i="8"/>
  <c r="U13" i="6"/>
  <c r="O4" i="8"/>
  <c r="O32" i="8" s="1"/>
  <c r="Q35" i="7"/>
  <c r="M4" i="8"/>
  <c r="M32" i="8" s="1"/>
  <c r="AC41" i="7"/>
  <c r="F81" i="8"/>
  <c r="F15" i="8"/>
  <c r="F15" i="7"/>
  <c r="M5" i="9"/>
  <c r="S43" i="7"/>
  <c r="T44" i="7"/>
  <c r="P37" i="7"/>
  <c r="Y36" i="7"/>
  <c r="X43" i="7"/>
  <c r="L75" i="8"/>
  <c r="S45" i="7"/>
  <c r="AJ7" i="7"/>
  <c r="AJ11" i="7"/>
  <c r="U37" i="7"/>
  <c r="X41" i="7"/>
  <c r="Z39" i="7"/>
  <c r="U30" i="7"/>
  <c r="U46" i="7" s="1"/>
  <c r="AD30" i="7"/>
  <c r="AD46" i="7" s="1"/>
  <c r="V11" i="7"/>
  <c r="V7" i="7"/>
  <c r="R30" i="7"/>
  <c r="R46" i="7" s="1"/>
  <c r="AK45" i="7"/>
  <c r="F11" i="9"/>
  <c r="U44" i="7"/>
  <c r="O47" i="7"/>
  <c r="O5" i="7" s="1"/>
  <c r="O6" i="7" s="1"/>
  <c r="O9" i="7" s="1"/>
  <c r="Q42" i="7"/>
  <c r="L32" i="9"/>
  <c r="L15" i="9"/>
  <c r="M4" i="9"/>
  <c r="AC30" i="7"/>
  <c r="AC46" i="7" s="1"/>
  <c r="L71" i="8"/>
  <c r="S13" i="8"/>
  <c r="L51" i="5"/>
  <c r="L6" i="5"/>
  <c r="S44" i="7"/>
  <c r="T39" i="7"/>
  <c r="P43" i="7"/>
  <c r="L64" i="9"/>
  <c r="M5" i="5"/>
  <c r="Y30" i="7"/>
  <c r="Y46" i="7" s="1"/>
  <c r="X38" i="7"/>
  <c r="O7" i="6" l="1"/>
  <c r="O9" i="6" s="1"/>
  <c r="O10" i="6"/>
  <c r="P3" i="6" s="1"/>
  <c r="P6" i="6" s="1"/>
  <c r="Q68" i="8"/>
  <c r="M51" i="5"/>
  <c r="O64" i="8"/>
  <c r="L58" i="9"/>
  <c r="M58" i="9" s="1"/>
  <c r="N58" i="9" s="1"/>
  <c r="L60" i="9"/>
  <c r="L54" i="9"/>
  <c r="L57" i="9"/>
  <c r="L55" i="9"/>
  <c r="N55" i="9" s="1"/>
  <c r="L61" i="9"/>
  <c r="N61" i="9" s="1"/>
  <c r="L59" i="9"/>
  <c r="N59" i="9" s="1"/>
  <c r="L62" i="9"/>
  <c r="M62" i="9" s="1"/>
  <c r="N62" i="9" s="1"/>
  <c r="L56" i="9"/>
  <c r="M56" i="9" s="1"/>
  <c r="L27" i="8"/>
  <c r="M27" i="8" s="1"/>
  <c r="L22" i="8"/>
  <c r="L86" i="8" s="1"/>
  <c r="L26" i="8"/>
  <c r="L23" i="8"/>
  <c r="L28" i="8"/>
  <c r="L29" i="8"/>
  <c r="L25" i="8"/>
  <c r="L30" i="8"/>
  <c r="L24" i="8"/>
  <c r="M71" i="5"/>
  <c r="M73" i="5"/>
  <c r="M74" i="5"/>
  <c r="M81" i="5"/>
  <c r="M77" i="5"/>
  <c r="M78" i="5"/>
  <c r="M79" i="5"/>
  <c r="M80" i="5"/>
  <c r="M75" i="5"/>
  <c r="M72" i="5"/>
  <c r="M82" i="5" s="1"/>
  <c r="M76" i="5"/>
  <c r="N83" i="5"/>
  <c r="O8" i="5"/>
  <c r="N64" i="8"/>
  <c r="M7" i="7"/>
  <c r="M11" i="7"/>
  <c r="O48" i="8"/>
  <c r="AC47" i="7"/>
  <c r="AC5" i="7" s="1"/>
  <c r="AC6" i="7" s="1"/>
  <c r="AC9" i="7" s="1"/>
  <c r="Y47" i="7"/>
  <c r="Y5" i="7" s="1"/>
  <c r="Y6" i="7" s="1"/>
  <c r="Y9" i="7" s="1"/>
  <c r="AF11" i="7"/>
  <c r="AF7" i="7"/>
  <c r="L57" i="8"/>
  <c r="L60" i="8"/>
  <c r="L58" i="8"/>
  <c r="L62" i="8"/>
  <c r="L54" i="8"/>
  <c r="L61" i="8"/>
  <c r="L55" i="8"/>
  <c r="L63" i="8" s="1"/>
  <c r="L56" i="8"/>
  <c r="L59" i="8"/>
  <c r="I3" i="7"/>
  <c r="I6" i="7" s="1"/>
  <c r="I10" i="7" s="1"/>
  <c r="H95" i="7"/>
  <c r="H79" i="7" s="1"/>
  <c r="AG11" i="7"/>
  <c r="AG7" i="7"/>
  <c r="N27" i="5"/>
  <c r="N28" i="5"/>
  <c r="N23" i="5"/>
  <c r="N24" i="5"/>
  <c r="N30" i="5"/>
  <c r="N25" i="5"/>
  <c r="N31" i="5"/>
  <c r="N26" i="5"/>
  <c r="N32" i="5"/>
  <c r="N33" i="5"/>
  <c r="N29" i="5"/>
  <c r="N34" i="5"/>
  <c r="N74" i="8"/>
  <c r="M74" i="8"/>
  <c r="AI7" i="7"/>
  <c r="AI11" i="7"/>
  <c r="M77" i="8"/>
  <c r="M59" i="9"/>
  <c r="M54" i="9"/>
  <c r="N54" i="9" s="1"/>
  <c r="M57" i="9"/>
  <c r="N57" i="9" s="1"/>
  <c r="M61" i="9"/>
  <c r="M55" i="9"/>
  <c r="M60" i="9"/>
  <c r="N60" i="9" s="1"/>
  <c r="M52" i="9"/>
  <c r="M53" i="9"/>
  <c r="T7" i="7"/>
  <c r="T11" i="7"/>
  <c r="N48" i="9"/>
  <c r="L10" i="5"/>
  <c r="M3" i="5" s="1"/>
  <c r="M6" i="5" s="1"/>
  <c r="M36" i="8"/>
  <c r="M47" i="8" s="1"/>
  <c r="M39" i="8"/>
  <c r="N39" i="8" s="1"/>
  <c r="M41" i="8"/>
  <c r="M46" i="8"/>
  <c r="M45" i="8"/>
  <c r="M38" i="8"/>
  <c r="N38" i="8" s="1"/>
  <c r="M37" i="8"/>
  <c r="M40" i="8"/>
  <c r="M44" i="8"/>
  <c r="N44" i="8" s="1"/>
  <c r="M43" i="8"/>
  <c r="N43" i="8" s="1"/>
  <c r="M42" i="8"/>
  <c r="N42" i="8" s="1"/>
  <c r="O13" i="5"/>
  <c r="O35" i="5"/>
  <c r="U11" i="7"/>
  <c r="U7" i="7"/>
  <c r="AH7" i="7"/>
  <c r="AH11" i="7"/>
  <c r="P8" i="8"/>
  <c r="T13" i="8"/>
  <c r="P5" i="8"/>
  <c r="L86" i="7"/>
  <c r="L9" i="9"/>
  <c r="L67" i="5"/>
  <c r="L9" i="5"/>
  <c r="L42" i="5"/>
  <c r="L43" i="5"/>
  <c r="L44" i="5"/>
  <c r="L46" i="5"/>
  <c r="L47" i="5"/>
  <c r="L41" i="5"/>
  <c r="L48" i="5"/>
  <c r="L49" i="5"/>
  <c r="L45" i="5"/>
  <c r="L79" i="8"/>
  <c r="M70" i="8"/>
  <c r="AB7" i="7"/>
  <c r="AB11" i="7"/>
  <c r="Z7" i="7"/>
  <c r="Z11" i="7"/>
  <c r="O7" i="7"/>
  <c r="O11" i="7"/>
  <c r="N69" i="8"/>
  <c r="AE11" i="7"/>
  <c r="AE7" i="7"/>
  <c r="P47" i="7"/>
  <c r="P5" i="7" s="1"/>
  <c r="P6" i="7" s="1"/>
  <c r="P9" i="7" s="1"/>
  <c r="N41" i="8"/>
  <c r="N36" i="8"/>
  <c r="N46" i="8"/>
  <c r="N45" i="8"/>
  <c r="N40" i="8"/>
  <c r="N37" i="8"/>
  <c r="S47" i="7"/>
  <c r="S5" i="7" s="1"/>
  <c r="S6" i="7" s="1"/>
  <c r="S9" i="7" s="1"/>
  <c r="AK47" i="7"/>
  <c r="AK5" i="7" s="1"/>
  <c r="AK6" i="7" s="1"/>
  <c r="AK9" i="7" s="1"/>
  <c r="M48" i="9"/>
  <c r="M6" i="9"/>
  <c r="O5" i="9"/>
  <c r="P4" i="5"/>
  <c r="Q12" i="5"/>
  <c r="M71" i="8"/>
  <c r="M72" i="8"/>
  <c r="N72" i="8" s="1"/>
  <c r="R47" i="7"/>
  <c r="R5" i="7" s="1"/>
  <c r="R6" i="7" s="1"/>
  <c r="R9" i="7" s="1"/>
  <c r="M64" i="8"/>
  <c r="P4" i="8"/>
  <c r="P32" i="8" s="1"/>
  <c r="M32" i="9"/>
  <c r="M15" i="9"/>
  <c r="N4" i="9"/>
  <c r="N6" i="9" s="1"/>
  <c r="N99" i="8"/>
  <c r="N109" i="8"/>
  <c r="N104" i="8"/>
  <c r="O111" i="8"/>
  <c r="N105" i="8"/>
  <c r="N102" i="8"/>
  <c r="N107" i="8"/>
  <c r="N103" i="8"/>
  <c r="N108" i="8"/>
  <c r="N101" i="8"/>
  <c r="N100" i="8"/>
  <c r="N110" i="8" s="1"/>
  <c r="N106" i="8"/>
  <c r="M75" i="8"/>
  <c r="P75" i="8" s="1"/>
  <c r="N75" i="8"/>
  <c r="O75" i="8"/>
  <c r="N47" i="7"/>
  <c r="N5" i="7" s="1"/>
  <c r="N6" i="7" s="1"/>
  <c r="N9" i="7" s="1"/>
  <c r="M73" i="8"/>
  <c r="N73" i="8"/>
  <c r="M76" i="8"/>
  <c r="R68" i="8"/>
  <c r="M80" i="9"/>
  <c r="M16" i="9"/>
  <c r="N7" i="9"/>
  <c r="M7" i="5"/>
  <c r="M25" i="8"/>
  <c r="N25" i="8" s="1"/>
  <c r="O25" i="8" s="1"/>
  <c r="M20" i="8"/>
  <c r="N20" i="8" s="1"/>
  <c r="M28" i="8"/>
  <c r="N28" i="8" s="1"/>
  <c r="O28" i="8" s="1"/>
  <c r="M29" i="8"/>
  <c r="N29" i="8" s="1"/>
  <c r="O29" i="8" s="1"/>
  <c r="M21" i="8"/>
  <c r="M30" i="8"/>
  <c r="M24" i="8"/>
  <c r="N24" i="8" s="1"/>
  <c r="O24" i="8" s="1"/>
  <c r="M78" i="8"/>
  <c r="L70" i="9"/>
  <c r="L79" i="9" s="1"/>
  <c r="L71" i="9"/>
  <c r="L72" i="9"/>
  <c r="L73" i="9"/>
  <c r="L74" i="9"/>
  <c r="L76" i="9"/>
  <c r="L75" i="9"/>
  <c r="L78" i="9"/>
  <c r="L77" i="9"/>
  <c r="AD47" i="7"/>
  <c r="AD5" i="7" s="1"/>
  <c r="AD6" i="7" s="1"/>
  <c r="AD9" i="7" s="1"/>
  <c r="N52" i="9"/>
  <c r="N53" i="9"/>
  <c r="X47" i="7"/>
  <c r="X5" i="7" s="1"/>
  <c r="X6" i="7" s="1"/>
  <c r="X9" i="7" s="1"/>
  <c r="L44" i="9"/>
  <c r="L45" i="9"/>
  <c r="L46" i="9"/>
  <c r="L39" i="9"/>
  <c r="L40" i="9"/>
  <c r="L41" i="9"/>
  <c r="L42" i="9"/>
  <c r="L43" i="9"/>
  <c r="L38" i="9"/>
  <c r="L47" i="9" s="1"/>
  <c r="L22" i="9"/>
  <c r="L24" i="9"/>
  <c r="L25" i="9"/>
  <c r="L29" i="9"/>
  <c r="L26" i="9"/>
  <c r="L30" i="9"/>
  <c r="L23" i="9"/>
  <c r="L28" i="9"/>
  <c r="L27" i="9"/>
  <c r="L31" i="9" s="1"/>
  <c r="Q47" i="7"/>
  <c r="Q5" i="7" s="1"/>
  <c r="Q6" i="7" s="1"/>
  <c r="Q9" i="7" s="1"/>
  <c r="O8" i="9"/>
  <c r="N56" i="9" l="1"/>
  <c r="M63" i="9"/>
  <c r="N23" i="8"/>
  <c r="P72" i="8"/>
  <c r="O20" i="8"/>
  <c r="N63" i="9"/>
  <c r="T68" i="8"/>
  <c r="N47" i="8"/>
  <c r="N77" i="8"/>
  <c r="O77" i="8" s="1"/>
  <c r="M22" i="8"/>
  <c r="N22" i="8" s="1"/>
  <c r="O73" i="8"/>
  <c r="P35" i="5"/>
  <c r="P13" i="5"/>
  <c r="P7" i="7"/>
  <c r="P11" i="7"/>
  <c r="N45" i="5"/>
  <c r="P45" i="5" s="1"/>
  <c r="O45" i="5"/>
  <c r="N30" i="8"/>
  <c r="O30" i="8" s="1"/>
  <c r="P64" i="8"/>
  <c r="Q8" i="8"/>
  <c r="Q4" i="5"/>
  <c r="R12" i="5"/>
  <c r="Y7" i="7"/>
  <c r="Y11" i="7"/>
  <c r="X7" i="7"/>
  <c r="X11" i="7"/>
  <c r="M71" i="9"/>
  <c r="M72" i="9"/>
  <c r="M73" i="9"/>
  <c r="M74" i="9"/>
  <c r="M75" i="9"/>
  <c r="M76" i="9"/>
  <c r="M78" i="9"/>
  <c r="M68" i="9"/>
  <c r="M79" i="9" s="1"/>
  <c r="M77" i="9"/>
  <c r="M69" i="9"/>
  <c r="M70" i="9"/>
  <c r="L71" i="7"/>
  <c r="L87" i="7" s="1"/>
  <c r="L31" i="8"/>
  <c r="M26" i="8"/>
  <c r="P73" i="8"/>
  <c r="O48" i="9"/>
  <c r="S68" i="8"/>
  <c r="N21" i="8"/>
  <c r="O21" i="8" s="1"/>
  <c r="O23" i="8"/>
  <c r="AC11" i="7"/>
  <c r="AC7" i="7"/>
  <c r="L13" i="9"/>
  <c r="L10" i="9"/>
  <c r="L11" i="9" s="1"/>
  <c r="N70" i="8"/>
  <c r="U13" i="8"/>
  <c r="M21" i="9"/>
  <c r="M22" i="9"/>
  <c r="M23" i="9"/>
  <c r="M25" i="9"/>
  <c r="M30" i="9"/>
  <c r="M29" i="9"/>
  <c r="M26" i="9"/>
  <c r="M24" i="9"/>
  <c r="M28" i="9"/>
  <c r="M20" i="9"/>
  <c r="M31" i="9" s="1"/>
  <c r="M27" i="9"/>
  <c r="N46" i="9"/>
  <c r="N41" i="9"/>
  <c r="N42" i="9"/>
  <c r="N43" i="9"/>
  <c r="N45" i="9"/>
  <c r="P5" i="9"/>
  <c r="L60" i="5"/>
  <c r="L61" i="5"/>
  <c r="L63" i="5"/>
  <c r="L62" i="5"/>
  <c r="L64" i="5"/>
  <c r="L65" i="5"/>
  <c r="L57" i="5"/>
  <c r="L66" i="5" s="1"/>
  <c r="L59" i="5"/>
  <c r="L58" i="5"/>
  <c r="N71" i="8"/>
  <c r="N26" i="8"/>
  <c r="O26" i="8" s="1"/>
  <c r="P26" i="8" s="1"/>
  <c r="M60" i="8"/>
  <c r="M52" i="8"/>
  <c r="M63" i="8" s="1"/>
  <c r="M62" i="8"/>
  <c r="M58" i="8"/>
  <c r="M54" i="8"/>
  <c r="M59" i="8"/>
  <c r="M61" i="8"/>
  <c r="M53" i="8"/>
  <c r="N53" i="8" s="1"/>
  <c r="M55" i="8"/>
  <c r="M56" i="8"/>
  <c r="M57" i="8"/>
  <c r="O69" i="8"/>
  <c r="L50" i="5"/>
  <c r="N27" i="8"/>
  <c r="O27" i="8" s="1"/>
  <c r="P27" i="8" s="1"/>
  <c r="O72" i="8"/>
  <c r="Q72" i="8" s="1"/>
  <c r="O71" i="8"/>
  <c r="P71" i="8" s="1"/>
  <c r="L63" i="9"/>
  <c r="N46" i="5"/>
  <c r="O46" i="5"/>
  <c r="N71" i="5"/>
  <c r="N72" i="5"/>
  <c r="N74" i="5"/>
  <c r="N75" i="5"/>
  <c r="N81" i="5"/>
  <c r="N77" i="5"/>
  <c r="N73" i="5"/>
  <c r="N82" i="5"/>
  <c r="N78" i="5"/>
  <c r="N79" i="5"/>
  <c r="N80" i="5"/>
  <c r="N76" i="5"/>
  <c r="O70" i="8"/>
  <c r="P7" i="6"/>
  <c r="P9" i="6" s="1"/>
  <c r="P10" i="6" s="1"/>
  <c r="Q3" i="6" s="1"/>
  <c r="Q6" i="6" s="1"/>
  <c r="N47" i="5"/>
  <c r="O47" i="5"/>
  <c r="P47" i="5" s="1"/>
  <c r="O39" i="8"/>
  <c r="O42" i="8"/>
  <c r="O41" i="8"/>
  <c r="O43" i="8"/>
  <c r="O38" i="8"/>
  <c r="O45" i="8"/>
  <c r="O36" i="8"/>
  <c r="O40" i="8"/>
  <c r="O44" i="8"/>
  <c r="O37" i="8"/>
  <c r="O47" i="8"/>
  <c r="O46" i="8"/>
  <c r="R7" i="7"/>
  <c r="R11" i="7"/>
  <c r="N44" i="5"/>
  <c r="N57" i="8"/>
  <c r="O57" i="8" s="1"/>
  <c r="N55" i="8"/>
  <c r="O55" i="8" s="1"/>
  <c r="N56" i="8"/>
  <c r="O56" i="8" s="1"/>
  <c r="N80" i="9"/>
  <c r="N16" i="9"/>
  <c r="N7" i="5"/>
  <c r="O7" i="9"/>
  <c r="L87" i="8"/>
  <c r="L88" i="8" s="1"/>
  <c r="L89" i="8" s="1"/>
  <c r="L90" i="8" s="1"/>
  <c r="L91" i="8" s="1"/>
  <c r="L92" i="8" s="1"/>
  <c r="L93" i="8" s="1"/>
  <c r="L94" i="8" s="1"/>
  <c r="L95" i="8" s="1"/>
  <c r="P48" i="8"/>
  <c r="Q5" i="8"/>
  <c r="N76" i="8"/>
  <c r="N32" i="9"/>
  <c r="N15" i="9"/>
  <c r="O4" i="9"/>
  <c r="O6" i="9" s="1"/>
  <c r="M45" i="9"/>
  <c r="M46" i="9"/>
  <c r="M40" i="9"/>
  <c r="N40" i="9" s="1"/>
  <c r="M41" i="9"/>
  <c r="M42" i="9"/>
  <c r="M43" i="9"/>
  <c r="M38" i="9"/>
  <c r="N38" i="9" s="1"/>
  <c r="M37" i="9"/>
  <c r="N37" i="9" s="1"/>
  <c r="M44" i="9"/>
  <c r="N44" i="9" s="1"/>
  <c r="M36" i="9"/>
  <c r="M47" i="9" s="1"/>
  <c r="M39" i="9"/>
  <c r="N39" i="9" s="1"/>
  <c r="O64" i="9"/>
  <c r="P8" i="9"/>
  <c r="P64" i="9" s="1"/>
  <c r="Q8" i="9"/>
  <c r="Q64" i="9" s="1"/>
  <c r="AK7" i="7"/>
  <c r="AK11" i="7"/>
  <c r="M23" i="8"/>
  <c r="P23" i="8" s="1"/>
  <c r="Q4" i="8"/>
  <c r="S7" i="7"/>
  <c r="S11" i="7"/>
  <c r="N43" i="5"/>
  <c r="O43" i="5"/>
  <c r="P43" i="5" s="1"/>
  <c r="O23" i="5"/>
  <c r="O28" i="5"/>
  <c r="O29" i="5"/>
  <c r="O33" i="5"/>
  <c r="O31" i="5"/>
  <c r="O25" i="5"/>
  <c r="O32" i="5"/>
  <c r="O26" i="5"/>
  <c r="O24" i="5"/>
  <c r="O27" i="5"/>
  <c r="O30" i="5"/>
  <c r="O34" i="5" s="1"/>
  <c r="O74" i="8"/>
  <c r="J3" i="7"/>
  <c r="J6" i="7" s="1"/>
  <c r="J10" i="7" s="1"/>
  <c r="I95" i="7"/>
  <c r="I79" i="7" s="1"/>
  <c r="N78" i="8"/>
  <c r="N7" i="7"/>
  <c r="N11" i="7"/>
  <c r="Q75" i="8"/>
  <c r="R75" i="8" s="1"/>
  <c r="M79" i="8"/>
  <c r="N42" i="5"/>
  <c r="O83" i="5"/>
  <c r="M43" i="5"/>
  <c r="M44" i="5"/>
  <c r="M45" i="5"/>
  <c r="M47" i="5"/>
  <c r="Q47" i="5" s="1"/>
  <c r="M46" i="5"/>
  <c r="M39" i="5"/>
  <c r="M40" i="5"/>
  <c r="M48" i="5"/>
  <c r="N48" i="5" s="1"/>
  <c r="M49" i="5"/>
  <c r="M41" i="5"/>
  <c r="M42" i="5"/>
  <c r="O104" i="8"/>
  <c r="O109" i="8"/>
  <c r="O108" i="8"/>
  <c r="P111" i="8"/>
  <c r="O105" i="8"/>
  <c r="O106" i="8"/>
  <c r="O102" i="8"/>
  <c r="O110" i="8" s="1"/>
  <c r="O107" i="8"/>
  <c r="O103" i="8"/>
  <c r="O99" i="8"/>
  <c r="O101" i="8"/>
  <c r="O100" i="8"/>
  <c r="AD7" i="7"/>
  <c r="AD11" i="7"/>
  <c r="P29" i="8"/>
  <c r="P25" i="8"/>
  <c r="P28" i="8"/>
  <c r="P20" i="8"/>
  <c r="P24" i="8"/>
  <c r="P21" i="8"/>
  <c r="Q7" i="7"/>
  <c r="Q11" i="7"/>
  <c r="M9" i="9"/>
  <c r="M67" i="5"/>
  <c r="M9" i="5"/>
  <c r="M10" i="5" s="1"/>
  <c r="N3" i="5" s="1"/>
  <c r="N6" i="5" s="1"/>
  <c r="R4" i="8"/>
  <c r="R32" i="8" s="1"/>
  <c r="P8" i="5"/>
  <c r="L72" i="7" l="1"/>
  <c r="O54" i="8"/>
  <c r="O62" i="8"/>
  <c r="T4" i="8"/>
  <c r="T32" i="8" s="1"/>
  <c r="Q7" i="6"/>
  <c r="Q9" i="6" s="1"/>
  <c r="Q10" i="6"/>
  <c r="R3" i="6" s="1"/>
  <c r="R6" i="6" s="1"/>
  <c r="P77" i="8"/>
  <c r="Q77" i="8"/>
  <c r="R77" i="8" s="1"/>
  <c r="S75" i="8"/>
  <c r="Q71" i="8"/>
  <c r="S71" i="8" s="1"/>
  <c r="N10" i="5"/>
  <c r="O3" i="5" s="1"/>
  <c r="O6" i="5" s="1"/>
  <c r="O78" i="8"/>
  <c r="O79" i="8" s="1"/>
  <c r="N72" i="9"/>
  <c r="N73" i="9"/>
  <c r="N74" i="9"/>
  <c r="N75" i="9"/>
  <c r="N76" i="9"/>
  <c r="N71" i="9"/>
  <c r="N77" i="9"/>
  <c r="N78" i="9"/>
  <c r="N68" i="9"/>
  <c r="N79" i="9" s="1"/>
  <c r="N70" i="9"/>
  <c r="N69" i="9"/>
  <c r="P30" i="8"/>
  <c r="N54" i="8"/>
  <c r="N58" i="8"/>
  <c r="O58" i="8" s="1"/>
  <c r="Q64" i="8"/>
  <c r="P108" i="8"/>
  <c r="P105" i="8"/>
  <c r="P106" i="8"/>
  <c r="P107" i="8"/>
  <c r="P103" i="8"/>
  <c r="P99" i="8"/>
  <c r="P101" i="8"/>
  <c r="Q111" i="8"/>
  <c r="P100" i="8"/>
  <c r="P102" i="8"/>
  <c r="P104" i="8"/>
  <c r="P110" i="8" s="1"/>
  <c r="P109" i="8"/>
  <c r="M50" i="5"/>
  <c r="N62" i="8"/>
  <c r="N41" i="5"/>
  <c r="O41" i="5" s="1"/>
  <c r="P23" i="5"/>
  <c r="P34" i="5" s="1"/>
  <c r="P24" i="5"/>
  <c r="P28" i="5"/>
  <c r="P29" i="5"/>
  <c r="P31" i="5"/>
  <c r="P25" i="5"/>
  <c r="P32" i="5"/>
  <c r="P26" i="5"/>
  <c r="P33" i="5"/>
  <c r="P27" i="5"/>
  <c r="P30" i="5"/>
  <c r="O42" i="5"/>
  <c r="N59" i="8"/>
  <c r="N60" i="8"/>
  <c r="O60" i="8" s="1"/>
  <c r="P60" i="8" s="1"/>
  <c r="O53" i="8"/>
  <c r="P53" i="8" s="1"/>
  <c r="O22" i="8"/>
  <c r="P22" i="8" s="1"/>
  <c r="P31" i="8" s="1"/>
  <c r="U68" i="8"/>
  <c r="Q74" i="8"/>
  <c r="P48" i="9"/>
  <c r="P6" i="9"/>
  <c r="R5" i="9"/>
  <c r="Q5" i="9"/>
  <c r="Q61" i="9"/>
  <c r="Q58" i="9"/>
  <c r="Q56" i="9"/>
  <c r="N31" i="8"/>
  <c r="N61" i="8"/>
  <c r="O61" i="8" s="1"/>
  <c r="M61" i="5"/>
  <c r="M64" i="5"/>
  <c r="M62" i="5"/>
  <c r="M63" i="5"/>
  <c r="M65" i="5"/>
  <c r="M55" i="5"/>
  <c r="M66" i="5" s="1"/>
  <c r="M56" i="5"/>
  <c r="M58" i="5"/>
  <c r="M57" i="5"/>
  <c r="M59" i="5"/>
  <c r="M60" i="5"/>
  <c r="R47" i="5"/>
  <c r="V47" i="5" s="1"/>
  <c r="Q43" i="5"/>
  <c r="P44" i="5"/>
  <c r="Q44" i="5" s="1"/>
  <c r="N36" i="9"/>
  <c r="N47" i="9" s="1"/>
  <c r="O42" i="9"/>
  <c r="O43" i="9"/>
  <c r="O44" i="9"/>
  <c r="O46" i="9"/>
  <c r="O36" i="9"/>
  <c r="O47" i="9" s="1"/>
  <c r="O39" i="9"/>
  <c r="O40" i="9"/>
  <c r="O41" i="9"/>
  <c r="O38" i="9"/>
  <c r="O45" i="9"/>
  <c r="O37" i="9"/>
  <c r="L10" i="8"/>
  <c r="M84" i="8"/>
  <c r="M85" i="8" s="1"/>
  <c r="M86" i="8" s="1"/>
  <c r="M87" i="8" s="1"/>
  <c r="M88" i="8" s="1"/>
  <c r="M89" i="8" s="1"/>
  <c r="M90" i="8" s="1"/>
  <c r="M91" i="8" s="1"/>
  <c r="M92" i="8" s="1"/>
  <c r="M93" i="8" s="1"/>
  <c r="M94" i="8" s="1"/>
  <c r="P69" i="8"/>
  <c r="Q45" i="5"/>
  <c r="S45" i="5" s="1"/>
  <c r="N52" i="8"/>
  <c r="P42" i="8"/>
  <c r="P45" i="8"/>
  <c r="P36" i="8"/>
  <c r="P47" i="8" s="1"/>
  <c r="P41" i="8"/>
  <c r="P40" i="8"/>
  <c r="P38" i="8"/>
  <c r="P37" i="8"/>
  <c r="P44" i="8"/>
  <c r="P39" i="8"/>
  <c r="P43" i="8"/>
  <c r="P46" i="8"/>
  <c r="N39" i="5"/>
  <c r="O39" i="5"/>
  <c r="R71" i="8"/>
  <c r="S47" i="5"/>
  <c r="R45" i="5"/>
  <c r="R72" i="8"/>
  <c r="P55" i="8"/>
  <c r="P62" i="8"/>
  <c r="P54" i="8"/>
  <c r="P57" i="8"/>
  <c r="P56" i="8"/>
  <c r="N40" i="5"/>
  <c r="M13" i="9"/>
  <c r="M10" i="9"/>
  <c r="M11" i="9" s="1"/>
  <c r="O44" i="5"/>
  <c r="Q32" i="8"/>
  <c r="S4" i="8"/>
  <c r="S32" i="8" s="1"/>
  <c r="O80" i="9"/>
  <c r="O16" i="9"/>
  <c r="O7" i="5"/>
  <c r="P7" i="9"/>
  <c r="N49" i="5"/>
  <c r="V13" i="8"/>
  <c r="P70" i="8"/>
  <c r="R4" i="5"/>
  <c r="S12" i="5"/>
  <c r="P74" i="8"/>
  <c r="P46" i="5"/>
  <c r="Q46" i="5" s="1"/>
  <c r="P56" i="9"/>
  <c r="P61" i="9"/>
  <c r="P58" i="9"/>
  <c r="O52" i="9"/>
  <c r="P52" i="9" s="1"/>
  <c r="O53" i="9"/>
  <c r="P53" i="9" s="1"/>
  <c r="O59" i="9"/>
  <c r="P59" i="9" s="1"/>
  <c r="O55" i="9"/>
  <c r="P55" i="9" s="1"/>
  <c r="O60" i="9"/>
  <c r="P60" i="9" s="1"/>
  <c r="O62" i="9"/>
  <c r="P62" i="9" s="1"/>
  <c r="O54" i="9"/>
  <c r="P54" i="9" s="1"/>
  <c r="O57" i="9"/>
  <c r="P57" i="9" s="1"/>
  <c r="O61" i="9"/>
  <c r="O58" i="9"/>
  <c r="O56" i="9"/>
  <c r="Q48" i="8"/>
  <c r="R5" i="8"/>
  <c r="R8" i="8"/>
  <c r="P83" i="5"/>
  <c r="T47" i="5"/>
  <c r="U47" i="5" s="1"/>
  <c r="O48" i="5"/>
  <c r="Q8" i="5"/>
  <c r="N9" i="9"/>
  <c r="N67" i="5"/>
  <c r="N9" i="5"/>
  <c r="N79" i="8"/>
  <c r="Q35" i="5"/>
  <c r="Q13" i="5"/>
  <c r="Q73" i="8"/>
  <c r="O71" i="5"/>
  <c r="O72" i="5"/>
  <c r="O73" i="5"/>
  <c r="O75" i="5"/>
  <c r="O76" i="5"/>
  <c r="O77" i="5"/>
  <c r="O78" i="5"/>
  <c r="O74" i="5"/>
  <c r="O82" i="5" s="1"/>
  <c r="O80" i="5"/>
  <c r="O81" i="5"/>
  <c r="O79" i="5"/>
  <c r="P4" i="9"/>
  <c r="O32" i="9"/>
  <c r="O15" i="9"/>
  <c r="N22" i="9"/>
  <c r="N23" i="9"/>
  <c r="N24" i="9"/>
  <c r="N26" i="9"/>
  <c r="N25" i="9"/>
  <c r="N30" i="9"/>
  <c r="N21" i="9"/>
  <c r="N27" i="9"/>
  <c r="N28" i="9"/>
  <c r="N20" i="9"/>
  <c r="N31" i="9" s="1"/>
  <c r="N29" i="9"/>
  <c r="R8" i="9"/>
  <c r="R64" i="9" s="1"/>
  <c r="K3" i="7"/>
  <c r="K6" i="7" s="1"/>
  <c r="K10" i="7" s="1"/>
  <c r="J95" i="7"/>
  <c r="J79" i="7" s="1"/>
  <c r="O76" i="8"/>
  <c r="M31" i="8"/>
  <c r="R44" i="5" l="1"/>
  <c r="P63" i="9"/>
  <c r="S77" i="8"/>
  <c r="U75" i="8"/>
  <c r="P59" i="8"/>
  <c r="Q57" i="9"/>
  <c r="R57" i="9" s="1"/>
  <c r="Q59" i="9"/>
  <c r="S8" i="9"/>
  <c r="T75" i="8"/>
  <c r="T12" i="5"/>
  <c r="S4" i="5"/>
  <c r="Q70" i="8"/>
  <c r="R70" i="8" s="1"/>
  <c r="N63" i="8"/>
  <c r="V68" i="8"/>
  <c r="R74" i="8"/>
  <c r="O73" i="9"/>
  <c r="O74" i="9"/>
  <c r="O75" i="9"/>
  <c r="O76" i="9"/>
  <c r="O77" i="9"/>
  <c r="O71" i="9"/>
  <c r="O72" i="9"/>
  <c r="O78" i="9"/>
  <c r="O68" i="9"/>
  <c r="O70" i="9"/>
  <c r="O69" i="9"/>
  <c r="O79" i="9" s="1"/>
  <c r="S72" i="8"/>
  <c r="N50" i="5"/>
  <c r="P42" i="5"/>
  <c r="Q54" i="9"/>
  <c r="R54" i="9" s="1"/>
  <c r="L88" i="7"/>
  <c r="P78" i="8"/>
  <c r="Q62" i="9"/>
  <c r="R62" i="9" s="1"/>
  <c r="P72" i="5"/>
  <c r="P82" i="5" s="1"/>
  <c r="P73" i="5"/>
  <c r="P74" i="5"/>
  <c r="P76" i="5"/>
  <c r="P77" i="5"/>
  <c r="P78" i="5"/>
  <c r="P71" i="5"/>
  <c r="P81" i="5"/>
  <c r="P80" i="5"/>
  <c r="P75" i="5"/>
  <c r="P79" i="5"/>
  <c r="Q60" i="9"/>
  <c r="R60" i="9" s="1"/>
  <c r="Q55" i="9"/>
  <c r="R55" i="9" s="1"/>
  <c r="R64" i="8"/>
  <c r="S8" i="8"/>
  <c r="S30" i="8"/>
  <c r="S28" i="8"/>
  <c r="S23" i="8"/>
  <c r="S20" i="8"/>
  <c r="S29" i="8"/>
  <c r="S46" i="5"/>
  <c r="Q53" i="9"/>
  <c r="O59" i="8"/>
  <c r="R35" i="5"/>
  <c r="R13" i="5"/>
  <c r="S8" i="5"/>
  <c r="P39" i="5"/>
  <c r="K95" i="7"/>
  <c r="K79" i="7" s="1"/>
  <c r="L3" i="7"/>
  <c r="L6" i="7" s="1"/>
  <c r="L9" i="7" s="1"/>
  <c r="Q83" i="5"/>
  <c r="R46" i="5"/>
  <c r="T46" i="5" s="1"/>
  <c r="R8" i="5"/>
  <c r="Q23" i="5"/>
  <c r="Q24" i="5"/>
  <c r="Q25" i="5"/>
  <c r="Q28" i="5"/>
  <c r="Q29" i="5"/>
  <c r="Q30" i="5"/>
  <c r="Q31" i="5"/>
  <c r="Q32" i="5"/>
  <c r="Q26" i="5"/>
  <c r="Q34" i="5" s="1"/>
  <c r="Q33" i="5"/>
  <c r="Q27" i="5"/>
  <c r="Q69" i="8"/>
  <c r="Q104" i="8"/>
  <c r="Q109" i="8"/>
  <c r="Q108" i="8"/>
  <c r="Q107" i="8"/>
  <c r="Q105" i="8"/>
  <c r="Q106" i="8"/>
  <c r="Q103" i="8"/>
  <c r="Q99" i="8"/>
  <c r="Q101" i="8"/>
  <c r="R111" i="8"/>
  <c r="Q110" i="8"/>
  <c r="Q100" i="8"/>
  <c r="Q102" i="8"/>
  <c r="U77" i="8"/>
  <c r="R52" i="9"/>
  <c r="R53" i="9"/>
  <c r="R56" i="9"/>
  <c r="R61" i="9"/>
  <c r="R58" i="9"/>
  <c r="R59" i="9"/>
  <c r="W13" i="8"/>
  <c r="U4" i="8"/>
  <c r="U32" i="8" s="1"/>
  <c r="P80" i="9"/>
  <c r="P16" i="9"/>
  <c r="P7" i="5"/>
  <c r="Q7" i="9"/>
  <c r="O9" i="9"/>
  <c r="O67" i="5"/>
  <c r="O9" i="5"/>
  <c r="O10" i="5" s="1"/>
  <c r="P3" i="5" s="1"/>
  <c r="P6" i="5" s="1"/>
  <c r="T45" i="5"/>
  <c r="R73" i="8"/>
  <c r="O31" i="8"/>
  <c r="R43" i="5"/>
  <c r="P58" i="8"/>
  <c r="Q48" i="9"/>
  <c r="U5" i="9"/>
  <c r="T5" i="9"/>
  <c r="S5" i="9"/>
  <c r="T77" i="8"/>
  <c r="Q55" i="8"/>
  <c r="Q58" i="8"/>
  <c r="Q60" i="8"/>
  <c r="Q62" i="8"/>
  <c r="Q54" i="8"/>
  <c r="Q59" i="8"/>
  <c r="Q56" i="8"/>
  <c r="Q61" i="8"/>
  <c r="Q53" i="8"/>
  <c r="Q57" i="8"/>
  <c r="R48" i="8"/>
  <c r="S5" i="8"/>
  <c r="M95" i="8"/>
  <c r="R48" i="9"/>
  <c r="P48" i="5"/>
  <c r="R7" i="6"/>
  <c r="R9" i="6" s="1"/>
  <c r="R10" i="6"/>
  <c r="S3" i="6" s="1"/>
  <c r="S6" i="6" s="1"/>
  <c r="P41" i="5"/>
  <c r="O49" i="5"/>
  <c r="T71" i="8"/>
  <c r="Q29" i="8"/>
  <c r="R29" i="8" s="1"/>
  <c r="Q25" i="8"/>
  <c r="R25" i="8" s="1"/>
  <c r="Q28" i="8"/>
  <c r="R28" i="8" s="1"/>
  <c r="Q20" i="8"/>
  <c r="R20" i="8" s="1"/>
  <c r="Q26" i="8"/>
  <c r="R26" i="8" s="1"/>
  <c r="Q24" i="8"/>
  <c r="R24" i="8" s="1"/>
  <c r="Q22" i="8"/>
  <c r="R22" i="8" s="1"/>
  <c r="Q23" i="8"/>
  <c r="R23" i="8" s="1"/>
  <c r="Q27" i="8"/>
  <c r="R27" i="8" s="1"/>
  <c r="Q21" i="8"/>
  <c r="R21" i="8" s="1"/>
  <c r="Q30" i="8"/>
  <c r="R30" i="8" s="1"/>
  <c r="O23" i="9"/>
  <c r="O24" i="9"/>
  <c r="O25" i="9"/>
  <c r="O27" i="9"/>
  <c r="O30" i="9"/>
  <c r="O26" i="9"/>
  <c r="O22" i="9"/>
  <c r="O21" i="9"/>
  <c r="O28" i="9"/>
  <c r="O20" i="9"/>
  <c r="O31" i="9" s="1"/>
  <c r="O29" i="9"/>
  <c r="L96" i="8"/>
  <c r="M3" i="8"/>
  <c r="M6" i="8" s="1"/>
  <c r="L9" i="8"/>
  <c r="L7" i="8" s="1"/>
  <c r="O63" i="9"/>
  <c r="P43" i="9"/>
  <c r="P44" i="9"/>
  <c r="P46" i="9"/>
  <c r="P36" i="9"/>
  <c r="P41" i="9"/>
  <c r="P38" i="9"/>
  <c r="P40" i="9"/>
  <c r="P47" i="9" s="1"/>
  <c r="P45" i="9"/>
  <c r="P39" i="9"/>
  <c r="P37" i="9"/>
  <c r="P42" i="9"/>
  <c r="T29" i="8"/>
  <c r="Q78" i="8"/>
  <c r="R78" i="8"/>
  <c r="O40" i="5"/>
  <c r="O52" i="8"/>
  <c r="Q52" i="9"/>
  <c r="S73" i="8"/>
  <c r="Q42" i="8"/>
  <c r="Q45" i="8"/>
  <c r="Q36" i="8"/>
  <c r="Q43" i="8"/>
  <c r="Q38" i="8"/>
  <c r="Q41" i="8"/>
  <c r="Q40" i="8"/>
  <c r="Q37" i="8"/>
  <c r="Q44" i="8"/>
  <c r="Q39" i="8"/>
  <c r="Q46" i="8"/>
  <c r="Q47" i="8" s="1"/>
  <c r="Q76" i="8"/>
  <c r="P76" i="8"/>
  <c r="P15" i="9"/>
  <c r="Q4" i="9"/>
  <c r="Q6" i="9" s="1"/>
  <c r="P32" i="9"/>
  <c r="N62" i="5"/>
  <c r="N63" i="5"/>
  <c r="N64" i="5"/>
  <c r="N65" i="5"/>
  <c r="N55" i="5"/>
  <c r="N66" i="5" s="1"/>
  <c r="N58" i="5"/>
  <c r="N57" i="5"/>
  <c r="N60" i="5"/>
  <c r="N56" i="5"/>
  <c r="N59" i="5"/>
  <c r="N61" i="5"/>
  <c r="S44" i="5"/>
  <c r="T44" i="5" s="1"/>
  <c r="N13" i="9"/>
  <c r="N10" i="9"/>
  <c r="N11" i="9" s="1"/>
  <c r="S78" i="8"/>
  <c r="P61" i="8"/>
  <c r="S69" i="8" l="1"/>
  <c r="P10" i="5"/>
  <c r="Q3" i="5" s="1"/>
  <c r="Q6" i="5" s="1"/>
  <c r="R63" i="9"/>
  <c r="V46" i="5"/>
  <c r="U28" i="8"/>
  <c r="U20" i="8"/>
  <c r="U26" i="8"/>
  <c r="U29" i="8"/>
  <c r="S48" i="8"/>
  <c r="W4" i="8"/>
  <c r="W32" i="8" s="1"/>
  <c r="X13" i="8"/>
  <c r="Q80" i="9"/>
  <c r="Q16" i="9"/>
  <c r="R7" i="9"/>
  <c r="Q7" i="5"/>
  <c r="P9" i="9"/>
  <c r="P67" i="5"/>
  <c r="P9" i="5"/>
  <c r="W68" i="8"/>
  <c r="Q48" i="5"/>
  <c r="T22" i="8"/>
  <c r="V4" i="8"/>
  <c r="V32" i="8" s="1"/>
  <c r="Q42" i="5"/>
  <c r="R42" i="5"/>
  <c r="M9" i="8"/>
  <c r="M7" i="8" s="1"/>
  <c r="R31" i="8"/>
  <c r="T5" i="8"/>
  <c r="S48" i="9"/>
  <c r="S83" i="5"/>
  <c r="S64" i="8"/>
  <c r="T8" i="8"/>
  <c r="T8" i="5"/>
  <c r="T48" i="9"/>
  <c r="U71" i="8"/>
  <c r="Q39" i="5"/>
  <c r="Y68" i="8"/>
  <c r="O13" i="9"/>
  <c r="O10" i="9"/>
  <c r="O11" i="9" s="1"/>
  <c r="P74" i="9"/>
  <c r="P75" i="9"/>
  <c r="P76" i="9"/>
  <c r="P77" i="9"/>
  <c r="P78" i="9"/>
  <c r="P72" i="9"/>
  <c r="P73" i="9"/>
  <c r="P68" i="9"/>
  <c r="P70" i="9"/>
  <c r="P71" i="9"/>
  <c r="P69" i="9"/>
  <c r="P79" i="9" s="1"/>
  <c r="R48" i="5"/>
  <c r="T48" i="5" s="1"/>
  <c r="O63" i="8"/>
  <c r="P52" i="8"/>
  <c r="P63" i="8" s="1"/>
  <c r="R39" i="5"/>
  <c r="U48" i="9"/>
  <c r="V5" i="9"/>
  <c r="S13" i="5"/>
  <c r="S35" i="5"/>
  <c r="S74" i="8"/>
  <c r="L11" i="7"/>
  <c r="L7" i="7"/>
  <c r="L15" i="7" s="1"/>
  <c r="L81" i="8"/>
  <c r="L16" i="8"/>
  <c r="T20" i="8"/>
  <c r="S26" i="8"/>
  <c r="T26" i="8" s="1"/>
  <c r="V77" i="8"/>
  <c r="W77" i="8" s="1"/>
  <c r="T28" i="8"/>
  <c r="S27" i="8"/>
  <c r="U12" i="5"/>
  <c r="T4" i="5"/>
  <c r="L73" i="7"/>
  <c r="L89" i="7" s="1"/>
  <c r="M10" i="8"/>
  <c r="N84" i="8"/>
  <c r="N85" i="8" s="1"/>
  <c r="N86" i="8" s="1"/>
  <c r="N87" i="8" s="1"/>
  <c r="N88" i="8" s="1"/>
  <c r="N89" i="8" s="1"/>
  <c r="N90" i="8" s="1"/>
  <c r="N91" i="8" s="1"/>
  <c r="N92" i="8" s="1"/>
  <c r="N93" i="8" s="1"/>
  <c r="N94" i="8" s="1"/>
  <c r="N95" i="8" s="1"/>
  <c r="R45" i="8"/>
  <c r="R37" i="8"/>
  <c r="R36" i="8"/>
  <c r="R43" i="8"/>
  <c r="R38" i="8"/>
  <c r="R41" i="8"/>
  <c r="R40" i="8"/>
  <c r="R44" i="8"/>
  <c r="R46" i="8"/>
  <c r="R39" i="8"/>
  <c r="R47" i="8" s="1"/>
  <c r="R42" i="8"/>
  <c r="T72" i="8"/>
  <c r="R83" i="5"/>
  <c r="P24" i="9"/>
  <c r="P25" i="9"/>
  <c r="P26" i="9"/>
  <c r="P28" i="9"/>
  <c r="P30" i="9"/>
  <c r="P20" i="9"/>
  <c r="P22" i="9"/>
  <c r="P27" i="9"/>
  <c r="P21" i="9"/>
  <c r="P29" i="9"/>
  <c r="P23" i="9"/>
  <c r="P31" i="9" s="1"/>
  <c r="Q63" i="9"/>
  <c r="T30" i="8"/>
  <c r="U30" i="8" s="1"/>
  <c r="Q41" i="5"/>
  <c r="S21" i="8"/>
  <c r="V75" i="8"/>
  <c r="S7" i="6"/>
  <c r="S9" i="6" s="1"/>
  <c r="S10" i="6"/>
  <c r="T3" i="6" s="1"/>
  <c r="T6" i="6" s="1"/>
  <c r="U45" i="5"/>
  <c r="V45" i="5" s="1"/>
  <c r="T78" i="8"/>
  <c r="R55" i="8"/>
  <c r="R58" i="8"/>
  <c r="R62" i="8"/>
  <c r="R54" i="8"/>
  <c r="R61" i="8"/>
  <c r="R57" i="8"/>
  <c r="R59" i="8"/>
  <c r="R56" i="8"/>
  <c r="R60" i="8"/>
  <c r="R53" i="8"/>
  <c r="Q31" i="8"/>
  <c r="R4" i="9"/>
  <c r="Q15" i="9"/>
  <c r="Q32" i="9"/>
  <c r="U44" i="5"/>
  <c r="V44" i="5" s="1"/>
  <c r="Q79" i="8"/>
  <c r="T69" i="8"/>
  <c r="U69" i="8" s="1"/>
  <c r="S24" i="8"/>
  <c r="T24" i="8" s="1"/>
  <c r="S64" i="9"/>
  <c r="T8" i="9"/>
  <c r="O63" i="5"/>
  <c r="O64" i="5"/>
  <c r="O65" i="5"/>
  <c r="O55" i="5"/>
  <c r="O66" i="5" s="1"/>
  <c r="O56" i="5"/>
  <c r="O62" i="5"/>
  <c r="O58" i="5"/>
  <c r="O57" i="5"/>
  <c r="O59" i="5"/>
  <c r="O60" i="5"/>
  <c r="O61" i="5"/>
  <c r="R44" i="9"/>
  <c r="R43" i="9"/>
  <c r="R36" i="9"/>
  <c r="R37" i="9"/>
  <c r="O50" i="5"/>
  <c r="Q44" i="9"/>
  <c r="Q43" i="9"/>
  <c r="Q36" i="9"/>
  <c r="Q37" i="9"/>
  <c r="Q38" i="9"/>
  <c r="R38" i="9" s="1"/>
  <c r="Q41" i="9"/>
  <c r="R41" i="9" s="1"/>
  <c r="Q42" i="9"/>
  <c r="R42" i="9" s="1"/>
  <c r="Q40" i="9"/>
  <c r="R40" i="9" s="1"/>
  <c r="Q45" i="9"/>
  <c r="R45" i="9" s="1"/>
  <c r="Q39" i="9"/>
  <c r="R39" i="9" s="1"/>
  <c r="Q46" i="9"/>
  <c r="R46" i="9" s="1"/>
  <c r="S48" i="5"/>
  <c r="U48" i="5" s="1"/>
  <c r="P49" i="5"/>
  <c r="R69" i="8"/>
  <c r="U46" i="5"/>
  <c r="S22" i="8"/>
  <c r="U22" i="8" s="1"/>
  <c r="X68" i="8"/>
  <c r="R76" i="8"/>
  <c r="T76" i="8" s="1"/>
  <c r="S76" i="8"/>
  <c r="R107" i="8"/>
  <c r="R106" i="8"/>
  <c r="R103" i="8"/>
  <c r="R99" i="8"/>
  <c r="R108" i="8"/>
  <c r="R101" i="8"/>
  <c r="S111" i="8"/>
  <c r="R105" i="8"/>
  <c r="R102" i="8"/>
  <c r="R110" i="8" s="1"/>
  <c r="R104" i="8"/>
  <c r="R109" i="8"/>
  <c r="R100" i="8"/>
  <c r="T73" i="8"/>
  <c r="P79" i="8"/>
  <c r="Q73" i="5"/>
  <c r="Q74" i="5"/>
  <c r="Q75" i="5"/>
  <c r="Q77" i="5"/>
  <c r="Q78" i="5"/>
  <c r="Q79" i="5"/>
  <c r="Q71" i="5"/>
  <c r="Q82" i="5" s="1"/>
  <c r="Q80" i="5"/>
  <c r="Q72" i="5"/>
  <c r="Q81" i="5"/>
  <c r="Q76" i="5"/>
  <c r="S25" i="8"/>
  <c r="T25" i="8" s="1"/>
  <c r="U25" i="8" s="1"/>
  <c r="S43" i="5"/>
  <c r="R24" i="5"/>
  <c r="R25" i="5"/>
  <c r="R26" i="5"/>
  <c r="R28" i="5"/>
  <c r="R29" i="5"/>
  <c r="R23" i="5"/>
  <c r="R34" i="5" s="1"/>
  <c r="R31" i="5"/>
  <c r="R32" i="5"/>
  <c r="R33" i="5"/>
  <c r="R27" i="5"/>
  <c r="R30" i="5"/>
  <c r="T23" i="8"/>
  <c r="U23" i="8" s="1"/>
  <c r="S70" i="8"/>
  <c r="P40" i="5"/>
  <c r="P50" i="5" s="1"/>
  <c r="Q52" i="8"/>
  <c r="Q63" i="8" s="1"/>
  <c r="R47" i="9" l="1"/>
  <c r="L74" i="7"/>
  <c r="L90" i="7" s="1"/>
  <c r="X77" i="8"/>
  <c r="U27" i="8"/>
  <c r="V27" i="8" s="1"/>
  <c r="S109" i="8"/>
  <c r="S103" i="8"/>
  <c r="S107" i="8"/>
  <c r="S106" i="8"/>
  <c r="S99" i="8"/>
  <c r="S108" i="8"/>
  <c r="S101" i="8"/>
  <c r="T111" i="8"/>
  <c r="S105" i="8"/>
  <c r="S102" i="8"/>
  <c r="S104" i="8"/>
  <c r="S100" i="8"/>
  <c r="S110" i="8" s="1"/>
  <c r="U72" i="8"/>
  <c r="T45" i="9"/>
  <c r="U45" i="9" s="1"/>
  <c r="T43" i="9"/>
  <c r="T36" i="9"/>
  <c r="T37" i="9"/>
  <c r="U37" i="9" s="1"/>
  <c r="T38" i="9"/>
  <c r="U38" i="9" s="1"/>
  <c r="T39" i="9"/>
  <c r="U39" i="9" s="1"/>
  <c r="Y13" i="8"/>
  <c r="X4" i="8"/>
  <c r="X32" i="8" s="1"/>
  <c r="W26" i="8"/>
  <c r="W20" i="8"/>
  <c r="W29" i="8"/>
  <c r="S42" i="5"/>
  <c r="T42" i="5" s="1"/>
  <c r="Q40" i="5"/>
  <c r="V48" i="5"/>
  <c r="T27" i="8"/>
  <c r="R74" i="5"/>
  <c r="R75" i="5"/>
  <c r="R76" i="5"/>
  <c r="R78" i="5"/>
  <c r="R79" i="5"/>
  <c r="R73" i="5"/>
  <c r="R71" i="5"/>
  <c r="S71" i="5" s="1"/>
  <c r="R80" i="5"/>
  <c r="R72" i="5"/>
  <c r="R77" i="5"/>
  <c r="S77" i="5" s="1"/>
  <c r="R81" i="5"/>
  <c r="R82" i="5"/>
  <c r="Q50" i="5"/>
  <c r="T43" i="5"/>
  <c r="U43" i="5" s="1"/>
  <c r="V43" i="5" s="1"/>
  <c r="T39" i="5"/>
  <c r="T7" i="6"/>
  <c r="T9" i="6" s="1"/>
  <c r="T10" i="6" s="1"/>
  <c r="U3" i="6" s="1"/>
  <c r="U6" i="6" s="1"/>
  <c r="S58" i="8"/>
  <c r="S61" i="8"/>
  <c r="S62" i="8"/>
  <c r="S57" i="8"/>
  <c r="S56" i="8"/>
  <c r="S59" i="8"/>
  <c r="S60" i="8"/>
  <c r="S54" i="8"/>
  <c r="S55" i="8"/>
  <c r="S53" i="8"/>
  <c r="AB68" i="8"/>
  <c r="Q25" i="9"/>
  <c r="Q26" i="9"/>
  <c r="Q27" i="9"/>
  <c r="Q29" i="9"/>
  <c r="Q20" i="9"/>
  <c r="Q22" i="9"/>
  <c r="Q30" i="9"/>
  <c r="Q24" i="9"/>
  <c r="Q31" i="9" s="1"/>
  <c r="Q28" i="9"/>
  <c r="Q21" i="9"/>
  <c r="Q23" i="9"/>
  <c r="S4" i="9"/>
  <c r="R15" i="9"/>
  <c r="R32" i="9"/>
  <c r="R6" i="9"/>
  <c r="T31" i="8"/>
  <c r="V78" i="8"/>
  <c r="U24" i="8"/>
  <c r="X69" i="8"/>
  <c r="S79" i="8"/>
  <c r="W75" i="8"/>
  <c r="T83" i="5"/>
  <c r="U8" i="5"/>
  <c r="R41" i="5"/>
  <c r="T74" i="8"/>
  <c r="U74" i="8" s="1"/>
  <c r="S75" i="5"/>
  <c r="S76" i="5"/>
  <c r="S79" i="5"/>
  <c r="S80" i="5"/>
  <c r="S78" i="5"/>
  <c r="S74" i="5"/>
  <c r="S72" i="5"/>
  <c r="S81" i="5"/>
  <c r="S73" i="5"/>
  <c r="AA68" i="8"/>
  <c r="S31" i="8"/>
  <c r="Z68" i="8"/>
  <c r="T79" i="8"/>
  <c r="T13" i="5"/>
  <c r="T35" i="5"/>
  <c r="M81" i="8"/>
  <c r="M16" i="8"/>
  <c r="M15" i="7"/>
  <c r="Q75" i="9"/>
  <c r="Q76" i="9"/>
  <c r="Q77" i="9"/>
  <c r="Q78" i="9"/>
  <c r="Q72" i="9"/>
  <c r="Q73" i="9"/>
  <c r="Q69" i="9"/>
  <c r="Q79" i="9" s="1"/>
  <c r="Q74" i="9"/>
  <c r="Q68" i="9"/>
  <c r="Q71" i="9"/>
  <c r="Q70" i="9"/>
  <c r="V69" i="8"/>
  <c r="Y69" i="8" s="1"/>
  <c r="V71" i="8"/>
  <c r="U73" i="8"/>
  <c r="S25" i="5"/>
  <c r="S26" i="5"/>
  <c r="S27" i="5"/>
  <c r="S29" i="5"/>
  <c r="S28" i="5"/>
  <c r="S23" i="5"/>
  <c r="S24" i="5"/>
  <c r="S30" i="5"/>
  <c r="S31" i="5"/>
  <c r="S33" i="5"/>
  <c r="S32" i="5"/>
  <c r="S34" i="5" s="1"/>
  <c r="P64" i="5"/>
  <c r="P55" i="5"/>
  <c r="P65" i="5"/>
  <c r="P56" i="5"/>
  <c r="P66" i="5" s="1"/>
  <c r="P57" i="5"/>
  <c r="P62" i="5"/>
  <c r="P63" i="5"/>
  <c r="P58" i="5"/>
  <c r="P61" i="5"/>
  <c r="P60" i="5"/>
  <c r="P59" i="5"/>
  <c r="U43" i="9"/>
  <c r="U36" i="9"/>
  <c r="S39" i="5"/>
  <c r="T64" i="8"/>
  <c r="U8" i="8"/>
  <c r="T21" i="8"/>
  <c r="U21" i="8" s="1"/>
  <c r="U70" i="8"/>
  <c r="P13" i="9"/>
  <c r="P10" i="9"/>
  <c r="P11" i="9" s="1"/>
  <c r="V12" i="5"/>
  <c r="V4" i="5" s="1"/>
  <c r="U4" i="5"/>
  <c r="Q47" i="9"/>
  <c r="Y77" i="8"/>
  <c r="Q49" i="5"/>
  <c r="T64" i="9"/>
  <c r="U8" i="9"/>
  <c r="U64" i="9" s="1"/>
  <c r="V8" i="9"/>
  <c r="V64" i="9" s="1"/>
  <c r="N10" i="8"/>
  <c r="O84" i="8"/>
  <c r="O85" i="8" s="1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S45" i="9"/>
  <c r="S43" i="9"/>
  <c r="S36" i="9"/>
  <c r="S37" i="9"/>
  <c r="S38" i="9"/>
  <c r="S47" i="9" s="1"/>
  <c r="S39" i="9"/>
  <c r="S44" i="9"/>
  <c r="T44" i="9" s="1"/>
  <c r="U44" i="9" s="1"/>
  <c r="S41" i="9"/>
  <c r="T41" i="9" s="1"/>
  <c r="U41" i="9" s="1"/>
  <c r="S40" i="9"/>
  <c r="T40" i="9" s="1"/>
  <c r="U40" i="9" s="1"/>
  <c r="S42" i="9"/>
  <c r="T42" i="9" s="1"/>
  <c r="U42" i="9" s="1"/>
  <c r="S46" i="9"/>
  <c r="Q9" i="9"/>
  <c r="Q67" i="5"/>
  <c r="Q9" i="5"/>
  <c r="Q10" i="5" s="1"/>
  <c r="R3" i="5" s="1"/>
  <c r="R6" i="5" s="1"/>
  <c r="T70" i="8"/>
  <c r="T48" i="8"/>
  <c r="U5" i="8"/>
  <c r="V20" i="8"/>
  <c r="V23" i="8"/>
  <c r="W23" i="8" s="1"/>
  <c r="V26" i="8"/>
  <c r="V28" i="8"/>
  <c r="W28" i="8" s="1"/>
  <c r="V25" i="8"/>
  <c r="W25" i="8" s="1"/>
  <c r="V22" i="8"/>
  <c r="W22" i="8" s="1"/>
  <c r="V29" i="8"/>
  <c r="V30" i="8"/>
  <c r="W30" i="8" s="1"/>
  <c r="R52" i="8"/>
  <c r="R63" i="8" s="1"/>
  <c r="S45" i="8"/>
  <c r="S37" i="8"/>
  <c r="S43" i="8"/>
  <c r="S38" i="8"/>
  <c r="S40" i="8"/>
  <c r="S36" i="8"/>
  <c r="S47" i="8" s="1"/>
  <c r="S44" i="8"/>
  <c r="S39" i="8"/>
  <c r="S41" i="8"/>
  <c r="S46" i="8"/>
  <c r="S42" i="8"/>
  <c r="U76" i="8"/>
  <c r="W69" i="8"/>
  <c r="R79" i="8"/>
  <c r="U78" i="8"/>
  <c r="S53" i="9"/>
  <c r="S54" i="9"/>
  <c r="S55" i="9"/>
  <c r="S56" i="9"/>
  <c r="S57" i="9"/>
  <c r="S60" i="9"/>
  <c r="S61" i="9"/>
  <c r="S62" i="9"/>
  <c r="S52" i="9"/>
  <c r="S63" i="9" s="1"/>
  <c r="S58" i="9"/>
  <c r="S59" i="9"/>
  <c r="M96" i="8"/>
  <c r="N3" i="8"/>
  <c r="N6" i="8" s="1"/>
  <c r="N9" i="8" s="1"/>
  <c r="N7" i="8" s="1"/>
  <c r="V48" i="9"/>
  <c r="R80" i="9"/>
  <c r="S7" i="9"/>
  <c r="R16" i="9"/>
  <c r="R7" i="5"/>
  <c r="V74" i="8" l="1"/>
  <c r="U79" i="8"/>
  <c r="S82" i="5"/>
  <c r="W24" i="8"/>
  <c r="U10" i="6"/>
  <c r="V3" i="6" s="1"/>
  <c r="V6" i="6" s="1"/>
  <c r="U7" i="6"/>
  <c r="U9" i="6" s="1"/>
  <c r="L75" i="7"/>
  <c r="L91" i="7" s="1"/>
  <c r="U31" i="8"/>
  <c r="V21" i="8"/>
  <c r="V24" i="8"/>
  <c r="X24" i="8" s="1"/>
  <c r="W27" i="8"/>
  <c r="W74" i="8"/>
  <c r="X78" i="8"/>
  <c r="Y78" i="8" s="1"/>
  <c r="R26" i="9"/>
  <c r="R27" i="9"/>
  <c r="R28" i="9"/>
  <c r="R30" i="9"/>
  <c r="R20" i="9"/>
  <c r="R31" i="9"/>
  <c r="R21" i="9"/>
  <c r="R22" i="9"/>
  <c r="R24" i="9"/>
  <c r="R29" i="9"/>
  <c r="R25" i="9"/>
  <c r="R23" i="9"/>
  <c r="Z77" i="8"/>
  <c r="V36" i="9"/>
  <c r="V37" i="9"/>
  <c r="V38" i="9"/>
  <c r="V39" i="9"/>
  <c r="V44" i="9"/>
  <c r="V40" i="9"/>
  <c r="V41" i="9"/>
  <c r="V42" i="9"/>
  <c r="V45" i="9"/>
  <c r="V43" i="9"/>
  <c r="AB77" i="8"/>
  <c r="N81" i="8"/>
  <c r="N16" i="8"/>
  <c r="N15" i="7"/>
  <c r="T26" i="5"/>
  <c r="T27" i="5"/>
  <c r="T28" i="5"/>
  <c r="T30" i="5"/>
  <c r="T23" i="5"/>
  <c r="T29" i="5"/>
  <c r="T24" i="5"/>
  <c r="T31" i="5"/>
  <c r="T32" i="5"/>
  <c r="T25" i="5"/>
  <c r="T33" i="5"/>
  <c r="T34" i="5"/>
  <c r="X74" i="8"/>
  <c r="Z69" i="8"/>
  <c r="R9" i="9"/>
  <c r="R67" i="5"/>
  <c r="R9" i="5"/>
  <c r="R10" i="5" s="1"/>
  <c r="S3" i="5" s="1"/>
  <c r="S6" i="5" s="1"/>
  <c r="AB69" i="8"/>
  <c r="W76" i="8"/>
  <c r="V73" i="8"/>
  <c r="W78" i="8"/>
  <c r="Z78" i="8" s="1"/>
  <c r="U111" i="8"/>
  <c r="T106" i="8"/>
  <c r="T107" i="8"/>
  <c r="T108" i="8"/>
  <c r="T103" i="8"/>
  <c r="T99" i="8"/>
  <c r="T110" i="8" s="1"/>
  <c r="T101" i="8"/>
  <c r="T105" i="8"/>
  <c r="T102" i="8"/>
  <c r="T104" i="8"/>
  <c r="T109" i="8"/>
  <c r="T100" i="8"/>
  <c r="V76" i="8"/>
  <c r="X27" i="8"/>
  <c r="X30" i="8"/>
  <c r="X23" i="8"/>
  <c r="X26" i="8"/>
  <c r="X25" i="8"/>
  <c r="X22" i="8"/>
  <c r="X28" i="8"/>
  <c r="X29" i="8"/>
  <c r="X20" i="8"/>
  <c r="U42" i="5"/>
  <c r="V42" i="5" s="1"/>
  <c r="P84" i="8"/>
  <c r="P85" i="8" s="1"/>
  <c r="P86" i="8" s="1"/>
  <c r="P87" i="8" s="1"/>
  <c r="P88" i="8" s="1"/>
  <c r="P89" i="8" s="1"/>
  <c r="P90" i="8" s="1"/>
  <c r="P91" i="8" s="1"/>
  <c r="P92" i="8" s="1"/>
  <c r="P93" i="8" s="1"/>
  <c r="P94" i="8" s="1"/>
  <c r="P95" i="8" s="1"/>
  <c r="O10" i="8"/>
  <c r="Z13" i="8"/>
  <c r="Y4" i="8"/>
  <c r="Y32" i="8" s="1"/>
  <c r="Q65" i="5"/>
  <c r="Q55" i="5"/>
  <c r="Q66" i="5" s="1"/>
  <c r="Q56" i="5"/>
  <c r="Q62" i="5"/>
  <c r="Q57" i="5"/>
  <c r="Q64" i="5"/>
  <c r="Q59" i="5"/>
  <c r="Q63" i="5"/>
  <c r="Q58" i="5"/>
  <c r="Q60" i="5"/>
  <c r="Q61" i="5"/>
  <c r="U35" i="5"/>
  <c r="U13" i="5"/>
  <c r="V72" i="8"/>
  <c r="S80" i="9"/>
  <c r="S16" i="9"/>
  <c r="T7" i="9"/>
  <c r="S7" i="5"/>
  <c r="R76" i="9"/>
  <c r="R77" i="9"/>
  <c r="R78" i="9"/>
  <c r="R72" i="9"/>
  <c r="R79" i="9" s="1"/>
  <c r="R75" i="9"/>
  <c r="R74" i="9"/>
  <c r="R68" i="9"/>
  <c r="R69" i="9"/>
  <c r="R70" i="9"/>
  <c r="R73" i="9"/>
  <c r="R71" i="9"/>
  <c r="AC68" i="8"/>
  <c r="U64" i="8"/>
  <c r="V8" i="8"/>
  <c r="W71" i="8"/>
  <c r="N96" i="8"/>
  <c r="O3" i="8"/>
  <c r="O6" i="8" s="1"/>
  <c r="O9" i="8" s="1"/>
  <c r="O7" i="8" s="1"/>
  <c r="T58" i="8"/>
  <c r="T61" i="8"/>
  <c r="T57" i="8"/>
  <c r="T55" i="8"/>
  <c r="T53" i="8"/>
  <c r="T56" i="8"/>
  <c r="T59" i="8"/>
  <c r="T60" i="8"/>
  <c r="T62" i="8"/>
  <c r="T54" i="8"/>
  <c r="U83" i="5"/>
  <c r="V8" i="5"/>
  <c r="Q13" i="9"/>
  <c r="Q10" i="9"/>
  <c r="Q11" i="9" s="1"/>
  <c r="U48" i="8"/>
  <c r="V5" i="8"/>
  <c r="T76" i="5"/>
  <c r="T77" i="5"/>
  <c r="T78" i="5"/>
  <c r="T80" i="5"/>
  <c r="T81" i="5"/>
  <c r="T74" i="5"/>
  <c r="T75" i="5"/>
  <c r="T71" i="5"/>
  <c r="T82" i="5" s="1"/>
  <c r="T73" i="5"/>
  <c r="T72" i="5"/>
  <c r="T79" i="5"/>
  <c r="T46" i="9"/>
  <c r="AA77" i="8"/>
  <c r="V35" i="5"/>
  <c r="V13" i="5"/>
  <c r="S52" i="8"/>
  <c r="S63" i="8" s="1"/>
  <c r="T4" i="9"/>
  <c r="S32" i="9"/>
  <c r="S15" i="9"/>
  <c r="S6" i="9"/>
  <c r="S41" i="5"/>
  <c r="T41" i="5"/>
  <c r="U41" i="5" s="1"/>
  <c r="V53" i="9"/>
  <c r="AA69" i="8"/>
  <c r="U39" i="5"/>
  <c r="U53" i="9"/>
  <c r="U60" i="9"/>
  <c r="V60" i="9" s="1"/>
  <c r="T54" i="9"/>
  <c r="U54" i="9" s="1"/>
  <c r="T55" i="9"/>
  <c r="U55" i="9" s="1"/>
  <c r="T56" i="9"/>
  <c r="U56" i="9" s="1"/>
  <c r="T57" i="9"/>
  <c r="U57" i="9" s="1"/>
  <c r="T58" i="9"/>
  <c r="T61" i="9"/>
  <c r="U61" i="9" s="1"/>
  <c r="T62" i="9"/>
  <c r="U62" i="9" s="1"/>
  <c r="T59" i="9"/>
  <c r="U59" i="9" s="1"/>
  <c r="T52" i="9"/>
  <c r="T60" i="9"/>
  <c r="T53" i="9"/>
  <c r="R40" i="5"/>
  <c r="T37" i="8"/>
  <c r="T40" i="8"/>
  <c r="T45" i="8"/>
  <c r="T36" i="8"/>
  <c r="T47" i="8" s="1"/>
  <c r="T44" i="8"/>
  <c r="T38" i="8"/>
  <c r="T39" i="8"/>
  <c r="T43" i="8"/>
  <c r="T41" i="8"/>
  <c r="T46" i="8"/>
  <c r="T42" i="8"/>
  <c r="V70" i="8"/>
  <c r="R49" i="5"/>
  <c r="X75" i="8"/>
  <c r="S40" i="5"/>
  <c r="V46" i="9" l="1"/>
  <c r="AA78" i="8"/>
  <c r="V41" i="5"/>
  <c r="V47" i="9"/>
  <c r="AD77" i="8"/>
  <c r="L76" i="7"/>
  <c r="L92" i="7" s="1"/>
  <c r="T63" i="9"/>
  <c r="W21" i="8"/>
  <c r="W31" i="8" s="1"/>
  <c r="V7" i="6"/>
  <c r="V9" i="6" s="1"/>
  <c r="V10" i="6"/>
  <c r="V61" i="9"/>
  <c r="Q84" i="8"/>
  <c r="Q85" i="8" s="1"/>
  <c r="Q86" i="8" s="1"/>
  <c r="Q87" i="8" s="1"/>
  <c r="Q88" i="8" s="1"/>
  <c r="Q89" i="8" s="1"/>
  <c r="Q90" i="8" s="1"/>
  <c r="Q91" i="8" s="1"/>
  <c r="Q92" i="8" s="1"/>
  <c r="Q93" i="8" s="1"/>
  <c r="Q94" i="8" s="1"/>
  <c r="Q95" i="8" s="1"/>
  <c r="P10" i="8"/>
  <c r="O81" i="8"/>
  <c r="O16" i="8"/>
  <c r="O15" i="7"/>
  <c r="S9" i="9"/>
  <c r="S67" i="5"/>
  <c r="S9" i="5"/>
  <c r="S10" i="5" s="1"/>
  <c r="T3" i="5" s="1"/>
  <c r="T6" i="5" s="1"/>
  <c r="W72" i="8"/>
  <c r="U52" i="9"/>
  <c r="U63" i="9" s="1"/>
  <c r="V64" i="8"/>
  <c r="W8" i="8"/>
  <c r="Y74" i="8"/>
  <c r="U46" i="9"/>
  <c r="U47" i="9" s="1"/>
  <c r="W70" i="8"/>
  <c r="U37" i="8"/>
  <c r="U40" i="8"/>
  <c r="U45" i="8"/>
  <c r="U36" i="8"/>
  <c r="U47" i="8" s="1"/>
  <c r="U44" i="8"/>
  <c r="U39" i="8"/>
  <c r="U38" i="8"/>
  <c r="U43" i="8"/>
  <c r="U42" i="8"/>
  <c r="U41" i="8"/>
  <c r="U46" i="8"/>
  <c r="V54" i="9"/>
  <c r="V55" i="9"/>
  <c r="T47" i="9"/>
  <c r="S49" i="5"/>
  <c r="S50" i="5" s="1"/>
  <c r="T49" i="5"/>
  <c r="R55" i="5"/>
  <c r="R66" i="5" s="1"/>
  <c r="R56" i="5"/>
  <c r="R57" i="5"/>
  <c r="R64" i="5"/>
  <c r="R58" i="5"/>
  <c r="R59" i="5"/>
  <c r="R63" i="5"/>
  <c r="R65" i="5"/>
  <c r="R60" i="5"/>
  <c r="R62" i="5"/>
  <c r="R61" i="5"/>
  <c r="X76" i="8"/>
  <c r="Y76" i="8" s="1"/>
  <c r="X71" i="8"/>
  <c r="V83" i="5"/>
  <c r="V31" i="8"/>
  <c r="Y75" i="8"/>
  <c r="AB75" i="8" s="1"/>
  <c r="Z75" i="8"/>
  <c r="AA75" i="8"/>
  <c r="T32" i="9"/>
  <c r="U4" i="9"/>
  <c r="T15" i="9"/>
  <c r="T6" i="9"/>
  <c r="V31" i="5"/>
  <c r="V27" i="5"/>
  <c r="Y30" i="8"/>
  <c r="Y26" i="8"/>
  <c r="Y22" i="8"/>
  <c r="Y27" i="8"/>
  <c r="Y24" i="8"/>
  <c r="Y28" i="8"/>
  <c r="Y25" i="8"/>
  <c r="Y29" i="8"/>
  <c r="Y20" i="8"/>
  <c r="Y23" i="8"/>
  <c r="V62" i="9"/>
  <c r="U61" i="8"/>
  <c r="U57" i="8"/>
  <c r="U55" i="8"/>
  <c r="U53" i="8"/>
  <c r="U59" i="8"/>
  <c r="U56" i="8"/>
  <c r="U60" i="8"/>
  <c r="U62" i="8"/>
  <c r="U54" i="8"/>
  <c r="U58" i="8"/>
  <c r="T52" i="8"/>
  <c r="T63" i="8" s="1"/>
  <c r="AD68" i="8"/>
  <c r="V59" i="9"/>
  <c r="AC77" i="8"/>
  <c r="U58" i="9"/>
  <c r="V58" i="9" s="1"/>
  <c r="AC69" i="8"/>
  <c r="AA13" i="8"/>
  <c r="Z4" i="8"/>
  <c r="Z32" i="8" s="1"/>
  <c r="S77" i="9"/>
  <c r="S78" i="9"/>
  <c r="S72" i="9"/>
  <c r="S76" i="9"/>
  <c r="S73" i="9"/>
  <c r="S75" i="9"/>
  <c r="S70" i="9"/>
  <c r="S68" i="9"/>
  <c r="S79" i="9" s="1"/>
  <c r="S69" i="9"/>
  <c r="S71" i="9"/>
  <c r="S74" i="9"/>
  <c r="U27" i="5"/>
  <c r="U28" i="5"/>
  <c r="V28" i="5" s="1"/>
  <c r="U29" i="5"/>
  <c r="V29" i="5" s="1"/>
  <c r="U31" i="5"/>
  <c r="U23" i="5"/>
  <c r="U34" i="5" s="1"/>
  <c r="U24" i="5"/>
  <c r="V24" i="5" s="1"/>
  <c r="U30" i="5"/>
  <c r="V30" i="5" s="1"/>
  <c r="U25" i="5"/>
  <c r="V25" i="5" s="1"/>
  <c r="U26" i="5"/>
  <c r="V26" i="5" s="1"/>
  <c r="U32" i="5"/>
  <c r="V32" i="5" s="1"/>
  <c r="U33" i="5"/>
  <c r="V33" i="5" s="1"/>
  <c r="T40" i="5"/>
  <c r="U40" i="5"/>
  <c r="R50" i="5"/>
  <c r="V57" i="9"/>
  <c r="V40" i="5"/>
  <c r="V56" i="9"/>
  <c r="U103" i="8"/>
  <c r="U108" i="8"/>
  <c r="U106" i="8"/>
  <c r="U105" i="8"/>
  <c r="U107" i="8"/>
  <c r="U99" i="8"/>
  <c r="V111" i="8"/>
  <c r="U104" i="8"/>
  <c r="U102" i="8"/>
  <c r="U101" i="8"/>
  <c r="U109" i="8"/>
  <c r="U100" i="8"/>
  <c r="U110" i="8" s="1"/>
  <c r="V48" i="8"/>
  <c r="W5" i="8"/>
  <c r="R13" i="9"/>
  <c r="R10" i="9"/>
  <c r="R11" i="9" s="1"/>
  <c r="V79" i="8"/>
  <c r="T80" i="9"/>
  <c r="U7" i="9"/>
  <c r="T16" i="9"/>
  <c r="T7" i="5"/>
  <c r="V39" i="5"/>
  <c r="U77" i="5"/>
  <c r="U78" i="5"/>
  <c r="U79" i="5"/>
  <c r="U81" i="5"/>
  <c r="U74" i="5"/>
  <c r="U82" i="5" s="1"/>
  <c r="U80" i="5"/>
  <c r="U73" i="5"/>
  <c r="U72" i="5"/>
  <c r="U75" i="5"/>
  <c r="U76" i="5"/>
  <c r="U71" i="5"/>
  <c r="AA74" i="8"/>
  <c r="S27" i="9"/>
  <c r="S28" i="9"/>
  <c r="S29" i="9"/>
  <c r="S20" i="9"/>
  <c r="S31" i="9" s="1"/>
  <c r="S21" i="9"/>
  <c r="S26" i="9"/>
  <c r="S22" i="9"/>
  <c r="S30" i="9"/>
  <c r="S24" i="9"/>
  <c r="S25" i="9"/>
  <c r="S23" i="9"/>
  <c r="O96" i="8"/>
  <c r="P3" i="8"/>
  <c r="P6" i="8" s="1"/>
  <c r="P9" i="8" s="1"/>
  <c r="P7" i="8" s="1"/>
  <c r="W73" i="8"/>
  <c r="Z74" i="8"/>
  <c r="AB74" i="8" s="1"/>
  <c r="AC74" i="8" l="1"/>
  <c r="L77" i="7"/>
  <c r="L78" i="7" s="1"/>
  <c r="AD69" i="8"/>
  <c r="V52" i="9"/>
  <c r="V63" i="9" s="1"/>
  <c r="W64" i="8"/>
  <c r="X8" i="8"/>
  <c r="Y71" i="8"/>
  <c r="Z71" i="8"/>
  <c r="Z30" i="8"/>
  <c r="Z26" i="8"/>
  <c r="Z27" i="8"/>
  <c r="Z24" i="8"/>
  <c r="Z28" i="8"/>
  <c r="Z25" i="8"/>
  <c r="Z23" i="8"/>
  <c r="Z22" i="8"/>
  <c r="Z29" i="8"/>
  <c r="Z20" i="8"/>
  <c r="V78" i="5"/>
  <c r="V79" i="5"/>
  <c r="V80" i="5"/>
  <c r="V74" i="5"/>
  <c r="V75" i="5"/>
  <c r="V71" i="5"/>
  <c r="V82" i="5" s="1"/>
  <c r="V73" i="5"/>
  <c r="V77" i="5"/>
  <c r="V72" i="5"/>
  <c r="V81" i="5"/>
  <c r="V76" i="5"/>
  <c r="V61" i="8"/>
  <c r="V57" i="8"/>
  <c r="V55" i="8"/>
  <c r="V53" i="8"/>
  <c r="V59" i="8"/>
  <c r="V60" i="8"/>
  <c r="V56" i="8"/>
  <c r="V62" i="8"/>
  <c r="V54" i="8"/>
  <c r="V58" i="8"/>
  <c r="W111" i="8"/>
  <c r="V105" i="8"/>
  <c r="V107" i="8"/>
  <c r="V108" i="8"/>
  <c r="V103" i="8"/>
  <c r="V104" i="8"/>
  <c r="V100" i="8"/>
  <c r="V99" i="8"/>
  <c r="V102" i="8"/>
  <c r="V106" i="8"/>
  <c r="V101" i="8"/>
  <c r="V110" i="8" s="1"/>
  <c r="V109" i="8"/>
  <c r="S55" i="5"/>
  <c r="S66" i="5" s="1"/>
  <c r="S56" i="5"/>
  <c r="S57" i="5"/>
  <c r="S58" i="5"/>
  <c r="S59" i="5"/>
  <c r="S63" i="5"/>
  <c r="S64" i="5"/>
  <c r="S65" i="5"/>
  <c r="S60" i="5"/>
  <c r="S61" i="5"/>
  <c r="S62" i="5"/>
  <c r="S13" i="9"/>
  <c r="S10" i="9"/>
  <c r="S11" i="9" s="1"/>
  <c r="P96" i="8"/>
  <c r="Q3" i="8"/>
  <c r="Q6" i="8" s="1"/>
  <c r="V4" i="9"/>
  <c r="U32" i="9"/>
  <c r="U15" i="9"/>
  <c r="U6" i="9"/>
  <c r="R84" i="8"/>
  <c r="R85" i="8" s="1"/>
  <c r="R86" i="8" s="1"/>
  <c r="R87" i="8" s="1"/>
  <c r="R88" i="8" s="1"/>
  <c r="R89" i="8" s="1"/>
  <c r="R90" i="8" s="1"/>
  <c r="R91" i="8" s="1"/>
  <c r="R92" i="8" s="1"/>
  <c r="R93" i="8" s="1"/>
  <c r="R94" i="8" s="1"/>
  <c r="R95" i="8" s="1"/>
  <c r="Q10" i="8"/>
  <c r="U49" i="5"/>
  <c r="U50" i="5" s="1"/>
  <c r="T28" i="9"/>
  <c r="T29" i="9"/>
  <c r="T30" i="9"/>
  <c r="T21" i="9"/>
  <c r="T26" i="9"/>
  <c r="T22" i="9"/>
  <c r="T23" i="9"/>
  <c r="T24" i="9"/>
  <c r="T27" i="9"/>
  <c r="T20" i="9"/>
  <c r="T31" i="9" s="1"/>
  <c r="T25" i="9"/>
  <c r="P81" i="8"/>
  <c r="P16" i="8"/>
  <c r="P15" i="7"/>
  <c r="AB13" i="8"/>
  <c r="AA4" i="8"/>
  <c r="AA32" i="8" s="1"/>
  <c r="X72" i="8"/>
  <c r="T9" i="9"/>
  <c r="T67" i="5"/>
  <c r="T9" i="5"/>
  <c r="T10" i="5" s="1"/>
  <c r="U3" i="5" s="1"/>
  <c r="U6" i="5" s="1"/>
  <c r="U80" i="9"/>
  <c r="V7" i="9"/>
  <c r="U16" i="9"/>
  <c r="U7" i="5"/>
  <c r="AE68" i="8"/>
  <c r="AG68" i="8" s="1"/>
  <c r="AF68" i="8"/>
  <c r="AB78" i="8"/>
  <c r="T50" i="5"/>
  <c r="V23" i="5"/>
  <c r="V34" i="5" s="1"/>
  <c r="AA76" i="8"/>
  <c r="AE74" i="8"/>
  <c r="W79" i="8"/>
  <c r="X70" i="8"/>
  <c r="X73" i="8"/>
  <c r="W48" i="8"/>
  <c r="X5" i="8"/>
  <c r="Z76" i="8"/>
  <c r="T78" i="9"/>
  <c r="T76" i="9"/>
  <c r="T73" i="9"/>
  <c r="T75" i="9"/>
  <c r="T72" i="9"/>
  <c r="T68" i="9"/>
  <c r="T79" i="9" s="1"/>
  <c r="T69" i="9"/>
  <c r="T77" i="9"/>
  <c r="T71" i="9"/>
  <c r="T70" i="9"/>
  <c r="T74" i="9"/>
  <c r="AE77" i="8"/>
  <c r="AF77" i="8" s="1"/>
  <c r="V40" i="8"/>
  <c r="V43" i="8"/>
  <c r="V36" i="8"/>
  <c r="V44" i="8"/>
  <c r="V45" i="8"/>
  <c r="V39" i="8"/>
  <c r="V38" i="8"/>
  <c r="V37" i="8"/>
  <c r="V42" i="8"/>
  <c r="V41" i="8"/>
  <c r="V47" i="8" s="1"/>
  <c r="V46" i="8"/>
  <c r="U52" i="8"/>
  <c r="U63" i="8" s="1"/>
  <c r="AC75" i="8"/>
  <c r="AD74" i="8"/>
  <c r="X21" i="8"/>
  <c r="X31" i="8" s="1"/>
  <c r="AH68" i="8" l="1"/>
  <c r="U10" i="5"/>
  <c r="V3" i="5" s="1"/>
  <c r="V6" i="5" s="1"/>
  <c r="X64" i="8"/>
  <c r="Y8" i="8"/>
  <c r="T56" i="5"/>
  <c r="T57" i="5"/>
  <c r="T55" i="5"/>
  <c r="T63" i="5"/>
  <c r="T60" i="5"/>
  <c r="T58" i="5"/>
  <c r="T66" i="5" s="1"/>
  <c r="T64" i="5"/>
  <c r="T59" i="5"/>
  <c r="T65" i="5"/>
  <c r="T61" i="5"/>
  <c r="T62" i="5"/>
  <c r="T13" i="9"/>
  <c r="T10" i="9"/>
  <c r="T11" i="9" s="1"/>
  <c r="W56" i="8"/>
  <c r="W55" i="8"/>
  <c r="W53" i="8"/>
  <c r="W59" i="8"/>
  <c r="W61" i="8"/>
  <c r="W57" i="8"/>
  <c r="W60" i="8"/>
  <c r="W62" i="8"/>
  <c r="W58" i="8"/>
  <c r="W54" i="8"/>
  <c r="W52" i="8"/>
  <c r="W63" i="8" s="1"/>
  <c r="AH77" i="8"/>
  <c r="Y70" i="8"/>
  <c r="V49" i="5"/>
  <c r="V50" i="5" s="1"/>
  <c r="V32" i="9"/>
  <c r="V15" i="9"/>
  <c r="V6" i="9"/>
  <c r="Y21" i="8"/>
  <c r="Y31" i="8" s="1"/>
  <c r="AA24" i="8"/>
  <c r="AA27" i="8"/>
  <c r="AA25" i="8"/>
  <c r="AA23" i="8"/>
  <c r="AA22" i="8"/>
  <c r="AA26" i="8"/>
  <c r="AA29" i="8"/>
  <c r="AA20" i="8"/>
  <c r="AA28" i="8"/>
  <c r="AA30" i="8"/>
  <c r="Z21" i="8"/>
  <c r="Z31" i="8" s="1"/>
  <c r="AC78" i="8"/>
  <c r="AF74" i="8"/>
  <c r="AG74" i="8" s="1"/>
  <c r="Q9" i="8"/>
  <c r="Q7" i="8" s="1"/>
  <c r="L93" i="7"/>
  <c r="L94" i="7" s="1"/>
  <c r="S84" i="8"/>
  <c r="S85" i="8" s="1"/>
  <c r="S86" i="8" s="1"/>
  <c r="S87" i="8" s="1"/>
  <c r="S88" i="8" s="1"/>
  <c r="S89" i="8" s="1"/>
  <c r="S90" i="8" s="1"/>
  <c r="S91" i="8" s="1"/>
  <c r="S92" i="8" s="1"/>
  <c r="S93" i="8" s="1"/>
  <c r="S94" i="8" s="1"/>
  <c r="S95" i="8" s="1"/>
  <c r="R10" i="8"/>
  <c r="U29" i="9"/>
  <c r="U30" i="9"/>
  <c r="U21" i="9"/>
  <c r="U26" i="9"/>
  <c r="U23" i="9"/>
  <c r="U24" i="9"/>
  <c r="U27" i="9"/>
  <c r="U28" i="9"/>
  <c r="U22" i="9"/>
  <c r="U20" i="9"/>
  <c r="U31" i="9" s="1"/>
  <c r="U25" i="9"/>
  <c r="AE69" i="8"/>
  <c r="AF69" i="8" s="1"/>
  <c r="AJ68" i="8"/>
  <c r="AK68" i="8" s="1"/>
  <c r="AG77" i="8"/>
  <c r="AB4" i="8"/>
  <c r="AB32" i="8" s="1"/>
  <c r="AC13" i="8"/>
  <c r="AD75" i="8"/>
  <c r="AI68" i="8"/>
  <c r="AE75" i="8"/>
  <c r="V80" i="9"/>
  <c r="V16" i="9"/>
  <c r="V7" i="5"/>
  <c r="U73" i="9"/>
  <c r="U77" i="9"/>
  <c r="U75" i="9"/>
  <c r="U72" i="9"/>
  <c r="U78" i="9"/>
  <c r="U68" i="9"/>
  <c r="U79" i="9" s="1"/>
  <c r="U69" i="9"/>
  <c r="U76" i="9"/>
  <c r="U71" i="9"/>
  <c r="U70" i="9"/>
  <c r="U74" i="9"/>
  <c r="Q96" i="8"/>
  <c r="R3" i="8"/>
  <c r="R6" i="8" s="1"/>
  <c r="R9" i="8" s="1"/>
  <c r="R7" i="8" s="1"/>
  <c r="X48" i="8"/>
  <c r="Y5" i="8"/>
  <c r="U9" i="9"/>
  <c r="U67" i="5"/>
  <c r="U9" i="5"/>
  <c r="AA71" i="8"/>
  <c r="X79" i="8"/>
  <c r="AB76" i="8"/>
  <c r="W40" i="8"/>
  <c r="W43" i="8"/>
  <c r="W45" i="8"/>
  <c r="W44" i="8"/>
  <c r="W39" i="8"/>
  <c r="W38" i="8"/>
  <c r="W37" i="8"/>
  <c r="W47" i="8" s="1"/>
  <c r="W46" i="8"/>
  <c r="W41" i="8"/>
  <c r="W42" i="8"/>
  <c r="W36" i="8"/>
  <c r="W108" i="8"/>
  <c r="W102" i="8"/>
  <c r="W105" i="8"/>
  <c r="W104" i="8"/>
  <c r="X111" i="8"/>
  <c r="W109" i="8"/>
  <c r="W107" i="8"/>
  <c r="W100" i="8"/>
  <c r="W99" i="8"/>
  <c r="W110" i="8" s="1"/>
  <c r="W103" i="8"/>
  <c r="W106" i="8"/>
  <c r="W101" i="8"/>
  <c r="Y72" i="8"/>
  <c r="Z73" i="8"/>
  <c r="Y73" i="8"/>
  <c r="V52" i="8"/>
  <c r="V63" i="8" s="1"/>
  <c r="AK77" i="8" l="1"/>
  <c r="Y64" i="8"/>
  <c r="Z8" i="8"/>
  <c r="AA8" i="8"/>
  <c r="V30" i="9"/>
  <c r="V26" i="9"/>
  <c r="V22" i="9"/>
  <c r="V31" i="9" s="1"/>
  <c r="V23" i="9"/>
  <c r="V24" i="9"/>
  <c r="V27" i="9"/>
  <c r="V28" i="9"/>
  <c r="V21" i="9"/>
  <c r="V29" i="9"/>
  <c r="V20" i="9"/>
  <c r="V25" i="9"/>
  <c r="T84" i="8"/>
  <c r="T85" i="8" s="1"/>
  <c r="T86" i="8" s="1"/>
  <c r="T87" i="8" s="1"/>
  <c r="T88" i="8" s="1"/>
  <c r="T89" i="8" s="1"/>
  <c r="T90" i="8" s="1"/>
  <c r="T91" i="8" s="1"/>
  <c r="T92" i="8" s="1"/>
  <c r="T93" i="8" s="1"/>
  <c r="T94" i="8" s="1"/>
  <c r="T95" i="8" s="1"/>
  <c r="S10" i="8"/>
  <c r="AA21" i="8"/>
  <c r="AA31" i="8" s="1"/>
  <c r="V73" i="9"/>
  <c r="V77" i="9"/>
  <c r="V78" i="9"/>
  <c r="V68" i="9"/>
  <c r="V79" i="9" s="1"/>
  <c r="V69" i="9"/>
  <c r="V72" i="9"/>
  <c r="V71" i="9"/>
  <c r="V76" i="9"/>
  <c r="V74" i="9"/>
  <c r="V70" i="9"/>
  <c r="V75" i="9"/>
  <c r="X53" i="8"/>
  <c r="X56" i="8"/>
  <c r="X59" i="8"/>
  <c r="X61" i="8"/>
  <c r="X57" i="8"/>
  <c r="X60" i="8"/>
  <c r="X62" i="8"/>
  <c r="X58" i="8"/>
  <c r="X55" i="8"/>
  <c r="X54" i="8"/>
  <c r="X52" i="8"/>
  <c r="X63" i="8" s="1"/>
  <c r="M67" i="7"/>
  <c r="M83" i="7" s="1"/>
  <c r="AE78" i="8"/>
  <c r="Y48" i="8"/>
  <c r="Z5" i="8"/>
  <c r="AC76" i="8"/>
  <c r="X104" i="8"/>
  <c r="Y111" i="8"/>
  <c r="X108" i="8"/>
  <c r="X109" i="8"/>
  <c r="X100" i="8"/>
  <c r="X99" i="8"/>
  <c r="X110" i="8" s="1"/>
  <c r="X106" i="8"/>
  <c r="X102" i="8"/>
  <c r="X105" i="8"/>
  <c r="X101" i="8"/>
  <c r="X107" i="8"/>
  <c r="X103" i="8"/>
  <c r="AG69" i="8"/>
  <c r="AC4" i="8"/>
  <c r="AC32" i="8" s="1"/>
  <c r="AD13" i="8"/>
  <c r="AD78" i="8"/>
  <c r="AI77" i="8"/>
  <c r="AJ77" i="8" s="1"/>
  <c r="Y79" i="8"/>
  <c r="X43" i="8"/>
  <c r="X46" i="8"/>
  <c r="X45" i="8"/>
  <c r="X40" i="8"/>
  <c r="X44" i="8"/>
  <c r="X39" i="8"/>
  <c r="X37" i="8"/>
  <c r="X42" i="8"/>
  <c r="X36" i="8"/>
  <c r="X47" i="8" s="1"/>
  <c r="X41" i="8"/>
  <c r="X38" i="8"/>
  <c r="AB21" i="8"/>
  <c r="AB31" i="8"/>
  <c r="AB24" i="8"/>
  <c r="AB25" i="8"/>
  <c r="AB23" i="8"/>
  <c r="AB22" i="8"/>
  <c r="AB26" i="8"/>
  <c r="AB29" i="8"/>
  <c r="AB27" i="8"/>
  <c r="AB30" i="8"/>
  <c r="AB20" i="8"/>
  <c r="AB28" i="8"/>
  <c r="Q81" i="8"/>
  <c r="Q16" i="8"/>
  <c r="Q15" i="7"/>
  <c r="Z72" i="8"/>
  <c r="R81" i="8"/>
  <c r="R16" i="8"/>
  <c r="R15" i="7"/>
  <c r="Z70" i="8"/>
  <c r="AA73" i="8"/>
  <c r="AD76" i="8"/>
  <c r="AF75" i="8"/>
  <c r="V9" i="9"/>
  <c r="V67" i="5"/>
  <c r="V9" i="5"/>
  <c r="AH74" i="8"/>
  <c r="AB71" i="8"/>
  <c r="AC71" i="8"/>
  <c r="V10" i="5"/>
  <c r="U55" i="5"/>
  <c r="U57" i="5"/>
  <c r="U58" i="5"/>
  <c r="U56" i="5"/>
  <c r="U66" i="5"/>
  <c r="U63" i="5"/>
  <c r="U64" i="5"/>
  <c r="U60" i="5"/>
  <c r="U59" i="5"/>
  <c r="U65" i="5"/>
  <c r="U62" i="5"/>
  <c r="U61" i="5"/>
  <c r="U13" i="9"/>
  <c r="U10" i="9"/>
  <c r="U11" i="9" s="1"/>
  <c r="R96" i="8"/>
  <c r="S3" i="8"/>
  <c r="S6" i="8" s="1"/>
  <c r="S9" i="8" s="1"/>
  <c r="S7" i="8" s="1"/>
  <c r="M68" i="7" l="1"/>
  <c r="M84" i="7" s="1"/>
  <c r="AI69" i="8"/>
  <c r="AC21" i="8"/>
  <c r="AC29" i="8"/>
  <c r="AC24" i="8"/>
  <c r="AC30" i="8"/>
  <c r="AC25" i="8"/>
  <c r="AC23" i="8"/>
  <c r="AC22" i="8"/>
  <c r="AC20" i="8"/>
  <c r="AC26" i="8"/>
  <c r="AC27" i="8"/>
  <c r="AC28" i="8"/>
  <c r="AC31" i="8"/>
  <c r="Z79" i="8"/>
  <c r="AA70" i="8"/>
  <c r="AF78" i="8"/>
  <c r="AB73" i="8"/>
  <c r="S81" i="8"/>
  <c r="S16" i="8"/>
  <c r="S15" i="7"/>
  <c r="AI74" i="8"/>
  <c r="AJ74" i="8" s="1"/>
  <c r="U84" i="8"/>
  <c r="U85" i="8" s="1"/>
  <c r="U86" i="8" s="1"/>
  <c r="U87" i="8" s="1"/>
  <c r="U88" i="8" s="1"/>
  <c r="U89" i="8" s="1"/>
  <c r="U90" i="8" s="1"/>
  <c r="U91" i="8" s="1"/>
  <c r="U92" i="8" s="1"/>
  <c r="U93" i="8" s="1"/>
  <c r="U94" i="8" s="1"/>
  <c r="U95" i="8" s="1"/>
  <c r="T10" i="8"/>
  <c r="AD71" i="8"/>
  <c r="AD4" i="8"/>
  <c r="AD32" i="8" s="1"/>
  <c r="AE13" i="8"/>
  <c r="V55" i="5"/>
  <c r="V56" i="5"/>
  <c r="V58" i="5"/>
  <c r="V59" i="5"/>
  <c r="V57" i="5"/>
  <c r="V63" i="5"/>
  <c r="V64" i="5"/>
  <c r="V60" i="5"/>
  <c r="V66" i="5" s="1"/>
  <c r="V61" i="5"/>
  <c r="V62" i="5"/>
  <c r="V65" i="5"/>
  <c r="AA72" i="8"/>
  <c r="Y43" i="8"/>
  <c r="Y46" i="8"/>
  <c r="Y45" i="8"/>
  <c r="Y40" i="8"/>
  <c r="Y39" i="8"/>
  <c r="Y37" i="8"/>
  <c r="Y47" i="8" s="1"/>
  <c r="Y42" i="8"/>
  <c r="Y36" i="8"/>
  <c r="Y41" i="8"/>
  <c r="Y44" i="8"/>
  <c r="Y38" i="8"/>
  <c r="Z64" i="8"/>
  <c r="Y56" i="8"/>
  <c r="Y59" i="8"/>
  <c r="Y60" i="8"/>
  <c r="Y62" i="8"/>
  <c r="Y61" i="8"/>
  <c r="Y58" i="8"/>
  <c r="Y55" i="8"/>
  <c r="Y54" i="8"/>
  <c r="Y53" i="8"/>
  <c r="Y57" i="8"/>
  <c r="Y52" i="8"/>
  <c r="Y63" i="8" s="1"/>
  <c r="V13" i="9"/>
  <c r="V10" i="9"/>
  <c r="V11" i="9" s="1"/>
  <c r="AA64" i="8"/>
  <c r="AB8" i="8"/>
  <c r="Y102" i="8"/>
  <c r="Y107" i="8"/>
  <c r="Y104" i="8"/>
  <c r="Z111" i="8"/>
  <c r="Y103" i="8"/>
  <c r="Y108" i="8"/>
  <c r="Y109" i="8"/>
  <c r="Y100" i="8"/>
  <c r="Y99" i="8"/>
  <c r="Y110" i="8" s="1"/>
  <c r="Y106" i="8"/>
  <c r="Y105" i="8"/>
  <c r="Y101" i="8"/>
  <c r="AG75" i="8"/>
  <c r="AH69" i="8"/>
  <c r="S96" i="8"/>
  <c r="T3" i="8"/>
  <c r="T6" i="8" s="1"/>
  <c r="AB70" i="8"/>
  <c r="AE76" i="8"/>
  <c r="AG78" i="8"/>
  <c r="AH78" i="8" s="1"/>
  <c r="AI78" i="8" s="1"/>
  <c r="AC73" i="8"/>
  <c r="Z48" i="8"/>
  <c r="AA5" i="8"/>
  <c r="AB5" i="8"/>
  <c r="AB48" i="8" s="1"/>
  <c r="AJ78" i="8" l="1"/>
  <c r="AK78" i="8" s="1"/>
  <c r="M69" i="7"/>
  <c r="M85" i="7" s="1"/>
  <c r="U3" i="8"/>
  <c r="U6" i="8" s="1"/>
  <c r="T96" i="8"/>
  <c r="AD73" i="8"/>
  <c r="V84" i="8"/>
  <c r="V85" i="8" s="1"/>
  <c r="V86" i="8" s="1"/>
  <c r="V87" i="8" s="1"/>
  <c r="V88" i="8" s="1"/>
  <c r="V89" i="8" s="1"/>
  <c r="V90" i="8" s="1"/>
  <c r="V91" i="8" s="1"/>
  <c r="V92" i="8" s="1"/>
  <c r="V93" i="8" s="1"/>
  <c r="V94" i="8" s="1"/>
  <c r="V95" i="8" s="1"/>
  <c r="U10" i="8"/>
  <c r="Z46" i="8"/>
  <c r="Z38" i="8"/>
  <c r="Z44" i="8"/>
  <c r="Z42" i="8"/>
  <c r="Z40" i="8"/>
  <c r="Z39" i="8"/>
  <c r="Z45" i="8"/>
  <c r="Z41" i="8"/>
  <c r="Z43" i="8"/>
  <c r="Z36" i="8"/>
  <c r="Z37" i="8"/>
  <c r="Z56" i="8"/>
  <c r="Z59" i="8"/>
  <c r="AA59" i="8" s="1"/>
  <c r="Z60" i="8"/>
  <c r="Z53" i="8"/>
  <c r="AA53" i="8" s="1"/>
  <c r="Z62" i="8"/>
  <c r="AA62" i="8" s="1"/>
  <c r="Z61" i="8"/>
  <c r="AA61" i="8" s="1"/>
  <c r="Z58" i="8"/>
  <c r="AA58" i="8" s="1"/>
  <c r="Z55" i="8"/>
  <c r="AA55" i="8" s="1"/>
  <c r="Z57" i="8"/>
  <c r="AA57" i="8" s="1"/>
  <c r="Z54" i="8"/>
  <c r="AA54" i="8" s="1"/>
  <c r="Z52" i="8"/>
  <c r="AA52" i="8" s="1"/>
  <c r="AF13" i="8"/>
  <c r="AE4" i="8"/>
  <c r="AE32" i="8" s="1"/>
  <c r="AC5" i="8"/>
  <c r="AA111" i="8"/>
  <c r="Z103" i="8"/>
  <c r="Z109" i="8"/>
  <c r="Z100" i="8"/>
  <c r="Z108" i="8"/>
  <c r="Z104" i="8"/>
  <c r="Z106" i="8"/>
  <c r="Z105" i="8"/>
  <c r="Z102" i="8"/>
  <c r="Z99" i="8"/>
  <c r="Z110" i="8" s="1"/>
  <c r="Z107" i="8"/>
  <c r="Z101" i="8"/>
  <c r="AD28" i="8"/>
  <c r="AD21" i="8"/>
  <c r="AD24" i="8"/>
  <c r="AD29" i="8"/>
  <c r="AD27" i="8"/>
  <c r="AD30" i="8"/>
  <c r="AD23" i="8"/>
  <c r="AD31" i="8" s="1"/>
  <c r="AD22" i="8"/>
  <c r="AD26" i="8"/>
  <c r="AD25" i="8"/>
  <c r="AD20" i="8"/>
  <c r="AA48" i="8"/>
  <c r="AK74" i="8"/>
  <c r="AE71" i="8"/>
  <c r="AJ69" i="8"/>
  <c r="AC70" i="8"/>
  <c r="AF71" i="8"/>
  <c r="T9" i="8"/>
  <c r="T7" i="8" s="1"/>
  <c r="AF76" i="8"/>
  <c r="AB72" i="8"/>
  <c r="AB79" i="8" s="1"/>
  <c r="AB64" i="8"/>
  <c r="AC8" i="8"/>
  <c r="AA56" i="8"/>
  <c r="AA60" i="8"/>
  <c r="AH75" i="8"/>
  <c r="AA79" i="8"/>
  <c r="M70" i="7" l="1"/>
  <c r="AB42" i="8"/>
  <c r="AB38" i="8"/>
  <c r="AA63" i="8"/>
  <c r="Z47" i="8"/>
  <c r="AC64" i="8"/>
  <c r="AD8" i="8"/>
  <c r="AG71" i="8"/>
  <c r="AB59" i="8"/>
  <c r="AB62" i="8"/>
  <c r="AB56" i="8"/>
  <c r="AB60" i="8"/>
  <c r="AB53" i="8"/>
  <c r="AB61" i="8"/>
  <c r="AB58" i="8"/>
  <c r="AB55" i="8"/>
  <c r="AB57" i="8"/>
  <c r="AB54" i="8"/>
  <c r="AB52" i="8"/>
  <c r="AB63" i="8" s="1"/>
  <c r="Z63" i="8"/>
  <c r="T81" i="8"/>
  <c r="T16" i="8"/>
  <c r="T15" i="7"/>
  <c r="V3" i="8"/>
  <c r="V6" i="8" s="1"/>
  <c r="U96" i="8"/>
  <c r="U9" i="8"/>
  <c r="U7" i="8" s="1"/>
  <c r="AA107" i="8"/>
  <c r="AA101" i="8"/>
  <c r="AA103" i="8"/>
  <c r="AA102" i="8"/>
  <c r="AA99" i="8"/>
  <c r="AA110" i="8" s="1"/>
  <c r="AA100" i="8"/>
  <c r="AA108" i="8"/>
  <c r="AA104" i="8"/>
  <c r="AB111" i="8"/>
  <c r="AA106" i="8"/>
  <c r="AA109" i="8"/>
  <c r="AA105" i="8"/>
  <c r="AE24" i="8"/>
  <c r="AE27" i="8"/>
  <c r="AE30" i="8"/>
  <c r="AE21" i="8"/>
  <c r="AE31" i="8" s="1"/>
  <c r="AE23" i="8"/>
  <c r="AE22" i="8"/>
  <c r="AE26" i="8"/>
  <c r="AE25" i="8"/>
  <c r="AE29" i="8"/>
  <c r="AE20" i="8"/>
  <c r="AE28" i="8"/>
  <c r="AI75" i="8"/>
  <c r="AJ75" i="8" s="1"/>
  <c r="AK69" i="8"/>
  <c r="W84" i="8"/>
  <c r="W85" i="8" s="1"/>
  <c r="W86" i="8" s="1"/>
  <c r="W87" i="8" s="1"/>
  <c r="W88" i="8" s="1"/>
  <c r="W89" i="8" s="1"/>
  <c r="W90" i="8" s="1"/>
  <c r="W91" i="8" s="1"/>
  <c r="W92" i="8" s="1"/>
  <c r="W93" i="8" s="1"/>
  <c r="W94" i="8" s="1"/>
  <c r="W95" i="8" s="1"/>
  <c r="V10" i="8"/>
  <c r="AG76" i="8"/>
  <c r="AC48" i="8"/>
  <c r="AD5" i="8"/>
  <c r="AG13" i="8"/>
  <c r="AF4" i="8"/>
  <c r="AF32" i="8" s="1"/>
  <c r="AC72" i="8"/>
  <c r="AA46" i="8"/>
  <c r="AB46" i="8" s="1"/>
  <c r="AA38" i="8"/>
  <c r="AA40" i="8"/>
  <c r="AB40" i="8" s="1"/>
  <c r="AA44" i="8"/>
  <c r="AB44" i="8" s="1"/>
  <c r="AA42" i="8"/>
  <c r="AA39" i="8"/>
  <c r="AB39" i="8" s="1"/>
  <c r="AA45" i="8"/>
  <c r="AB45" i="8" s="1"/>
  <c r="AA43" i="8"/>
  <c r="AB43" i="8" s="1"/>
  <c r="AA36" i="8"/>
  <c r="AB36" i="8" s="1"/>
  <c r="AA41" i="8"/>
  <c r="AB41" i="8" s="1"/>
  <c r="AA37" i="8"/>
  <c r="AB37" i="8" s="1"/>
  <c r="AC79" i="8"/>
  <c r="AD70" i="8"/>
  <c r="AE70" i="8"/>
  <c r="AE73" i="8"/>
  <c r="AC62" i="8" l="1"/>
  <c r="AC54" i="8"/>
  <c r="AC56" i="8"/>
  <c r="AC60" i="8"/>
  <c r="AC61" i="8"/>
  <c r="AC58" i="8"/>
  <c r="AC55" i="8"/>
  <c r="AC57" i="8"/>
  <c r="AC53" i="8"/>
  <c r="AC59" i="8"/>
  <c r="AC52" i="8"/>
  <c r="AC63" i="8" s="1"/>
  <c r="AB47" i="8"/>
  <c r="AF73" i="8"/>
  <c r="AG73" i="8"/>
  <c r="AB102" i="8"/>
  <c r="AB101" i="8"/>
  <c r="AB99" i="8"/>
  <c r="AB108" i="8"/>
  <c r="AB104" i="8"/>
  <c r="AB106" i="8"/>
  <c r="AB107" i="8"/>
  <c r="AB109" i="8"/>
  <c r="AB105" i="8"/>
  <c r="AC111" i="8"/>
  <c r="AB103" i="8"/>
  <c r="AB100" i="8"/>
  <c r="AB110" i="8" s="1"/>
  <c r="AH76" i="8"/>
  <c r="AI76" i="8" s="1"/>
  <c r="AC38" i="8"/>
  <c r="AC47" i="8" s="1"/>
  <c r="AC41" i="8"/>
  <c r="AC40" i="8"/>
  <c r="AC44" i="8"/>
  <c r="AC42" i="8"/>
  <c r="AC37" i="8"/>
  <c r="AC39" i="8"/>
  <c r="AC43" i="8"/>
  <c r="AC36" i="8"/>
  <c r="AC45" i="8"/>
  <c r="AC46" i="8"/>
  <c r="AF70" i="8"/>
  <c r="V96" i="8"/>
  <c r="W3" i="8"/>
  <c r="W6" i="8" s="1"/>
  <c r="AA47" i="8"/>
  <c r="X84" i="8"/>
  <c r="X85" i="8" s="1"/>
  <c r="X86" i="8" s="1"/>
  <c r="X87" i="8" s="1"/>
  <c r="X88" i="8" s="1"/>
  <c r="X89" i="8" s="1"/>
  <c r="X90" i="8" s="1"/>
  <c r="X91" i="8" s="1"/>
  <c r="X92" i="8" s="1"/>
  <c r="X93" i="8" s="1"/>
  <c r="X94" i="8" s="1"/>
  <c r="X95" i="8" s="1"/>
  <c r="W10" i="8"/>
  <c r="M86" i="7"/>
  <c r="AF28" i="8"/>
  <c r="AF24" i="8"/>
  <c r="AF31" i="8" s="1"/>
  <c r="AF29" i="8"/>
  <c r="AF30" i="8"/>
  <c r="AF21" i="8"/>
  <c r="AF22" i="8"/>
  <c r="AF20" i="8"/>
  <c r="AF26" i="8"/>
  <c r="AF25" i="8"/>
  <c r="AF27" i="8"/>
  <c r="AF23" i="8"/>
  <c r="AD64" i="8"/>
  <c r="AE8" i="8"/>
  <c r="AK75" i="8"/>
  <c r="AD72" i="8"/>
  <c r="U81" i="8"/>
  <c r="U16" i="8"/>
  <c r="U15" i="7"/>
  <c r="AG4" i="8"/>
  <c r="AG32" i="8" s="1"/>
  <c r="AH13" i="8"/>
  <c r="AD48" i="8"/>
  <c r="AE5" i="8"/>
  <c r="AE48" i="8" s="1"/>
  <c r="AF5" i="8"/>
  <c r="V9" i="8"/>
  <c r="V7" i="8" s="1"/>
  <c r="AH71" i="8"/>
  <c r="AH4" i="8" l="1"/>
  <c r="AH32" i="8" s="1"/>
  <c r="AI13" i="8"/>
  <c r="AF72" i="8"/>
  <c r="AF79" i="8" s="1"/>
  <c r="AH73" i="8"/>
  <c r="AE64" i="8"/>
  <c r="AF8" i="8"/>
  <c r="AG29" i="8"/>
  <c r="AG27" i="8"/>
  <c r="AG22" i="8"/>
  <c r="AG24" i="8"/>
  <c r="AG30" i="8"/>
  <c r="AG21" i="8"/>
  <c r="AG26" i="8"/>
  <c r="AG20" i="8"/>
  <c r="AG31" i="8" s="1"/>
  <c r="AG28" i="8"/>
  <c r="AG23" i="8"/>
  <c r="AG25" i="8"/>
  <c r="AE72" i="8"/>
  <c r="W96" i="8"/>
  <c r="X3" i="8"/>
  <c r="X6" i="8" s="1"/>
  <c r="X9" i="8" s="1"/>
  <c r="X7" i="8" s="1"/>
  <c r="AD62" i="8"/>
  <c r="AD54" i="8"/>
  <c r="AD61" i="8"/>
  <c r="AD60" i="8"/>
  <c r="AD53" i="8"/>
  <c r="AD58" i="8"/>
  <c r="AD56" i="8"/>
  <c r="AD55" i="8"/>
  <c r="AD57" i="8"/>
  <c r="AD52" i="8"/>
  <c r="AD63" i="8" s="1"/>
  <c r="AD59" i="8"/>
  <c r="AJ71" i="8"/>
  <c r="AK71" i="8" s="1"/>
  <c r="V16" i="8"/>
  <c r="V15" i="7"/>
  <c r="AJ76" i="8"/>
  <c r="AK76" i="8" s="1"/>
  <c r="Y84" i="8"/>
  <c r="Y85" i="8" s="1"/>
  <c r="Y86" i="8" s="1"/>
  <c r="Y87" i="8" s="1"/>
  <c r="Y88" i="8" s="1"/>
  <c r="Y89" i="8" s="1"/>
  <c r="Y90" i="8" s="1"/>
  <c r="Y91" i="8" s="1"/>
  <c r="Y92" i="8" s="1"/>
  <c r="Y93" i="8" s="1"/>
  <c r="Y94" i="8" s="1"/>
  <c r="Y95" i="8" s="1"/>
  <c r="X10" i="8"/>
  <c r="W9" i="8"/>
  <c r="W7" i="8" s="1"/>
  <c r="AG70" i="8"/>
  <c r="M71" i="7"/>
  <c r="M87" i="7" s="1"/>
  <c r="AG72" i="8"/>
  <c r="AC101" i="8"/>
  <c r="AC106" i="8"/>
  <c r="AC102" i="8"/>
  <c r="AC100" i="8"/>
  <c r="AC99" i="8"/>
  <c r="AC108" i="8"/>
  <c r="AC104" i="8"/>
  <c r="AC107" i="8"/>
  <c r="AC110" i="8" s="1"/>
  <c r="AC109" i="8"/>
  <c r="AC105" i="8"/>
  <c r="AD111" i="8"/>
  <c r="AC103" i="8"/>
  <c r="AD79" i="8"/>
  <c r="AF48" i="8"/>
  <c r="AG5" i="8"/>
  <c r="AE37" i="8"/>
  <c r="AE38" i="8"/>
  <c r="AE43" i="8"/>
  <c r="AE36" i="8"/>
  <c r="AE46" i="8"/>
  <c r="AE45" i="8"/>
  <c r="AE40" i="8"/>
  <c r="AD41" i="8"/>
  <c r="AE41" i="8" s="1"/>
  <c r="AD44" i="8"/>
  <c r="AE44" i="8" s="1"/>
  <c r="AD42" i="8"/>
  <c r="AE42" i="8" s="1"/>
  <c r="AD39" i="8"/>
  <c r="AE39" i="8" s="1"/>
  <c r="AD43" i="8"/>
  <c r="AD36" i="8"/>
  <c r="AD47" i="8" s="1"/>
  <c r="AD46" i="8"/>
  <c r="AD40" i="8"/>
  <c r="AD38" i="8"/>
  <c r="AD45" i="8"/>
  <c r="AD37" i="8"/>
  <c r="AH70" i="8"/>
  <c r="AI71" i="8"/>
  <c r="M72" i="7" l="1"/>
  <c r="M88" i="7" s="1"/>
  <c r="AE47" i="8"/>
  <c r="AF64" i="8"/>
  <c r="AG8" i="8"/>
  <c r="AG79" i="8"/>
  <c r="AG48" i="8"/>
  <c r="AH5" i="8"/>
  <c r="AH48" i="8" s="1"/>
  <c r="AI5" i="8"/>
  <c r="AH29" i="8"/>
  <c r="AH27" i="8"/>
  <c r="AH22" i="8"/>
  <c r="AH30" i="8"/>
  <c r="AH21" i="8"/>
  <c r="AH26" i="8"/>
  <c r="AH20" i="8"/>
  <c r="AH31" i="8" s="1"/>
  <c r="AH28" i="8"/>
  <c r="AH23" i="8"/>
  <c r="AH25" i="8"/>
  <c r="AH24" i="8"/>
  <c r="AF44" i="8"/>
  <c r="AF37" i="8"/>
  <c r="AF46" i="8"/>
  <c r="AF38" i="8"/>
  <c r="AF43" i="8"/>
  <c r="AF36" i="8"/>
  <c r="AF47" i="8" s="1"/>
  <c r="AF39" i="8"/>
  <c r="AF42" i="8"/>
  <c r="AF41" i="8"/>
  <c r="AF40" i="8"/>
  <c r="AF45" i="8"/>
  <c r="AJ13" i="8"/>
  <c r="AI4" i="8"/>
  <c r="AI32" i="8" s="1"/>
  <c r="W16" i="8"/>
  <c r="W15" i="7"/>
  <c r="X96" i="8"/>
  <c r="Y3" i="8"/>
  <c r="Y6" i="8" s="1"/>
  <c r="AE79" i="8"/>
  <c r="AI73" i="8"/>
  <c r="AJ73" i="8" s="1"/>
  <c r="AE57" i="8"/>
  <c r="AE61" i="8"/>
  <c r="AE54" i="8"/>
  <c r="AE53" i="8"/>
  <c r="AE52" i="8"/>
  <c r="AE63" i="8" s="1"/>
  <c r="AE60" i="8"/>
  <c r="AE58" i="8"/>
  <c r="AE62" i="8"/>
  <c r="AE56" i="8"/>
  <c r="AE55" i="8"/>
  <c r="AE59" i="8"/>
  <c r="X16" i="8"/>
  <c r="X15" i="7"/>
  <c r="AD101" i="8"/>
  <c r="AD100" i="8"/>
  <c r="AD110" i="8" s="1"/>
  <c r="AD99" i="8"/>
  <c r="AD108" i="8"/>
  <c r="AD104" i="8"/>
  <c r="AD109" i="8"/>
  <c r="AD105" i="8"/>
  <c r="AD106" i="8"/>
  <c r="AD102" i="8"/>
  <c r="AD107" i="8"/>
  <c r="AE111" i="8"/>
  <c r="AD103" i="8"/>
  <c r="Y10" i="8"/>
  <c r="Z84" i="8"/>
  <c r="Z85" i="8" s="1"/>
  <c r="Z86" i="8" s="1"/>
  <c r="Z87" i="8" s="1"/>
  <c r="Z88" i="8" s="1"/>
  <c r="Z89" i="8" s="1"/>
  <c r="Z90" i="8" s="1"/>
  <c r="Z91" i="8" s="1"/>
  <c r="Z92" i="8" s="1"/>
  <c r="Z93" i="8" s="1"/>
  <c r="Z94" i="8" s="1"/>
  <c r="Z95" i="8" s="1"/>
  <c r="AI70" i="8"/>
  <c r="AH72" i="8"/>
  <c r="AI72" i="8" s="1"/>
  <c r="M73" i="7" l="1"/>
  <c r="M89" i="7" s="1"/>
  <c r="Z10" i="8"/>
  <c r="AA84" i="8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AH39" i="8"/>
  <c r="AH38" i="8"/>
  <c r="AH43" i="8"/>
  <c r="AH42" i="8"/>
  <c r="AH46" i="8"/>
  <c r="AH41" i="8"/>
  <c r="AH45" i="8"/>
  <c r="AH40" i="8"/>
  <c r="AE106" i="8"/>
  <c r="AE100" i="8"/>
  <c r="AE101" i="8"/>
  <c r="AE99" i="8"/>
  <c r="AE110" i="8" s="1"/>
  <c r="AE109" i="8"/>
  <c r="AE105" i="8"/>
  <c r="AE108" i="8"/>
  <c r="AE104" i="8"/>
  <c r="AE102" i="8"/>
  <c r="AE107" i="8"/>
  <c r="AF111" i="8"/>
  <c r="AE103" i="8"/>
  <c r="AG64" i="8"/>
  <c r="AH8" i="8"/>
  <c r="AJ72" i="8"/>
  <c r="AK72" i="8" s="1"/>
  <c r="AK73" i="8"/>
  <c r="AJ4" i="8"/>
  <c r="AJ32" i="8" s="1"/>
  <c r="AK13" i="8"/>
  <c r="AI79" i="8"/>
  <c r="Y96" i="8"/>
  <c r="Z3" i="8"/>
  <c r="Z6" i="8" s="1"/>
  <c r="Z9" i="8" s="1"/>
  <c r="Z7" i="8" s="1"/>
  <c r="AG44" i="8"/>
  <c r="AH44" i="8" s="1"/>
  <c r="AG36" i="8"/>
  <c r="AH36" i="8" s="1"/>
  <c r="AH47" i="8" s="1"/>
  <c r="AG37" i="8"/>
  <c r="AH37" i="8" s="1"/>
  <c r="AG39" i="8"/>
  <c r="AG46" i="8"/>
  <c r="AG38" i="8"/>
  <c r="AG43" i="8"/>
  <c r="AG42" i="8"/>
  <c r="AG41" i="8"/>
  <c r="AG40" i="8"/>
  <c r="AG45" i="8"/>
  <c r="AJ70" i="8"/>
  <c r="AF54" i="8"/>
  <c r="AF57" i="8"/>
  <c r="AF61" i="8"/>
  <c r="AF56" i="8"/>
  <c r="AF53" i="8"/>
  <c r="AF52" i="8"/>
  <c r="AF63" i="8" s="1"/>
  <c r="AF59" i="8"/>
  <c r="AF62" i="8"/>
  <c r="AF55" i="8"/>
  <c r="AF58" i="8"/>
  <c r="AF60" i="8"/>
  <c r="Y9" i="8"/>
  <c r="Y7" i="8" s="1"/>
  <c r="AI27" i="8"/>
  <c r="AI25" i="8"/>
  <c r="AI30" i="8"/>
  <c r="AI21" i="8"/>
  <c r="AI26" i="8"/>
  <c r="AI29" i="8"/>
  <c r="AI20" i="8"/>
  <c r="AI31" i="8" s="1"/>
  <c r="AI22" i="8"/>
  <c r="AI28" i="8"/>
  <c r="AI23" i="8"/>
  <c r="AI24" i="8"/>
  <c r="AI48" i="8"/>
  <c r="AJ5" i="8"/>
  <c r="AH79" i="8"/>
  <c r="M74" i="7" l="1"/>
  <c r="M90" i="7" s="1"/>
  <c r="Z16" i="8"/>
  <c r="Z15" i="7"/>
  <c r="AH64" i="8"/>
  <c r="AI8" i="8"/>
  <c r="AJ79" i="8"/>
  <c r="AK70" i="8"/>
  <c r="AK79" i="8" s="1"/>
  <c r="AJ22" i="8"/>
  <c r="AJ25" i="8"/>
  <c r="AJ26" i="8"/>
  <c r="AJ29" i="8"/>
  <c r="AJ23" i="8"/>
  <c r="AJ20" i="8"/>
  <c r="AJ27" i="8"/>
  <c r="AJ28" i="8"/>
  <c r="AJ30" i="8"/>
  <c r="AJ24" i="8"/>
  <c r="AJ21" i="8"/>
  <c r="AJ31" i="8" s="1"/>
  <c r="AF100" i="8"/>
  <c r="AF99" i="8"/>
  <c r="AF110" i="8" s="1"/>
  <c r="AF109" i="8"/>
  <c r="AF105" i="8"/>
  <c r="AF101" i="8"/>
  <c r="AF108" i="8"/>
  <c r="AF106" i="8"/>
  <c r="AF104" i="8"/>
  <c r="AF102" i="8"/>
  <c r="AF107" i="8"/>
  <c r="AG111" i="8"/>
  <c r="AF103" i="8"/>
  <c r="AJ48" i="8"/>
  <c r="AK5" i="8"/>
  <c r="AK48" i="8" s="1"/>
  <c r="AI36" i="8"/>
  <c r="AI47" i="8" s="1"/>
  <c r="AI39" i="8"/>
  <c r="AI44" i="8"/>
  <c r="AI46" i="8"/>
  <c r="AI38" i="8"/>
  <c r="AI43" i="8"/>
  <c r="AI42" i="8"/>
  <c r="AI41" i="8"/>
  <c r="AI40" i="8"/>
  <c r="AI45" i="8"/>
  <c r="AI37" i="8"/>
  <c r="AA10" i="8"/>
  <c r="AB84" i="8"/>
  <c r="AB85" i="8" s="1"/>
  <c r="AB86" i="8" s="1"/>
  <c r="AB87" i="8" s="1"/>
  <c r="AB88" i="8" s="1"/>
  <c r="AB89" i="8" s="1"/>
  <c r="AB90" i="8" s="1"/>
  <c r="AB91" i="8" s="1"/>
  <c r="AB92" i="8" s="1"/>
  <c r="AB93" i="8" s="1"/>
  <c r="AB94" i="8" s="1"/>
  <c r="AB95" i="8" s="1"/>
  <c r="AG47" i="8"/>
  <c r="AK4" i="8"/>
  <c r="AK32" i="8" s="1"/>
  <c r="AG57" i="8"/>
  <c r="AG60" i="8"/>
  <c r="AG61" i="8"/>
  <c r="AG54" i="8"/>
  <c r="AG56" i="8"/>
  <c r="AG52" i="8"/>
  <c r="AG63" i="8" s="1"/>
  <c r="AG59" i="8"/>
  <c r="AG55" i="8"/>
  <c r="AG58" i="8"/>
  <c r="AG62" i="8"/>
  <c r="AG53" i="8"/>
  <c r="Z96" i="8"/>
  <c r="AA3" i="8"/>
  <c r="AA6" i="8" s="1"/>
  <c r="AA9" i="8" s="1"/>
  <c r="AA7" i="8" s="1"/>
  <c r="Y16" i="8"/>
  <c r="Y15" i="7"/>
  <c r="M75" i="7" l="1"/>
  <c r="M91" i="7" s="1"/>
  <c r="AK44" i="8"/>
  <c r="AK40" i="8"/>
  <c r="AK45" i="8"/>
  <c r="AK36" i="8"/>
  <c r="AJ39" i="8"/>
  <c r="AK39" i="8" s="1"/>
  <c r="AJ42" i="8"/>
  <c r="AK42" i="8" s="1"/>
  <c r="AJ46" i="8"/>
  <c r="AK46" i="8" s="1"/>
  <c r="AJ41" i="8"/>
  <c r="AK41" i="8" s="1"/>
  <c r="AJ38" i="8"/>
  <c r="AK38" i="8" s="1"/>
  <c r="AJ43" i="8"/>
  <c r="AK43" i="8" s="1"/>
  <c r="AJ37" i="8"/>
  <c r="AJ47" i="8" s="1"/>
  <c r="AJ44" i="8"/>
  <c r="AJ40" i="8"/>
  <c r="AJ45" i="8"/>
  <c r="AJ36" i="8"/>
  <c r="AK22" i="8"/>
  <c r="AK26" i="8"/>
  <c r="AK29" i="8"/>
  <c r="AK23" i="8"/>
  <c r="AK20" i="8"/>
  <c r="AK27" i="8"/>
  <c r="AK28" i="8"/>
  <c r="AK30" i="8"/>
  <c r="AK21" i="8"/>
  <c r="AK25" i="8"/>
  <c r="AK24" i="8"/>
  <c r="AK31" i="8" s="1"/>
  <c r="AH57" i="8"/>
  <c r="AH60" i="8"/>
  <c r="AH54" i="8"/>
  <c r="AH56" i="8"/>
  <c r="AH52" i="8"/>
  <c r="AH63" i="8" s="1"/>
  <c r="AH59" i="8"/>
  <c r="AH55" i="8"/>
  <c r="AH61" i="8"/>
  <c r="AH53" i="8"/>
  <c r="AH58" i="8"/>
  <c r="AH62" i="8"/>
  <c r="AA16" i="8"/>
  <c r="AA15" i="7"/>
  <c r="AC84" i="8"/>
  <c r="AC85" i="8" s="1"/>
  <c r="AC86" i="8" s="1"/>
  <c r="AC87" i="8" s="1"/>
  <c r="AC88" i="8" s="1"/>
  <c r="AC89" i="8" s="1"/>
  <c r="AC90" i="8" s="1"/>
  <c r="AC91" i="8" s="1"/>
  <c r="AC92" i="8" s="1"/>
  <c r="AC93" i="8" s="1"/>
  <c r="AC94" i="8" s="1"/>
  <c r="AC95" i="8" s="1"/>
  <c r="AB10" i="8"/>
  <c r="AA96" i="8"/>
  <c r="AB3" i="8"/>
  <c r="AB6" i="8" s="1"/>
  <c r="AB9" i="8" s="1"/>
  <c r="AB7" i="8" s="1"/>
  <c r="AG100" i="8"/>
  <c r="AG105" i="8"/>
  <c r="AG99" i="8"/>
  <c r="AG109" i="8"/>
  <c r="AG101" i="8"/>
  <c r="AG104" i="8"/>
  <c r="AG102" i="8"/>
  <c r="AG107" i="8"/>
  <c r="AG110" i="8" s="1"/>
  <c r="AH111" i="8"/>
  <c r="AG106" i="8"/>
  <c r="AG103" i="8"/>
  <c r="AG108" i="8"/>
  <c r="AI64" i="8"/>
  <c r="AJ8" i="8"/>
  <c r="M76" i="7" l="1"/>
  <c r="M92" i="7" s="1"/>
  <c r="AB16" i="8"/>
  <c r="AB15" i="7"/>
  <c r="AH99" i="8"/>
  <c r="AH100" i="8"/>
  <c r="AH109" i="8"/>
  <c r="AH105" i="8"/>
  <c r="AH101" i="8"/>
  <c r="AH104" i="8"/>
  <c r="AH102" i="8"/>
  <c r="AH107" i="8"/>
  <c r="AI111" i="8"/>
  <c r="AH106" i="8"/>
  <c r="AH103" i="8"/>
  <c r="AH110" i="8" s="1"/>
  <c r="AH108" i="8"/>
  <c r="AB96" i="8"/>
  <c r="AC3" i="8"/>
  <c r="AC6" i="8" s="1"/>
  <c r="AC9" i="8" s="1"/>
  <c r="AC7" i="8" s="1"/>
  <c r="AK37" i="8"/>
  <c r="AK47" i="8" s="1"/>
  <c r="AD84" i="8"/>
  <c r="AD85" i="8" s="1"/>
  <c r="AD86" i="8" s="1"/>
  <c r="AD87" i="8" s="1"/>
  <c r="AD88" i="8" s="1"/>
  <c r="AD89" i="8" s="1"/>
  <c r="AD90" i="8" s="1"/>
  <c r="AD91" i="8" s="1"/>
  <c r="AD92" i="8" s="1"/>
  <c r="AD93" i="8" s="1"/>
  <c r="AD94" i="8" s="1"/>
  <c r="AD95" i="8" s="1"/>
  <c r="AC10" i="8"/>
  <c r="AJ64" i="8"/>
  <c r="AK8" i="8"/>
  <c r="AK64" i="8" s="1"/>
  <c r="AI60" i="8"/>
  <c r="AI56" i="8"/>
  <c r="AI52" i="8"/>
  <c r="AI63" i="8" s="1"/>
  <c r="AI58" i="8"/>
  <c r="AI55" i="8"/>
  <c r="AI61" i="8"/>
  <c r="AI57" i="8"/>
  <c r="AI54" i="8"/>
  <c r="AI53" i="8"/>
  <c r="AI59" i="8"/>
  <c r="AI62" i="8"/>
  <c r="M77" i="7" l="1"/>
  <c r="M78" i="7" s="1"/>
  <c r="AE84" i="8"/>
  <c r="AE85" i="8" s="1"/>
  <c r="AE86" i="8" s="1"/>
  <c r="AE87" i="8" s="1"/>
  <c r="AE88" i="8" s="1"/>
  <c r="AE89" i="8" s="1"/>
  <c r="AE90" i="8" s="1"/>
  <c r="AE91" i="8" s="1"/>
  <c r="AE92" i="8" s="1"/>
  <c r="AE93" i="8" s="1"/>
  <c r="AE94" i="8" s="1"/>
  <c r="AE95" i="8" s="1"/>
  <c r="AD10" i="8"/>
  <c r="AK60" i="8"/>
  <c r="AC16" i="8"/>
  <c r="AC15" i="7"/>
  <c r="AI105" i="8"/>
  <c r="AI100" i="8"/>
  <c r="AI110" i="8" s="1"/>
  <c r="AI101" i="8"/>
  <c r="AI109" i="8"/>
  <c r="AI104" i="8"/>
  <c r="AI102" i="8"/>
  <c r="AI107" i="8"/>
  <c r="AJ111" i="8"/>
  <c r="AI99" i="8"/>
  <c r="AI106" i="8"/>
  <c r="AI103" i="8"/>
  <c r="AI108" i="8"/>
  <c r="AJ60" i="8"/>
  <c r="AJ52" i="8"/>
  <c r="AK52" i="8" s="1"/>
  <c r="AJ58" i="8"/>
  <c r="AK58" i="8" s="1"/>
  <c r="AJ59" i="8"/>
  <c r="AK59" i="8" s="1"/>
  <c r="AJ56" i="8"/>
  <c r="AK56" i="8" s="1"/>
  <c r="AJ57" i="8"/>
  <c r="AK57" i="8" s="1"/>
  <c r="AJ54" i="8"/>
  <c r="AK54" i="8" s="1"/>
  <c r="AJ53" i="8"/>
  <c r="AK53" i="8" s="1"/>
  <c r="AJ55" i="8"/>
  <c r="AK55" i="8" s="1"/>
  <c r="AJ61" i="8"/>
  <c r="AK61" i="8" s="1"/>
  <c r="AJ62" i="8"/>
  <c r="AK62" i="8" s="1"/>
  <c r="AC96" i="8"/>
  <c r="AD3" i="8"/>
  <c r="AD6" i="8" s="1"/>
  <c r="AK63" i="8" l="1"/>
  <c r="AJ99" i="8"/>
  <c r="AJ100" i="8"/>
  <c r="AJ110" i="8" s="1"/>
  <c r="AJ101" i="8"/>
  <c r="AJ102" i="8"/>
  <c r="AJ105" i="8"/>
  <c r="AK111" i="8"/>
  <c r="AJ104" i="8"/>
  <c r="AJ109" i="8"/>
  <c r="AJ103" i="8"/>
  <c r="AJ107" i="8"/>
  <c r="AJ106" i="8"/>
  <c r="AJ108" i="8"/>
  <c r="AJ63" i="8"/>
  <c r="AD96" i="8"/>
  <c r="AE3" i="8"/>
  <c r="AE6" i="8" s="1"/>
  <c r="AF84" i="8"/>
  <c r="AF85" i="8" s="1"/>
  <c r="AF86" i="8" s="1"/>
  <c r="AF87" i="8" s="1"/>
  <c r="AF88" i="8" s="1"/>
  <c r="AF89" i="8" s="1"/>
  <c r="AF90" i="8" s="1"/>
  <c r="AF91" i="8" s="1"/>
  <c r="AF92" i="8" s="1"/>
  <c r="AF93" i="8" s="1"/>
  <c r="AF94" i="8" s="1"/>
  <c r="AF95" i="8" s="1"/>
  <c r="AE10" i="8"/>
  <c r="AD9" i="8"/>
  <c r="AD7" i="8" s="1"/>
  <c r="M93" i="7"/>
  <c r="M94" i="7" s="1"/>
  <c r="AD16" i="8" l="1"/>
  <c r="AD15" i="7"/>
  <c r="AE96" i="8"/>
  <c r="AF3" i="8"/>
  <c r="AF6" i="8" s="1"/>
  <c r="AF10" i="8"/>
  <c r="AG84" i="8"/>
  <c r="AG85" i="8" s="1"/>
  <c r="AG86" i="8" s="1"/>
  <c r="AG87" i="8" s="1"/>
  <c r="AG88" i="8" s="1"/>
  <c r="AG89" i="8" s="1"/>
  <c r="AG90" i="8" s="1"/>
  <c r="AG91" i="8" s="1"/>
  <c r="AG92" i="8" s="1"/>
  <c r="AG93" i="8" s="1"/>
  <c r="AG94" i="8" s="1"/>
  <c r="AG95" i="8" s="1"/>
  <c r="N67" i="7"/>
  <c r="AE9" i="8"/>
  <c r="AE7" i="8" s="1"/>
  <c r="AK104" i="8"/>
  <c r="AK109" i="8"/>
  <c r="AK100" i="8"/>
  <c r="AK101" i="8"/>
  <c r="AK102" i="8"/>
  <c r="AK103" i="8"/>
  <c r="AK105" i="8"/>
  <c r="AK106" i="8"/>
  <c r="AK107" i="8"/>
  <c r="AK99" i="8"/>
  <c r="AK110" i="8" s="1"/>
  <c r="AK108" i="8"/>
  <c r="N83" i="7" l="1"/>
  <c r="AE16" i="8"/>
  <c r="AE15" i="7"/>
  <c r="AG10" i="8"/>
  <c r="AH84" i="8"/>
  <c r="AH85" i="8" s="1"/>
  <c r="AH86" i="8" s="1"/>
  <c r="AH87" i="8" s="1"/>
  <c r="AH88" i="8" s="1"/>
  <c r="AH89" i="8" s="1"/>
  <c r="AH90" i="8" s="1"/>
  <c r="AH91" i="8" s="1"/>
  <c r="AH92" i="8" s="1"/>
  <c r="AH93" i="8" s="1"/>
  <c r="AH94" i="8" s="1"/>
  <c r="AH95" i="8" s="1"/>
  <c r="AF96" i="8"/>
  <c r="AG3" i="8"/>
  <c r="AG6" i="8" s="1"/>
  <c r="AG9" i="8" s="1"/>
  <c r="AG7" i="8" s="1"/>
  <c r="AF9" i="8"/>
  <c r="AF7" i="8" s="1"/>
  <c r="AF16" i="8" l="1"/>
  <c r="AF15" i="7"/>
  <c r="AH10" i="8"/>
  <c r="AI84" i="8"/>
  <c r="AI85" i="8" s="1"/>
  <c r="AI86" i="8" s="1"/>
  <c r="AI87" i="8" s="1"/>
  <c r="AI88" i="8" s="1"/>
  <c r="AI89" i="8" s="1"/>
  <c r="AI90" i="8" s="1"/>
  <c r="AI91" i="8" s="1"/>
  <c r="AI92" i="8" s="1"/>
  <c r="AI93" i="8" s="1"/>
  <c r="AI94" i="8" s="1"/>
  <c r="AI95" i="8" s="1"/>
  <c r="AG16" i="8"/>
  <c r="AG15" i="7"/>
  <c r="AG96" i="8"/>
  <c r="AH3" i="8"/>
  <c r="AH6" i="8" s="1"/>
  <c r="AH9" i="8" s="1"/>
  <c r="AH7" i="8" s="1"/>
  <c r="N68" i="7"/>
  <c r="AH16" i="8" l="1"/>
  <c r="AH15" i="7"/>
  <c r="AI10" i="8"/>
  <c r="AJ84" i="8"/>
  <c r="AJ85" i="8" s="1"/>
  <c r="AJ86" i="8" s="1"/>
  <c r="AJ87" i="8" s="1"/>
  <c r="AJ88" i="8" s="1"/>
  <c r="AJ89" i="8" s="1"/>
  <c r="AJ90" i="8" s="1"/>
  <c r="AJ91" i="8" s="1"/>
  <c r="AJ92" i="8" s="1"/>
  <c r="AJ93" i="8" s="1"/>
  <c r="AJ94" i="8" s="1"/>
  <c r="AJ95" i="8" s="1"/>
  <c r="AH96" i="8"/>
  <c r="AI3" i="8"/>
  <c r="AI6" i="8" s="1"/>
  <c r="AI9" i="8" s="1"/>
  <c r="AI7" i="8" s="1"/>
  <c r="N84" i="7"/>
  <c r="AI16" i="8" l="1"/>
  <c r="AI15" i="7"/>
  <c r="N69" i="7"/>
  <c r="AI96" i="8"/>
  <c r="AJ3" i="8"/>
  <c r="AJ6" i="8" s="1"/>
  <c r="AJ10" i="8"/>
  <c r="AK84" i="8"/>
  <c r="AK85" i="8" s="1"/>
  <c r="AK86" i="8" s="1"/>
  <c r="AK87" i="8" s="1"/>
  <c r="AK88" i="8" s="1"/>
  <c r="AK89" i="8" s="1"/>
  <c r="AK90" i="8" s="1"/>
  <c r="AK91" i="8" s="1"/>
  <c r="AK92" i="8" s="1"/>
  <c r="AK93" i="8" s="1"/>
  <c r="AK94" i="8" s="1"/>
  <c r="AK95" i="8" s="1"/>
  <c r="AK10" i="8" s="1"/>
  <c r="AK96" i="8" s="1"/>
  <c r="AJ9" i="8" l="1"/>
  <c r="AJ7" i="8" s="1"/>
  <c r="AJ96" i="8"/>
  <c r="AK3" i="8"/>
  <c r="AK6" i="8" s="1"/>
  <c r="AK9" i="8" s="1"/>
  <c r="AK7" i="8" s="1"/>
  <c r="N85" i="7"/>
  <c r="N70" i="7" l="1"/>
  <c r="N86" i="7" s="1"/>
  <c r="AK16" i="8"/>
  <c r="AK15" i="7"/>
  <c r="AJ16" i="8"/>
  <c r="AJ15" i="7"/>
  <c r="N71" i="7" l="1"/>
  <c r="N87" i="7" s="1"/>
  <c r="N72" i="7" l="1"/>
  <c r="N88" i="7" s="1"/>
  <c r="N73" i="7" l="1"/>
  <c r="N89" i="7" s="1"/>
  <c r="N74" i="7" l="1"/>
  <c r="N90" i="7" s="1"/>
  <c r="N75" i="7" l="1"/>
  <c r="N91" i="7" s="1"/>
  <c r="N76" i="7" l="1"/>
  <c r="N92" i="7" s="1"/>
  <c r="N77" i="7" l="1"/>
  <c r="N78" i="7" s="1"/>
  <c r="N93" i="7" l="1"/>
  <c r="N94" i="7" s="1"/>
  <c r="O67" i="7" l="1"/>
  <c r="O83" i="7" l="1"/>
  <c r="O68" i="7" l="1"/>
  <c r="O84" i="7" s="1"/>
  <c r="O69" i="7" l="1"/>
  <c r="O85" i="7" s="1"/>
  <c r="O70" i="7" l="1"/>
  <c r="O86" i="7" l="1"/>
  <c r="O71" i="7" l="1"/>
  <c r="O87" i="7" s="1"/>
  <c r="O72" i="7" l="1"/>
  <c r="O88" i="7" s="1"/>
  <c r="O73" i="7" l="1"/>
  <c r="O89" i="7" s="1"/>
  <c r="O74" i="7" l="1"/>
  <c r="O90" i="7" s="1"/>
  <c r="O75" i="7" l="1"/>
  <c r="O91" i="7" s="1"/>
  <c r="O76" i="7" l="1"/>
  <c r="O92" i="7" s="1"/>
  <c r="O77" i="7" l="1"/>
  <c r="O78" i="7" s="1"/>
  <c r="O93" i="7" l="1"/>
  <c r="O94" i="7" s="1"/>
  <c r="P67" i="7" l="1"/>
  <c r="P83" i="7" l="1"/>
  <c r="P68" i="7" l="1"/>
  <c r="P84" i="7" l="1"/>
  <c r="P69" i="7" l="1"/>
  <c r="P85" i="7" l="1"/>
  <c r="P70" i="7" l="1"/>
  <c r="P86" i="7" s="1"/>
  <c r="P71" i="7" l="1"/>
  <c r="P87" i="7" s="1"/>
  <c r="P72" i="7" l="1"/>
  <c r="P88" i="7" s="1"/>
  <c r="P73" i="7" l="1"/>
  <c r="P89" i="7" s="1"/>
  <c r="P74" i="7" l="1"/>
  <c r="P90" i="7" s="1"/>
  <c r="P75" i="7" l="1"/>
  <c r="P91" i="7" s="1"/>
  <c r="P76" i="7" l="1"/>
  <c r="P92" i="7" s="1"/>
  <c r="P77" i="7" l="1"/>
  <c r="P78" i="7" s="1"/>
  <c r="P93" i="7" l="1"/>
  <c r="P94" i="7" s="1"/>
  <c r="Q67" i="7" l="1"/>
  <c r="Q83" i="7" l="1"/>
  <c r="Q68" i="7" l="1"/>
  <c r="Q84" i="7" l="1"/>
  <c r="Q69" i="7" l="1"/>
  <c r="Q85" i="7" l="1"/>
  <c r="Q70" i="7" l="1"/>
  <c r="Q86" i="7" s="1"/>
  <c r="Q71" i="7" l="1"/>
  <c r="Q87" i="7" s="1"/>
  <c r="Q72" i="7" l="1"/>
  <c r="Q88" i="7" s="1"/>
  <c r="Q73" i="7" l="1"/>
  <c r="Q89" i="7" s="1"/>
  <c r="Q74" i="7" l="1"/>
  <c r="Q90" i="7" s="1"/>
  <c r="Q75" i="7" l="1"/>
  <c r="Q91" i="7" s="1"/>
  <c r="Q76" i="7" l="1"/>
  <c r="Q92" i="7" s="1"/>
  <c r="Q77" i="7" l="1"/>
  <c r="Q78" i="7" s="1"/>
  <c r="Q93" i="7" l="1"/>
  <c r="Q94" i="7" s="1"/>
  <c r="R67" i="7" l="1"/>
  <c r="R83" i="7" l="1"/>
  <c r="R68" i="7" l="1"/>
  <c r="R84" i="7" s="1"/>
  <c r="R69" i="7" l="1"/>
  <c r="R85" i="7" s="1"/>
  <c r="R70" i="7" l="1"/>
  <c r="R86" i="7" l="1"/>
  <c r="R71" i="7" l="1"/>
  <c r="R87" i="7" s="1"/>
  <c r="R72" i="7" l="1"/>
  <c r="R88" i="7" s="1"/>
  <c r="R73" i="7" l="1"/>
  <c r="R89" i="7" s="1"/>
  <c r="R74" i="7" l="1"/>
  <c r="R90" i="7" s="1"/>
  <c r="R75" i="7" l="1"/>
  <c r="R91" i="7" s="1"/>
  <c r="R76" i="7" l="1"/>
  <c r="R92" i="7" s="1"/>
  <c r="R77" i="7" l="1"/>
  <c r="R78" i="7" s="1"/>
  <c r="R93" i="7" l="1"/>
  <c r="R94" i="7" s="1"/>
  <c r="S67" i="7" l="1"/>
  <c r="S83" i="7" l="1"/>
  <c r="S68" i="7" l="1"/>
  <c r="S84" i="7" l="1"/>
  <c r="S69" i="7" l="1"/>
  <c r="S85" i="7" l="1"/>
  <c r="S70" i="7" l="1"/>
  <c r="S86" i="7" s="1"/>
  <c r="S71" i="7" l="1"/>
  <c r="S87" i="7" s="1"/>
  <c r="S72" i="7" l="1"/>
  <c r="S88" i="7" s="1"/>
  <c r="S73" i="7" l="1"/>
  <c r="S89" i="7" s="1"/>
  <c r="S74" i="7" l="1"/>
  <c r="S90" i="7" s="1"/>
  <c r="S75" i="7" l="1"/>
  <c r="S91" i="7" s="1"/>
  <c r="S76" i="7" l="1"/>
  <c r="S92" i="7" s="1"/>
  <c r="S77" i="7" l="1"/>
  <c r="S78" i="7" s="1"/>
  <c r="S93" i="7" l="1"/>
  <c r="S94" i="7" s="1"/>
  <c r="T67" i="7" l="1"/>
  <c r="T83" i="7" l="1"/>
  <c r="T68" i="7" l="1"/>
  <c r="T84" i="7" l="1"/>
  <c r="T69" i="7" l="1"/>
  <c r="T85" i="7" l="1"/>
  <c r="T70" i="7" l="1"/>
  <c r="T86" i="7" s="1"/>
  <c r="T71" i="7" l="1"/>
  <c r="T87" i="7" s="1"/>
  <c r="T72" i="7" l="1"/>
  <c r="T88" i="7" s="1"/>
  <c r="T73" i="7" l="1"/>
  <c r="T89" i="7" s="1"/>
  <c r="T74" i="7" l="1"/>
  <c r="T90" i="7" s="1"/>
  <c r="T75" i="7" l="1"/>
  <c r="T91" i="7" s="1"/>
  <c r="T76" i="7" l="1"/>
  <c r="T92" i="7" s="1"/>
  <c r="T77" i="7" l="1"/>
  <c r="T78" i="7" s="1"/>
  <c r="T93" i="7" l="1"/>
  <c r="T94" i="7" s="1"/>
  <c r="U67" i="7" l="1"/>
  <c r="U83" i="7" l="1"/>
  <c r="U68" i="7" l="1"/>
  <c r="U84" i="7" l="1"/>
  <c r="U69" i="7" l="1"/>
  <c r="U85" i="7" l="1"/>
  <c r="U70" i="7" l="1"/>
  <c r="U86" i="7" s="1"/>
  <c r="U71" i="7" l="1"/>
  <c r="U87" i="7" s="1"/>
  <c r="U72" i="7" l="1"/>
  <c r="U88" i="7" s="1"/>
  <c r="U73" i="7" l="1"/>
  <c r="U89" i="7" s="1"/>
  <c r="U90" i="7" l="1"/>
  <c r="U74" i="7"/>
  <c r="U75" i="7" l="1"/>
  <c r="U91" i="7" s="1"/>
  <c r="U76" i="7" l="1"/>
  <c r="U92" i="7" s="1"/>
  <c r="U77" i="7" l="1"/>
  <c r="U78" i="7" s="1"/>
  <c r="U93" i="7" l="1"/>
  <c r="U94" i="7" s="1"/>
  <c r="V67" i="7" l="1"/>
  <c r="V83" i="7" l="1"/>
  <c r="V68" i="7" l="1"/>
  <c r="V84" i="7" l="1"/>
  <c r="V69" i="7" l="1"/>
  <c r="V85" i="7" l="1"/>
  <c r="V70" i="7" l="1"/>
  <c r="V86" i="7" s="1"/>
  <c r="V71" i="7" l="1"/>
  <c r="V87" i="7" s="1"/>
  <c r="V72" i="7" l="1"/>
  <c r="V88" i="7" s="1"/>
  <c r="V73" i="7" l="1"/>
  <c r="V89" i="7" s="1"/>
  <c r="V74" i="7" l="1"/>
  <c r="V90" i="7" s="1"/>
  <c r="V75" i="7" l="1"/>
  <c r="V91" i="7" s="1"/>
  <c r="V76" i="7" l="1"/>
  <c r="V92" i="7" s="1"/>
  <c r="V77" i="7" l="1"/>
  <c r="V78" i="7" s="1"/>
  <c r="V93" i="7" l="1"/>
  <c r="V94" i="7" s="1"/>
  <c r="W67" i="7" l="1"/>
  <c r="W83" i="7" l="1"/>
  <c r="W68" i="7" l="1"/>
  <c r="W84" i="7" l="1"/>
  <c r="W69" i="7" l="1"/>
  <c r="W85" i="7" l="1"/>
  <c r="W70" i="7" l="1"/>
  <c r="W86" i="7" s="1"/>
  <c r="W71" i="7" l="1"/>
  <c r="W87" i="7" s="1"/>
  <c r="W72" i="7" l="1"/>
  <c r="W88" i="7" s="1"/>
  <c r="W73" i="7" l="1"/>
  <c r="W89" i="7" s="1"/>
  <c r="W74" i="7" l="1"/>
  <c r="W90" i="7" s="1"/>
  <c r="W75" i="7" l="1"/>
  <c r="W91" i="7" s="1"/>
  <c r="W76" i="7" l="1"/>
  <c r="W92" i="7" s="1"/>
  <c r="W77" i="7" l="1"/>
  <c r="W78" i="7" s="1"/>
  <c r="W93" i="7" l="1"/>
  <c r="W94" i="7" s="1"/>
  <c r="X67" i="7" l="1"/>
  <c r="X83" i="7" l="1"/>
  <c r="X68" i="7" l="1"/>
  <c r="X84" i="7" l="1"/>
  <c r="X69" i="7" l="1"/>
  <c r="X85" i="7" l="1"/>
  <c r="X70" i="7" l="1"/>
  <c r="X86" i="7" s="1"/>
  <c r="X71" i="7" l="1"/>
  <c r="X87" i="7" s="1"/>
  <c r="X72" i="7" l="1"/>
  <c r="X88" i="7" s="1"/>
  <c r="X73" i="7" l="1"/>
  <c r="X89" i="7" s="1"/>
  <c r="X74" i="7" l="1"/>
  <c r="X90" i="7" s="1"/>
  <c r="X75" i="7" l="1"/>
  <c r="X91" i="7" s="1"/>
  <c r="X76" i="7" l="1"/>
  <c r="X92" i="7" s="1"/>
  <c r="X77" i="7" l="1"/>
  <c r="X78" i="7" s="1"/>
  <c r="X93" i="7" l="1"/>
  <c r="X94" i="7" s="1"/>
  <c r="Y67" i="7" l="1"/>
  <c r="Y83" i="7" l="1"/>
  <c r="Y68" i="7" l="1"/>
  <c r="Y84" i="7" l="1"/>
  <c r="Y69" i="7" l="1"/>
  <c r="Y85" i="7" l="1"/>
  <c r="Y70" i="7" l="1"/>
  <c r="Y86" i="7" s="1"/>
  <c r="Y71" i="7" l="1"/>
  <c r="Y87" i="7" s="1"/>
  <c r="Y88" i="7" l="1"/>
  <c r="Y72" i="7"/>
  <c r="Y73" i="7" l="1"/>
  <c r="Y89" i="7" s="1"/>
  <c r="Y74" i="7" l="1"/>
  <c r="Y90" i="7" s="1"/>
  <c r="Y75" i="7" l="1"/>
  <c r="Y91" i="7" s="1"/>
  <c r="Y76" i="7" l="1"/>
  <c r="Y92" i="7" s="1"/>
  <c r="Y77" i="7" l="1"/>
  <c r="Y78" i="7" s="1"/>
  <c r="Y93" i="7" l="1"/>
  <c r="Y94" i="7" s="1"/>
  <c r="Z67" i="7" l="1"/>
  <c r="Z83" i="7" l="1"/>
  <c r="Z68" i="7" l="1"/>
  <c r="Z84" i="7" l="1"/>
  <c r="Z69" i="7" l="1"/>
  <c r="Z85" i="7" l="1"/>
  <c r="Z70" i="7" l="1"/>
  <c r="Z86" i="7" s="1"/>
  <c r="Z71" i="7" l="1"/>
  <c r="Z87" i="7" s="1"/>
  <c r="Z72" i="7" l="1"/>
  <c r="Z88" i="7" s="1"/>
  <c r="Z73" i="7" l="1"/>
  <c r="Z89" i="7" s="1"/>
  <c r="Z74" i="7" l="1"/>
  <c r="Z90" i="7" s="1"/>
  <c r="Z75" i="7" l="1"/>
  <c r="Z91" i="7" s="1"/>
  <c r="Z76" i="7" l="1"/>
  <c r="Z92" i="7" s="1"/>
  <c r="Z77" i="7" l="1"/>
  <c r="Z78" i="7" s="1"/>
  <c r="Z93" i="7" l="1"/>
  <c r="Z94" i="7" s="1"/>
  <c r="AA67" i="7" l="1"/>
  <c r="AA83" i="7" l="1"/>
  <c r="AA68" i="7" l="1"/>
  <c r="AA84" i="7" l="1"/>
  <c r="AA69" i="7" l="1"/>
  <c r="AA85" i="7" l="1"/>
  <c r="AA70" i="7" l="1"/>
  <c r="AA86" i="7" s="1"/>
  <c r="AA71" i="7" l="1"/>
  <c r="AA87" i="7" s="1"/>
  <c r="AA72" i="7" l="1"/>
  <c r="AA88" i="7" s="1"/>
  <c r="AA73" i="7" l="1"/>
  <c r="AA89" i="7" s="1"/>
  <c r="AA74" i="7" l="1"/>
  <c r="AA90" i="7" s="1"/>
  <c r="AA75" i="7" l="1"/>
  <c r="AA91" i="7" s="1"/>
  <c r="AA76" i="7" l="1"/>
  <c r="AA92" i="7" s="1"/>
  <c r="AA77" i="7" l="1"/>
  <c r="AA78" i="7" s="1"/>
  <c r="AA93" i="7" l="1"/>
  <c r="AA94" i="7" s="1"/>
  <c r="AB67" i="7" l="1"/>
  <c r="AB83" i="7" l="1"/>
  <c r="AB68" i="7" l="1"/>
  <c r="AB84" i="7"/>
  <c r="AB69" i="7" l="1"/>
  <c r="AB85" i="7" s="1"/>
  <c r="AB70" i="7" l="1"/>
  <c r="AB86" i="7" l="1"/>
  <c r="AB71" i="7" l="1"/>
  <c r="AB87" i="7" s="1"/>
  <c r="AB72" i="7" l="1"/>
  <c r="AB88" i="7" s="1"/>
  <c r="AB73" i="7" l="1"/>
  <c r="AB89" i="7" s="1"/>
  <c r="AB74" i="7" l="1"/>
  <c r="AB90" i="7" s="1"/>
  <c r="AB75" i="7" l="1"/>
  <c r="AB91" i="7" s="1"/>
  <c r="AB76" i="7" l="1"/>
  <c r="AB92" i="7" s="1"/>
  <c r="AB77" i="7" l="1"/>
  <c r="AB78" i="7" s="1"/>
  <c r="AB93" i="7" l="1"/>
  <c r="AB94" i="7" s="1"/>
  <c r="AC67" i="7" l="1"/>
  <c r="AC83" i="7" l="1"/>
  <c r="AC68" i="7" l="1"/>
  <c r="AC84" i="7" l="1"/>
  <c r="AC69" i="7" l="1"/>
  <c r="AC85" i="7" l="1"/>
  <c r="AC70" i="7" l="1"/>
  <c r="AC86" i="7" s="1"/>
  <c r="AC71" i="7" l="1"/>
  <c r="AC87" i="7" s="1"/>
  <c r="AC72" i="7" l="1"/>
  <c r="AC88" i="7" s="1"/>
  <c r="AC73" i="7" l="1"/>
  <c r="AC89" i="7" s="1"/>
  <c r="AC74" i="7" l="1"/>
  <c r="AC90" i="7" s="1"/>
  <c r="AC75" i="7" l="1"/>
  <c r="AC91" i="7" s="1"/>
  <c r="AC76" i="7" l="1"/>
  <c r="AC92" i="7" s="1"/>
  <c r="AC77" i="7" l="1"/>
  <c r="AC78" i="7" s="1"/>
  <c r="AC93" i="7" l="1"/>
  <c r="AC94" i="7" s="1"/>
  <c r="AD67" i="7" l="1"/>
  <c r="AD83" i="7" l="1"/>
  <c r="AD68" i="7" l="1"/>
  <c r="AD84" i="7" l="1"/>
  <c r="AD69" i="7" l="1"/>
  <c r="AD85" i="7" l="1"/>
  <c r="AD70" i="7" l="1"/>
  <c r="AD86" i="7" s="1"/>
  <c r="AD71" i="7" l="1"/>
  <c r="AD87" i="7" s="1"/>
  <c r="AD72" i="7" l="1"/>
  <c r="AD88" i="7" s="1"/>
  <c r="AD73" i="7" l="1"/>
  <c r="AD89" i="7" s="1"/>
  <c r="AD74" i="7" l="1"/>
  <c r="AD90" i="7" s="1"/>
  <c r="AD75" i="7" l="1"/>
  <c r="AD91" i="7" s="1"/>
  <c r="AD76" i="7" l="1"/>
  <c r="AD92" i="7" s="1"/>
  <c r="AD77" i="7" l="1"/>
  <c r="AD78" i="7" s="1"/>
  <c r="AD93" i="7" l="1"/>
  <c r="AD94" i="7" s="1"/>
  <c r="AE67" i="7" l="1"/>
  <c r="AE83" i="7" l="1"/>
  <c r="AE68" i="7" l="1"/>
  <c r="AE84" i="7" l="1"/>
  <c r="AE69" i="7" l="1"/>
  <c r="AE85" i="7" l="1"/>
  <c r="AE70" i="7" l="1"/>
  <c r="AE86" i="7" s="1"/>
  <c r="AE71" i="7" l="1"/>
  <c r="AE87" i="7" s="1"/>
  <c r="AE72" i="7" l="1"/>
  <c r="AE88" i="7" s="1"/>
  <c r="AE73" i="7" l="1"/>
  <c r="AE89" i="7" s="1"/>
  <c r="AE74" i="7" l="1"/>
  <c r="AE90" i="7" s="1"/>
  <c r="AE75" i="7" l="1"/>
  <c r="AE91" i="7" s="1"/>
  <c r="AE76" i="7" l="1"/>
  <c r="AE92" i="7" s="1"/>
  <c r="AE77" i="7" l="1"/>
  <c r="AE78" i="7" s="1"/>
  <c r="AE93" i="7" l="1"/>
  <c r="AE94" i="7" s="1"/>
  <c r="AF67" i="7" l="1"/>
  <c r="AF83" i="7" l="1"/>
  <c r="AF68" i="7" l="1"/>
  <c r="AF84" i="7" l="1"/>
  <c r="AF69" i="7" l="1"/>
  <c r="AF85" i="7" l="1"/>
  <c r="AF70" i="7" l="1"/>
  <c r="AF86" i="7" s="1"/>
  <c r="AF71" i="7" l="1"/>
  <c r="AF87" i="7" s="1"/>
  <c r="AF72" i="7" l="1"/>
  <c r="AF88" i="7" s="1"/>
  <c r="AF73" i="7" l="1"/>
  <c r="AF89" i="7" s="1"/>
  <c r="AF74" i="7" l="1"/>
  <c r="AF90" i="7" s="1"/>
  <c r="AF75" i="7" l="1"/>
  <c r="AF91" i="7" s="1"/>
  <c r="AF76" i="7" l="1"/>
  <c r="AF92" i="7" s="1"/>
  <c r="AF77" i="7" l="1"/>
  <c r="AF78" i="7" s="1"/>
  <c r="AF93" i="7" l="1"/>
  <c r="AF94" i="7" s="1"/>
  <c r="AG67" i="7" l="1"/>
  <c r="AG83" i="7" l="1"/>
  <c r="AG68" i="7" l="1"/>
  <c r="AG84" i="7" l="1"/>
  <c r="AG69" i="7" l="1"/>
  <c r="AG85" i="7" l="1"/>
  <c r="AG70" i="7" l="1"/>
  <c r="AG86" i="7" s="1"/>
  <c r="AG71" i="7" l="1"/>
  <c r="AG87" i="7" s="1"/>
  <c r="AG72" i="7" l="1"/>
  <c r="AG88" i="7" s="1"/>
  <c r="AG73" i="7" l="1"/>
  <c r="AG89" i="7" s="1"/>
  <c r="AG74" i="7" l="1"/>
  <c r="AG90" i="7" s="1"/>
  <c r="AG75" i="7" l="1"/>
  <c r="AG91" i="7" s="1"/>
  <c r="AG76" i="7" l="1"/>
  <c r="AG92" i="7" s="1"/>
  <c r="AG77" i="7" l="1"/>
  <c r="AG78" i="7" s="1"/>
  <c r="AG93" i="7" l="1"/>
  <c r="AG94" i="7" s="1"/>
  <c r="AH67" i="7" l="1"/>
  <c r="AH83" i="7" l="1"/>
  <c r="AH68" i="7" l="1"/>
  <c r="AH84" i="7" l="1"/>
  <c r="AH69" i="7" l="1"/>
  <c r="AH85" i="7" l="1"/>
  <c r="AH70" i="7" l="1"/>
  <c r="AH86" i="7" s="1"/>
  <c r="AH71" i="7" l="1"/>
  <c r="AH87" i="7" s="1"/>
  <c r="AH72" i="7" l="1"/>
  <c r="AH88" i="7" s="1"/>
  <c r="AH73" i="7" l="1"/>
  <c r="AH89" i="7" s="1"/>
  <c r="AH74" i="7" l="1"/>
  <c r="AH90" i="7" s="1"/>
  <c r="AH75" i="7" l="1"/>
  <c r="AH91" i="7" s="1"/>
  <c r="AH76" i="7" l="1"/>
  <c r="AH92" i="7" s="1"/>
  <c r="AH77" i="7" l="1"/>
  <c r="AH78" i="7" s="1"/>
  <c r="AH93" i="7" l="1"/>
  <c r="AH94" i="7" s="1"/>
  <c r="AI83" i="7" l="1"/>
  <c r="AI67" i="7"/>
  <c r="AI68" i="7" l="1"/>
  <c r="AI84" i="7" s="1"/>
  <c r="AI69" i="7" l="1"/>
  <c r="AI85" i="7" s="1"/>
  <c r="AI70" i="7" l="1"/>
  <c r="AI86" i="7" l="1"/>
  <c r="AI71" i="7" l="1"/>
  <c r="AI87" i="7" s="1"/>
  <c r="AI72" i="7" l="1"/>
  <c r="AI88" i="7" s="1"/>
  <c r="AI73" i="7" l="1"/>
  <c r="AI89" i="7" s="1"/>
  <c r="AI74" i="7" l="1"/>
  <c r="AI90" i="7" s="1"/>
  <c r="AI75" i="7" l="1"/>
  <c r="AI91" i="7" s="1"/>
  <c r="AI76" i="7" l="1"/>
  <c r="AI92" i="7" s="1"/>
  <c r="AI77" i="7" l="1"/>
  <c r="AI78" i="7" s="1"/>
  <c r="AI93" i="7" l="1"/>
  <c r="AI94" i="7" s="1"/>
  <c r="AJ67" i="7" l="1"/>
  <c r="AJ83" i="7" l="1"/>
  <c r="AJ68" i="7" l="1"/>
  <c r="AJ84" i="7" l="1"/>
  <c r="AJ69" i="7" l="1"/>
  <c r="AJ85" i="7" l="1"/>
  <c r="AJ70" i="7" l="1"/>
  <c r="AJ86" i="7" s="1"/>
  <c r="AJ71" i="7" l="1"/>
  <c r="AJ87" i="7" s="1"/>
  <c r="AJ72" i="7" l="1"/>
  <c r="AJ88" i="7" s="1"/>
  <c r="AJ73" i="7" l="1"/>
  <c r="AJ89" i="7" s="1"/>
  <c r="AJ74" i="7" l="1"/>
  <c r="AJ90" i="7" s="1"/>
  <c r="AJ75" i="7" l="1"/>
  <c r="AJ91" i="7" s="1"/>
  <c r="AJ76" i="7" l="1"/>
  <c r="AJ92" i="7" s="1"/>
  <c r="AJ77" i="7" l="1"/>
  <c r="AJ78" i="7" s="1"/>
  <c r="AJ93" i="7" l="1"/>
  <c r="AJ94" i="7" s="1"/>
  <c r="AK67" i="7" l="1"/>
  <c r="AK83" i="7" l="1"/>
  <c r="AK68" i="7" l="1"/>
  <c r="AK84" i="7" l="1"/>
  <c r="AK69" i="7" l="1"/>
  <c r="AK85" i="7" l="1"/>
  <c r="AK70" i="7" l="1"/>
  <c r="AK86" i="7" s="1"/>
  <c r="AK71" i="7" l="1"/>
  <c r="AK87" i="7" s="1"/>
  <c r="AK72" i="7" l="1"/>
  <c r="AK88" i="7" s="1"/>
  <c r="AK73" i="7" l="1"/>
  <c r="AK89" i="7" s="1"/>
  <c r="AK74" i="7" l="1"/>
  <c r="AK90" i="7" s="1"/>
  <c r="AK75" i="7" l="1"/>
  <c r="AK91" i="7" s="1"/>
  <c r="AK76" i="7" l="1"/>
  <c r="AK92" i="7" s="1"/>
  <c r="AK77" i="7" l="1"/>
  <c r="AK78" i="7" s="1"/>
  <c r="AK93" i="7" l="1"/>
  <c r="AK94" i="7" s="1"/>
</calcChain>
</file>

<file path=xl/sharedStrings.xml><?xml version="1.0" encoding="utf-8"?>
<sst xmlns="http://schemas.openxmlformats.org/spreadsheetml/2006/main" count="518" uniqueCount="149">
  <si>
    <t>Data Series and Source</t>
  </si>
  <si>
    <t>Link</t>
  </si>
  <si>
    <t>Web Page</t>
  </si>
  <si>
    <t>Biodiesel sales</t>
  </si>
  <si>
    <t>https://www.gov.br/anp/pt-br/centrais-de-conteudo/dados-abertos/vendas-de-derivados-de-petroleo-e-biocombustiveis</t>
  </si>
  <si>
    <t>Biodiesel production</t>
  </si>
  <si>
    <t>https://www.gov.br/anp/pt-br/centrais-de-conteudo/dados-abertos/producao-de-biocombustiveis</t>
  </si>
  <si>
    <t>Monthly capacity data</t>
  </si>
  <si>
    <t>https://www.gov.br/anp/pt-br/centrais-de-conteudo/paineis-dinamicos-da-anp/paineis-e-mapa-dinamicos-de-produtores-de-combustiveis-e-derivados/painel-dinamico-de-produtores-de-biodiesel</t>
  </si>
  <si>
    <t>Distributor Procurement Data - HISTORY</t>
  </si>
  <si>
    <t>Distributor Procurement Data — National Agency of Petroleum, Natural Gas and Biofuels</t>
  </si>
  <si>
    <t>Statistics biodiesel and products</t>
  </si>
  <si>
    <t>Statistical data — National Agency of Petroleum, Natural Gas and Biofuels</t>
  </si>
  <si>
    <t>Distributor Procurement Data?</t>
  </si>
  <si>
    <t>Biodiesel Marketing — National Agency of Petroleum, Natural Gas and Biofuels</t>
  </si>
  <si>
    <t>megalitre = 1000 m3</t>
  </si>
  <si>
    <t>Biodiesel</t>
  </si>
  <si>
    <t>Diesel</t>
  </si>
  <si>
    <t>Kerosene (Jet)</t>
  </si>
  <si>
    <t>1000 kg = 1 tonne</t>
  </si>
  <si>
    <t xml:space="preserve">1 liter = 0.834kg </t>
  </si>
  <si>
    <t>1 tonne = 1175.36 liters</t>
  </si>
  <si>
    <t>1tonne = 1250 liters</t>
  </si>
  <si>
    <t>1 m3 = 0.87 tonnes</t>
  </si>
  <si>
    <t>1 m3 = 0.85 tonnes</t>
  </si>
  <si>
    <t>1 m3 = 0.8 tonnes</t>
  </si>
  <si>
    <t>1 tonne = 1.14m3</t>
  </si>
  <si>
    <t>1 tonne = 1.18m3</t>
  </si>
  <si>
    <t>1tonne=1.25m3</t>
  </si>
  <si>
    <t xml:space="preserve">1 gallon = 3.785412 liters </t>
  </si>
  <si>
    <t>1 tonne = 310.5 gallons</t>
  </si>
  <si>
    <t>1tonne=330.22gallons</t>
  </si>
  <si>
    <t>1 tonne = 1143.25 liters</t>
  </si>
  <si>
    <t>1kg=0.31 gallons</t>
  </si>
  <si>
    <t>1kg=0.33gallons</t>
  </si>
  <si>
    <t>Biodiesel capacity by region m3/d</t>
  </si>
  <si>
    <t>Bahia</t>
  </si>
  <si>
    <t>Ceará</t>
  </si>
  <si>
    <t>Goiás</t>
  </si>
  <si>
    <t>Mato Grosso</t>
  </si>
  <si>
    <t>Mato Grosso do Sul</t>
  </si>
  <si>
    <t>Minas Gerais</t>
  </si>
  <si>
    <t>Pará</t>
  </si>
  <si>
    <t>Paraná</t>
  </si>
  <si>
    <t>Piauí</t>
  </si>
  <si>
    <t>Rio de Janeiro</t>
  </si>
  <si>
    <t>Rio Grande do Sul</t>
  </si>
  <si>
    <t>Rondônia</t>
  </si>
  <si>
    <t>Santa Catarina</t>
  </si>
  <si>
    <t>São Paulo</t>
  </si>
  <si>
    <t>Tocantins</t>
  </si>
  <si>
    <t>(blank)</t>
  </si>
  <si>
    <t>Total Biodiesel Operating Capacity</t>
  </si>
  <si>
    <t>Annual Total</t>
  </si>
  <si>
    <t>megalitre = 1000 cubic meter</t>
  </si>
  <si>
    <t>Biodiesel Production</t>
  </si>
  <si>
    <t>Biodiesel Imports</t>
  </si>
  <si>
    <t>Biodiesel Sales</t>
  </si>
  <si>
    <t>Biodiesel Distributor Use</t>
  </si>
  <si>
    <t>Biodiesel Exports</t>
  </si>
  <si>
    <t>Diesel Production</t>
  </si>
  <si>
    <t>Diesel Imports</t>
  </si>
  <si>
    <t>Diesel Sales</t>
  </si>
  <si>
    <t>Diesel Exports</t>
  </si>
  <si>
    <t>Jet Fuel Production</t>
  </si>
  <si>
    <t>Jet Fuel Imports</t>
  </si>
  <si>
    <t>Jet Fuel Sales</t>
  </si>
  <si>
    <t>Jet Fuel Exports</t>
  </si>
  <si>
    <t>m3</t>
  </si>
  <si>
    <t>kg</t>
  </si>
  <si>
    <t>Brazil Biodiesel Supply Demand</t>
  </si>
  <si>
    <t>thousand tonnes</t>
  </si>
  <si>
    <t>Beginning Stocks</t>
  </si>
  <si>
    <t xml:space="preserve">Production </t>
  </si>
  <si>
    <t xml:space="preserve">Imports </t>
  </si>
  <si>
    <t xml:space="preserve">    Total Supply</t>
  </si>
  <si>
    <t xml:space="preserve">Sales/ Consumption </t>
  </si>
  <si>
    <t>Exports</t>
  </si>
  <si>
    <t xml:space="preserve">    Total Use</t>
  </si>
  <si>
    <t xml:space="preserve">Final Stocks  </t>
  </si>
  <si>
    <t>Capacity</t>
  </si>
  <si>
    <t>Operating Rate</t>
  </si>
  <si>
    <t>BIODIESEL PRODUCTION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</si>
  <si>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</si>
  <si>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</si>
  <si>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</si>
  <si>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</si>
  <si>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</si>
  <si>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</si>
  <si>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</si>
  <si>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</si>
  <si>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</si>
  <si>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</si>
  <si>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</si>
  <si>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</si>
  <si>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Total</t>
  </si>
  <si>
    <t xml:space="preserve">BIODIESEL IMPORTS </t>
  </si>
  <si>
    <t xml:space="preserve">BIODIESEL SALES / CONSUMPTION </t>
  </si>
  <si>
    <t xml:space="preserve">BIODIESEL EXPORTS </t>
  </si>
  <si>
    <t>BIODIESEL CAPACITY</t>
  </si>
  <si>
    <t>Brazil Renewable Diesel Supply Demand</t>
  </si>
  <si>
    <t>Consumption</t>
  </si>
  <si>
    <t>Final Stocks  (December 31)</t>
  </si>
  <si>
    <t>RD Capacity</t>
  </si>
  <si>
    <t>RENEWABLE DIESEL PRODUCTION</t>
  </si>
  <si>
    <t>RENEWABLE DIESEL IMPORTS</t>
  </si>
  <si>
    <t xml:space="preserve">RENEWABLE DIESEL CONSUMPTION </t>
  </si>
  <si>
    <t>RENEWABLE DIESEL STOCKS</t>
  </si>
  <si>
    <t xml:space="preserve">RENEWABLE DIESEL CAPACITY </t>
  </si>
  <si>
    <t xml:space="preserve">  Average</t>
  </si>
  <si>
    <t>Brazil Sustainable Aviation Fuel Supply and Demand</t>
  </si>
  <si>
    <t>million cubic meters</t>
  </si>
  <si>
    <t>Production</t>
  </si>
  <si>
    <t>Imports</t>
  </si>
  <si>
    <t xml:space="preserve">  Total Supply</t>
  </si>
  <si>
    <t>Domestic Use</t>
  </si>
  <si>
    <t xml:space="preserve">  Total Demand</t>
  </si>
  <si>
    <t>SAF Price</t>
  </si>
  <si>
    <t>SAF Capacity</t>
  </si>
  <si>
    <t>SAF Blend Rate</t>
  </si>
  <si>
    <t>SAF Domestic Production</t>
  </si>
  <si>
    <t xml:space="preserve">  Total</t>
  </si>
  <si>
    <t>SAF Imports</t>
  </si>
  <si>
    <t>SAF Exports</t>
  </si>
  <si>
    <t xml:space="preserve">SAF Domestic Consumption </t>
  </si>
  <si>
    <t>SAF Ending Stocks</t>
  </si>
  <si>
    <t xml:space="preserve">Brazil Jet Kerosene Supply and Demand </t>
  </si>
  <si>
    <t xml:space="preserve">  Ending Stocks</t>
  </si>
  <si>
    <t>Passenger million-kilometers</t>
  </si>
  <si>
    <t>FM GDP Forecast</t>
  </si>
  <si>
    <t>Gallons per kilometer</t>
  </si>
  <si>
    <t>Jet Fuel Domestic Production</t>
  </si>
  <si>
    <t xml:space="preserve">Jet Fuel Imports </t>
  </si>
  <si>
    <t>Jet Fuel Domestic Use</t>
  </si>
  <si>
    <t>Brazil Jet Fuel End-of-Month Stocks</t>
  </si>
  <si>
    <t>Airline Passenger Kilometers</t>
  </si>
  <si>
    <t>https://app.powerbi.com/view?r=eyJrIjoiNDI3ZjQxZDItMjY2MC00NzNhLTk1ZjUtN2MwNjMzNzNiNGE1IiwidCI6ImI1NzQ4ZjZlLWI0YTQtNGIyYi1hYjJhLWVmOTUyMjM2ODM2NiJ9</t>
  </si>
  <si>
    <t xml:space="preserve">Brazil  Distilate Fuel Oil Supply and Demand </t>
  </si>
  <si>
    <t xml:space="preserve">  Total Supply before blending</t>
  </si>
  <si>
    <t>Reported Domestic Diesel Consumption</t>
  </si>
  <si>
    <t>Biodiesel &amp; Renewable DieselBlended</t>
  </si>
  <si>
    <t xml:space="preserve">  Total Demand before blending</t>
  </si>
  <si>
    <t>Blended Rate</t>
  </si>
  <si>
    <t>Production Growth</t>
  </si>
  <si>
    <t>Reported Domestic Consumption Growth</t>
  </si>
  <si>
    <t xml:space="preserve">DISTILATE FUEL OIL PRODUCTION </t>
  </si>
  <si>
    <t xml:space="preserve">IMPORTS </t>
  </si>
  <si>
    <t>EXPORTS</t>
  </si>
  <si>
    <t xml:space="preserve">DISTILATE FUEL OIL CONSUMPTION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</si>
</sst>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mmm\-yy;@"/>
    <numFmt numFmtId="165" formatCode="#,##0.000_);[Red]\(#,##0.000\)"/>
    <numFmt numFmtId="166" formatCode="#,##0_ ;\-#,##0\ "/>
    <numFmt numFmtId="167" formatCode="0.0%"/>
    <numFmt numFmtId="168" formatCode="_(* #,##0_);_(* \(#,##0\);_(* &quot;-&quot;??_);_(@_)"/>
    <numFmt numFmtId="169" formatCode="#,##0.000"/>
    <numFmt numFmtId="170" formatCode="0_);[Red]\(0\)"/>
    <numFmt numFmtId="171" formatCode="#,##0.0_);[Red]\(#,##0.0\)"/>
    <numFmt numFmtId="172" formatCode="_(* #,##0.0_);_(* \(#,##0.0\);_(* &quot;-&quot;??_);_(@_)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b/>
      <sz val="10"/>
      <color rgb="FF000000"/>
      <name val="Aptos Display"/>
      <family val="2"/>
    </font>
    <font>
      <sz val="10"/>
      <color theme="1"/>
      <name val="Aptos Display"/>
      <family val="2"/>
    </font>
    <font>
      <sz val="10"/>
      <color rgb="FF000000"/>
      <name val="Aptos Display"/>
      <family val="2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Display"/>
      <family val="2"/>
    </font>
    <font>
      <b/>
      <sz val="11"/>
      <color theme="0"/>
      <name val="Aptos Display"/>
      <family val="2"/>
    </font>
    <font>
      <sz val="8"/>
      <color theme="1"/>
      <name val="Aptos Display"/>
      <family val="2"/>
    </font>
    <font>
      <sz val="10"/>
      <name val="MS Sans Serif"/>
      <family val="2"/>
    </font>
    <font>
      <b/>
      <sz val="11"/>
      <name val="Aptos Display"/>
      <family val="2"/>
    </font>
    <font>
      <b/>
      <sz val="11"/>
      <color theme="1"/>
      <name val="Arial"/>
      <family val="2"/>
    </font>
    <font>
      <sz val="11"/>
      <name val="Aptos Display"/>
      <family val="2"/>
    </font>
    <font>
      <sz val="10"/>
      <name val="Aptos Display"/>
      <family val="2"/>
    </font>
    <font>
      <b/>
      <sz val="10"/>
      <name val="Aptos Display"/>
      <family val="2"/>
    </font>
    <font>
      <b/>
      <sz val="10"/>
      <color theme="0"/>
      <name val="Avenir Next LT Pro Demi"/>
      <family val="2"/>
    </font>
    <font>
      <sz val="10"/>
      <color theme="1"/>
      <name val="Avenir Next LT Pro Demi"/>
      <family val="2"/>
    </font>
    <font>
      <sz val="8"/>
      <color theme="1"/>
      <name val="Avenir Next LT Pro Demi"/>
      <family val="2"/>
    </font>
    <font>
      <b/>
      <sz val="10"/>
      <name val="Avenir Next LT Pro Demi"/>
      <family val="2"/>
    </font>
    <font>
      <b/>
      <sz val="10"/>
      <color theme="1"/>
      <name val="Avenir Next LT Pro Demi"/>
      <family val="2"/>
    </font>
    <font>
      <b/>
      <sz val="10"/>
      <color rgb="FF6F0791"/>
      <name val="Avenir Next LT Pro Demi"/>
      <family val="2"/>
    </font>
    <font>
      <sz val="10"/>
      <color rgb="FF6F0791"/>
      <name val="Avenir Next LT Pro Demi"/>
      <family val="2"/>
    </font>
    <font>
      <sz val="10"/>
      <color rgb="FF8C8C8C"/>
      <name val="Avenir Next LT Pro Demi"/>
      <family val="2"/>
    </font>
    <font>
      <sz val="10"/>
      <color theme="1"/>
      <name val="Arial Narrow"/>
      <family val="2"/>
    </font>
    <font>
      <sz val="10"/>
      <name val="Avenir Next LT Pro Demi"/>
      <family val="2"/>
    </font>
    <font>
      <b/>
      <sz val="11"/>
      <color rgb="FF7030A0"/>
      <name val="Aptos Display"/>
      <family val="2"/>
    </font>
    <font>
      <b/>
      <sz val="11"/>
      <color rgb="FF6F0791"/>
      <name val="Aptos Display"/>
      <family val="2"/>
    </font>
    <font>
      <b/>
      <i/>
      <sz val="11"/>
      <color rgb="FFFF0000"/>
      <name val="Aptos Display"/>
      <family val="2"/>
    </font>
    <font>
      <b/>
      <u/>
      <sz val="11"/>
      <color theme="10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6F079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7030A0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/>
      <top style="thick">
        <color auto="1"/>
      </top>
      <bottom/>
      <diagonal/>
    </border>
    <border>
      <left/>
      <right/>
      <top style="thin">
        <color rgb="FF6F0791"/>
      </top>
      <bottom style="thin">
        <color auto="1"/>
      </bottom>
      <diagonal/>
    </border>
    <border>
      <left/>
      <right/>
      <top style="medium">
        <color rgb="FF8C8C8C"/>
      </top>
      <bottom/>
      <diagonal/>
    </border>
    <border>
      <left/>
      <right/>
      <top style="thick">
        <color rgb="FF8C8C8C"/>
      </top>
      <bottom/>
      <diagonal/>
    </border>
    <border>
      <left/>
      <right/>
      <top style="medium">
        <color rgb="FF8C8C8C"/>
      </top>
      <bottom style="medium">
        <color rgb="FF8C8C8C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0" fontId="14" fillId="0" borderId="0" applyFont="0" applyFill="0" applyBorder="0" applyAlignment="0" applyProtection="0"/>
    <xf numFmtId="0" fontId="1" fillId="0" borderId="0"/>
    <xf numFmtId="9" fontId="28" fillId="0" borderId="0" applyFont="0" applyFill="0" applyBorder="0" applyAlignment="0" applyProtection="0"/>
  </cellStyleXfs>
  <cellXfs count="205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2" fillId="2" borderId="0" xfId="3" applyFill="1"/>
    <xf numFmtId="0" fontId="2" fillId="0" borderId="0" xfId="3"/>
    <xf numFmtId="16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5" fontId="6" fillId="0" borderId="0" xfId="0" applyNumberFormat="1" applyFont="1"/>
    <xf numFmtId="164" fontId="4" fillId="0" borderId="0" xfId="0" applyNumberFormat="1" applyFont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/>
    <xf numFmtId="0" fontId="9" fillId="0" borderId="0" xfId="0" applyFont="1" applyAlignment="1">
      <alignment horizontal="center" vertical="center"/>
    </xf>
    <xf numFmtId="17" fontId="6" fillId="0" borderId="0" xfId="0" applyNumberFormat="1" applyFont="1"/>
    <xf numFmtId="166" fontId="10" fillId="0" borderId="0" xfId="0" applyNumberFormat="1" applyFont="1"/>
    <xf numFmtId="38" fontId="6" fillId="0" borderId="0" xfId="0" applyNumberFormat="1" applyFont="1"/>
    <xf numFmtId="3" fontId="6" fillId="0" borderId="0" xfId="0" applyNumberFormat="1" applyFont="1"/>
    <xf numFmtId="43" fontId="6" fillId="0" borderId="0" xfId="1" applyFont="1"/>
    <xf numFmtId="43" fontId="6" fillId="0" borderId="0" xfId="0" applyNumberFormat="1" applyFont="1"/>
    <xf numFmtId="38" fontId="11" fillId="0" borderId="0" xfId="0" applyNumberFormat="1" applyFont="1"/>
    <xf numFmtId="0" fontId="12" fillId="3" borderId="1" xfId="0" applyFont="1" applyFill="1" applyBorder="1"/>
    <xf numFmtId="0" fontId="4" fillId="3" borderId="2" xfId="0" applyFont="1" applyFill="1" applyBorder="1"/>
    <xf numFmtId="0" fontId="3" fillId="3" borderId="2" xfId="0" applyFont="1" applyFill="1" applyBorder="1"/>
    <xf numFmtId="0" fontId="4" fillId="0" borderId="2" xfId="0" applyFont="1" applyBorder="1"/>
    <xf numFmtId="0" fontId="13" fillId="4" borderId="3" xfId="0" applyFont="1" applyFill="1" applyBorder="1" applyAlignment="1">
      <alignment horizontal="right"/>
    </xf>
    <xf numFmtId="0" fontId="15" fillId="4" borderId="0" xfId="4" quotePrefix="1" applyNumberFormat="1" applyFont="1" applyFill="1" applyBorder="1" applyAlignment="1">
      <alignment horizontal="center"/>
    </xf>
    <xf numFmtId="0" fontId="4" fillId="4" borderId="0" xfId="0" applyFont="1" applyFill="1"/>
    <xf numFmtId="38" fontId="4" fillId="4" borderId="0" xfId="0" applyNumberFormat="1" applyFont="1" applyFill="1" applyAlignment="1">
      <alignment horizontal="center"/>
    </xf>
    <xf numFmtId="38" fontId="3" fillId="4" borderId="0" xfId="0" applyNumberFormat="1" applyFont="1" applyFill="1" applyAlignment="1">
      <alignment horizontal="center"/>
    </xf>
    <xf numFmtId="38" fontId="16" fillId="0" borderId="0" xfId="5" applyNumberFormat="1" applyFont="1" applyAlignment="1">
      <alignment horizontal="center" vertical="center"/>
    </xf>
    <xf numFmtId="0" fontId="17" fillId="4" borderId="4" xfId="0" applyFont="1" applyFill="1" applyBorder="1"/>
    <xf numFmtId="38" fontId="17" fillId="4" borderId="4" xfId="0" applyNumberFormat="1" applyFont="1" applyFill="1" applyBorder="1" applyAlignment="1">
      <alignment horizontal="center"/>
    </xf>
    <xf numFmtId="0" fontId="17" fillId="0" borderId="0" xfId="0" applyFont="1"/>
    <xf numFmtId="0" fontId="4" fillId="4" borderId="5" xfId="0" applyFont="1" applyFill="1" applyBorder="1"/>
    <xf numFmtId="38" fontId="4" fillId="4" borderId="5" xfId="0" applyNumberFormat="1" applyFont="1" applyFill="1" applyBorder="1" applyAlignment="1">
      <alignment horizontal="center"/>
    </xf>
    <xf numFmtId="38" fontId="3" fillId="4" borderId="5" xfId="0" applyNumberFormat="1" applyFont="1" applyFill="1" applyBorder="1" applyAlignment="1">
      <alignment horizontal="center"/>
    </xf>
    <xf numFmtId="38" fontId="4" fillId="4" borderId="0" xfId="0" applyNumberFormat="1" applyFont="1" applyFill="1"/>
    <xf numFmtId="38" fontId="4" fillId="4" borderId="6" xfId="0" applyNumberFormat="1" applyFont="1" applyFill="1" applyBorder="1"/>
    <xf numFmtId="38" fontId="4" fillId="4" borderId="6" xfId="0" applyNumberFormat="1" applyFont="1" applyFill="1" applyBorder="1" applyAlignment="1">
      <alignment horizontal="center"/>
    </xf>
    <xf numFmtId="38" fontId="3" fillId="4" borderId="6" xfId="0" applyNumberFormat="1" applyFont="1" applyFill="1" applyBorder="1" applyAlignment="1">
      <alignment horizontal="center"/>
    </xf>
    <xf numFmtId="2" fontId="17" fillId="4" borderId="0" xfId="0" applyNumberFormat="1" applyFont="1" applyFill="1"/>
    <xf numFmtId="2" fontId="15" fillId="4" borderId="0" xfId="2" applyNumberFormat="1" applyFont="1" applyFill="1" applyBorder="1" applyAlignment="1">
      <alignment horizontal="center"/>
    </xf>
    <xf numFmtId="0" fontId="4" fillId="4" borderId="4" xfId="0" applyFont="1" applyFill="1" applyBorder="1"/>
    <xf numFmtId="38" fontId="18" fillId="0" borderId="0" xfId="0" applyNumberFormat="1" applyFont="1"/>
    <xf numFmtId="167" fontId="4" fillId="4" borderId="4" xfId="2" applyNumberFormat="1" applyFont="1" applyFill="1" applyBorder="1" applyAlignment="1">
      <alignment horizontal="center"/>
    </xf>
    <xf numFmtId="168" fontId="4" fillId="4" borderId="4" xfId="1" applyNumberFormat="1" applyFont="1" applyFill="1" applyBorder="1" applyAlignment="1">
      <alignment horizontal="center"/>
    </xf>
    <xf numFmtId="168" fontId="3" fillId="4" borderId="4" xfId="1" applyNumberFormat="1" applyFont="1" applyFill="1" applyBorder="1" applyAlignment="1">
      <alignment horizontal="center"/>
    </xf>
    <xf numFmtId="9" fontId="4" fillId="4" borderId="0" xfId="2" applyFont="1" applyFill="1" applyAlignment="1">
      <alignment horizontal="center"/>
    </xf>
    <xf numFmtId="9" fontId="3" fillId="4" borderId="0" xfId="2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7" xfId="0" applyFont="1" applyBorder="1"/>
    <xf numFmtId="38" fontId="11" fillId="0" borderId="0" xfId="5" applyNumberFormat="1" applyFont="1"/>
    <xf numFmtId="0" fontId="4" fillId="0" borderId="4" xfId="0" applyFont="1" applyBorder="1"/>
    <xf numFmtId="38" fontId="6" fillId="0" borderId="4" xfId="0" applyNumberFormat="1" applyFont="1" applyBorder="1"/>
    <xf numFmtId="38" fontId="11" fillId="0" borderId="4" xfId="0" applyNumberFormat="1" applyFont="1" applyBorder="1"/>
    <xf numFmtId="38" fontId="3" fillId="0" borderId="0" xfId="0" applyNumberFormat="1" applyFont="1"/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5" xfId="0" applyFont="1" applyBorder="1"/>
    <xf numFmtId="38" fontId="3" fillId="0" borderId="5" xfId="0" applyNumberFormat="1" applyFont="1" applyBorder="1"/>
    <xf numFmtId="38" fontId="19" fillId="0" borderId="0" xfId="0" applyNumberFormat="1" applyFont="1"/>
    <xf numFmtId="38" fontId="11" fillId="0" borderId="0" xfId="5" applyNumberFormat="1" applyFont="1" applyAlignment="1">
      <alignment horizontal="right"/>
    </xf>
    <xf numFmtId="0" fontId="3" fillId="0" borderId="0" xfId="0" applyFont="1" applyAlignment="1">
      <alignment horizontal="center"/>
    </xf>
    <xf numFmtId="3" fontId="11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8" fontId="4" fillId="0" borderId="5" xfId="0" applyNumberFormat="1" applyFont="1" applyBorder="1" applyAlignment="1">
      <alignment horizontal="center"/>
    </xf>
    <xf numFmtId="38" fontId="3" fillId="0" borderId="5" xfId="0" applyNumberFormat="1" applyFont="1" applyBorder="1" applyAlignment="1">
      <alignment horizontal="center"/>
    </xf>
    <xf numFmtId="0" fontId="3" fillId="0" borderId="5" xfId="0" applyFont="1" applyBorder="1"/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5" fillId="4" borderId="8" xfId="4" quotePrefix="1" applyNumberFormat="1" applyFont="1" applyFill="1" applyBorder="1" applyAlignment="1">
      <alignment horizontal="center"/>
    </xf>
    <xf numFmtId="38" fontId="4" fillId="4" borderId="4" xfId="0" applyNumberFormat="1" applyFont="1" applyFill="1" applyBorder="1" applyAlignment="1">
      <alignment horizontal="center"/>
    </xf>
    <xf numFmtId="38" fontId="3" fillId="4" borderId="4" xfId="0" applyNumberFormat="1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38" fontId="4" fillId="0" borderId="0" xfId="0" applyNumberFormat="1" applyFont="1"/>
    <xf numFmtId="38" fontId="4" fillId="0" borderId="0" xfId="0" applyNumberFormat="1" applyFont="1" applyAlignment="1">
      <alignment horizontal="center"/>
    </xf>
    <xf numFmtId="38" fontId="3" fillId="0" borderId="0" xfId="0" applyNumberFormat="1" applyFont="1" applyAlignment="1">
      <alignment horizontal="center"/>
    </xf>
    <xf numFmtId="38" fontId="4" fillId="4" borderId="5" xfId="0" applyNumberFormat="1" applyFont="1" applyFill="1" applyBorder="1"/>
    <xf numFmtId="40" fontId="4" fillId="4" borderId="0" xfId="0" applyNumberFormat="1" applyFont="1" applyFill="1" applyAlignment="1">
      <alignment horizontal="center"/>
    </xf>
    <xf numFmtId="40" fontId="3" fillId="4" borderId="0" xfId="0" applyNumberFormat="1" applyFont="1" applyFill="1" applyAlignment="1">
      <alignment horizontal="center"/>
    </xf>
    <xf numFmtId="0" fontId="4" fillId="4" borderId="4" xfId="2" applyNumberFormat="1" applyFont="1" applyFill="1" applyBorder="1" applyAlignment="1">
      <alignment horizontal="center"/>
    </xf>
    <xf numFmtId="1" fontId="3" fillId="4" borderId="4" xfId="2" applyNumberFormat="1" applyFont="1" applyFill="1" applyBorder="1" applyAlignment="1">
      <alignment horizontal="center"/>
    </xf>
    <xf numFmtId="9" fontId="4" fillId="4" borderId="0" xfId="2" applyFont="1" applyFill="1" applyBorder="1" applyAlignment="1">
      <alignment horizontal="center"/>
    </xf>
    <xf numFmtId="9" fontId="3" fillId="4" borderId="0" xfId="2" applyFont="1" applyFill="1" applyBorder="1" applyAlignment="1">
      <alignment horizontal="center"/>
    </xf>
    <xf numFmtId="165" fontId="3" fillId="4" borderId="0" xfId="0" applyNumberFormat="1" applyFont="1" applyFill="1" applyAlignment="1">
      <alignment horizontal="center"/>
    </xf>
    <xf numFmtId="0" fontId="3" fillId="0" borderId="7" xfId="0" applyFont="1" applyBorder="1" applyAlignment="1">
      <alignment horizontal="right"/>
    </xf>
    <xf numFmtId="38" fontId="4" fillId="0" borderId="0" xfId="0" applyNumberFormat="1" applyFont="1" applyAlignment="1">
      <alignment horizontal="right"/>
    </xf>
    <xf numFmtId="38" fontId="3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center"/>
    </xf>
    <xf numFmtId="169" fontId="11" fillId="0" borderId="0" xfId="0" applyNumberFormat="1" applyFont="1" applyAlignment="1">
      <alignment horizontal="center"/>
    </xf>
    <xf numFmtId="38" fontId="4" fillId="0" borderId="4" xfId="0" applyNumberFormat="1" applyFont="1" applyBorder="1" applyAlignment="1">
      <alignment horizontal="right"/>
    </xf>
    <xf numFmtId="38" fontId="3" fillId="0" borderId="4" xfId="0" applyNumberFormat="1" applyFont="1" applyBorder="1" applyAlignment="1">
      <alignment horizontal="right"/>
    </xf>
    <xf numFmtId="38" fontId="6" fillId="0" borderId="0" xfId="0" applyNumberFormat="1" applyFont="1" applyAlignment="1">
      <alignment horizontal="center"/>
    </xf>
    <xf numFmtId="38" fontId="11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right"/>
    </xf>
    <xf numFmtId="0" fontId="3" fillId="0" borderId="5" xfId="0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38" fontId="4" fillId="0" borderId="5" xfId="0" applyNumberFormat="1" applyFont="1" applyBorder="1"/>
    <xf numFmtId="0" fontId="20" fillId="3" borderId="9" xfId="0" applyFont="1" applyFill="1" applyBorder="1"/>
    <xf numFmtId="0" fontId="21" fillId="3" borderId="4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170" fontId="22" fillId="0" borderId="10" xfId="5" applyNumberFormat="1" applyFont="1" applyBorder="1" applyAlignment="1">
      <alignment horizontal="right"/>
    </xf>
    <xf numFmtId="0" fontId="23" fillId="4" borderId="0" xfId="4" quotePrefix="1" applyNumberFormat="1" applyFont="1" applyFill="1" applyBorder="1" applyAlignment="1">
      <alignment horizontal="center"/>
    </xf>
    <xf numFmtId="0" fontId="21" fillId="4" borderId="10" xfId="5" applyFont="1" applyFill="1" applyBorder="1"/>
    <xf numFmtId="38" fontId="21" fillId="4" borderId="10" xfId="0" applyNumberFormat="1" applyFont="1" applyFill="1" applyBorder="1" applyAlignment="1">
      <alignment horizontal="center"/>
    </xf>
    <xf numFmtId="38" fontId="24" fillId="4" borderId="10" xfId="0" applyNumberFormat="1" applyFont="1" applyFill="1" applyBorder="1" applyAlignment="1">
      <alignment horizontal="center"/>
    </xf>
    <xf numFmtId="38" fontId="25" fillId="4" borderId="10" xfId="0" applyNumberFormat="1" applyFont="1" applyFill="1" applyBorder="1" applyAlignment="1">
      <alignment horizontal="center"/>
    </xf>
    <xf numFmtId="0" fontId="21" fillId="0" borderId="0" xfId="5" applyFont="1"/>
    <xf numFmtId="0" fontId="21" fillId="4" borderId="0" xfId="5" applyFont="1" applyFill="1"/>
    <xf numFmtId="38" fontId="21" fillId="4" borderId="0" xfId="0" applyNumberFormat="1" applyFont="1" applyFill="1" applyAlignment="1">
      <alignment horizontal="center"/>
    </xf>
    <xf numFmtId="38" fontId="25" fillId="4" borderId="0" xfId="0" applyNumberFormat="1" applyFont="1" applyFill="1" applyAlignment="1">
      <alignment horizontal="center"/>
    </xf>
    <xf numFmtId="0" fontId="21" fillId="4" borderId="4" xfId="0" applyFont="1" applyFill="1" applyBorder="1"/>
    <xf numFmtId="38" fontId="24" fillId="4" borderId="4" xfId="0" applyNumberFormat="1" applyFont="1" applyFill="1" applyBorder="1" applyAlignment="1">
      <alignment horizontal="center"/>
    </xf>
    <xf numFmtId="38" fontId="25" fillId="4" borderId="4" xfId="0" applyNumberFormat="1" applyFont="1" applyFill="1" applyBorder="1" applyAlignment="1">
      <alignment horizontal="center"/>
    </xf>
    <xf numFmtId="0" fontId="21" fillId="4" borderId="5" xfId="0" applyFont="1" applyFill="1" applyBorder="1"/>
    <xf numFmtId="38" fontId="21" fillId="4" borderId="5" xfId="0" applyNumberFormat="1" applyFont="1" applyFill="1" applyBorder="1" applyAlignment="1">
      <alignment horizontal="center"/>
    </xf>
    <xf numFmtId="38" fontId="25" fillId="4" borderId="5" xfId="0" applyNumberFormat="1" applyFont="1" applyFill="1" applyBorder="1" applyAlignment="1">
      <alignment horizontal="center"/>
    </xf>
    <xf numFmtId="38" fontId="21" fillId="4" borderId="4" xfId="0" applyNumberFormat="1" applyFont="1" applyFill="1" applyBorder="1" applyAlignment="1">
      <alignment horizontal="center"/>
    </xf>
    <xf numFmtId="38" fontId="21" fillId="4" borderId="5" xfId="0" applyNumberFormat="1" applyFont="1" applyFill="1" applyBorder="1"/>
    <xf numFmtId="0" fontId="21" fillId="4" borderId="0" xfId="5" applyFont="1" applyFill="1" applyAlignment="1">
      <alignment horizontal="center" vertical="center"/>
    </xf>
    <xf numFmtId="38" fontId="21" fillId="4" borderId="0" xfId="5" applyNumberFormat="1" applyFont="1" applyFill="1" applyAlignment="1">
      <alignment horizontal="center" vertical="center"/>
    </xf>
    <xf numFmtId="171" fontId="26" fillId="4" borderId="0" xfId="2" applyNumberFormat="1" applyFont="1" applyFill="1" applyAlignment="1">
      <alignment horizontal="center" vertical="center"/>
    </xf>
    <xf numFmtId="0" fontId="21" fillId="4" borderId="4" xfId="2" applyNumberFormat="1" applyFont="1" applyFill="1" applyBorder="1" applyAlignment="1">
      <alignment horizontal="center"/>
    </xf>
    <xf numFmtId="1" fontId="25" fillId="4" borderId="4" xfId="2" applyNumberFormat="1" applyFont="1" applyFill="1" applyBorder="1" applyAlignment="1">
      <alignment horizontal="center"/>
    </xf>
    <xf numFmtId="0" fontId="21" fillId="4" borderId="0" xfId="0" applyFont="1" applyFill="1"/>
    <xf numFmtId="9" fontId="27" fillId="4" borderId="0" xfId="2" applyFont="1" applyFill="1" applyBorder="1" applyAlignment="1">
      <alignment horizontal="center"/>
    </xf>
    <xf numFmtId="9" fontId="25" fillId="4" borderId="0" xfId="2" applyFont="1" applyFill="1" applyBorder="1" applyAlignment="1">
      <alignment horizontal="center"/>
    </xf>
    <xf numFmtId="40" fontId="21" fillId="4" borderId="0" xfId="5" applyNumberFormat="1" applyFont="1" applyFill="1" applyAlignment="1">
      <alignment horizontal="center" vertical="center"/>
    </xf>
    <xf numFmtId="40" fontId="26" fillId="4" borderId="0" xfId="5" applyNumberFormat="1" applyFont="1" applyFill="1" applyAlignment="1">
      <alignment horizontal="center" vertical="center"/>
    </xf>
    <xf numFmtId="0" fontId="21" fillId="4" borderId="5" xfId="5" applyFont="1" applyFill="1" applyBorder="1"/>
    <xf numFmtId="167" fontId="27" fillId="4" borderId="5" xfId="6" applyNumberFormat="1" applyFont="1" applyFill="1" applyBorder="1"/>
    <xf numFmtId="167" fontId="26" fillId="4" borderId="5" xfId="6" applyNumberFormat="1" applyFont="1" applyFill="1" applyBorder="1"/>
    <xf numFmtId="0" fontId="21" fillId="4" borderId="11" xfId="5" applyFont="1" applyFill="1" applyBorder="1"/>
    <xf numFmtId="170" fontId="22" fillId="0" borderId="12" xfId="5" applyNumberFormat="1" applyFont="1" applyBorder="1" applyAlignment="1">
      <alignment horizontal="right"/>
    </xf>
    <xf numFmtId="170" fontId="21" fillId="0" borderId="12" xfId="5" applyNumberFormat="1" applyFont="1" applyBorder="1"/>
    <xf numFmtId="38" fontId="21" fillId="0" borderId="0" xfId="5" applyNumberFormat="1" applyFont="1"/>
    <xf numFmtId="38" fontId="25" fillId="0" borderId="0" xfId="5" applyNumberFormat="1" applyFont="1"/>
    <xf numFmtId="38" fontId="24" fillId="0" borderId="0" xfId="5" applyNumberFormat="1" applyFont="1"/>
    <xf numFmtId="0" fontId="21" fillId="0" borderId="10" xfId="5" applyFont="1" applyBorder="1"/>
    <xf numFmtId="38" fontId="26" fillId="0" borderId="0" xfId="5" applyNumberFormat="1" applyFont="1"/>
    <xf numFmtId="38" fontId="26" fillId="0" borderId="0" xfId="0" applyNumberFormat="1" applyFont="1"/>
    <xf numFmtId="38" fontId="21" fillId="0" borderId="10" xfId="5" applyNumberFormat="1" applyFont="1" applyBorder="1"/>
    <xf numFmtId="0" fontId="20" fillId="3" borderId="1" xfId="0" applyFont="1" applyFill="1" applyBorder="1"/>
    <xf numFmtId="0" fontId="21" fillId="3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21" fillId="0" borderId="12" xfId="5" applyFont="1" applyBorder="1" applyAlignment="1">
      <alignment horizontal="right"/>
    </xf>
    <xf numFmtId="0" fontId="21" fillId="0" borderId="12" xfId="5" applyFont="1" applyBorder="1" applyAlignment="1">
      <alignment horizontal="center"/>
    </xf>
    <xf numFmtId="38" fontId="21" fillId="0" borderId="0" xfId="5" applyNumberFormat="1" applyFont="1" applyAlignment="1">
      <alignment horizontal="center" vertical="center"/>
    </xf>
    <xf numFmtId="38" fontId="26" fillId="0" borderId="0" xfId="5" applyNumberFormat="1" applyFont="1" applyAlignment="1">
      <alignment horizontal="center" vertical="center"/>
    </xf>
    <xf numFmtId="38" fontId="25" fillId="0" borderId="0" xfId="5" applyNumberFormat="1" applyFont="1" applyAlignment="1">
      <alignment horizontal="center" vertical="center"/>
    </xf>
    <xf numFmtId="40" fontId="21" fillId="0" borderId="0" xfId="5" applyNumberFormat="1" applyFont="1" applyAlignment="1">
      <alignment horizontal="center" vertical="center"/>
    </xf>
    <xf numFmtId="40" fontId="24" fillId="0" borderId="0" xfId="5" applyNumberFormat="1" applyFont="1" applyAlignment="1">
      <alignment horizontal="center" vertical="center"/>
    </xf>
    <xf numFmtId="0" fontId="21" fillId="0" borderId="11" xfId="5" applyFont="1" applyBorder="1"/>
    <xf numFmtId="165" fontId="21" fillId="0" borderId="0" xfId="0" applyNumberFormat="1" applyFont="1"/>
    <xf numFmtId="165" fontId="26" fillId="0" borderId="0" xfId="0" applyNumberFormat="1" applyFont="1"/>
    <xf numFmtId="9" fontId="21" fillId="0" borderId="0" xfId="2" applyFont="1"/>
    <xf numFmtId="172" fontId="21" fillId="0" borderId="0" xfId="1" applyNumberFormat="1" applyFont="1"/>
    <xf numFmtId="172" fontId="25" fillId="0" borderId="0" xfId="1" applyNumberFormat="1" applyFont="1"/>
    <xf numFmtId="165" fontId="24" fillId="0" borderId="0" xfId="5" applyNumberFormat="1" applyFont="1"/>
    <xf numFmtId="165" fontId="25" fillId="0" borderId="0" xfId="5" applyNumberFormat="1" applyFont="1"/>
    <xf numFmtId="38" fontId="29" fillId="0" borderId="0" xfId="5" applyNumberFormat="1" applyFont="1"/>
    <xf numFmtId="0" fontId="24" fillId="0" borderId="0" xfId="5" applyFont="1"/>
    <xf numFmtId="0" fontId="24" fillId="0" borderId="0" xfId="0" applyFont="1"/>
    <xf numFmtId="168" fontId="21" fillId="0" borderId="0" xfId="1" applyNumberFormat="1" applyFont="1"/>
    <xf numFmtId="38" fontId="21" fillId="0" borderId="0" xfId="1" applyNumberFormat="1" applyFont="1"/>
    <xf numFmtId="38" fontId="25" fillId="0" borderId="0" xfId="1" applyNumberFormat="1" applyFont="1"/>
    <xf numFmtId="167" fontId="21" fillId="0" borderId="0" xfId="2" applyNumberFormat="1" applyFont="1"/>
    <xf numFmtId="38" fontId="21" fillId="0" borderId="0" xfId="0" applyNumberFormat="1" applyFont="1"/>
    <xf numFmtId="0" fontId="4" fillId="4" borderId="8" xfId="0" applyFont="1" applyFill="1" applyBorder="1" applyAlignment="1">
      <alignment horizontal="right"/>
    </xf>
    <xf numFmtId="38" fontId="3" fillId="4" borderId="0" xfId="5" applyNumberFormat="1" applyFont="1" applyFill="1" applyAlignment="1">
      <alignment horizontal="center" vertical="center"/>
    </xf>
    <xf numFmtId="0" fontId="3" fillId="4" borderId="5" xfId="0" applyFont="1" applyFill="1" applyBorder="1"/>
    <xf numFmtId="0" fontId="3" fillId="4" borderId="0" xfId="0" applyFont="1" applyFill="1"/>
    <xf numFmtId="9" fontId="4" fillId="4" borderId="4" xfId="2" applyFont="1" applyFill="1" applyBorder="1" applyAlignment="1">
      <alignment horizontal="center"/>
    </xf>
    <xf numFmtId="0" fontId="0" fillId="4" borderId="0" xfId="5" applyFont="1" applyFill="1"/>
    <xf numFmtId="38" fontId="4" fillId="4" borderId="0" xfId="5" applyNumberFormat="1" applyFont="1" applyFill="1"/>
    <xf numFmtId="9" fontId="4" fillId="4" borderId="0" xfId="2" applyFont="1" applyFill="1"/>
    <xf numFmtId="171" fontId="4" fillId="4" borderId="0" xfId="0" applyNumberFormat="1" applyFont="1" applyFill="1" applyAlignment="1">
      <alignment horizontal="center"/>
    </xf>
    <xf numFmtId="171" fontId="30" fillId="4" borderId="0" xfId="5" applyNumberFormat="1" applyFont="1" applyFill="1" applyAlignment="1">
      <alignment horizontal="center" vertical="center"/>
    </xf>
    <xf numFmtId="38" fontId="31" fillId="4" borderId="0" xfId="5" applyNumberFormat="1" applyFont="1" applyFill="1"/>
    <xf numFmtId="0" fontId="0" fillId="4" borderId="0" xfId="0" applyFill="1"/>
    <xf numFmtId="167" fontId="4" fillId="4" borderId="0" xfId="2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7" fontId="3" fillId="4" borderId="0" xfId="2" applyNumberFormat="1" applyFont="1" applyFill="1" applyAlignment="1">
      <alignment horizontal="center"/>
    </xf>
    <xf numFmtId="0" fontId="32" fillId="0" borderId="0" xfId="0" applyFont="1" applyAlignment="1">
      <alignment horizontal="left"/>
    </xf>
    <xf numFmtId="0" fontId="4" fillId="0" borderId="7" xfId="0" applyFont="1" applyBorder="1" applyAlignment="1">
      <alignment horizontal="right"/>
    </xf>
    <xf numFmtId="38" fontId="17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8" fontId="3" fillId="0" borderId="0" xfId="5" applyNumberFormat="1" applyFont="1" applyAlignment="1">
      <alignment horizontal="center"/>
    </xf>
    <xf numFmtId="0" fontId="3" fillId="0" borderId="4" xfId="0" applyFont="1" applyBorder="1"/>
    <xf numFmtId="38" fontId="3" fillId="0" borderId="4" xfId="0" applyNumberFormat="1" applyFont="1" applyBorder="1" applyAlignment="1">
      <alignment horizontal="center"/>
    </xf>
    <xf numFmtId="167" fontId="3" fillId="0" borderId="0" xfId="2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3" fillId="0" borderId="0" xfId="3" applyFont="1" applyAlignment="1">
      <alignment horizontal="center"/>
    </xf>
  </cellXfs>
  <cellStyles count="7">
    <cellStyle name="Comma" xfId="1" builtinId="3"/>
    <cellStyle name="Comma 9" xfId="4" xr:uid="{D88029B5-9AFC-4BDD-BB29-763ED10AA897}"/>
    <cellStyle name="Hyperlink" xfId="3" builtinId="8"/>
    <cellStyle name="Normal" xfId="0" builtinId="0"/>
    <cellStyle name="Normal 2" xfId="5" xr:uid="{FDD0BA4D-913C-4924-8E9D-741E6902E290}"/>
    <cellStyle name="Percent" xfId="2" builtinId="5"/>
    <cellStyle name="Percent 2" xfId="6" xr:uid="{099D6C98-19FD-4B1D-BA3F-35B298464E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Fuel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Historical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0890113735783027"/>
                  <c:y val="-0.329365704286964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'Jet Fuel'!$B$2:$AK$2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'Jet Fuel'!$B$15:$AK$15</c:f>
              <c:numCache>
                <c:formatCode>#,##0.000_);[Red]\(#,##0.000\)</c:formatCode>
                <c:ptCount val="36"/>
                <c:pt idx="0">
                  <c:v>11.913982770123758</c:v>
                </c:pt>
                <c:pt idx="1">
                  <c:v>12.001268210683357</c:v>
                </c:pt>
                <c:pt idx="2">
                  <c:v>11.013071079219003</c:v>
                </c:pt>
                <c:pt idx="3">
                  <c:v>10.629843217456557</c:v>
                </c:pt>
                <c:pt idx="4">
                  <c:v>7.707035257683148</c:v>
                </c:pt>
                <c:pt idx="5">
                  <c:v>10.623064846880142</c:v>
                </c:pt>
                <c:pt idx="6">
                  <c:v>12.138857140049385</c:v>
                </c:pt>
                <c:pt idx="7">
                  <c:v>8.4504087451754941</c:v>
                </c:pt>
                <c:pt idx="8">
                  <c:v>6.4042282265358113</c:v>
                </c:pt>
                <c:pt idx="9">
                  <c:v>5.8067307294783088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6-4D02-8848-FF1D9F6EA7E6}"/>
            </c:ext>
          </c:extLst>
        </c:ser>
        <c:ser>
          <c:idx val="1"/>
          <c:order val="1"/>
          <c:tx>
            <c:v>Forecast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'Jet Fuel'!$B$2:$AK$2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'Jet Fuel'!$B$16:$AK$16</c:f>
              <c:numCache>
                <c:formatCode>General</c:formatCode>
                <c:ptCount val="36"/>
                <c:pt idx="10" formatCode="#,##0.000_);[Red]\(#,##0.000\)">
                  <c:v>5.7574940430996513</c:v>
                </c:pt>
                <c:pt idx="11" formatCode="#,##0.000_);[Red]\(#,##0.000\)">
                  <c:v>5.6658031824373074</c:v>
                </c:pt>
                <c:pt idx="12" formatCode="#,##0.000_);[Red]\(#,##0.000\)">
                  <c:v>5.6930789787384279</c:v>
                </c:pt>
                <c:pt idx="13" formatCode="#,##0.000_);[Red]\(#,##0.000\)">
                  <c:v>5.4148395320163543</c:v>
                </c:pt>
                <c:pt idx="14" formatCode="#,##0.000_);[Red]\(#,##0.000\)">
                  <c:v>5.4720097834856078</c:v>
                </c:pt>
                <c:pt idx="15" formatCode="#,##0.000_);[Red]\(#,##0.000\)">
                  <c:v>5.3919238556299298</c:v>
                </c:pt>
                <c:pt idx="16" formatCode="#,##0.000_);[Red]\(#,##0.000\)">
                  <c:v>5.2348775297377959</c:v>
                </c:pt>
                <c:pt idx="17" formatCode="#,##0.000_);[Red]\(#,##0.000\)">
                  <c:v>5.0824053686774731</c:v>
                </c:pt>
                <c:pt idx="18" formatCode="#,##0.000_);[Red]\(#,##0.000\)">
                  <c:v>5.0069384699992181</c:v>
                </c:pt>
                <c:pt idx="19" formatCode="#,##0.000_);[Red]\(#,##0.000\)">
                  <c:v>4.931556112282899</c:v>
                </c:pt>
                <c:pt idx="20" formatCode="#,##0.000_);[Red]\(#,##0.000\)">
                  <c:v>4.7879185556144606</c:v>
                </c:pt>
                <c:pt idx="21" formatCode="#,##0.000_);[Red]\(#,##0.000\)">
                  <c:v>4.7148712544885827</c:v>
                </c:pt>
                <c:pt idx="22" formatCode="#,##0.000_);[Red]\(#,##0.000\)">
                  <c:v>4.6420173707531491</c:v>
                </c:pt>
                <c:pt idx="23" formatCode="#,##0.000_);[Red]\(#,##0.000\)">
                  <c:v>4.5694076060542086</c:v>
                </c:pt>
                <c:pt idx="24" formatCode="#,##0.000_);[Red]\(#,##0.000\)">
                  <c:v>4.4970895444608496</c:v>
                </c:pt>
                <c:pt idx="25" formatCode="#,##0.000_);[Red]\(#,##0.000\)">
                  <c:v>4.4251077910596166</c:v>
                </c:pt>
                <c:pt idx="26" formatCode="#,##0.000_);[Red]\(#,##0.000\)">
                  <c:v>4.3535041051201429</c:v>
                </c:pt>
                <c:pt idx="27" formatCode="#,##0.000_);[Red]\(#,##0.000\)">
                  <c:v>4.2823175280307977</c:v>
                </c:pt>
                <c:pt idx="28" formatCode="#,##0.000_);[Red]\(#,##0.000\)">
                  <c:v>4.2115845061959654</c:v>
                </c:pt>
                <c:pt idx="29" formatCode="#,##0.000_);[Red]\(#,##0.000\)">
                  <c:v>4.1413390090799265</c:v>
                </c:pt>
                <c:pt idx="30" formatCode="#,##0.000_);[Red]\(#,##0.000\)">
                  <c:v>4.0716126425758148</c:v>
                </c:pt>
                <c:pt idx="31" formatCode="#,##0.000_);[Red]\(#,##0.000\)">
                  <c:v>4.0024347578718578</c:v>
                </c:pt>
                <c:pt idx="32" formatCode="#,##0.000_);[Red]\(#,##0.000\)">
                  <c:v>3.9338325559809695</c:v>
                </c:pt>
                <c:pt idx="33" formatCode="#,##0.000_);[Red]\(#,##0.000\)">
                  <c:v>3.8658311880940115</c:v>
                </c:pt>
                <c:pt idx="34" formatCode="#,##0.000_);[Red]\(#,##0.000\)">
                  <c:v>3.7984538519113054</c:v>
                </c:pt>
                <c:pt idx="35" formatCode="#,##0.000_);[Red]\(#,##0.000\)">
                  <c:v>3.7317218841014874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96-4D02-8848-FF1D9F6EA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237936"/>
        <c:axId val="476236496"/>
      </c:lineChart>
      <c:catAx>
        <c:axId val="4762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236496"/>
        <c:crosses val="autoZero"/>
        <c:auto val="1"/>
        <c:lblAlgn val="ctr"/>
        <c:lblOffset val="100"/>
        <c:noMultiLvlLbl val="0"/>
      </c:catAx>
      <c:valAx>
        <c:axId val="4762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_);[Red]\(#,##0.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23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152400</xdr:colOff>
      <xdr:row>1</xdr:row>
      <xdr:rowOff>157162</xdr:rowOff>
    </xdr:from>
    <xdr:to>
      <xdr:col>44</xdr:col>
      <xdr:colOff>457200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ABC328-7F60-48D6-A4EE-065646E2A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bbdbal%20-%20HOBO.xlsx" TargetMode="External"/><Relationship Id="rId1" Type="http://schemas.openxmlformats.org/officeDocument/2006/relationships/externalLinkPath" Target="/Users/torem/Dropbox/FM%20Files/HOBO/Biofuel%20Model/usbbdbal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Global%20RD%20SAF%20Capacity%20-%20HOBO.xlsx" TargetMode="External"/><Relationship Id="rId1" Type="http://schemas.openxmlformats.org/officeDocument/2006/relationships/externalLinkPath" Target="/Users/torem/Dropbox/FM%20Files/HOBO/Biofuel%20Model/Global%20RD%20SAF%20Capacity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brbbdbal%20-%20HOBO.xlsx" TargetMode="External"/><Relationship Id="rId1" Type="http://schemas.openxmlformats.org/officeDocument/2006/relationships/externalLinkPath" Target="/Users/torem/Dropbox/FM%20Files/HOBO/Biofuel%20Model/brbbdbal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ources"/>
      <sheetName val="Capacity"/>
      <sheetName val="Annual data"/>
      <sheetName val="Monthly Data"/>
      <sheetName val="BD"/>
      <sheetName val="RD"/>
      <sheetName val="SAF"/>
      <sheetName val="Jet Fuel"/>
      <sheetName val="Diesel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I4">
            <v>2025</v>
          </cell>
          <cell r="J4">
            <v>2026</v>
          </cell>
          <cell r="K4">
            <v>2027</v>
          </cell>
          <cell r="L4">
            <v>2028</v>
          </cell>
          <cell r="M4">
            <v>2029</v>
          </cell>
          <cell r="N4">
            <v>2030</v>
          </cell>
          <cell r="O4">
            <v>2031</v>
          </cell>
          <cell r="P4">
            <v>2032</v>
          </cell>
          <cell r="Q4">
            <v>2033</v>
          </cell>
          <cell r="R4">
            <v>2034</v>
          </cell>
          <cell r="S4">
            <v>2035</v>
          </cell>
          <cell r="T4">
            <v>2036</v>
          </cell>
          <cell r="U4">
            <v>2037</v>
          </cell>
          <cell r="V4">
            <v>2038</v>
          </cell>
          <cell r="W4">
            <v>2039</v>
          </cell>
          <cell r="X4">
            <v>2040</v>
          </cell>
          <cell r="Y4">
            <v>2041</v>
          </cell>
          <cell r="Z4">
            <v>2042</v>
          </cell>
          <cell r="AA4">
            <v>2043</v>
          </cell>
          <cell r="AB4">
            <v>2044</v>
          </cell>
          <cell r="AC4">
            <v>2045</v>
          </cell>
          <cell r="AD4">
            <v>2046</v>
          </cell>
          <cell r="AE4">
            <v>2047</v>
          </cell>
          <cell r="AF4">
            <v>2048</v>
          </cell>
          <cell r="AG4">
            <v>2049</v>
          </cell>
          <cell r="AH4">
            <v>2050</v>
          </cell>
        </row>
        <row r="6">
          <cell r="I6">
            <v>139.54484977585415</v>
          </cell>
          <cell r="J6">
            <v>460.88495228818954</v>
          </cell>
          <cell r="K6">
            <v>1325.024691658055</v>
          </cell>
          <cell r="L6">
            <v>1736.1276052408398</v>
          </cell>
          <cell r="M6">
            <v>2273.6188430182933</v>
          </cell>
          <cell r="N6">
            <v>3073.0567489326882</v>
          </cell>
          <cell r="O6">
            <v>3588.4038424726386</v>
          </cell>
          <cell r="P6">
            <v>4539.3265633096562</v>
          </cell>
          <cell r="Q6">
            <v>4740.909735426977</v>
          </cell>
          <cell r="R6">
            <v>5153.1203689732683</v>
          </cell>
          <cell r="S6">
            <v>5383.43033507583</v>
          </cell>
          <cell r="T6">
            <v>4141.8814130584124</v>
          </cell>
          <cell r="U6">
            <v>4521.3717087055411</v>
          </cell>
          <cell r="V6">
            <v>5091.1462971830406</v>
          </cell>
          <cell r="W6">
            <v>5089.329457841005</v>
          </cell>
          <cell r="X6">
            <v>5061.3522657506937</v>
          </cell>
          <cell r="Y6">
            <v>5281.432384585718</v>
          </cell>
          <cell r="Z6">
            <v>5452.6461677281859</v>
          </cell>
          <cell r="AA6">
            <v>5577.9566167679932</v>
          </cell>
          <cell r="AB6">
            <v>5641.6619152152552</v>
          </cell>
          <cell r="AC6">
            <v>5809.2805268083539</v>
          </cell>
          <cell r="AD6">
            <v>6127.3610683523875</v>
          </cell>
          <cell r="AE6">
            <v>6348.6128534748404</v>
          </cell>
          <cell r="AF6">
            <v>6355.8716047947155</v>
          </cell>
          <cell r="AG6">
            <v>6345.2461711034648</v>
          </cell>
          <cell r="AH6">
            <v>6494.4139814335422</v>
          </cell>
        </row>
        <row r="7">
          <cell r="I7">
            <v>60</v>
          </cell>
          <cell r="J7">
            <v>45.998087552847259</v>
          </cell>
          <cell r="K7">
            <v>66.736474900505826</v>
          </cell>
          <cell r="L7">
            <v>86.975813584309094</v>
          </cell>
          <cell r="M7">
            <v>101.66031184539069</v>
          </cell>
          <cell r="N7">
            <v>136.99378845610391</v>
          </cell>
          <cell r="O7">
            <v>123.83689684047657</v>
          </cell>
          <cell r="P7">
            <v>111.4606234356481</v>
          </cell>
          <cell r="Q7">
            <v>116.46604364430547</v>
          </cell>
          <cell r="R7">
            <v>126.74187769306047</v>
          </cell>
          <cell r="S7">
            <v>132.85575159239127</v>
          </cell>
          <cell r="T7">
            <v>123.00787959815408</v>
          </cell>
          <cell r="U7">
            <v>122.69555585100896</v>
          </cell>
          <cell r="V7">
            <v>123.90491440065065</v>
          </cell>
          <cell r="W7">
            <v>111.08692501322585</v>
          </cell>
          <cell r="X7">
            <v>102.34516738730642</v>
          </cell>
          <cell r="Y7">
            <v>106.48789918725871</v>
          </cell>
          <cell r="Z7">
            <v>111.80460950418049</v>
          </cell>
          <cell r="AA7">
            <v>135.88246337876882</v>
          </cell>
          <cell r="AB7">
            <v>139.56395898590705</v>
          </cell>
          <cell r="AC7">
            <v>143.25075543288159</v>
          </cell>
          <cell r="AD7">
            <v>146.71361931359695</v>
          </cell>
          <cell r="AE7">
            <v>150.18539372554207</v>
          </cell>
          <cell r="AF7">
            <v>153.20035094225693</v>
          </cell>
          <cell r="AG7">
            <v>156.22256765272616</v>
          </cell>
          <cell r="AH7">
            <v>164.75549999999998</v>
          </cell>
        </row>
        <row r="23">
          <cell r="D23">
            <v>4.1590000000000002E-2</v>
          </cell>
          <cell r="E23">
            <v>0.289825</v>
          </cell>
          <cell r="F23">
            <v>0.40211999999999998</v>
          </cell>
          <cell r="G23">
            <v>0.100937</v>
          </cell>
          <cell r="H23">
            <v>0.833897</v>
          </cell>
          <cell r="I23">
            <v>8.4753439999999998</v>
          </cell>
          <cell r="J23">
            <v>23.89312617964994</v>
          </cell>
          <cell r="K23">
            <v>68.451166585377194</v>
          </cell>
          <cell r="L23">
            <v>89.387901643266886</v>
          </cell>
          <cell r="M23">
            <v>117.38533087423706</v>
          </cell>
          <cell r="N23">
            <v>159.26172544323626</v>
          </cell>
          <cell r="O23">
            <v>185.46658281507732</v>
          </cell>
          <cell r="P23">
            <v>234.58764848402637</v>
          </cell>
          <cell r="Q23">
            <v>245.01296190866026</v>
          </cell>
          <cell r="R23">
            <v>266.4113514182248</v>
          </cell>
          <cell r="S23">
            <v>278.35862171511189</v>
          </cell>
          <cell r="T23">
            <v>214.09789414772646</v>
          </cell>
          <cell r="U23">
            <v>233.71817831806746</v>
          </cell>
          <cell r="V23">
            <v>263.18336704348184</v>
          </cell>
          <cell r="W23">
            <v>263.10309937063352</v>
          </cell>
          <cell r="X23">
            <v>261.65457854580529</v>
          </cell>
          <cell r="Y23">
            <v>273.020100644651</v>
          </cell>
          <cell r="Z23">
            <v>281.87390502968736</v>
          </cell>
          <cell r="AA23">
            <v>288.35473498635713</v>
          </cell>
          <cell r="AB23">
            <v>291.64918110102968</v>
          </cell>
          <cell r="AC23">
            <v>300.31280489545679</v>
          </cell>
          <cell r="AD23">
            <v>316.75472474837255</v>
          </cell>
          <cell r="AE23">
            <v>328.19330339483992</v>
          </cell>
          <cell r="AF23">
            <v>328.56901011343734</v>
          </cell>
        </row>
        <row r="24">
          <cell r="D24">
            <v>0</v>
          </cell>
          <cell r="E24">
            <v>0.29472500000000001</v>
          </cell>
          <cell r="F24">
            <v>1.10887</v>
          </cell>
          <cell r="G24">
            <v>1.5785960000000001</v>
          </cell>
          <cell r="H24">
            <v>1.254939</v>
          </cell>
          <cell r="I24">
            <v>15.728119</v>
          </cell>
          <cell r="J24">
            <v>45.244644572742757</v>
          </cell>
          <cell r="K24">
            <v>129.88577512177199</v>
          </cell>
          <cell r="L24">
            <v>170.15201300065522</v>
          </cell>
          <cell r="M24">
            <v>222.5938807394669</v>
          </cell>
          <cell r="N24">
            <v>302.17166315545495</v>
          </cell>
          <cell r="O24">
            <v>352.03344140870752</v>
          </cell>
          <cell r="P24">
            <v>445.31037295188992</v>
          </cell>
          <cell r="Q24">
            <v>465.11691486002161</v>
          </cell>
          <cell r="R24">
            <v>505.60705325518018</v>
          </cell>
          <cell r="S24">
            <v>528.32834224558314</v>
          </cell>
          <cell r="T24">
            <v>406.37995600577483</v>
          </cell>
          <cell r="U24">
            <v>443.62153519489544</v>
          </cell>
          <cell r="V24">
            <v>499.5413579930032</v>
          </cell>
          <cell r="W24">
            <v>499.37552798162818</v>
          </cell>
          <cell r="X24">
            <v>496.6361497181764</v>
          </cell>
          <cell r="Y24">
            <v>518.21148668275396</v>
          </cell>
          <cell r="Z24">
            <v>535.01511255638309</v>
          </cell>
          <cell r="AA24">
            <v>547.31418860587985</v>
          </cell>
          <cell r="AB24">
            <v>553.56640873780202</v>
          </cell>
          <cell r="AC24">
            <v>570.01234769929874</v>
          </cell>
          <cell r="AD24">
            <v>601.22023923310144</v>
          </cell>
          <cell r="AE24">
            <v>622.93086645601022</v>
          </cell>
          <cell r="AF24">
            <v>623.64370416930512</v>
          </cell>
        </row>
        <row r="25">
          <cell r="D25">
            <v>0.28082600000000002</v>
          </cell>
          <cell r="E25">
            <v>0.288906</v>
          </cell>
          <cell r="F25">
            <v>1.026537</v>
          </cell>
          <cell r="G25">
            <v>0.79717000000000005</v>
          </cell>
          <cell r="H25">
            <v>2.1192579999999999</v>
          </cell>
          <cell r="I25">
            <v>3.8450150000000001</v>
          </cell>
          <cell r="J25">
            <v>18.303595228116713</v>
          </cell>
          <cell r="K25">
            <v>52.446592878731003</v>
          </cell>
          <cell r="L25">
            <v>68.091377268205889</v>
          </cell>
          <cell r="M25">
            <v>88.975887423838913</v>
          </cell>
          <cell r="N25">
            <v>119.9473980919919</v>
          </cell>
          <cell r="O25">
            <v>140.7104671858601</v>
          </cell>
          <cell r="P25">
            <v>177.91111731121515</v>
          </cell>
          <cell r="Q25">
            <v>185.65145426298955</v>
          </cell>
          <cell r="R25">
            <v>201.76353567193198</v>
          </cell>
          <cell r="S25">
            <v>210.79240077562943</v>
          </cell>
          <cell r="T25">
            <v>162.24592725913061</v>
          </cell>
          <cell r="U25">
            <v>177.08389867480091</v>
          </cell>
          <cell r="V25">
            <v>199.37330258687672</v>
          </cell>
          <cell r="W25">
            <v>199.30347544531051</v>
          </cell>
          <cell r="X25">
            <v>198.21581021517588</v>
          </cell>
          <cell r="Y25">
            <v>206.84286106158768</v>
          </cell>
          <cell r="Z25">
            <v>213.54120254829346</v>
          </cell>
          <cell r="AA25">
            <v>218.44569756765975</v>
          </cell>
          <cell r="AB25">
            <v>220.94220227381268</v>
          </cell>
          <cell r="AC25">
            <v>227.5082933043544</v>
          </cell>
          <cell r="AD25">
            <v>239.96556885772125</v>
          </cell>
          <cell r="AE25">
            <v>248.62903141110516</v>
          </cell>
          <cell r="AF25">
            <v>248.91315845657553</v>
          </cell>
        </row>
        <row r="26">
          <cell r="D26">
            <v>1.234442</v>
          </cell>
          <cell r="E26">
            <v>0.29328900000000002</v>
          </cell>
          <cell r="F26">
            <v>0.40899099999999999</v>
          </cell>
          <cell r="G26">
            <v>0.91352100000000003</v>
          </cell>
          <cell r="H26">
            <v>2.7812009999999998</v>
          </cell>
          <cell r="I26">
            <v>8.4044749199190303</v>
          </cell>
          <cell r="J26">
            <v>28.923927353115388</v>
          </cell>
          <cell r="K26">
            <v>83.355933002837475</v>
          </cell>
          <cell r="L26">
            <v>109.22935493369607</v>
          </cell>
          <cell r="M26">
            <v>142.95585488060638</v>
          </cell>
          <cell r="N26">
            <v>193.05989522712349</v>
          </cell>
          <cell r="O26">
            <v>225.58230985068755</v>
          </cell>
          <cell r="P26">
            <v>285.37999109891661</v>
          </cell>
          <cell r="Q26">
            <v>298.03642123796737</v>
          </cell>
          <cell r="R26">
            <v>323.92506868341894</v>
          </cell>
          <cell r="S26">
            <v>338.39310916389786</v>
          </cell>
          <cell r="T26">
            <v>260.37045206182569</v>
          </cell>
          <cell r="U26">
            <v>284.22534216662228</v>
          </cell>
          <cell r="V26">
            <v>320.03735405648092</v>
          </cell>
          <cell r="W26">
            <v>319.9199012564485</v>
          </cell>
          <cell r="X26">
            <v>318.16222956939333</v>
          </cell>
          <cell r="Y26">
            <v>332.0000920550961</v>
          </cell>
          <cell r="Z26">
            <v>342.76190405742483</v>
          </cell>
          <cell r="AA26">
            <v>350.63808208908694</v>
          </cell>
          <cell r="AB26">
            <v>354.6425056569517</v>
          </cell>
          <cell r="AC26">
            <v>365.17971984240518</v>
          </cell>
          <cell r="AD26">
            <v>385.17508277066054</v>
          </cell>
          <cell r="AE26">
            <v>399.08300098258508</v>
          </cell>
          <cell r="AF26">
            <v>399.53915294475968</v>
          </cell>
        </row>
        <row r="27">
          <cell r="C27">
            <v>0.25428800000000001</v>
          </cell>
          <cell r="D27">
            <v>0</v>
          </cell>
          <cell r="E27">
            <v>0.28749599999999997</v>
          </cell>
          <cell r="F27">
            <v>0.20283100000000001</v>
          </cell>
          <cell r="G27">
            <v>1.6267149999999999</v>
          </cell>
          <cell r="H27">
            <v>3.266216</v>
          </cell>
          <cell r="I27">
            <v>10.97616797756708</v>
          </cell>
          <cell r="J27">
            <v>38.073237291912427</v>
          </cell>
          <cell r="K27">
            <v>109.83702955094272</v>
          </cell>
          <cell r="L27">
            <v>143.8746989010358</v>
          </cell>
          <cell r="M27">
            <v>188.03837830701107</v>
          </cell>
          <cell r="N27">
            <v>254.12025094949621</v>
          </cell>
          <cell r="O27">
            <v>296.96372671365538</v>
          </cell>
          <cell r="P27">
            <v>375.68448437097663</v>
          </cell>
          <cell r="Q27">
            <v>392.3133611846896</v>
          </cell>
          <cell r="R27">
            <v>426.36492953210126</v>
          </cell>
          <cell r="S27">
            <v>445.44073938154668</v>
          </cell>
          <cell r="T27">
            <v>342.73851004728289</v>
          </cell>
          <cell r="U27">
            <v>374.13637792329394</v>
          </cell>
          <cell r="V27">
            <v>421.27106299150307</v>
          </cell>
          <cell r="W27">
            <v>421.1159273751407</v>
          </cell>
          <cell r="X27">
            <v>418.80709362650219</v>
          </cell>
          <cell r="Y27">
            <v>437.02163005349729</v>
          </cell>
          <cell r="Z27">
            <v>451.18661120667758</v>
          </cell>
          <cell r="AA27">
            <v>461.55358961231804</v>
          </cell>
          <cell r="AB27">
            <v>466.82514441902299</v>
          </cell>
          <cell r="AC27">
            <v>480.69618774489999</v>
          </cell>
          <cell r="AD27">
            <v>507.0163443326083</v>
          </cell>
          <cell r="AE27">
            <v>525.32349907992682</v>
          </cell>
          <cell r="AF27">
            <v>525.92393099888682</v>
          </cell>
        </row>
        <row r="28">
          <cell r="C28">
            <v>0.22327900000000001</v>
          </cell>
          <cell r="D28">
            <v>0.50851299999999999</v>
          </cell>
          <cell r="E28">
            <v>0.357317</v>
          </cell>
          <cell r="F28">
            <v>0.80226399999999998</v>
          </cell>
          <cell r="G28">
            <v>1.121861</v>
          </cell>
          <cell r="H28">
            <v>2.9986120000000001</v>
          </cell>
          <cell r="I28">
            <v>10.802570811467989</v>
          </cell>
          <cell r="J28">
            <v>36.445958845373937</v>
          </cell>
          <cell r="K28">
            <v>104.66929816987525</v>
          </cell>
          <cell r="L28">
            <v>137.07443203247411</v>
          </cell>
          <cell r="M28">
            <v>179.41367029720334</v>
          </cell>
          <cell r="N28">
            <v>242.52557225580676</v>
          </cell>
          <cell r="O28">
            <v>283.28184634963793</v>
          </cell>
          <cell r="P28">
            <v>358.32773608893473</v>
          </cell>
          <cell r="Q28">
            <v>374.2174098805076</v>
          </cell>
          <cell r="R28">
            <v>406.74466362686309</v>
          </cell>
          <cell r="S28">
            <v>424.93541513276676</v>
          </cell>
          <cell r="T28">
            <v>326.94265339627157</v>
          </cell>
          <cell r="U28">
            <v>356.89266165201229</v>
          </cell>
          <cell r="V28">
            <v>401.8638016596073</v>
          </cell>
          <cell r="W28">
            <v>401.72057379123839</v>
          </cell>
          <cell r="X28">
            <v>399.51455976192761</v>
          </cell>
          <cell r="Y28">
            <v>416.88692029490289</v>
          </cell>
          <cell r="Z28">
            <v>430.40037567974269</v>
          </cell>
          <cell r="AA28">
            <v>440.29129120100424</v>
          </cell>
          <cell r="AB28">
            <v>445.32014093675434</v>
          </cell>
          <cell r="AC28">
            <v>458.55133662133386</v>
          </cell>
          <cell r="AD28">
            <v>483.65870541625719</v>
          </cell>
          <cell r="AE28">
            <v>501.12283616229831</v>
          </cell>
          <cell r="AF28">
            <v>501.69580533177401</v>
          </cell>
        </row>
        <row r="29">
          <cell r="C29">
            <v>0.14661299999999999</v>
          </cell>
          <cell r="D29">
            <v>1.5367249999999999</v>
          </cell>
          <cell r="E29">
            <v>1.093159</v>
          </cell>
          <cell r="F29">
            <v>1.1379729999999999</v>
          </cell>
          <cell r="G29">
            <v>1.7707619999999999</v>
          </cell>
          <cell r="H29">
            <v>3.2568869999999999</v>
          </cell>
          <cell r="I29">
            <v>10.933554606466778</v>
          </cell>
          <cell r="J29">
            <v>39.976921761037993</v>
          </cell>
          <cell r="K29">
            <v>113.97848488508038</v>
          </cell>
          <cell r="L29">
            <v>149.26606301052726</v>
          </cell>
          <cell r="M29">
            <v>195.03361743180668</v>
          </cell>
          <cell r="N29">
            <v>263.641552684837</v>
          </cell>
          <cell r="O29">
            <v>308.27391513317133</v>
          </cell>
          <cell r="P29">
            <v>389.82118960567601</v>
          </cell>
          <cell r="Q29">
            <v>407.07318695247625</v>
          </cell>
          <cell r="R29">
            <v>442.4119633709019</v>
          </cell>
          <cell r="S29">
            <v>462.22663622094757</v>
          </cell>
          <cell r="T29">
            <v>355.66391497845484</v>
          </cell>
          <cell r="U29">
            <v>388.22490721705157</v>
          </cell>
          <cell r="V29">
            <v>437.13665429824135</v>
          </cell>
          <cell r="W29">
            <v>436.97885705731892</v>
          </cell>
          <cell r="X29">
            <v>434.58589758986244</v>
          </cell>
          <cell r="Y29">
            <v>453.48586998691627</v>
          </cell>
          <cell r="Z29">
            <v>468.18163319149016</v>
          </cell>
          <cell r="AA29">
            <v>478.9400129773976</v>
          </cell>
          <cell r="AB29">
            <v>484.4108719821719</v>
          </cell>
          <cell r="AC29">
            <v>498.80464153052043</v>
          </cell>
          <cell r="AD29">
            <v>526.11591704737737</v>
          </cell>
          <cell r="AE29">
            <v>545.11240017848991</v>
          </cell>
          <cell r="AF29">
            <v>545.73569752009905</v>
          </cell>
        </row>
        <row r="30">
          <cell r="C30">
            <v>0.27175700000000003</v>
          </cell>
          <cell r="D30">
            <v>6.3854999999999995E-2</v>
          </cell>
          <cell r="E30">
            <v>0.72205799999999998</v>
          </cell>
          <cell r="F30">
            <v>0.39256799999999997</v>
          </cell>
          <cell r="G30">
            <v>2.911842</v>
          </cell>
          <cell r="H30">
            <v>4.0267900000000001</v>
          </cell>
          <cell r="I30">
            <v>11.770394176198298</v>
          </cell>
          <cell r="J30">
            <v>42.945445735034241</v>
          </cell>
          <cell r="K30">
            <v>124.36578844880567</v>
          </cell>
          <cell r="L30">
            <v>162.64569940454592</v>
          </cell>
          <cell r="M30">
            <v>212.44847447981218</v>
          </cell>
          <cell r="N30">
            <v>286.93446200556855</v>
          </cell>
          <cell r="O30">
            <v>335.5623786446298</v>
          </cell>
          <cell r="P30">
            <v>424.54400954681194</v>
          </cell>
          <cell r="Q30">
            <v>443.25951717043864</v>
          </cell>
          <cell r="R30">
            <v>481.70835294362729</v>
          </cell>
          <cell r="S30">
            <v>503.25970761227575</v>
          </cell>
          <cell r="T30">
            <v>387.25682003295844</v>
          </cell>
          <cell r="U30">
            <v>422.72804530291944</v>
          </cell>
          <cell r="V30">
            <v>475.97023215940487</v>
          </cell>
          <cell r="W30">
            <v>475.79349783530421</v>
          </cell>
          <cell r="X30">
            <v>473.18816068332802</v>
          </cell>
          <cell r="Y30">
            <v>493.77231937976603</v>
          </cell>
          <cell r="Z30">
            <v>509.77433443475007</v>
          </cell>
          <cell r="AA30">
            <v>521.48553456446302</v>
          </cell>
          <cell r="AB30">
            <v>527.44205193918287</v>
          </cell>
          <cell r="AC30">
            <v>543.11510644728867</v>
          </cell>
          <cell r="AD30">
            <v>572.85329173189973</v>
          </cell>
          <cell r="AE30">
            <v>593.53706820316677</v>
          </cell>
          <cell r="AF30">
            <v>594.21527847558991</v>
          </cell>
        </row>
        <row r="31">
          <cell r="C31">
            <v>0.27552900000000002</v>
          </cell>
          <cell r="D31">
            <v>0.37116900000000003</v>
          </cell>
          <cell r="E31">
            <v>0.300122</v>
          </cell>
          <cell r="F31">
            <v>0.393571</v>
          </cell>
          <cell r="G31">
            <v>0.65930200000000005</v>
          </cell>
          <cell r="H31">
            <v>9.2388250000000003</v>
          </cell>
          <cell r="I31">
            <v>12.352933632424854</v>
          </cell>
          <cell r="J31">
            <v>51.996708025440149</v>
          </cell>
          <cell r="K31">
            <v>150.93632087113687</v>
          </cell>
          <cell r="L31">
            <v>197.81669635851759</v>
          </cell>
          <cell r="M31">
            <v>259.50754987836723</v>
          </cell>
          <cell r="N31">
            <v>348.25600037040306</v>
          </cell>
          <cell r="O31">
            <v>408.058415897288</v>
          </cell>
          <cell r="P31">
            <v>516.34976786017171</v>
          </cell>
          <cell r="Q31">
            <v>539.21310098474032</v>
          </cell>
          <cell r="R31">
            <v>585.99562815935928</v>
          </cell>
          <cell r="S31">
            <v>611.94091526851037</v>
          </cell>
          <cell r="T31">
            <v>471.00051314091451</v>
          </cell>
          <cell r="U31">
            <v>514.15532237966499</v>
          </cell>
          <cell r="V31">
            <v>578.91572147631052</v>
          </cell>
          <cell r="W31">
            <v>578.68338278706324</v>
          </cell>
          <cell r="X31">
            <v>575.48992787385146</v>
          </cell>
          <cell r="Y31">
            <v>600.55125467594326</v>
          </cell>
          <cell r="Z31">
            <v>620.01397122608716</v>
          </cell>
          <cell r="AA31">
            <v>634.25525749864266</v>
          </cell>
          <cell r="AB31">
            <v>641.49594918487639</v>
          </cell>
          <cell r="AC31">
            <v>660.55718206234701</v>
          </cell>
          <cell r="AD31">
            <v>696.73018344995</v>
          </cell>
          <cell r="AE31">
            <v>721.88607901795353</v>
          </cell>
          <cell r="AF31">
            <v>722.71012116820077</v>
          </cell>
        </row>
        <row r="32">
          <cell r="C32">
            <v>0.21657399999999999</v>
          </cell>
          <cell r="D32">
            <v>0.188416</v>
          </cell>
          <cell r="E32">
            <v>0.43774099999999999</v>
          </cell>
          <cell r="F32">
            <v>1.7646310000000001</v>
          </cell>
          <cell r="G32">
            <v>1.953292</v>
          </cell>
          <cell r="H32">
            <v>4.385751</v>
          </cell>
          <cell r="I32">
            <v>14.80432559477609</v>
          </cell>
          <cell r="J32">
            <v>51.799170449949763</v>
          </cell>
          <cell r="K32">
            <v>146.98740750142557</v>
          </cell>
          <cell r="L32">
            <v>192.77227950451348</v>
          </cell>
          <cell r="M32">
            <v>252.3845124317161</v>
          </cell>
          <cell r="N32">
            <v>341.07843546241088</v>
          </cell>
          <cell r="O32">
            <v>398.55344225845425</v>
          </cell>
          <cell r="P32">
            <v>503.93879168250572</v>
          </cell>
          <cell r="Q32">
            <v>526.35263633238776</v>
          </cell>
          <cell r="R32">
            <v>572.11171976345895</v>
          </cell>
          <cell r="S32">
            <v>597.69099903600704</v>
          </cell>
          <cell r="T32">
            <v>459.86765155774253</v>
          </cell>
          <cell r="U32">
            <v>501.97597849151566</v>
          </cell>
          <cell r="V32">
            <v>565.24053289830943</v>
          </cell>
          <cell r="W32">
            <v>565.03948105127643</v>
          </cell>
          <cell r="X32">
            <v>561.93544273680811</v>
          </cell>
          <cell r="Y32">
            <v>586.37046775575391</v>
          </cell>
          <cell r="Z32">
            <v>605.37603966827749</v>
          </cell>
          <cell r="AA32">
            <v>619.28982824733794</v>
          </cell>
          <cell r="AB32">
            <v>626.36298064901257</v>
          </cell>
          <cell r="AC32">
            <v>644.97298462789979</v>
          </cell>
          <cell r="AD32">
            <v>680.28755054873238</v>
          </cell>
          <cell r="AE32">
            <v>704.85153819353809</v>
          </cell>
          <cell r="AF32">
            <v>705.65770653742334</v>
          </cell>
        </row>
        <row r="33">
          <cell r="C33">
            <v>9.1175000000000006E-2</v>
          </cell>
          <cell r="D33">
            <v>0.18820100000000001</v>
          </cell>
          <cell r="E33">
            <v>0.40348200000000001</v>
          </cell>
          <cell r="F33">
            <v>0.152226</v>
          </cell>
          <cell r="G33">
            <v>0.44977800000000001</v>
          </cell>
          <cell r="H33">
            <v>2.3854229999999998</v>
          </cell>
          <cell r="I33">
            <v>16.380536413000446</v>
          </cell>
          <cell r="J33">
            <v>43.786179408729204</v>
          </cell>
          <cell r="K33">
            <v>126.74184549121414</v>
          </cell>
          <cell r="L33">
            <v>166.28843847560069</v>
          </cell>
          <cell r="M33">
            <v>218.48747243177388</v>
          </cell>
          <cell r="N33">
            <v>295.99988994310718</v>
          </cell>
          <cell r="O33">
            <v>344.44929880517776</v>
          </cell>
          <cell r="P33">
            <v>435.89972845442838</v>
          </cell>
          <cell r="Q33">
            <v>455.4120915854482</v>
          </cell>
          <cell r="R33">
            <v>495.14602060505655</v>
          </cell>
          <cell r="S33">
            <v>517.26984189440452</v>
          </cell>
          <cell r="T33">
            <v>397.84689276238311</v>
          </cell>
          <cell r="U33">
            <v>434.34276019127094</v>
          </cell>
          <cell r="V33">
            <v>489.11349670413358</v>
          </cell>
          <cell r="W33">
            <v>488.95019975573337</v>
          </cell>
          <cell r="X33">
            <v>486.24829163399761</v>
          </cell>
          <cell r="Y33">
            <v>507.37406269245309</v>
          </cell>
          <cell r="Z33">
            <v>523.83375870202167</v>
          </cell>
          <cell r="AA33">
            <v>535.87739832850616</v>
          </cell>
          <cell r="AB33">
            <v>541.99669855620823</v>
          </cell>
          <cell r="AC33">
            <v>558.09638004823455</v>
          </cell>
          <cell r="AD33">
            <v>588.65315876595787</v>
          </cell>
          <cell r="AE33">
            <v>609.91118505111206</v>
          </cell>
          <cell r="AF33">
            <v>610.60894557455765</v>
          </cell>
        </row>
        <row r="35">
          <cell r="C35">
            <v>2.4287020000000004</v>
          </cell>
          <cell r="D35">
            <v>4.6083990000000004</v>
          </cell>
          <cell r="E35">
            <v>5.0766230000000006</v>
          </cell>
          <cell r="F35">
            <v>7.8931369999999985</v>
          </cell>
          <cell r="G35">
            <v>14.016105</v>
          </cell>
          <cell r="H35">
            <v>38.708892999999996</v>
          </cell>
          <cell r="I35">
            <v>139.54484977585415</v>
          </cell>
          <cell r="J35">
            <v>460.88495228818954</v>
          </cell>
          <cell r="K35">
            <v>1325.024691658055</v>
          </cell>
          <cell r="L35">
            <v>1736.1276052408398</v>
          </cell>
          <cell r="M35">
            <v>2273.6188430182933</v>
          </cell>
          <cell r="N35">
            <v>3073.0567489326882</v>
          </cell>
          <cell r="O35">
            <v>3588.4038424726386</v>
          </cell>
          <cell r="P35">
            <v>4539.3265633096562</v>
          </cell>
          <cell r="Q35">
            <v>4740.909735426977</v>
          </cell>
          <cell r="R35">
            <v>5153.1203689732683</v>
          </cell>
          <cell r="S35">
            <v>5383.43033507583</v>
          </cell>
          <cell r="T35">
            <v>4141.8814130584124</v>
          </cell>
          <cell r="U35">
            <v>4521.3717087055411</v>
          </cell>
          <cell r="V35">
            <v>5091.1462971830406</v>
          </cell>
          <cell r="W35">
            <v>5089.329457841005</v>
          </cell>
          <cell r="X35">
            <v>5061.3522657506937</v>
          </cell>
          <cell r="Y35">
            <v>5281.432384585718</v>
          </cell>
          <cell r="Z35">
            <v>5452.6461677281859</v>
          </cell>
          <cell r="AA35">
            <v>5577.9566167679932</v>
          </cell>
          <cell r="AB35">
            <v>5641.6619152152552</v>
          </cell>
          <cell r="AC35">
            <v>5809.2805268083539</v>
          </cell>
          <cell r="AD35">
            <v>6127.3610683523875</v>
          </cell>
          <cell r="AE35">
            <v>6348.6128534748404</v>
          </cell>
          <cell r="AF35">
            <v>6355.8716047947155</v>
          </cell>
        </row>
      </sheetData>
      <sheetData sheetId="7">
        <row r="21">
          <cell r="B21">
            <v>2196.39</v>
          </cell>
          <cell r="C21">
            <v>2305.884</v>
          </cell>
          <cell r="D21">
            <v>2414.4540000000002</v>
          </cell>
          <cell r="E21">
            <v>1596.7139999999999</v>
          </cell>
          <cell r="F21">
            <v>1974.546</v>
          </cell>
          <cell r="G21">
            <v>2113.2719999999999</v>
          </cell>
          <cell r="H21">
            <v>2202.3539999999998</v>
          </cell>
          <cell r="I21">
            <v>2491.958695125114</v>
          </cell>
        </row>
        <row r="22">
          <cell r="B22">
            <v>1985.2560000000001</v>
          </cell>
          <cell r="C22">
            <v>1986.7260000000001</v>
          </cell>
          <cell r="D22">
            <v>2029.6079999999999</v>
          </cell>
          <cell r="E22">
            <v>1116.192</v>
          </cell>
          <cell r="F22">
            <v>1768.326</v>
          </cell>
          <cell r="G22">
            <v>1841.07</v>
          </cell>
          <cell r="H22">
            <v>2002.8119999999999</v>
          </cell>
          <cell r="I22">
            <v>2118.6170136676692</v>
          </cell>
        </row>
        <row r="23">
          <cell r="B23">
            <v>2318.4</v>
          </cell>
          <cell r="C23">
            <v>2249.8139999999999</v>
          </cell>
          <cell r="D23">
            <v>1769.7539999999999</v>
          </cell>
          <cell r="E23">
            <v>1433.502</v>
          </cell>
          <cell r="F23">
            <v>1869.588</v>
          </cell>
          <cell r="G23">
            <v>2186.3939999999998</v>
          </cell>
          <cell r="H23">
            <v>2288.79</v>
          </cell>
        </row>
        <row r="24">
          <cell r="B24">
            <v>2262.288</v>
          </cell>
          <cell r="C24">
            <v>2176.7759999999998</v>
          </cell>
          <cell r="D24">
            <v>779.98199999999997</v>
          </cell>
          <cell r="E24">
            <v>1590.9179999999999</v>
          </cell>
          <cell r="F24">
            <v>2141.0340000000001</v>
          </cell>
          <cell r="G24">
            <v>2144.0160000000001</v>
          </cell>
          <cell r="H24">
            <v>2209.8719999999998</v>
          </cell>
        </row>
        <row r="25">
          <cell r="B25">
            <v>2348.4720000000002</v>
          </cell>
          <cell r="C25">
            <v>2250.6120000000001</v>
          </cell>
          <cell r="D25">
            <v>658.05600000000004</v>
          </cell>
          <cell r="E25">
            <v>1703.1</v>
          </cell>
          <cell r="F25">
            <v>2266.3620000000001</v>
          </cell>
          <cell r="G25">
            <v>2201.0520000000001</v>
          </cell>
          <cell r="H25">
            <v>2389.0439999999999</v>
          </cell>
        </row>
        <row r="26">
          <cell r="B26">
            <v>2385.39</v>
          </cell>
          <cell r="C26">
            <v>2372.0340000000001</v>
          </cell>
          <cell r="D26">
            <v>923.74800000000005</v>
          </cell>
          <cell r="E26">
            <v>1742.748</v>
          </cell>
          <cell r="F26">
            <v>2124.654</v>
          </cell>
          <cell r="G26">
            <v>2242.5059999999999</v>
          </cell>
          <cell r="H26">
            <v>2432.6819999999998</v>
          </cell>
        </row>
        <row r="27">
          <cell r="B27">
            <v>2466.2399999999998</v>
          </cell>
          <cell r="C27">
            <v>2502.864</v>
          </cell>
          <cell r="D27">
            <v>1088.0940000000001</v>
          </cell>
          <cell r="E27">
            <v>1853.25</v>
          </cell>
          <cell r="F27">
            <v>2244.06</v>
          </cell>
          <cell r="G27">
            <v>2317.2660000000001</v>
          </cell>
          <cell r="H27">
            <v>2503.1579999999999</v>
          </cell>
        </row>
        <row r="28">
          <cell r="B28">
            <v>2545.0320000000002</v>
          </cell>
          <cell r="C28">
            <v>2505.384</v>
          </cell>
          <cell r="D28">
            <v>1108.002</v>
          </cell>
          <cell r="E28">
            <v>1868.7059999999999</v>
          </cell>
          <cell r="F28">
            <v>2191.6860000000001</v>
          </cell>
          <cell r="G28">
            <v>2374.4699999999998</v>
          </cell>
          <cell r="H28">
            <v>2485.14</v>
          </cell>
        </row>
        <row r="29">
          <cell r="B29">
            <v>2338.35</v>
          </cell>
          <cell r="C29">
            <v>2266.3620000000001</v>
          </cell>
          <cell r="D29">
            <v>1007.37</v>
          </cell>
          <cell r="E29">
            <v>1708.14</v>
          </cell>
          <cell r="F29">
            <v>2017.5119999999999</v>
          </cell>
          <cell r="G29">
            <v>2204.58</v>
          </cell>
          <cell r="H29">
            <v>2254.098</v>
          </cell>
        </row>
        <row r="30">
          <cell r="B30">
            <v>2201.5140000000001</v>
          </cell>
          <cell r="C30">
            <v>2152.71</v>
          </cell>
          <cell r="D30">
            <v>1069.278</v>
          </cell>
          <cell r="E30">
            <v>1720.068</v>
          </cell>
          <cell r="F30">
            <v>2041.326</v>
          </cell>
          <cell r="G30">
            <v>2098.404</v>
          </cell>
          <cell r="H30">
            <v>2294.5439999999999</v>
          </cell>
        </row>
        <row r="31">
          <cell r="B31">
            <v>2228.52</v>
          </cell>
          <cell r="C31">
            <v>2310.1680000000001</v>
          </cell>
          <cell r="D31">
            <v>1337.742</v>
          </cell>
          <cell r="E31">
            <v>1793.694</v>
          </cell>
          <cell r="F31">
            <v>2090.0880000000002</v>
          </cell>
          <cell r="G31">
            <v>2141.7060000000001</v>
          </cell>
          <cell r="H31">
            <v>2295.09</v>
          </cell>
        </row>
        <row r="32">
          <cell r="B32">
            <v>2416.134</v>
          </cell>
          <cell r="C32">
            <v>2460.8220000000001</v>
          </cell>
          <cell r="D32">
            <v>1465.002</v>
          </cell>
          <cell r="E32">
            <v>1968.7919999999999</v>
          </cell>
          <cell r="F32">
            <v>2033.0940000000001</v>
          </cell>
          <cell r="G32">
            <v>2380.14</v>
          </cell>
          <cell r="H32">
            <v>2395.5120000000002</v>
          </cell>
        </row>
        <row r="85">
          <cell r="B85">
            <v>1790.922</v>
          </cell>
          <cell r="C85">
            <v>1728.636</v>
          </cell>
          <cell r="D85">
            <v>1832.6279999999999</v>
          </cell>
          <cell r="E85">
            <v>1788.8219999999999</v>
          </cell>
          <cell r="F85">
            <v>1620.4860000000001</v>
          </cell>
          <cell r="G85">
            <v>1506.288</v>
          </cell>
          <cell r="H85">
            <v>1745.856</v>
          </cell>
          <cell r="I85">
            <v>2110.9776292187503</v>
          </cell>
        </row>
        <row r="86">
          <cell r="B86">
            <v>1808.2260000000001</v>
          </cell>
          <cell r="C86">
            <v>1764.798</v>
          </cell>
          <cell r="D86">
            <v>1790.502</v>
          </cell>
          <cell r="E86">
            <v>1679.874</v>
          </cell>
          <cell r="F86">
            <v>1674.0360000000001</v>
          </cell>
          <cell r="G86">
            <v>1576.008</v>
          </cell>
          <cell r="H86">
            <v>1673.9939999999999</v>
          </cell>
          <cell r="I86">
            <v>2253.8350346347715</v>
          </cell>
        </row>
        <row r="87">
          <cell r="B87">
            <v>1694.5319999999999</v>
          </cell>
          <cell r="C87">
            <v>1749.1320000000001</v>
          </cell>
          <cell r="D87">
            <v>1674.6659999999999</v>
          </cell>
          <cell r="E87">
            <v>1642.998</v>
          </cell>
          <cell r="F87">
            <v>1495.4939999999999</v>
          </cell>
          <cell r="G87">
            <v>1585.4580000000001</v>
          </cell>
          <cell r="H87">
            <v>1771.14</v>
          </cell>
        </row>
        <row r="88">
          <cell r="B88">
            <v>1729.98</v>
          </cell>
          <cell r="C88">
            <v>1716.5820000000001</v>
          </cell>
          <cell r="D88">
            <v>1679.7059999999999</v>
          </cell>
          <cell r="E88">
            <v>1702.3440000000001</v>
          </cell>
          <cell r="F88">
            <v>1583.778</v>
          </cell>
          <cell r="G88">
            <v>1729.14</v>
          </cell>
          <cell r="H88">
            <v>1746.0239999999999</v>
          </cell>
        </row>
        <row r="89">
          <cell r="B89">
            <v>1748.5440000000001</v>
          </cell>
          <cell r="C89">
            <v>1650.306</v>
          </cell>
          <cell r="D89">
            <v>1694.91</v>
          </cell>
          <cell r="E89">
            <v>1824.606</v>
          </cell>
          <cell r="F89">
            <v>1736.364</v>
          </cell>
          <cell r="G89">
            <v>1784.748</v>
          </cell>
          <cell r="H89">
            <v>1778.1959999999999</v>
          </cell>
        </row>
        <row r="90">
          <cell r="B90">
            <v>1717.548</v>
          </cell>
          <cell r="C90">
            <v>1702.9739999999999</v>
          </cell>
          <cell r="D90">
            <v>1747.662</v>
          </cell>
          <cell r="E90">
            <v>1878.66</v>
          </cell>
          <cell r="F90">
            <v>1653.7919999999999</v>
          </cell>
          <cell r="G90">
            <v>1795.29</v>
          </cell>
          <cell r="H90">
            <v>1900.71</v>
          </cell>
        </row>
        <row r="91">
          <cell r="B91">
            <v>1721.412</v>
          </cell>
          <cell r="C91">
            <v>1807.2180000000001</v>
          </cell>
          <cell r="D91">
            <v>1721.7059999999999</v>
          </cell>
          <cell r="E91">
            <v>1840.3979999999999</v>
          </cell>
          <cell r="F91">
            <v>1731.66</v>
          </cell>
          <cell r="G91">
            <v>1792.8119999999999</v>
          </cell>
          <cell r="H91">
            <v>1906.548</v>
          </cell>
        </row>
        <row r="92">
          <cell r="B92">
            <v>1754.6759999999999</v>
          </cell>
          <cell r="C92">
            <v>1812.3</v>
          </cell>
          <cell r="D92">
            <v>1683.78</v>
          </cell>
          <cell r="E92">
            <v>1784.0340000000001</v>
          </cell>
          <cell r="F92">
            <v>1613.1780000000001</v>
          </cell>
          <cell r="G92">
            <v>1790.3340000000001</v>
          </cell>
          <cell r="H92">
            <v>1933.848</v>
          </cell>
        </row>
        <row r="93">
          <cell r="B93">
            <v>1965.0540000000001</v>
          </cell>
          <cell r="C93">
            <v>1861.902</v>
          </cell>
          <cell r="D93">
            <v>1685.67</v>
          </cell>
          <cell r="E93">
            <v>1763.4960000000001</v>
          </cell>
          <cell r="F93">
            <v>1533.84</v>
          </cell>
          <cell r="G93">
            <v>1826.076</v>
          </cell>
          <cell r="H93">
            <v>1917.048</v>
          </cell>
        </row>
        <row r="94">
          <cell r="B94">
            <v>1776.18</v>
          </cell>
          <cell r="C94">
            <v>1670.8440000000001</v>
          </cell>
          <cell r="D94">
            <v>1580.712</v>
          </cell>
          <cell r="E94">
            <v>1694.8679999999999</v>
          </cell>
          <cell r="F94">
            <v>1531.32</v>
          </cell>
          <cell r="G94">
            <v>1660.47</v>
          </cell>
          <cell r="H94">
            <v>1832.2080000000001</v>
          </cell>
        </row>
        <row r="95">
          <cell r="B95">
            <v>1651.23</v>
          </cell>
          <cell r="C95">
            <v>1706.124</v>
          </cell>
          <cell r="D95">
            <v>1581.846</v>
          </cell>
          <cell r="E95">
            <v>1544.5920000000001</v>
          </cell>
          <cell r="F95">
            <v>1588.104</v>
          </cell>
          <cell r="G95">
            <v>1634.136</v>
          </cell>
          <cell r="H95">
            <v>1837.8779999999999</v>
          </cell>
        </row>
        <row r="96">
          <cell r="B96">
            <v>1746.57</v>
          </cell>
          <cell r="C96">
            <v>1699.614</v>
          </cell>
          <cell r="D96">
            <v>1622.3340000000001</v>
          </cell>
          <cell r="E96">
            <v>1503.5160000000001</v>
          </cell>
          <cell r="F96">
            <v>1471.6379999999999</v>
          </cell>
          <cell r="G96">
            <v>1670.0039999999999</v>
          </cell>
          <cell r="H96">
            <v>1843.086</v>
          </cell>
        </row>
      </sheetData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ph Dashboard"/>
      <sheetName val="Global Capacity Data"/>
      <sheetName val="NAm"/>
      <sheetName val="NAm Capacity Data"/>
      <sheetName val="SAm"/>
      <sheetName val="SAm Capacity Data"/>
      <sheetName val="Europe"/>
      <sheetName val="Europe Capacity Data"/>
      <sheetName val="Asia"/>
      <sheetName val="Asia Capacity Data"/>
      <sheetName val="MEA"/>
      <sheetName val="MEA Capacity Data"/>
      <sheetName val="Capacity by Region"/>
      <sheetName val="HEFA by Region"/>
      <sheetName val="AtJ by Region"/>
      <sheetName val="Non-HEFA or AtJ by Region"/>
    </sheetNames>
    <sheetDataSet>
      <sheetData sheetId="0"/>
      <sheetData sheetId="1"/>
      <sheetData sheetId="2"/>
      <sheetData sheetId="3"/>
      <sheetData sheetId="4"/>
      <sheetData sheetId="5">
        <row r="13">
          <cell r="G13">
            <v>117.60000000000001</v>
          </cell>
          <cell r="H13">
            <v>167.10000000000002</v>
          </cell>
          <cell r="I13">
            <v>258.60000000000002</v>
          </cell>
          <cell r="J13">
            <v>326.05200000000002</v>
          </cell>
          <cell r="K13">
            <v>351.077</v>
          </cell>
          <cell r="L13">
            <v>397.41149999999999</v>
          </cell>
          <cell r="M13">
            <v>397.41149999999999</v>
          </cell>
          <cell r="N13">
            <v>397.41149999999999</v>
          </cell>
          <cell r="O13">
            <v>397.41149999999999</v>
          </cell>
          <cell r="P13">
            <v>397.41149999999999</v>
          </cell>
          <cell r="Q13">
            <v>397.41149999999999</v>
          </cell>
          <cell r="R13">
            <v>397.41149999999999</v>
          </cell>
          <cell r="S13">
            <v>397.41149999999999</v>
          </cell>
          <cell r="T13">
            <v>397.41149999999999</v>
          </cell>
          <cell r="U13">
            <v>397.41149999999999</v>
          </cell>
          <cell r="V13">
            <v>397.41149999999999</v>
          </cell>
          <cell r="W13">
            <v>397.41149999999999</v>
          </cell>
          <cell r="X13">
            <v>397.41149999999999</v>
          </cell>
          <cell r="Y13">
            <v>397.41149999999999</v>
          </cell>
          <cell r="Z13">
            <v>397.41149999999999</v>
          </cell>
          <cell r="AA13">
            <v>397.41149999999999</v>
          </cell>
          <cell r="AB13">
            <v>397.41149999999999</v>
          </cell>
          <cell r="AC13">
            <v>397.41149999999999</v>
          </cell>
          <cell r="AD13">
            <v>397.41149999999999</v>
          </cell>
          <cell r="AE13">
            <v>397.41149999999999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ources"/>
      <sheetName val="Capacity"/>
      <sheetName val="annual_data"/>
      <sheetName val="monthly_data"/>
      <sheetName val="BD"/>
      <sheetName val="RD"/>
      <sheetName val="SAF"/>
      <sheetName val="Jet Fuel"/>
      <sheetName val="Dies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2015</v>
          </cell>
          <cell r="C2">
            <v>2016</v>
          </cell>
          <cell r="D2">
            <v>2017</v>
          </cell>
          <cell r="E2">
            <v>2018</v>
          </cell>
          <cell r="F2">
            <v>2019</v>
          </cell>
          <cell r="G2">
            <v>2020</v>
          </cell>
          <cell r="H2">
            <v>2021</v>
          </cell>
          <cell r="I2">
            <v>2022</v>
          </cell>
          <cell r="J2">
            <v>2023</v>
          </cell>
          <cell r="K2">
            <v>2024</v>
          </cell>
          <cell r="L2">
            <v>2025</v>
          </cell>
          <cell r="M2">
            <v>2026</v>
          </cell>
          <cell r="N2">
            <v>2027</v>
          </cell>
          <cell r="O2">
            <v>2028</v>
          </cell>
          <cell r="P2">
            <v>2029</v>
          </cell>
          <cell r="Q2">
            <v>2030</v>
          </cell>
          <cell r="R2">
            <v>2031</v>
          </cell>
          <cell r="S2">
            <v>2032</v>
          </cell>
          <cell r="T2">
            <v>2033</v>
          </cell>
          <cell r="U2">
            <v>2034</v>
          </cell>
          <cell r="V2">
            <v>2035</v>
          </cell>
          <cell r="W2">
            <v>2036</v>
          </cell>
          <cell r="X2">
            <v>2037</v>
          </cell>
          <cell r="Y2">
            <v>2038</v>
          </cell>
          <cell r="Z2">
            <v>2039</v>
          </cell>
          <cell r="AA2">
            <v>2040</v>
          </cell>
          <cell r="AB2">
            <v>2041</v>
          </cell>
          <cell r="AC2">
            <v>2042</v>
          </cell>
          <cell r="AD2">
            <v>2043</v>
          </cell>
          <cell r="AE2">
            <v>2044</v>
          </cell>
          <cell r="AF2">
            <v>2045</v>
          </cell>
          <cell r="AG2">
            <v>2046</v>
          </cell>
          <cell r="AH2">
            <v>2047</v>
          </cell>
          <cell r="AI2">
            <v>2048</v>
          </cell>
          <cell r="AJ2">
            <v>2049</v>
          </cell>
          <cell r="AK2">
            <v>2050</v>
          </cell>
        </row>
        <row r="15">
          <cell r="B15">
            <v>11.913982770123758</v>
          </cell>
          <cell r="C15">
            <v>12.001268210683357</v>
          </cell>
          <cell r="D15">
            <v>11.013071079219003</v>
          </cell>
          <cell r="E15">
            <v>10.629843217456557</v>
          </cell>
          <cell r="F15">
            <v>7.707035257683148</v>
          </cell>
          <cell r="G15">
            <v>10.623064846880142</v>
          </cell>
          <cell r="H15">
            <v>12.138857140049385</v>
          </cell>
          <cell r="I15">
            <v>8.4504087451754941</v>
          </cell>
          <cell r="J15">
            <v>6.4042282265358113</v>
          </cell>
          <cell r="K15">
            <v>5.8067307294783088</v>
          </cell>
        </row>
        <row r="16">
          <cell r="L16">
            <v>5.7574940430996513</v>
          </cell>
          <cell r="M16">
            <v>5.6658031824373074</v>
          </cell>
          <cell r="N16">
            <v>5.6930789787384279</v>
          </cell>
          <cell r="O16">
            <v>5.4148395320163543</v>
          </cell>
          <cell r="P16">
            <v>5.4720097834856078</v>
          </cell>
          <cell r="Q16">
            <v>5.3919238556299298</v>
          </cell>
          <cell r="R16">
            <v>5.2348775297377959</v>
          </cell>
          <cell r="S16">
            <v>5.0824053686774731</v>
          </cell>
          <cell r="T16">
            <v>5.0069384699992181</v>
          </cell>
          <cell r="U16">
            <v>4.931556112282899</v>
          </cell>
          <cell r="V16">
            <v>4.7879185556144606</v>
          </cell>
          <cell r="W16">
            <v>4.7148712544885827</v>
          </cell>
          <cell r="X16">
            <v>4.6420173707531491</v>
          </cell>
          <cell r="Y16">
            <v>4.5694076060542086</v>
          </cell>
          <cell r="Z16">
            <v>4.4970895444608496</v>
          </cell>
          <cell r="AA16">
            <v>4.4251077910596166</v>
          </cell>
          <cell r="AB16">
            <v>4.3535041051201429</v>
          </cell>
          <cell r="AC16">
            <v>4.2823175280307977</v>
          </cell>
          <cell r="AD16">
            <v>4.2115845061959654</v>
          </cell>
          <cell r="AE16">
            <v>4.1413390090799265</v>
          </cell>
          <cell r="AF16">
            <v>4.0716126425758148</v>
          </cell>
          <cell r="AG16">
            <v>4.0024347578718578</v>
          </cell>
          <cell r="AH16">
            <v>3.9338325559809695</v>
          </cell>
          <cell r="AI16">
            <v>3.8658311880940115</v>
          </cell>
          <cell r="AJ16">
            <v>3.7984538519113054</v>
          </cell>
          <cell r="AK16">
            <v>3.7317218841014874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br/anp/pt-br/centrais-de-conteudo/dados-abertos/vendas-de-derivados-de-petroleo-e-biocombustiveis" TargetMode="External"/><Relationship Id="rId2" Type="http://schemas.openxmlformats.org/officeDocument/2006/relationships/hyperlink" Target="https://www.gov.br/anp/pt-br/centrais-de-conteudo/paineis-dinamicos-da-anp/paineis-e-mapa-dinamicos-de-produtores-de-combustiveis-e-derivados/painel-dinamico-de-produtores-de-biodiesel" TargetMode="External"/><Relationship Id="rId1" Type="http://schemas.openxmlformats.org/officeDocument/2006/relationships/hyperlink" Target="https://www.gov.br/anp/pt-br/centrais-de-conteudo/dados-abertos/producao-de-biocombustiveis" TargetMode="External"/><Relationship Id="rId6" Type="http://schemas.openxmlformats.org/officeDocument/2006/relationships/hyperlink" Target="https://www.gov.br/anp/pt-br/assuntos/distribuicao-e-revenda/comercializacao-de-biodiesel" TargetMode="External"/><Relationship Id="rId5" Type="http://schemas.openxmlformats.org/officeDocument/2006/relationships/hyperlink" Target="https://www.gov.br/anp/pt-br/assuntos/distribuicao-e-revenda/leiloes-biodiesel/dados-de-aquisicoes-por-distribuidores" TargetMode="External"/><Relationship Id="rId4" Type="http://schemas.openxmlformats.org/officeDocument/2006/relationships/hyperlink" Target="https://www.gov.br/anp/pt-br/centrais-de-conteudo/dados-estatistico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47D4-BF9E-4E6B-98A4-123DB50513D6}">
  <dimension ref="A2:F21"/>
  <sheetViews>
    <sheetView tabSelected="1" workbookViewId="0">
      <selection activeCell="B1" sqref="B1:D1048576"/>
    </sheetView>
  </sheetViews>
  <sheetFormatPr defaultColWidth="9.140625" defaultRowHeight="15" x14ac:dyDescent="0.25"/>
  <cols>
    <col min="1" max="1" width="47.5703125" style="5" bestFit="1" customWidth="1"/>
    <col min="2" max="2" width="32" style="5" customWidth="1"/>
    <col min="3" max="3" width="22.140625" style="5" bestFit="1" customWidth="1"/>
    <col min="4" max="16384" width="9.140625" style="5"/>
  </cols>
  <sheetData>
    <row r="2" spans="1:6" s="4" customFormat="1" ht="39" customHeight="1" x14ac:dyDescent="0.25">
      <c r="A2" s="1" t="s">
        <v>0</v>
      </c>
      <c r="B2" s="2" t="s">
        <v>1</v>
      </c>
      <c r="C2" s="3" t="s">
        <v>2</v>
      </c>
      <c r="D2" s="3"/>
      <c r="E2" s="3"/>
      <c r="F2" s="3"/>
    </row>
    <row r="3" spans="1:6" x14ac:dyDescent="0.25">
      <c r="A3" s="5" t="s">
        <v>3</v>
      </c>
      <c r="B3" s="6" t="s">
        <v>4</v>
      </c>
    </row>
    <row r="4" spans="1:6" x14ac:dyDescent="0.25">
      <c r="A4" s="5" t="s">
        <v>5</v>
      </c>
      <c r="B4" s="7" t="s">
        <v>6</v>
      </c>
    </row>
    <row r="5" spans="1:6" x14ac:dyDescent="0.25">
      <c r="A5" s="5" t="s">
        <v>7</v>
      </c>
      <c r="B5" s="6" t="s">
        <v>8</v>
      </c>
    </row>
    <row r="6" spans="1:6" x14ac:dyDescent="0.25">
      <c r="A6" s="5" t="s">
        <v>9</v>
      </c>
      <c r="B6" s="7" t="s">
        <v>10</v>
      </c>
    </row>
    <row r="7" spans="1:6" x14ac:dyDescent="0.25">
      <c r="A7" s="5" t="s">
        <v>11</v>
      </c>
      <c r="B7" s="7" t="s">
        <v>12</v>
      </c>
    </row>
    <row r="8" spans="1:6" x14ac:dyDescent="0.25">
      <c r="A8" s="5" t="s">
        <v>13</v>
      </c>
      <c r="B8" s="7" t="s">
        <v>14</v>
      </c>
    </row>
    <row r="9" spans="1:6" x14ac:dyDescent="0.25">
      <c r="B9" s="7"/>
    </row>
    <row r="14" spans="1:6" x14ac:dyDescent="0.25">
      <c r="A14" s="5" t="s">
        <v>15</v>
      </c>
      <c r="B14" s="5" t="s">
        <v>16</v>
      </c>
      <c r="C14" s="5" t="s">
        <v>17</v>
      </c>
      <c r="D14" s="5" t="s">
        <v>18</v>
      </c>
    </row>
    <row r="15" spans="1:6" x14ac:dyDescent="0.25">
      <c r="A15" s="5" t="s">
        <v>19</v>
      </c>
      <c r="B15" s="5" t="s">
        <v>20</v>
      </c>
      <c r="C15" s="5" t="s">
        <v>21</v>
      </c>
      <c r="D15" s="5" t="s">
        <v>22</v>
      </c>
    </row>
    <row r="16" spans="1:6" x14ac:dyDescent="0.25">
      <c r="B16" s="5" t="s">
        <v>23</v>
      </c>
      <c r="C16" s="5" t="s">
        <v>24</v>
      </c>
      <c r="D16" s="5" t="s">
        <v>25</v>
      </c>
    </row>
    <row r="17" spans="2:4" x14ac:dyDescent="0.25">
      <c r="B17" s="5" t="s">
        <v>26</v>
      </c>
      <c r="C17" s="5" t="s">
        <v>27</v>
      </c>
      <c r="D17" s="5" t="s">
        <v>28</v>
      </c>
    </row>
    <row r="18" spans="2:4" x14ac:dyDescent="0.25">
      <c r="B18" s="5" t="s">
        <v>29</v>
      </c>
      <c r="C18" s="5" t="s">
        <v>30</v>
      </c>
      <c r="D18" s="5" t="s">
        <v>31</v>
      </c>
    </row>
    <row r="19" spans="2:4" x14ac:dyDescent="0.25">
      <c r="B19" s="5" t="s">
        <v>32</v>
      </c>
      <c r="C19" s="5" t="s">
        <v>33</v>
      </c>
      <c r="D19" s="5" t="s">
        <v>34</v>
      </c>
    </row>
    <row r="21" spans="2:4" x14ac:dyDescent="0.25">
      <c r="C21" s="5">
        <f>250000000/1175.36</f>
        <v>212700.7895453308</v>
      </c>
      <c r="D21" s="5">
        <f>280000000/1250</f>
        <v>224000</v>
      </c>
    </row>
  </sheetData>
  <mergeCells count="1">
    <mergeCell ref="C2:F2"/>
  </mergeCells>
  <hyperlinks>
    <hyperlink ref="B4" r:id="rId1" xr:uid="{74876666-A0BC-421C-9DC2-3A317CD811B4}"/>
    <hyperlink ref="B5" r:id="rId2" xr:uid="{6BD379DC-03DE-4F81-AB05-665AA9C1388A}"/>
    <hyperlink ref="B3" r:id="rId3" xr:uid="{206F1B26-54D9-401D-80D0-0347AB346E0E}"/>
    <hyperlink ref="B7" r:id="rId4" display="https://www.gov.br/anp/pt-br/centrais-de-conteudo/dados-estatisticos" xr:uid="{93ABD734-3143-4A15-AC92-C0CA326BF10A}"/>
    <hyperlink ref="B6" r:id="rId5" display="https://www.gov.br/anp/pt-br/assuntos/distribuicao-e-revenda/leiloes-biodiesel/dados-de-aquisicoes-por-distribuidores" xr:uid="{084CC1BE-A250-4F0B-A1F8-E7948793A504}"/>
    <hyperlink ref="B8" r:id="rId6" display="https://www.gov.br/anp/pt-br/assuntos/distribuicao-e-revenda/comercializacao-de-biodiesel" xr:uid="{16321407-5E72-4102-8EAF-CF131E3DDE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1197-2B64-4291-A8B4-D2E7CCF8B252}">
  <dimension ref="A1:AM105"/>
  <sheetViews>
    <sheetView zoomScale="115" zoomScaleNormal="115" zoomScaleSheetLayoutView="84" workbookViewId="0">
      <pane xSplit="1" ySplit="3" topLeftCell="D4" activePane="bottomRight" state="frozen"/>
      <selection activeCell="B1" sqref="B1:D1048576"/>
      <selection pane="topRight" activeCell="B1" sqref="B1:D1048576"/>
      <selection pane="bottomLeft" activeCell="B1" sqref="B1:D1048576"/>
      <selection pane="bottomRight" activeCell="B1" sqref="B1:D1048576"/>
    </sheetView>
  </sheetViews>
  <sheetFormatPr defaultRowHeight="15" x14ac:dyDescent="0.25"/>
  <cols>
    <col min="1" max="1" width="7.5703125" style="14" bestFit="1" customWidth="1"/>
    <col min="2" max="2" width="7.85546875" style="5" customWidth="1"/>
    <col min="3" max="19" width="9.140625" style="5"/>
    <col min="20" max="20" width="11.42578125" style="5" bestFit="1" customWidth="1"/>
    <col min="21" max="16384" width="9.140625" style="5"/>
  </cols>
  <sheetData>
    <row r="1" spans="1:39" s="10" customFormat="1" x14ac:dyDescent="0.25">
      <c r="A1" s="8"/>
      <c r="B1" s="9"/>
    </row>
    <row r="2" spans="1:39" s="10" customFormat="1" x14ac:dyDescent="0.25">
      <c r="A2" s="8"/>
      <c r="B2" s="9"/>
      <c r="C2" t="s">
        <v>35</v>
      </c>
    </row>
    <row r="3" spans="1:39" s="10" customFormat="1" x14ac:dyDescent="0.25">
      <c r="A3" s="8"/>
      <c r="B3" s="9"/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</row>
    <row r="4" spans="1:39" x14ac:dyDescent="0.25">
      <c r="A4" s="11">
        <v>43101</v>
      </c>
      <c r="B4" s="12">
        <v>2018</v>
      </c>
      <c r="C4">
        <v>1103</v>
      </c>
      <c r="D4">
        <v>301</v>
      </c>
      <c r="E4">
        <v>3345</v>
      </c>
      <c r="F4">
        <v>3977</v>
      </c>
      <c r="G4">
        <v>1000</v>
      </c>
      <c r="H4">
        <v>422</v>
      </c>
      <c r="I4"/>
      <c r="J4">
        <v>1983</v>
      </c>
      <c r="K4"/>
      <c r="L4">
        <v>616</v>
      </c>
      <c r="M4">
        <v>6033</v>
      </c>
      <c r="N4">
        <v>90</v>
      </c>
      <c r="O4">
        <v>510</v>
      </c>
      <c r="P4">
        <v>1521</v>
      </c>
      <c r="Q4">
        <v>881</v>
      </c>
      <c r="R4"/>
      <c r="S4">
        <v>21782</v>
      </c>
      <c r="T4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 spans="1:39" x14ac:dyDescent="0.25">
      <c r="A5" s="11">
        <v>43132</v>
      </c>
      <c r="B5" s="12">
        <v>2018</v>
      </c>
      <c r="C5">
        <v>1103</v>
      </c>
      <c r="D5">
        <v>301</v>
      </c>
      <c r="E5">
        <v>3345</v>
      </c>
      <c r="F5">
        <v>3977</v>
      </c>
      <c r="G5">
        <v>1000</v>
      </c>
      <c r="H5">
        <v>422</v>
      </c>
      <c r="I5"/>
      <c r="J5">
        <v>1983</v>
      </c>
      <c r="K5"/>
      <c r="L5">
        <v>616</v>
      </c>
      <c r="M5">
        <v>6033</v>
      </c>
      <c r="N5">
        <v>90</v>
      </c>
      <c r="O5">
        <v>510</v>
      </c>
      <c r="P5">
        <v>1521</v>
      </c>
      <c r="Q5">
        <v>881</v>
      </c>
      <c r="R5"/>
      <c r="S5">
        <v>21782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</row>
    <row r="6" spans="1:39" x14ac:dyDescent="0.25">
      <c r="A6" s="11">
        <v>43160</v>
      </c>
      <c r="B6" s="12">
        <v>2018</v>
      </c>
      <c r="C6">
        <v>1103</v>
      </c>
      <c r="D6">
        <v>301</v>
      </c>
      <c r="E6">
        <v>3345</v>
      </c>
      <c r="F6">
        <v>3977</v>
      </c>
      <c r="G6">
        <v>1000</v>
      </c>
      <c r="H6">
        <v>422</v>
      </c>
      <c r="I6"/>
      <c r="J6">
        <v>1983</v>
      </c>
      <c r="K6"/>
      <c r="L6">
        <v>616</v>
      </c>
      <c r="M6">
        <v>6033</v>
      </c>
      <c r="N6">
        <v>90</v>
      </c>
      <c r="O6">
        <v>510</v>
      </c>
      <c r="P6">
        <v>1521</v>
      </c>
      <c r="Q6">
        <v>881</v>
      </c>
      <c r="R6"/>
      <c r="S6">
        <v>21782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</row>
    <row r="7" spans="1:39" x14ac:dyDescent="0.25">
      <c r="A7" s="11">
        <v>43191</v>
      </c>
      <c r="B7" s="12">
        <v>2018</v>
      </c>
      <c r="C7">
        <v>1103</v>
      </c>
      <c r="D7">
        <v>301</v>
      </c>
      <c r="E7">
        <v>3345</v>
      </c>
      <c r="F7">
        <v>4577</v>
      </c>
      <c r="G7">
        <v>1000</v>
      </c>
      <c r="H7">
        <v>422</v>
      </c>
      <c r="I7"/>
      <c r="J7">
        <v>1983</v>
      </c>
      <c r="K7"/>
      <c r="L7">
        <v>616</v>
      </c>
      <c r="M7">
        <v>6033</v>
      </c>
      <c r="N7">
        <v>90</v>
      </c>
      <c r="O7">
        <v>510</v>
      </c>
      <c r="P7">
        <v>1521</v>
      </c>
      <c r="Q7">
        <v>881</v>
      </c>
      <c r="R7"/>
      <c r="S7">
        <v>22382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</row>
    <row r="8" spans="1:39" x14ac:dyDescent="0.25">
      <c r="A8" s="11">
        <v>43221</v>
      </c>
      <c r="B8" s="12">
        <v>2018</v>
      </c>
      <c r="C8">
        <v>1103</v>
      </c>
      <c r="D8">
        <v>301</v>
      </c>
      <c r="E8">
        <v>3345</v>
      </c>
      <c r="F8">
        <v>4661</v>
      </c>
      <c r="G8">
        <v>1000</v>
      </c>
      <c r="H8">
        <v>422</v>
      </c>
      <c r="I8"/>
      <c r="J8">
        <v>1983</v>
      </c>
      <c r="K8"/>
      <c r="L8">
        <v>616</v>
      </c>
      <c r="M8">
        <v>6283</v>
      </c>
      <c r="N8">
        <v>90</v>
      </c>
      <c r="O8">
        <v>510</v>
      </c>
      <c r="P8">
        <v>1521</v>
      </c>
      <c r="Q8">
        <v>881</v>
      </c>
      <c r="R8"/>
      <c r="S8">
        <v>22716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</row>
    <row r="9" spans="1:39" x14ac:dyDescent="0.25">
      <c r="A9" s="11">
        <v>43252</v>
      </c>
      <c r="B9" s="12">
        <v>2018</v>
      </c>
      <c r="C9">
        <v>1103</v>
      </c>
      <c r="D9">
        <v>301</v>
      </c>
      <c r="E9">
        <v>3345</v>
      </c>
      <c r="F9">
        <v>4661</v>
      </c>
      <c r="G9">
        <v>1000</v>
      </c>
      <c r="H9">
        <v>422</v>
      </c>
      <c r="I9"/>
      <c r="J9">
        <v>1983</v>
      </c>
      <c r="K9"/>
      <c r="L9">
        <v>616</v>
      </c>
      <c r="M9">
        <v>6283</v>
      </c>
      <c r="N9">
        <v>90</v>
      </c>
      <c r="O9">
        <v>510</v>
      </c>
      <c r="P9">
        <v>1521</v>
      </c>
      <c r="Q9">
        <v>881</v>
      </c>
      <c r="R9"/>
      <c r="S9">
        <v>22716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</row>
    <row r="10" spans="1:39" x14ac:dyDescent="0.25">
      <c r="A10" s="11">
        <v>43282</v>
      </c>
      <c r="B10" s="12">
        <v>2018</v>
      </c>
      <c r="C10">
        <v>1103</v>
      </c>
      <c r="D10">
        <v>301</v>
      </c>
      <c r="E10">
        <v>3345</v>
      </c>
      <c r="F10">
        <v>4661</v>
      </c>
      <c r="G10">
        <v>1000</v>
      </c>
      <c r="H10">
        <v>422</v>
      </c>
      <c r="I10"/>
      <c r="J10">
        <v>1983</v>
      </c>
      <c r="K10"/>
      <c r="L10">
        <v>616</v>
      </c>
      <c r="M10">
        <v>6283</v>
      </c>
      <c r="N10">
        <v>90</v>
      </c>
      <c r="O10">
        <v>510</v>
      </c>
      <c r="P10">
        <v>1721</v>
      </c>
      <c r="Q10">
        <v>881</v>
      </c>
      <c r="R10"/>
      <c r="S10">
        <v>22916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</row>
    <row r="11" spans="1:39" x14ac:dyDescent="0.25">
      <c r="A11" s="11">
        <v>43313</v>
      </c>
      <c r="B11" s="12">
        <v>2018</v>
      </c>
      <c r="C11">
        <v>1103</v>
      </c>
      <c r="D11">
        <v>301</v>
      </c>
      <c r="E11">
        <v>3345</v>
      </c>
      <c r="F11">
        <v>4911</v>
      </c>
      <c r="G11">
        <v>1000</v>
      </c>
      <c r="H11">
        <v>422</v>
      </c>
      <c r="I11"/>
      <c r="J11">
        <v>1983</v>
      </c>
      <c r="K11"/>
      <c r="L11">
        <v>616</v>
      </c>
      <c r="M11">
        <v>6283</v>
      </c>
      <c r="N11">
        <v>90</v>
      </c>
      <c r="O11">
        <v>510</v>
      </c>
      <c r="P11">
        <v>1721</v>
      </c>
      <c r="Q11">
        <v>881</v>
      </c>
      <c r="R11"/>
      <c r="S11">
        <v>23166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</row>
    <row r="12" spans="1:39" x14ac:dyDescent="0.25">
      <c r="A12" s="11">
        <v>43344</v>
      </c>
      <c r="B12" s="12">
        <v>2018</v>
      </c>
      <c r="C12">
        <v>1403</v>
      </c>
      <c r="D12">
        <v>301</v>
      </c>
      <c r="E12">
        <v>3345</v>
      </c>
      <c r="F12">
        <v>4911</v>
      </c>
      <c r="G12">
        <v>1000</v>
      </c>
      <c r="H12">
        <v>422</v>
      </c>
      <c r="I12"/>
      <c r="J12">
        <v>1983</v>
      </c>
      <c r="K12"/>
      <c r="L12">
        <v>616</v>
      </c>
      <c r="M12">
        <v>6283</v>
      </c>
      <c r="N12">
        <v>90</v>
      </c>
      <c r="O12">
        <v>510</v>
      </c>
      <c r="P12">
        <v>1721</v>
      </c>
      <c r="Q12">
        <v>881</v>
      </c>
      <c r="R12"/>
      <c r="S12">
        <v>23466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</row>
    <row r="13" spans="1:39" x14ac:dyDescent="0.25">
      <c r="A13" s="11">
        <v>43374</v>
      </c>
      <c r="B13" s="12">
        <v>2018</v>
      </c>
      <c r="C13">
        <v>1403</v>
      </c>
      <c r="D13">
        <v>301</v>
      </c>
      <c r="E13">
        <v>3345</v>
      </c>
      <c r="F13">
        <v>4911</v>
      </c>
      <c r="G13">
        <v>1000</v>
      </c>
      <c r="H13">
        <v>422</v>
      </c>
      <c r="I13"/>
      <c r="J13">
        <v>1983</v>
      </c>
      <c r="K13"/>
      <c r="L13">
        <v>616</v>
      </c>
      <c r="M13">
        <v>6283</v>
      </c>
      <c r="N13">
        <v>90</v>
      </c>
      <c r="O13">
        <v>510</v>
      </c>
      <c r="P13">
        <v>1721</v>
      </c>
      <c r="Q13">
        <v>881</v>
      </c>
      <c r="R13"/>
      <c r="S13">
        <v>23466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</row>
    <row r="14" spans="1:39" x14ac:dyDescent="0.25">
      <c r="A14" s="11">
        <v>43405</v>
      </c>
      <c r="B14" s="12">
        <v>2018</v>
      </c>
      <c r="C14">
        <v>1403</v>
      </c>
      <c r="D14">
        <v>301</v>
      </c>
      <c r="E14">
        <v>3345</v>
      </c>
      <c r="F14">
        <v>4911</v>
      </c>
      <c r="G14">
        <v>1000</v>
      </c>
      <c r="H14">
        <v>422</v>
      </c>
      <c r="I14"/>
      <c r="J14">
        <v>1983</v>
      </c>
      <c r="K14"/>
      <c r="L14">
        <v>616</v>
      </c>
      <c r="M14">
        <v>6283</v>
      </c>
      <c r="N14">
        <v>90</v>
      </c>
      <c r="O14">
        <v>510</v>
      </c>
      <c r="P14">
        <v>1721</v>
      </c>
      <c r="Q14">
        <v>881</v>
      </c>
      <c r="R14"/>
      <c r="S14">
        <v>23466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</row>
    <row r="15" spans="1:39" x14ac:dyDescent="0.25">
      <c r="A15" s="11">
        <v>43435</v>
      </c>
      <c r="B15" s="12">
        <v>2018</v>
      </c>
      <c r="C15">
        <v>1403</v>
      </c>
      <c r="D15">
        <v>301</v>
      </c>
      <c r="E15">
        <v>3345</v>
      </c>
      <c r="F15">
        <v>4911</v>
      </c>
      <c r="G15">
        <v>1000</v>
      </c>
      <c r="H15">
        <v>422</v>
      </c>
      <c r="I15"/>
      <c r="J15">
        <v>1983</v>
      </c>
      <c r="K15"/>
      <c r="L15">
        <v>616</v>
      </c>
      <c r="M15">
        <v>6533</v>
      </c>
      <c r="N15">
        <v>90</v>
      </c>
      <c r="O15">
        <v>510</v>
      </c>
      <c r="P15">
        <v>1721</v>
      </c>
      <c r="Q15">
        <v>881</v>
      </c>
      <c r="R15"/>
      <c r="S15">
        <v>23716</v>
      </c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</row>
    <row r="16" spans="1:39" x14ac:dyDescent="0.25">
      <c r="A16" s="11">
        <v>43466</v>
      </c>
      <c r="B16" s="12">
        <v>2019</v>
      </c>
      <c r="C16">
        <v>1403</v>
      </c>
      <c r="D16">
        <v>301</v>
      </c>
      <c r="E16">
        <v>3345</v>
      </c>
      <c r="F16">
        <v>4911</v>
      </c>
      <c r="G16">
        <v>1000</v>
      </c>
      <c r="H16">
        <v>422</v>
      </c>
      <c r="I16"/>
      <c r="J16">
        <v>1983</v>
      </c>
      <c r="K16"/>
      <c r="L16">
        <v>616</v>
      </c>
      <c r="M16">
        <v>6533</v>
      </c>
      <c r="N16">
        <v>90</v>
      </c>
      <c r="O16">
        <v>510</v>
      </c>
      <c r="P16">
        <v>1721</v>
      </c>
      <c r="Q16">
        <v>881</v>
      </c>
      <c r="R16"/>
      <c r="S16">
        <v>23716</v>
      </c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</row>
    <row r="17" spans="1:39" x14ac:dyDescent="0.25">
      <c r="A17" s="11">
        <v>43497</v>
      </c>
      <c r="B17" s="12">
        <v>2019</v>
      </c>
      <c r="C17">
        <v>1403</v>
      </c>
      <c r="D17">
        <v>301</v>
      </c>
      <c r="E17">
        <v>3345</v>
      </c>
      <c r="F17">
        <v>4911</v>
      </c>
      <c r="G17">
        <v>1000</v>
      </c>
      <c r="H17">
        <v>422</v>
      </c>
      <c r="I17"/>
      <c r="J17">
        <v>1983</v>
      </c>
      <c r="K17"/>
      <c r="L17">
        <v>616</v>
      </c>
      <c r="M17">
        <v>6533</v>
      </c>
      <c r="N17">
        <v>90</v>
      </c>
      <c r="O17">
        <v>510</v>
      </c>
      <c r="P17">
        <v>1721</v>
      </c>
      <c r="Q17">
        <v>881</v>
      </c>
      <c r="R17"/>
      <c r="S17">
        <v>23716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</row>
    <row r="18" spans="1:39" x14ac:dyDescent="0.25">
      <c r="A18" s="11">
        <v>43525</v>
      </c>
      <c r="B18" s="12">
        <v>2019</v>
      </c>
      <c r="C18">
        <v>1403</v>
      </c>
      <c r="D18">
        <v>301</v>
      </c>
      <c r="E18">
        <v>3500</v>
      </c>
      <c r="F18">
        <v>4911</v>
      </c>
      <c r="G18">
        <v>1000</v>
      </c>
      <c r="H18">
        <v>422</v>
      </c>
      <c r="I18"/>
      <c r="J18">
        <v>1983</v>
      </c>
      <c r="K18"/>
      <c r="L18">
        <v>616</v>
      </c>
      <c r="M18">
        <v>6533</v>
      </c>
      <c r="N18">
        <v>90</v>
      </c>
      <c r="O18">
        <v>510</v>
      </c>
      <c r="P18">
        <v>1721</v>
      </c>
      <c r="Q18">
        <v>881</v>
      </c>
      <c r="R18"/>
      <c r="S18">
        <v>23871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</row>
    <row r="19" spans="1:39" x14ac:dyDescent="0.25">
      <c r="A19" s="11">
        <v>43556</v>
      </c>
      <c r="B19" s="12">
        <v>2019</v>
      </c>
      <c r="C19">
        <v>1403</v>
      </c>
      <c r="D19">
        <v>301</v>
      </c>
      <c r="E19">
        <v>3500</v>
      </c>
      <c r="F19">
        <v>4911</v>
      </c>
      <c r="G19">
        <v>1000</v>
      </c>
      <c r="H19">
        <v>422</v>
      </c>
      <c r="I19"/>
      <c r="J19">
        <v>1983</v>
      </c>
      <c r="K19"/>
      <c r="L19">
        <v>616</v>
      </c>
      <c r="M19">
        <v>6533</v>
      </c>
      <c r="N19">
        <v>90</v>
      </c>
      <c r="O19">
        <v>510</v>
      </c>
      <c r="P19">
        <v>1321</v>
      </c>
      <c r="Q19">
        <v>881</v>
      </c>
      <c r="R19"/>
      <c r="S19">
        <v>23471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</row>
    <row r="20" spans="1:39" x14ac:dyDescent="0.25">
      <c r="A20" s="11">
        <v>43586</v>
      </c>
      <c r="B20" s="12">
        <v>2019</v>
      </c>
      <c r="C20">
        <v>1403</v>
      </c>
      <c r="D20">
        <v>301</v>
      </c>
      <c r="E20">
        <v>3500</v>
      </c>
      <c r="F20">
        <v>4911</v>
      </c>
      <c r="G20">
        <v>1000</v>
      </c>
      <c r="H20">
        <v>422</v>
      </c>
      <c r="I20"/>
      <c r="J20">
        <v>1983</v>
      </c>
      <c r="K20"/>
      <c r="L20">
        <v>616</v>
      </c>
      <c r="M20">
        <v>6533</v>
      </c>
      <c r="N20">
        <v>90</v>
      </c>
      <c r="O20">
        <v>510</v>
      </c>
      <c r="P20">
        <v>1321</v>
      </c>
      <c r="Q20">
        <v>881</v>
      </c>
      <c r="R20"/>
      <c r="S20">
        <v>23471</v>
      </c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spans="1:39" x14ac:dyDescent="0.25">
      <c r="A21" s="11">
        <v>43617</v>
      </c>
      <c r="B21" s="12">
        <v>2019</v>
      </c>
      <c r="C21">
        <v>1403</v>
      </c>
      <c r="D21">
        <v>301</v>
      </c>
      <c r="E21">
        <v>3500</v>
      </c>
      <c r="F21">
        <v>4911</v>
      </c>
      <c r="G21">
        <v>1000</v>
      </c>
      <c r="H21">
        <v>422</v>
      </c>
      <c r="I21"/>
      <c r="J21">
        <v>1863</v>
      </c>
      <c r="K21"/>
      <c r="L21">
        <v>616</v>
      </c>
      <c r="M21">
        <v>6533</v>
      </c>
      <c r="N21">
        <v>90</v>
      </c>
      <c r="O21">
        <v>510</v>
      </c>
      <c r="P21">
        <v>1321</v>
      </c>
      <c r="Q21">
        <v>881</v>
      </c>
      <c r="R21"/>
      <c r="S21">
        <v>23351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</row>
    <row r="22" spans="1:39" x14ac:dyDescent="0.25">
      <c r="A22" s="11">
        <v>43647</v>
      </c>
      <c r="B22" s="12">
        <v>2019</v>
      </c>
      <c r="C22">
        <v>1403</v>
      </c>
      <c r="D22">
        <v>301</v>
      </c>
      <c r="E22">
        <v>3500</v>
      </c>
      <c r="F22">
        <v>4911</v>
      </c>
      <c r="G22">
        <v>1300</v>
      </c>
      <c r="H22">
        <v>422</v>
      </c>
      <c r="I22"/>
      <c r="J22">
        <v>2213</v>
      </c>
      <c r="K22"/>
      <c r="L22">
        <v>616</v>
      </c>
      <c r="M22">
        <v>6733</v>
      </c>
      <c r="N22">
        <v>90</v>
      </c>
      <c r="O22">
        <v>510</v>
      </c>
      <c r="P22">
        <v>1321</v>
      </c>
      <c r="Q22">
        <v>881</v>
      </c>
      <c r="R22"/>
      <c r="S22">
        <v>24201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spans="1:39" x14ac:dyDescent="0.25">
      <c r="A23" s="11">
        <v>43678</v>
      </c>
      <c r="B23" s="12">
        <v>2019</v>
      </c>
      <c r="C23">
        <v>1403</v>
      </c>
      <c r="D23">
        <v>301</v>
      </c>
      <c r="E23">
        <v>3500</v>
      </c>
      <c r="F23">
        <v>4911</v>
      </c>
      <c r="G23">
        <v>1300</v>
      </c>
      <c r="H23">
        <v>422</v>
      </c>
      <c r="I23"/>
      <c r="J23">
        <v>2213</v>
      </c>
      <c r="K23"/>
      <c r="L23">
        <v>616</v>
      </c>
      <c r="M23">
        <v>6733</v>
      </c>
      <c r="N23">
        <v>90</v>
      </c>
      <c r="O23">
        <v>510</v>
      </c>
      <c r="P23">
        <v>1321</v>
      </c>
      <c r="Q23">
        <v>881</v>
      </c>
      <c r="R23"/>
      <c r="S23">
        <v>24201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</row>
    <row r="24" spans="1:39" x14ac:dyDescent="0.25">
      <c r="A24" s="11">
        <v>43709</v>
      </c>
      <c r="B24" s="12">
        <v>2019</v>
      </c>
      <c r="C24">
        <v>1403</v>
      </c>
      <c r="D24">
        <v>301</v>
      </c>
      <c r="E24">
        <v>3500</v>
      </c>
      <c r="F24">
        <v>5993</v>
      </c>
      <c r="G24">
        <v>1300</v>
      </c>
      <c r="H24">
        <v>422</v>
      </c>
      <c r="I24"/>
      <c r="J24">
        <v>2213</v>
      </c>
      <c r="K24"/>
      <c r="L24">
        <v>616</v>
      </c>
      <c r="M24">
        <v>6733</v>
      </c>
      <c r="N24">
        <v>90</v>
      </c>
      <c r="O24">
        <v>510</v>
      </c>
      <c r="P24">
        <v>1321</v>
      </c>
      <c r="Q24">
        <v>881</v>
      </c>
      <c r="R24"/>
      <c r="S24">
        <v>25283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</row>
    <row r="25" spans="1:39" x14ac:dyDescent="0.25">
      <c r="A25" s="11">
        <v>43739</v>
      </c>
      <c r="B25" s="12">
        <v>2019</v>
      </c>
      <c r="C25">
        <v>1403</v>
      </c>
      <c r="D25">
        <v>301</v>
      </c>
      <c r="E25">
        <v>3500</v>
      </c>
      <c r="F25">
        <v>5993</v>
      </c>
      <c r="G25">
        <v>1300</v>
      </c>
      <c r="H25">
        <v>422</v>
      </c>
      <c r="I25"/>
      <c r="J25">
        <v>2213</v>
      </c>
      <c r="K25">
        <v>250</v>
      </c>
      <c r="L25">
        <v>616</v>
      </c>
      <c r="M25">
        <v>6733</v>
      </c>
      <c r="N25">
        <v>90</v>
      </c>
      <c r="O25">
        <v>510</v>
      </c>
      <c r="P25">
        <v>1321</v>
      </c>
      <c r="Q25">
        <v>881</v>
      </c>
      <c r="R25"/>
      <c r="S25">
        <v>25533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</row>
    <row r="26" spans="1:39" x14ac:dyDescent="0.25">
      <c r="A26" s="11">
        <v>43770</v>
      </c>
      <c r="B26" s="12">
        <v>2019</v>
      </c>
      <c r="C26">
        <v>1645</v>
      </c>
      <c r="D26">
        <v>301</v>
      </c>
      <c r="E26">
        <v>3500</v>
      </c>
      <c r="F26">
        <v>5993</v>
      </c>
      <c r="G26">
        <v>1300</v>
      </c>
      <c r="H26">
        <v>463</v>
      </c>
      <c r="I26"/>
      <c r="J26">
        <v>2213</v>
      </c>
      <c r="K26">
        <v>250</v>
      </c>
      <c r="L26">
        <v>616</v>
      </c>
      <c r="M26">
        <v>6733</v>
      </c>
      <c r="N26">
        <v>90</v>
      </c>
      <c r="O26">
        <v>510</v>
      </c>
      <c r="P26">
        <v>1321</v>
      </c>
      <c r="Q26">
        <v>881</v>
      </c>
      <c r="R26"/>
      <c r="S26">
        <v>25816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</row>
    <row r="27" spans="1:39" x14ac:dyDescent="0.25">
      <c r="A27" s="11">
        <v>43800</v>
      </c>
      <c r="B27" s="12">
        <v>2019</v>
      </c>
      <c r="C27">
        <v>1645</v>
      </c>
      <c r="D27">
        <v>50</v>
      </c>
      <c r="E27">
        <v>3500</v>
      </c>
      <c r="F27">
        <v>5693</v>
      </c>
      <c r="G27">
        <v>1300</v>
      </c>
      <c r="H27">
        <v>463</v>
      </c>
      <c r="I27"/>
      <c r="J27">
        <v>2213</v>
      </c>
      <c r="K27">
        <v>250</v>
      </c>
      <c r="L27">
        <v>616</v>
      </c>
      <c r="M27">
        <v>6733</v>
      </c>
      <c r="N27">
        <v>90</v>
      </c>
      <c r="O27">
        <v>510</v>
      </c>
      <c r="P27">
        <v>1321</v>
      </c>
      <c r="Q27">
        <v>881</v>
      </c>
      <c r="R27"/>
      <c r="S27">
        <v>25265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</row>
    <row r="28" spans="1:39" x14ac:dyDescent="0.25">
      <c r="A28" s="11">
        <v>43831</v>
      </c>
      <c r="B28" s="12">
        <v>2020</v>
      </c>
      <c r="C28">
        <v>1645</v>
      </c>
      <c r="D28">
        <v>50</v>
      </c>
      <c r="E28">
        <v>3500</v>
      </c>
      <c r="F28">
        <v>5993</v>
      </c>
      <c r="G28">
        <v>1300</v>
      </c>
      <c r="H28">
        <v>463</v>
      </c>
      <c r="I28"/>
      <c r="J28">
        <v>2213</v>
      </c>
      <c r="K28">
        <v>250</v>
      </c>
      <c r="L28">
        <v>616</v>
      </c>
      <c r="M28">
        <v>7083</v>
      </c>
      <c r="N28">
        <v>90</v>
      </c>
      <c r="O28">
        <v>510</v>
      </c>
      <c r="P28">
        <v>1321</v>
      </c>
      <c r="Q28">
        <v>881</v>
      </c>
      <c r="R28"/>
      <c r="S28">
        <v>25915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</row>
    <row r="29" spans="1:39" x14ac:dyDescent="0.25">
      <c r="A29" s="11">
        <v>43862</v>
      </c>
      <c r="B29" s="12">
        <v>2020</v>
      </c>
      <c r="C29">
        <v>1645</v>
      </c>
      <c r="D29">
        <v>50</v>
      </c>
      <c r="E29">
        <v>3500</v>
      </c>
      <c r="F29">
        <v>5993</v>
      </c>
      <c r="G29">
        <v>1300</v>
      </c>
      <c r="H29">
        <v>463</v>
      </c>
      <c r="I29"/>
      <c r="J29">
        <v>2213</v>
      </c>
      <c r="K29">
        <v>250</v>
      </c>
      <c r="L29">
        <v>616</v>
      </c>
      <c r="M29">
        <v>7083</v>
      </c>
      <c r="N29">
        <v>90</v>
      </c>
      <c r="O29">
        <v>510</v>
      </c>
      <c r="P29">
        <v>1321</v>
      </c>
      <c r="Q29">
        <v>881</v>
      </c>
      <c r="R29"/>
      <c r="S29">
        <v>25915</v>
      </c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</row>
    <row r="30" spans="1:39" x14ac:dyDescent="0.25">
      <c r="A30" s="11">
        <v>43891</v>
      </c>
      <c r="B30" s="12">
        <v>2020</v>
      </c>
      <c r="C30">
        <v>1645</v>
      </c>
      <c r="D30">
        <v>50</v>
      </c>
      <c r="E30">
        <v>3500</v>
      </c>
      <c r="F30">
        <v>6173</v>
      </c>
      <c r="G30">
        <v>1300</v>
      </c>
      <c r="H30">
        <v>463</v>
      </c>
      <c r="I30"/>
      <c r="J30">
        <v>2277</v>
      </c>
      <c r="K30">
        <v>250</v>
      </c>
      <c r="L30">
        <v>616</v>
      </c>
      <c r="M30">
        <v>7433</v>
      </c>
      <c r="N30">
        <v>90</v>
      </c>
      <c r="O30">
        <v>510</v>
      </c>
      <c r="P30">
        <v>1321</v>
      </c>
      <c r="Q30">
        <v>881</v>
      </c>
      <c r="R30"/>
      <c r="S30">
        <v>26509</v>
      </c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</row>
    <row r="31" spans="1:39" x14ac:dyDescent="0.25">
      <c r="A31" s="11">
        <v>43922</v>
      </c>
      <c r="B31" s="12">
        <v>2020</v>
      </c>
      <c r="C31">
        <v>1645</v>
      </c>
      <c r="D31">
        <v>50</v>
      </c>
      <c r="E31">
        <v>3500</v>
      </c>
      <c r="F31">
        <v>6263</v>
      </c>
      <c r="G31">
        <v>1300</v>
      </c>
      <c r="H31">
        <v>463</v>
      </c>
      <c r="I31"/>
      <c r="J31">
        <v>2277</v>
      </c>
      <c r="K31">
        <v>250</v>
      </c>
      <c r="L31">
        <v>616</v>
      </c>
      <c r="M31">
        <v>7433</v>
      </c>
      <c r="N31">
        <v>90</v>
      </c>
      <c r="O31">
        <v>510</v>
      </c>
      <c r="P31">
        <v>1321</v>
      </c>
      <c r="Q31">
        <v>881</v>
      </c>
      <c r="R31"/>
      <c r="S31">
        <v>26599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</row>
    <row r="32" spans="1:39" x14ac:dyDescent="0.25">
      <c r="A32" s="11">
        <v>43952</v>
      </c>
      <c r="B32" s="12">
        <v>2020</v>
      </c>
      <c r="C32">
        <v>1645</v>
      </c>
      <c r="D32">
        <v>50</v>
      </c>
      <c r="E32">
        <v>3500</v>
      </c>
      <c r="F32">
        <v>6263</v>
      </c>
      <c r="G32">
        <v>1300</v>
      </c>
      <c r="H32">
        <v>463</v>
      </c>
      <c r="I32"/>
      <c r="J32">
        <v>2277</v>
      </c>
      <c r="K32">
        <v>250</v>
      </c>
      <c r="L32">
        <v>616</v>
      </c>
      <c r="M32">
        <v>8033</v>
      </c>
      <c r="N32">
        <v>90</v>
      </c>
      <c r="O32">
        <v>510</v>
      </c>
      <c r="P32">
        <v>1321</v>
      </c>
      <c r="Q32">
        <v>881</v>
      </c>
      <c r="R32"/>
      <c r="S32">
        <v>27199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spans="1:39" x14ac:dyDescent="0.25">
      <c r="A33" s="11">
        <v>43983</v>
      </c>
      <c r="B33" s="12">
        <v>2020</v>
      </c>
      <c r="C33">
        <v>1645</v>
      </c>
      <c r="D33">
        <v>50</v>
      </c>
      <c r="E33">
        <v>3500</v>
      </c>
      <c r="F33">
        <v>6263</v>
      </c>
      <c r="G33">
        <v>1300</v>
      </c>
      <c r="H33">
        <v>463</v>
      </c>
      <c r="I33"/>
      <c r="J33">
        <v>2277</v>
      </c>
      <c r="K33">
        <v>250</v>
      </c>
      <c r="L33">
        <v>616</v>
      </c>
      <c r="M33">
        <v>8033</v>
      </c>
      <c r="N33">
        <v>90</v>
      </c>
      <c r="O33">
        <v>510</v>
      </c>
      <c r="P33">
        <v>1321</v>
      </c>
      <c r="Q33">
        <v>881</v>
      </c>
      <c r="R33"/>
      <c r="S33">
        <v>27199</v>
      </c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</row>
    <row r="34" spans="1:39" x14ac:dyDescent="0.25">
      <c r="A34" s="11">
        <v>44013</v>
      </c>
      <c r="B34" s="12">
        <v>2020</v>
      </c>
      <c r="C34">
        <v>1645</v>
      </c>
      <c r="D34">
        <v>50</v>
      </c>
      <c r="E34">
        <v>3500</v>
      </c>
      <c r="F34">
        <v>6263</v>
      </c>
      <c r="G34">
        <v>1300</v>
      </c>
      <c r="H34">
        <v>463</v>
      </c>
      <c r="I34"/>
      <c r="J34">
        <v>2277</v>
      </c>
      <c r="K34">
        <v>250</v>
      </c>
      <c r="L34">
        <v>616</v>
      </c>
      <c r="M34">
        <v>8033</v>
      </c>
      <c r="N34">
        <v>90</v>
      </c>
      <c r="O34">
        <v>510</v>
      </c>
      <c r="P34">
        <v>1321</v>
      </c>
      <c r="Q34">
        <v>881</v>
      </c>
      <c r="R34"/>
      <c r="S34">
        <v>27199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 spans="1:39" x14ac:dyDescent="0.25">
      <c r="A35" s="11">
        <v>44044</v>
      </c>
      <c r="B35" s="12">
        <v>2020</v>
      </c>
      <c r="C35">
        <v>1645</v>
      </c>
      <c r="D35">
        <v>50</v>
      </c>
      <c r="E35">
        <v>3500</v>
      </c>
      <c r="F35">
        <v>6263</v>
      </c>
      <c r="G35">
        <v>1300</v>
      </c>
      <c r="H35">
        <v>463</v>
      </c>
      <c r="I35"/>
      <c r="J35">
        <v>2277</v>
      </c>
      <c r="K35">
        <v>250</v>
      </c>
      <c r="L35">
        <v>616</v>
      </c>
      <c r="M35">
        <v>8033</v>
      </c>
      <c r="N35">
        <v>90</v>
      </c>
      <c r="O35">
        <v>510</v>
      </c>
      <c r="P35">
        <v>1127</v>
      </c>
      <c r="Q35">
        <v>800</v>
      </c>
      <c r="R35"/>
      <c r="S35">
        <v>26924</v>
      </c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 spans="1:39" x14ac:dyDescent="0.25">
      <c r="A36" s="11">
        <v>44075</v>
      </c>
      <c r="B36" s="12">
        <v>2020</v>
      </c>
      <c r="C36">
        <v>1645</v>
      </c>
      <c r="D36">
        <v>50</v>
      </c>
      <c r="E36">
        <v>3500</v>
      </c>
      <c r="F36">
        <v>6263</v>
      </c>
      <c r="G36">
        <v>1300</v>
      </c>
      <c r="H36">
        <v>463</v>
      </c>
      <c r="I36"/>
      <c r="J36">
        <v>2277</v>
      </c>
      <c r="K36">
        <v>250</v>
      </c>
      <c r="L36">
        <v>616</v>
      </c>
      <c r="M36">
        <v>8033</v>
      </c>
      <c r="N36">
        <v>90</v>
      </c>
      <c r="O36">
        <v>510</v>
      </c>
      <c r="P36">
        <v>1127</v>
      </c>
      <c r="Q36">
        <v>800</v>
      </c>
      <c r="R36"/>
      <c r="S36">
        <v>26924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</row>
    <row r="37" spans="1:39" x14ac:dyDescent="0.25">
      <c r="A37" s="11">
        <v>44105</v>
      </c>
      <c r="B37" s="12">
        <v>2020</v>
      </c>
      <c r="C37">
        <v>1645</v>
      </c>
      <c r="D37">
        <v>50</v>
      </c>
      <c r="E37">
        <v>3500</v>
      </c>
      <c r="F37">
        <v>6263</v>
      </c>
      <c r="G37">
        <v>1300</v>
      </c>
      <c r="H37">
        <v>545</v>
      </c>
      <c r="I37"/>
      <c r="J37">
        <v>3650</v>
      </c>
      <c r="K37">
        <v>250</v>
      </c>
      <c r="L37">
        <v>616</v>
      </c>
      <c r="M37">
        <v>8033</v>
      </c>
      <c r="N37">
        <v>90</v>
      </c>
      <c r="O37">
        <v>510</v>
      </c>
      <c r="P37">
        <v>1127</v>
      </c>
      <c r="Q37">
        <v>800</v>
      </c>
      <c r="R37"/>
      <c r="S37">
        <v>28379</v>
      </c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</row>
    <row r="38" spans="1:39" x14ac:dyDescent="0.25">
      <c r="A38" s="11">
        <v>44136</v>
      </c>
      <c r="B38" s="12">
        <v>2020</v>
      </c>
      <c r="C38">
        <v>1645</v>
      </c>
      <c r="D38">
        <v>50</v>
      </c>
      <c r="E38">
        <v>3500</v>
      </c>
      <c r="F38">
        <v>6373</v>
      </c>
      <c r="G38">
        <v>1300</v>
      </c>
      <c r="H38">
        <v>545</v>
      </c>
      <c r="I38"/>
      <c r="J38">
        <v>3650</v>
      </c>
      <c r="K38">
        <v>250</v>
      </c>
      <c r="L38">
        <v>616</v>
      </c>
      <c r="M38">
        <v>8033</v>
      </c>
      <c r="N38">
        <v>90</v>
      </c>
      <c r="O38">
        <v>510</v>
      </c>
      <c r="P38">
        <v>1127</v>
      </c>
      <c r="Q38">
        <v>800</v>
      </c>
      <c r="R38"/>
      <c r="S38">
        <v>28489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</row>
    <row r="39" spans="1:39" x14ac:dyDescent="0.25">
      <c r="A39" s="11">
        <v>44166</v>
      </c>
      <c r="B39" s="12">
        <v>2020</v>
      </c>
      <c r="C39">
        <v>2145</v>
      </c>
      <c r="D39">
        <v>50</v>
      </c>
      <c r="E39">
        <v>3500</v>
      </c>
      <c r="F39">
        <v>6373</v>
      </c>
      <c r="G39">
        <v>1300</v>
      </c>
      <c r="H39">
        <v>545</v>
      </c>
      <c r="I39"/>
      <c r="J39">
        <v>3650</v>
      </c>
      <c r="K39">
        <v>250</v>
      </c>
      <c r="L39">
        <v>616</v>
      </c>
      <c r="M39">
        <v>8033</v>
      </c>
      <c r="N39">
        <v>90</v>
      </c>
      <c r="O39">
        <v>510</v>
      </c>
      <c r="P39">
        <v>1127</v>
      </c>
      <c r="Q39">
        <v>800</v>
      </c>
      <c r="R39"/>
      <c r="S39">
        <v>28989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</row>
    <row r="40" spans="1:39" x14ac:dyDescent="0.25">
      <c r="A40" s="11">
        <v>44197</v>
      </c>
      <c r="B40" s="12">
        <v>2021</v>
      </c>
      <c r="C40">
        <v>2145</v>
      </c>
      <c r="D40">
        <v>50</v>
      </c>
      <c r="E40">
        <v>3500</v>
      </c>
      <c r="F40">
        <v>6373</v>
      </c>
      <c r="G40">
        <v>1300</v>
      </c>
      <c r="H40">
        <v>545</v>
      </c>
      <c r="I40"/>
      <c r="J40">
        <v>3800</v>
      </c>
      <c r="K40">
        <v>250</v>
      </c>
      <c r="L40">
        <v>616</v>
      </c>
      <c r="M40">
        <v>8033</v>
      </c>
      <c r="N40">
        <v>90</v>
      </c>
      <c r="O40">
        <v>510</v>
      </c>
      <c r="P40">
        <v>1127</v>
      </c>
      <c r="Q40">
        <v>800</v>
      </c>
      <c r="R40"/>
      <c r="S40">
        <v>29139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</row>
    <row r="41" spans="1:39" x14ac:dyDescent="0.25">
      <c r="A41" s="11">
        <v>44228</v>
      </c>
      <c r="B41" s="12">
        <v>2021</v>
      </c>
      <c r="C41">
        <v>2145</v>
      </c>
      <c r="D41">
        <v>50</v>
      </c>
      <c r="E41">
        <v>5300</v>
      </c>
      <c r="F41">
        <v>6373</v>
      </c>
      <c r="G41">
        <v>1300</v>
      </c>
      <c r="H41">
        <v>545</v>
      </c>
      <c r="I41"/>
      <c r="J41">
        <v>3800</v>
      </c>
      <c r="K41">
        <v>250</v>
      </c>
      <c r="L41">
        <v>616</v>
      </c>
      <c r="M41">
        <v>8033</v>
      </c>
      <c r="N41">
        <v>90</v>
      </c>
      <c r="O41">
        <v>510</v>
      </c>
      <c r="P41">
        <v>1127</v>
      </c>
      <c r="Q41">
        <v>800</v>
      </c>
      <c r="R41"/>
      <c r="S41">
        <v>30939</v>
      </c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</row>
    <row r="42" spans="1:39" x14ac:dyDescent="0.25">
      <c r="A42" s="11">
        <v>44256</v>
      </c>
      <c r="B42" s="12">
        <v>2021</v>
      </c>
      <c r="C42">
        <v>2145</v>
      </c>
      <c r="D42">
        <v>50</v>
      </c>
      <c r="E42">
        <v>5300</v>
      </c>
      <c r="F42">
        <v>6373</v>
      </c>
      <c r="G42">
        <v>1300</v>
      </c>
      <c r="H42">
        <v>545</v>
      </c>
      <c r="I42"/>
      <c r="J42">
        <v>3800</v>
      </c>
      <c r="K42">
        <v>250</v>
      </c>
      <c r="L42">
        <v>616</v>
      </c>
      <c r="M42">
        <v>8183</v>
      </c>
      <c r="N42">
        <v>90</v>
      </c>
      <c r="O42">
        <v>510</v>
      </c>
      <c r="P42">
        <v>1127</v>
      </c>
      <c r="Q42">
        <v>800</v>
      </c>
      <c r="R42"/>
      <c r="S42">
        <v>31089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</row>
    <row r="43" spans="1:39" x14ac:dyDescent="0.25">
      <c r="A43" s="11">
        <v>44287</v>
      </c>
      <c r="B43" s="12">
        <v>2021</v>
      </c>
      <c r="C43">
        <v>2145</v>
      </c>
      <c r="D43">
        <v>50</v>
      </c>
      <c r="E43">
        <v>5300</v>
      </c>
      <c r="F43">
        <v>6373</v>
      </c>
      <c r="G43">
        <v>1300</v>
      </c>
      <c r="H43">
        <v>545</v>
      </c>
      <c r="I43"/>
      <c r="J43">
        <v>3800</v>
      </c>
      <c r="K43">
        <v>250</v>
      </c>
      <c r="L43">
        <v>616</v>
      </c>
      <c r="M43">
        <v>8183</v>
      </c>
      <c r="N43">
        <v>90</v>
      </c>
      <c r="O43">
        <v>510</v>
      </c>
      <c r="P43">
        <v>1127</v>
      </c>
      <c r="Q43">
        <v>800</v>
      </c>
      <c r="R43"/>
      <c r="S43">
        <v>31089</v>
      </c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</row>
    <row r="44" spans="1:39" x14ac:dyDescent="0.25">
      <c r="A44" s="11">
        <v>44317</v>
      </c>
      <c r="B44" s="12">
        <v>2021</v>
      </c>
      <c r="C44">
        <v>2145</v>
      </c>
      <c r="D44">
        <v>50</v>
      </c>
      <c r="E44">
        <v>5300</v>
      </c>
      <c r="F44">
        <v>6373</v>
      </c>
      <c r="G44">
        <v>1300</v>
      </c>
      <c r="H44">
        <v>545</v>
      </c>
      <c r="I44"/>
      <c r="J44">
        <v>3800</v>
      </c>
      <c r="K44">
        <v>250</v>
      </c>
      <c r="L44">
        <v>616</v>
      </c>
      <c r="M44">
        <v>8183</v>
      </c>
      <c r="N44">
        <v>90</v>
      </c>
      <c r="O44">
        <v>510</v>
      </c>
      <c r="P44">
        <v>1127</v>
      </c>
      <c r="Q44">
        <v>800</v>
      </c>
      <c r="R44"/>
      <c r="S44">
        <v>31089</v>
      </c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</row>
    <row r="45" spans="1:39" x14ac:dyDescent="0.25">
      <c r="A45" s="11">
        <v>44348</v>
      </c>
      <c r="B45" s="12">
        <v>2021</v>
      </c>
      <c r="C45">
        <v>2145</v>
      </c>
      <c r="D45">
        <v>50</v>
      </c>
      <c r="E45">
        <v>5300</v>
      </c>
      <c r="F45">
        <v>6373</v>
      </c>
      <c r="G45">
        <v>1300</v>
      </c>
      <c r="H45">
        <v>545</v>
      </c>
      <c r="I45"/>
      <c r="J45">
        <v>3800</v>
      </c>
      <c r="K45">
        <v>250</v>
      </c>
      <c r="L45">
        <v>616</v>
      </c>
      <c r="M45">
        <v>8183</v>
      </c>
      <c r="N45">
        <v>90</v>
      </c>
      <c r="O45">
        <v>510</v>
      </c>
      <c r="P45">
        <v>1127</v>
      </c>
      <c r="Q45">
        <v>800</v>
      </c>
      <c r="R45"/>
      <c r="S45">
        <v>31089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</row>
    <row r="46" spans="1:39" x14ac:dyDescent="0.25">
      <c r="A46" s="11">
        <v>44378</v>
      </c>
      <c r="B46" s="12">
        <v>2021</v>
      </c>
      <c r="C46">
        <v>2145</v>
      </c>
      <c r="D46">
        <v>50</v>
      </c>
      <c r="E46">
        <v>5300</v>
      </c>
      <c r="F46">
        <v>6523</v>
      </c>
      <c r="G46">
        <v>1300</v>
      </c>
      <c r="H46">
        <v>545</v>
      </c>
      <c r="I46"/>
      <c r="J46">
        <v>3800</v>
      </c>
      <c r="K46">
        <v>250</v>
      </c>
      <c r="L46">
        <v>616</v>
      </c>
      <c r="M46">
        <v>8183</v>
      </c>
      <c r="N46">
        <v>90</v>
      </c>
      <c r="O46">
        <v>510</v>
      </c>
      <c r="P46">
        <v>1127</v>
      </c>
      <c r="Q46">
        <v>800</v>
      </c>
      <c r="R46"/>
      <c r="S46">
        <v>31239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 spans="1:39" x14ac:dyDescent="0.25">
      <c r="A47" s="11">
        <v>44409</v>
      </c>
      <c r="B47" s="12">
        <v>2021</v>
      </c>
      <c r="C47">
        <v>2145</v>
      </c>
      <c r="D47">
        <v>50</v>
      </c>
      <c r="E47">
        <v>5300</v>
      </c>
      <c r="F47">
        <v>6593</v>
      </c>
      <c r="G47">
        <v>1300</v>
      </c>
      <c r="H47">
        <v>545</v>
      </c>
      <c r="I47"/>
      <c r="J47">
        <v>3800</v>
      </c>
      <c r="K47">
        <v>250</v>
      </c>
      <c r="L47">
        <v>616</v>
      </c>
      <c r="M47">
        <v>8183</v>
      </c>
      <c r="N47">
        <v>90</v>
      </c>
      <c r="O47">
        <v>510</v>
      </c>
      <c r="P47">
        <v>1127</v>
      </c>
      <c r="Q47">
        <v>800</v>
      </c>
      <c r="R47"/>
      <c r="S47">
        <v>31309</v>
      </c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spans="1:39" x14ac:dyDescent="0.25">
      <c r="A48" s="11">
        <v>44440</v>
      </c>
      <c r="B48" s="12">
        <v>2021</v>
      </c>
      <c r="C48">
        <v>3145</v>
      </c>
      <c r="D48">
        <v>50</v>
      </c>
      <c r="E48">
        <v>5300</v>
      </c>
      <c r="F48">
        <v>6593</v>
      </c>
      <c r="G48">
        <v>1300</v>
      </c>
      <c r="H48">
        <v>545</v>
      </c>
      <c r="I48"/>
      <c r="J48">
        <v>3800</v>
      </c>
      <c r="K48">
        <v>250</v>
      </c>
      <c r="L48">
        <v>616</v>
      </c>
      <c r="M48">
        <v>8183</v>
      </c>
      <c r="N48">
        <v>90</v>
      </c>
      <c r="O48">
        <v>510</v>
      </c>
      <c r="P48">
        <v>1127</v>
      </c>
      <c r="Q48">
        <v>800</v>
      </c>
      <c r="R48"/>
      <c r="S48">
        <v>32309</v>
      </c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</row>
    <row r="49" spans="1:39" x14ac:dyDescent="0.25">
      <c r="A49" s="11">
        <v>44470</v>
      </c>
      <c r="B49" s="12">
        <v>2021</v>
      </c>
      <c r="C49">
        <v>3145</v>
      </c>
      <c r="D49">
        <v>50</v>
      </c>
      <c r="E49">
        <v>5900</v>
      </c>
      <c r="F49">
        <v>6593</v>
      </c>
      <c r="G49">
        <v>1300</v>
      </c>
      <c r="H49">
        <v>545</v>
      </c>
      <c r="I49"/>
      <c r="J49">
        <v>3800</v>
      </c>
      <c r="K49">
        <v>250</v>
      </c>
      <c r="L49">
        <v>616</v>
      </c>
      <c r="M49">
        <v>8183</v>
      </c>
      <c r="N49">
        <v>90</v>
      </c>
      <c r="O49">
        <v>510</v>
      </c>
      <c r="P49">
        <v>1127</v>
      </c>
      <c r="Q49">
        <v>800</v>
      </c>
      <c r="R49"/>
      <c r="S49">
        <v>32909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</row>
    <row r="50" spans="1:39" x14ac:dyDescent="0.25">
      <c r="A50" s="11">
        <v>44501</v>
      </c>
      <c r="B50" s="12">
        <v>2021</v>
      </c>
      <c r="C50">
        <v>3145</v>
      </c>
      <c r="D50">
        <v>50</v>
      </c>
      <c r="E50">
        <v>5995</v>
      </c>
      <c r="F50">
        <v>6593</v>
      </c>
      <c r="G50">
        <v>1300</v>
      </c>
      <c r="H50">
        <v>545</v>
      </c>
      <c r="I50"/>
      <c r="J50">
        <v>3800</v>
      </c>
      <c r="K50">
        <v>250</v>
      </c>
      <c r="L50">
        <v>616</v>
      </c>
      <c r="M50">
        <v>8183</v>
      </c>
      <c r="N50">
        <v>90</v>
      </c>
      <c r="O50">
        <v>1535</v>
      </c>
      <c r="P50">
        <v>1127</v>
      </c>
      <c r="Q50">
        <v>800</v>
      </c>
      <c r="R50"/>
      <c r="S50">
        <v>34029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</row>
    <row r="51" spans="1:39" x14ac:dyDescent="0.25">
      <c r="A51" s="11">
        <v>44531</v>
      </c>
      <c r="B51" s="12">
        <v>2021</v>
      </c>
      <c r="C51">
        <v>3145</v>
      </c>
      <c r="D51">
        <v>50</v>
      </c>
      <c r="E51">
        <v>5995</v>
      </c>
      <c r="F51">
        <v>6495</v>
      </c>
      <c r="G51">
        <v>1300</v>
      </c>
      <c r="H51">
        <v>545</v>
      </c>
      <c r="I51"/>
      <c r="J51">
        <v>3800</v>
      </c>
      <c r="K51">
        <v>250</v>
      </c>
      <c r="L51">
        <v>616</v>
      </c>
      <c r="M51">
        <v>8183</v>
      </c>
      <c r="N51">
        <v>90</v>
      </c>
      <c r="O51">
        <v>1535</v>
      </c>
      <c r="P51">
        <v>1127</v>
      </c>
      <c r="Q51">
        <v>800</v>
      </c>
      <c r="R51"/>
      <c r="S51">
        <v>33931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</row>
    <row r="52" spans="1:39" x14ac:dyDescent="0.25">
      <c r="A52" s="11">
        <v>44562</v>
      </c>
      <c r="B52" s="12">
        <v>2022</v>
      </c>
      <c r="C52">
        <v>3145</v>
      </c>
      <c r="D52">
        <v>50</v>
      </c>
      <c r="E52">
        <v>5995</v>
      </c>
      <c r="F52">
        <v>6495</v>
      </c>
      <c r="G52">
        <v>1300</v>
      </c>
      <c r="H52">
        <v>545</v>
      </c>
      <c r="I52"/>
      <c r="J52">
        <v>3800</v>
      </c>
      <c r="K52">
        <v>250</v>
      </c>
      <c r="L52">
        <v>616</v>
      </c>
      <c r="M52">
        <v>8183</v>
      </c>
      <c r="N52">
        <v>90</v>
      </c>
      <c r="O52">
        <v>1535</v>
      </c>
      <c r="P52">
        <v>1127</v>
      </c>
      <c r="Q52">
        <v>800</v>
      </c>
      <c r="R52"/>
      <c r="S52">
        <v>33931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</row>
    <row r="53" spans="1:39" x14ac:dyDescent="0.25">
      <c r="A53" s="11">
        <v>44593</v>
      </c>
      <c r="B53" s="12">
        <v>2022</v>
      </c>
      <c r="C53">
        <v>3145</v>
      </c>
      <c r="D53">
        <v>50</v>
      </c>
      <c r="E53">
        <v>5995</v>
      </c>
      <c r="F53">
        <v>6495</v>
      </c>
      <c r="G53">
        <v>1565</v>
      </c>
      <c r="H53">
        <v>545</v>
      </c>
      <c r="I53"/>
      <c r="J53">
        <v>3800</v>
      </c>
      <c r="K53">
        <v>250</v>
      </c>
      <c r="L53">
        <v>616</v>
      </c>
      <c r="M53">
        <v>8183</v>
      </c>
      <c r="N53">
        <v>90</v>
      </c>
      <c r="O53">
        <v>1535</v>
      </c>
      <c r="P53">
        <v>1127</v>
      </c>
      <c r="Q53">
        <v>800</v>
      </c>
      <c r="R53"/>
      <c r="S53">
        <v>34196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</row>
    <row r="54" spans="1:39" x14ac:dyDescent="0.25">
      <c r="A54" s="11">
        <v>44621</v>
      </c>
      <c r="B54" s="12">
        <v>2022</v>
      </c>
      <c r="C54">
        <v>3145</v>
      </c>
      <c r="D54">
        <v>50</v>
      </c>
      <c r="E54">
        <v>5995</v>
      </c>
      <c r="F54">
        <v>7175</v>
      </c>
      <c r="G54">
        <v>1565</v>
      </c>
      <c r="H54">
        <v>545</v>
      </c>
      <c r="I54">
        <v>800</v>
      </c>
      <c r="J54">
        <v>3800</v>
      </c>
      <c r="K54">
        <v>250</v>
      </c>
      <c r="L54">
        <v>616</v>
      </c>
      <c r="M54">
        <v>8183</v>
      </c>
      <c r="N54">
        <v>90</v>
      </c>
      <c r="O54">
        <v>1535</v>
      </c>
      <c r="P54">
        <v>1127</v>
      </c>
      <c r="Q54">
        <v>800</v>
      </c>
      <c r="R54"/>
      <c r="S54">
        <v>35676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</row>
    <row r="55" spans="1:39" x14ac:dyDescent="0.25">
      <c r="A55" s="11">
        <v>44652</v>
      </c>
      <c r="B55" s="12">
        <v>2022</v>
      </c>
      <c r="C55">
        <v>3145</v>
      </c>
      <c r="D55">
        <v>50</v>
      </c>
      <c r="E55">
        <v>5995</v>
      </c>
      <c r="F55">
        <v>7175</v>
      </c>
      <c r="G55">
        <v>1565</v>
      </c>
      <c r="H55">
        <v>545</v>
      </c>
      <c r="I55">
        <v>800</v>
      </c>
      <c r="J55">
        <v>3800</v>
      </c>
      <c r="K55">
        <v>250</v>
      </c>
      <c r="L55">
        <v>616</v>
      </c>
      <c r="M55">
        <v>8183</v>
      </c>
      <c r="N55">
        <v>90</v>
      </c>
      <c r="O55">
        <v>1535</v>
      </c>
      <c r="P55">
        <v>1127</v>
      </c>
      <c r="Q55">
        <v>800</v>
      </c>
      <c r="R55"/>
      <c r="S55">
        <v>35676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</row>
    <row r="56" spans="1:39" x14ac:dyDescent="0.25">
      <c r="A56" s="11">
        <v>44682</v>
      </c>
      <c r="B56" s="12">
        <v>2022</v>
      </c>
      <c r="C56">
        <v>3145</v>
      </c>
      <c r="D56">
        <v>50</v>
      </c>
      <c r="E56">
        <v>5995</v>
      </c>
      <c r="F56">
        <v>7175</v>
      </c>
      <c r="G56">
        <v>1565</v>
      </c>
      <c r="H56">
        <v>545</v>
      </c>
      <c r="I56">
        <v>800</v>
      </c>
      <c r="J56">
        <v>3800</v>
      </c>
      <c r="K56">
        <v>250</v>
      </c>
      <c r="L56">
        <v>616</v>
      </c>
      <c r="M56">
        <v>8183</v>
      </c>
      <c r="N56">
        <v>90</v>
      </c>
      <c r="O56">
        <v>1535</v>
      </c>
      <c r="P56">
        <v>1127</v>
      </c>
      <c r="Q56">
        <v>800</v>
      </c>
      <c r="R56"/>
      <c r="S56">
        <v>35676</v>
      </c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</row>
    <row r="57" spans="1:39" x14ac:dyDescent="0.25">
      <c r="A57" s="11">
        <v>44713</v>
      </c>
      <c r="B57" s="12">
        <v>2022</v>
      </c>
      <c r="C57">
        <v>3145</v>
      </c>
      <c r="D57">
        <v>50</v>
      </c>
      <c r="E57">
        <v>5995</v>
      </c>
      <c r="F57">
        <v>7175</v>
      </c>
      <c r="G57">
        <v>1565</v>
      </c>
      <c r="H57">
        <v>545</v>
      </c>
      <c r="I57">
        <v>1050</v>
      </c>
      <c r="J57">
        <v>3800</v>
      </c>
      <c r="K57">
        <v>250</v>
      </c>
      <c r="L57">
        <v>616</v>
      </c>
      <c r="M57">
        <v>8183</v>
      </c>
      <c r="N57">
        <v>690</v>
      </c>
      <c r="O57">
        <v>1535</v>
      </c>
      <c r="P57">
        <v>1127</v>
      </c>
      <c r="Q57">
        <v>800</v>
      </c>
      <c r="R57"/>
      <c r="S57">
        <v>36526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</row>
    <row r="58" spans="1:39" x14ac:dyDescent="0.25">
      <c r="A58" s="11">
        <v>44743</v>
      </c>
      <c r="B58" s="12">
        <v>2022</v>
      </c>
      <c r="C58">
        <v>3145</v>
      </c>
      <c r="D58">
        <v>50</v>
      </c>
      <c r="E58">
        <v>5995</v>
      </c>
      <c r="F58">
        <v>7125</v>
      </c>
      <c r="G58">
        <v>1565</v>
      </c>
      <c r="H58">
        <v>545</v>
      </c>
      <c r="I58">
        <v>1050</v>
      </c>
      <c r="J58">
        <v>4153</v>
      </c>
      <c r="K58">
        <v>250</v>
      </c>
      <c r="L58">
        <v>616</v>
      </c>
      <c r="M58">
        <v>8183</v>
      </c>
      <c r="N58">
        <v>690</v>
      </c>
      <c r="O58">
        <v>1535</v>
      </c>
      <c r="P58">
        <v>1127</v>
      </c>
      <c r="Q58">
        <v>800</v>
      </c>
      <c r="R58"/>
      <c r="S58">
        <v>36829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</row>
    <row r="59" spans="1:39" x14ac:dyDescent="0.25">
      <c r="A59" s="11">
        <v>44774</v>
      </c>
      <c r="B59" s="12">
        <v>2022</v>
      </c>
      <c r="C59">
        <v>3145</v>
      </c>
      <c r="D59">
        <v>50</v>
      </c>
      <c r="E59">
        <v>5995</v>
      </c>
      <c r="F59">
        <v>7125</v>
      </c>
      <c r="G59">
        <v>1565</v>
      </c>
      <c r="H59">
        <v>545</v>
      </c>
      <c r="I59">
        <v>1050</v>
      </c>
      <c r="J59">
        <v>4153</v>
      </c>
      <c r="K59">
        <v>250</v>
      </c>
      <c r="L59">
        <v>616</v>
      </c>
      <c r="M59">
        <v>8183</v>
      </c>
      <c r="N59">
        <v>690</v>
      </c>
      <c r="O59">
        <v>1535</v>
      </c>
      <c r="P59">
        <v>1127</v>
      </c>
      <c r="Q59">
        <v>800</v>
      </c>
      <c r="R59"/>
      <c r="S59">
        <v>36829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</row>
    <row r="60" spans="1:39" x14ac:dyDescent="0.25">
      <c r="A60" s="11">
        <v>44805</v>
      </c>
      <c r="B60" s="12">
        <v>2022</v>
      </c>
      <c r="C60">
        <v>3145</v>
      </c>
      <c r="D60">
        <v>50</v>
      </c>
      <c r="E60">
        <v>5995</v>
      </c>
      <c r="F60">
        <v>7125</v>
      </c>
      <c r="G60">
        <v>1565</v>
      </c>
      <c r="H60">
        <v>545</v>
      </c>
      <c r="I60">
        <v>1050</v>
      </c>
      <c r="J60">
        <v>4153</v>
      </c>
      <c r="K60">
        <v>250</v>
      </c>
      <c r="L60">
        <v>616</v>
      </c>
      <c r="M60">
        <v>8183</v>
      </c>
      <c r="N60">
        <v>690</v>
      </c>
      <c r="O60">
        <v>1535</v>
      </c>
      <c r="P60">
        <v>1127</v>
      </c>
      <c r="Q60">
        <v>800</v>
      </c>
      <c r="R60"/>
      <c r="S60">
        <v>36829</v>
      </c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</row>
    <row r="61" spans="1:39" x14ac:dyDescent="0.25">
      <c r="A61" s="11">
        <v>44835</v>
      </c>
      <c r="B61" s="12">
        <v>2022</v>
      </c>
      <c r="C61">
        <v>3145</v>
      </c>
      <c r="D61">
        <v>50</v>
      </c>
      <c r="E61">
        <v>6195</v>
      </c>
      <c r="F61">
        <v>7125</v>
      </c>
      <c r="G61">
        <v>1565</v>
      </c>
      <c r="H61">
        <v>545</v>
      </c>
      <c r="I61">
        <v>1050</v>
      </c>
      <c r="J61">
        <v>4153</v>
      </c>
      <c r="K61">
        <v>250</v>
      </c>
      <c r="L61">
        <v>616</v>
      </c>
      <c r="M61">
        <v>8183</v>
      </c>
      <c r="N61">
        <v>690</v>
      </c>
      <c r="O61">
        <v>1535</v>
      </c>
      <c r="P61">
        <v>1127</v>
      </c>
      <c r="Q61">
        <v>800</v>
      </c>
      <c r="R61"/>
      <c r="S61">
        <v>37029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</row>
    <row r="62" spans="1:39" x14ac:dyDescent="0.25">
      <c r="A62" s="11">
        <v>44866</v>
      </c>
      <c r="B62" s="12">
        <v>2022</v>
      </c>
      <c r="C62">
        <v>3145</v>
      </c>
      <c r="D62">
        <v>50</v>
      </c>
      <c r="E62">
        <v>6195</v>
      </c>
      <c r="F62">
        <v>7125</v>
      </c>
      <c r="G62">
        <v>1565</v>
      </c>
      <c r="H62">
        <v>545</v>
      </c>
      <c r="I62">
        <v>1050</v>
      </c>
      <c r="J62">
        <v>4153</v>
      </c>
      <c r="K62">
        <v>250</v>
      </c>
      <c r="L62">
        <v>616</v>
      </c>
      <c r="M62">
        <v>8183</v>
      </c>
      <c r="N62">
        <v>690</v>
      </c>
      <c r="O62">
        <v>1535</v>
      </c>
      <c r="P62">
        <v>1127</v>
      </c>
      <c r="Q62">
        <v>800</v>
      </c>
      <c r="R62"/>
      <c r="S62">
        <v>37029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</row>
    <row r="63" spans="1:39" x14ac:dyDescent="0.25">
      <c r="A63" s="11">
        <v>44896</v>
      </c>
      <c r="B63" s="12">
        <v>2022</v>
      </c>
      <c r="C63">
        <v>3145</v>
      </c>
      <c r="D63">
        <v>50</v>
      </c>
      <c r="E63">
        <v>6195</v>
      </c>
      <c r="F63">
        <v>7125</v>
      </c>
      <c r="G63">
        <v>1965</v>
      </c>
      <c r="H63">
        <v>545</v>
      </c>
      <c r="I63">
        <v>1050</v>
      </c>
      <c r="J63">
        <v>4153</v>
      </c>
      <c r="K63">
        <v>250</v>
      </c>
      <c r="L63">
        <v>616</v>
      </c>
      <c r="M63">
        <v>8183</v>
      </c>
      <c r="N63">
        <v>690</v>
      </c>
      <c r="O63">
        <v>1535</v>
      </c>
      <c r="P63">
        <v>1127</v>
      </c>
      <c r="Q63">
        <v>800</v>
      </c>
      <c r="R63"/>
      <c r="S63">
        <v>37429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</row>
    <row r="64" spans="1:39" x14ac:dyDescent="0.25">
      <c r="A64" s="11">
        <v>44927</v>
      </c>
      <c r="B64" s="12">
        <v>2023</v>
      </c>
      <c r="C64">
        <v>3145</v>
      </c>
      <c r="D64">
        <v>50</v>
      </c>
      <c r="E64">
        <v>6195</v>
      </c>
      <c r="F64">
        <v>7125</v>
      </c>
      <c r="G64">
        <v>1965</v>
      </c>
      <c r="H64">
        <v>545</v>
      </c>
      <c r="I64">
        <v>1050</v>
      </c>
      <c r="J64">
        <v>4153</v>
      </c>
      <c r="K64">
        <v>250</v>
      </c>
      <c r="L64">
        <v>616</v>
      </c>
      <c r="M64">
        <v>8183</v>
      </c>
      <c r="N64">
        <v>690</v>
      </c>
      <c r="O64">
        <v>1535</v>
      </c>
      <c r="P64">
        <v>1127</v>
      </c>
      <c r="Q64">
        <v>800</v>
      </c>
      <c r="R64"/>
      <c r="S64">
        <v>37429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</row>
    <row r="65" spans="1:39" x14ac:dyDescent="0.25">
      <c r="A65" s="11">
        <v>44958</v>
      </c>
      <c r="B65" s="12">
        <v>2023</v>
      </c>
      <c r="C65">
        <v>3145</v>
      </c>
      <c r="D65">
        <v>50</v>
      </c>
      <c r="E65">
        <v>6195</v>
      </c>
      <c r="F65">
        <v>7125</v>
      </c>
      <c r="G65">
        <v>1965</v>
      </c>
      <c r="H65">
        <v>545</v>
      </c>
      <c r="I65">
        <v>1050</v>
      </c>
      <c r="J65">
        <v>4153</v>
      </c>
      <c r="K65">
        <v>250</v>
      </c>
      <c r="L65">
        <v>616</v>
      </c>
      <c r="M65">
        <v>8183</v>
      </c>
      <c r="N65">
        <v>690</v>
      </c>
      <c r="O65">
        <v>1535</v>
      </c>
      <c r="P65">
        <v>1127</v>
      </c>
      <c r="Q65">
        <v>800</v>
      </c>
      <c r="R65"/>
      <c r="S65">
        <v>37429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</row>
    <row r="66" spans="1:39" x14ac:dyDescent="0.25">
      <c r="A66" s="11">
        <v>44986</v>
      </c>
      <c r="B66" s="12">
        <v>2023</v>
      </c>
      <c r="C66">
        <v>3145</v>
      </c>
      <c r="D66">
        <v>50</v>
      </c>
      <c r="E66">
        <v>6195</v>
      </c>
      <c r="F66">
        <v>8147</v>
      </c>
      <c r="G66">
        <v>1965</v>
      </c>
      <c r="H66">
        <v>545</v>
      </c>
      <c r="I66">
        <v>1050</v>
      </c>
      <c r="J66">
        <v>4153</v>
      </c>
      <c r="K66">
        <v>250</v>
      </c>
      <c r="L66">
        <v>616</v>
      </c>
      <c r="M66">
        <v>8183</v>
      </c>
      <c r="N66">
        <v>690</v>
      </c>
      <c r="O66">
        <v>1535</v>
      </c>
      <c r="P66">
        <v>1127</v>
      </c>
      <c r="Q66">
        <v>800</v>
      </c>
      <c r="R66"/>
      <c r="S66">
        <v>38451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</row>
    <row r="67" spans="1:39" x14ac:dyDescent="0.25">
      <c r="A67" s="11">
        <v>45017</v>
      </c>
      <c r="B67" s="12">
        <v>2023</v>
      </c>
      <c r="C67">
        <v>3145</v>
      </c>
      <c r="D67">
        <v>50</v>
      </c>
      <c r="E67">
        <v>6195</v>
      </c>
      <c r="F67">
        <v>8147</v>
      </c>
      <c r="G67">
        <v>1965</v>
      </c>
      <c r="H67">
        <v>545</v>
      </c>
      <c r="I67">
        <v>1050</v>
      </c>
      <c r="J67">
        <v>4153</v>
      </c>
      <c r="K67">
        <v>250</v>
      </c>
      <c r="L67">
        <v>616</v>
      </c>
      <c r="M67">
        <v>8183</v>
      </c>
      <c r="N67">
        <v>690</v>
      </c>
      <c r="O67">
        <v>1535</v>
      </c>
      <c r="P67">
        <v>1127</v>
      </c>
      <c r="Q67">
        <v>800</v>
      </c>
      <c r="R67"/>
      <c r="S67">
        <v>38451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</row>
    <row r="68" spans="1:39" x14ac:dyDescent="0.25">
      <c r="A68" s="11">
        <v>45047</v>
      </c>
      <c r="B68" s="12">
        <v>2023</v>
      </c>
      <c r="C68">
        <v>3145</v>
      </c>
      <c r="D68">
        <v>50</v>
      </c>
      <c r="E68">
        <v>6195</v>
      </c>
      <c r="F68">
        <v>8147</v>
      </c>
      <c r="G68">
        <v>1965</v>
      </c>
      <c r="H68">
        <v>545</v>
      </c>
      <c r="I68">
        <v>1050</v>
      </c>
      <c r="J68">
        <v>4153</v>
      </c>
      <c r="K68">
        <v>250</v>
      </c>
      <c r="L68">
        <v>616</v>
      </c>
      <c r="M68">
        <v>8183</v>
      </c>
      <c r="N68">
        <v>690</v>
      </c>
      <c r="O68">
        <v>1535</v>
      </c>
      <c r="P68">
        <v>1127</v>
      </c>
      <c r="Q68">
        <v>800</v>
      </c>
      <c r="R68"/>
      <c r="S68">
        <v>38451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</row>
    <row r="69" spans="1:39" x14ac:dyDescent="0.25">
      <c r="A69" s="11">
        <v>45078</v>
      </c>
      <c r="B69" s="12">
        <v>2023</v>
      </c>
      <c r="C69">
        <v>3145</v>
      </c>
      <c r="D69">
        <v>50</v>
      </c>
      <c r="E69">
        <v>6195</v>
      </c>
      <c r="F69">
        <v>8147</v>
      </c>
      <c r="G69">
        <v>1965</v>
      </c>
      <c r="H69">
        <v>545</v>
      </c>
      <c r="I69">
        <v>1050</v>
      </c>
      <c r="J69">
        <v>4153</v>
      </c>
      <c r="K69">
        <v>250</v>
      </c>
      <c r="L69">
        <v>616</v>
      </c>
      <c r="M69">
        <v>8183</v>
      </c>
      <c r="N69">
        <v>690</v>
      </c>
      <c r="O69">
        <v>1535</v>
      </c>
      <c r="P69">
        <v>1127</v>
      </c>
      <c r="Q69">
        <v>800</v>
      </c>
      <c r="R69"/>
      <c r="S69">
        <v>38451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</row>
    <row r="70" spans="1:39" x14ac:dyDescent="0.25">
      <c r="A70" s="11">
        <v>45108</v>
      </c>
      <c r="B70" s="12">
        <v>2023</v>
      </c>
      <c r="C70">
        <v>3145</v>
      </c>
      <c r="D70">
        <v>50</v>
      </c>
      <c r="E70">
        <v>6195</v>
      </c>
      <c r="F70">
        <v>8147</v>
      </c>
      <c r="G70">
        <v>1965</v>
      </c>
      <c r="H70">
        <v>545</v>
      </c>
      <c r="I70">
        <v>1050</v>
      </c>
      <c r="J70">
        <v>4153</v>
      </c>
      <c r="K70">
        <v>250</v>
      </c>
      <c r="L70">
        <v>616</v>
      </c>
      <c r="M70">
        <v>8183</v>
      </c>
      <c r="N70">
        <v>690</v>
      </c>
      <c r="O70">
        <v>1535</v>
      </c>
      <c r="P70">
        <v>1127</v>
      </c>
      <c r="Q70">
        <v>800</v>
      </c>
      <c r="R70"/>
      <c r="S70">
        <v>38451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</row>
    <row r="71" spans="1:39" x14ac:dyDescent="0.25">
      <c r="A71" s="11">
        <v>45139</v>
      </c>
      <c r="B71" s="12">
        <v>2023</v>
      </c>
      <c r="C71">
        <v>3145</v>
      </c>
      <c r="D71">
        <v>50</v>
      </c>
      <c r="E71">
        <v>6195</v>
      </c>
      <c r="F71">
        <v>8147</v>
      </c>
      <c r="G71">
        <v>1965</v>
      </c>
      <c r="H71">
        <v>545</v>
      </c>
      <c r="I71">
        <v>1050</v>
      </c>
      <c r="J71">
        <v>4153</v>
      </c>
      <c r="K71">
        <v>250</v>
      </c>
      <c r="L71">
        <v>616</v>
      </c>
      <c r="M71">
        <v>8183</v>
      </c>
      <c r="N71">
        <v>690</v>
      </c>
      <c r="O71">
        <v>1535</v>
      </c>
      <c r="P71">
        <v>1127</v>
      </c>
      <c r="Q71">
        <v>800</v>
      </c>
      <c r="R71"/>
      <c r="S71">
        <v>38451</v>
      </c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</row>
    <row r="72" spans="1:39" x14ac:dyDescent="0.25">
      <c r="A72" s="11">
        <v>45170</v>
      </c>
      <c r="B72" s="12">
        <v>2023</v>
      </c>
      <c r="C72">
        <v>3145</v>
      </c>
      <c r="D72">
        <v>50</v>
      </c>
      <c r="E72">
        <v>6195</v>
      </c>
      <c r="F72">
        <v>9147</v>
      </c>
      <c r="G72">
        <v>1965</v>
      </c>
      <c r="H72">
        <v>545</v>
      </c>
      <c r="I72">
        <v>1050</v>
      </c>
      <c r="J72">
        <v>4153</v>
      </c>
      <c r="K72">
        <v>250</v>
      </c>
      <c r="L72">
        <v>616</v>
      </c>
      <c r="M72">
        <v>8183</v>
      </c>
      <c r="N72">
        <v>690</v>
      </c>
      <c r="O72">
        <v>1535</v>
      </c>
      <c r="P72">
        <v>1127</v>
      </c>
      <c r="Q72">
        <v>800</v>
      </c>
      <c r="R72"/>
      <c r="S72">
        <v>39451</v>
      </c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</row>
    <row r="73" spans="1:39" x14ac:dyDescent="0.25">
      <c r="A73" s="11">
        <v>45200</v>
      </c>
      <c r="B73" s="12">
        <v>2023</v>
      </c>
      <c r="C73">
        <v>3145</v>
      </c>
      <c r="D73">
        <v>50</v>
      </c>
      <c r="E73">
        <v>6195</v>
      </c>
      <c r="F73">
        <v>9147</v>
      </c>
      <c r="G73">
        <v>1965</v>
      </c>
      <c r="H73">
        <v>545</v>
      </c>
      <c r="I73">
        <v>1050</v>
      </c>
      <c r="J73">
        <v>4253</v>
      </c>
      <c r="K73">
        <v>250</v>
      </c>
      <c r="L73">
        <v>616</v>
      </c>
      <c r="M73">
        <v>8183</v>
      </c>
      <c r="N73">
        <v>690</v>
      </c>
      <c r="O73">
        <v>1535</v>
      </c>
      <c r="P73">
        <v>1127</v>
      </c>
      <c r="Q73">
        <v>800</v>
      </c>
      <c r="R73"/>
      <c r="S73">
        <v>39551</v>
      </c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</row>
    <row r="74" spans="1:39" x14ac:dyDescent="0.25">
      <c r="A74" s="11">
        <v>45231</v>
      </c>
      <c r="B74" s="12">
        <v>2023</v>
      </c>
      <c r="C74">
        <v>3145</v>
      </c>
      <c r="D74">
        <v>50</v>
      </c>
      <c r="E74">
        <v>6195</v>
      </c>
      <c r="F74">
        <v>9147</v>
      </c>
      <c r="G74">
        <v>1965</v>
      </c>
      <c r="H74">
        <v>545</v>
      </c>
      <c r="I74">
        <v>1050</v>
      </c>
      <c r="J74">
        <v>4253</v>
      </c>
      <c r="K74">
        <v>250</v>
      </c>
      <c r="L74">
        <v>616</v>
      </c>
      <c r="M74">
        <v>8183</v>
      </c>
      <c r="N74">
        <v>690</v>
      </c>
      <c r="O74">
        <v>1535</v>
      </c>
      <c r="P74">
        <v>1127</v>
      </c>
      <c r="Q74">
        <v>800</v>
      </c>
      <c r="R74"/>
      <c r="S74">
        <v>39551</v>
      </c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</row>
    <row r="75" spans="1:39" x14ac:dyDescent="0.25">
      <c r="A75" s="11">
        <v>45261</v>
      </c>
      <c r="B75" s="12">
        <v>2023</v>
      </c>
      <c r="C75">
        <v>3145</v>
      </c>
      <c r="D75"/>
      <c r="E75">
        <v>6195</v>
      </c>
      <c r="F75">
        <v>9147</v>
      </c>
      <c r="G75">
        <v>1965</v>
      </c>
      <c r="H75">
        <v>545</v>
      </c>
      <c r="I75">
        <v>1050</v>
      </c>
      <c r="J75">
        <v>4253</v>
      </c>
      <c r="K75">
        <v>250</v>
      </c>
      <c r="L75">
        <v>616</v>
      </c>
      <c r="M75">
        <v>8383</v>
      </c>
      <c r="N75">
        <v>690</v>
      </c>
      <c r="O75">
        <v>1535</v>
      </c>
      <c r="P75">
        <v>1311</v>
      </c>
      <c r="Q75">
        <v>800</v>
      </c>
      <c r="R75"/>
      <c r="S75">
        <v>39885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</row>
    <row r="76" spans="1:39" x14ac:dyDescent="0.25">
      <c r="A76" s="11">
        <v>45292</v>
      </c>
      <c r="B76" s="12">
        <f>YEAR(A76)</f>
        <v>2024</v>
      </c>
      <c r="C76">
        <v>3145</v>
      </c>
      <c r="D76"/>
      <c r="E76">
        <v>6145</v>
      </c>
      <c r="F76">
        <v>8567</v>
      </c>
      <c r="G76">
        <v>1965</v>
      </c>
      <c r="H76">
        <v>545</v>
      </c>
      <c r="I76">
        <v>1050</v>
      </c>
      <c r="J76">
        <v>4253</v>
      </c>
      <c r="K76">
        <v>250</v>
      </c>
      <c r="L76">
        <v>616</v>
      </c>
      <c r="M76">
        <v>8383</v>
      </c>
      <c r="N76">
        <v>690</v>
      </c>
      <c r="O76">
        <v>1535</v>
      </c>
      <c r="P76">
        <v>1311</v>
      </c>
      <c r="Q76">
        <v>800</v>
      </c>
      <c r="R76"/>
      <c r="S76">
        <v>39255</v>
      </c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</row>
    <row r="77" spans="1:39" x14ac:dyDescent="0.25">
      <c r="A77" s="11">
        <v>45323</v>
      </c>
      <c r="B77" s="12">
        <f>YEAR(A77)</f>
        <v>2024</v>
      </c>
      <c r="C77">
        <v>3145</v>
      </c>
      <c r="D77"/>
      <c r="E77">
        <v>6145</v>
      </c>
      <c r="F77">
        <v>9247</v>
      </c>
      <c r="G77">
        <v>1965</v>
      </c>
      <c r="H77">
        <v>545</v>
      </c>
      <c r="I77">
        <v>1050</v>
      </c>
      <c r="J77">
        <v>4253</v>
      </c>
      <c r="K77">
        <v>250</v>
      </c>
      <c r="L77">
        <v>616</v>
      </c>
      <c r="M77">
        <v>8383</v>
      </c>
      <c r="N77">
        <v>690</v>
      </c>
      <c r="O77">
        <v>1535</v>
      </c>
      <c r="P77">
        <v>1311</v>
      </c>
      <c r="Q77">
        <v>800</v>
      </c>
      <c r="R77"/>
      <c r="S77">
        <v>39935</v>
      </c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</row>
    <row r="78" spans="1:39" x14ac:dyDescent="0.25">
      <c r="A78" s="11">
        <v>45352</v>
      </c>
      <c r="B78" s="12">
        <f t="shared" ref="B78:B99" si="0">YEAR(A78)</f>
        <v>2024</v>
      </c>
      <c r="C78">
        <v>3145</v>
      </c>
      <c r="D78"/>
      <c r="E78">
        <v>6145</v>
      </c>
      <c r="F78">
        <v>9247</v>
      </c>
      <c r="G78">
        <v>1965</v>
      </c>
      <c r="H78">
        <v>545</v>
      </c>
      <c r="I78">
        <v>1050</v>
      </c>
      <c r="J78">
        <v>4253</v>
      </c>
      <c r="K78">
        <v>250</v>
      </c>
      <c r="L78">
        <v>616</v>
      </c>
      <c r="M78">
        <v>8383</v>
      </c>
      <c r="N78">
        <v>690</v>
      </c>
      <c r="O78">
        <v>1535</v>
      </c>
      <c r="P78">
        <v>1311</v>
      </c>
      <c r="Q78">
        <v>800</v>
      </c>
      <c r="R78"/>
      <c r="S78">
        <v>39935</v>
      </c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</row>
    <row r="79" spans="1:39" x14ac:dyDescent="0.25">
      <c r="A79" s="11">
        <v>45383</v>
      </c>
      <c r="B79" s="12">
        <f t="shared" si="0"/>
        <v>2024</v>
      </c>
      <c r="C79">
        <v>3145</v>
      </c>
      <c r="D79"/>
      <c r="E79">
        <v>6145</v>
      </c>
      <c r="F79">
        <v>9247</v>
      </c>
      <c r="G79">
        <v>1965</v>
      </c>
      <c r="H79">
        <v>545</v>
      </c>
      <c r="I79">
        <v>1050</v>
      </c>
      <c r="J79">
        <v>4253</v>
      </c>
      <c r="K79">
        <v>250</v>
      </c>
      <c r="L79">
        <v>616</v>
      </c>
      <c r="M79">
        <v>8383</v>
      </c>
      <c r="N79">
        <v>690</v>
      </c>
      <c r="O79">
        <v>1535</v>
      </c>
      <c r="P79">
        <v>1311</v>
      </c>
      <c r="Q79">
        <v>800</v>
      </c>
      <c r="R79"/>
      <c r="S79">
        <v>39935</v>
      </c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</row>
    <row r="80" spans="1:39" x14ac:dyDescent="0.25">
      <c r="A80" s="11">
        <v>45413</v>
      </c>
      <c r="B80" s="12">
        <f t="shared" si="0"/>
        <v>2024</v>
      </c>
      <c r="C80">
        <v>3145</v>
      </c>
      <c r="D80"/>
      <c r="E80">
        <v>6145</v>
      </c>
      <c r="F80">
        <v>9247</v>
      </c>
      <c r="G80">
        <v>1965</v>
      </c>
      <c r="H80">
        <v>545</v>
      </c>
      <c r="I80">
        <v>1050</v>
      </c>
      <c r="J80">
        <v>4253</v>
      </c>
      <c r="K80">
        <v>250</v>
      </c>
      <c r="L80">
        <v>616</v>
      </c>
      <c r="M80">
        <v>8383</v>
      </c>
      <c r="N80">
        <v>690</v>
      </c>
      <c r="O80">
        <v>1535</v>
      </c>
      <c r="P80">
        <v>1311</v>
      </c>
      <c r="Q80">
        <v>800</v>
      </c>
      <c r="R80"/>
      <c r="S80">
        <v>39935</v>
      </c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</row>
    <row r="81" spans="1:39" x14ac:dyDescent="0.25">
      <c r="A81" s="11">
        <v>45444</v>
      </c>
      <c r="B81" s="12">
        <f t="shared" si="0"/>
        <v>2024</v>
      </c>
      <c r="C81">
        <v>3145</v>
      </c>
      <c r="D81"/>
      <c r="E81">
        <v>6145</v>
      </c>
      <c r="F81">
        <v>9427</v>
      </c>
      <c r="G81">
        <v>1965</v>
      </c>
      <c r="H81">
        <v>545</v>
      </c>
      <c r="I81">
        <v>1050</v>
      </c>
      <c r="J81">
        <v>4253</v>
      </c>
      <c r="K81">
        <v>250</v>
      </c>
      <c r="L81">
        <v>616</v>
      </c>
      <c r="M81">
        <v>8383</v>
      </c>
      <c r="N81">
        <v>690</v>
      </c>
      <c r="O81">
        <v>1535</v>
      </c>
      <c r="P81">
        <v>1311</v>
      </c>
      <c r="Q81">
        <v>800</v>
      </c>
      <c r="R81"/>
      <c r="S81">
        <v>40115</v>
      </c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</row>
    <row r="82" spans="1:39" x14ac:dyDescent="0.25">
      <c r="A82" s="11">
        <v>45474</v>
      </c>
      <c r="B82" s="12">
        <f t="shared" si="0"/>
        <v>2024</v>
      </c>
      <c r="C82">
        <v>3145</v>
      </c>
      <c r="D82"/>
      <c r="E82">
        <v>6145</v>
      </c>
      <c r="F82">
        <v>9327</v>
      </c>
      <c r="G82">
        <v>1965</v>
      </c>
      <c r="H82">
        <v>545</v>
      </c>
      <c r="I82">
        <v>1050</v>
      </c>
      <c r="J82">
        <v>4253</v>
      </c>
      <c r="K82">
        <v>250</v>
      </c>
      <c r="L82">
        <v>1016</v>
      </c>
      <c r="M82">
        <v>8383</v>
      </c>
      <c r="N82">
        <v>690</v>
      </c>
      <c r="O82">
        <v>1535</v>
      </c>
      <c r="P82">
        <v>1311</v>
      </c>
      <c r="Q82">
        <v>800</v>
      </c>
      <c r="R82"/>
      <c r="S82">
        <v>40415</v>
      </c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</row>
    <row r="83" spans="1:39" x14ac:dyDescent="0.25">
      <c r="A83" s="11">
        <v>45505</v>
      </c>
      <c r="B83" s="12">
        <f t="shared" si="0"/>
        <v>2024</v>
      </c>
      <c r="C83">
        <v>3145</v>
      </c>
      <c r="D83"/>
      <c r="E83">
        <v>6145</v>
      </c>
      <c r="F83">
        <v>9427</v>
      </c>
      <c r="G83">
        <v>1965</v>
      </c>
      <c r="H83">
        <v>545</v>
      </c>
      <c r="I83">
        <v>1050</v>
      </c>
      <c r="J83">
        <v>4453</v>
      </c>
      <c r="K83">
        <v>250</v>
      </c>
      <c r="L83">
        <v>1016</v>
      </c>
      <c r="M83">
        <v>8383</v>
      </c>
      <c r="N83">
        <v>690</v>
      </c>
      <c r="O83">
        <v>1535</v>
      </c>
      <c r="P83">
        <v>1311</v>
      </c>
      <c r="Q83">
        <v>800</v>
      </c>
      <c r="R83"/>
      <c r="S83">
        <v>40715</v>
      </c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</row>
    <row r="84" spans="1:39" x14ac:dyDescent="0.25">
      <c r="A84" s="11">
        <v>45536</v>
      </c>
      <c r="B84" s="12">
        <f t="shared" si="0"/>
        <v>2024</v>
      </c>
      <c r="C84">
        <v>3145</v>
      </c>
      <c r="D84"/>
      <c r="E84">
        <v>6145</v>
      </c>
      <c r="F84">
        <v>9427</v>
      </c>
      <c r="G84">
        <v>1965</v>
      </c>
      <c r="H84">
        <v>545</v>
      </c>
      <c r="I84">
        <v>1050</v>
      </c>
      <c r="J84">
        <v>4453</v>
      </c>
      <c r="K84">
        <v>250</v>
      </c>
      <c r="L84">
        <v>1016</v>
      </c>
      <c r="M84">
        <v>8383</v>
      </c>
      <c r="N84">
        <v>690</v>
      </c>
      <c r="O84">
        <v>1535</v>
      </c>
      <c r="P84">
        <v>1311</v>
      </c>
      <c r="Q84">
        <v>800</v>
      </c>
      <c r="R84"/>
      <c r="S84">
        <v>40715</v>
      </c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</row>
    <row r="85" spans="1:39" x14ac:dyDescent="0.25">
      <c r="A85" s="11">
        <v>45566</v>
      </c>
      <c r="B85" s="12">
        <f t="shared" si="0"/>
        <v>2024</v>
      </c>
      <c r="C85">
        <v>3145</v>
      </c>
      <c r="D85"/>
      <c r="E85">
        <v>6195</v>
      </c>
      <c r="F85">
        <v>10007</v>
      </c>
      <c r="G85">
        <v>1965</v>
      </c>
      <c r="H85">
        <v>545</v>
      </c>
      <c r="I85">
        <v>1050</v>
      </c>
      <c r="J85">
        <v>4453</v>
      </c>
      <c r="K85">
        <v>250</v>
      </c>
      <c r="L85">
        <v>1016</v>
      </c>
      <c r="M85">
        <v>8383</v>
      </c>
      <c r="N85">
        <v>690</v>
      </c>
      <c r="O85">
        <v>1535</v>
      </c>
      <c r="P85">
        <v>1311</v>
      </c>
      <c r="Q85">
        <v>800</v>
      </c>
      <c r="R85"/>
      <c r="S85">
        <v>41345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</row>
    <row r="86" spans="1:39" x14ac:dyDescent="0.25">
      <c r="A86" s="11">
        <v>45597</v>
      </c>
      <c r="B86" s="12">
        <f t="shared" si="0"/>
        <v>2024</v>
      </c>
      <c r="C86">
        <v>3145</v>
      </c>
      <c r="D86"/>
      <c r="E86">
        <v>6195</v>
      </c>
      <c r="F86">
        <v>10007</v>
      </c>
      <c r="G86">
        <v>1965</v>
      </c>
      <c r="H86">
        <v>545</v>
      </c>
      <c r="I86">
        <v>1050</v>
      </c>
      <c r="J86">
        <v>4453</v>
      </c>
      <c r="K86">
        <v>250</v>
      </c>
      <c r="L86">
        <v>1016</v>
      </c>
      <c r="M86">
        <v>8383</v>
      </c>
      <c r="N86">
        <v>690</v>
      </c>
      <c r="O86">
        <v>1535</v>
      </c>
      <c r="P86">
        <v>1311</v>
      </c>
      <c r="Q86">
        <v>800</v>
      </c>
      <c r="R86"/>
      <c r="S86">
        <v>41345</v>
      </c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</row>
    <row r="87" spans="1:39" x14ac:dyDescent="0.25">
      <c r="A87" s="11">
        <v>45627</v>
      </c>
      <c r="B87" s="12">
        <f t="shared" si="0"/>
        <v>2024</v>
      </c>
      <c r="C87">
        <v>3145</v>
      </c>
      <c r="D87"/>
      <c r="E87">
        <v>6195</v>
      </c>
      <c r="F87">
        <v>10007</v>
      </c>
      <c r="G87">
        <v>1965</v>
      </c>
      <c r="H87">
        <v>545</v>
      </c>
      <c r="I87">
        <v>1050</v>
      </c>
      <c r="J87">
        <v>4453</v>
      </c>
      <c r="K87">
        <v>250</v>
      </c>
      <c r="L87">
        <v>1016</v>
      </c>
      <c r="M87">
        <v>8383</v>
      </c>
      <c r="N87">
        <v>690</v>
      </c>
      <c r="O87">
        <v>1535</v>
      </c>
      <c r="P87">
        <v>1311</v>
      </c>
      <c r="Q87">
        <v>800</v>
      </c>
      <c r="R87"/>
      <c r="S87">
        <v>41345</v>
      </c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</row>
    <row r="88" spans="1:39" x14ac:dyDescent="0.25">
      <c r="A88" s="11">
        <v>45658</v>
      </c>
      <c r="B88" s="12">
        <f t="shared" si="0"/>
        <v>2025</v>
      </c>
      <c r="C88">
        <v>3145.46</v>
      </c>
      <c r="D88"/>
      <c r="E88">
        <v>6195</v>
      </c>
      <c r="F88">
        <v>10008.16</v>
      </c>
      <c r="G88">
        <v>1965</v>
      </c>
      <c r="H88">
        <v>545.45000000000005</v>
      </c>
      <c r="I88">
        <v>1050</v>
      </c>
      <c r="J88">
        <v>4453</v>
      </c>
      <c r="K88">
        <v>250</v>
      </c>
      <c r="L88">
        <v>1016.7</v>
      </c>
      <c r="M88">
        <v>8383.33</v>
      </c>
      <c r="N88">
        <v>690</v>
      </c>
      <c r="O88">
        <v>1535</v>
      </c>
      <c r="P88">
        <v>1311.6</v>
      </c>
      <c r="Q88">
        <v>800</v>
      </c>
      <c r="R88"/>
      <c r="S88">
        <v>41348.699999999997</v>
      </c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</row>
    <row r="89" spans="1:39" x14ac:dyDescent="0.25">
      <c r="A89" s="11">
        <v>45689</v>
      </c>
      <c r="B89" s="12">
        <f t="shared" si="0"/>
        <v>2025</v>
      </c>
      <c r="C89">
        <v>3145.46</v>
      </c>
      <c r="D89"/>
      <c r="E89">
        <v>6195</v>
      </c>
      <c r="F89">
        <v>10008.16</v>
      </c>
      <c r="G89">
        <v>1965</v>
      </c>
      <c r="H89">
        <v>545.45000000000005</v>
      </c>
      <c r="I89">
        <v>1050</v>
      </c>
      <c r="J89">
        <v>4453</v>
      </c>
      <c r="K89">
        <v>250</v>
      </c>
      <c r="L89">
        <v>1016.7</v>
      </c>
      <c r="M89">
        <v>8383.33</v>
      </c>
      <c r="N89">
        <v>690</v>
      </c>
      <c r="O89">
        <v>1535</v>
      </c>
      <c r="P89">
        <v>1311.6</v>
      </c>
      <c r="Q89">
        <v>800</v>
      </c>
      <c r="R89"/>
      <c r="S89">
        <v>41348.699999999997</v>
      </c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</row>
    <row r="90" spans="1:39" x14ac:dyDescent="0.25">
      <c r="A90" s="11">
        <v>45717</v>
      </c>
      <c r="B90" s="12">
        <f t="shared" si="0"/>
        <v>2025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</row>
    <row r="91" spans="1:39" x14ac:dyDescent="0.25">
      <c r="A91" s="11">
        <v>45748</v>
      </c>
      <c r="B91" s="12">
        <f t="shared" si="0"/>
        <v>2025</v>
      </c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</row>
    <row r="92" spans="1:39" x14ac:dyDescent="0.25">
      <c r="A92" s="11">
        <v>45778</v>
      </c>
      <c r="B92" s="12">
        <f t="shared" si="0"/>
        <v>2025</v>
      </c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</row>
    <row r="93" spans="1:39" x14ac:dyDescent="0.25">
      <c r="A93" s="11">
        <v>45809</v>
      </c>
      <c r="B93" s="12">
        <f t="shared" si="0"/>
        <v>2025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</row>
    <row r="94" spans="1:39" x14ac:dyDescent="0.25">
      <c r="A94" s="11">
        <v>45839</v>
      </c>
      <c r="B94" s="12">
        <f t="shared" si="0"/>
        <v>2025</v>
      </c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</row>
    <row r="95" spans="1:39" x14ac:dyDescent="0.25">
      <c r="A95" s="11">
        <v>45870</v>
      </c>
      <c r="B95" s="12">
        <f t="shared" si="0"/>
        <v>2025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</row>
    <row r="96" spans="1:39" x14ac:dyDescent="0.25">
      <c r="A96" s="11">
        <v>45901</v>
      </c>
      <c r="B96" s="12">
        <f t="shared" si="0"/>
        <v>2025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</row>
    <row r="97" spans="1:39" x14ac:dyDescent="0.25">
      <c r="A97" s="11">
        <v>45931</v>
      </c>
      <c r="B97" s="12">
        <f t="shared" si="0"/>
        <v>2025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</row>
    <row r="98" spans="1:39" x14ac:dyDescent="0.25">
      <c r="A98" s="11">
        <v>45962</v>
      </c>
      <c r="B98" s="12">
        <f t="shared" si="0"/>
        <v>2025</v>
      </c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</row>
    <row r="99" spans="1:39" x14ac:dyDescent="0.25">
      <c r="A99" s="11">
        <v>45992</v>
      </c>
      <c r="B99" s="12">
        <f t="shared" si="0"/>
        <v>2025</v>
      </c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</row>
    <row r="100" spans="1:39" x14ac:dyDescent="0.25"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39" x14ac:dyDescent="0.25"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39" x14ac:dyDescent="0.25"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39" x14ac:dyDescent="0.25"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39" x14ac:dyDescent="0.25"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1:39" x14ac:dyDescent="0.25"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F690-E96E-4FC8-BE3C-46E13F15B0AD}">
  <sheetPr>
    <tabColor rgb="FFFF0000"/>
  </sheetPr>
  <dimension ref="A1:A13"/>
  <sheetViews>
    <sheetView zoomScale="110" zoomScaleNormal="110" workbookViewId="0">
      <pane xSplit="1" ySplit="3" topLeftCell="B4" activePane="bottomRight" state="frozen"/>
      <selection activeCell="B1" sqref="B1:D1048576"/>
      <selection pane="topRight" activeCell="B1" sqref="B1:D1048576"/>
      <selection pane="bottomLeft" activeCell="B1" sqref="B1:D1048576"/>
      <selection pane="bottomRight" activeCell="B1" sqref="B1:D1048576"/>
    </sheetView>
  </sheetViews>
  <sheetFormatPr defaultRowHeight="15" x14ac:dyDescent="0.25"/>
  <cols>
    <col min="1" max="1" width="10.5703125" style="5" bestFit="1" customWidth="1"/>
    <col min="2" max="16384" width="9.140625" style="5"/>
  </cols>
  <sheetData>
    <row r="1" spans="1:1" s="16" customFormat="1" ht="27" x14ac:dyDescent="0.25">
      <c r="A1" s="15" t="s">
        <v>53</v>
      </c>
    </row>
    <row r="2" spans="1:1" s="16" customFormat="1" ht="40.5" x14ac:dyDescent="0.25">
      <c r="A2" s="15" t="s">
        <v>54</v>
      </c>
    </row>
    <row r="3" spans="1:1" x14ac:dyDescent="0.25">
      <c r="A3" s="17"/>
    </row>
    <row r="4" spans="1:1" x14ac:dyDescent="0.25">
      <c r="A4" s="12">
        <v>2014</v>
      </c>
    </row>
    <row r="5" spans="1:1" x14ac:dyDescent="0.25">
      <c r="A5" s="12">
        <v>2015</v>
      </c>
    </row>
    <row r="6" spans="1:1" x14ac:dyDescent="0.25">
      <c r="A6" s="12">
        <v>2016</v>
      </c>
    </row>
    <row r="7" spans="1:1" x14ac:dyDescent="0.25">
      <c r="A7" s="12">
        <v>2017</v>
      </c>
    </row>
    <row r="8" spans="1:1" x14ac:dyDescent="0.25">
      <c r="A8" s="12">
        <v>2018</v>
      </c>
    </row>
    <row r="9" spans="1:1" x14ac:dyDescent="0.25">
      <c r="A9" s="12">
        <v>2019</v>
      </c>
    </row>
    <row r="10" spans="1:1" x14ac:dyDescent="0.25">
      <c r="A10" s="12">
        <v>2020</v>
      </c>
    </row>
    <row r="11" spans="1:1" x14ac:dyDescent="0.25">
      <c r="A11" s="12">
        <v>2021</v>
      </c>
    </row>
    <row r="12" spans="1:1" x14ac:dyDescent="0.25">
      <c r="A12" s="12">
        <v>2022</v>
      </c>
    </row>
    <row r="13" spans="1:1" x14ac:dyDescent="0.25">
      <c r="A13" s="12">
        <v>2023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AF7F-441C-4F3A-8DDC-39AF15786772}">
  <dimension ref="A1:P170"/>
  <sheetViews>
    <sheetView workbookViewId="0">
      <pane xSplit="1" ySplit="1" topLeftCell="F2" activePane="bottomRight" state="frozen"/>
      <selection activeCell="B1" sqref="B1:D1048576"/>
      <selection pane="topRight" activeCell="B1" sqref="B1:D1048576"/>
      <selection pane="bottomLeft" activeCell="B1" sqref="B1:D1048576"/>
      <selection pane="bottomRight" activeCell="B1" sqref="B1:D1048576"/>
    </sheetView>
  </sheetViews>
  <sheetFormatPr defaultColWidth="9.140625" defaultRowHeight="13.5" x14ac:dyDescent="0.25"/>
  <cols>
    <col min="1" max="1" width="9.140625" style="20"/>
    <col min="2" max="6" width="14.28515625" style="20" customWidth="1"/>
    <col min="7" max="7" width="13.140625" style="20" bestFit="1" customWidth="1"/>
    <col min="8" max="8" width="8.85546875" style="20" bestFit="1" customWidth="1"/>
    <col min="9" max="10" width="9.140625" style="20"/>
    <col min="11" max="11" width="14.42578125" style="20" bestFit="1" customWidth="1"/>
    <col min="12" max="15" width="9.140625" style="20"/>
    <col min="16" max="16" width="16" style="20" bestFit="1" customWidth="1"/>
    <col min="17" max="16384" width="9.140625" style="20"/>
  </cols>
  <sheetData>
    <row r="1" spans="1:14" s="18" customFormat="1" ht="47.25" x14ac:dyDescent="0.25">
      <c r="B1" s="19" t="s">
        <v>55</v>
      </c>
      <c r="C1" s="19" t="s">
        <v>56</v>
      </c>
      <c r="D1" s="19" t="s">
        <v>57</v>
      </c>
      <c r="E1" s="19" t="s">
        <v>58</v>
      </c>
      <c r="F1" s="19" t="s">
        <v>59</v>
      </c>
      <c r="G1" s="19" t="s">
        <v>60</v>
      </c>
      <c r="H1" s="19" t="s">
        <v>61</v>
      </c>
      <c r="I1" s="19" t="s">
        <v>62</v>
      </c>
      <c r="J1" s="19" t="s">
        <v>63</v>
      </c>
      <c r="K1" s="19" t="s">
        <v>64</v>
      </c>
      <c r="L1" s="19" t="s">
        <v>65</v>
      </c>
      <c r="M1" s="19" t="s">
        <v>66</v>
      </c>
      <c r="N1" s="19" t="s">
        <v>67</v>
      </c>
    </row>
    <row r="2" spans="1:14" ht="15.75" x14ac:dyDescent="0.25">
      <c r="B2" s="21" t="s">
        <v>68</v>
      </c>
      <c r="C2" s="21" t="s">
        <v>69</v>
      </c>
      <c r="D2" s="21" t="s">
        <v>68</v>
      </c>
      <c r="E2" s="21" t="s">
        <v>68</v>
      </c>
      <c r="F2" s="21" t="s">
        <v>69</v>
      </c>
      <c r="G2" s="21" t="s">
        <v>68</v>
      </c>
      <c r="H2" s="21" t="s">
        <v>68</v>
      </c>
      <c r="I2" s="21" t="s">
        <v>68</v>
      </c>
      <c r="J2" s="21" t="s">
        <v>68</v>
      </c>
      <c r="K2" s="21" t="s">
        <v>68</v>
      </c>
      <c r="L2" s="21" t="s">
        <v>68</v>
      </c>
      <c r="M2" s="21" t="s">
        <v>68</v>
      </c>
      <c r="N2" s="21" t="s">
        <v>68</v>
      </c>
    </row>
    <row r="3" spans="1:14" x14ac:dyDescent="0.25">
      <c r="A3" s="22">
        <v>42005</v>
      </c>
      <c r="B3" s="23">
        <v>319546.49499999994</v>
      </c>
      <c r="C3" s="23">
        <v>0</v>
      </c>
      <c r="D3" s="24"/>
      <c r="E3" s="24">
        <v>310189</v>
      </c>
      <c r="F3" s="24">
        <v>0</v>
      </c>
      <c r="G3" s="24">
        <v>3860184</v>
      </c>
      <c r="H3" s="25">
        <v>755433</v>
      </c>
      <c r="I3" s="25">
        <v>4732999</v>
      </c>
      <c r="J3" s="25">
        <v>13037</v>
      </c>
      <c r="K3" s="25">
        <v>527561</v>
      </c>
      <c r="L3" s="25">
        <v>51444</v>
      </c>
      <c r="M3" s="25">
        <v>670087</v>
      </c>
      <c r="N3" s="25">
        <v>3212</v>
      </c>
    </row>
    <row r="4" spans="1:14" x14ac:dyDescent="0.25">
      <c r="A4" s="22">
        <v>42036</v>
      </c>
      <c r="B4" s="23">
        <v>303594.386</v>
      </c>
      <c r="C4" s="23">
        <v>0</v>
      </c>
      <c r="D4" s="24"/>
      <c r="E4" s="24">
        <v>294498</v>
      </c>
      <c r="F4" s="24">
        <v>0</v>
      </c>
      <c r="G4" s="24">
        <v>3522225</v>
      </c>
      <c r="H4" s="25">
        <v>776384</v>
      </c>
      <c r="I4" s="25">
        <v>4071621</v>
      </c>
      <c r="J4" s="25">
        <v>3971</v>
      </c>
      <c r="K4" s="25">
        <v>448037</v>
      </c>
      <c r="L4" s="25">
        <v>241933</v>
      </c>
      <c r="M4" s="25">
        <v>580578</v>
      </c>
      <c r="N4" s="20">
        <v>34</v>
      </c>
    </row>
    <row r="5" spans="1:14" x14ac:dyDescent="0.25">
      <c r="A5" s="22">
        <v>42064</v>
      </c>
      <c r="B5" s="23">
        <v>322692.02500000002</v>
      </c>
      <c r="C5" s="23">
        <v>0</v>
      </c>
      <c r="D5" s="24"/>
      <c r="E5" s="24">
        <v>344155</v>
      </c>
      <c r="F5" s="24">
        <v>0</v>
      </c>
      <c r="G5" s="24">
        <v>4068457</v>
      </c>
      <c r="H5" s="25">
        <v>860924</v>
      </c>
      <c r="I5" s="25">
        <v>5013802</v>
      </c>
      <c r="J5" s="25">
        <v>20991</v>
      </c>
      <c r="K5" s="25">
        <v>453371</v>
      </c>
      <c r="L5" s="25">
        <v>51558</v>
      </c>
      <c r="M5" s="25">
        <v>622995</v>
      </c>
      <c r="N5" s="25">
        <v>3159</v>
      </c>
    </row>
    <row r="6" spans="1:14" x14ac:dyDescent="0.25">
      <c r="A6" s="22">
        <v>42095</v>
      </c>
      <c r="B6" s="23">
        <v>324526.23000000004</v>
      </c>
      <c r="C6" s="23">
        <v>0</v>
      </c>
      <c r="D6" s="24"/>
      <c r="E6" s="24">
        <v>331874</v>
      </c>
      <c r="F6" s="24">
        <v>0</v>
      </c>
      <c r="G6" s="24">
        <v>3979112</v>
      </c>
      <c r="H6" s="25">
        <v>486567</v>
      </c>
      <c r="I6" s="25">
        <v>4738923</v>
      </c>
      <c r="K6" s="25">
        <v>448444</v>
      </c>
      <c r="L6" s="25">
        <v>116949</v>
      </c>
      <c r="M6" s="25">
        <v>592116</v>
      </c>
      <c r="N6" s="20">
        <v>0</v>
      </c>
    </row>
    <row r="7" spans="1:14" x14ac:dyDescent="0.25">
      <c r="A7" s="22">
        <v>42125</v>
      </c>
      <c r="B7" s="23">
        <v>338850.55400000006</v>
      </c>
      <c r="C7" s="23">
        <v>0</v>
      </c>
      <c r="D7" s="24"/>
      <c r="E7" s="24">
        <v>324260</v>
      </c>
      <c r="F7" s="24">
        <v>0</v>
      </c>
      <c r="G7" s="24">
        <v>4427701</v>
      </c>
      <c r="H7" s="25">
        <v>666228</v>
      </c>
      <c r="I7" s="25">
        <v>4636557</v>
      </c>
      <c r="J7" s="20">
        <v>0</v>
      </c>
      <c r="K7" s="25">
        <v>474000</v>
      </c>
      <c r="L7" s="25">
        <v>211952</v>
      </c>
      <c r="M7" s="25">
        <v>608065</v>
      </c>
      <c r="N7" s="20">
        <v>0</v>
      </c>
    </row>
    <row r="8" spans="1:14" x14ac:dyDescent="0.25">
      <c r="A8" s="22">
        <v>42156</v>
      </c>
      <c r="B8" s="23">
        <v>322185.27000000019</v>
      </c>
      <c r="C8" s="23">
        <v>0</v>
      </c>
      <c r="D8" s="24"/>
      <c r="E8" s="24">
        <v>330396</v>
      </c>
      <c r="F8" s="24">
        <v>0</v>
      </c>
      <c r="G8" s="24">
        <v>4254604</v>
      </c>
      <c r="H8" s="25">
        <v>630065</v>
      </c>
      <c r="I8" s="25">
        <v>4863309</v>
      </c>
      <c r="J8" s="25">
        <v>17473</v>
      </c>
      <c r="K8" s="25">
        <v>477876</v>
      </c>
      <c r="L8" s="25">
        <v>160934</v>
      </c>
      <c r="M8" s="25">
        <v>591068</v>
      </c>
      <c r="N8" s="20">
        <v>0</v>
      </c>
    </row>
    <row r="9" spans="1:14" x14ac:dyDescent="0.25">
      <c r="A9" s="22">
        <v>42186</v>
      </c>
      <c r="B9" s="23">
        <v>341093.84399999998</v>
      </c>
      <c r="C9" s="23">
        <v>0</v>
      </c>
      <c r="D9" s="24"/>
      <c r="E9" s="24">
        <v>327165</v>
      </c>
      <c r="F9" s="24">
        <v>21986</v>
      </c>
      <c r="G9" s="24">
        <v>4269605</v>
      </c>
      <c r="H9" s="25">
        <v>895189</v>
      </c>
      <c r="I9" s="25">
        <v>4963402</v>
      </c>
      <c r="K9" s="25">
        <v>529841</v>
      </c>
      <c r="L9" s="25">
        <v>122508</v>
      </c>
      <c r="M9" s="25">
        <v>656111</v>
      </c>
      <c r="N9" s="20">
        <v>0</v>
      </c>
    </row>
    <row r="10" spans="1:14" x14ac:dyDescent="0.25">
      <c r="A10" s="22">
        <v>42217</v>
      </c>
      <c r="B10" s="23">
        <v>344037.79600000009</v>
      </c>
      <c r="C10" s="23">
        <v>0</v>
      </c>
      <c r="D10" s="24"/>
      <c r="E10" s="24">
        <v>340445</v>
      </c>
      <c r="F10" s="24">
        <v>0</v>
      </c>
      <c r="G10" s="24">
        <v>4317505</v>
      </c>
      <c r="H10" s="25">
        <v>28619</v>
      </c>
      <c r="I10" s="25">
        <v>5017610</v>
      </c>
      <c r="J10" s="25">
        <v>23304</v>
      </c>
      <c r="K10" s="25">
        <v>499139</v>
      </c>
      <c r="L10" s="20">
        <v>0</v>
      </c>
      <c r="M10" s="25">
        <v>618451</v>
      </c>
      <c r="N10" s="25">
        <v>2923</v>
      </c>
    </row>
    <row r="11" spans="1:14" x14ac:dyDescent="0.25">
      <c r="A11" s="22">
        <v>42248</v>
      </c>
      <c r="B11" s="23">
        <v>330388.283</v>
      </c>
      <c r="C11" s="23">
        <v>0</v>
      </c>
      <c r="D11" s="24"/>
      <c r="E11" s="24">
        <v>341529</v>
      </c>
      <c r="F11" s="24">
        <v>0</v>
      </c>
      <c r="G11" s="24">
        <v>4470985</v>
      </c>
      <c r="H11" s="25">
        <v>522876</v>
      </c>
      <c r="I11" s="25">
        <v>4932081</v>
      </c>
      <c r="K11" s="25">
        <v>452223</v>
      </c>
      <c r="L11" s="25">
        <v>2615</v>
      </c>
      <c r="M11" s="25">
        <v>596531</v>
      </c>
      <c r="N11" s="20">
        <v>0</v>
      </c>
    </row>
    <row r="12" spans="1:14" x14ac:dyDescent="0.25">
      <c r="A12" s="22">
        <v>42278</v>
      </c>
      <c r="B12" s="23">
        <v>359165.717</v>
      </c>
      <c r="C12" s="23">
        <v>0</v>
      </c>
      <c r="D12" s="24"/>
      <c r="E12" s="24">
        <v>357528</v>
      </c>
      <c r="F12" s="24">
        <v>0</v>
      </c>
      <c r="G12" s="24">
        <v>4411377</v>
      </c>
      <c r="H12" s="25">
        <v>343845</v>
      </c>
      <c r="I12" s="25">
        <v>5181460</v>
      </c>
      <c r="K12" s="25">
        <v>473065</v>
      </c>
      <c r="L12" s="25">
        <v>171100</v>
      </c>
      <c r="M12" s="25">
        <v>612395</v>
      </c>
      <c r="N12" s="20">
        <v>0</v>
      </c>
    </row>
    <row r="13" spans="1:14" x14ac:dyDescent="0.25">
      <c r="A13" s="22">
        <v>42309</v>
      </c>
      <c r="B13" s="23">
        <v>324662.14599999995</v>
      </c>
      <c r="C13" s="23">
        <v>0</v>
      </c>
      <c r="D13" s="24"/>
      <c r="E13" s="24">
        <v>320814</v>
      </c>
      <c r="F13" s="24">
        <v>0</v>
      </c>
      <c r="G13" s="24">
        <v>3917719</v>
      </c>
      <c r="H13" s="25">
        <v>773618</v>
      </c>
      <c r="I13" s="25">
        <v>4558032</v>
      </c>
      <c r="K13" s="25">
        <v>420896</v>
      </c>
      <c r="L13" s="25">
        <v>201670</v>
      </c>
      <c r="M13" s="25">
        <v>586986</v>
      </c>
      <c r="N13" s="20">
        <v>0</v>
      </c>
    </row>
    <row r="14" spans="1:14" x14ac:dyDescent="0.25">
      <c r="A14" s="22">
        <v>42339</v>
      </c>
      <c r="B14" s="23">
        <v>306525.78799999994</v>
      </c>
      <c r="C14" s="23">
        <v>0</v>
      </c>
      <c r="D14" s="24"/>
      <c r="E14" s="24">
        <v>311514</v>
      </c>
      <c r="F14" s="24">
        <v>10337666</v>
      </c>
      <c r="G14" s="24">
        <v>3958134</v>
      </c>
      <c r="H14" s="25">
        <v>200351</v>
      </c>
      <c r="I14" s="25">
        <v>4501075</v>
      </c>
      <c r="J14" s="25">
        <v>2509</v>
      </c>
      <c r="K14" s="25">
        <v>452406</v>
      </c>
      <c r="L14" s="25">
        <v>41288</v>
      </c>
      <c r="M14" s="25">
        <v>619691</v>
      </c>
      <c r="N14" s="25">
        <v>1158</v>
      </c>
    </row>
    <row r="15" spans="1:14" x14ac:dyDescent="0.25">
      <c r="A15" s="22">
        <v>42370</v>
      </c>
      <c r="B15" s="23">
        <v>271387.902</v>
      </c>
      <c r="C15" s="23">
        <v>0</v>
      </c>
      <c r="D15" s="24"/>
      <c r="E15" s="24">
        <v>271304</v>
      </c>
      <c r="F15" s="24">
        <v>0</v>
      </c>
      <c r="G15" s="24">
        <v>4340058</v>
      </c>
      <c r="H15" s="25">
        <v>159879</v>
      </c>
      <c r="I15" s="25">
        <v>3942870</v>
      </c>
      <c r="J15" s="25">
        <v>2507</v>
      </c>
      <c r="K15" s="25">
        <v>508663</v>
      </c>
      <c r="L15" s="25">
        <v>40095</v>
      </c>
      <c r="M15" s="25">
        <v>654915</v>
      </c>
      <c r="N15" s="20">
        <v>0</v>
      </c>
    </row>
    <row r="16" spans="1:14" x14ac:dyDescent="0.25">
      <c r="A16" s="22">
        <v>42401</v>
      </c>
      <c r="B16" s="23">
        <v>300065.39299999998</v>
      </c>
      <c r="C16" s="23">
        <v>0</v>
      </c>
      <c r="D16" s="24"/>
      <c r="E16" s="24">
        <v>296948</v>
      </c>
      <c r="F16" s="24">
        <v>4</v>
      </c>
      <c r="G16" s="24">
        <v>3737505</v>
      </c>
      <c r="H16" s="25">
        <v>414869</v>
      </c>
      <c r="I16" s="25">
        <v>4284567</v>
      </c>
      <c r="J16" s="20">
        <v>501</v>
      </c>
      <c r="K16" s="25">
        <v>457101</v>
      </c>
      <c r="L16" s="25">
        <v>160764</v>
      </c>
      <c r="M16" s="25">
        <v>565502</v>
      </c>
      <c r="N16" s="20">
        <v>656</v>
      </c>
    </row>
    <row r="17" spans="1:14" x14ac:dyDescent="0.25">
      <c r="A17" s="22">
        <v>42430</v>
      </c>
      <c r="B17" s="23">
        <v>323157.66199999995</v>
      </c>
      <c r="C17" s="23">
        <v>0</v>
      </c>
      <c r="D17" s="24"/>
      <c r="E17" s="24">
        <v>332319</v>
      </c>
      <c r="F17" s="24">
        <v>0</v>
      </c>
      <c r="G17" s="24">
        <v>3917051</v>
      </c>
      <c r="H17" s="25">
        <v>943643</v>
      </c>
      <c r="I17" s="25">
        <v>4751359</v>
      </c>
      <c r="J17" s="25">
        <v>69069</v>
      </c>
      <c r="K17" s="25">
        <v>465184</v>
      </c>
      <c r="L17" s="25">
        <v>120816</v>
      </c>
      <c r="M17" s="25">
        <v>571441</v>
      </c>
      <c r="N17" s="25">
        <v>4574</v>
      </c>
    </row>
    <row r="18" spans="1:14" x14ac:dyDescent="0.25">
      <c r="A18" s="22">
        <v>42461</v>
      </c>
      <c r="B18" s="23">
        <v>348485.1179999999</v>
      </c>
      <c r="C18" s="23">
        <v>0</v>
      </c>
      <c r="D18" s="24"/>
      <c r="E18" s="24">
        <v>321669</v>
      </c>
      <c r="F18" s="24">
        <v>0</v>
      </c>
      <c r="G18" s="24">
        <v>3923990</v>
      </c>
      <c r="H18" s="25">
        <v>591296</v>
      </c>
      <c r="I18" s="25">
        <v>4572944</v>
      </c>
      <c r="J18" s="25">
        <v>39035</v>
      </c>
      <c r="K18" s="25">
        <v>428924</v>
      </c>
      <c r="L18" s="25">
        <v>227803</v>
      </c>
      <c r="M18" s="25">
        <v>531237</v>
      </c>
      <c r="N18" s="20">
        <v>686</v>
      </c>
    </row>
    <row r="19" spans="1:14" x14ac:dyDescent="0.25">
      <c r="A19" s="22">
        <v>42491</v>
      </c>
      <c r="B19" s="23">
        <v>328814.3029999999</v>
      </c>
      <c r="C19" s="23">
        <v>0</v>
      </c>
      <c r="D19" s="24"/>
      <c r="E19" s="24">
        <v>310284</v>
      </c>
      <c r="F19" s="24">
        <v>0</v>
      </c>
      <c r="G19" s="24">
        <v>3896197</v>
      </c>
      <c r="H19" s="25">
        <v>665351</v>
      </c>
      <c r="I19" s="25">
        <v>4499733</v>
      </c>
      <c r="J19" s="25">
        <v>104532</v>
      </c>
      <c r="K19" s="25">
        <v>387150</v>
      </c>
      <c r="L19" s="25">
        <v>306078</v>
      </c>
      <c r="M19" s="25">
        <v>549056</v>
      </c>
      <c r="N19" s="25">
        <v>13038</v>
      </c>
    </row>
    <row r="20" spans="1:14" x14ac:dyDescent="0.25">
      <c r="A20" s="22">
        <v>42522</v>
      </c>
      <c r="B20" s="23">
        <v>292772.39200000005</v>
      </c>
      <c r="C20" s="23">
        <v>360</v>
      </c>
      <c r="D20" s="24"/>
      <c r="E20" s="24">
        <v>323205</v>
      </c>
      <c r="F20" s="24">
        <v>0</v>
      </c>
      <c r="G20" s="24">
        <v>3924724</v>
      </c>
      <c r="H20" s="25">
        <v>614669</v>
      </c>
      <c r="I20" s="25">
        <v>4616496</v>
      </c>
      <c r="J20" s="25">
        <v>147188</v>
      </c>
      <c r="K20" s="25">
        <v>511390</v>
      </c>
      <c r="L20" s="25">
        <v>24988</v>
      </c>
      <c r="M20" s="25">
        <v>539190</v>
      </c>
      <c r="N20" s="20">
        <v>466</v>
      </c>
    </row>
    <row r="21" spans="1:14" x14ac:dyDescent="0.25">
      <c r="A21" s="22">
        <v>42552</v>
      </c>
      <c r="B21" s="23">
        <v>337435.20300000004</v>
      </c>
      <c r="C21" s="23">
        <v>0</v>
      </c>
      <c r="D21" s="24"/>
      <c r="E21" s="24">
        <v>311131</v>
      </c>
      <c r="F21" s="24">
        <v>0</v>
      </c>
      <c r="G21" s="24">
        <v>3705479</v>
      </c>
      <c r="H21" s="25">
        <v>861562</v>
      </c>
      <c r="I21" s="25">
        <v>4697057</v>
      </c>
      <c r="K21" s="25">
        <v>548155</v>
      </c>
      <c r="L21" s="25">
        <v>54882</v>
      </c>
      <c r="M21" s="25">
        <v>584940</v>
      </c>
      <c r="N21" s="25">
        <v>4418</v>
      </c>
    </row>
    <row r="22" spans="1:14" x14ac:dyDescent="0.25">
      <c r="A22" s="22">
        <v>42583</v>
      </c>
      <c r="B22" s="23">
        <v>327183.08100000006</v>
      </c>
      <c r="C22" s="23">
        <v>0</v>
      </c>
      <c r="D22" s="24"/>
      <c r="E22" s="24">
        <v>330832</v>
      </c>
      <c r="F22" s="24">
        <v>80</v>
      </c>
      <c r="G22" s="24">
        <v>3863525</v>
      </c>
      <c r="H22" s="25">
        <v>780326</v>
      </c>
      <c r="I22" s="25">
        <v>4903385</v>
      </c>
      <c r="J22" s="25">
        <v>22746</v>
      </c>
      <c r="K22" s="25">
        <v>516929</v>
      </c>
      <c r="L22" s="25">
        <v>41146</v>
      </c>
      <c r="M22" s="25">
        <v>572162</v>
      </c>
      <c r="N22" s="20">
        <v>262</v>
      </c>
    </row>
    <row r="23" spans="1:14" x14ac:dyDescent="0.25">
      <c r="A23" s="22">
        <v>42614</v>
      </c>
      <c r="B23" s="23">
        <v>313309.16499999992</v>
      </c>
      <c r="C23" s="23">
        <v>0</v>
      </c>
      <c r="D23" s="24"/>
      <c r="E23" s="24">
        <v>333044</v>
      </c>
      <c r="F23" s="24">
        <v>0</v>
      </c>
      <c r="G23" s="24">
        <v>3595229</v>
      </c>
      <c r="H23" s="25">
        <v>769797</v>
      </c>
      <c r="I23" s="25">
        <v>4775598</v>
      </c>
      <c r="K23" s="25">
        <v>435265</v>
      </c>
      <c r="L23" s="25">
        <v>106182</v>
      </c>
      <c r="M23" s="25">
        <v>538965</v>
      </c>
      <c r="N23" s="25">
        <v>3427</v>
      </c>
    </row>
    <row r="24" spans="1:14" x14ac:dyDescent="0.25">
      <c r="A24" s="22">
        <v>42644</v>
      </c>
      <c r="B24" s="23">
        <v>341024.12200000003</v>
      </c>
      <c r="C24" s="23">
        <v>0</v>
      </c>
      <c r="D24" s="24"/>
      <c r="E24" s="24">
        <v>332245</v>
      </c>
      <c r="F24" s="24">
        <v>0</v>
      </c>
      <c r="G24" s="24">
        <v>3971110</v>
      </c>
      <c r="H24" s="25">
        <v>659024</v>
      </c>
      <c r="I24" s="25">
        <v>4631472</v>
      </c>
      <c r="K24" s="25">
        <v>546078</v>
      </c>
      <c r="L24" s="25">
        <v>148478</v>
      </c>
      <c r="M24" s="25">
        <v>554820</v>
      </c>
      <c r="N24" s="25">
        <v>1011</v>
      </c>
    </row>
    <row r="25" spans="1:14" x14ac:dyDescent="0.25">
      <c r="A25" s="22">
        <v>42675</v>
      </c>
      <c r="B25" s="23">
        <v>321559.97399999999</v>
      </c>
      <c r="C25" s="23">
        <v>0</v>
      </c>
      <c r="D25" s="24"/>
      <c r="E25" s="24">
        <v>313127</v>
      </c>
      <c r="F25" s="24">
        <v>0</v>
      </c>
      <c r="G25" s="24">
        <v>3417354</v>
      </c>
      <c r="H25" s="25">
        <v>727003</v>
      </c>
      <c r="I25" s="25">
        <v>4400046</v>
      </c>
      <c r="K25" s="25">
        <v>506543</v>
      </c>
      <c r="L25" s="20">
        <v>0</v>
      </c>
      <c r="M25" s="25">
        <v>528356</v>
      </c>
      <c r="N25" s="20">
        <v>685</v>
      </c>
    </row>
    <row r="26" spans="1:14" x14ac:dyDescent="0.25">
      <c r="A26" s="22">
        <v>42705</v>
      </c>
      <c r="B26" s="23">
        <v>296144.6829999999</v>
      </c>
      <c r="C26" s="23">
        <v>0</v>
      </c>
      <c r="D26" s="24"/>
      <c r="E26" s="24">
        <v>305293</v>
      </c>
      <c r="F26" s="24">
        <v>50</v>
      </c>
      <c r="G26" s="24">
        <v>3077585</v>
      </c>
      <c r="H26" s="25">
        <v>730904</v>
      </c>
      <c r="I26" s="25">
        <v>4203043</v>
      </c>
      <c r="J26" s="25">
        <v>90844</v>
      </c>
      <c r="K26" s="25">
        <v>477896</v>
      </c>
      <c r="L26" s="25">
        <v>43055</v>
      </c>
      <c r="M26" s="25">
        <v>574163</v>
      </c>
      <c r="N26" s="20">
        <v>104</v>
      </c>
    </row>
    <row r="27" spans="1:14" x14ac:dyDescent="0.25">
      <c r="A27" s="22">
        <v>42736</v>
      </c>
      <c r="B27" s="24">
        <v>244887.56400000001</v>
      </c>
      <c r="C27" s="24">
        <v>0</v>
      </c>
      <c r="D27" s="24">
        <v>14</v>
      </c>
      <c r="E27" s="24">
        <v>262159</v>
      </c>
      <c r="F27" s="24">
        <v>0</v>
      </c>
      <c r="G27" s="24">
        <v>3314716</v>
      </c>
      <c r="H27" s="25">
        <v>832683</v>
      </c>
      <c r="I27" s="25">
        <v>3959167</v>
      </c>
      <c r="J27" s="25">
        <v>92173</v>
      </c>
      <c r="K27" s="24">
        <v>543195</v>
      </c>
      <c r="L27" s="25">
        <v>121493</v>
      </c>
      <c r="M27" s="25">
        <v>605899</v>
      </c>
      <c r="N27" s="25">
        <v>8905</v>
      </c>
    </row>
    <row r="28" spans="1:14" x14ac:dyDescent="0.25">
      <c r="A28" s="22">
        <v>42767</v>
      </c>
      <c r="B28" s="24">
        <v>247453.04300000001</v>
      </c>
      <c r="C28" s="24">
        <v>0</v>
      </c>
      <c r="D28" s="24">
        <v>14</v>
      </c>
      <c r="E28" s="24">
        <v>262379</v>
      </c>
      <c r="F28" s="24">
        <v>0</v>
      </c>
      <c r="G28" s="24">
        <v>3090867</v>
      </c>
      <c r="H28" s="25">
        <v>1164008</v>
      </c>
      <c r="I28" s="25">
        <v>4034946</v>
      </c>
      <c r="J28" s="25">
        <v>46927</v>
      </c>
      <c r="K28" s="24">
        <v>490564</v>
      </c>
      <c r="L28" s="25">
        <v>26488</v>
      </c>
      <c r="M28" s="25">
        <v>500332</v>
      </c>
      <c r="N28" s="20">
        <v>0</v>
      </c>
    </row>
    <row r="29" spans="1:14" x14ac:dyDescent="0.25">
      <c r="A29" s="22">
        <v>42795</v>
      </c>
      <c r="B29" s="24">
        <v>317165.90000000002</v>
      </c>
      <c r="C29" s="24">
        <v>0</v>
      </c>
      <c r="D29" s="24">
        <v>12</v>
      </c>
      <c r="E29" s="24">
        <v>355433</v>
      </c>
      <c r="F29" s="24">
        <v>0</v>
      </c>
      <c r="G29" s="24">
        <v>3510738</v>
      </c>
      <c r="H29" s="25">
        <v>834017</v>
      </c>
      <c r="I29" s="25">
        <v>4852097</v>
      </c>
      <c r="J29" s="25">
        <v>60845</v>
      </c>
      <c r="K29" s="24">
        <v>505903</v>
      </c>
      <c r="L29" s="25">
        <v>78043</v>
      </c>
      <c r="M29" s="25">
        <v>561215</v>
      </c>
      <c r="N29" s="25">
        <v>4477</v>
      </c>
    </row>
    <row r="30" spans="1:14" x14ac:dyDescent="0.25">
      <c r="A30" s="22">
        <v>42826</v>
      </c>
      <c r="B30" s="24">
        <v>329460.45500000002</v>
      </c>
      <c r="C30" s="24">
        <v>0</v>
      </c>
      <c r="D30" s="24">
        <v>11</v>
      </c>
      <c r="E30" s="24">
        <v>330418</v>
      </c>
      <c r="F30" s="24">
        <v>0</v>
      </c>
      <c r="G30" s="24">
        <v>3469239</v>
      </c>
      <c r="H30" s="25">
        <v>802638</v>
      </c>
      <c r="I30" s="25">
        <v>4146624</v>
      </c>
      <c r="K30" s="24">
        <v>496604</v>
      </c>
      <c r="L30" s="20">
        <v>0</v>
      </c>
      <c r="M30" s="25">
        <v>515493</v>
      </c>
      <c r="N30" s="25">
        <v>4401</v>
      </c>
    </row>
    <row r="31" spans="1:14" x14ac:dyDescent="0.25">
      <c r="A31" s="22">
        <v>42856</v>
      </c>
      <c r="B31" s="24">
        <v>352692.07799999998</v>
      </c>
      <c r="C31" s="24">
        <v>0</v>
      </c>
      <c r="D31" s="24">
        <v>11</v>
      </c>
      <c r="E31" s="24">
        <v>370564</v>
      </c>
      <c r="F31" s="24">
        <v>0</v>
      </c>
      <c r="G31" s="24">
        <v>3503426</v>
      </c>
      <c r="H31" s="25">
        <v>803462</v>
      </c>
      <c r="I31" s="25">
        <v>4614687</v>
      </c>
      <c r="J31" s="25">
        <v>49359</v>
      </c>
      <c r="K31" s="24">
        <v>451291</v>
      </c>
      <c r="L31" s="25">
        <v>50682</v>
      </c>
      <c r="M31" s="25">
        <v>536720</v>
      </c>
      <c r="N31" s="20">
        <v>0</v>
      </c>
    </row>
    <row r="32" spans="1:14" x14ac:dyDescent="0.25">
      <c r="A32" s="22">
        <v>42887</v>
      </c>
      <c r="B32" s="24">
        <v>343226.80900000001</v>
      </c>
      <c r="C32" s="24">
        <v>0</v>
      </c>
      <c r="D32" s="24">
        <v>14</v>
      </c>
      <c r="E32" s="24">
        <v>362652</v>
      </c>
      <c r="F32" s="24">
        <v>0</v>
      </c>
      <c r="G32" s="24">
        <v>3319345</v>
      </c>
      <c r="H32" s="25">
        <v>1226452</v>
      </c>
      <c r="I32" s="25">
        <v>4677454</v>
      </c>
      <c r="J32" s="25">
        <v>48228</v>
      </c>
      <c r="K32" s="24">
        <v>499828</v>
      </c>
      <c r="L32" s="25">
        <v>97901</v>
      </c>
      <c r="M32" s="25">
        <v>525071</v>
      </c>
      <c r="N32" s="20">
        <v>142</v>
      </c>
    </row>
    <row r="33" spans="1:14" x14ac:dyDescent="0.25">
      <c r="A33" s="22">
        <v>42917</v>
      </c>
      <c r="B33" s="24">
        <v>370037.73800000001</v>
      </c>
      <c r="C33" s="24">
        <v>0</v>
      </c>
      <c r="D33" s="24">
        <v>14</v>
      </c>
      <c r="E33" s="24">
        <v>374082</v>
      </c>
      <c r="F33" s="24">
        <v>0</v>
      </c>
      <c r="G33" s="24">
        <v>3399743</v>
      </c>
      <c r="H33" s="25">
        <v>1170133</v>
      </c>
      <c r="I33" s="25">
        <v>4821464</v>
      </c>
      <c r="J33" s="25">
        <v>47068</v>
      </c>
      <c r="K33" s="24">
        <v>505434</v>
      </c>
      <c r="L33" s="20">
        <v>0</v>
      </c>
      <c r="M33" s="25">
        <v>588714</v>
      </c>
      <c r="N33" s="25">
        <v>2928</v>
      </c>
    </row>
    <row r="34" spans="1:14" x14ac:dyDescent="0.25">
      <c r="A34" s="22">
        <v>42948</v>
      </c>
      <c r="B34" s="24">
        <v>382017.4</v>
      </c>
      <c r="C34" s="24">
        <v>0</v>
      </c>
      <c r="D34" s="24">
        <v>13</v>
      </c>
      <c r="E34" s="24">
        <v>400801</v>
      </c>
      <c r="F34" s="24">
        <v>0</v>
      </c>
      <c r="G34" s="24">
        <v>3367737</v>
      </c>
      <c r="H34" s="25">
        <v>1257353</v>
      </c>
      <c r="I34" s="25">
        <v>5001582</v>
      </c>
      <c r="J34" s="25">
        <v>55841</v>
      </c>
      <c r="K34" s="24">
        <v>493532</v>
      </c>
      <c r="L34" s="25">
        <v>50177</v>
      </c>
      <c r="M34" s="25">
        <v>569898</v>
      </c>
      <c r="N34" s="25">
        <v>5176</v>
      </c>
    </row>
    <row r="35" spans="1:14" x14ac:dyDescent="0.25">
      <c r="A35" s="22">
        <v>42979</v>
      </c>
      <c r="B35" s="24">
        <v>380706.06599999999</v>
      </c>
      <c r="C35" s="24">
        <v>0</v>
      </c>
      <c r="D35" s="24">
        <v>12</v>
      </c>
      <c r="E35" s="24">
        <v>401897</v>
      </c>
      <c r="F35" s="24">
        <v>0</v>
      </c>
      <c r="G35" s="24">
        <v>3434036</v>
      </c>
      <c r="H35" s="25">
        <v>986908</v>
      </c>
      <c r="I35" s="25">
        <v>4856584</v>
      </c>
      <c r="K35" s="24">
        <v>491959</v>
      </c>
      <c r="L35" s="25">
        <v>48152</v>
      </c>
      <c r="M35" s="25">
        <v>544054</v>
      </c>
      <c r="N35" s="20">
        <v>592</v>
      </c>
    </row>
    <row r="36" spans="1:14" x14ac:dyDescent="0.25">
      <c r="A36" s="22">
        <v>43009</v>
      </c>
      <c r="B36" s="24">
        <v>391344.049</v>
      </c>
      <c r="C36" s="24">
        <v>0</v>
      </c>
      <c r="D36" s="24">
        <v>15</v>
      </c>
      <c r="E36" s="24">
        <v>402462</v>
      </c>
      <c r="F36" s="24">
        <v>113760</v>
      </c>
      <c r="G36" s="24">
        <v>3520994</v>
      </c>
      <c r="H36" s="25">
        <v>1345545</v>
      </c>
      <c r="I36" s="25">
        <v>4915778</v>
      </c>
      <c r="K36" s="24">
        <v>558166</v>
      </c>
      <c r="L36" s="25">
        <v>101854</v>
      </c>
      <c r="M36" s="25">
        <v>572377</v>
      </c>
      <c r="N36" s="20">
        <v>0</v>
      </c>
    </row>
    <row r="37" spans="1:14" x14ac:dyDescent="0.25">
      <c r="A37" s="22">
        <v>43040</v>
      </c>
      <c r="B37" s="24">
        <v>370189.549</v>
      </c>
      <c r="C37" s="24">
        <v>0</v>
      </c>
      <c r="D37" s="24">
        <v>15</v>
      </c>
      <c r="E37" s="24">
        <v>379438</v>
      </c>
      <c r="F37" s="24">
        <v>0</v>
      </c>
      <c r="G37" s="24">
        <v>3394375</v>
      </c>
      <c r="H37" s="25">
        <v>1275430</v>
      </c>
      <c r="I37" s="25">
        <v>4640682</v>
      </c>
      <c r="J37" s="20">
        <v>288</v>
      </c>
      <c r="K37" s="24">
        <v>534189</v>
      </c>
      <c r="L37" s="20">
        <v>0</v>
      </c>
      <c r="M37" s="25">
        <v>562003</v>
      </c>
      <c r="N37" s="20">
        <v>0</v>
      </c>
    </row>
    <row r="38" spans="1:14" x14ac:dyDescent="0.25">
      <c r="A38" s="22">
        <v>43070</v>
      </c>
      <c r="B38" s="24">
        <v>364614.88699999999</v>
      </c>
      <c r="C38" s="24">
        <v>0</v>
      </c>
      <c r="D38" s="24">
        <v>12</v>
      </c>
      <c r="E38" s="24">
        <v>356763</v>
      </c>
      <c r="F38" s="24">
        <v>0</v>
      </c>
      <c r="G38" s="24">
        <v>3300613</v>
      </c>
      <c r="H38" s="25">
        <v>1256600</v>
      </c>
      <c r="I38" s="25">
        <v>4251226</v>
      </c>
      <c r="J38" s="25">
        <v>100239</v>
      </c>
      <c r="K38" s="24">
        <v>597935</v>
      </c>
      <c r="L38" s="25">
        <v>1005</v>
      </c>
      <c r="M38" s="25">
        <v>612403</v>
      </c>
      <c r="N38" s="25">
        <v>5994</v>
      </c>
    </row>
    <row r="39" spans="1:14" x14ac:dyDescent="0.25">
      <c r="A39" s="22">
        <v>43101</v>
      </c>
      <c r="B39" s="24">
        <v>322623.75199999998</v>
      </c>
      <c r="C39" s="24">
        <v>0</v>
      </c>
      <c r="D39" s="24">
        <v>11</v>
      </c>
      <c r="E39" s="24">
        <v>329980</v>
      </c>
      <c r="F39" s="24">
        <v>0</v>
      </c>
      <c r="G39" s="24">
        <v>2941940</v>
      </c>
      <c r="H39" s="25">
        <v>1637906</v>
      </c>
      <c r="I39" s="25">
        <v>4135742</v>
      </c>
      <c r="J39" s="25">
        <v>80098</v>
      </c>
      <c r="K39" s="24">
        <v>681509</v>
      </c>
      <c r="L39" s="25">
        <v>159653</v>
      </c>
      <c r="M39" s="25">
        <v>645418</v>
      </c>
      <c r="N39" s="25">
        <v>4520</v>
      </c>
    </row>
    <row r="40" spans="1:14" x14ac:dyDescent="0.25">
      <c r="A40" s="22">
        <v>43132</v>
      </c>
      <c r="B40" s="24">
        <v>321713.02899999998</v>
      </c>
      <c r="C40" s="24">
        <v>0</v>
      </c>
      <c r="D40" s="24">
        <v>16</v>
      </c>
      <c r="E40" s="24">
        <v>342836</v>
      </c>
      <c r="F40" s="24">
        <v>0</v>
      </c>
      <c r="G40" s="24">
        <v>2777597</v>
      </c>
      <c r="H40" s="25">
        <v>968888</v>
      </c>
      <c r="I40" s="25">
        <v>4120482</v>
      </c>
      <c r="J40" s="25">
        <v>190422</v>
      </c>
      <c r="K40" s="24">
        <v>527169</v>
      </c>
      <c r="L40" s="25">
        <v>47322</v>
      </c>
      <c r="M40" s="25">
        <v>535221</v>
      </c>
      <c r="N40" s="25">
        <v>5928</v>
      </c>
    </row>
    <row r="41" spans="1:14" x14ac:dyDescent="0.25">
      <c r="A41" s="22">
        <v>43160</v>
      </c>
      <c r="B41" s="24">
        <v>437239.92200000002</v>
      </c>
      <c r="C41" s="24">
        <v>0</v>
      </c>
      <c r="D41" s="24">
        <v>14</v>
      </c>
      <c r="E41" s="24">
        <v>443543</v>
      </c>
      <c r="F41" s="24">
        <v>0</v>
      </c>
      <c r="G41" s="24">
        <v>3303556</v>
      </c>
      <c r="H41" s="25">
        <v>1064485</v>
      </c>
      <c r="I41" s="25">
        <v>4825773</v>
      </c>
      <c r="J41" s="25">
        <v>427374</v>
      </c>
      <c r="K41" s="24">
        <v>513682</v>
      </c>
      <c r="L41" s="25">
        <v>24323</v>
      </c>
      <c r="M41" s="25">
        <v>578385</v>
      </c>
      <c r="N41" s="25">
        <v>6000</v>
      </c>
    </row>
    <row r="42" spans="1:14" x14ac:dyDescent="0.25">
      <c r="A42" s="22">
        <v>43191</v>
      </c>
      <c r="B42" s="24">
        <v>448705.70700000005</v>
      </c>
      <c r="C42" s="24">
        <v>0</v>
      </c>
      <c r="D42" s="24">
        <v>16</v>
      </c>
      <c r="E42" s="24">
        <v>453044</v>
      </c>
      <c r="F42" s="24">
        <v>44</v>
      </c>
      <c r="G42" s="24">
        <v>3380686</v>
      </c>
      <c r="H42" s="25">
        <v>1158593</v>
      </c>
      <c r="I42" s="25">
        <v>4618470</v>
      </c>
      <c r="J42" s="25">
        <v>148261</v>
      </c>
      <c r="K42" s="24">
        <v>569354</v>
      </c>
      <c r="L42" s="20">
        <v>410</v>
      </c>
      <c r="M42" s="25">
        <v>567781</v>
      </c>
      <c r="N42" s="25">
        <v>4429</v>
      </c>
    </row>
    <row r="43" spans="1:14" x14ac:dyDescent="0.25">
      <c r="A43" s="22">
        <v>43221</v>
      </c>
      <c r="B43" s="24">
        <v>382497.495</v>
      </c>
      <c r="C43" s="24">
        <v>0</v>
      </c>
      <c r="D43" s="24">
        <v>13</v>
      </c>
      <c r="E43" s="24">
        <v>347730</v>
      </c>
      <c r="F43" s="24">
        <v>0</v>
      </c>
      <c r="G43" s="24">
        <v>3853552</v>
      </c>
      <c r="H43" s="25">
        <v>736601</v>
      </c>
      <c r="I43" s="25">
        <v>3772603</v>
      </c>
      <c r="J43" s="25">
        <v>63419</v>
      </c>
      <c r="K43" s="24">
        <v>553007</v>
      </c>
      <c r="L43" s="20">
        <v>0</v>
      </c>
      <c r="M43" s="25">
        <v>579525</v>
      </c>
      <c r="N43" s="25">
        <v>3008</v>
      </c>
    </row>
    <row r="44" spans="1:14" x14ac:dyDescent="0.25">
      <c r="A44" s="22">
        <v>43252</v>
      </c>
      <c r="B44" s="24">
        <v>466897.56299999997</v>
      </c>
      <c r="C44" s="24">
        <v>0</v>
      </c>
      <c r="D44" s="24">
        <v>15</v>
      </c>
      <c r="E44" s="24">
        <v>489967</v>
      </c>
      <c r="F44" s="24">
        <v>0</v>
      </c>
      <c r="G44" s="24">
        <v>3746955</v>
      </c>
      <c r="H44" s="25">
        <v>670083</v>
      </c>
      <c r="I44" s="25">
        <v>5011752</v>
      </c>
      <c r="J44" s="25">
        <v>20392</v>
      </c>
      <c r="K44" s="24">
        <v>533852</v>
      </c>
      <c r="L44" s="25">
        <v>55920</v>
      </c>
      <c r="M44" s="25">
        <v>570391</v>
      </c>
      <c r="N44" s="25">
        <v>6643</v>
      </c>
    </row>
    <row r="45" spans="1:14" x14ac:dyDescent="0.25">
      <c r="A45" s="22">
        <v>43282</v>
      </c>
      <c r="B45" s="24">
        <v>489079.73800000001</v>
      </c>
      <c r="C45" s="24">
        <v>0</v>
      </c>
      <c r="D45" s="24">
        <v>15</v>
      </c>
      <c r="E45" s="24">
        <v>483288</v>
      </c>
      <c r="F45" s="24">
        <v>19340</v>
      </c>
      <c r="G45" s="24">
        <v>3943519</v>
      </c>
      <c r="H45" s="25">
        <v>714476</v>
      </c>
      <c r="I45" s="25">
        <v>4982153</v>
      </c>
      <c r="J45" s="25">
        <v>1977</v>
      </c>
      <c r="K45" s="24">
        <v>556399</v>
      </c>
      <c r="L45" s="25">
        <v>50425</v>
      </c>
      <c r="M45" s="25">
        <v>643327</v>
      </c>
      <c r="N45" s="25">
        <v>9259</v>
      </c>
    </row>
    <row r="46" spans="1:14" x14ac:dyDescent="0.25">
      <c r="A46" s="22">
        <v>43313</v>
      </c>
      <c r="B46" s="24">
        <v>485842.72399999993</v>
      </c>
      <c r="C46" s="24">
        <v>0</v>
      </c>
      <c r="D46" s="24">
        <v>15</v>
      </c>
      <c r="E46" s="24">
        <v>511622</v>
      </c>
      <c r="F46" s="24">
        <v>0</v>
      </c>
      <c r="G46" s="24">
        <v>3665201</v>
      </c>
      <c r="H46" s="25">
        <v>737135</v>
      </c>
      <c r="I46" s="25">
        <v>5197650</v>
      </c>
      <c r="J46" s="25">
        <v>3678</v>
      </c>
      <c r="K46" s="24">
        <v>450297</v>
      </c>
      <c r="L46" s="20">
        <v>0</v>
      </c>
      <c r="M46" s="25">
        <v>609593</v>
      </c>
      <c r="N46" s="25">
        <v>8330</v>
      </c>
    </row>
    <row r="47" spans="1:14" x14ac:dyDescent="0.25">
      <c r="A47" s="22">
        <v>43344</v>
      </c>
      <c r="B47" s="24">
        <v>479932.52</v>
      </c>
      <c r="C47" s="24">
        <v>0</v>
      </c>
      <c r="D47" s="24">
        <v>14</v>
      </c>
      <c r="E47" s="24">
        <v>474586</v>
      </c>
      <c r="F47" s="24">
        <v>0</v>
      </c>
      <c r="G47" s="24">
        <v>3466066</v>
      </c>
      <c r="H47" s="25">
        <v>473050</v>
      </c>
      <c r="I47" s="25">
        <v>4759701</v>
      </c>
      <c r="J47" s="25">
        <v>2892</v>
      </c>
      <c r="K47" s="24">
        <v>453219</v>
      </c>
      <c r="L47" s="25">
        <v>100633</v>
      </c>
      <c r="M47" s="25">
        <v>592489</v>
      </c>
      <c r="N47" s="25">
        <v>10698</v>
      </c>
    </row>
    <row r="48" spans="1:14" x14ac:dyDescent="0.25">
      <c r="A48" s="22">
        <v>43374</v>
      </c>
      <c r="B48" s="24">
        <v>500316.25800000003</v>
      </c>
      <c r="C48" s="24">
        <v>0</v>
      </c>
      <c r="D48" s="24">
        <v>15</v>
      </c>
      <c r="E48" s="24">
        <v>505461</v>
      </c>
      <c r="F48" s="24">
        <v>19730</v>
      </c>
      <c r="G48" s="24">
        <v>3842669</v>
      </c>
      <c r="H48" s="25">
        <v>1116641</v>
      </c>
      <c r="I48" s="25">
        <v>5058821</v>
      </c>
      <c r="J48" s="25">
        <v>3154</v>
      </c>
      <c r="K48" s="24">
        <v>488884</v>
      </c>
      <c r="L48" s="25">
        <v>194177</v>
      </c>
      <c r="M48" s="25">
        <v>604821</v>
      </c>
      <c r="N48" s="25">
        <v>43561</v>
      </c>
    </row>
    <row r="49" spans="1:14" x14ac:dyDescent="0.25">
      <c r="A49" s="22">
        <v>43405</v>
      </c>
      <c r="B49" s="24">
        <v>479104.56200000003</v>
      </c>
      <c r="C49" s="24">
        <v>25</v>
      </c>
      <c r="D49" s="24">
        <v>13</v>
      </c>
      <c r="E49" s="24">
        <v>488770</v>
      </c>
      <c r="F49" s="24">
        <v>38870</v>
      </c>
      <c r="G49" s="24">
        <v>3591139</v>
      </c>
      <c r="H49" s="25">
        <v>913155</v>
      </c>
      <c r="I49" s="25">
        <v>4738255</v>
      </c>
      <c r="J49" s="25">
        <v>1938</v>
      </c>
      <c r="K49" s="24">
        <v>503606</v>
      </c>
      <c r="L49" s="25">
        <v>130705</v>
      </c>
      <c r="M49" s="25">
        <v>591501</v>
      </c>
      <c r="N49" s="25">
        <v>104464</v>
      </c>
    </row>
    <row r="50" spans="1:14" x14ac:dyDescent="0.25">
      <c r="A50" s="22">
        <v>43435</v>
      </c>
      <c r="B50" s="24">
        <v>473670.875</v>
      </c>
      <c r="C50" s="24">
        <v>0</v>
      </c>
      <c r="D50" s="24">
        <v>12</v>
      </c>
      <c r="E50" s="24">
        <v>457848</v>
      </c>
      <c r="F50" s="24">
        <v>19330</v>
      </c>
      <c r="G50" s="24">
        <v>3444509</v>
      </c>
      <c r="H50" s="25">
        <v>1458944</v>
      </c>
      <c r="I50" s="25">
        <v>4408064</v>
      </c>
      <c r="J50" s="25">
        <v>1589</v>
      </c>
      <c r="K50" s="24">
        <v>545355</v>
      </c>
      <c r="L50" s="25">
        <v>94253</v>
      </c>
      <c r="M50" s="25">
        <v>645979</v>
      </c>
      <c r="N50" s="25">
        <v>151204</v>
      </c>
    </row>
    <row r="51" spans="1:14" x14ac:dyDescent="0.25">
      <c r="A51" s="22">
        <v>43466</v>
      </c>
      <c r="B51" s="24">
        <v>446507.77100000007</v>
      </c>
      <c r="C51" s="24">
        <v>48</v>
      </c>
      <c r="D51" s="24">
        <v>14</v>
      </c>
      <c r="E51" s="24">
        <v>441019</v>
      </c>
      <c r="F51" s="24">
        <v>97430</v>
      </c>
      <c r="G51" s="24">
        <v>3182194</v>
      </c>
      <c r="H51" s="25">
        <v>861789</v>
      </c>
      <c r="I51" s="25">
        <v>4391503</v>
      </c>
      <c r="J51" s="25">
        <v>3247</v>
      </c>
      <c r="K51" s="24">
        <v>600112</v>
      </c>
      <c r="L51" s="25">
        <v>197301</v>
      </c>
      <c r="M51" s="25">
        <v>670243</v>
      </c>
      <c r="N51" s="25">
        <v>189130</v>
      </c>
    </row>
    <row r="52" spans="1:14" x14ac:dyDescent="0.25">
      <c r="A52" s="22">
        <v>43497</v>
      </c>
      <c r="B52" s="24">
        <v>415248.79500000004</v>
      </c>
      <c r="C52" s="24">
        <v>0</v>
      </c>
      <c r="D52" s="24">
        <v>13</v>
      </c>
      <c r="E52" s="24">
        <v>429335</v>
      </c>
      <c r="F52" s="24">
        <v>39130</v>
      </c>
      <c r="G52" s="24">
        <v>3082725</v>
      </c>
      <c r="H52" s="25">
        <v>647576</v>
      </c>
      <c r="I52" s="25">
        <v>4375219</v>
      </c>
      <c r="J52" s="25">
        <v>1852</v>
      </c>
      <c r="K52" s="24">
        <v>516467</v>
      </c>
      <c r="L52" s="25">
        <v>103961</v>
      </c>
      <c r="M52" s="25">
        <v>563442</v>
      </c>
      <c r="N52" s="25">
        <v>244780</v>
      </c>
    </row>
    <row r="53" spans="1:14" x14ac:dyDescent="0.25">
      <c r="A53" s="22">
        <v>43525</v>
      </c>
      <c r="B53" s="24">
        <v>462133.90499999997</v>
      </c>
      <c r="C53" s="24">
        <v>0</v>
      </c>
      <c r="D53" s="24">
        <v>14</v>
      </c>
      <c r="E53" s="24">
        <v>451497</v>
      </c>
      <c r="F53" s="24">
        <v>58620</v>
      </c>
      <c r="G53" s="24">
        <v>3567865</v>
      </c>
      <c r="H53" s="25">
        <v>786397</v>
      </c>
      <c r="I53" s="25">
        <v>4554753</v>
      </c>
      <c r="J53" s="25">
        <v>1933</v>
      </c>
      <c r="K53" s="24">
        <v>494016</v>
      </c>
      <c r="L53" s="20">
        <v>0</v>
      </c>
      <c r="M53" s="25">
        <v>599550</v>
      </c>
      <c r="N53" s="25">
        <v>205577</v>
      </c>
    </row>
    <row r="54" spans="1:14" x14ac:dyDescent="0.25">
      <c r="A54" s="22">
        <v>43556</v>
      </c>
      <c r="B54" s="24">
        <v>464901.55700000003</v>
      </c>
      <c r="C54" s="24">
        <v>0</v>
      </c>
      <c r="D54" s="24">
        <v>12</v>
      </c>
      <c r="E54" s="24">
        <v>469611</v>
      </c>
      <c r="F54" s="24">
        <v>78902</v>
      </c>
      <c r="G54" s="24">
        <v>3503933</v>
      </c>
      <c r="H54" s="25">
        <v>1027490</v>
      </c>
      <c r="I54" s="25">
        <v>4653654</v>
      </c>
      <c r="J54" s="25">
        <v>3682</v>
      </c>
      <c r="K54" s="24">
        <v>468041</v>
      </c>
      <c r="L54" s="25">
        <v>160491</v>
      </c>
      <c r="M54" s="25">
        <v>553828</v>
      </c>
      <c r="N54" s="25">
        <v>158409</v>
      </c>
    </row>
    <row r="55" spans="1:14" x14ac:dyDescent="0.25">
      <c r="A55" s="22">
        <v>43586</v>
      </c>
      <c r="B55" s="24">
        <v>448352.25899999996</v>
      </c>
      <c r="C55" s="24">
        <v>0</v>
      </c>
      <c r="D55" s="24">
        <v>14</v>
      </c>
      <c r="E55" s="24">
        <v>441699</v>
      </c>
      <c r="F55" s="24">
        <v>19400</v>
      </c>
      <c r="G55" s="24">
        <v>3551002</v>
      </c>
      <c r="H55" s="25">
        <v>1097551</v>
      </c>
      <c r="I55" s="25">
        <v>4796718</v>
      </c>
      <c r="J55" s="25">
        <v>4152</v>
      </c>
      <c r="K55" s="24">
        <v>564915</v>
      </c>
      <c r="L55" s="25">
        <v>51614</v>
      </c>
      <c r="M55" s="25">
        <v>549796</v>
      </c>
      <c r="N55" s="25">
        <v>161820</v>
      </c>
    </row>
    <row r="56" spans="1:14" x14ac:dyDescent="0.25">
      <c r="A56" s="22">
        <v>43617</v>
      </c>
      <c r="B56" s="24">
        <v>461613.41000000003</v>
      </c>
      <c r="C56" s="24">
        <v>0</v>
      </c>
      <c r="D56" s="24">
        <v>14</v>
      </c>
      <c r="E56" s="24">
        <v>453311</v>
      </c>
      <c r="F56" s="24">
        <v>0</v>
      </c>
      <c r="G56" s="24">
        <v>3479117</v>
      </c>
      <c r="H56" s="25">
        <v>877462</v>
      </c>
      <c r="I56" s="25">
        <v>4653211</v>
      </c>
      <c r="J56" s="25">
        <v>3595</v>
      </c>
      <c r="K56" s="24">
        <v>486252</v>
      </c>
      <c r="L56" s="20">
        <v>697</v>
      </c>
      <c r="M56" s="25">
        <v>527335</v>
      </c>
      <c r="N56" s="25">
        <v>128515</v>
      </c>
    </row>
    <row r="57" spans="1:14" x14ac:dyDescent="0.25">
      <c r="A57" s="22">
        <v>43647</v>
      </c>
      <c r="B57" s="24">
        <v>495344.28</v>
      </c>
      <c r="C57" s="24">
        <v>0</v>
      </c>
      <c r="D57" s="24">
        <v>14</v>
      </c>
      <c r="E57" s="24">
        <v>480284</v>
      </c>
      <c r="F57" s="24">
        <v>0</v>
      </c>
      <c r="G57" s="24">
        <v>3511568</v>
      </c>
      <c r="H57" s="25">
        <v>1098369</v>
      </c>
      <c r="I57" s="25">
        <v>5187032</v>
      </c>
      <c r="J57" s="25">
        <v>1381</v>
      </c>
      <c r="K57" s="24">
        <v>532775</v>
      </c>
      <c r="L57" s="25">
        <v>11636</v>
      </c>
      <c r="M57" s="25">
        <v>608757</v>
      </c>
      <c r="N57" s="25">
        <v>178789</v>
      </c>
    </row>
    <row r="58" spans="1:14" x14ac:dyDescent="0.25">
      <c r="A58" s="22">
        <v>43678</v>
      </c>
      <c r="B58" s="24">
        <v>503145.54799999995</v>
      </c>
      <c r="C58" s="24">
        <v>200</v>
      </c>
      <c r="D58" s="24">
        <v>17</v>
      </c>
      <c r="E58" s="24">
        <v>503087</v>
      </c>
      <c r="F58" s="24">
        <v>0</v>
      </c>
      <c r="G58" s="24">
        <v>3608933</v>
      </c>
      <c r="H58" s="25">
        <v>1021350</v>
      </c>
      <c r="I58" s="25">
        <v>5284081</v>
      </c>
      <c r="J58" s="25">
        <v>2862</v>
      </c>
      <c r="K58" s="24">
        <v>500207</v>
      </c>
      <c r="L58" s="25">
        <v>143056</v>
      </c>
      <c r="M58" s="25">
        <v>575617</v>
      </c>
      <c r="N58" s="25">
        <v>141105</v>
      </c>
    </row>
    <row r="59" spans="1:14" x14ac:dyDescent="0.25">
      <c r="A59" s="22">
        <v>43709</v>
      </c>
      <c r="B59" s="24">
        <v>558524.27099999995</v>
      </c>
      <c r="C59" s="24">
        <v>0</v>
      </c>
      <c r="D59" s="24">
        <v>14</v>
      </c>
      <c r="E59" s="24">
        <v>554917</v>
      </c>
      <c r="F59" s="24">
        <v>0</v>
      </c>
      <c r="G59" s="24">
        <v>3373384</v>
      </c>
      <c r="H59" s="25">
        <v>1242542</v>
      </c>
      <c r="I59" s="25">
        <v>4891111</v>
      </c>
      <c r="J59" s="25">
        <v>2089</v>
      </c>
      <c r="K59" s="24">
        <v>445536</v>
      </c>
      <c r="L59" s="25">
        <v>157694</v>
      </c>
      <c r="M59" s="25">
        <v>561282</v>
      </c>
      <c r="N59" s="25">
        <v>175880</v>
      </c>
    </row>
    <row r="60" spans="1:14" x14ac:dyDescent="0.25">
      <c r="A60" s="22">
        <v>43739</v>
      </c>
      <c r="B60" s="24">
        <v>583724.73499999999</v>
      </c>
      <c r="C60" s="24">
        <v>0</v>
      </c>
      <c r="D60" s="24">
        <v>17</v>
      </c>
      <c r="E60" s="24">
        <v>603611</v>
      </c>
      <c r="F60" s="24">
        <v>22500</v>
      </c>
      <c r="G60" s="24">
        <v>3296529</v>
      </c>
      <c r="H60" s="25">
        <v>1551589</v>
      </c>
      <c r="I60" s="25">
        <v>5415773</v>
      </c>
      <c r="J60" s="25">
        <v>2119</v>
      </c>
      <c r="K60" s="24">
        <v>394756</v>
      </c>
      <c r="L60" s="25">
        <v>108130</v>
      </c>
      <c r="M60" s="25">
        <v>579047</v>
      </c>
      <c r="N60" s="25">
        <v>162732</v>
      </c>
    </row>
    <row r="61" spans="1:14" x14ac:dyDescent="0.25">
      <c r="A61" s="22">
        <v>43770</v>
      </c>
      <c r="B61" s="24">
        <v>539819.53099999996</v>
      </c>
      <c r="C61" s="24">
        <v>5950</v>
      </c>
      <c r="D61" s="24">
        <v>15</v>
      </c>
      <c r="E61" s="24">
        <v>527938</v>
      </c>
      <c r="F61" s="24">
        <v>11718</v>
      </c>
      <c r="G61" s="24">
        <v>3329876</v>
      </c>
      <c r="H61" s="25">
        <v>1910372</v>
      </c>
      <c r="I61" s="25">
        <v>4808784</v>
      </c>
      <c r="J61" s="25">
        <v>7048</v>
      </c>
      <c r="K61" s="24">
        <v>446411</v>
      </c>
      <c r="L61" s="25">
        <v>52276</v>
      </c>
      <c r="M61" s="25">
        <v>571324</v>
      </c>
      <c r="N61" s="25">
        <v>126544</v>
      </c>
    </row>
    <row r="62" spans="1:14" x14ac:dyDescent="0.25">
      <c r="A62" s="22">
        <v>43800</v>
      </c>
      <c r="B62" s="24">
        <v>523471.74100000004</v>
      </c>
      <c r="C62" s="24">
        <v>0</v>
      </c>
      <c r="D62" s="24">
        <v>16</v>
      </c>
      <c r="E62" s="24">
        <v>491033</v>
      </c>
      <c r="F62" s="24">
        <v>0</v>
      </c>
      <c r="G62" s="24">
        <v>3511379</v>
      </c>
      <c r="H62" s="25">
        <v>885278</v>
      </c>
      <c r="I62" s="25">
        <v>4286609</v>
      </c>
      <c r="J62" s="25">
        <v>10846</v>
      </c>
      <c r="K62" s="24">
        <v>617186</v>
      </c>
      <c r="L62" s="25">
        <v>50899</v>
      </c>
      <c r="M62" s="25">
        <v>620345</v>
      </c>
      <c r="N62" s="25">
        <v>140752</v>
      </c>
    </row>
    <row r="63" spans="1:14" x14ac:dyDescent="0.25">
      <c r="A63" s="22">
        <v>43831</v>
      </c>
      <c r="B63" s="24">
        <v>467595.51099999994</v>
      </c>
      <c r="C63" s="24">
        <v>175</v>
      </c>
      <c r="D63" s="24">
        <v>14</v>
      </c>
      <c r="E63" s="24">
        <v>482970.02499999985</v>
      </c>
      <c r="F63" s="24">
        <v>0</v>
      </c>
      <c r="G63" s="24">
        <v>3406108</v>
      </c>
      <c r="H63" s="25">
        <v>1188065</v>
      </c>
      <c r="I63" s="25">
        <v>4432971</v>
      </c>
      <c r="J63" s="25">
        <v>35125</v>
      </c>
      <c r="K63" s="24">
        <v>583443</v>
      </c>
      <c r="L63" s="25">
        <v>152003</v>
      </c>
      <c r="M63" s="25">
        <v>647021</v>
      </c>
      <c r="N63" s="25">
        <v>145625</v>
      </c>
    </row>
    <row r="64" spans="1:14" x14ac:dyDescent="0.25">
      <c r="A64" s="22">
        <v>43862</v>
      </c>
      <c r="B64" s="24">
        <v>483186.18700000003</v>
      </c>
      <c r="C64" s="24">
        <v>300</v>
      </c>
      <c r="D64" s="24">
        <v>17</v>
      </c>
      <c r="E64" s="24">
        <v>483904.27400000027</v>
      </c>
      <c r="F64" s="24">
        <v>22500</v>
      </c>
      <c r="G64" s="24">
        <v>3203121</v>
      </c>
      <c r="H64" s="25">
        <v>1122885</v>
      </c>
      <c r="I64" s="25">
        <v>4514232</v>
      </c>
      <c r="J64" s="25">
        <v>9531</v>
      </c>
      <c r="K64" s="24">
        <v>514197</v>
      </c>
      <c r="L64" s="25">
        <v>92821</v>
      </c>
      <c r="M64" s="25">
        <v>562272</v>
      </c>
      <c r="N64" s="25">
        <v>162379</v>
      </c>
    </row>
    <row r="65" spans="1:15" x14ac:dyDescent="0.25">
      <c r="A65" s="22">
        <v>43891</v>
      </c>
      <c r="B65" s="24">
        <v>550297.80299999996</v>
      </c>
      <c r="C65" s="24">
        <v>720</v>
      </c>
      <c r="D65" s="24">
        <v>16</v>
      </c>
      <c r="E65" s="24">
        <v>523976.06900000008</v>
      </c>
      <c r="F65" s="24">
        <v>22500</v>
      </c>
      <c r="G65" s="24">
        <v>3188424</v>
      </c>
      <c r="H65" s="25">
        <v>945817</v>
      </c>
      <c r="I65" s="25">
        <v>4710564</v>
      </c>
      <c r="J65" s="25">
        <v>53118</v>
      </c>
      <c r="K65" s="24">
        <v>463326</v>
      </c>
      <c r="L65" s="20">
        <v>0</v>
      </c>
      <c r="M65" s="25">
        <v>426035</v>
      </c>
      <c r="N65" s="25">
        <v>176106</v>
      </c>
    </row>
    <row r="66" spans="1:15" x14ac:dyDescent="0.25">
      <c r="A66" s="22">
        <v>43922</v>
      </c>
      <c r="B66" s="24">
        <v>439526.82999999996</v>
      </c>
      <c r="C66" s="24">
        <v>800</v>
      </c>
      <c r="D66" s="24">
        <v>14</v>
      </c>
      <c r="E66" s="24">
        <v>467535.79299999989</v>
      </c>
      <c r="F66" s="24">
        <v>3136010</v>
      </c>
      <c r="G66" s="24">
        <v>2604965</v>
      </c>
      <c r="H66" s="25">
        <v>997146</v>
      </c>
      <c r="I66" s="25">
        <v>4004817</v>
      </c>
      <c r="J66" s="25">
        <v>91539</v>
      </c>
      <c r="K66" s="24">
        <v>76237</v>
      </c>
      <c r="L66" s="20">
        <v>0</v>
      </c>
      <c r="M66" s="25">
        <v>84572</v>
      </c>
      <c r="N66" s="25">
        <v>60957</v>
      </c>
    </row>
    <row r="67" spans="1:15" x14ac:dyDescent="0.25">
      <c r="A67" s="22">
        <v>43952</v>
      </c>
      <c r="B67" s="24">
        <v>481494.36499999999</v>
      </c>
      <c r="C67" s="24">
        <v>0</v>
      </c>
      <c r="D67" s="24">
        <v>14</v>
      </c>
      <c r="E67" s="24">
        <v>499411.71000000008</v>
      </c>
      <c r="F67" s="24">
        <v>0</v>
      </c>
      <c r="G67" s="24">
        <v>3389265</v>
      </c>
      <c r="H67" s="25">
        <v>705175</v>
      </c>
      <c r="I67" s="25">
        <v>4360350</v>
      </c>
      <c r="J67" s="25">
        <v>103704</v>
      </c>
      <c r="K67" s="24">
        <v>37845</v>
      </c>
      <c r="L67" s="20">
        <v>0</v>
      </c>
      <c r="M67" s="25">
        <v>102926</v>
      </c>
      <c r="N67" s="25">
        <v>34241</v>
      </c>
    </row>
    <row r="68" spans="1:15" x14ac:dyDescent="0.25">
      <c r="A68" s="22">
        <v>43983</v>
      </c>
      <c r="B68" s="24">
        <v>540129.83799999999</v>
      </c>
      <c r="C68" s="24">
        <v>0</v>
      </c>
      <c r="D68" s="24">
        <v>21</v>
      </c>
      <c r="E68" s="24">
        <v>520992.114</v>
      </c>
      <c r="F68" s="24">
        <v>22500</v>
      </c>
      <c r="G68" s="24">
        <v>3587193</v>
      </c>
      <c r="H68" s="25">
        <v>834461</v>
      </c>
      <c r="I68" s="25">
        <v>4696043</v>
      </c>
      <c r="J68" s="25">
        <v>6677</v>
      </c>
      <c r="K68" s="24">
        <v>127587</v>
      </c>
      <c r="L68" s="20">
        <v>0</v>
      </c>
      <c r="M68" s="25">
        <v>128010</v>
      </c>
      <c r="N68" s="25">
        <v>38862</v>
      </c>
    </row>
    <row r="69" spans="1:15" x14ac:dyDescent="0.25">
      <c r="A69" s="22">
        <v>44013</v>
      </c>
      <c r="B69" s="24">
        <v>603331.29600000009</v>
      </c>
      <c r="C69" s="24">
        <v>350</v>
      </c>
      <c r="D69" s="24">
        <v>18</v>
      </c>
      <c r="E69" s="24">
        <v>624655.13800000027</v>
      </c>
      <c r="F69" s="24">
        <v>22500</v>
      </c>
      <c r="G69" s="24">
        <v>3853360</v>
      </c>
      <c r="H69" s="25">
        <v>1131519</v>
      </c>
      <c r="I69" s="25">
        <v>5231146</v>
      </c>
      <c r="J69" s="25">
        <v>3261</v>
      </c>
      <c r="K69" s="24">
        <v>193606</v>
      </c>
      <c r="L69" s="20">
        <v>0</v>
      </c>
      <c r="M69" s="25">
        <v>164670</v>
      </c>
      <c r="N69" s="25">
        <v>71008</v>
      </c>
    </row>
    <row r="70" spans="1:15" x14ac:dyDescent="0.25">
      <c r="A70" s="22">
        <v>44044</v>
      </c>
      <c r="B70" s="24">
        <v>623937.82499999995</v>
      </c>
      <c r="C70" s="24">
        <v>0</v>
      </c>
      <c r="D70" s="24">
        <v>20</v>
      </c>
      <c r="E70" s="24">
        <v>615218.59499999997</v>
      </c>
      <c r="F70" s="24">
        <v>45000</v>
      </c>
      <c r="G70" s="24">
        <v>4015397</v>
      </c>
      <c r="H70" s="25">
        <v>1127926</v>
      </c>
      <c r="I70" s="25">
        <v>5164422</v>
      </c>
      <c r="J70" s="25">
        <v>3008</v>
      </c>
      <c r="K70" s="24">
        <v>212788</v>
      </c>
      <c r="L70" s="20">
        <v>0</v>
      </c>
      <c r="M70" s="25">
        <v>195726</v>
      </c>
      <c r="N70" s="25">
        <v>47936</v>
      </c>
    </row>
    <row r="71" spans="1:15" x14ac:dyDescent="0.25">
      <c r="A71" s="22">
        <v>44075</v>
      </c>
      <c r="B71" s="24">
        <v>591633.72400000005</v>
      </c>
      <c r="C71" s="24">
        <v>0</v>
      </c>
      <c r="D71" s="24">
        <v>15</v>
      </c>
      <c r="E71" s="24">
        <v>581021.34799999965</v>
      </c>
      <c r="F71" s="24">
        <v>0</v>
      </c>
      <c r="G71" s="24">
        <v>3862639</v>
      </c>
      <c r="H71" s="25">
        <v>985362</v>
      </c>
      <c r="I71" s="25">
        <v>5237176</v>
      </c>
      <c r="J71" s="25">
        <v>4635</v>
      </c>
      <c r="K71" s="24">
        <v>165546</v>
      </c>
      <c r="L71" s="20">
        <v>0</v>
      </c>
      <c r="M71" s="25">
        <v>230513</v>
      </c>
      <c r="N71" s="25">
        <v>62232</v>
      </c>
    </row>
    <row r="72" spans="1:15" x14ac:dyDescent="0.25">
      <c r="A72" s="22">
        <v>44105</v>
      </c>
      <c r="B72" s="24">
        <v>590535.875</v>
      </c>
      <c r="C72" s="24">
        <v>175</v>
      </c>
      <c r="D72" s="24">
        <v>18</v>
      </c>
      <c r="E72" s="24">
        <v>583355.3540000004</v>
      </c>
      <c r="F72" s="24">
        <v>0</v>
      </c>
      <c r="G72" s="24">
        <v>3988105</v>
      </c>
      <c r="H72" s="25">
        <v>1175976</v>
      </c>
      <c r="I72" s="25">
        <v>5537466</v>
      </c>
      <c r="J72" s="25">
        <v>1103</v>
      </c>
      <c r="K72" s="24">
        <v>239349</v>
      </c>
      <c r="L72" s="20">
        <v>0</v>
      </c>
      <c r="M72" s="25">
        <v>295195</v>
      </c>
      <c r="N72" s="25">
        <v>57388</v>
      </c>
    </row>
    <row r="73" spans="1:15" x14ac:dyDescent="0.25">
      <c r="A73" s="22">
        <v>44136</v>
      </c>
      <c r="B73" s="24">
        <v>556274.81400000001</v>
      </c>
      <c r="C73" s="24">
        <v>175</v>
      </c>
      <c r="D73" s="24">
        <v>18</v>
      </c>
      <c r="E73" s="24">
        <v>520847.35100000037</v>
      </c>
      <c r="F73" s="24">
        <v>0</v>
      </c>
      <c r="G73" s="24">
        <v>3566661</v>
      </c>
      <c r="H73" s="25">
        <v>852121</v>
      </c>
      <c r="I73" s="25">
        <v>4900948</v>
      </c>
      <c r="J73" s="25">
        <v>2932</v>
      </c>
      <c r="K73" s="24">
        <v>296355</v>
      </c>
      <c r="L73" s="20">
        <v>0</v>
      </c>
      <c r="M73" s="25">
        <v>321764</v>
      </c>
      <c r="N73" s="25">
        <v>69720</v>
      </c>
    </row>
    <row r="74" spans="1:15" x14ac:dyDescent="0.25">
      <c r="A74" s="22">
        <v>44166</v>
      </c>
      <c r="B74" s="24">
        <v>517235.70600000001</v>
      </c>
      <c r="C74" s="24">
        <v>5950</v>
      </c>
      <c r="D74" s="24">
        <v>17</v>
      </c>
      <c r="E74" s="24">
        <v>489034.22799999977</v>
      </c>
      <c r="F74" s="24">
        <v>0</v>
      </c>
      <c r="G74" s="24">
        <v>3566620</v>
      </c>
      <c r="H74" s="25">
        <v>928104</v>
      </c>
      <c r="I74" s="25">
        <v>4681920</v>
      </c>
      <c r="J74" s="20">
        <v>960</v>
      </c>
      <c r="K74" s="24">
        <v>358826</v>
      </c>
      <c r="L74" s="25">
        <v>81862</v>
      </c>
      <c r="M74" s="25">
        <v>387503</v>
      </c>
      <c r="N74" s="25">
        <v>66798</v>
      </c>
      <c r="O74" s="25">
        <f>SUM(M63:M74)</f>
        <v>3546207</v>
      </c>
    </row>
    <row r="75" spans="1:15" x14ac:dyDescent="0.25">
      <c r="A75" s="22">
        <v>44197</v>
      </c>
      <c r="B75" s="24">
        <v>508607.97600000002</v>
      </c>
      <c r="C75" s="24">
        <v>0</v>
      </c>
      <c r="D75" s="24">
        <v>16</v>
      </c>
      <c r="E75" s="24">
        <v>534070.67699999991</v>
      </c>
      <c r="F75" s="24">
        <v>0</v>
      </c>
      <c r="G75" s="24">
        <v>3502674</v>
      </c>
      <c r="H75" s="25">
        <v>790919</v>
      </c>
      <c r="I75" s="25">
        <v>4523815</v>
      </c>
      <c r="J75" s="25">
        <v>1133</v>
      </c>
      <c r="K75" s="24">
        <v>396965</v>
      </c>
      <c r="L75" s="20">
        <v>0</v>
      </c>
      <c r="M75" s="25">
        <v>405265</v>
      </c>
      <c r="N75" s="25">
        <v>96132</v>
      </c>
    </row>
    <row r="76" spans="1:15" x14ac:dyDescent="0.25">
      <c r="A76" s="22">
        <v>44228</v>
      </c>
      <c r="B76" s="24">
        <v>527465.37199999997</v>
      </c>
      <c r="C76" s="24">
        <v>6300</v>
      </c>
      <c r="D76" s="24">
        <v>17</v>
      </c>
      <c r="E76" s="24">
        <v>568845.73499999999</v>
      </c>
      <c r="F76" s="24">
        <v>0</v>
      </c>
      <c r="G76" s="24">
        <v>3280239</v>
      </c>
      <c r="H76" s="25">
        <v>712839</v>
      </c>
      <c r="I76" s="25">
        <v>4440446</v>
      </c>
      <c r="J76" s="25">
        <v>3620</v>
      </c>
      <c r="K76" s="24">
        <v>325582</v>
      </c>
      <c r="L76" s="25">
        <v>103105</v>
      </c>
      <c r="M76" s="25">
        <v>309499</v>
      </c>
      <c r="N76" s="25">
        <v>61906</v>
      </c>
    </row>
    <row r="77" spans="1:15" x14ac:dyDescent="0.25">
      <c r="A77" s="22">
        <v>44256</v>
      </c>
      <c r="B77" s="24">
        <v>642715.21200000006</v>
      </c>
      <c r="C77" s="24">
        <v>0</v>
      </c>
      <c r="D77" s="24">
        <v>16</v>
      </c>
      <c r="E77" s="24">
        <v>650712.51300000027</v>
      </c>
      <c r="F77" s="24">
        <v>0</v>
      </c>
      <c r="G77" s="24">
        <v>3565161</v>
      </c>
      <c r="H77" s="25">
        <v>892303</v>
      </c>
      <c r="I77" s="25">
        <v>5496596</v>
      </c>
      <c r="J77" s="25">
        <v>1442</v>
      </c>
      <c r="K77" s="24">
        <v>246753</v>
      </c>
      <c r="L77" s="25">
        <v>51567</v>
      </c>
      <c r="M77" s="25">
        <v>296041</v>
      </c>
      <c r="N77" s="25">
        <v>96029</v>
      </c>
    </row>
    <row r="78" spans="1:15" x14ac:dyDescent="0.25">
      <c r="A78" s="22">
        <v>44287</v>
      </c>
      <c r="B78" s="24">
        <v>630953.80999999994</v>
      </c>
      <c r="C78" s="24">
        <v>0</v>
      </c>
      <c r="D78" s="24">
        <v>20</v>
      </c>
      <c r="E78" s="24">
        <v>648161.35300000035</v>
      </c>
      <c r="F78" s="24">
        <v>0</v>
      </c>
      <c r="G78" s="24">
        <v>3369192</v>
      </c>
      <c r="H78" s="25">
        <v>1402444</v>
      </c>
      <c r="I78" s="25">
        <v>5085851</v>
      </c>
      <c r="J78" s="25">
        <v>2094</v>
      </c>
      <c r="K78" s="24">
        <v>167367</v>
      </c>
      <c r="L78" s="25">
        <v>68226</v>
      </c>
      <c r="M78" s="25">
        <v>239777</v>
      </c>
      <c r="N78" s="25">
        <v>78518</v>
      </c>
    </row>
    <row r="79" spans="1:15" x14ac:dyDescent="0.25">
      <c r="A79" s="22">
        <v>44317</v>
      </c>
      <c r="B79" s="24">
        <v>541741.995</v>
      </c>
      <c r="C79" s="24">
        <v>702</v>
      </c>
      <c r="D79" s="24">
        <v>15</v>
      </c>
      <c r="E79" s="24">
        <v>505124.81700000004</v>
      </c>
      <c r="F79" s="24">
        <v>18</v>
      </c>
      <c r="G79" s="24">
        <v>3551387</v>
      </c>
      <c r="H79" s="25">
        <v>1365763</v>
      </c>
      <c r="I79" s="25">
        <v>5022152</v>
      </c>
      <c r="J79" s="25">
        <v>2602</v>
      </c>
      <c r="K79" s="24">
        <v>196584</v>
      </c>
      <c r="L79" s="20">
        <v>0</v>
      </c>
      <c r="M79" s="25">
        <v>290208</v>
      </c>
      <c r="N79" s="25">
        <v>81378</v>
      </c>
    </row>
    <row r="80" spans="1:15" x14ac:dyDescent="0.25">
      <c r="A80" s="22">
        <v>44348</v>
      </c>
      <c r="B80" s="24">
        <v>527669.81000000006</v>
      </c>
      <c r="C80" s="24">
        <v>0</v>
      </c>
      <c r="D80" s="24">
        <v>17</v>
      </c>
      <c r="E80" s="24">
        <v>512989.49400000036</v>
      </c>
      <c r="F80" s="24">
        <v>0</v>
      </c>
      <c r="G80" s="24">
        <v>3501904</v>
      </c>
      <c r="H80" s="25">
        <v>1249470</v>
      </c>
      <c r="I80" s="25">
        <v>5116079</v>
      </c>
      <c r="J80" s="25">
        <v>2500</v>
      </c>
      <c r="K80" s="24">
        <v>297998</v>
      </c>
      <c r="L80" s="20">
        <v>0</v>
      </c>
      <c r="M80" s="25">
        <v>311438</v>
      </c>
      <c r="N80" s="25">
        <v>85785</v>
      </c>
    </row>
    <row r="81" spans="1:15" x14ac:dyDescent="0.25">
      <c r="A81" s="22">
        <v>44378</v>
      </c>
      <c r="B81" s="24">
        <v>560645.84600000002</v>
      </c>
      <c r="C81" s="24">
        <v>6125</v>
      </c>
      <c r="D81" s="24">
        <v>17</v>
      </c>
      <c r="E81" s="24">
        <v>539260.03500000003</v>
      </c>
      <c r="F81" s="24">
        <v>5</v>
      </c>
      <c r="G81" s="24">
        <v>3821294</v>
      </c>
      <c r="H81" s="25">
        <v>1237258</v>
      </c>
      <c r="I81" s="25">
        <v>5617510</v>
      </c>
      <c r="J81" s="25">
        <v>3284</v>
      </c>
      <c r="K81" s="24">
        <v>354572</v>
      </c>
      <c r="L81" s="25">
        <v>49290</v>
      </c>
      <c r="M81" s="25">
        <v>384343</v>
      </c>
      <c r="N81" s="25">
        <v>96933</v>
      </c>
    </row>
    <row r="82" spans="1:15" x14ac:dyDescent="0.25">
      <c r="A82" s="22">
        <v>44409</v>
      </c>
      <c r="B82" s="24">
        <v>573523.04500000004</v>
      </c>
      <c r="C82" s="24">
        <v>0</v>
      </c>
      <c r="D82" s="24">
        <v>17</v>
      </c>
      <c r="E82" s="24">
        <v>558586.13399999961</v>
      </c>
      <c r="F82" s="24">
        <v>1682080</v>
      </c>
      <c r="G82" s="24">
        <v>3615320</v>
      </c>
      <c r="H82" s="25">
        <v>1672299</v>
      </c>
      <c r="I82" s="25">
        <v>5727325</v>
      </c>
      <c r="J82" s="25">
        <v>3355</v>
      </c>
      <c r="K82" s="24">
        <v>384958</v>
      </c>
      <c r="L82" s="25">
        <v>49605</v>
      </c>
      <c r="M82" s="25">
        <v>378545</v>
      </c>
      <c r="N82" s="25">
        <v>68938</v>
      </c>
    </row>
    <row r="83" spans="1:15" x14ac:dyDescent="0.25">
      <c r="A83" s="22">
        <v>44440</v>
      </c>
      <c r="B83" s="24">
        <v>579618.08199999994</v>
      </c>
      <c r="C83" s="24">
        <v>5950</v>
      </c>
      <c r="D83" s="24">
        <v>16</v>
      </c>
      <c r="E83" s="24">
        <v>613040.13999999943</v>
      </c>
      <c r="F83" s="24">
        <v>359440</v>
      </c>
      <c r="G83" s="24">
        <v>3502790</v>
      </c>
      <c r="H83" s="25">
        <v>974657</v>
      </c>
      <c r="I83" s="25">
        <v>5417733</v>
      </c>
      <c r="J83" s="25">
        <v>1877</v>
      </c>
      <c r="K83" s="24">
        <v>382941</v>
      </c>
      <c r="L83" s="20">
        <v>0</v>
      </c>
      <c r="M83" s="25">
        <v>388895</v>
      </c>
      <c r="N83" s="25">
        <v>97184</v>
      </c>
    </row>
    <row r="84" spans="1:15" x14ac:dyDescent="0.25">
      <c r="A84" s="22">
        <v>44470</v>
      </c>
      <c r="B84" s="24">
        <v>622798.75099999993</v>
      </c>
      <c r="C84" s="24">
        <v>350</v>
      </c>
      <c r="D84" s="24">
        <v>18</v>
      </c>
      <c r="E84" s="24">
        <v>637694.29500000004</v>
      </c>
      <c r="F84" s="24">
        <v>4560236</v>
      </c>
      <c r="G84" s="24">
        <v>3912081</v>
      </c>
      <c r="H84" s="25">
        <v>1853078</v>
      </c>
      <c r="I84" s="25">
        <v>5623072</v>
      </c>
      <c r="J84" s="25">
        <v>2967</v>
      </c>
      <c r="K84" s="24">
        <v>459812</v>
      </c>
      <c r="L84" s="20">
        <v>0</v>
      </c>
      <c r="M84" s="25">
        <v>421210</v>
      </c>
      <c r="N84" s="25">
        <v>91603</v>
      </c>
    </row>
    <row r="85" spans="1:15" x14ac:dyDescent="0.25">
      <c r="A85" s="22">
        <v>44501</v>
      </c>
      <c r="B85" s="24">
        <v>529026.18599999999</v>
      </c>
      <c r="C85" s="24">
        <v>28890</v>
      </c>
      <c r="D85" s="24">
        <v>15</v>
      </c>
      <c r="E85" s="24">
        <v>522978.55899999989</v>
      </c>
      <c r="F85" s="24">
        <v>22500</v>
      </c>
      <c r="G85" s="24">
        <v>3610818</v>
      </c>
      <c r="H85" s="25">
        <v>1135321</v>
      </c>
      <c r="I85" s="25">
        <v>5106481</v>
      </c>
      <c r="J85" s="25">
        <v>6832</v>
      </c>
      <c r="K85" s="24">
        <v>440787</v>
      </c>
      <c r="L85" s="25">
        <v>52051</v>
      </c>
      <c r="M85" s="25">
        <v>449549</v>
      </c>
      <c r="N85" s="25">
        <v>109615</v>
      </c>
    </row>
    <row r="86" spans="1:15" x14ac:dyDescent="0.25">
      <c r="A86" s="22">
        <v>44531</v>
      </c>
      <c r="B86" s="24">
        <v>525894.98</v>
      </c>
      <c r="C86" s="24">
        <v>5950</v>
      </c>
      <c r="D86" s="24">
        <v>17</v>
      </c>
      <c r="E86" s="24">
        <v>525375.47300000023</v>
      </c>
      <c r="F86" s="24">
        <v>22500</v>
      </c>
      <c r="G86" s="24">
        <v>3620123</v>
      </c>
      <c r="H86" s="25">
        <v>1150303</v>
      </c>
      <c r="I86" s="25">
        <v>4934506</v>
      </c>
      <c r="J86" s="25">
        <v>5019</v>
      </c>
      <c r="K86" s="24">
        <v>458787</v>
      </c>
      <c r="L86" s="20">
        <v>0</v>
      </c>
      <c r="M86" s="25">
        <v>510243</v>
      </c>
      <c r="N86" s="25">
        <v>110152</v>
      </c>
    </row>
    <row r="87" spans="1:15" x14ac:dyDescent="0.25">
      <c r="A87" s="22">
        <v>44562</v>
      </c>
      <c r="B87" s="24">
        <v>453891.47499999998</v>
      </c>
      <c r="C87" s="24">
        <v>11900</v>
      </c>
      <c r="D87" s="24">
        <v>17</v>
      </c>
      <c r="E87" s="24">
        <v>426072.38699999999</v>
      </c>
      <c r="F87" s="24">
        <v>0</v>
      </c>
      <c r="G87" s="24">
        <v>3763778</v>
      </c>
      <c r="H87" s="25">
        <v>1395099</v>
      </c>
      <c r="I87" s="25">
        <v>4636961</v>
      </c>
      <c r="J87" s="25">
        <v>5243</v>
      </c>
      <c r="K87" s="24">
        <v>471382</v>
      </c>
      <c r="L87" s="25">
        <v>107669</v>
      </c>
      <c r="M87" s="25">
        <v>510763</v>
      </c>
      <c r="N87" s="25">
        <v>129334</v>
      </c>
      <c r="O87" s="25">
        <f>SUM(M76:M87)</f>
        <v>4490511</v>
      </c>
    </row>
    <row r="88" spans="1:15" x14ac:dyDescent="0.25">
      <c r="A88" s="22">
        <v>44593</v>
      </c>
      <c r="B88" s="24">
        <v>489514.39399999997</v>
      </c>
      <c r="C88" s="24">
        <v>0</v>
      </c>
      <c r="D88" s="24">
        <v>16</v>
      </c>
      <c r="E88" s="24">
        <v>476594.20699999999</v>
      </c>
      <c r="F88" s="24">
        <v>4678333</v>
      </c>
      <c r="G88" s="24">
        <v>3471945</v>
      </c>
      <c r="H88" s="25">
        <v>562035</v>
      </c>
      <c r="I88" s="25">
        <v>4929326</v>
      </c>
      <c r="J88" s="25">
        <v>3737</v>
      </c>
      <c r="K88" s="24">
        <v>421485</v>
      </c>
      <c r="L88" s="25">
        <v>50290</v>
      </c>
      <c r="M88" s="25">
        <v>422402</v>
      </c>
      <c r="N88" s="25">
        <v>85916</v>
      </c>
    </row>
    <row r="89" spans="1:15" x14ac:dyDescent="0.25">
      <c r="A89" s="22">
        <v>44621</v>
      </c>
      <c r="B89" s="24">
        <v>500195.66399999999</v>
      </c>
      <c r="C89" s="24">
        <v>9900</v>
      </c>
      <c r="D89" s="24">
        <v>16</v>
      </c>
      <c r="E89" s="24">
        <v>501517.06</v>
      </c>
      <c r="F89" s="24">
        <v>22500</v>
      </c>
      <c r="G89" s="24">
        <v>3867470</v>
      </c>
      <c r="H89" s="25">
        <v>1192333</v>
      </c>
      <c r="I89" s="25">
        <v>5461779</v>
      </c>
      <c r="J89" s="25">
        <v>33775</v>
      </c>
      <c r="K89" s="24">
        <v>395349</v>
      </c>
      <c r="L89" s="20">
        <v>0</v>
      </c>
      <c r="M89" s="25">
        <v>484278</v>
      </c>
      <c r="N89" s="25">
        <v>156861</v>
      </c>
    </row>
    <row r="90" spans="1:15" x14ac:dyDescent="0.25">
      <c r="A90" s="22">
        <v>44652</v>
      </c>
      <c r="B90" s="24">
        <v>479670.36300000001</v>
      </c>
      <c r="C90" s="24">
        <v>0</v>
      </c>
      <c r="D90" s="24">
        <v>20</v>
      </c>
      <c r="E90" s="24">
        <v>478940.74699999997</v>
      </c>
      <c r="F90" s="24">
        <v>4810752</v>
      </c>
      <c r="G90" s="24">
        <v>3807842</v>
      </c>
      <c r="H90" s="25">
        <v>1557596</v>
      </c>
      <c r="I90" s="25">
        <v>4989834</v>
      </c>
      <c r="J90" s="25">
        <v>10823</v>
      </c>
      <c r="K90" s="24">
        <v>438766</v>
      </c>
      <c r="L90" s="25">
        <v>52778</v>
      </c>
      <c r="M90" s="25">
        <v>460421</v>
      </c>
      <c r="N90" s="25">
        <v>109778</v>
      </c>
    </row>
    <row r="91" spans="1:15" x14ac:dyDescent="0.25">
      <c r="A91" s="22">
        <v>44682</v>
      </c>
      <c r="B91" s="24">
        <v>536096.95299999998</v>
      </c>
      <c r="C91" s="24">
        <v>0</v>
      </c>
      <c r="D91" s="24">
        <v>20</v>
      </c>
      <c r="E91" s="24">
        <v>543882.61800000002</v>
      </c>
      <c r="F91" s="24">
        <v>22500</v>
      </c>
      <c r="G91" s="24">
        <v>3845126</v>
      </c>
      <c r="H91" s="25">
        <v>1448173</v>
      </c>
      <c r="I91" s="25">
        <v>5345140</v>
      </c>
      <c r="J91" s="25">
        <v>4722</v>
      </c>
      <c r="K91" s="24">
        <v>420339</v>
      </c>
      <c r="L91" s="25">
        <v>51549</v>
      </c>
      <c r="M91" s="25">
        <v>486900</v>
      </c>
      <c r="N91" s="25">
        <v>159449</v>
      </c>
    </row>
    <row r="92" spans="1:15" x14ac:dyDescent="0.25">
      <c r="A92" s="22">
        <v>44713</v>
      </c>
      <c r="B92" s="24">
        <v>507868.46400000004</v>
      </c>
      <c r="C92" s="24">
        <v>0</v>
      </c>
      <c r="D92" s="24">
        <v>18</v>
      </c>
      <c r="E92" s="24">
        <v>511128.19300000003</v>
      </c>
      <c r="F92" s="24">
        <v>8455517</v>
      </c>
      <c r="G92" s="24">
        <v>3866179</v>
      </c>
      <c r="H92" s="25">
        <v>959835</v>
      </c>
      <c r="I92" s="25">
        <v>5139352</v>
      </c>
      <c r="J92" s="25">
        <v>1492</v>
      </c>
      <c r="K92" s="24">
        <v>409149</v>
      </c>
      <c r="L92" s="25">
        <v>104620</v>
      </c>
      <c r="M92" s="25">
        <v>464822</v>
      </c>
      <c r="N92" s="25">
        <v>113116</v>
      </c>
    </row>
    <row r="93" spans="1:15" x14ac:dyDescent="0.25">
      <c r="A93" s="22">
        <v>44743</v>
      </c>
      <c r="B93" s="24">
        <v>568759.53899999999</v>
      </c>
      <c r="C93" s="24">
        <v>0</v>
      </c>
      <c r="D93" s="24">
        <v>19</v>
      </c>
      <c r="E93" s="24">
        <v>529697.098</v>
      </c>
      <c r="F93" s="24">
        <v>64800</v>
      </c>
      <c r="G93" s="24">
        <v>4139514</v>
      </c>
      <c r="H93" s="25">
        <v>1337153</v>
      </c>
      <c r="I93" s="25">
        <v>5531496</v>
      </c>
      <c r="J93" s="25">
        <v>3149</v>
      </c>
      <c r="K93" s="24">
        <v>422395</v>
      </c>
      <c r="L93" s="25">
        <v>184633</v>
      </c>
      <c r="M93" s="25">
        <v>527373</v>
      </c>
      <c r="N93" s="25">
        <v>137205</v>
      </c>
    </row>
    <row r="94" spans="1:15" x14ac:dyDescent="0.25">
      <c r="A94" s="22">
        <v>44774</v>
      </c>
      <c r="B94" s="24">
        <v>582853.11800000002</v>
      </c>
      <c r="C94" s="24">
        <v>2604</v>
      </c>
      <c r="D94" s="24">
        <v>17</v>
      </c>
      <c r="E94" s="24">
        <v>615815.38300000003</v>
      </c>
      <c r="F94" s="24">
        <v>0</v>
      </c>
      <c r="G94" s="24">
        <v>3912299</v>
      </c>
      <c r="H94" s="25">
        <v>1846802</v>
      </c>
      <c r="I94" s="25">
        <v>5811135</v>
      </c>
      <c r="J94" s="25">
        <v>4694</v>
      </c>
      <c r="K94" s="24">
        <v>356096</v>
      </c>
      <c r="L94" s="25">
        <v>129619</v>
      </c>
      <c r="M94" s="25">
        <v>504195</v>
      </c>
      <c r="N94" s="25">
        <v>136694</v>
      </c>
    </row>
    <row r="95" spans="1:15" x14ac:dyDescent="0.25">
      <c r="A95" s="22">
        <v>44805</v>
      </c>
      <c r="B95" s="24">
        <v>549842.54300000006</v>
      </c>
      <c r="C95" s="24">
        <v>0</v>
      </c>
      <c r="D95" s="24">
        <v>17</v>
      </c>
      <c r="E95" s="24">
        <v>550053.91599999997</v>
      </c>
      <c r="F95" s="24">
        <v>9714910</v>
      </c>
      <c r="G95" s="24">
        <v>3561334</v>
      </c>
      <c r="H95" s="25">
        <v>1998499</v>
      </c>
      <c r="I95" s="25">
        <v>5492724</v>
      </c>
      <c r="J95" s="25">
        <v>7057</v>
      </c>
      <c r="K95" s="24">
        <v>359981</v>
      </c>
      <c r="L95" s="25">
        <v>158800</v>
      </c>
      <c r="M95" s="25">
        <v>494937</v>
      </c>
      <c r="N95" s="25">
        <v>137697</v>
      </c>
    </row>
    <row r="96" spans="1:15" x14ac:dyDescent="0.25">
      <c r="A96" s="22">
        <v>44835</v>
      </c>
      <c r="B96" s="24">
        <v>569334.14599999995</v>
      </c>
      <c r="C96" s="24">
        <v>0</v>
      </c>
      <c r="D96" s="24">
        <v>18</v>
      </c>
      <c r="E96" s="24">
        <v>540690.66899999999</v>
      </c>
      <c r="F96" s="24">
        <v>4850560</v>
      </c>
      <c r="G96" s="24">
        <v>3762855</v>
      </c>
      <c r="H96" s="25">
        <v>1459231</v>
      </c>
      <c r="I96" s="25">
        <v>5616166</v>
      </c>
      <c r="J96" s="25">
        <v>6617</v>
      </c>
      <c r="K96" s="24">
        <v>344504</v>
      </c>
      <c r="L96" s="25">
        <v>83192</v>
      </c>
      <c r="M96" s="25">
        <v>518437</v>
      </c>
      <c r="N96" s="25">
        <v>126457</v>
      </c>
    </row>
    <row r="97" spans="1:15" x14ac:dyDescent="0.25">
      <c r="A97" s="22">
        <v>44866</v>
      </c>
      <c r="B97" s="24">
        <v>519208.52299999993</v>
      </c>
      <c r="C97" s="24">
        <v>0</v>
      </c>
      <c r="D97" s="24">
        <v>15</v>
      </c>
      <c r="E97" s="24">
        <v>538469.77</v>
      </c>
      <c r="F97" s="24">
        <v>0</v>
      </c>
      <c r="G97" s="24">
        <v>3784979</v>
      </c>
      <c r="H97" s="25">
        <v>679370</v>
      </c>
      <c r="I97" s="25">
        <v>5235241</v>
      </c>
      <c r="J97" s="25">
        <v>5223</v>
      </c>
      <c r="K97" s="24">
        <v>346480</v>
      </c>
      <c r="L97" s="25">
        <v>162409</v>
      </c>
      <c r="M97" s="25">
        <v>520169</v>
      </c>
      <c r="N97" s="25">
        <v>192182</v>
      </c>
    </row>
    <row r="98" spans="1:15" x14ac:dyDescent="0.25">
      <c r="A98" s="22">
        <v>44896</v>
      </c>
      <c r="B98" s="24">
        <v>497475.08799999999</v>
      </c>
      <c r="C98" s="24">
        <v>0</v>
      </c>
      <c r="D98" s="24">
        <v>17</v>
      </c>
      <c r="E98" s="24">
        <v>480995.26300000004</v>
      </c>
      <c r="F98" s="24">
        <v>5137742</v>
      </c>
      <c r="G98" s="24">
        <v>3746111</v>
      </c>
      <c r="H98" s="25">
        <v>1495727</v>
      </c>
      <c r="I98" s="25">
        <v>5037788</v>
      </c>
      <c r="J98" s="25">
        <v>5778</v>
      </c>
      <c r="K98" s="24">
        <v>468356</v>
      </c>
      <c r="L98" s="25">
        <v>208776</v>
      </c>
      <c r="M98" s="25">
        <v>565095</v>
      </c>
      <c r="N98" s="25">
        <v>249474</v>
      </c>
      <c r="O98" s="25">
        <f>SUM(M87:M98)</f>
        <v>5959792</v>
      </c>
    </row>
    <row r="99" spans="1:15" x14ac:dyDescent="0.25">
      <c r="A99" s="22">
        <v>44927</v>
      </c>
      <c r="B99" s="24">
        <v>454949.47700000001</v>
      </c>
      <c r="C99" s="24">
        <v>0</v>
      </c>
      <c r="D99" s="24">
        <v>17</v>
      </c>
      <c r="E99" s="24">
        <v>461596.58</v>
      </c>
      <c r="F99" s="24">
        <v>6150969</v>
      </c>
      <c r="G99" s="24">
        <v>3704301</v>
      </c>
      <c r="H99" s="25">
        <v>741788</v>
      </c>
      <c r="I99" s="25">
        <v>4542382</v>
      </c>
      <c r="J99" s="25">
        <v>2534</v>
      </c>
      <c r="K99" s="24">
        <v>413274</v>
      </c>
      <c r="L99" s="25">
        <v>150719</v>
      </c>
      <c r="M99" s="25">
        <v>601341</v>
      </c>
      <c r="N99" s="25">
        <v>160494</v>
      </c>
    </row>
    <row r="100" spans="1:15" x14ac:dyDescent="0.25">
      <c r="A100" s="22">
        <v>44958</v>
      </c>
      <c r="B100" s="24">
        <v>455451.88199999998</v>
      </c>
      <c r="C100" s="24">
        <v>41760</v>
      </c>
      <c r="D100" s="24">
        <v>15</v>
      </c>
      <c r="E100" s="24">
        <v>463954.33600000001</v>
      </c>
      <c r="F100" s="24">
        <v>0</v>
      </c>
      <c r="G100" s="24">
        <v>3284116</v>
      </c>
      <c r="H100" s="25">
        <v>1030127</v>
      </c>
      <c r="I100" s="25">
        <v>4805251</v>
      </c>
      <c r="J100" s="25">
        <v>4825</v>
      </c>
      <c r="K100" s="24">
        <v>441297</v>
      </c>
      <c r="L100" s="25">
        <v>49453</v>
      </c>
      <c r="M100" s="25">
        <v>486150</v>
      </c>
      <c r="N100" s="25">
        <v>217527</v>
      </c>
    </row>
    <row r="101" spans="1:15" x14ac:dyDescent="0.25">
      <c r="A101" s="22">
        <v>44986</v>
      </c>
      <c r="B101" s="24">
        <v>552702.51099999994</v>
      </c>
      <c r="C101" s="24">
        <v>0</v>
      </c>
      <c r="D101" s="24">
        <v>19</v>
      </c>
      <c r="E101" s="24">
        <v>572246.09299999999</v>
      </c>
      <c r="F101" s="24">
        <v>17026507</v>
      </c>
      <c r="G101" s="24">
        <v>3709576</v>
      </c>
      <c r="H101" s="25">
        <v>1718407</v>
      </c>
      <c r="I101" s="25">
        <v>5849408</v>
      </c>
      <c r="J101" s="25">
        <v>3424</v>
      </c>
      <c r="K101" s="24">
        <v>457039</v>
      </c>
      <c r="L101" s="25">
        <v>80283</v>
      </c>
      <c r="M101" s="25">
        <v>544653</v>
      </c>
      <c r="N101" s="25">
        <v>190493</v>
      </c>
    </row>
    <row r="102" spans="1:15" x14ac:dyDescent="0.25">
      <c r="A102" s="22">
        <v>45017</v>
      </c>
      <c r="B102" s="24">
        <v>578413.60300000012</v>
      </c>
      <c r="C102" s="24">
        <v>0</v>
      </c>
      <c r="D102" s="24">
        <v>15</v>
      </c>
      <c r="E102" s="24">
        <v>574803.28099999996</v>
      </c>
      <c r="F102" s="24">
        <v>12960719</v>
      </c>
      <c r="G102" s="24">
        <v>3760723</v>
      </c>
      <c r="H102" s="25">
        <v>932395</v>
      </c>
      <c r="I102" s="25">
        <v>4903817</v>
      </c>
      <c r="J102" s="25">
        <v>6147</v>
      </c>
      <c r="K102" s="24">
        <v>493001</v>
      </c>
      <c r="L102" s="20">
        <v>0</v>
      </c>
      <c r="M102" s="25">
        <v>508087</v>
      </c>
      <c r="N102" s="25">
        <v>161520</v>
      </c>
    </row>
    <row r="103" spans="1:15" x14ac:dyDescent="0.25">
      <c r="A103" s="22">
        <v>45047</v>
      </c>
      <c r="B103" s="24">
        <v>648757.87700000009</v>
      </c>
      <c r="C103" s="24">
        <v>1811</v>
      </c>
      <c r="D103" s="24">
        <v>17</v>
      </c>
      <c r="E103" s="24">
        <v>622511.78899999999</v>
      </c>
      <c r="F103" s="24">
        <v>0</v>
      </c>
      <c r="G103" s="24">
        <v>4057859</v>
      </c>
      <c r="H103" s="25">
        <v>1363113</v>
      </c>
      <c r="I103" s="25">
        <v>5645097</v>
      </c>
      <c r="J103" s="25">
        <v>4956</v>
      </c>
      <c r="K103" s="24">
        <v>427626</v>
      </c>
      <c r="L103" s="25">
        <v>82248</v>
      </c>
      <c r="M103" s="25">
        <v>528080</v>
      </c>
      <c r="N103" s="25">
        <v>191671</v>
      </c>
    </row>
    <row r="104" spans="1:15" x14ac:dyDescent="0.25">
      <c r="A104" s="22">
        <v>45078</v>
      </c>
      <c r="B104" s="24">
        <v>657257.06000000006</v>
      </c>
      <c r="C104" s="24">
        <v>5</v>
      </c>
      <c r="D104" s="24">
        <v>20</v>
      </c>
      <c r="E104" s="24">
        <v>644081.38899999997</v>
      </c>
      <c r="F104" s="24">
        <v>3992825</v>
      </c>
      <c r="G104" s="24">
        <v>4058395</v>
      </c>
      <c r="H104" s="25">
        <v>1080040</v>
      </c>
      <c r="I104" s="25">
        <v>5458802</v>
      </c>
      <c r="J104" s="25">
        <v>10486</v>
      </c>
      <c r="K104" s="24">
        <v>396121</v>
      </c>
      <c r="L104" s="25">
        <v>157128</v>
      </c>
      <c r="M104" s="25">
        <v>517768</v>
      </c>
      <c r="N104" s="25">
        <v>188129</v>
      </c>
    </row>
    <row r="105" spans="1:15" x14ac:dyDescent="0.25">
      <c r="A105" s="22">
        <v>45108</v>
      </c>
      <c r="B105" s="24">
        <v>717390.48300000001</v>
      </c>
      <c r="C105" s="24">
        <v>0</v>
      </c>
      <c r="D105" s="24">
        <v>17</v>
      </c>
      <c r="E105" s="24">
        <v>683009.26899999997</v>
      </c>
      <c r="F105" s="24">
        <v>4017747</v>
      </c>
      <c r="G105" s="24">
        <v>4165705</v>
      </c>
      <c r="H105" s="25">
        <v>1060943</v>
      </c>
      <c r="I105" s="25">
        <v>5717418</v>
      </c>
      <c r="J105" s="25">
        <v>47002</v>
      </c>
      <c r="K105" s="24">
        <v>438395</v>
      </c>
      <c r="L105" s="25">
        <v>75520</v>
      </c>
      <c r="M105" s="25">
        <v>565101</v>
      </c>
      <c r="N105" s="25">
        <v>234192</v>
      </c>
    </row>
    <row r="106" spans="1:15" x14ac:dyDescent="0.25">
      <c r="A106" s="22">
        <v>45139</v>
      </c>
      <c r="B106" s="24">
        <v>707780.58400000003</v>
      </c>
      <c r="C106" s="24">
        <v>0</v>
      </c>
      <c r="D106" s="24">
        <v>17</v>
      </c>
      <c r="E106" s="24">
        <v>725014.027</v>
      </c>
      <c r="F106" s="24">
        <v>7133952</v>
      </c>
      <c r="G106" s="24">
        <v>4296350</v>
      </c>
      <c r="H106" s="25">
        <v>1312906</v>
      </c>
      <c r="I106" s="25">
        <v>6216642</v>
      </c>
      <c r="J106" s="25">
        <v>48849</v>
      </c>
      <c r="K106" s="24">
        <v>479721</v>
      </c>
      <c r="L106" s="25">
        <v>153988</v>
      </c>
      <c r="M106" s="25">
        <v>567998</v>
      </c>
      <c r="N106" s="25">
        <v>175761</v>
      </c>
    </row>
    <row r="107" spans="1:15" x14ac:dyDescent="0.25">
      <c r="A107" s="22">
        <v>45170</v>
      </c>
      <c r="B107" s="24">
        <v>672663.674</v>
      </c>
      <c r="C107" s="24">
        <v>177</v>
      </c>
      <c r="D107" s="24">
        <v>17</v>
      </c>
      <c r="E107" s="24">
        <v>652218.39599999995</v>
      </c>
      <c r="F107" s="24">
        <v>8049018</v>
      </c>
      <c r="G107" s="24">
        <v>3968457</v>
      </c>
      <c r="H107" s="25">
        <v>1135329</v>
      </c>
      <c r="I107" s="25">
        <v>5761845</v>
      </c>
      <c r="J107" s="25">
        <v>34620</v>
      </c>
      <c r="K107" s="24">
        <v>448448</v>
      </c>
      <c r="L107" s="20">
        <v>0</v>
      </c>
      <c r="M107" s="25">
        <v>533161</v>
      </c>
      <c r="N107" s="25">
        <v>172864</v>
      </c>
    </row>
    <row r="108" spans="1:15" x14ac:dyDescent="0.25">
      <c r="A108" s="22">
        <v>45200</v>
      </c>
      <c r="B108" s="24">
        <v>704201.30200000003</v>
      </c>
      <c r="C108" s="24">
        <v>1800</v>
      </c>
      <c r="D108" s="24">
        <v>16</v>
      </c>
      <c r="E108" s="24">
        <v>691930.88800000004</v>
      </c>
      <c r="F108" s="24">
        <v>9726250</v>
      </c>
      <c r="G108" s="24">
        <v>4310058</v>
      </c>
      <c r="H108" s="25">
        <v>1216559</v>
      </c>
      <c r="I108" s="25">
        <v>5760971</v>
      </c>
      <c r="J108" s="25">
        <v>66001</v>
      </c>
      <c r="K108" s="24">
        <v>448619</v>
      </c>
      <c r="L108" s="25">
        <v>80776</v>
      </c>
      <c r="M108" s="25">
        <v>547607</v>
      </c>
      <c r="N108" s="25">
        <v>278204</v>
      </c>
    </row>
    <row r="109" spans="1:15" x14ac:dyDescent="0.25">
      <c r="A109" s="22">
        <v>45231</v>
      </c>
      <c r="B109" s="24">
        <v>700224.08199999994</v>
      </c>
      <c r="C109" s="24">
        <v>5300</v>
      </c>
      <c r="D109" s="24">
        <v>16</v>
      </c>
      <c r="E109" s="24">
        <v>666752.99399999995</v>
      </c>
      <c r="F109" s="24">
        <v>17814764</v>
      </c>
      <c r="G109" s="24">
        <v>3887499</v>
      </c>
      <c r="H109" s="25">
        <v>1025935</v>
      </c>
      <c r="I109" s="25">
        <v>5515565</v>
      </c>
      <c r="J109" s="25">
        <v>14061</v>
      </c>
      <c r="K109" s="24">
        <v>488600</v>
      </c>
      <c r="L109" s="25">
        <v>78308</v>
      </c>
      <c r="M109" s="25">
        <v>549347</v>
      </c>
      <c r="N109" s="25">
        <v>168415</v>
      </c>
    </row>
    <row r="110" spans="1:15" x14ac:dyDescent="0.25">
      <c r="A110" s="22">
        <v>45261</v>
      </c>
      <c r="B110" s="24">
        <v>677866.13399999996</v>
      </c>
      <c r="C110" s="24">
        <v>7820</v>
      </c>
      <c r="D110" s="24">
        <v>16</v>
      </c>
      <c r="E110" s="24">
        <v>645316.90899999999</v>
      </c>
      <c r="F110" s="24">
        <v>10276120</v>
      </c>
      <c r="G110" s="24">
        <v>4152791</v>
      </c>
      <c r="H110" s="25">
        <v>1878366</v>
      </c>
      <c r="I110" s="25">
        <v>5341203</v>
      </c>
      <c r="J110" s="25">
        <v>65746</v>
      </c>
      <c r="K110" s="24">
        <v>505849</v>
      </c>
      <c r="L110" s="25">
        <v>83703</v>
      </c>
      <c r="M110" s="25">
        <v>582328</v>
      </c>
      <c r="N110" s="25">
        <v>284008</v>
      </c>
      <c r="O110" s="25">
        <f>SUM(M99:M110)</f>
        <v>6531621</v>
      </c>
    </row>
    <row r="111" spans="1:15" x14ac:dyDescent="0.25">
      <c r="A111" s="22">
        <v>45292</v>
      </c>
      <c r="B111" s="24">
        <v>615733.19900000002</v>
      </c>
      <c r="C111" s="24">
        <v>7780</v>
      </c>
      <c r="D111" s="24">
        <v>16</v>
      </c>
      <c r="E111" s="24">
        <v>610601.24199999997</v>
      </c>
      <c r="F111" s="24">
        <v>7980777</v>
      </c>
      <c r="G111" s="24">
        <v>3992672</v>
      </c>
      <c r="H111" s="25">
        <v>1046796</v>
      </c>
      <c r="I111" s="25">
        <v>5098280</v>
      </c>
      <c r="J111" s="25">
        <v>67342</v>
      </c>
      <c r="K111" s="24">
        <v>539354</v>
      </c>
      <c r="L111" s="25">
        <v>77953</v>
      </c>
      <c r="M111" s="25">
        <v>613570</v>
      </c>
      <c r="N111" s="25">
        <v>209127</v>
      </c>
    </row>
    <row r="112" spans="1:15" x14ac:dyDescent="0.25">
      <c r="A112" s="22">
        <v>45323</v>
      </c>
      <c r="B112" s="24">
        <v>636557.54500000004</v>
      </c>
      <c r="C112" s="24">
        <v>0</v>
      </c>
      <c r="D112" s="24">
        <v>16</v>
      </c>
      <c r="E112" s="24">
        <v>638005.15099999995</v>
      </c>
      <c r="F112" s="24">
        <v>0</v>
      </c>
      <c r="G112" s="24">
        <v>3776008</v>
      </c>
      <c r="H112" s="25">
        <v>857226</v>
      </c>
      <c r="I112" s="25">
        <v>5069880</v>
      </c>
      <c r="J112" s="25">
        <v>77209</v>
      </c>
      <c r="K112" s="24">
        <v>498483</v>
      </c>
      <c r="L112" s="25">
        <v>81941</v>
      </c>
      <c r="M112" s="25">
        <v>542912</v>
      </c>
      <c r="N112" s="25">
        <v>157419</v>
      </c>
    </row>
    <row r="113" spans="1:16" x14ac:dyDescent="0.25">
      <c r="A113" s="22">
        <v>45352</v>
      </c>
      <c r="B113" s="24">
        <v>744617.56599999999</v>
      </c>
      <c r="C113" s="24">
        <v>5400</v>
      </c>
      <c r="D113" s="24">
        <v>16</v>
      </c>
      <c r="E113" s="24">
        <v>723375.90800000005</v>
      </c>
      <c r="F113" s="24">
        <v>10261511</v>
      </c>
      <c r="G113" s="24">
        <v>3924135</v>
      </c>
      <c r="H113" s="25">
        <v>1239115</v>
      </c>
      <c r="I113" s="25">
        <v>5396918</v>
      </c>
      <c r="J113" s="25">
        <v>67853</v>
      </c>
      <c r="K113" s="24">
        <v>509259</v>
      </c>
      <c r="L113" s="25">
        <v>131500</v>
      </c>
      <c r="M113" s="25">
        <v>564740</v>
      </c>
      <c r="N113" s="25">
        <v>204923</v>
      </c>
    </row>
    <row r="114" spans="1:16" x14ac:dyDescent="0.25">
      <c r="A114" s="22">
        <v>45383</v>
      </c>
      <c r="B114" s="24">
        <v>764841.31200000003</v>
      </c>
      <c r="C114" s="24">
        <v>7800</v>
      </c>
      <c r="D114" s="24">
        <v>16</v>
      </c>
      <c r="E114" s="24">
        <v>799958.95200000005</v>
      </c>
      <c r="F114" s="24">
        <v>6045084</v>
      </c>
      <c r="G114" s="24">
        <v>3840667</v>
      </c>
      <c r="H114" s="25">
        <v>1184005</v>
      </c>
      <c r="I114" s="25">
        <v>5637923</v>
      </c>
      <c r="J114" s="25">
        <v>119065</v>
      </c>
      <c r="K114" s="24">
        <v>420563</v>
      </c>
      <c r="L114" s="25">
        <v>74258</v>
      </c>
      <c r="M114" s="25">
        <v>554135</v>
      </c>
      <c r="N114" s="25">
        <v>135780</v>
      </c>
    </row>
    <row r="115" spans="1:16" x14ac:dyDescent="0.25">
      <c r="A115" s="22">
        <v>45413</v>
      </c>
      <c r="B115" s="24">
        <v>735092.08</v>
      </c>
      <c r="C115" s="24">
        <v>9680</v>
      </c>
      <c r="D115" s="24">
        <v>17</v>
      </c>
      <c r="E115" s="24">
        <v>735162.71200000006</v>
      </c>
      <c r="F115" s="24">
        <v>0</v>
      </c>
      <c r="G115" s="24">
        <v>3949941</v>
      </c>
      <c r="H115" s="25">
        <v>1068973</v>
      </c>
      <c r="I115" s="25">
        <v>5646877</v>
      </c>
      <c r="J115" s="25">
        <v>81620</v>
      </c>
      <c r="K115" s="24">
        <v>454836</v>
      </c>
      <c r="L115" s="25">
        <v>50961</v>
      </c>
      <c r="M115" s="25">
        <v>552306</v>
      </c>
      <c r="N115" s="25">
        <v>240323</v>
      </c>
    </row>
    <row r="116" spans="1:16" x14ac:dyDescent="0.25">
      <c r="A116" s="22">
        <v>45444</v>
      </c>
      <c r="B116" s="24">
        <v>770378.08900000004</v>
      </c>
      <c r="C116" s="24">
        <v>9660</v>
      </c>
      <c r="D116" s="24">
        <v>20</v>
      </c>
      <c r="E116" s="24">
        <v>758079.99100000004</v>
      </c>
      <c r="F116" s="24">
        <v>20887305</v>
      </c>
      <c r="G116" s="24">
        <v>4088640</v>
      </c>
      <c r="H116" s="25">
        <v>1514224</v>
      </c>
      <c r="I116" s="25">
        <v>5665451</v>
      </c>
      <c r="J116" s="25">
        <v>96410</v>
      </c>
      <c r="K116" s="24">
        <v>491648</v>
      </c>
      <c r="L116" s="25">
        <v>0</v>
      </c>
      <c r="M116" s="25">
        <v>548680</v>
      </c>
      <c r="N116" s="25">
        <v>159371</v>
      </c>
    </row>
    <row r="117" spans="1:16" x14ac:dyDescent="0.25">
      <c r="A117" s="22">
        <v>45474</v>
      </c>
      <c r="B117" s="24">
        <v>822084.62399999995</v>
      </c>
      <c r="C117" s="24">
        <v>3600</v>
      </c>
      <c r="D117" s="24">
        <v>20</v>
      </c>
      <c r="E117" s="24">
        <v>843456.73400000005</v>
      </c>
      <c r="F117" s="24">
        <v>6024736</v>
      </c>
      <c r="G117" s="24">
        <v>4080597</v>
      </c>
      <c r="H117" s="25">
        <v>1248015</v>
      </c>
      <c r="I117" s="25">
        <v>6069710</v>
      </c>
      <c r="J117" s="25">
        <v>102378</v>
      </c>
      <c r="K117" s="24">
        <v>522835</v>
      </c>
      <c r="L117" s="25">
        <v>121223</v>
      </c>
      <c r="M117" s="25">
        <v>603076</v>
      </c>
      <c r="N117" s="25">
        <v>335027</v>
      </c>
    </row>
    <row r="118" spans="1:16" x14ac:dyDescent="0.25">
      <c r="A118" s="22">
        <v>45505</v>
      </c>
      <c r="B118" s="24">
        <v>840562.43400000001</v>
      </c>
      <c r="C118" s="24">
        <v>15838</v>
      </c>
      <c r="D118" s="24">
        <v>20</v>
      </c>
      <c r="E118" s="24">
        <v>843871.424</v>
      </c>
      <c r="F118" s="24">
        <v>6959734</v>
      </c>
      <c r="G118" s="24">
        <v>4180515</v>
      </c>
      <c r="H118" s="25">
        <v>1266190</v>
      </c>
      <c r="I118" s="25">
        <v>6114704</v>
      </c>
      <c r="J118" s="25">
        <v>146153</v>
      </c>
      <c r="K118" s="24">
        <v>427167</v>
      </c>
      <c r="L118" s="25">
        <v>157271</v>
      </c>
      <c r="M118" s="25">
        <v>584302</v>
      </c>
      <c r="N118" s="25">
        <v>277275</v>
      </c>
    </row>
    <row r="119" spans="1:16" x14ac:dyDescent="0.25">
      <c r="A119" s="22">
        <v>45536</v>
      </c>
      <c r="B119" s="24">
        <v>816959.56299999997</v>
      </c>
      <c r="C119" s="24">
        <v>4500</v>
      </c>
      <c r="D119" s="24">
        <v>20</v>
      </c>
      <c r="E119" s="24">
        <v>791572.67500000005</v>
      </c>
      <c r="F119" s="24">
        <v>3854539</v>
      </c>
      <c r="G119" s="24">
        <v>4198846</v>
      </c>
      <c r="H119" s="25">
        <v>1595689</v>
      </c>
      <c r="I119" s="25">
        <v>5785615</v>
      </c>
      <c r="J119" s="25">
        <v>66265</v>
      </c>
      <c r="K119" s="24">
        <v>455032</v>
      </c>
      <c r="L119" s="25">
        <v>52973</v>
      </c>
      <c r="M119" s="25">
        <v>574014</v>
      </c>
      <c r="N119" s="25">
        <v>393522</v>
      </c>
    </row>
    <row r="120" spans="1:16" x14ac:dyDescent="0.25">
      <c r="A120" s="22">
        <v>45566</v>
      </c>
      <c r="B120" s="24">
        <v>845548.55099999998</v>
      </c>
      <c r="C120" s="24">
        <v>0</v>
      </c>
      <c r="D120" s="24">
        <v>19</v>
      </c>
      <c r="E120" s="24">
        <v>883147.451</v>
      </c>
      <c r="F120" s="24">
        <v>7200</v>
      </c>
      <c r="G120" s="24">
        <v>4496499</v>
      </c>
      <c r="H120" s="25">
        <v>1489463</v>
      </c>
      <c r="I120" s="25">
        <v>6227097</v>
      </c>
      <c r="J120" s="25">
        <v>130904</v>
      </c>
      <c r="K120" s="24">
        <v>516073</v>
      </c>
      <c r="L120" s="25">
        <v>165738</v>
      </c>
      <c r="M120" s="25">
        <v>602129</v>
      </c>
      <c r="N120" s="25">
        <v>217751</v>
      </c>
    </row>
    <row r="121" spans="1:16" x14ac:dyDescent="0.25">
      <c r="A121" s="22">
        <v>45597</v>
      </c>
      <c r="B121" s="24">
        <v>815212.81599999999</v>
      </c>
      <c r="C121" s="24">
        <v>0</v>
      </c>
      <c r="D121" s="24">
        <v>21</v>
      </c>
      <c r="E121" s="24">
        <v>778507.43400000001</v>
      </c>
      <c r="F121" s="24">
        <v>0</v>
      </c>
      <c r="G121" s="24">
        <v>4118252</v>
      </c>
      <c r="H121" s="25">
        <v>834446</v>
      </c>
      <c r="I121" s="25">
        <v>5535508</v>
      </c>
      <c r="J121" s="25">
        <v>11595</v>
      </c>
      <c r="K121" s="24">
        <v>479223</v>
      </c>
      <c r="L121" s="25">
        <v>155952</v>
      </c>
      <c r="M121" s="25">
        <v>602554</v>
      </c>
      <c r="N121" s="25">
        <v>250006</v>
      </c>
    </row>
    <row r="122" spans="1:16" x14ac:dyDescent="0.25">
      <c r="A122" s="22">
        <v>45627</v>
      </c>
      <c r="B122" s="24">
        <v>695109.50899999996</v>
      </c>
      <c r="C122" s="24">
        <v>0</v>
      </c>
      <c r="D122" s="24">
        <v>20</v>
      </c>
      <c r="E122" s="24">
        <v>655262.32200000004</v>
      </c>
      <c r="F122" s="24">
        <v>6000000</v>
      </c>
      <c r="G122" s="24">
        <v>4271487</v>
      </c>
      <c r="H122" s="25">
        <v>975056</v>
      </c>
      <c r="I122" s="25">
        <v>5013666</v>
      </c>
      <c r="J122" s="25">
        <v>61290</v>
      </c>
      <c r="K122" s="24">
        <v>546992</v>
      </c>
      <c r="L122" s="25">
        <v>50860</v>
      </c>
      <c r="M122" s="25">
        <v>632135</v>
      </c>
      <c r="N122" s="25">
        <v>326602</v>
      </c>
      <c r="O122" s="25">
        <f>SUM(M111:M122)</f>
        <v>6974553</v>
      </c>
      <c r="P122" s="26">
        <f>O122*874.7</f>
        <v>6100641509.1000004</v>
      </c>
    </row>
    <row r="123" spans="1:16" x14ac:dyDescent="0.25">
      <c r="A123" s="22">
        <v>45658</v>
      </c>
      <c r="B123" s="24">
        <v>643392.66399999999</v>
      </c>
      <c r="C123" s="24">
        <v>0</v>
      </c>
      <c r="D123" s="24">
        <v>20</v>
      </c>
      <c r="E123" s="24">
        <v>697770.04099999997</v>
      </c>
      <c r="F123" s="24">
        <v>0</v>
      </c>
      <c r="G123" s="24">
        <v>3819532</v>
      </c>
      <c r="H123" s="25">
        <v>1245058</v>
      </c>
      <c r="I123" s="25">
        <v>5313209</v>
      </c>
      <c r="J123" s="25">
        <v>63753</v>
      </c>
      <c r="K123" s="24">
        <v>554457</v>
      </c>
      <c r="L123" s="25">
        <v>127185</v>
      </c>
      <c r="M123" s="25">
        <v>648902</v>
      </c>
      <c r="N123" s="25">
        <v>242120</v>
      </c>
      <c r="P123" s="27">
        <f>P122/1000000</f>
        <v>6100.6415091000008</v>
      </c>
    </row>
    <row r="124" spans="1:16" x14ac:dyDescent="0.25">
      <c r="A124" s="22">
        <v>45689</v>
      </c>
      <c r="B124" s="24">
        <v>697566.473</v>
      </c>
      <c r="C124" s="24">
        <v>0</v>
      </c>
      <c r="D124" s="24"/>
      <c r="E124" s="24">
        <v>720926.22699999996</v>
      </c>
      <c r="F124" s="24">
        <v>12000040</v>
      </c>
      <c r="G124" s="24">
        <v>3560480</v>
      </c>
      <c r="H124" s="25">
        <v>1073374</v>
      </c>
      <c r="I124" s="25">
        <v>5241070</v>
      </c>
      <c r="J124" s="25">
        <v>106044</v>
      </c>
      <c r="K124" s="24">
        <v>481397</v>
      </c>
      <c r="L124" s="25">
        <v>127548</v>
      </c>
      <c r="M124" s="25">
        <v>558506</v>
      </c>
      <c r="N124" s="25">
        <v>341758</v>
      </c>
      <c r="P124" s="27"/>
    </row>
    <row r="125" spans="1:16" x14ac:dyDescent="0.25">
      <c r="A125" s="22"/>
      <c r="B125" s="24"/>
      <c r="C125" s="24"/>
      <c r="D125" s="24"/>
      <c r="E125" s="24"/>
      <c r="F125" s="24"/>
      <c r="G125" s="24"/>
    </row>
    <row r="126" spans="1:16" x14ac:dyDescent="0.25">
      <c r="A126" s="22"/>
      <c r="B126" s="24"/>
      <c r="C126" s="24"/>
      <c r="D126" s="24"/>
      <c r="E126" s="24"/>
      <c r="F126" s="24"/>
      <c r="G126" s="24"/>
    </row>
    <row r="127" spans="1:16" x14ac:dyDescent="0.25">
      <c r="A127" s="22"/>
      <c r="B127" s="24"/>
      <c r="C127" s="24"/>
      <c r="D127" s="24"/>
      <c r="E127" s="24"/>
      <c r="F127" s="24"/>
      <c r="G127" s="24"/>
    </row>
    <row r="128" spans="1:16" x14ac:dyDescent="0.25">
      <c r="A128" s="22"/>
      <c r="B128" s="24"/>
      <c r="C128" s="24"/>
      <c r="D128" s="24"/>
      <c r="E128" s="24"/>
      <c r="F128" s="24"/>
      <c r="G128" s="24"/>
    </row>
    <row r="129" spans="1:7" x14ac:dyDescent="0.25">
      <c r="A129" s="22"/>
      <c r="B129" s="24"/>
      <c r="C129" s="24"/>
      <c r="D129" s="24"/>
      <c r="E129" s="24"/>
      <c r="F129" s="24"/>
      <c r="G129" s="24"/>
    </row>
    <row r="130" spans="1:7" x14ac:dyDescent="0.25">
      <c r="A130" s="22"/>
      <c r="B130" s="24"/>
      <c r="C130" s="24"/>
      <c r="D130" s="24"/>
      <c r="E130" s="24"/>
      <c r="F130" s="24"/>
      <c r="G130" s="24"/>
    </row>
    <row r="131" spans="1:7" x14ac:dyDescent="0.25">
      <c r="A131" s="22"/>
      <c r="B131" s="24"/>
      <c r="C131" s="24"/>
      <c r="D131" s="24"/>
      <c r="E131" s="24"/>
      <c r="F131" s="24"/>
      <c r="G131" s="24"/>
    </row>
    <row r="132" spans="1:7" x14ac:dyDescent="0.25">
      <c r="A132" s="22"/>
      <c r="B132" s="24"/>
      <c r="C132" s="24"/>
      <c r="D132" s="24"/>
      <c r="E132" s="24"/>
      <c r="F132" s="24"/>
      <c r="G132" s="24"/>
    </row>
    <row r="133" spans="1:7" x14ac:dyDescent="0.25">
      <c r="A133" s="22"/>
      <c r="B133" s="24"/>
      <c r="C133" s="24"/>
      <c r="D133" s="24"/>
      <c r="E133" s="24"/>
      <c r="F133" s="24"/>
      <c r="G133" s="24"/>
    </row>
    <row r="134" spans="1:7" x14ac:dyDescent="0.25">
      <c r="A134" s="22"/>
      <c r="B134" s="24"/>
      <c r="C134" s="24"/>
      <c r="D134" s="24"/>
      <c r="E134" s="24"/>
      <c r="F134" s="24"/>
      <c r="G134" s="24"/>
    </row>
    <row r="135" spans="1:7" x14ac:dyDescent="0.25">
      <c r="A135" s="22"/>
      <c r="B135" s="24"/>
      <c r="C135" s="24"/>
      <c r="D135" s="24"/>
      <c r="E135" s="24"/>
      <c r="F135" s="24"/>
      <c r="G135" s="24"/>
    </row>
    <row r="136" spans="1:7" x14ac:dyDescent="0.25">
      <c r="A136" s="22"/>
      <c r="B136" s="24"/>
      <c r="C136" s="24"/>
      <c r="D136" s="24"/>
      <c r="E136" s="24"/>
      <c r="F136" s="24"/>
      <c r="G136" s="24"/>
    </row>
    <row r="137" spans="1:7" x14ac:dyDescent="0.25">
      <c r="A137" s="22"/>
      <c r="B137" s="24"/>
      <c r="C137" s="24"/>
      <c r="D137" s="24"/>
      <c r="E137" s="24"/>
      <c r="F137" s="24"/>
      <c r="G137" s="24"/>
    </row>
    <row r="138" spans="1:7" x14ac:dyDescent="0.25">
      <c r="A138" s="22"/>
      <c r="B138" s="24"/>
      <c r="C138" s="24"/>
      <c r="D138" s="24"/>
      <c r="E138" s="24"/>
      <c r="F138" s="24"/>
      <c r="G138" s="24"/>
    </row>
    <row r="139" spans="1:7" x14ac:dyDescent="0.25">
      <c r="A139" s="22"/>
      <c r="B139" s="24"/>
      <c r="C139" s="24"/>
      <c r="D139" s="24"/>
      <c r="E139" s="24"/>
      <c r="F139" s="24"/>
      <c r="G139" s="24"/>
    </row>
    <row r="140" spans="1:7" x14ac:dyDescent="0.25">
      <c r="A140" s="22"/>
      <c r="B140" s="24"/>
      <c r="C140" s="24"/>
      <c r="D140" s="24"/>
      <c r="E140" s="24"/>
      <c r="F140" s="24"/>
      <c r="G140" s="24"/>
    </row>
    <row r="141" spans="1:7" x14ac:dyDescent="0.25">
      <c r="A141" s="22"/>
      <c r="B141" s="24"/>
      <c r="C141" s="24"/>
      <c r="D141" s="24"/>
      <c r="E141" s="24"/>
      <c r="F141" s="24"/>
      <c r="G141" s="24"/>
    </row>
    <row r="142" spans="1:7" x14ac:dyDescent="0.25">
      <c r="A142" s="22"/>
      <c r="B142" s="24"/>
      <c r="C142" s="24"/>
      <c r="D142" s="24"/>
      <c r="E142" s="24"/>
      <c r="F142" s="24"/>
      <c r="G142" s="24"/>
    </row>
    <row r="143" spans="1:7" x14ac:dyDescent="0.25">
      <c r="A143" s="22"/>
      <c r="B143" s="24"/>
      <c r="C143" s="24"/>
      <c r="D143" s="24"/>
      <c r="E143" s="24"/>
      <c r="F143" s="24"/>
      <c r="G143" s="24"/>
    </row>
    <row r="144" spans="1:7" x14ac:dyDescent="0.25">
      <c r="A144" s="22"/>
      <c r="B144" s="24"/>
      <c r="C144" s="24"/>
      <c r="D144" s="24"/>
      <c r="E144" s="24"/>
      <c r="F144" s="24"/>
      <c r="G144" s="24"/>
    </row>
    <row r="145" spans="1:7" x14ac:dyDescent="0.25">
      <c r="A145" s="22"/>
      <c r="B145" s="24"/>
      <c r="C145" s="24"/>
      <c r="D145" s="24"/>
      <c r="E145" s="24"/>
      <c r="F145" s="24"/>
      <c r="G145" s="24"/>
    </row>
    <row r="146" spans="1:7" x14ac:dyDescent="0.25">
      <c r="A146" s="22"/>
      <c r="B146" s="24"/>
      <c r="C146" s="24"/>
      <c r="D146" s="24"/>
      <c r="E146" s="24"/>
      <c r="F146" s="24"/>
      <c r="G146" s="24"/>
    </row>
    <row r="147" spans="1:7" x14ac:dyDescent="0.25">
      <c r="A147" s="22"/>
      <c r="B147" s="24"/>
      <c r="C147" s="24"/>
      <c r="D147" s="24"/>
      <c r="E147" s="24"/>
      <c r="F147" s="24"/>
      <c r="G147" s="24"/>
    </row>
    <row r="148" spans="1:7" x14ac:dyDescent="0.25">
      <c r="A148" s="22"/>
      <c r="B148" s="24"/>
      <c r="C148" s="24"/>
      <c r="D148" s="24"/>
      <c r="E148" s="24"/>
      <c r="F148" s="24"/>
      <c r="G148" s="24"/>
    </row>
    <row r="149" spans="1:7" x14ac:dyDescent="0.25">
      <c r="A149" s="22"/>
      <c r="B149" s="24"/>
      <c r="C149" s="24"/>
      <c r="D149" s="24"/>
      <c r="E149" s="24"/>
      <c r="F149" s="24"/>
      <c r="G149" s="24"/>
    </row>
    <row r="150" spans="1:7" x14ac:dyDescent="0.25">
      <c r="A150" s="22"/>
      <c r="B150" s="24"/>
      <c r="C150" s="24"/>
      <c r="D150" s="24"/>
      <c r="E150" s="24"/>
      <c r="F150" s="24"/>
      <c r="G150" s="24"/>
    </row>
    <row r="151" spans="1:7" x14ac:dyDescent="0.25">
      <c r="A151" s="22"/>
      <c r="B151" s="24"/>
      <c r="C151" s="24"/>
      <c r="D151" s="24"/>
      <c r="E151" s="24"/>
      <c r="F151" s="24"/>
      <c r="G151" s="24"/>
    </row>
    <row r="152" spans="1:7" x14ac:dyDescent="0.25">
      <c r="A152" s="22"/>
      <c r="B152" s="24"/>
      <c r="C152" s="24"/>
      <c r="D152" s="24"/>
      <c r="E152" s="24"/>
      <c r="F152" s="24"/>
      <c r="G152" s="24"/>
    </row>
    <row r="153" spans="1:7" x14ac:dyDescent="0.25">
      <c r="A153" s="22"/>
      <c r="B153" s="24"/>
      <c r="C153" s="24"/>
      <c r="D153" s="24"/>
      <c r="E153" s="24"/>
      <c r="F153" s="24"/>
      <c r="G153" s="24"/>
    </row>
    <row r="154" spans="1:7" x14ac:dyDescent="0.25">
      <c r="A154" s="22"/>
      <c r="B154" s="24"/>
      <c r="C154" s="24"/>
      <c r="D154" s="24"/>
      <c r="E154" s="24"/>
      <c r="F154" s="24"/>
      <c r="G154" s="24"/>
    </row>
    <row r="155" spans="1:7" x14ac:dyDescent="0.25">
      <c r="A155" s="22"/>
      <c r="B155" s="24"/>
      <c r="C155" s="24"/>
      <c r="D155" s="24"/>
      <c r="E155" s="24"/>
      <c r="F155" s="24"/>
      <c r="G155" s="24"/>
    </row>
    <row r="156" spans="1:7" x14ac:dyDescent="0.25">
      <c r="A156" s="22"/>
      <c r="B156" s="24"/>
      <c r="C156" s="24"/>
      <c r="D156" s="24"/>
      <c r="E156" s="24"/>
      <c r="F156" s="24"/>
      <c r="G156" s="24"/>
    </row>
    <row r="157" spans="1:7" x14ac:dyDescent="0.25">
      <c r="A157" s="22"/>
      <c r="B157" s="24"/>
      <c r="C157" s="24"/>
      <c r="D157" s="24"/>
      <c r="E157" s="24"/>
      <c r="F157" s="24"/>
      <c r="G157" s="24"/>
    </row>
    <row r="158" spans="1:7" x14ac:dyDescent="0.25">
      <c r="A158" s="22"/>
      <c r="B158" s="28"/>
      <c r="C158" s="28"/>
      <c r="D158" s="28"/>
      <c r="E158" s="28"/>
      <c r="F158" s="28"/>
      <c r="G158" s="28"/>
    </row>
    <row r="159" spans="1:7" x14ac:dyDescent="0.25">
      <c r="A159" s="22"/>
      <c r="B159" s="28"/>
      <c r="C159" s="28"/>
      <c r="D159" s="28"/>
      <c r="E159" s="28"/>
      <c r="F159" s="28"/>
      <c r="G159" s="28"/>
    </row>
    <row r="160" spans="1:7" x14ac:dyDescent="0.25">
      <c r="A160" s="22"/>
      <c r="B160" s="28"/>
      <c r="C160" s="28"/>
      <c r="D160" s="28"/>
      <c r="E160" s="28"/>
      <c r="F160" s="28"/>
      <c r="G160" s="28"/>
    </row>
    <row r="161" spans="1:7" x14ac:dyDescent="0.25">
      <c r="A161" s="22"/>
      <c r="B161" s="28"/>
      <c r="C161" s="28"/>
      <c r="D161" s="28"/>
      <c r="E161" s="28"/>
      <c r="F161" s="28"/>
      <c r="G161" s="28"/>
    </row>
    <row r="162" spans="1:7" x14ac:dyDescent="0.25">
      <c r="A162" s="22"/>
      <c r="B162" s="28"/>
      <c r="C162" s="28"/>
      <c r="D162" s="28"/>
      <c r="E162" s="28"/>
      <c r="F162" s="28"/>
      <c r="G162" s="28"/>
    </row>
    <row r="163" spans="1:7" x14ac:dyDescent="0.25">
      <c r="A163" s="22"/>
      <c r="B163" s="28"/>
      <c r="C163" s="28"/>
      <c r="D163" s="28"/>
      <c r="E163" s="28"/>
      <c r="F163" s="28"/>
      <c r="G163" s="28"/>
    </row>
    <row r="164" spans="1:7" x14ac:dyDescent="0.25">
      <c r="A164" s="22"/>
      <c r="B164" s="28"/>
      <c r="C164" s="28"/>
      <c r="D164" s="28"/>
      <c r="E164" s="28"/>
      <c r="F164" s="28"/>
      <c r="G164" s="28"/>
    </row>
    <row r="165" spans="1:7" x14ac:dyDescent="0.25">
      <c r="A165" s="22"/>
      <c r="B165" s="28"/>
      <c r="C165" s="28"/>
      <c r="D165" s="28"/>
      <c r="E165" s="28"/>
      <c r="F165" s="28"/>
      <c r="G165" s="28"/>
    </row>
    <row r="166" spans="1:7" x14ac:dyDescent="0.25">
      <c r="A166" s="22"/>
      <c r="B166" s="28"/>
      <c r="C166" s="28"/>
      <c r="D166" s="28"/>
      <c r="E166" s="28"/>
      <c r="F166" s="28"/>
      <c r="G166" s="28"/>
    </row>
    <row r="167" spans="1:7" x14ac:dyDescent="0.25">
      <c r="A167" s="22"/>
      <c r="B167" s="28"/>
      <c r="C167" s="28"/>
      <c r="D167" s="28"/>
      <c r="E167" s="28"/>
      <c r="F167" s="28"/>
      <c r="G167" s="28"/>
    </row>
    <row r="168" spans="1:7" x14ac:dyDescent="0.25">
      <c r="A168" s="22"/>
      <c r="B168" s="28"/>
      <c r="C168" s="28"/>
      <c r="D168" s="28"/>
      <c r="E168" s="28"/>
      <c r="F168" s="28"/>
      <c r="G168" s="28"/>
    </row>
    <row r="169" spans="1:7" x14ac:dyDescent="0.25">
      <c r="A169" s="22"/>
      <c r="B169" s="28"/>
      <c r="C169" s="28"/>
      <c r="D169" s="28"/>
      <c r="E169" s="28"/>
      <c r="F169" s="28"/>
      <c r="G169" s="28"/>
    </row>
    <row r="170" spans="1:7" x14ac:dyDescent="0.25">
      <c r="A170" s="22"/>
      <c r="B170" s="28"/>
      <c r="C170" s="28"/>
      <c r="D170" s="28"/>
      <c r="E170" s="28"/>
      <c r="F170" s="28"/>
      <c r="G170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E4DF-C438-4389-8FA5-5A841B7181E1}">
  <sheetPr>
    <pageSetUpPr fitToPage="1"/>
  </sheetPr>
  <dimension ref="A1:V100"/>
  <sheetViews>
    <sheetView showGridLines="0" zoomScaleNormal="100" workbookViewId="0">
      <pane xSplit="1" ySplit="2" topLeftCell="B49" activePane="bottomRight" state="frozen"/>
      <selection activeCell="B1" sqref="B1:D1048576"/>
      <selection pane="topRight" activeCell="B1" sqref="B1:D1048576"/>
      <selection pane="bottomLeft" activeCell="B1" sqref="B1:D1048576"/>
      <selection pane="bottomRight" activeCell="B1" sqref="B1:D1048576"/>
    </sheetView>
  </sheetViews>
  <sheetFormatPr defaultColWidth="8.85546875" defaultRowHeight="15" x14ac:dyDescent="0.25"/>
  <cols>
    <col min="1" max="1" width="53.42578125" style="5" bestFit="1" customWidth="1"/>
    <col min="2" max="2" width="11.42578125" style="5" hidden="1" customWidth="1"/>
    <col min="3" max="4" width="9.28515625" style="5" hidden="1" customWidth="1"/>
    <col min="5" max="9" width="9.28515625" style="5" customWidth="1"/>
    <col min="10" max="10" width="9.28515625" style="4" customWidth="1"/>
    <col min="11" max="22" width="9.28515625" style="5" customWidth="1"/>
    <col min="23" max="16384" width="8.85546875" style="5"/>
  </cols>
  <sheetData>
    <row r="1" spans="1:22" s="32" customFormat="1" ht="15.75" thickBot="1" x14ac:dyDescent="0.3">
      <c r="A1" s="29" t="s">
        <v>70</v>
      </c>
      <c r="B1" s="30"/>
      <c r="C1" s="30"/>
      <c r="D1" s="30"/>
      <c r="E1" s="30"/>
      <c r="F1" s="30"/>
      <c r="G1" s="30"/>
      <c r="H1" s="30"/>
      <c r="I1" s="30"/>
      <c r="J1" s="31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2" ht="16.5" thickTop="1" thickBot="1" x14ac:dyDescent="0.3">
      <c r="A2" s="33" t="s">
        <v>71</v>
      </c>
      <c r="B2" s="34">
        <v>2015</v>
      </c>
      <c r="C2" s="34">
        <v>2016</v>
      </c>
      <c r="D2" s="34">
        <v>2017</v>
      </c>
      <c r="E2" s="34">
        <v>2018</v>
      </c>
      <c r="F2" s="34">
        <v>2019</v>
      </c>
      <c r="G2" s="34">
        <v>2020</v>
      </c>
      <c r="H2" s="34">
        <v>2021</v>
      </c>
      <c r="I2" s="34">
        <v>2022</v>
      </c>
      <c r="J2" s="34">
        <v>2023</v>
      </c>
      <c r="K2" s="34">
        <v>2024</v>
      </c>
      <c r="L2" s="34">
        <v>2025</v>
      </c>
      <c r="M2" s="34">
        <v>2026</v>
      </c>
      <c r="N2" s="34">
        <v>2027</v>
      </c>
      <c r="O2" s="34">
        <v>2028</v>
      </c>
      <c r="P2" s="34">
        <v>2029</v>
      </c>
      <c r="Q2" s="34">
        <v>2030</v>
      </c>
      <c r="R2" s="34">
        <v>2031</v>
      </c>
      <c r="S2" s="34">
        <v>2032</v>
      </c>
      <c r="T2" s="34">
        <v>2033</v>
      </c>
      <c r="U2" s="34">
        <v>2034</v>
      </c>
      <c r="V2" s="34">
        <v>2035</v>
      </c>
    </row>
    <row r="3" spans="1:22" ht="15.75" thickTop="1" x14ac:dyDescent="0.25">
      <c r="A3" s="35" t="s">
        <v>72</v>
      </c>
      <c r="B3" s="36"/>
      <c r="C3" s="36">
        <f t="shared" ref="C3:V3" si="0">B10</f>
        <v>-7.8353174200005924</v>
      </c>
      <c r="D3" s="36">
        <f t="shared" si="0"/>
        <v>9.5109668399991278</v>
      </c>
      <c r="E3" s="36">
        <f t="shared" si="0"/>
        <v>-134.50902510000014</v>
      </c>
      <c r="F3" s="36">
        <f t="shared" si="0"/>
        <v>-170.46758794999914</v>
      </c>
      <c r="G3" s="36">
        <f t="shared" si="0"/>
        <v>-122.70262133999768</v>
      </c>
      <c r="H3" s="36">
        <f t="shared" si="0"/>
        <v>-80.676462089997585</v>
      </c>
      <c r="I3" s="36">
        <f t="shared" si="0"/>
        <v>-127.61884328999713</v>
      </c>
      <c r="J3" s="36">
        <f t="shared" si="0"/>
        <v>-112.59267895999801</v>
      </c>
      <c r="K3" s="36">
        <f t="shared" si="0"/>
        <v>-101.78485229999751</v>
      </c>
      <c r="L3" s="36">
        <f t="shared" si="0"/>
        <v>-133.65884625999661</v>
      </c>
      <c r="M3" s="37">
        <f t="shared" si="0"/>
        <v>131.5908010616713</v>
      </c>
      <c r="N3" s="37">
        <f t="shared" si="0"/>
        <v>23.622641510217363</v>
      </c>
      <c r="O3" s="37">
        <f t="shared" si="0"/>
        <v>-26.441271598754611</v>
      </c>
      <c r="P3" s="37">
        <f t="shared" si="0"/>
        <v>-103.96518372408173</v>
      </c>
      <c r="Q3" s="37">
        <f t="shared" si="0"/>
        <v>-46.389050771842449</v>
      </c>
      <c r="R3" s="37">
        <f t="shared" si="0"/>
        <v>-98.229415187717677</v>
      </c>
      <c r="S3" s="37">
        <f t="shared" si="0"/>
        <v>-129.24312790094154</v>
      </c>
      <c r="T3" s="37">
        <f t="shared" si="0"/>
        <v>-147.4954705084383</v>
      </c>
      <c r="U3" s="37">
        <f t="shared" si="0"/>
        <v>-177.76117081197481</v>
      </c>
      <c r="V3" s="37">
        <f t="shared" si="0"/>
        <v>-13.269122727151625</v>
      </c>
    </row>
    <row r="4" spans="1:22" x14ac:dyDescent="0.25">
      <c r="A4" s="35" t="s">
        <v>73</v>
      </c>
      <c r="B4" s="36">
        <f>B35</f>
        <v>3425.4236245799998</v>
      </c>
      <c r="C4" s="36">
        <f t="shared" ref="C4:K4" si="1">C35</f>
        <v>3307.1649282599997</v>
      </c>
      <c r="D4" s="36">
        <f t="shared" si="1"/>
        <v>3561.6021180600005</v>
      </c>
      <c r="E4" s="36">
        <f t="shared" si="1"/>
        <v>4600.2330061500006</v>
      </c>
      <c r="F4" s="36">
        <f t="shared" si="1"/>
        <v>5135.4253886100014</v>
      </c>
      <c r="G4" s="36">
        <f t="shared" si="1"/>
        <v>5607.306403380001</v>
      </c>
      <c r="H4" s="36">
        <f t="shared" si="1"/>
        <v>5890.4751265499999</v>
      </c>
      <c r="I4" s="36">
        <f t="shared" si="1"/>
        <v>5441.597934899999</v>
      </c>
      <c r="J4" s="36">
        <f t="shared" si="1"/>
        <v>6549.0630420300004</v>
      </c>
      <c r="K4" s="36">
        <f t="shared" si="1"/>
        <v>7919.3466405600002</v>
      </c>
      <c r="L4" s="38">
        <f>L12*0.65</f>
        <v>9094.2689500000015</v>
      </c>
      <c r="M4" s="38">
        <f>M12*0.58</f>
        <v>9511.42</v>
      </c>
      <c r="N4" s="38">
        <f>N12*0.61</f>
        <v>10003.39</v>
      </c>
      <c r="O4" s="38">
        <f>O12*0.64</f>
        <v>10495.36</v>
      </c>
      <c r="P4" s="38">
        <f>P12*0.7</f>
        <v>11479.3</v>
      </c>
      <c r="Q4" s="38">
        <f>Q12*0.75</f>
        <v>12299.25</v>
      </c>
      <c r="R4" s="38">
        <f>R12*0.77</f>
        <v>12627.23</v>
      </c>
      <c r="S4" s="38">
        <f>S12*0.79</f>
        <v>12955.210000000001</v>
      </c>
      <c r="T4" s="38">
        <f>T12*0.8</f>
        <v>13119.2</v>
      </c>
      <c r="U4" s="38">
        <f>U12*0.82</f>
        <v>13447.179999999998</v>
      </c>
      <c r="V4" s="38">
        <f>V12*0.85</f>
        <v>13939.15</v>
      </c>
    </row>
    <row r="5" spans="1:22" s="41" customFormat="1" x14ac:dyDescent="0.25">
      <c r="A5" s="39" t="s">
        <v>74</v>
      </c>
      <c r="B5" s="40">
        <f>B51</f>
        <v>0</v>
      </c>
      <c r="C5" s="40">
        <f t="shared" ref="C5:K5" si="2">C51</f>
        <v>3.6000000000000002E-4</v>
      </c>
      <c r="D5" s="40">
        <f t="shared" si="2"/>
        <v>0</v>
      </c>
      <c r="E5" s="40">
        <f t="shared" si="2"/>
        <v>2.5000000000000001E-5</v>
      </c>
      <c r="F5" s="40">
        <f t="shared" si="2"/>
        <v>6.1980000000000004E-3</v>
      </c>
      <c r="G5" s="40">
        <f t="shared" si="2"/>
        <v>8.6449999999999999E-3</v>
      </c>
      <c r="H5" s="40">
        <f t="shared" si="2"/>
        <v>5.4266999999999996E-2</v>
      </c>
      <c r="I5" s="40">
        <f t="shared" si="2"/>
        <v>2.4403999999999999E-2</v>
      </c>
      <c r="J5" s="40">
        <f t="shared" si="2"/>
        <v>5.8672999999999996E-2</v>
      </c>
      <c r="K5" s="40">
        <f t="shared" si="2"/>
        <v>6.425800000000001E-2</v>
      </c>
      <c r="L5" s="38">
        <f t="shared" ref="L5:M5" si="3">AVERAGE(F5:K5)</f>
        <v>3.6074166666666664E-2</v>
      </c>
      <c r="M5" s="38">
        <f t="shared" si="3"/>
        <v>4.1053527777777772E-2</v>
      </c>
      <c r="N5" s="38">
        <v>50</v>
      </c>
      <c r="O5" s="38">
        <v>50</v>
      </c>
      <c r="P5" s="38">
        <v>50</v>
      </c>
      <c r="Q5" s="38">
        <v>50</v>
      </c>
      <c r="R5" s="38">
        <v>50</v>
      </c>
      <c r="S5" s="38">
        <v>50</v>
      </c>
      <c r="T5" s="38">
        <v>200</v>
      </c>
      <c r="U5" s="38">
        <v>400</v>
      </c>
      <c r="V5" s="38">
        <v>600</v>
      </c>
    </row>
    <row r="6" spans="1:22" x14ac:dyDescent="0.25">
      <c r="A6" s="42" t="s">
        <v>75</v>
      </c>
      <c r="B6" s="43">
        <f>B5+B4+B3</f>
        <v>3425.4236245799998</v>
      </c>
      <c r="C6" s="43">
        <f t="shared" ref="C6:V6" si="4">C5+C4+C3</f>
        <v>3299.3299708399991</v>
      </c>
      <c r="D6" s="43">
        <f t="shared" si="4"/>
        <v>3571.1130848999996</v>
      </c>
      <c r="E6" s="43">
        <f t="shared" si="4"/>
        <v>4465.7240060500008</v>
      </c>
      <c r="F6" s="43">
        <f t="shared" si="4"/>
        <v>4964.9639986600023</v>
      </c>
      <c r="G6" s="43">
        <f t="shared" si="4"/>
        <v>5484.6124270400032</v>
      </c>
      <c r="H6" s="43">
        <f t="shared" si="4"/>
        <v>5809.8529314600028</v>
      </c>
      <c r="I6" s="43">
        <f t="shared" si="4"/>
        <v>5314.0034956100017</v>
      </c>
      <c r="J6" s="43">
        <f t="shared" si="4"/>
        <v>6436.5290360700028</v>
      </c>
      <c r="K6" s="43">
        <f t="shared" si="4"/>
        <v>7817.626046260003</v>
      </c>
      <c r="L6" s="44">
        <f t="shared" si="4"/>
        <v>8960.6461779066703</v>
      </c>
      <c r="M6" s="44">
        <f t="shared" si="4"/>
        <v>9643.0518545894483</v>
      </c>
      <c r="N6" s="44">
        <f t="shared" si="4"/>
        <v>10077.012641510217</v>
      </c>
      <c r="O6" s="44">
        <f t="shared" si="4"/>
        <v>10518.918728401246</v>
      </c>
      <c r="P6" s="44">
        <f t="shared" si="4"/>
        <v>11425.334816275918</v>
      </c>
      <c r="Q6" s="44">
        <f t="shared" si="4"/>
        <v>12302.860949228158</v>
      </c>
      <c r="R6" s="44">
        <f t="shared" si="4"/>
        <v>12579.000584812282</v>
      </c>
      <c r="S6" s="44">
        <f t="shared" si="4"/>
        <v>12875.966872099059</v>
      </c>
      <c r="T6" s="44">
        <f t="shared" si="4"/>
        <v>13171.704529491562</v>
      </c>
      <c r="U6" s="44">
        <f t="shared" si="4"/>
        <v>13669.418829188024</v>
      </c>
      <c r="V6" s="44">
        <f t="shared" si="4"/>
        <v>14525.880877272848</v>
      </c>
    </row>
    <row r="7" spans="1:22" x14ac:dyDescent="0.25">
      <c r="A7" s="45" t="s">
        <v>76</v>
      </c>
      <c r="B7" s="36">
        <f>B67</f>
        <v>3422.8992900000003</v>
      </c>
      <c r="C7" s="36">
        <f t="shared" ref="C7:K7" si="5">C67</f>
        <v>3289.8188700000001</v>
      </c>
      <c r="D7" s="36">
        <f t="shared" si="5"/>
        <v>3705.5083499999996</v>
      </c>
      <c r="E7" s="36">
        <f t="shared" si="5"/>
        <v>4636.0942800000003</v>
      </c>
      <c r="F7" s="36">
        <f t="shared" si="5"/>
        <v>5087.3389200000001</v>
      </c>
      <c r="G7" s="36">
        <f t="shared" si="5"/>
        <v>5562.0178791300004</v>
      </c>
      <c r="H7" s="36">
        <f t="shared" si="5"/>
        <v>5930.8249957500002</v>
      </c>
      <c r="I7" s="36">
        <f t="shared" si="5"/>
        <v>5388.8385605699996</v>
      </c>
      <c r="J7" s="36">
        <f t="shared" si="5"/>
        <v>6441.16501737</v>
      </c>
      <c r="K7" s="36">
        <f t="shared" si="5"/>
        <v>7883.2640065199994</v>
      </c>
      <c r="L7" s="38">
        <f>Diesel!L7*0.15</f>
        <v>8764.5265668449993</v>
      </c>
      <c r="M7" s="38">
        <f>Diesel!M7*0.16</f>
        <v>9573.2002180792315</v>
      </c>
      <c r="N7" s="38">
        <f>Diesel!N7*0.165</f>
        <v>10050.065253942304</v>
      </c>
      <c r="O7" s="38">
        <f>Diesel!O7*0.17</f>
        <v>10561.70493959755</v>
      </c>
      <c r="P7" s="38">
        <f>Diesel!P7*0.18</f>
        <v>11406.641334765352</v>
      </c>
      <c r="Q7" s="38">
        <f>Diesel!Q7*0.19</f>
        <v>12341.352221919733</v>
      </c>
      <c r="R7" s="38">
        <f>Diesel!R7*0.19</f>
        <v>12649.886027467724</v>
      </c>
      <c r="S7" s="38">
        <f>Diesel!S7*0.19</f>
        <v>12966.133178154416</v>
      </c>
      <c r="T7" s="38">
        <f>Diesel!T7*0.19</f>
        <v>13290.286507608274</v>
      </c>
      <c r="U7" s="38">
        <f>Diesel!U7*0.19</f>
        <v>13622.543670298481</v>
      </c>
      <c r="V7" s="38">
        <f>Diesel!V7*0.24</f>
        <v>18067.79476271167</v>
      </c>
    </row>
    <row r="8" spans="1:22" x14ac:dyDescent="0.25">
      <c r="A8" s="35" t="s">
        <v>77</v>
      </c>
      <c r="B8" s="36">
        <f>B83</f>
        <v>10.359652000000001</v>
      </c>
      <c r="C8" s="36">
        <f t="shared" ref="C8:K8" si="6">C83</f>
        <v>1.34E-4</v>
      </c>
      <c r="D8" s="36">
        <f t="shared" si="6"/>
        <v>0.11376</v>
      </c>
      <c r="E8" s="36">
        <f t="shared" si="6"/>
        <v>9.7313999999999998E-2</v>
      </c>
      <c r="F8" s="36">
        <f t="shared" si="6"/>
        <v>0.32770000000000005</v>
      </c>
      <c r="G8" s="36">
        <f t="shared" si="6"/>
        <v>3.27101</v>
      </c>
      <c r="H8" s="36">
        <f t="shared" si="6"/>
        <v>6.6467789999999995</v>
      </c>
      <c r="I8" s="36">
        <f t="shared" si="6"/>
        <v>37.757614000000004</v>
      </c>
      <c r="J8" s="36">
        <f t="shared" si="6"/>
        <v>97.148871</v>
      </c>
      <c r="K8" s="36">
        <f t="shared" si="6"/>
        <v>68.02088599999999</v>
      </c>
      <c r="L8" s="38">
        <f>AVERAGE(F8:K8)+29</f>
        <v>64.528809999999993</v>
      </c>
      <c r="M8" s="38">
        <f t="shared" ref="M8:V8" si="7">AVERAGE(G8:L8)</f>
        <v>46.228994999999998</v>
      </c>
      <c r="N8" s="38">
        <f t="shared" si="7"/>
        <v>53.388659166666663</v>
      </c>
      <c r="O8" s="38">
        <f t="shared" si="7"/>
        <v>61.17897252777778</v>
      </c>
      <c r="P8" s="38">
        <f t="shared" si="7"/>
        <v>65.082532282407399</v>
      </c>
      <c r="Q8" s="38">
        <f t="shared" si="7"/>
        <v>59.738142496141968</v>
      </c>
      <c r="R8" s="38">
        <f t="shared" si="7"/>
        <v>58.357685245498963</v>
      </c>
      <c r="S8" s="38">
        <f t="shared" si="7"/>
        <v>57.329164453082122</v>
      </c>
      <c r="T8" s="38">
        <f t="shared" si="7"/>
        <v>59.179192695262479</v>
      </c>
      <c r="U8" s="38">
        <f t="shared" si="7"/>
        <v>60.144281616695118</v>
      </c>
      <c r="V8" s="38">
        <f t="shared" si="7"/>
        <v>59.971833131514678</v>
      </c>
    </row>
    <row r="9" spans="1:22" x14ac:dyDescent="0.25">
      <c r="A9" s="46" t="s">
        <v>78</v>
      </c>
      <c r="B9" s="47">
        <f>B8+B7</f>
        <v>3433.2589420000004</v>
      </c>
      <c r="C9" s="47">
        <f t="shared" ref="C9:V9" si="8">C8+C7</f>
        <v>3289.8190039999999</v>
      </c>
      <c r="D9" s="47">
        <f t="shared" si="8"/>
        <v>3705.6221099999998</v>
      </c>
      <c r="E9" s="47">
        <f t="shared" si="8"/>
        <v>4636.1915939999999</v>
      </c>
      <c r="F9" s="47">
        <f t="shared" si="8"/>
        <v>5087.66662</v>
      </c>
      <c r="G9" s="47">
        <f t="shared" si="8"/>
        <v>5565.2888891300008</v>
      </c>
      <c r="H9" s="47">
        <f t="shared" si="8"/>
        <v>5937.4717747499999</v>
      </c>
      <c r="I9" s="47">
        <f t="shared" si="8"/>
        <v>5426.5961745699997</v>
      </c>
      <c r="J9" s="47">
        <f t="shared" si="8"/>
        <v>6538.3138883700003</v>
      </c>
      <c r="K9" s="47">
        <f t="shared" si="8"/>
        <v>7951.2848925199996</v>
      </c>
      <c r="L9" s="48">
        <f t="shared" si="8"/>
        <v>8829.055376844999</v>
      </c>
      <c r="M9" s="48">
        <f t="shared" si="8"/>
        <v>9619.429213079231</v>
      </c>
      <c r="N9" s="48">
        <f t="shared" si="8"/>
        <v>10103.453913108971</v>
      </c>
      <c r="O9" s="48">
        <f t="shared" si="8"/>
        <v>10622.883912125328</v>
      </c>
      <c r="P9" s="48">
        <f t="shared" si="8"/>
        <v>11471.72386704776</v>
      </c>
      <c r="Q9" s="48">
        <f t="shared" si="8"/>
        <v>12401.090364415875</v>
      </c>
      <c r="R9" s="48">
        <f t="shared" si="8"/>
        <v>12708.243712713223</v>
      </c>
      <c r="S9" s="48">
        <f t="shared" si="8"/>
        <v>13023.462342607498</v>
      </c>
      <c r="T9" s="48">
        <f t="shared" si="8"/>
        <v>13349.465700303537</v>
      </c>
      <c r="U9" s="48">
        <f t="shared" si="8"/>
        <v>13682.687951915175</v>
      </c>
      <c r="V9" s="48">
        <f t="shared" si="8"/>
        <v>18127.766595843186</v>
      </c>
    </row>
    <row r="10" spans="1:22" x14ac:dyDescent="0.25">
      <c r="A10" s="45" t="s">
        <v>79</v>
      </c>
      <c r="B10" s="36">
        <f>B6-B9</f>
        <v>-7.8353174200005924</v>
      </c>
      <c r="C10" s="36">
        <f t="shared" ref="C10:U10" si="9">C6-C9</f>
        <v>9.5109668399991278</v>
      </c>
      <c r="D10" s="36">
        <f t="shared" si="9"/>
        <v>-134.50902510000014</v>
      </c>
      <c r="E10" s="36">
        <f t="shared" si="9"/>
        <v>-170.46758794999914</v>
      </c>
      <c r="F10" s="36">
        <f t="shared" si="9"/>
        <v>-122.70262133999768</v>
      </c>
      <c r="G10" s="36">
        <f t="shared" si="9"/>
        <v>-80.676462089997585</v>
      </c>
      <c r="H10" s="36">
        <f t="shared" si="9"/>
        <v>-127.61884328999713</v>
      </c>
      <c r="I10" s="36">
        <f t="shared" si="9"/>
        <v>-112.59267895999801</v>
      </c>
      <c r="J10" s="36">
        <f t="shared" si="9"/>
        <v>-101.78485229999751</v>
      </c>
      <c r="K10" s="36">
        <f t="shared" si="9"/>
        <v>-133.65884625999661</v>
      </c>
      <c r="L10" s="37">
        <f t="shared" si="9"/>
        <v>131.5908010616713</v>
      </c>
      <c r="M10" s="37">
        <f t="shared" si="9"/>
        <v>23.622641510217363</v>
      </c>
      <c r="N10" s="37">
        <f t="shared" si="9"/>
        <v>-26.441271598754611</v>
      </c>
      <c r="O10" s="37">
        <f t="shared" si="9"/>
        <v>-103.96518372408173</v>
      </c>
      <c r="P10" s="37">
        <f t="shared" si="9"/>
        <v>-46.389050771842449</v>
      </c>
      <c r="Q10" s="37">
        <f t="shared" si="9"/>
        <v>-98.229415187717677</v>
      </c>
      <c r="R10" s="37">
        <f t="shared" si="9"/>
        <v>-129.24312790094154</v>
      </c>
      <c r="S10" s="37">
        <f t="shared" si="9"/>
        <v>-147.4954705084383</v>
      </c>
      <c r="T10" s="37">
        <f t="shared" si="9"/>
        <v>-177.76117081197481</v>
      </c>
      <c r="U10" s="37">
        <f t="shared" si="9"/>
        <v>-13.269122727151625</v>
      </c>
      <c r="V10" s="37">
        <f>V6-V9</f>
        <v>-3601.8857185703382</v>
      </c>
    </row>
    <row r="11" spans="1:22" s="41" customFormat="1" x14ac:dyDescent="0.25">
      <c r="A11" s="49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</row>
    <row r="12" spans="1:22" x14ac:dyDescent="0.25">
      <c r="A12" s="51" t="s">
        <v>80</v>
      </c>
      <c r="B12" s="52"/>
      <c r="C12" s="53"/>
      <c r="D12" s="53"/>
      <c r="E12" s="54">
        <f>SUM(E87:E98)</f>
        <v>7235.4941999999992</v>
      </c>
      <c r="F12" s="54">
        <f t="shared" ref="F12:K12" si="10">SUM(F87:F98)</f>
        <v>7725.3181199999999</v>
      </c>
      <c r="G12" s="54">
        <f t="shared" si="10"/>
        <v>8658.5871299999999</v>
      </c>
      <c r="H12" s="54">
        <f t="shared" si="10"/>
        <v>10060.35549</v>
      </c>
      <c r="I12" s="54">
        <f t="shared" si="10"/>
        <v>11479.351589999997</v>
      </c>
      <c r="J12" s="54">
        <f t="shared" si="10"/>
        <v>12280.807769999999</v>
      </c>
      <c r="K12" s="54">
        <f t="shared" si="10"/>
        <v>12869.6577</v>
      </c>
      <c r="L12" s="55">
        <f>13626+365.183</f>
        <v>13991.183000000001</v>
      </c>
      <c r="M12" s="55">
        <f>15783-792+1408</f>
        <v>16399</v>
      </c>
      <c r="N12" s="55">
        <f>M12</f>
        <v>16399</v>
      </c>
      <c r="O12" s="55">
        <f t="shared" ref="O12:V12" si="11">N12</f>
        <v>16399</v>
      </c>
      <c r="P12" s="55">
        <f t="shared" si="11"/>
        <v>16399</v>
      </c>
      <c r="Q12" s="55">
        <f t="shared" si="11"/>
        <v>16399</v>
      </c>
      <c r="R12" s="55">
        <f t="shared" si="11"/>
        <v>16399</v>
      </c>
      <c r="S12" s="55">
        <f t="shared" si="11"/>
        <v>16399</v>
      </c>
      <c r="T12" s="55">
        <f t="shared" si="11"/>
        <v>16399</v>
      </c>
      <c r="U12" s="55">
        <f t="shared" si="11"/>
        <v>16399</v>
      </c>
      <c r="V12" s="55">
        <f t="shared" si="11"/>
        <v>16399</v>
      </c>
    </row>
    <row r="13" spans="1:22" x14ac:dyDescent="0.25">
      <c r="A13" s="51" t="s">
        <v>81</v>
      </c>
      <c r="B13" s="53"/>
      <c r="C13" s="53"/>
      <c r="D13" s="53"/>
      <c r="E13" s="53">
        <f>E4/E12</f>
        <v>0.63578697998956324</v>
      </c>
      <c r="F13" s="53">
        <f t="shared" ref="F13:V13" si="12">F4/F12</f>
        <v>0.66475261068084035</v>
      </c>
      <c r="G13" s="53">
        <f t="shared" si="12"/>
        <v>0.64760062111657712</v>
      </c>
      <c r="H13" s="53">
        <f t="shared" si="12"/>
        <v>0.58551361653225242</v>
      </c>
      <c r="I13" s="53">
        <f t="shared" si="12"/>
        <v>0.47403356297931815</v>
      </c>
      <c r="J13" s="53">
        <f t="shared" si="12"/>
        <v>0.53327624409432484</v>
      </c>
      <c r="K13" s="53">
        <f t="shared" si="12"/>
        <v>0.61535021561296077</v>
      </c>
      <c r="L13" s="53">
        <f t="shared" si="12"/>
        <v>0.65</v>
      </c>
      <c r="M13" s="53">
        <f t="shared" si="12"/>
        <v>0.57999999999999996</v>
      </c>
      <c r="N13" s="53">
        <f t="shared" si="12"/>
        <v>0.61</v>
      </c>
      <c r="O13" s="53">
        <f t="shared" si="12"/>
        <v>0.64</v>
      </c>
      <c r="P13" s="53">
        <f t="shared" si="12"/>
        <v>0.7</v>
      </c>
      <c r="Q13" s="53">
        <f t="shared" si="12"/>
        <v>0.75</v>
      </c>
      <c r="R13" s="53">
        <f t="shared" si="12"/>
        <v>0.77</v>
      </c>
      <c r="S13" s="53">
        <f t="shared" si="12"/>
        <v>0.79</v>
      </c>
      <c r="T13" s="53">
        <f t="shared" si="12"/>
        <v>0.8</v>
      </c>
      <c r="U13" s="53">
        <f t="shared" si="12"/>
        <v>0.82</v>
      </c>
      <c r="V13" s="53">
        <f t="shared" si="12"/>
        <v>0.85</v>
      </c>
    </row>
    <row r="14" spans="1:22" x14ac:dyDescent="0.25">
      <c r="A14" s="45"/>
      <c r="B14" s="56"/>
      <c r="C14" s="56"/>
      <c r="D14" s="56"/>
      <c r="E14" s="56"/>
      <c r="F14" s="56"/>
      <c r="G14" s="56"/>
      <c r="H14" s="56"/>
      <c r="I14" s="56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</row>
    <row r="15" spans="1:22" x14ac:dyDescent="0.25">
      <c r="A15" s="45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spans="1:22" x14ac:dyDescent="0.25">
      <c r="A16" s="45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</row>
    <row r="17" spans="1:22" x14ac:dyDescent="0.25">
      <c r="A17" s="45"/>
      <c r="B17" s="56"/>
      <c r="C17" s="56"/>
      <c r="D17" s="56"/>
      <c r="E17" s="56"/>
      <c r="F17" s="56"/>
      <c r="G17" s="56"/>
      <c r="H17" s="56"/>
      <c r="I17" s="56"/>
      <c r="J17" s="57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</row>
    <row r="18" spans="1:22" x14ac:dyDescent="0.25">
      <c r="A18" s="45"/>
      <c r="B18" s="56"/>
      <c r="C18" s="56"/>
      <c r="D18" s="56"/>
      <c r="E18" s="56"/>
      <c r="F18" s="56"/>
      <c r="G18" s="56"/>
      <c r="H18" s="56"/>
      <c r="I18" s="56"/>
      <c r="J18" s="57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</row>
    <row r="19" spans="1:22" x14ac:dyDescent="0.25">
      <c r="A19" s="45"/>
      <c r="B19" s="56"/>
      <c r="C19" s="56"/>
      <c r="D19" s="36"/>
      <c r="E19" s="36"/>
      <c r="F19" s="36"/>
      <c r="G19" s="36"/>
      <c r="H19" s="36"/>
      <c r="I19" s="36"/>
      <c r="J19" s="37"/>
      <c r="K19" s="37"/>
      <c r="L19" s="37"/>
      <c r="M19" s="37"/>
      <c r="N19" s="37"/>
      <c r="O19" s="37"/>
      <c r="P19" s="58"/>
      <c r="Q19" s="58"/>
      <c r="R19" s="58"/>
      <c r="S19" s="58"/>
      <c r="T19" s="58"/>
      <c r="U19" s="58"/>
      <c r="V19" s="58"/>
    </row>
    <row r="20" spans="1:22" x14ac:dyDescent="0.25">
      <c r="A20" s="45"/>
      <c r="B20" s="56"/>
      <c r="C20" s="56"/>
      <c r="D20" s="36"/>
      <c r="E20" s="36"/>
      <c r="F20" s="36"/>
      <c r="G20" s="36"/>
      <c r="H20" s="36"/>
      <c r="I20" s="36"/>
      <c r="J20" s="37"/>
      <c r="K20" s="37"/>
      <c r="L20" s="37"/>
      <c r="M20" s="37"/>
      <c r="N20" s="37"/>
      <c r="O20" s="37"/>
      <c r="P20" s="58"/>
      <c r="Q20" s="58"/>
      <c r="R20" s="58"/>
      <c r="S20" s="58"/>
      <c r="T20" s="58"/>
      <c r="U20" s="58"/>
      <c r="V20" s="58"/>
    </row>
    <row r="21" spans="1:22" ht="15.75" thickBot="1" x14ac:dyDescent="0.3">
      <c r="A21" s="4" t="s">
        <v>82</v>
      </c>
    </row>
    <row r="22" spans="1:22" ht="16.5" thickTop="1" thickBot="1" x14ac:dyDescent="0.3">
      <c r="A22" s="33" t="s">
        <v>71</v>
      </c>
      <c r="B22" s="59">
        <f t="shared" ref="B22:V22" si="13">B2</f>
        <v>2015</v>
      </c>
      <c r="C22" s="59">
        <f t="shared" si="13"/>
        <v>2016</v>
      </c>
      <c r="D22" s="59">
        <f t="shared" si="13"/>
        <v>2017</v>
      </c>
      <c r="E22" s="59">
        <f t="shared" si="13"/>
        <v>2018</v>
      </c>
      <c r="F22" s="59">
        <f t="shared" si="13"/>
        <v>2019</v>
      </c>
      <c r="G22" s="59">
        <f t="shared" si="13"/>
        <v>2020</v>
      </c>
      <c r="H22" s="59">
        <f t="shared" si="13"/>
        <v>2021</v>
      </c>
      <c r="I22" s="59">
        <f t="shared" si="13"/>
        <v>2022</v>
      </c>
      <c r="J22" s="59">
        <f t="shared" si="13"/>
        <v>2023</v>
      </c>
      <c r="K22" s="59">
        <f t="shared" si="13"/>
        <v>2024</v>
      </c>
      <c r="L22" s="59">
        <f t="shared" si="13"/>
        <v>2025</v>
      </c>
      <c r="M22" s="59">
        <f t="shared" si="13"/>
        <v>2026</v>
      </c>
      <c r="N22" s="59">
        <f t="shared" si="13"/>
        <v>2027</v>
      </c>
      <c r="O22" s="59">
        <f t="shared" si="13"/>
        <v>2028</v>
      </c>
      <c r="P22" s="59">
        <f t="shared" si="13"/>
        <v>2029</v>
      </c>
      <c r="Q22" s="59">
        <f t="shared" si="13"/>
        <v>2030</v>
      </c>
      <c r="R22" s="59">
        <f t="shared" si="13"/>
        <v>2031</v>
      </c>
      <c r="S22" s="59">
        <f t="shared" si="13"/>
        <v>2032</v>
      </c>
      <c r="T22" s="59">
        <f t="shared" si="13"/>
        <v>2033</v>
      </c>
      <c r="U22" s="59">
        <f t="shared" si="13"/>
        <v>2034</v>
      </c>
      <c r="V22" s="59">
        <f t="shared" si="13"/>
        <v>2035</v>
      </c>
    </row>
    <row r="23" spans="1:22" s="41" customFormat="1" ht="15.75" thickTop="1" x14ac:dyDescent="0.25">
      <c r="A23" s="41" t="s">
        <v>83</v>
      </c>
      <c r="B23" s="52">
        <f>monthly_data!$B3*0.87/1000</f>
        <v>278.00545064999994</v>
      </c>
      <c r="C23" s="52">
        <f>monthly_data!$B15*0.87/1000</f>
        <v>236.10747474000001</v>
      </c>
      <c r="D23" s="52">
        <f>monthly_data!$B27*0.87/1000</f>
        <v>213.05218068000002</v>
      </c>
      <c r="E23" s="52">
        <f>monthly_data!$B39*0.87/1000</f>
        <v>280.68266423999995</v>
      </c>
      <c r="F23" s="52">
        <f>monthly_data!$B51*0.87/1000</f>
        <v>388.46176077000007</v>
      </c>
      <c r="G23" s="52">
        <f>monthly_data!$B63*0.87/1000</f>
        <v>406.80809456999998</v>
      </c>
      <c r="H23" s="52">
        <f>monthly_data!$B75*0.87/1000</f>
        <v>442.48893912</v>
      </c>
      <c r="I23" s="52">
        <f>monthly_data!$B87*0.87/1000</f>
        <v>394.88558324999997</v>
      </c>
      <c r="J23" s="52">
        <f>monthly_data!$B99*0.87/1000</f>
        <v>395.80604499000003</v>
      </c>
      <c r="K23" s="52">
        <f>monthly_data!$B111*0.87/1000</f>
        <v>535.68788312999993</v>
      </c>
      <c r="L23" s="52">
        <f>monthly_data!$B123*0.87/1000</f>
        <v>559.75161767999998</v>
      </c>
      <c r="M23" s="60">
        <f>M$35*(SUM(H23:L23)/SUM(H$35:L$35))</f>
        <v>634.72248442955538</v>
      </c>
      <c r="N23" s="60">
        <f t="shared" ref="N23:V33" si="14">N$35*(SUM(I23:M23)/SUM(I$35:M$35))</f>
        <v>654.72220616231209</v>
      </c>
      <c r="O23" s="60">
        <f t="shared" si="14"/>
        <v>677.48483037932999</v>
      </c>
      <c r="P23" s="60">
        <f t="shared" si="14"/>
        <v>747.5759824574825</v>
      </c>
      <c r="Q23" s="60">
        <f t="shared" si="14"/>
        <v>796.12357118563557</v>
      </c>
      <c r="R23" s="60">
        <f t="shared" si="14"/>
        <v>824.14158154055588</v>
      </c>
      <c r="S23" s="60">
        <f t="shared" si="14"/>
        <v>842.37407944178665</v>
      </c>
      <c r="T23" s="60">
        <f t="shared" si="14"/>
        <v>852.09864000105017</v>
      </c>
      <c r="U23" s="60">
        <f t="shared" si="14"/>
        <v>874.30376923720166</v>
      </c>
      <c r="V23" s="60">
        <f t="shared" si="14"/>
        <v>906.02681811585137</v>
      </c>
    </row>
    <row r="24" spans="1:22" s="41" customFormat="1" x14ac:dyDescent="0.25">
      <c r="A24" s="41" t="s">
        <v>84</v>
      </c>
      <c r="B24" s="52">
        <f>monthly_data!$B4*0.87/1000</f>
        <v>264.12711582000003</v>
      </c>
      <c r="C24" s="52">
        <f>monthly_data!$B16*0.87/1000</f>
        <v>261.05689190999999</v>
      </c>
      <c r="D24" s="52">
        <f>monthly_data!$B28*0.87/1000</f>
        <v>215.28414741</v>
      </c>
      <c r="E24" s="52">
        <f>monthly_data!$B40*0.87/1000</f>
        <v>279.89033522999995</v>
      </c>
      <c r="F24" s="52">
        <f>monthly_data!$B52*0.87/1000</f>
        <v>361.26645165000008</v>
      </c>
      <c r="G24" s="52">
        <f>monthly_data!$B64*0.87/1000</f>
        <v>420.37198269000004</v>
      </c>
      <c r="H24" s="52">
        <f>monthly_data!$B76*0.87/1000</f>
        <v>458.89487363999996</v>
      </c>
      <c r="I24" s="52">
        <f>monthly_data!$B88*0.87/1000</f>
        <v>425.87752277999999</v>
      </c>
      <c r="J24" s="52">
        <f>monthly_data!$B100*0.87/1000</f>
        <v>396.24313733999998</v>
      </c>
      <c r="K24" s="52">
        <f>monthly_data!$B112*0.87/1000</f>
        <v>553.80506415000002</v>
      </c>
      <c r="L24" s="52">
        <f>monthly_data!$B124*0.87/1000</f>
        <v>606.88283151000007</v>
      </c>
      <c r="M24" s="60">
        <f t="shared" ref="L24:M33" si="15">M$35*(SUM(H24:L24)/SUM(H$35:L$35))</f>
        <v>665.5461267151137</v>
      </c>
      <c r="N24" s="60">
        <f t="shared" si="14"/>
        <v>687.83709262281332</v>
      </c>
      <c r="O24" s="60">
        <f t="shared" si="14"/>
        <v>709.06630727560378</v>
      </c>
      <c r="P24" s="60">
        <f t="shared" si="14"/>
        <v>786.82226338944815</v>
      </c>
      <c r="Q24" s="60">
        <f t="shared" si="14"/>
        <v>840.3512791069295</v>
      </c>
      <c r="R24" s="60">
        <f t="shared" si="14"/>
        <v>866.161513175192</v>
      </c>
      <c r="S24" s="60">
        <f t="shared" si="14"/>
        <v>885.67388469748983</v>
      </c>
      <c r="T24" s="60">
        <f t="shared" si="14"/>
        <v>896.01649263444676</v>
      </c>
      <c r="U24" s="60">
        <f t="shared" si="14"/>
        <v>920.08421392726359</v>
      </c>
      <c r="V24" s="60">
        <f t="shared" si="14"/>
        <v>953.44638066415359</v>
      </c>
    </row>
    <row r="25" spans="1:22" s="41" customFormat="1" x14ac:dyDescent="0.25">
      <c r="A25" s="41" t="s">
        <v>85</v>
      </c>
      <c r="B25" s="52">
        <f>monthly_data!$B5*0.87/1000</f>
        <v>280.74206175</v>
      </c>
      <c r="C25" s="52">
        <f>monthly_data!$B17*0.87/1000</f>
        <v>281.14716593999998</v>
      </c>
      <c r="D25" s="52">
        <f>monthly_data!$B29*0.87/1000</f>
        <v>275.93433300000004</v>
      </c>
      <c r="E25" s="52">
        <f>monthly_data!$B41*0.87/1000</f>
        <v>380.39873214000005</v>
      </c>
      <c r="F25" s="52">
        <f>monthly_data!$B53*0.87/1000</f>
        <v>402.05649734999997</v>
      </c>
      <c r="G25" s="52">
        <f>monthly_data!$B65*0.87/1000</f>
        <v>478.75908860999999</v>
      </c>
      <c r="H25" s="52">
        <f>monthly_data!$B77*0.87/1000</f>
        <v>559.16223444000002</v>
      </c>
      <c r="I25" s="52">
        <f>monthly_data!$B89*0.87/1000</f>
        <v>435.17022768000004</v>
      </c>
      <c r="J25" s="52">
        <f>monthly_data!$B101*0.87/1000</f>
        <v>480.85118456999993</v>
      </c>
      <c r="K25" s="52">
        <f>monthly_data!$B113*0.87/1000</f>
        <v>647.81728241999997</v>
      </c>
      <c r="L25" s="60">
        <f t="shared" si="15"/>
        <v>753.3515088707253</v>
      </c>
      <c r="M25" s="60">
        <f t="shared" si="15"/>
        <v>784.02036918151771</v>
      </c>
      <c r="N25" s="60">
        <f t="shared" si="14"/>
        <v>805.45392127866285</v>
      </c>
      <c r="O25" s="60">
        <f t="shared" si="14"/>
        <v>845.79169351598262</v>
      </c>
      <c r="P25" s="60">
        <f t="shared" si="14"/>
        <v>936.53850200784598</v>
      </c>
      <c r="Q25" s="60">
        <f t="shared" si="14"/>
        <v>1003.0165014070614</v>
      </c>
      <c r="R25" s="60">
        <f t="shared" si="14"/>
        <v>1027.0159025277819</v>
      </c>
      <c r="S25" s="60">
        <f t="shared" si="14"/>
        <v>1051.3184586116699</v>
      </c>
      <c r="T25" s="60">
        <f t="shared" si="14"/>
        <v>1066.012286700349</v>
      </c>
      <c r="U25" s="60">
        <f t="shared" si="14"/>
        <v>1094.1730588002256</v>
      </c>
      <c r="V25" s="60">
        <f t="shared" si="14"/>
        <v>1133.6655920712531</v>
      </c>
    </row>
    <row r="26" spans="1:22" s="41" customFormat="1" x14ac:dyDescent="0.25">
      <c r="A26" s="41" t="s">
        <v>86</v>
      </c>
      <c r="B26" s="52">
        <f>monthly_data!$B6*0.87/1000</f>
        <v>282.33782009999999</v>
      </c>
      <c r="C26" s="52">
        <f>monthly_data!$B18*0.87/1000</f>
        <v>303.18205265999995</v>
      </c>
      <c r="D26" s="52">
        <f>monthly_data!$B30*0.87/1000</f>
        <v>286.63059585000002</v>
      </c>
      <c r="E26" s="52">
        <f>monthly_data!$B42*0.87/1000</f>
        <v>390.37396509000007</v>
      </c>
      <c r="F26" s="52">
        <f>monthly_data!$B54*0.87/1000</f>
        <v>404.46435459000003</v>
      </c>
      <c r="G26" s="52">
        <f>monthly_data!$B66*0.87/1000</f>
        <v>382.38834209999993</v>
      </c>
      <c r="H26" s="52">
        <f>monthly_data!$B78*0.87/1000</f>
        <v>548.92981469999995</v>
      </c>
      <c r="I26" s="52">
        <f>monthly_data!$B90*0.87/1000</f>
        <v>417.31321581000003</v>
      </c>
      <c r="J26" s="52">
        <f>monthly_data!$B102*0.87/1000</f>
        <v>503.21983461000008</v>
      </c>
      <c r="K26" s="52">
        <f>monthly_data!$B114*0.87/1000</f>
        <v>665.41194144000008</v>
      </c>
      <c r="L26" s="60">
        <f t="shared" si="15"/>
        <v>728.88505409870265</v>
      </c>
      <c r="M26" s="60">
        <f t="shared" si="15"/>
        <v>780.58795353224139</v>
      </c>
      <c r="N26" s="60">
        <f t="shared" si="14"/>
        <v>803.94946012904563</v>
      </c>
      <c r="O26" s="60">
        <f t="shared" si="14"/>
        <v>848.36451678999265</v>
      </c>
      <c r="P26" s="60">
        <f t="shared" si="14"/>
        <v>934.28387526368022</v>
      </c>
      <c r="Q26" s="60">
        <f t="shared" si="14"/>
        <v>995.94455784220338</v>
      </c>
      <c r="R26" s="60">
        <f t="shared" si="14"/>
        <v>1024.2714572984803</v>
      </c>
      <c r="S26" s="60">
        <f t="shared" si="14"/>
        <v>1048.8135317537431</v>
      </c>
      <c r="T26" s="60">
        <f t="shared" si="14"/>
        <v>1063.3814660708165</v>
      </c>
      <c r="U26" s="60">
        <f t="shared" si="14"/>
        <v>1090.4697659705294</v>
      </c>
      <c r="V26" s="60">
        <f t="shared" si="14"/>
        <v>1129.6307028232586</v>
      </c>
    </row>
    <row r="27" spans="1:22" s="41" customFormat="1" x14ac:dyDescent="0.25">
      <c r="A27" s="41" t="s">
        <v>87</v>
      </c>
      <c r="B27" s="52">
        <f>monthly_data!$B7*0.87/1000</f>
        <v>294.79998198000004</v>
      </c>
      <c r="C27" s="52">
        <f>monthly_data!$B19*0.87/1000</f>
        <v>286.06844360999992</v>
      </c>
      <c r="D27" s="52">
        <f>monthly_data!$B31*0.87/1000</f>
        <v>306.84210786</v>
      </c>
      <c r="E27" s="52">
        <f>monthly_data!$B43*0.87/1000</f>
        <v>332.77282065000003</v>
      </c>
      <c r="F27" s="52">
        <f>monthly_data!$B55*0.87/1000</f>
        <v>390.06646532999997</v>
      </c>
      <c r="G27" s="52">
        <f>monthly_data!$B67*0.87/1000</f>
        <v>418.90009755</v>
      </c>
      <c r="H27" s="52">
        <f>monthly_data!$B79*0.87/1000</f>
        <v>471.31553564999996</v>
      </c>
      <c r="I27" s="52">
        <f>monthly_data!$B91*0.87/1000</f>
        <v>466.40434910999994</v>
      </c>
      <c r="J27" s="52">
        <f>monthly_data!$B103*0.87/1000</f>
        <v>564.41935298999999</v>
      </c>
      <c r="K27" s="52">
        <f>monthly_data!$B115*0.87/1000</f>
        <v>639.53010959999995</v>
      </c>
      <c r="L27" s="60">
        <f t="shared" si="15"/>
        <v>741.42459017958856</v>
      </c>
      <c r="M27" s="60">
        <f t="shared" si="15"/>
        <v>785.85793014774163</v>
      </c>
      <c r="N27" s="60">
        <f t="shared" si="14"/>
        <v>830.49785303476392</v>
      </c>
      <c r="O27" s="60">
        <f t="shared" si="14"/>
        <v>867.77660531438994</v>
      </c>
      <c r="P27" s="60">
        <f t="shared" si="14"/>
        <v>943.5330153716759</v>
      </c>
      <c r="Q27" s="60">
        <f t="shared" si="14"/>
        <v>1013.6988916533388</v>
      </c>
      <c r="R27" s="60">
        <f t="shared" si="14"/>
        <v>1042.6373498633752</v>
      </c>
      <c r="S27" s="60">
        <f t="shared" si="14"/>
        <v>1069.6062060627262</v>
      </c>
      <c r="T27" s="60">
        <f t="shared" si="14"/>
        <v>1082.1374396198371</v>
      </c>
      <c r="U27" s="60">
        <f t="shared" si="14"/>
        <v>1108.7460840178953</v>
      </c>
      <c r="V27" s="60">
        <f t="shared" si="14"/>
        <v>1149.94963754061</v>
      </c>
    </row>
    <row r="28" spans="1:22" s="41" customFormat="1" x14ac:dyDescent="0.25">
      <c r="A28" s="41" t="s">
        <v>88</v>
      </c>
      <c r="B28" s="52">
        <f>monthly_data!$B8*0.87/1000</f>
        <v>280.30118490000018</v>
      </c>
      <c r="C28" s="52">
        <f>monthly_data!$B20*0.87/1000</f>
        <v>254.71198104000004</v>
      </c>
      <c r="D28" s="52">
        <f>monthly_data!$B32*0.87/1000</f>
        <v>298.60732382999998</v>
      </c>
      <c r="E28" s="52">
        <f>monthly_data!$B44*0.87/1000</f>
        <v>406.20087980999995</v>
      </c>
      <c r="F28" s="52">
        <f>monthly_data!$B56*0.87/1000</f>
        <v>401.60366670000002</v>
      </c>
      <c r="G28" s="52">
        <f>monthly_data!$B68*0.87/1000</f>
        <v>469.91295905999999</v>
      </c>
      <c r="H28" s="52">
        <f>monthly_data!$B80*0.87/1000</f>
        <v>459.07273470000001</v>
      </c>
      <c r="I28" s="52">
        <f>monthly_data!$B92*0.87/1000</f>
        <v>441.84556368</v>
      </c>
      <c r="J28" s="52">
        <f>monthly_data!$B104*0.87/1000</f>
        <v>571.8136422</v>
      </c>
      <c r="K28" s="52">
        <f>monthly_data!$B116*0.87/1000</f>
        <v>670.22893743000009</v>
      </c>
      <c r="L28" s="60">
        <f t="shared" si="15"/>
        <v>756.56956607800623</v>
      </c>
      <c r="M28" s="60">
        <f t="shared" si="15"/>
        <v>790.33810294222428</v>
      </c>
      <c r="N28" s="60">
        <f t="shared" si="14"/>
        <v>839.11011357342488</v>
      </c>
      <c r="O28" s="60">
        <f t="shared" si="14"/>
        <v>883.93731417434924</v>
      </c>
      <c r="P28" s="60">
        <f t="shared" si="14"/>
        <v>961.86544778838834</v>
      </c>
      <c r="Q28" s="60">
        <f t="shared" si="14"/>
        <v>1028.9515941888517</v>
      </c>
      <c r="R28" s="60">
        <f t="shared" si="14"/>
        <v>1057.3890185834675</v>
      </c>
      <c r="S28" s="60">
        <f t="shared" si="14"/>
        <v>1086.2507941682136</v>
      </c>
      <c r="T28" s="60">
        <f t="shared" si="14"/>
        <v>1099.9220096226347</v>
      </c>
      <c r="U28" s="60">
        <f t="shared" si="14"/>
        <v>1126.5592306478411</v>
      </c>
      <c r="V28" s="60">
        <f t="shared" si="14"/>
        <v>1167.7383588115413</v>
      </c>
    </row>
    <row r="29" spans="1:22" s="41" customFormat="1" x14ac:dyDescent="0.25">
      <c r="A29" s="41" t="s">
        <v>89</v>
      </c>
      <c r="B29" s="52">
        <f>monthly_data!$B9*0.87/1000</f>
        <v>296.75164427999999</v>
      </c>
      <c r="C29" s="52">
        <f>monthly_data!$B21*0.87/1000</f>
        <v>293.56862661000002</v>
      </c>
      <c r="D29" s="52">
        <f>monthly_data!$B33*0.87/1000</f>
        <v>321.93283206000001</v>
      </c>
      <c r="E29" s="52">
        <f>monthly_data!$B45*0.87/1000</f>
        <v>425.49937206000004</v>
      </c>
      <c r="F29" s="52">
        <f>monthly_data!$B57*0.87/1000</f>
        <v>430.94952360000002</v>
      </c>
      <c r="G29" s="52">
        <f>monthly_data!$B69*0.87/1000</f>
        <v>524.89822752000009</v>
      </c>
      <c r="H29" s="52">
        <f>monthly_data!$B81*0.87/1000</f>
        <v>487.76188602000002</v>
      </c>
      <c r="I29" s="52">
        <f>monthly_data!$B93*0.87/1000</f>
        <v>494.82079892999997</v>
      </c>
      <c r="J29" s="52">
        <f>monthly_data!$B105*0.87/1000</f>
        <v>624.12972021000007</v>
      </c>
      <c r="K29" s="52">
        <f>monthly_data!$B117*0.87/1000</f>
        <v>715.21362287999989</v>
      </c>
      <c r="L29" s="60">
        <f>L$35*(SUM(G29:K29)/SUM(G$35:K$35))</f>
        <v>824.31097941743849</v>
      </c>
      <c r="M29" s="60">
        <f t="shared" si="15"/>
        <v>857.58402466529162</v>
      </c>
      <c r="N29" s="60">
        <f t="shared" si="14"/>
        <v>913.19939754693928</v>
      </c>
      <c r="O29" s="60">
        <f t="shared" si="14"/>
        <v>958.58281991816989</v>
      </c>
      <c r="P29" s="60">
        <f t="shared" si="14"/>
        <v>1042.1083299656332</v>
      </c>
      <c r="Q29" s="60">
        <f t="shared" si="14"/>
        <v>1117.4483464008956</v>
      </c>
      <c r="R29" s="60">
        <f t="shared" si="14"/>
        <v>1147.7044656227547</v>
      </c>
      <c r="S29" s="60">
        <f t="shared" si="14"/>
        <v>1179.0905631034495</v>
      </c>
      <c r="T29" s="60">
        <f t="shared" si="14"/>
        <v>1193.4103068517049</v>
      </c>
      <c r="U29" s="60">
        <f t="shared" si="14"/>
        <v>1222.4159710746558</v>
      </c>
      <c r="V29" s="60">
        <f t="shared" si="14"/>
        <v>1267.4450903550742</v>
      </c>
    </row>
    <row r="30" spans="1:22" s="41" customFormat="1" x14ac:dyDescent="0.25">
      <c r="A30" s="41" t="s">
        <v>90</v>
      </c>
      <c r="B30" s="52">
        <f>monthly_data!$B10*0.87/1000</f>
        <v>299.31288252000007</v>
      </c>
      <c r="C30" s="52">
        <f>monthly_data!$B22*0.87/1000</f>
        <v>284.64928047000006</v>
      </c>
      <c r="D30" s="52">
        <f>monthly_data!$B34*0.87/1000</f>
        <v>332.35513800000001</v>
      </c>
      <c r="E30" s="52">
        <f>monthly_data!$B46*0.87/1000</f>
        <v>422.68316987999992</v>
      </c>
      <c r="F30" s="52">
        <f>monthly_data!$B58*0.87/1000</f>
        <v>437.73662675999998</v>
      </c>
      <c r="G30" s="52">
        <f>monthly_data!$B70*0.87/1000</f>
        <v>542.82590775000006</v>
      </c>
      <c r="H30" s="52">
        <f>monthly_data!$B82*0.87/1000</f>
        <v>498.96504915000003</v>
      </c>
      <c r="I30" s="52">
        <f>monthly_data!$B94*0.87/1000</f>
        <v>507.08221266000004</v>
      </c>
      <c r="J30" s="52">
        <f>monthly_data!$B106*0.87/1000</f>
        <v>615.76910808000002</v>
      </c>
      <c r="K30" s="52">
        <f>monthly_data!$B118*0.87/1000</f>
        <v>731.28931757999999</v>
      </c>
      <c r="L30" s="60">
        <f>L$35*(SUM(G30:K30)/SUM(G$35:K$35))</f>
        <v>838.53023414405561</v>
      </c>
      <c r="M30" s="60">
        <f t="shared" si="15"/>
        <v>869.95861164827579</v>
      </c>
      <c r="N30" s="60">
        <f t="shared" si="14"/>
        <v>925.29475853114366</v>
      </c>
      <c r="O30" s="60">
        <f t="shared" si="14"/>
        <v>969.88871761198004</v>
      </c>
      <c r="P30" s="60">
        <f t="shared" si="14"/>
        <v>1058.2373265686106</v>
      </c>
      <c r="Q30" s="60">
        <f t="shared" si="14"/>
        <v>1133.5261772768506</v>
      </c>
      <c r="R30" s="60">
        <f t="shared" si="14"/>
        <v>1163.6638126708483</v>
      </c>
      <c r="S30" s="60">
        <f t="shared" si="14"/>
        <v>1195.3840133143956</v>
      </c>
      <c r="T30" s="60">
        <f t="shared" si="14"/>
        <v>1210.0164487545615</v>
      </c>
      <c r="U30" s="60">
        <f t="shared" si="14"/>
        <v>1239.8631964409235</v>
      </c>
      <c r="V30" s="60">
        <f t="shared" si="14"/>
        <v>1285.2635117529114</v>
      </c>
    </row>
    <row r="31" spans="1:22" s="41" customFormat="1" x14ac:dyDescent="0.25">
      <c r="A31" s="41" t="s">
        <v>91</v>
      </c>
      <c r="B31" s="52">
        <f>monthly_data!$B11*0.87/1000</f>
        <v>287.43780621000002</v>
      </c>
      <c r="C31" s="52">
        <f>monthly_data!$B23*0.87/1000</f>
        <v>272.57897354999994</v>
      </c>
      <c r="D31" s="52">
        <f>monthly_data!$B35*0.87/1000</f>
        <v>331.21427741999997</v>
      </c>
      <c r="E31" s="52">
        <f>monthly_data!$B47*0.87/1000</f>
        <v>417.54129240000003</v>
      </c>
      <c r="F31" s="52">
        <f>monthly_data!$B59*0.87/1000</f>
        <v>485.91611576999998</v>
      </c>
      <c r="G31" s="52">
        <f>monthly_data!$B71*0.87/1000</f>
        <v>514.72133988000007</v>
      </c>
      <c r="H31" s="52">
        <f>monthly_data!$B83*0.87/1000</f>
        <v>504.26773133999995</v>
      </c>
      <c r="I31" s="52">
        <f>monthly_data!$B95*0.87/1000</f>
        <v>478.36301241000001</v>
      </c>
      <c r="J31" s="52">
        <f>monthly_data!$B107*0.87/1000</f>
        <v>585.21739638000008</v>
      </c>
      <c r="K31" s="52">
        <f>monthly_data!$B119*0.87/1000</f>
        <v>710.75481981000007</v>
      </c>
      <c r="L31" s="60">
        <f t="shared" si="15"/>
        <v>808.81982262098438</v>
      </c>
      <c r="M31" s="60">
        <f t="shared" si="15"/>
        <v>841.5527658711452</v>
      </c>
      <c r="N31" s="60">
        <f t="shared" si="14"/>
        <v>889.4734091175186</v>
      </c>
      <c r="O31" s="60">
        <f t="shared" si="14"/>
        <v>934.55524744604372</v>
      </c>
      <c r="P31" s="60">
        <f t="shared" si="14"/>
        <v>1021.6672565183114</v>
      </c>
      <c r="Q31" s="60">
        <f t="shared" si="14"/>
        <v>1093.2025126225681</v>
      </c>
      <c r="R31" s="60">
        <f t="shared" si="14"/>
        <v>1122.2400663150008</v>
      </c>
      <c r="S31" s="60">
        <f t="shared" si="14"/>
        <v>1152.2476682119195</v>
      </c>
      <c r="T31" s="60">
        <f t="shared" si="14"/>
        <v>1166.8849865455002</v>
      </c>
      <c r="U31" s="60">
        <f t="shared" si="14"/>
        <v>1195.8317170537812</v>
      </c>
      <c r="V31" s="60">
        <f t="shared" si="14"/>
        <v>1239.4009944367569</v>
      </c>
    </row>
    <row r="32" spans="1:22" s="41" customFormat="1" x14ac:dyDescent="0.25">
      <c r="A32" s="41" t="s">
        <v>92</v>
      </c>
      <c r="B32" s="52">
        <f>monthly_data!$B12*0.87/1000</f>
        <v>312.47417379000001</v>
      </c>
      <c r="C32" s="52">
        <f>monthly_data!$B24*0.87/1000</f>
        <v>296.69098614000006</v>
      </c>
      <c r="D32" s="52">
        <f>monthly_data!$B36*0.87/1000</f>
        <v>340.46932263000002</v>
      </c>
      <c r="E32" s="52">
        <f>monthly_data!$B48*0.87/1000</f>
        <v>435.27514446000004</v>
      </c>
      <c r="F32" s="52">
        <f>monthly_data!$B60*0.87/1000</f>
        <v>507.84051944999999</v>
      </c>
      <c r="G32" s="52">
        <f>monthly_data!$B72*0.87/1000</f>
        <v>513.76621124999997</v>
      </c>
      <c r="H32" s="52">
        <f>monthly_data!$B84*0.87/1000</f>
        <v>541.83491336999998</v>
      </c>
      <c r="I32" s="52">
        <f>monthly_data!$B96*0.87/1000</f>
        <v>495.32070701999999</v>
      </c>
      <c r="J32" s="52">
        <f>monthly_data!$B108*0.87/1000</f>
        <v>612.65513274</v>
      </c>
      <c r="K32" s="52">
        <f>monthly_data!$B120*0.87/1000</f>
        <v>735.62723936999998</v>
      </c>
      <c r="L32" s="60">
        <f t="shared" si="15"/>
        <v>839.47783290690347</v>
      </c>
      <c r="M32" s="60">
        <f t="shared" si="15"/>
        <v>879.02986526569111</v>
      </c>
      <c r="N32" s="60">
        <f t="shared" si="14"/>
        <v>925.16003874217756</v>
      </c>
      <c r="O32" s="60">
        <f t="shared" si="14"/>
        <v>972.59507984774575</v>
      </c>
      <c r="P32" s="60">
        <f t="shared" si="14"/>
        <v>1062.3698388798111</v>
      </c>
      <c r="Q32" s="60">
        <f t="shared" si="14"/>
        <v>1137.5923149292805</v>
      </c>
      <c r="R32" s="60">
        <f t="shared" si="14"/>
        <v>1168.3217365859218</v>
      </c>
      <c r="S32" s="60">
        <f t="shared" si="14"/>
        <v>1198.8964890772625</v>
      </c>
      <c r="T32" s="60">
        <f t="shared" si="14"/>
        <v>1214.1973609468541</v>
      </c>
      <c r="U32" s="60">
        <f t="shared" si="14"/>
        <v>1244.2860228723584</v>
      </c>
      <c r="V32" s="60">
        <f t="shared" si="14"/>
        <v>1289.7709505724999</v>
      </c>
    </row>
    <row r="33" spans="1:22" s="41" customFormat="1" x14ac:dyDescent="0.25">
      <c r="A33" s="41" t="s">
        <v>93</v>
      </c>
      <c r="B33" s="52">
        <f>monthly_data!$B13*0.87/1000</f>
        <v>282.45606701999998</v>
      </c>
      <c r="C33" s="52">
        <f>monthly_data!$B25*0.87/1000</f>
        <v>279.75717738000003</v>
      </c>
      <c r="D33" s="52">
        <f>monthly_data!$B37*0.87/1000</f>
        <v>322.06490762999999</v>
      </c>
      <c r="E33" s="52">
        <f>monthly_data!$B49*0.87/1000</f>
        <v>416.82096894000006</v>
      </c>
      <c r="F33" s="52">
        <f>monthly_data!$B61*0.87/1000</f>
        <v>469.64299196999997</v>
      </c>
      <c r="G33" s="52">
        <f>monthly_data!$B73*0.87/1000</f>
        <v>483.95908818000004</v>
      </c>
      <c r="H33" s="52">
        <f>monthly_data!$B85*0.87/1000</f>
        <v>460.25278182</v>
      </c>
      <c r="I33" s="52">
        <f>monthly_data!$B97*0.87/1000</f>
        <v>451.71141500999994</v>
      </c>
      <c r="J33" s="52">
        <f>monthly_data!$B109*0.87/1000</f>
        <v>609.19495133999988</v>
      </c>
      <c r="K33" s="52">
        <f>monthly_data!$B121*0.87/1000</f>
        <v>709.23514992000003</v>
      </c>
      <c r="L33" s="60">
        <f t="shared" si="15"/>
        <v>785.95343353259796</v>
      </c>
      <c r="M33" s="60">
        <f t="shared" si="15"/>
        <v>822.17951837181272</v>
      </c>
      <c r="N33" s="60">
        <f t="shared" si="14"/>
        <v>877.41362727205455</v>
      </c>
      <c r="O33" s="60">
        <f t="shared" si="14"/>
        <v>926.79740532927303</v>
      </c>
      <c r="P33" s="60">
        <f t="shared" si="14"/>
        <v>1006.1470543815893</v>
      </c>
      <c r="Q33" s="60">
        <f t="shared" si="14"/>
        <v>1074.3398380209094</v>
      </c>
      <c r="R33" s="60">
        <f t="shared" si="14"/>
        <v>1104.9681803046469</v>
      </c>
      <c r="S33" s="60">
        <f t="shared" si="14"/>
        <v>1135.9758568281541</v>
      </c>
      <c r="T33" s="60">
        <f t="shared" si="14"/>
        <v>1150.2966213401803</v>
      </c>
      <c r="U33" s="60">
        <f t="shared" si="14"/>
        <v>1177.6421500571898</v>
      </c>
      <c r="V33" s="60">
        <f t="shared" si="14"/>
        <v>1220.5443383125746</v>
      </c>
    </row>
    <row r="34" spans="1:22" s="41" customFormat="1" x14ac:dyDescent="0.25">
      <c r="A34" s="41" t="s">
        <v>94</v>
      </c>
      <c r="B34" s="52">
        <f>monthly_data!$B14*0.87/1000</f>
        <v>266.67743555999994</v>
      </c>
      <c r="C34" s="52">
        <f>monthly_data!$B26*0.87/1000</f>
        <v>257.64587420999993</v>
      </c>
      <c r="D34" s="52">
        <f>monthly_data!$B38*0.87/1000</f>
        <v>317.21495169000002</v>
      </c>
      <c r="E34" s="52">
        <f>monthly_data!$B50*0.87/1000</f>
        <v>412.09366125000003</v>
      </c>
      <c r="F34" s="52">
        <f>monthly_data!$B62*0.87/1000</f>
        <v>455.42041467000001</v>
      </c>
      <c r="G34" s="52">
        <f>monthly_data!$B74*0.87/1000</f>
        <v>449.99506422000002</v>
      </c>
      <c r="H34" s="52">
        <f>monthly_data!$B86*0.87/1000</f>
        <v>457.52863259999998</v>
      </c>
      <c r="I34" s="52">
        <f>monthly_data!$B98*0.87/1000</f>
        <v>432.80332656000002</v>
      </c>
      <c r="J34" s="52">
        <f>monthly_data!$B110*0.87/1000</f>
        <v>589.74353657999995</v>
      </c>
      <c r="K34" s="52">
        <f>monthly_data!$B122*0.87/1000</f>
        <v>604.74527282999986</v>
      </c>
      <c r="L34" s="60">
        <f t="shared" ref="L34:M34" si="16">L35-SUM(L23:L33)</f>
        <v>850.31147896099901</v>
      </c>
      <c r="M34" s="60">
        <f t="shared" si="16"/>
        <v>800.04224722938852</v>
      </c>
      <c r="N34" s="60">
        <f t="shared" ref="N34:V34" si="17">N35-SUM(N23:N33)</f>
        <v>851.27812198914216</v>
      </c>
      <c r="O34" s="60">
        <f t="shared" si="17"/>
        <v>900.51946239714016</v>
      </c>
      <c r="P34" s="60">
        <f t="shared" si="17"/>
        <v>978.15110740752425</v>
      </c>
      <c r="Q34" s="60">
        <f t="shared" si="17"/>
        <v>1065.0544153654755</v>
      </c>
      <c r="R34" s="60">
        <f t="shared" si="17"/>
        <v>1078.7149155119732</v>
      </c>
      <c r="S34" s="60">
        <f t="shared" si="17"/>
        <v>1109.5784547291914</v>
      </c>
      <c r="T34" s="60">
        <f t="shared" si="17"/>
        <v>1124.8259409120674</v>
      </c>
      <c r="U34" s="60">
        <f t="shared" si="17"/>
        <v>1152.8048199001332</v>
      </c>
      <c r="V34" s="60">
        <f t="shared" si="17"/>
        <v>1196.2676245435159</v>
      </c>
    </row>
    <row r="35" spans="1:22" x14ac:dyDescent="0.25">
      <c r="A35" s="61" t="s">
        <v>95</v>
      </c>
      <c r="B35" s="62">
        <f>SUM(B23:B34)</f>
        <v>3425.4236245799998</v>
      </c>
      <c r="C35" s="62">
        <f t="shared" ref="C35:K35" si="18">SUM(C23:C34)</f>
        <v>3307.1649282599997</v>
      </c>
      <c r="D35" s="62">
        <f t="shared" si="18"/>
        <v>3561.6021180600005</v>
      </c>
      <c r="E35" s="62">
        <f t="shared" si="18"/>
        <v>4600.2330061500006</v>
      </c>
      <c r="F35" s="62">
        <f t="shared" si="18"/>
        <v>5135.4253886100014</v>
      </c>
      <c r="G35" s="62">
        <f t="shared" si="18"/>
        <v>5607.306403380001</v>
      </c>
      <c r="H35" s="62">
        <f t="shared" si="18"/>
        <v>5890.4751265499999</v>
      </c>
      <c r="I35" s="62">
        <f t="shared" si="18"/>
        <v>5441.597934899999</v>
      </c>
      <c r="J35" s="62">
        <f t="shared" si="18"/>
        <v>6549.0630420300004</v>
      </c>
      <c r="K35" s="62">
        <f t="shared" si="18"/>
        <v>7919.3466405600002</v>
      </c>
      <c r="L35" s="63">
        <f>L4</f>
        <v>9094.2689500000015</v>
      </c>
      <c r="M35" s="63">
        <f>M4</f>
        <v>9511.42</v>
      </c>
      <c r="N35" s="63">
        <f t="shared" ref="N35:V35" si="19">N4</f>
        <v>10003.39</v>
      </c>
      <c r="O35" s="63">
        <f t="shared" si="19"/>
        <v>10495.36</v>
      </c>
      <c r="P35" s="63">
        <f t="shared" si="19"/>
        <v>11479.3</v>
      </c>
      <c r="Q35" s="63">
        <f t="shared" si="19"/>
        <v>12299.25</v>
      </c>
      <c r="R35" s="63">
        <f t="shared" si="19"/>
        <v>12627.23</v>
      </c>
      <c r="S35" s="63">
        <f t="shared" si="19"/>
        <v>12955.210000000001</v>
      </c>
      <c r="T35" s="63">
        <f t="shared" si="19"/>
        <v>13119.2</v>
      </c>
      <c r="U35" s="63">
        <f t="shared" si="19"/>
        <v>13447.179999999998</v>
      </c>
      <c r="V35" s="63">
        <f t="shared" si="19"/>
        <v>13939.15</v>
      </c>
    </row>
    <row r="36" spans="1:22" x14ac:dyDescent="0.25">
      <c r="J36" s="64"/>
    </row>
    <row r="37" spans="1:22" ht="15.75" thickBot="1" x14ac:dyDescent="0.3">
      <c r="A37" s="4" t="s">
        <v>96</v>
      </c>
      <c r="B37" s="58"/>
      <c r="C37" s="58"/>
      <c r="D37" s="58"/>
      <c r="E37" s="58"/>
      <c r="F37" s="58"/>
      <c r="G37" s="58"/>
      <c r="H37" s="58"/>
      <c r="I37" s="58"/>
      <c r="J37" s="65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</row>
    <row r="38" spans="1:22" ht="16.5" thickTop="1" thickBot="1" x14ac:dyDescent="0.3">
      <c r="A38" s="33" t="s">
        <v>71</v>
      </c>
      <c r="B38" s="67">
        <f t="shared" ref="B38:V38" si="20">B2</f>
        <v>2015</v>
      </c>
      <c r="C38" s="67">
        <f t="shared" si="20"/>
        <v>2016</v>
      </c>
      <c r="D38" s="67">
        <f t="shared" si="20"/>
        <v>2017</v>
      </c>
      <c r="E38" s="67">
        <f t="shared" si="20"/>
        <v>2018</v>
      </c>
      <c r="F38" s="67">
        <f t="shared" si="20"/>
        <v>2019</v>
      </c>
      <c r="G38" s="67">
        <f t="shared" si="20"/>
        <v>2020</v>
      </c>
      <c r="H38" s="67">
        <f t="shared" si="20"/>
        <v>2021</v>
      </c>
      <c r="I38" s="67">
        <f t="shared" si="20"/>
        <v>2022</v>
      </c>
      <c r="J38" s="67">
        <f t="shared" si="20"/>
        <v>2023</v>
      </c>
      <c r="K38" s="67">
        <f t="shared" si="20"/>
        <v>2024</v>
      </c>
      <c r="L38" s="67">
        <f t="shared" si="20"/>
        <v>2025</v>
      </c>
      <c r="M38" s="67">
        <f t="shared" si="20"/>
        <v>2026</v>
      </c>
      <c r="N38" s="67">
        <f t="shared" si="20"/>
        <v>2027</v>
      </c>
      <c r="O38" s="67">
        <f t="shared" si="20"/>
        <v>2028</v>
      </c>
      <c r="P38" s="67">
        <f t="shared" si="20"/>
        <v>2029</v>
      </c>
      <c r="Q38" s="67">
        <f t="shared" si="20"/>
        <v>2030</v>
      </c>
      <c r="R38" s="67">
        <f t="shared" si="20"/>
        <v>2031</v>
      </c>
      <c r="S38" s="67">
        <f t="shared" si="20"/>
        <v>2032</v>
      </c>
      <c r="T38" s="67">
        <f t="shared" si="20"/>
        <v>2033</v>
      </c>
      <c r="U38" s="67">
        <f t="shared" si="20"/>
        <v>2034</v>
      </c>
      <c r="V38" s="67">
        <f t="shared" si="20"/>
        <v>2035</v>
      </c>
    </row>
    <row r="39" spans="1:22" ht="15.75" thickTop="1" x14ac:dyDescent="0.25">
      <c r="A39" s="5" t="s">
        <v>83</v>
      </c>
      <c r="B39" s="52">
        <f>monthly_data!$C$3/1000000</f>
        <v>0</v>
      </c>
      <c r="C39" s="52">
        <f>monthly_data!$C15/1000000</f>
        <v>0</v>
      </c>
      <c r="D39" s="52">
        <f>monthly_data!$C27/1000000</f>
        <v>0</v>
      </c>
      <c r="E39" s="52">
        <f>monthly_data!$C39/1000000</f>
        <v>0</v>
      </c>
      <c r="F39" s="52">
        <f>monthly_data!$C51/1000000</f>
        <v>4.8000000000000001E-5</v>
      </c>
      <c r="G39" s="52">
        <f>monthly_data!$C63/1000000</f>
        <v>1.75E-4</v>
      </c>
      <c r="H39" s="52">
        <f>monthly_data!$C75/1000000</f>
        <v>0</v>
      </c>
      <c r="I39" s="52">
        <f>monthly_data!$C87/1000000</f>
        <v>1.1900000000000001E-2</v>
      </c>
      <c r="J39" s="52">
        <f>monthly_data!$C99/1000000</f>
        <v>0</v>
      </c>
      <c r="K39" s="52">
        <f>monthly_data!$C111/1000000</f>
        <v>7.7799999999999996E-3</v>
      </c>
      <c r="L39" s="52">
        <f>monthly_data!$C123/1000000</f>
        <v>0</v>
      </c>
      <c r="M39" s="60">
        <f>M$51*(SUM(H39:L39)/SUM(H$51:L$51))</f>
        <v>3.3993035061010883E-3</v>
      </c>
      <c r="N39" s="60">
        <f t="shared" ref="N39:V39" si="21">N$51*(SUM(I39:M39)/SUM(I$51:M$51))</f>
        <v>5.1410109736104337</v>
      </c>
      <c r="O39" s="60">
        <f t="shared" si="21"/>
        <v>5.1316576226301498</v>
      </c>
      <c r="P39" s="60">
        <f t="shared" si="21"/>
        <v>5.1346642691390301</v>
      </c>
      <c r="Q39" s="60">
        <f t="shared" si="21"/>
        <v>5.1342707598528321</v>
      </c>
      <c r="R39" s="60">
        <f t="shared" si="21"/>
        <v>5.1351966424946021</v>
      </c>
      <c r="S39" s="60">
        <f t="shared" si="21"/>
        <v>5.1353600535454094</v>
      </c>
      <c r="T39" s="60">
        <f t="shared" si="21"/>
        <v>20.536919478129619</v>
      </c>
      <c r="U39" s="60">
        <f t="shared" si="21"/>
        <v>41.076411203161491</v>
      </c>
      <c r="V39" s="60">
        <f t="shared" si="21"/>
        <v>61.614526509747151</v>
      </c>
    </row>
    <row r="40" spans="1:22" x14ac:dyDescent="0.25">
      <c r="A40" s="5" t="s">
        <v>84</v>
      </c>
      <c r="B40" s="52">
        <f>monthly_data!$C$3/1000000</f>
        <v>0</v>
      </c>
      <c r="C40" s="52">
        <f>monthly_data!$C16/1000000</f>
        <v>0</v>
      </c>
      <c r="D40" s="52">
        <f>monthly_data!$C28/1000000</f>
        <v>0</v>
      </c>
      <c r="E40" s="52">
        <f>monthly_data!$C40/1000000</f>
        <v>0</v>
      </c>
      <c r="F40" s="52">
        <f>monthly_data!$C52/1000000</f>
        <v>0</v>
      </c>
      <c r="G40" s="52">
        <f>monthly_data!$C64/1000000</f>
        <v>2.9999999999999997E-4</v>
      </c>
      <c r="H40" s="52">
        <f>monthly_data!$C76/1000000</f>
        <v>6.3E-3</v>
      </c>
      <c r="I40" s="52">
        <f>monthly_data!$C88/1000000</f>
        <v>0</v>
      </c>
      <c r="J40" s="52">
        <f>monthly_data!$C100/1000000</f>
        <v>4.1759999999999999E-2</v>
      </c>
      <c r="K40" s="52">
        <f>monthly_data!$C112/1000000</f>
        <v>0</v>
      </c>
      <c r="L40" s="52">
        <f>monthly_data!$C124/1000000</f>
        <v>0</v>
      </c>
      <c r="M40" s="60">
        <f>M$51*(SUM(H40:L40)/SUM(H$51:L$51))</f>
        <v>8.3013478914236941E-3</v>
      </c>
      <c r="N40" s="60">
        <f t="shared" ref="N40:V40" si="22">N$51*(SUM(I40:M40)/SUM(I$51:M$51))</f>
        <v>11.15137373168576</v>
      </c>
      <c r="O40" s="60">
        <f t="shared" si="22"/>
        <v>11.156794803525626</v>
      </c>
      <c r="P40" s="60">
        <f t="shared" si="22"/>
        <v>11.142481067316041</v>
      </c>
      <c r="Q40" s="60">
        <f t="shared" si="22"/>
        <v>11.147251904547689</v>
      </c>
      <c r="R40" s="60">
        <f t="shared" si="22"/>
        <v>11.149262131028646</v>
      </c>
      <c r="S40" s="60">
        <f t="shared" si="22"/>
        <v>11.149432727620752</v>
      </c>
      <c r="T40" s="60">
        <f t="shared" si="22"/>
        <v>44.596178107231005</v>
      </c>
      <c r="U40" s="60">
        <f t="shared" si="22"/>
        <v>89.184605937744124</v>
      </c>
      <c r="V40" s="60">
        <f t="shared" si="22"/>
        <v>133.78138464653779</v>
      </c>
    </row>
    <row r="41" spans="1:22" x14ac:dyDescent="0.25">
      <c r="A41" s="5" t="s">
        <v>85</v>
      </c>
      <c r="B41" s="52">
        <f>monthly_data!$C$3/1000000</f>
        <v>0</v>
      </c>
      <c r="C41" s="52">
        <f>monthly_data!$C17/1000000</f>
        <v>0</v>
      </c>
      <c r="D41" s="52">
        <f>monthly_data!$C29/1000000</f>
        <v>0</v>
      </c>
      <c r="E41" s="52">
        <f>monthly_data!$C41/1000000</f>
        <v>0</v>
      </c>
      <c r="F41" s="52">
        <f>monthly_data!$C53/1000000</f>
        <v>0</v>
      </c>
      <c r="G41" s="52">
        <f>monthly_data!$C65/1000000</f>
        <v>7.2000000000000005E-4</v>
      </c>
      <c r="H41" s="52">
        <f>monthly_data!$C77/1000000</f>
        <v>0</v>
      </c>
      <c r="I41" s="52">
        <f>monthly_data!$C89/1000000</f>
        <v>9.9000000000000008E-3</v>
      </c>
      <c r="J41" s="52">
        <f>monthly_data!$C101/1000000</f>
        <v>0</v>
      </c>
      <c r="K41" s="52">
        <f>monthly_data!$C113/1000000</f>
        <v>5.4000000000000003E-3</v>
      </c>
      <c r="L41" s="60">
        <f>L$51*(SUM(G41:K41)/SUM(G$51:K$51))</f>
        <v>2.7487105642411067E-3</v>
      </c>
      <c r="M41" s="60">
        <f>M$51*(SUM(H41:L41)/SUM(H$51:L$51))</f>
        <v>3.1175327795542958E-3</v>
      </c>
      <c r="N41" s="60">
        <f t="shared" ref="N41:V49" si="23">N$51*(SUM(I41:M41)/SUM(I$51:M$51))</f>
        <v>4.7148688551972606</v>
      </c>
      <c r="O41" s="60">
        <f t="shared" si="23"/>
        <v>4.7073003712086194</v>
      </c>
      <c r="P41" s="60">
        <f t="shared" si="23"/>
        <v>4.710058386116887</v>
      </c>
      <c r="Q41" s="60">
        <f t="shared" si="23"/>
        <v>4.7102760004347832</v>
      </c>
      <c r="R41" s="60">
        <f t="shared" si="23"/>
        <v>4.7104383858686782</v>
      </c>
      <c r="S41" s="60">
        <f t="shared" si="23"/>
        <v>4.7105883997652453</v>
      </c>
      <c r="T41" s="60">
        <f t="shared" si="23"/>
        <v>18.838929234715369</v>
      </c>
      <c r="U41" s="60">
        <f t="shared" si="23"/>
        <v>37.680290406900966</v>
      </c>
      <c r="V41" s="60">
        <f t="shared" si="23"/>
        <v>56.520417942148036</v>
      </c>
    </row>
    <row r="42" spans="1:22" x14ac:dyDescent="0.25">
      <c r="A42" s="5" t="s">
        <v>86</v>
      </c>
      <c r="B42" s="52">
        <f>monthly_data!$C$3/1000000</f>
        <v>0</v>
      </c>
      <c r="C42" s="52">
        <f>monthly_data!$C18/1000000</f>
        <v>0</v>
      </c>
      <c r="D42" s="52">
        <f>monthly_data!$C30/1000000</f>
        <v>0</v>
      </c>
      <c r="E42" s="52">
        <f>monthly_data!$C42/1000000</f>
        <v>0</v>
      </c>
      <c r="F42" s="52">
        <f>monthly_data!$C54/1000000</f>
        <v>0</v>
      </c>
      <c r="G42" s="52">
        <f>monthly_data!$C66/1000000</f>
        <v>8.0000000000000004E-4</v>
      </c>
      <c r="H42" s="52">
        <f>monthly_data!$C78/1000000</f>
        <v>0</v>
      </c>
      <c r="I42" s="52">
        <f>monthly_data!$C90/1000000</f>
        <v>0</v>
      </c>
      <c r="J42" s="52">
        <f>monthly_data!$C102/1000000</f>
        <v>0</v>
      </c>
      <c r="K42" s="52">
        <f>monthly_data!$C114/1000000</f>
        <v>7.7999999999999996E-3</v>
      </c>
      <c r="L42" s="60">
        <f t="shared" ref="L42:M49" si="24">L$51*(SUM(G42:K42)/SUM(G$51:K$51))</f>
        <v>1.4755874439746266E-3</v>
      </c>
      <c r="M42" s="60">
        <f t="shared" si="24"/>
        <v>1.6021614288338505E-3</v>
      </c>
      <c r="N42" s="60">
        <f t="shared" si="23"/>
        <v>2.4230638636258486</v>
      </c>
      <c r="O42" s="60">
        <f t="shared" si="23"/>
        <v>2.4242417995101042</v>
      </c>
      <c r="P42" s="60">
        <f t="shared" si="23"/>
        <v>2.4256621667051088</v>
      </c>
      <c r="Q42" s="60">
        <f t="shared" si="23"/>
        <v>2.4241020902025214</v>
      </c>
      <c r="R42" s="60">
        <f t="shared" si="23"/>
        <v>2.4241704166304183</v>
      </c>
      <c r="S42" s="60">
        <f t="shared" si="23"/>
        <v>2.4242480673347999</v>
      </c>
      <c r="T42" s="60">
        <f t="shared" si="23"/>
        <v>9.6979396323063618</v>
      </c>
      <c r="U42" s="60">
        <f t="shared" si="23"/>
        <v>19.39612237317921</v>
      </c>
      <c r="V42" s="60">
        <f t="shared" si="23"/>
        <v>29.093266063722652</v>
      </c>
    </row>
    <row r="43" spans="1:22" x14ac:dyDescent="0.25">
      <c r="A43" s="5" t="s">
        <v>87</v>
      </c>
      <c r="B43" s="52">
        <f>monthly_data!$C$3/1000000</f>
        <v>0</v>
      </c>
      <c r="C43" s="52">
        <f>monthly_data!$C19/1000000</f>
        <v>0</v>
      </c>
      <c r="D43" s="52">
        <f>monthly_data!$C31/1000000</f>
        <v>0</v>
      </c>
      <c r="E43" s="52">
        <f>monthly_data!$C43/1000000</f>
        <v>0</v>
      </c>
      <c r="F43" s="52">
        <f>monthly_data!$C55/1000000</f>
        <v>0</v>
      </c>
      <c r="G43" s="52">
        <f>monthly_data!$C67/1000000</f>
        <v>0</v>
      </c>
      <c r="H43" s="52">
        <f>monthly_data!$C79/1000000</f>
        <v>7.0200000000000004E-4</v>
      </c>
      <c r="I43" s="52">
        <f>monthly_data!$C91/1000000</f>
        <v>0</v>
      </c>
      <c r="J43" s="52">
        <f>monthly_data!$C103/1000000</f>
        <v>1.8109999999999999E-3</v>
      </c>
      <c r="K43" s="52">
        <f>monthly_data!$C115/1000000</f>
        <v>9.6799999999999994E-3</v>
      </c>
      <c r="L43" s="60">
        <f t="shared" si="24"/>
        <v>2.0920741516723979E-3</v>
      </c>
      <c r="M43" s="60">
        <f t="shared" si="24"/>
        <v>2.4674442402791668E-3</v>
      </c>
      <c r="N43" s="60">
        <f t="shared" si="23"/>
        <v>3.575319816880338</v>
      </c>
      <c r="O43" s="60">
        <f t="shared" si="23"/>
        <v>3.5770579045854185</v>
      </c>
      <c r="P43" s="60">
        <f t="shared" si="23"/>
        <v>3.5782494870426436</v>
      </c>
      <c r="Q43" s="60">
        <f t="shared" si="23"/>
        <v>3.5765565652206135</v>
      </c>
      <c r="R43" s="60">
        <f t="shared" si="23"/>
        <v>3.5766786281152658</v>
      </c>
      <c r="S43" s="60">
        <f t="shared" si="23"/>
        <v>3.5767724803688559</v>
      </c>
      <c r="T43" s="60">
        <f t="shared" si="23"/>
        <v>14.308252052266237</v>
      </c>
      <c r="U43" s="60">
        <f t="shared" si="23"/>
        <v>28.616509213013614</v>
      </c>
      <c r="V43" s="60">
        <f t="shared" si="23"/>
        <v>42.923815151187675</v>
      </c>
    </row>
    <row r="44" spans="1:22" x14ac:dyDescent="0.25">
      <c r="A44" s="5" t="s">
        <v>88</v>
      </c>
      <c r="B44" s="52">
        <f>monthly_data!$C$3/1000000</f>
        <v>0</v>
      </c>
      <c r="C44" s="52">
        <f>monthly_data!$C20/1000000</f>
        <v>3.6000000000000002E-4</v>
      </c>
      <c r="D44" s="52">
        <f>monthly_data!$C32/1000000</f>
        <v>0</v>
      </c>
      <c r="E44" s="52">
        <f>monthly_data!$C44/1000000</f>
        <v>0</v>
      </c>
      <c r="F44" s="52">
        <f>monthly_data!$C56/1000000</f>
        <v>0</v>
      </c>
      <c r="G44" s="52">
        <f>monthly_data!$C68/1000000</f>
        <v>0</v>
      </c>
      <c r="H44" s="52">
        <f>monthly_data!$C80/1000000</f>
        <v>0</v>
      </c>
      <c r="I44" s="52">
        <f>monthly_data!$C92/1000000</f>
        <v>0</v>
      </c>
      <c r="J44" s="52">
        <f>monthly_data!$C104/1000000</f>
        <v>5.0000000000000004E-6</v>
      </c>
      <c r="K44" s="52">
        <f>monthly_data!$C116/1000000</f>
        <v>9.6600000000000002E-3</v>
      </c>
      <c r="L44" s="60">
        <f t="shared" si="24"/>
        <v>1.658320075117996E-3</v>
      </c>
      <c r="M44" s="60">
        <f t="shared" si="24"/>
        <v>1.9558639040677559E-3</v>
      </c>
      <c r="N44" s="60">
        <f t="shared" si="23"/>
        <v>2.9579935347502513</v>
      </c>
      <c r="O44" s="60">
        <f t="shared" si="23"/>
        <v>2.9594315186112152</v>
      </c>
      <c r="P44" s="60">
        <f t="shared" si="23"/>
        <v>2.9611629578587264</v>
      </c>
      <c r="Q44" s="60">
        <f t="shared" si="23"/>
        <v>2.9592124834916405</v>
      </c>
      <c r="R44" s="60">
        <f t="shared" si="23"/>
        <v>2.9593316346366443</v>
      </c>
      <c r="S44" s="60">
        <f t="shared" si="23"/>
        <v>2.9594264258696952</v>
      </c>
      <c r="T44" s="60">
        <f t="shared" si="23"/>
        <v>11.838852016374338</v>
      </c>
      <c r="U44" s="60">
        <f t="shared" si="23"/>
        <v>23.677985518231043</v>
      </c>
      <c r="V44" s="60">
        <f t="shared" si="23"/>
        <v>35.515846462882692</v>
      </c>
    </row>
    <row r="45" spans="1:22" x14ac:dyDescent="0.25">
      <c r="A45" s="5" t="s">
        <v>89</v>
      </c>
      <c r="B45" s="52">
        <f>monthly_data!$C$3/1000000</f>
        <v>0</v>
      </c>
      <c r="C45" s="52">
        <f>monthly_data!$C21/1000000</f>
        <v>0</v>
      </c>
      <c r="D45" s="52">
        <f>monthly_data!$C33/1000000</f>
        <v>0</v>
      </c>
      <c r="E45" s="52">
        <f>monthly_data!$C45/1000000</f>
        <v>0</v>
      </c>
      <c r="F45" s="52">
        <f>monthly_data!$C57/1000000</f>
        <v>0</v>
      </c>
      <c r="G45" s="52">
        <f>monthly_data!$C69/1000000</f>
        <v>3.5E-4</v>
      </c>
      <c r="H45" s="52">
        <f>monthly_data!$C81/1000000</f>
        <v>6.1250000000000002E-3</v>
      </c>
      <c r="I45" s="52">
        <f>monthly_data!$C93/1000000</f>
        <v>0</v>
      </c>
      <c r="J45" s="52">
        <f>monthly_data!$C105/1000000</f>
        <v>0</v>
      </c>
      <c r="K45" s="52">
        <f>monthly_data!$C117/1000000</f>
        <v>3.5999999999999999E-3</v>
      </c>
      <c r="L45" s="60">
        <f t="shared" si="24"/>
        <v>1.7286678486098097E-3</v>
      </c>
      <c r="M45" s="60">
        <f t="shared" si="24"/>
        <v>1.9783787233484062E-3</v>
      </c>
      <c r="N45" s="60">
        <f t="shared" si="23"/>
        <v>1.627675055323446</v>
      </c>
      <c r="O45" s="60">
        <f t="shared" si="23"/>
        <v>1.6284663249570512</v>
      </c>
      <c r="P45" s="60">
        <f t="shared" si="23"/>
        <v>1.6294204460132122</v>
      </c>
      <c r="Q45" s="60">
        <f t="shared" si="23"/>
        <v>1.6289187259834061</v>
      </c>
      <c r="R45" s="60">
        <f t="shared" si="23"/>
        <v>1.6287803968437875</v>
      </c>
      <c r="S45" s="60">
        <f t="shared" si="23"/>
        <v>1.6286521898241808</v>
      </c>
      <c r="T45" s="60">
        <f t="shared" si="23"/>
        <v>6.5153904668973102</v>
      </c>
      <c r="U45" s="60">
        <f t="shared" si="23"/>
        <v>13.031162225561896</v>
      </c>
      <c r="V45" s="60">
        <f t="shared" si="23"/>
        <v>19.546323204088463</v>
      </c>
    </row>
    <row r="46" spans="1:22" x14ac:dyDescent="0.25">
      <c r="A46" s="5" t="s">
        <v>90</v>
      </c>
      <c r="B46" s="52">
        <f>monthly_data!$C$3/1000000</f>
        <v>0</v>
      </c>
      <c r="C46" s="52">
        <f>monthly_data!$C22/1000000</f>
        <v>0</v>
      </c>
      <c r="D46" s="52">
        <f>monthly_data!$C34/1000000</f>
        <v>0</v>
      </c>
      <c r="E46" s="52">
        <f>monthly_data!$C46/1000000</f>
        <v>0</v>
      </c>
      <c r="F46" s="52">
        <f>monthly_data!$C58/1000000</f>
        <v>2.0000000000000001E-4</v>
      </c>
      <c r="G46" s="52">
        <f>monthly_data!$C70/1000000</f>
        <v>0</v>
      </c>
      <c r="H46" s="52">
        <f>monthly_data!$C82/1000000</f>
        <v>0</v>
      </c>
      <c r="I46" s="52">
        <f>monthly_data!$C94/1000000</f>
        <v>2.604E-3</v>
      </c>
      <c r="J46" s="52">
        <f>monthly_data!$C106/1000000</f>
        <v>0</v>
      </c>
      <c r="K46" s="52">
        <f>monthly_data!$C118/1000000</f>
        <v>1.5838000000000001E-2</v>
      </c>
      <c r="L46" s="60">
        <f t="shared" si="24"/>
        <v>3.1642771676488445E-3</v>
      </c>
      <c r="M46" s="60">
        <f t="shared" si="24"/>
        <v>3.7320271204156815E-3</v>
      </c>
      <c r="N46" s="60">
        <f t="shared" si="23"/>
        <v>5.6442128057800449</v>
      </c>
      <c r="O46" s="60">
        <f t="shared" si="23"/>
        <v>5.6443630320847227</v>
      </c>
      <c r="P46" s="60">
        <f t="shared" si="23"/>
        <v>5.6476700735230345</v>
      </c>
      <c r="Q46" s="60">
        <f t="shared" si="23"/>
        <v>5.6448115965318637</v>
      </c>
      <c r="R46" s="60">
        <f t="shared" si="23"/>
        <v>5.6450386400069501</v>
      </c>
      <c r="S46" s="60">
        <f t="shared" si="23"/>
        <v>5.6452192295853223</v>
      </c>
      <c r="T46" s="60">
        <f t="shared" si="23"/>
        <v>22.581682057385514</v>
      </c>
      <c r="U46" s="60">
        <f t="shared" si="23"/>
        <v>45.164421597032685</v>
      </c>
      <c r="V46" s="60">
        <f t="shared" si="23"/>
        <v>67.744938496433875</v>
      </c>
    </row>
    <row r="47" spans="1:22" x14ac:dyDescent="0.25">
      <c r="A47" s="5" t="s">
        <v>91</v>
      </c>
      <c r="B47" s="52">
        <f>monthly_data!$C$3/1000000</f>
        <v>0</v>
      </c>
      <c r="C47" s="52">
        <f>monthly_data!$C23/1000000</f>
        <v>0</v>
      </c>
      <c r="D47" s="52">
        <f>monthly_data!$C35/1000000</f>
        <v>0</v>
      </c>
      <c r="E47" s="52">
        <f>monthly_data!$C47/1000000</f>
        <v>0</v>
      </c>
      <c r="F47" s="52">
        <f>monthly_data!$C59/1000000</f>
        <v>0</v>
      </c>
      <c r="G47" s="52">
        <f>monthly_data!$C71/1000000</f>
        <v>0</v>
      </c>
      <c r="H47" s="52">
        <f>monthly_data!$C83/1000000</f>
        <v>5.9500000000000004E-3</v>
      </c>
      <c r="I47" s="52">
        <f>monthly_data!$C95/1000000</f>
        <v>0</v>
      </c>
      <c r="J47" s="52">
        <f>monthly_data!$C107/1000000</f>
        <v>1.7699999999999999E-4</v>
      </c>
      <c r="K47" s="52">
        <f>monthly_data!$C119/1000000</f>
        <v>4.4999999999999997E-3</v>
      </c>
      <c r="L47" s="60">
        <f t="shared" si="24"/>
        <v>1.8233799729207394E-3</v>
      </c>
      <c r="M47" s="60">
        <f t="shared" si="24"/>
        <v>2.1505396490975734E-3</v>
      </c>
      <c r="N47" s="60">
        <f t="shared" si="23"/>
        <v>1.9270283740088168</v>
      </c>
      <c r="O47" s="60">
        <f t="shared" si="23"/>
        <v>1.927965169735004</v>
      </c>
      <c r="P47" s="60">
        <f t="shared" si="23"/>
        <v>1.9290063925988661</v>
      </c>
      <c r="Q47" s="60">
        <f t="shared" si="23"/>
        <v>1.9283330994143766</v>
      </c>
      <c r="R47" s="60">
        <f t="shared" si="23"/>
        <v>1.928225091639733</v>
      </c>
      <c r="S47" s="60">
        <f t="shared" si="23"/>
        <v>1.9281116254793589</v>
      </c>
      <c r="T47" s="60">
        <f t="shared" si="23"/>
        <v>7.7133131030938706</v>
      </c>
      <c r="U47" s="60">
        <f t="shared" si="23"/>
        <v>15.426989312226205</v>
      </c>
      <c r="V47" s="60">
        <f t="shared" si="23"/>
        <v>23.139977785482838</v>
      </c>
    </row>
    <row r="48" spans="1:22" x14ac:dyDescent="0.25">
      <c r="A48" s="5" t="s">
        <v>92</v>
      </c>
      <c r="B48" s="52">
        <f>monthly_data!$C$3/1000000</f>
        <v>0</v>
      </c>
      <c r="C48" s="52">
        <f>monthly_data!$C24/1000000</f>
        <v>0</v>
      </c>
      <c r="D48" s="52">
        <f>monthly_data!$C36/1000000</f>
        <v>0</v>
      </c>
      <c r="E48" s="52">
        <f>monthly_data!$C48/1000000</f>
        <v>0</v>
      </c>
      <c r="F48" s="52">
        <f>monthly_data!$C60/1000000</f>
        <v>0</v>
      </c>
      <c r="G48" s="52">
        <f>monthly_data!$C72/1000000</f>
        <v>1.75E-4</v>
      </c>
      <c r="H48" s="52">
        <f>monthly_data!$C84/1000000</f>
        <v>3.5E-4</v>
      </c>
      <c r="I48" s="52">
        <f>monthly_data!$C96/1000000</f>
        <v>0</v>
      </c>
      <c r="J48" s="52">
        <f>monthly_data!$C108/1000000</f>
        <v>1.8E-3</v>
      </c>
      <c r="K48" s="52">
        <f>monthly_data!$C120/1000000</f>
        <v>0</v>
      </c>
      <c r="L48" s="60">
        <f t="shared" si="24"/>
        <v>3.9892334967918684E-4</v>
      </c>
      <c r="M48" s="60">
        <f t="shared" si="24"/>
        <v>4.4027256500748932E-4</v>
      </c>
      <c r="N48" s="60">
        <f t="shared" si="23"/>
        <v>0.58789188137004422</v>
      </c>
      <c r="O48" s="60">
        <f t="shared" si="23"/>
        <v>0.58817767612499228</v>
      </c>
      <c r="P48" s="60">
        <f t="shared" si="23"/>
        <v>0.58762356105234859</v>
      </c>
      <c r="Q48" s="60">
        <f t="shared" si="23"/>
        <v>0.58787516178169474</v>
      </c>
      <c r="R48" s="60">
        <f t="shared" si="23"/>
        <v>0.58788146518321716</v>
      </c>
      <c r="S48" s="60">
        <f t="shared" si="23"/>
        <v>0.5878899491024594</v>
      </c>
      <c r="T48" s="60">
        <f t="shared" si="23"/>
        <v>2.3515582505957697</v>
      </c>
      <c r="U48" s="60">
        <f t="shared" si="23"/>
        <v>4.7028283877154902</v>
      </c>
      <c r="V48" s="60">
        <f t="shared" si="23"/>
        <v>7.054426571502904</v>
      </c>
    </row>
    <row r="49" spans="1:22" x14ac:dyDescent="0.25">
      <c r="A49" s="5" t="s">
        <v>93</v>
      </c>
      <c r="B49" s="52">
        <f>monthly_data!$C$3/1000000</f>
        <v>0</v>
      </c>
      <c r="C49" s="52">
        <f>monthly_data!$C25/1000000</f>
        <v>0</v>
      </c>
      <c r="D49" s="52">
        <f>monthly_data!$C37/1000000</f>
        <v>0</v>
      </c>
      <c r="E49" s="52">
        <f>monthly_data!$C49/1000000</f>
        <v>2.5000000000000001E-5</v>
      </c>
      <c r="F49" s="52">
        <f>monthly_data!$C61/1000000</f>
        <v>5.9500000000000004E-3</v>
      </c>
      <c r="G49" s="52">
        <f>monthly_data!$C73/1000000</f>
        <v>1.75E-4</v>
      </c>
      <c r="H49" s="52">
        <f>monthly_data!$C85/1000000</f>
        <v>2.8889999999999999E-2</v>
      </c>
      <c r="I49" s="52">
        <f>monthly_data!$C97/1000000</f>
        <v>0</v>
      </c>
      <c r="J49" s="52">
        <f>monthly_data!$C109/1000000</f>
        <v>5.3E-3</v>
      </c>
      <c r="K49" s="52">
        <f>monthly_data!$C121/1000000</f>
        <v>0</v>
      </c>
      <c r="L49" s="60">
        <f t="shared" si="24"/>
        <v>5.8963444781614006E-3</v>
      </c>
      <c r="M49" s="60">
        <f t="shared" si="24"/>
        <v>6.9240676489527447E-3</v>
      </c>
      <c r="N49" s="60">
        <f t="shared" si="23"/>
        <v>4.036397266807076</v>
      </c>
      <c r="O49" s="60">
        <f t="shared" si="23"/>
        <v>4.0383595003474539</v>
      </c>
      <c r="P49" s="60">
        <f t="shared" si="23"/>
        <v>4.0380793231475733</v>
      </c>
      <c r="Q49" s="60">
        <f t="shared" si="23"/>
        <v>4.0398082934785826</v>
      </c>
      <c r="R49" s="60">
        <f t="shared" si="23"/>
        <v>4.0390630239271648</v>
      </c>
      <c r="S49" s="60">
        <f t="shared" si="23"/>
        <v>4.038341481541571</v>
      </c>
      <c r="T49" s="60">
        <f t="shared" si="23"/>
        <v>16.154921297953877</v>
      </c>
      <c r="U49" s="60">
        <f t="shared" si="23"/>
        <v>32.310213420048768</v>
      </c>
      <c r="V49" s="60">
        <f t="shared" si="23"/>
        <v>48.465878013559973</v>
      </c>
    </row>
    <row r="50" spans="1:22" x14ac:dyDescent="0.25">
      <c r="A50" s="5" t="s">
        <v>94</v>
      </c>
      <c r="B50" s="52">
        <f>monthly_data!$C$3/1000000</f>
        <v>0</v>
      </c>
      <c r="C50" s="52">
        <f>monthly_data!$C26/1000000</f>
        <v>0</v>
      </c>
      <c r="D50" s="52">
        <f>monthly_data!$C38/1000000</f>
        <v>0</v>
      </c>
      <c r="E50" s="52">
        <f>monthly_data!$C50/1000000</f>
        <v>0</v>
      </c>
      <c r="F50" s="52">
        <f>monthly_data!$C62/1000000</f>
        <v>0</v>
      </c>
      <c r="G50" s="52">
        <f>monthly_data!$C74/1000000</f>
        <v>5.9500000000000004E-3</v>
      </c>
      <c r="H50" s="52">
        <f>monthly_data!$C86/1000000</f>
        <v>5.9500000000000004E-3</v>
      </c>
      <c r="I50" s="52">
        <f>monthly_data!$C98/1000000</f>
        <v>0</v>
      </c>
      <c r="J50" s="52">
        <f>monthly_data!$C110/1000000</f>
        <v>7.8200000000000006E-3</v>
      </c>
      <c r="K50" s="52">
        <f>monthly_data!$C122/1000000</f>
        <v>0</v>
      </c>
      <c r="L50" s="60">
        <f t="shared" ref="L50:M50" si="25">L51-SUM(L39:L49)</f>
        <v>1.5087881614640555E-2</v>
      </c>
      <c r="M50" s="60">
        <f t="shared" si="25"/>
        <v>4.9845883206960234E-3</v>
      </c>
      <c r="N50" s="60">
        <f t="shared" ref="N50:V50" si="26">N51-SUM(N39:N49)</f>
        <v>6.2131638409606822</v>
      </c>
      <c r="O50" s="60">
        <f t="shared" si="26"/>
        <v>6.2161842766796411</v>
      </c>
      <c r="P50" s="60">
        <f t="shared" si="26"/>
        <v>6.2159218694865288</v>
      </c>
      <c r="Q50" s="60">
        <f t="shared" si="26"/>
        <v>6.2185833190600022</v>
      </c>
      <c r="R50" s="60">
        <f t="shared" si="26"/>
        <v>6.2159335436248995</v>
      </c>
      <c r="S50" s="60">
        <f t="shared" si="26"/>
        <v>6.2159573699623465</v>
      </c>
      <c r="T50" s="60">
        <f t="shared" si="26"/>
        <v>24.866064303050763</v>
      </c>
      <c r="U50" s="60">
        <f t="shared" si="26"/>
        <v>49.732460405184497</v>
      </c>
      <c r="V50" s="60">
        <f t="shared" si="26"/>
        <v>74.599199152705978</v>
      </c>
    </row>
    <row r="51" spans="1:22" x14ac:dyDescent="0.25">
      <c r="A51" s="61" t="s">
        <v>95</v>
      </c>
      <c r="B51" s="62">
        <f>SUM(B39:B50)</f>
        <v>0</v>
      </c>
      <c r="C51" s="62">
        <f t="shared" ref="C51:K51" si="27">SUM(C39:C50)</f>
        <v>3.6000000000000002E-4</v>
      </c>
      <c r="D51" s="62">
        <f t="shared" si="27"/>
        <v>0</v>
      </c>
      <c r="E51" s="62">
        <f t="shared" si="27"/>
        <v>2.5000000000000001E-5</v>
      </c>
      <c r="F51" s="62">
        <f t="shared" si="27"/>
        <v>6.1980000000000004E-3</v>
      </c>
      <c r="G51" s="62">
        <f t="shared" si="27"/>
        <v>8.6449999999999999E-3</v>
      </c>
      <c r="H51" s="62">
        <f t="shared" si="27"/>
        <v>5.4266999999999996E-2</v>
      </c>
      <c r="I51" s="62">
        <f t="shared" si="27"/>
        <v>2.4403999999999999E-2</v>
      </c>
      <c r="J51" s="62">
        <f t="shared" si="27"/>
        <v>5.8672999999999996E-2</v>
      </c>
      <c r="K51" s="62">
        <f t="shared" si="27"/>
        <v>6.425800000000001E-2</v>
      </c>
      <c r="L51" s="63">
        <f>L5</f>
        <v>3.6074166666666664E-2</v>
      </c>
      <c r="M51" s="63">
        <f t="shared" ref="M51:V51" si="28">M5</f>
        <v>4.1053527777777772E-2</v>
      </c>
      <c r="N51" s="63">
        <f t="shared" si="28"/>
        <v>50</v>
      </c>
      <c r="O51" s="63">
        <f t="shared" si="28"/>
        <v>50</v>
      </c>
      <c r="P51" s="63">
        <f t="shared" si="28"/>
        <v>50</v>
      </c>
      <c r="Q51" s="63">
        <f t="shared" si="28"/>
        <v>50</v>
      </c>
      <c r="R51" s="63">
        <f t="shared" si="28"/>
        <v>50</v>
      </c>
      <c r="S51" s="63">
        <f t="shared" si="28"/>
        <v>50</v>
      </c>
      <c r="T51" s="63">
        <f t="shared" si="28"/>
        <v>200</v>
      </c>
      <c r="U51" s="63">
        <f t="shared" si="28"/>
        <v>400</v>
      </c>
      <c r="V51" s="63">
        <f t="shared" si="28"/>
        <v>600</v>
      </c>
    </row>
    <row r="52" spans="1:22" x14ac:dyDescent="0.25">
      <c r="J52" s="64"/>
    </row>
    <row r="53" spans="1:22" ht="15.75" thickBot="1" x14ac:dyDescent="0.3">
      <c r="A53" s="4" t="s">
        <v>97</v>
      </c>
    </row>
    <row r="54" spans="1:22" ht="16.5" thickTop="1" thickBot="1" x14ac:dyDescent="0.3">
      <c r="A54" s="33" t="s">
        <v>71</v>
      </c>
      <c r="B54" s="67">
        <f t="shared" ref="B54:V54" si="29">B2</f>
        <v>2015</v>
      </c>
      <c r="C54" s="67">
        <f t="shared" si="29"/>
        <v>2016</v>
      </c>
      <c r="D54" s="67">
        <f t="shared" si="29"/>
        <v>2017</v>
      </c>
      <c r="E54" s="67">
        <f t="shared" si="29"/>
        <v>2018</v>
      </c>
      <c r="F54" s="67">
        <f t="shared" si="29"/>
        <v>2019</v>
      </c>
      <c r="G54" s="67">
        <f t="shared" si="29"/>
        <v>2020</v>
      </c>
      <c r="H54" s="67">
        <f t="shared" si="29"/>
        <v>2021</v>
      </c>
      <c r="I54" s="67">
        <f t="shared" si="29"/>
        <v>2022</v>
      </c>
      <c r="J54" s="67">
        <f t="shared" si="29"/>
        <v>2023</v>
      </c>
      <c r="K54" s="67">
        <f t="shared" si="29"/>
        <v>2024</v>
      </c>
      <c r="L54" s="67">
        <f t="shared" si="29"/>
        <v>2025</v>
      </c>
      <c r="M54" s="67">
        <f t="shared" si="29"/>
        <v>2026</v>
      </c>
      <c r="N54" s="67">
        <f t="shared" si="29"/>
        <v>2027</v>
      </c>
      <c r="O54" s="67">
        <f t="shared" si="29"/>
        <v>2028</v>
      </c>
      <c r="P54" s="67">
        <f t="shared" si="29"/>
        <v>2029</v>
      </c>
      <c r="Q54" s="67">
        <f t="shared" si="29"/>
        <v>2030</v>
      </c>
      <c r="R54" s="67">
        <f t="shared" si="29"/>
        <v>2031</v>
      </c>
      <c r="S54" s="67">
        <f t="shared" si="29"/>
        <v>2032</v>
      </c>
      <c r="T54" s="67">
        <f t="shared" si="29"/>
        <v>2033</v>
      </c>
      <c r="U54" s="67">
        <f t="shared" si="29"/>
        <v>2034</v>
      </c>
      <c r="V54" s="67">
        <f t="shared" si="29"/>
        <v>2035</v>
      </c>
    </row>
    <row r="55" spans="1:22" ht="15.75" thickTop="1" x14ac:dyDescent="0.25">
      <c r="A55" s="5" t="s">
        <v>83</v>
      </c>
      <c r="B55" s="52">
        <f>(monthly_data!$D3+monthly_data!$E3)*0.87/1000</f>
        <v>269.86442999999997</v>
      </c>
      <c r="C55" s="52">
        <f>(monthly_data!$D15+monthly_data!$E15)*0.87/1000</f>
        <v>236.03448</v>
      </c>
      <c r="D55" s="52">
        <f>(monthly_data!$D27+monthly_data!$E27)*0.87/1000</f>
        <v>228.09051000000002</v>
      </c>
      <c r="E55" s="52">
        <f>(monthly_data!$D39+monthly_data!$E39)*0.87/1000</f>
        <v>287.09217000000001</v>
      </c>
      <c r="F55" s="52">
        <f>(monthly_data!$D51+monthly_data!$E51)*0.87/1000</f>
        <v>383.69871000000001</v>
      </c>
      <c r="G55" s="52">
        <f>(monthly_data!$D63+monthly_data!$E63)*0.87/1000</f>
        <v>420.19610174999985</v>
      </c>
      <c r="H55" s="52">
        <f>(monthly_data!$D75+monthly_data!$E75)*0.87/1000</f>
        <v>464.6554089899999</v>
      </c>
      <c r="I55" s="52">
        <f>(monthly_data!$D87+monthly_data!$E87)*0.87/1000</f>
        <v>370.69776668999998</v>
      </c>
      <c r="J55" s="52">
        <f>(monthly_data!$D99+monthly_data!$E99)*0.87/1000</f>
        <v>401.60381459999996</v>
      </c>
      <c r="K55" s="52">
        <f>(monthly_data!$D111+monthly_data!$E111)*0.87/1000</f>
        <v>531.23700053999994</v>
      </c>
      <c r="L55" s="52">
        <f>(monthly_data!$D123+monthly_data!$E123)*0.87/1000</f>
        <v>607.07733566999991</v>
      </c>
      <c r="M55" s="60">
        <f t="shared" ref="M55:M56" si="30">M$67*(SUM(H55:L55)/SUM(H$67:L$67))</f>
        <v>660.85034925609955</v>
      </c>
      <c r="N55" s="60">
        <f t="shared" ref="N55:N56" si="31">N$67*(SUM(I55:M55)/SUM(I$67:M$67))</f>
        <v>679.17814521041191</v>
      </c>
      <c r="O55" s="60">
        <f t="shared" ref="O55:V56" si="32">O$67*(SUM(J55:N55)/SUM(J$67:N$67))</f>
        <v>712.1415358967821</v>
      </c>
      <c r="P55" s="60">
        <f t="shared" si="32"/>
        <v>777.07805579402248</v>
      </c>
      <c r="Q55" s="60">
        <f t="shared" si="32"/>
        <v>842.17940057500891</v>
      </c>
      <c r="R55" s="60">
        <f t="shared" si="32"/>
        <v>861.12714466370369</v>
      </c>
      <c r="S55" s="60">
        <f t="shared" si="32"/>
        <v>880.57080765123817</v>
      </c>
      <c r="T55" s="60">
        <f t="shared" si="32"/>
        <v>903.32877840562685</v>
      </c>
      <c r="U55" s="60">
        <f t="shared" si="32"/>
        <v>927.15740560655195</v>
      </c>
      <c r="V55" s="60">
        <f t="shared" si="32"/>
        <v>1229.4984818737883</v>
      </c>
    </row>
    <row r="56" spans="1:22" x14ac:dyDescent="0.25">
      <c r="A56" s="5" t="s">
        <v>84</v>
      </c>
      <c r="B56" s="52">
        <f>(monthly_data!$D4+monthly_data!$E4)*0.87/1000</f>
        <v>256.21325999999999</v>
      </c>
      <c r="C56" s="52">
        <f>(monthly_data!$D16+monthly_data!$E16)*0.87/1000</f>
        <v>258.34476000000001</v>
      </c>
      <c r="D56" s="52">
        <f>(monthly_data!$D28+monthly_data!$E28)*0.87/1000</f>
        <v>228.28191000000001</v>
      </c>
      <c r="E56" s="52">
        <f>(monthly_data!$D40+monthly_data!$E40)*0.87/1000</f>
        <v>298.28123999999997</v>
      </c>
      <c r="F56" s="52">
        <f>(monthly_data!$D52+monthly_data!$E52)*0.87/1000</f>
        <v>373.53276</v>
      </c>
      <c r="G56" s="52">
        <f>(monthly_data!$D64+monthly_data!$E64)*0.87/1000</f>
        <v>421.01150838000024</v>
      </c>
      <c r="H56" s="52">
        <f>(monthly_data!$D76+monthly_data!$E76)*0.87/1000</f>
        <v>494.91057944999994</v>
      </c>
      <c r="I56" s="52">
        <f>(monthly_data!$D88+monthly_data!$E88)*0.87/1000</f>
        <v>414.65088008999999</v>
      </c>
      <c r="J56" s="52">
        <f>(monthly_data!$D100+monthly_data!$E100)*0.87/1000</f>
        <v>403.65332232000003</v>
      </c>
      <c r="K56" s="52">
        <f>(monthly_data!$D112+monthly_data!$E112)*0.87/1000</f>
        <v>555.07840136999994</v>
      </c>
      <c r="L56" s="52">
        <f>(monthly_data!$D124+monthly_data!$E124)*0.87/1000</f>
        <v>627.20581748999996</v>
      </c>
      <c r="M56" s="60">
        <f t="shared" si="30"/>
        <v>694.30021227556074</v>
      </c>
      <c r="N56" s="60">
        <f t="shared" si="31"/>
        <v>711.77657951120136</v>
      </c>
      <c r="O56" s="60">
        <f t="shared" si="32"/>
        <v>739.85317957151176</v>
      </c>
      <c r="P56" s="60">
        <f t="shared" si="32"/>
        <v>810.62369065254586</v>
      </c>
      <c r="Q56" s="60">
        <f t="shared" si="32"/>
        <v>878.31274392110731</v>
      </c>
      <c r="R56" s="60">
        <f t="shared" si="32"/>
        <v>899.46146839088681</v>
      </c>
      <c r="S56" s="60">
        <f t="shared" si="32"/>
        <v>918.85385919402165</v>
      </c>
      <c r="T56" s="60">
        <f t="shared" si="32"/>
        <v>941.92015829086108</v>
      </c>
      <c r="U56" s="60">
        <f t="shared" si="32"/>
        <v>967.35642229248344</v>
      </c>
      <c r="V56" s="60">
        <f t="shared" si="32"/>
        <v>1282.8469449920699</v>
      </c>
    </row>
    <row r="57" spans="1:22" x14ac:dyDescent="0.25">
      <c r="A57" s="5" t="s">
        <v>85</v>
      </c>
      <c r="B57" s="52">
        <f>(monthly_data!$D5+monthly_data!$E5)*0.87/1000</f>
        <v>299.41485</v>
      </c>
      <c r="C57" s="52">
        <f>(monthly_data!$D17+monthly_data!$E17)*0.87/1000</f>
        <v>289.11752999999999</v>
      </c>
      <c r="D57" s="52">
        <f>(monthly_data!$D29+monthly_data!$E29)*0.87/1000</f>
        <v>309.23715000000004</v>
      </c>
      <c r="E57" s="52">
        <f>(monthly_data!$D41+monthly_data!$E41)*0.87/1000</f>
        <v>385.89459000000005</v>
      </c>
      <c r="F57" s="52">
        <f>(monthly_data!$D53+monthly_data!$E53)*0.87/1000</f>
        <v>392.81457</v>
      </c>
      <c r="G57" s="52">
        <f>(monthly_data!$D65+monthly_data!$E65)*0.87/1000</f>
        <v>455.8731000300001</v>
      </c>
      <c r="H57" s="52">
        <f>(monthly_data!$D77+monthly_data!$E77)*0.87/1000</f>
        <v>566.1338063100003</v>
      </c>
      <c r="I57" s="52">
        <f>(monthly_data!$D89+monthly_data!$E89)*0.87/1000</f>
        <v>436.33376220000002</v>
      </c>
      <c r="J57" s="52">
        <f>(monthly_data!$D101+monthly_data!$E101)*0.87/1000</f>
        <v>497.87063090999999</v>
      </c>
      <c r="K57" s="52">
        <f>(monthly_data!$D113+monthly_data!$E113)*0.87/1000</f>
        <v>629.35095995999995</v>
      </c>
      <c r="L57" s="60">
        <f>L$67*(SUM(G57:K57)/SUM(G$67:K$67))</f>
        <v>726.17922513467931</v>
      </c>
      <c r="M57" s="60">
        <f t="shared" ref="M57:V65" si="33">M$67*(SUM(H57:L57)/SUM(H$67:L$67))</f>
        <v>794.56254040875979</v>
      </c>
      <c r="N57" s="60">
        <f t="shared" si="33"/>
        <v>814.62752336248377</v>
      </c>
      <c r="O57" s="60">
        <f t="shared" si="33"/>
        <v>856.21544112636229</v>
      </c>
      <c r="P57" s="60">
        <f t="shared" si="33"/>
        <v>930.63150799331402</v>
      </c>
      <c r="Q57" s="60">
        <f t="shared" si="33"/>
        <v>1010.2784731414845</v>
      </c>
      <c r="R57" s="60">
        <f t="shared" si="33"/>
        <v>1033.4938894167474</v>
      </c>
      <c r="S57" s="60">
        <f t="shared" si="33"/>
        <v>1056.5034050095462</v>
      </c>
      <c r="T57" s="60">
        <f t="shared" si="33"/>
        <v>1083.862882138709</v>
      </c>
      <c r="U57" s="60">
        <f t="shared" si="33"/>
        <v>1112.0734035606902</v>
      </c>
      <c r="V57" s="60">
        <f t="shared" si="33"/>
        <v>1475.1129182585084</v>
      </c>
    </row>
    <row r="58" spans="1:22" x14ac:dyDescent="0.25">
      <c r="A58" s="5" t="s">
        <v>86</v>
      </c>
      <c r="B58" s="52">
        <f>(monthly_data!$D6+monthly_data!$E6)*0.87/1000</f>
        <v>288.73038000000003</v>
      </c>
      <c r="C58" s="52">
        <f>(monthly_data!$D18+monthly_data!$E18)*0.87/1000</f>
        <v>279.85202999999996</v>
      </c>
      <c r="D58" s="52">
        <f>(monthly_data!$D30+monthly_data!$E30)*0.87/1000</f>
        <v>287.47323</v>
      </c>
      <c r="E58" s="52">
        <f>(monthly_data!$D42+monthly_data!$E42)*0.87/1000</f>
        <v>394.16219999999998</v>
      </c>
      <c r="F58" s="52">
        <f>(monthly_data!$D54+monthly_data!$E54)*0.87/1000</f>
        <v>408.57201000000003</v>
      </c>
      <c r="G58" s="52">
        <f>(monthly_data!$D66+monthly_data!$E66)*0.87/1000</f>
        <v>406.76831990999989</v>
      </c>
      <c r="H58" s="52">
        <f>(monthly_data!$D78+monthly_data!$E78)*0.87/1000</f>
        <v>563.9177771100002</v>
      </c>
      <c r="I58" s="52">
        <f>(monthly_data!$D90+monthly_data!$E90)*0.87/1000</f>
        <v>416.69584988999998</v>
      </c>
      <c r="J58" s="52">
        <f>(monthly_data!$D102+monthly_data!$E102)*0.87/1000</f>
        <v>500.09190446999997</v>
      </c>
      <c r="K58" s="52">
        <f>(monthly_data!$D114+monthly_data!$E114)*0.87/1000</f>
        <v>695.97820824000007</v>
      </c>
      <c r="L58" s="60">
        <f t="shared" ref="L58:L65" si="34">L$67*(SUM(G58:K58)/SUM(G$67:K$67))</f>
        <v>725.58655588341492</v>
      </c>
      <c r="M58" s="60">
        <f t="shared" si="33"/>
        <v>807.47252622829444</v>
      </c>
      <c r="N58" s="60">
        <f t="shared" si="33"/>
        <v>830.87833841936663</v>
      </c>
      <c r="O58" s="60">
        <f t="shared" si="33"/>
        <v>880.30423642900519</v>
      </c>
      <c r="P58" s="60">
        <f t="shared" si="33"/>
        <v>959.68449942264465</v>
      </c>
      <c r="Q58" s="60">
        <f t="shared" si="33"/>
        <v>1030.3040532643483</v>
      </c>
      <c r="R58" s="60">
        <f t="shared" si="33"/>
        <v>1057.4947891255172</v>
      </c>
      <c r="S58" s="60">
        <f t="shared" si="33"/>
        <v>1082.2991592892133</v>
      </c>
      <c r="T58" s="60">
        <f t="shared" si="33"/>
        <v>1111.1337623184666</v>
      </c>
      <c r="U58" s="60">
        <f t="shared" si="33"/>
        <v>1139.5005849997651</v>
      </c>
      <c r="V58" s="60">
        <f t="shared" si="33"/>
        <v>1509.79459168274</v>
      </c>
    </row>
    <row r="59" spans="1:22" x14ac:dyDescent="0.25">
      <c r="A59" s="5" t="s">
        <v>87</v>
      </c>
      <c r="B59" s="52">
        <f>(monthly_data!$D7+monthly_data!$E7)*0.87/1000</f>
        <v>282.1062</v>
      </c>
      <c r="C59" s="52">
        <f>(monthly_data!$D19+monthly_data!$E19)*0.87/1000</f>
        <v>269.94708000000003</v>
      </c>
      <c r="D59" s="52">
        <f>(monthly_data!$D31+monthly_data!$E31)*0.87/1000</f>
        <v>322.40025000000003</v>
      </c>
      <c r="E59" s="52">
        <f>(monthly_data!$D43+monthly_data!$E43)*0.87/1000</f>
        <v>302.53640999999999</v>
      </c>
      <c r="F59" s="52">
        <f>(monthly_data!$D55+monthly_data!$E55)*0.87/1000</f>
        <v>384.29030999999998</v>
      </c>
      <c r="G59" s="52">
        <f>(monthly_data!$D67+monthly_data!$E67)*0.87/1000</f>
        <v>434.50036770000008</v>
      </c>
      <c r="H59" s="52">
        <f>(monthly_data!$D79+monthly_data!$E79)*0.87/1000</f>
        <v>439.47164079000004</v>
      </c>
      <c r="I59" s="52">
        <f>(monthly_data!$D91+monthly_data!$E91)*0.87/1000</f>
        <v>473.19527766000004</v>
      </c>
      <c r="J59" s="52">
        <f>(monthly_data!$D103+monthly_data!$E103)*0.87/1000</f>
        <v>541.60004643000002</v>
      </c>
      <c r="K59" s="52">
        <f>(monthly_data!$D115+monthly_data!$E115)*0.87/1000</f>
        <v>639.60634944000003</v>
      </c>
      <c r="L59" s="60">
        <f t="shared" si="34"/>
        <v>710.11728090398742</v>
      </c>
      <c r="M59" s="60">
        <f t="shared" si="33"/>
        <v>780.12905031057835</v>
      </c>
      <c r="N59" s="60">
        <f t="shared" si="33"/>
        <v>830.56745749043591</v>
      </c>
      <c r="O59" s="60">
        <f t="shared" si="33"/>
        <v>865.96535983579804</v>
      </c>
      <c r="P59" s="60">
        <f t="shared" si="33"/>
        <v>931.9588695188977</v>
      </c>
      <c r="Q59" s="60">
        <f t="shared" si="33"/>
        <v>1009.4260261679395</v>
      </c>
      <c r="R59" s="60">
        <f t="shared" si="33"/>
        <v>1036.2454407829596</v>
      </c>
      <c r="S59" s="60">
        <f t="shared" si="33"/>
        <v>1063.0800607418585</v>
      </c>
      <c r="T59" s="60">
        <f t="shared" si="33"/>
        <v>1088.1993426509034</v>
      </c>
      <c r="U59" s="60">
        <f t="shared" si="33"/>
        <v>1115.1476870134848</v>
      </c>
      <c r="V59" s="60">
        <f t="shared" si="33"/>
        <v>1479.537663184389</v>
      </c>
    </row>
    <row r="60" spans="1:22" x14ac:dyDescent="0.25">
      <c r="A60" s="5" t="s">
        <v>88</v>
      </c>
      <c r="B60" s="52">
        <f>(monthly_data!$D8+monthly_data!$E8)*0.87/1000</f>
        <v>287.44452000000001</v>
      </c>
      <c r="C60" s="52">
        <f>(monthly_data!$D20+monthly_data!$E20)*0.87/1000</f>
        <v>281.18834999999996</v>
      </c>
      <c r="D60" s="52">
        <f>(monthly_data!$D32+monthly_data!$E32)*0.87/1000</f>
        <v>315.51941999999997</v>
      </c>
      <c r="E60" s="52">
        <f>(monthly_data!$D44+monthly_data!$E44)*0.87/1000</f>
        <v>426.28434000000004</v>
      </c>
      <c r="F60" s="52">
        <f>(monthly_data!$D56+monthly_data!$E56)*0.87/1000</f>
        <v>394.39274999999998</v>
      </c>
      <c r="G60" s="52">
        <f>(monthly_data!$D68+monthly_data!$E68)*0.87/1000</f>
        <v>453.28140918000003</v>
      </c>
      <c r="H60" s="52">
        <f>(monthly_data!$D80+monthly_data!$E80)*0.87/1000</f>
        <v>446.31564978000034</v>
      </c>
      <c r="I60" s="52">
        <f>(monthly_data!$D92+monthly_data!$E92)*0.87/1000</f>
        <v>444.69718791000003</v>
      </c>
      <c r="J60" s="52">
        <f>(monthly_data!$D104+monthly_data!$E104)*0.87/1000</f>
        <v>560.36820842999998</v>
      </c>
      <c r="K60" s="52">
        <f>(monthly_data!$D116+monthly_data!$E116)*0.87/1000</f>
        <v>659.54699216999995</v>
      </c>
      <c r="L60" s="60">
        <f t="shared" si="34"/>
        <v>720.18208916450385</v>
      </c>
      <c r="M60" s="60">
        <f t="shared" si="33"/>
        <v>787.67427352205982</v>
      </c>
      <c r="N60" s="60">
        <f t="shared" si="33"/>
        <v>837.91549981862624</v>
      </c>
      <c r="O60" s="60">
        <f t="shared" si="33"/>
        <v>881.70864755836953</v>
      </c>
      <c r="P60" s="60">
        <f t="shared" si="33"/>
        <v>946.72890608698162</v>
      </c>
      <c r="Q60" s="60">
        <f t="shared" si="33"/>
        <v>1023.0210333510375</v>
      </c>
      <c r="R60" s="60">
        <f t="shared" si="33"/>
        <v>1050.0841661698501</v>
      </c>
      <c r="S60" s="60">
        <f t="shared" si="33"/>
        <v>1077.9306159595208</v>
      </c>
      <c r="T60" s="60">
        <f t="shared" si="33"/>
        <v>1104.3443494809119</v>
      </c>
      <c r="U60" s="60">
        <f t="shared" si="33"/>
        <v>1131.0629729129987</v>
      </c>
      <c r="V60" s="60">
        <f t="shared" si="33"/>
        <v>1500.2442833159866</v>
      </c>
    </row>
    <row r="61" spans="1:22" x14ac:dyDescent="0.25">
      <c r="A61" s="5" t="s">
        <v>89</v>
      </c>
      <c r="B61" s="52">
        <f>(monthly_data!$D9+monthly_data!$E9)*0.87/1000</f>
        <v>284.63355000000001</v>
      </c>
      <c r="C61" s="52">
        <f>(monthly_data!$D21+monthly_data!$E21)*0.87/1000</f>
        <v>270.68396999999999</v>
      </c>
      <c r="D61" s="52">
        <f>(monthly_data!$D33+monthly_data!$E33)*0.87/1000</f>
        <v>325.46352000000002</v>
      </c>
      <c r="E61" s="52">
        <f>(monthly_data!$D45+monthly_data!$E45)*0.87/1000</f>
        <v>420.47361000000001</v>
      </c>
      <c r="F61" s="52">
        <f>(monthly_data!$D57+monthly_data!$E57)*0.87/1000</f>
        <v>417.85926000000001</v>
      </c>
      <c r="G61" s="52">
        <f>(monthly_data!$D69+monthly_data!$E69)*0.87/1000</f>
        <v>543.46563006000019</v>
      </c>
      <c r="H61" s="52">
        <f>(monthly_data!$D81+monthly_data!$E81)*0.87/1000</f>
        <v>469.17102045000001</v>
      </c>
      <c r="I61" s="52">
        <f>(monthly_data!$D93+monthly_data!$E93)*0.87/1000</f>
        <v>460.85300526000003</v>
      </c>
      <c r="J61" s="52">
        <f>(monthly_data!$D105+monthly_data!$E105)*0.87/1000</f>
        <v>594.23285402999988</v>
      </c>
      <c r="K61" s="52">
        <f>(monthly_data!$D117+monthly_data!$E117)*0.87/1000</f>
        <v>733.82475857999998</v>
      </c>
      <c r="L61" s="60">
        <f t="shared" si="34"/>
        <v>786.84062513915319</v>
      </c>
      <c r="M61" s="60">
        <f t="shared" si="33"/>
        <v>847.16129851076471</v>
      </c>
      <c r="N61" s="60">
        <f t="shared" si="33"/>
        <v>904.06295475135482</v>
      </c>
      <c r="O61" s="60">
        <f t="shared" si="33"/>
        <v>955.99910270195858</v>
      </c>
      <c r="P61" s="60">
        <f t="shared" si="33"/>
        <v>1029.7494626106363</v>
      </c>
      <c r="Q61" s="60">
        <f t="shared" si="33"/>
        <v>1108.7024733280825</v>
      </c>
      <c r="R61" s="60">
        <f t="shared" si="33"/>
        <v>1136.5449932384674</v>
      </c>
      <c r="S61" s="60">
        <f t="shared" si="33"/>
        <v>1167.9050644577464</v>
      </c>
      <c r="T61" s="60">
        <f t="shared" si="33"/>
        <v>1197.3647567057337</v>
      </c>
      <c r="U61" s="60">
        <f t="shared" si="33"/>
        <v>1226.3289353479647</v>
      </c>
      <c r="V61" s="60">
        <f t="shared" si="33"/>
        <v>1625.6915657746961</v>
      </c>
    </row>
    <row r="62" spans="1:22" x14ac:dyDescent="0.25">
      <c r="A62" s="5" t="s">
        <v>90</v>
      </c>
      <c r="B62" s="52">
        <f>(monthly_data!$D10+monthly_data!$E10)*0.87/1000</f>
        <v>296.18715000000003</v>
      </c>
      <c r="C62" s="52">
        <f>(monthly_data!$D22+monthly_data!$E22)*0.87/1000</f>
        <v>287.82384000000002</v>
      </c>
      <c r="D62" s="52">
        <f>(monthly_data!$D34+monthly_data!$E34)*0.87/1000</f>
        <v>348.70817999999997</v>
      </c>
      <c r="E62" s="52">
        <f>(monthly_data!$D46+monthly_data!$E46)*0.87/1000</f>
        <v>445.12419</v>
      </c>
      <c r="F62" s="52">
        <f>(monthly_data!$D58+monthly_data!$E58)*0.87/1000</f>
        <v>437.70047999999997</v>
      </c>
      <c r="G62" s="52">
        <f>(monthly_data!$D70+monthly_data!$E70)*0.87/1000</f>
        <v>535.25757765000003</v>
      </c>
      <c r="H62" s="52">
        <f>(monthly_data!$D82+monthly_data!$E82)*0.87/1000</f>
        <v>485.98472657999969</v>
      </c>
      <c r="I62" s="52">
        <f>(monthly_data!$D94+monthly_data!$E94)*0.87/1000</f>
        <v>535.77417321000007</v>
      </c>
      <c r="J62" s="52">
        <f>(monthly_data!$D106+monthly_data!$E106)*0.87/1000</f>
        <v>630.77699349</v>
      </c>
      <c r="K62" s="52">
        <f>(monthly_data!$D118+monthly_data!$E118)*0.87/1000</f>
        <v>734.18553887999997</v>
      </c>
      <c r="L62" s="60">
        <f t="shared" si="34"/>
        <v>820.66500061298666</v>
      </c>
      <c r="M62" s="60">
        <f t="shared" si="33"/>
        <v>892.36224117162021</v>
      </c>
      <c r="N62" s="60">
        <f t="shared" si="33"/>
        <v>954.47081174257778</v>
      </c>
      <c r="O62" s="60">
        <f t="shared" si="33"/>
        <v>997.13051274543329</v>
      </c>
      <c r="P62" s="60">
        <f t="shared" si="33"/>
        <v>1071.3802419607607</v>
      </c>
      <c r="Q62" s="60">
        <f t="shared" si="33"/>
        <v>1160.7076075801253</v>
      </c>
      <c r="R62" s="60">
        <f t="shared" si="33"/>
        <v>1190.579325653031</v>
      </c>
      <c r="S62" s="60">
        <f t="shared" si="33"/>
        <v>1222.3102820972333</v>
      </c>
      <c r="T62" s="60">
        <f t="shared" si="33"/>
        <v>1251.3030182075374</v>
      </c>
      <c r="U62" s="60">
        <f t="shared" si="33"/>
        <v>1281.992444345751</v>
      </c>
      <c r="V62" s="60">
        <f t="shared" si="33"/>
        <v>1700.9055130274385</v>
      </c>
    </row>
    <row r="63" spans="1:22" x14ac:dyDescent="0.25">
      <c r="A63" s="5" t="s">
        <v>91</v>
      </c>
      <c r="B63" s="52">
        <f>(monthly_data!$D11+monthly_data!$E11)*0.87/1000</f>
        <v>297.13022999999998</v>
      </c>
      <c r="C63" s="52">
        <f>(monthly_data!$D23+monthly_data!$E23)*0.87/1000</f>
        <v>289.74827999999997</v>
      </c>
      <c r="D63" s="52">
        <f>(monthly_data!$D35+monthly_data!$E35)*0.87/1000</f>
        <v>349.66083000000003</v>
      </c>
      <c r="E63" s="52">
        <f>(monthly_data!$D47+monthly_data!$E47)*0.87/1000</f>
        <v>412.90199999999999</v>
      </c>
      <c r="F63" s="52">
        <f>(monthly_data!$D59+monthly_data!$E59)*0.87/1000</f>
        <v>482.78996999999998</v>
      </c>
      <c r="G63" s="52">
        <f>(monthly_data!$D71+monthly_data!$E71)*0.87/1000</f>
        <v>505.50162275999969</v>
      </c>
      <c r="H63" s="52">
        <f>(monthly_data!$D83+monthly_data!$E83)*0.87/1000</f>
        <v>533.35884179999948</v>
      </c>
      <c r="I63" s="52">
        <f>(monthly_data!$D95+monthly_data!$E95)*0.87/1000</f>
        <v>478.56169691999997</v>
      </c>
      <c r="J63" s="52">
        <f>(monthly_data!$D107+monthly_data!$E107)*0.87/1000</f>
        <v>567.44479451999996</v>
      </c>
      <c r="K63" s="52">
        <f>(monthly_data!$D119+monthly_data!$E119)*0.87/1000</f>
        <v>688.68562725000004</v>
      </c>
      <c r="L63" s="60">
        <f t="shared" si="34"/>
        <v>778.97805726572176</v>
      </c>
      <c r="M63" s="60">
        <f t="shared" si="33"/>
        <v>847.7474417850749</v>
      </c>
      <c r="N63" s="60">
        <f t="shared" si="33"/>
        <v>887.82085629876769</v>
      </c>
      <c r="O63" s="60">
        <f t="shared" si="33"/>
        <v>932.39767335010345</v>
      </c>
      <c r="P63" s="60">
        <f t="shared" si="33"/>
        <v>1007.2787336617225</v>
      </c>
      <c r="Q63" s="60">
        <f t="shared" si="33"/>
        <v>1091.6470926197358</v>
      </c>
      <c r="R63" s="60">
        <f t="shared" si="33"/>
        <v>1118.0664571264549</v>
      </c>
      <c r="S63" s="60">
        <f t="shared" si="33"/>
        <v>1145.6507188383073</v>
      </c>
      <c r="T63" s="60">
        <f t="shared" si="33"/>
        <v>1174.330660471639</v>
      </c>
      <c r="U63" s="60">
        <f t="shared" si="33"/>
        <v>1203.8705468035523</v>
      </c>
      <c r="V63" s="60">
        <f t="shared" si="33"/>
        <v>1596.9255792739989</v>
      </c>
    </row>
    <row r="64" spans="1:22" x14ac:dyDescent="0.25">
      <c r="A64" s="5" t="s">
        <v>92</v>
      </c>
      <c r="B64" s="52">
        <f>(monthly_data!$D12+monthly_data!$E12)*0.87/1000</f>
        <v>311.04935999999998</v>
      </c>
      <c r="C64" s="52">
        <f>(monthly_data!$D24+monthly_data!$E24)*0.87/1000</f>
        <v>289.05315000000002</v>
      </c>
      <c r="D64" s="52">
        <f>(monthly_data!$D36+monthly_data!$E36)*0.87/1000</f>
        <v>350.15499</v>
      </c>
      <c r="E64" s="52">
        <f>(monthly_data!$D48+monthly_data!$E48)*0.87/1000</f>
        <v>439.76411999999999</v>
      </c>
      <c r="F64" s="52">
        <f>(monthly_data!$D60+monthly_data!$E60)*0.87/1000</f>
        <v>525.15635999999995</v>
      </c>
      <c r="G64" s="52">
        <f>(monthly_data!$D72+monthly_data!$E72)*0.87/1000</f>
        <v>507.53481798000035</v>
      </c>
      <c r="H64" s="52">
        <f>(monthly_data!$D84+monthly_data!$E84)*0.87/1000</f>
        <v>554.80969665000009</v>
      </c>
      <c r="I64" s="52">
        <f>(monthly_data!$D96+monthly_data!$E96)*0.87/1000</f>
        <v>470.41654203000002</v>
      </c>
      <c r="J64" s="52">
        <f>(monthly_data!$D108+monthly_data!$E108)*0.87/1000</f>
        <v>601.99379255999997</v>
      </c>
      <c r="K64" s="52">
        <f>(monthly_data!$D120+monthly_data!$E120)*0.87/1000</f>
        <v>768.35481236999999</v>
      </c>
      <c r="L64" s="60">
        <f t="shared" si="34"/>
        <v>815.36536854289204</v>
      </c>
      <c r="M64" s="60">
        <f t="shared" si="33"/>
        <v>893.35097720282579</v>
      </c>
      <c r="N64" s="60">
        <f t="shared" si="33"/>
        <v>937.49246795124634</v>
      </c>
      <c r="O64" s="60">
        <f t="shared" si="33"/>
        <v>993.19804198802797</v>
      </c>
      <c r="P64" s="60">
        <f t="shared" si="33"/>
        <v>1073.5595207113847</v>
      </c>
      <c r="Q64" s="60">
        <f t="shared" si="33"/>
        <v>1155.0603364255915</v>
      </c>
      <c r="R64" s="60">
        <f t="shared" si="33"/>
        <v>1185.0932238414466</v>
      </c>
      <c r="S64" s="60">
        <f t="shared" si="33"/>
        <v>1215.5178814089206</v>
      </c>
      <c r="T64" s="60">
        <f t="shared" si="33"/>
        <v>1246.9386300643382</v>
      </c>
      <c r="U64" s="60">
        <f t="shared" si="33"/>
        <v>1277.6198572168792</v>
      </c>
      <c r="V64" s="60">
        <f t="shared" si="33"/>
        <v>1693.4793441010067</v>
      </c>
    </row>
    <row r="65" spans="1:22" x14ac:dyDescent="0.25">
      <c r="A65" s="5" t="s">
        <v>93</v>
      </c>
      <c r="B65" s="52">
        <f>(monthly_data!$D13+monthly_data!$E13)*0.87/1000</f>
        <v>279.10818</v>
      </c>
      <c r="C65" s="52">
        <f>(monthly_data!$D25+monthly_data!$E25)*0.87/1000</f>
        <v>272.42048999999997</v>
      </c>
      <c r="D65" s="52">
        <f>(monthly_data!$D37+monthly_data!$E37)*0.87/1000</f>
        <v>330.12410999999997</v>
      </c>
      <c r="E65" s="52">
        <f>(monthly_data!$D49+monthly_data!$E49)*0.87/1000</f>
        <v>425.24121000000002</v>
      </c>
      <c r="F65" s="52">
        <f>(monthly_data!$D61+monthly_data!$E61)*0.87/1000</f>
        <v>459.31910999999997</v>
      </c>
      <c r="G65" s="52">
        <f>(monthly_data!$D73+monthly_data!$E73)*0.87/1000</f>
        <v>453.15285537000028</v>
      </c>
      <c r="H65" s="52">
        <f>(monthly_data!$D85+monthly_data!$E85)*0.87/1000</f>
        <v>455.00439632999991</v>
      </c>
      <c r="I65" s="52">
        <f>(monthly_data!$D97+monthly_data!$E97)*0.87/1000</f>
        <v>468.48174990000001</v>
      </c>
      <c r="J65" s="52">
        <f>(monthly_data!$D109+monthly_data!$E109)*0.87/1000</f>
        <v>580.08902477999993</v>
      </c>
      <c r="K65" s="52">
        <f>(monthly_data!$D121+monthly_data!$E121)*0.87/1000</f>
        <v>677.31973757999992</v>
      </c>
      <c r="L65" s="60">
        <f t="shared" si="34"/>
        <v>739.79683035622872</v>
      </c>
      <c r="M65" s="60">
        <f t="shared" si="33"/>
        <v>812.59775850712538</v>
      </c>
      <c r="N65" s="60">
        <f t="shared" si="33"/>
        <v>865.86381600123559</v>
      </c>
      <c r="O65" s="60">
        <f t="shared" si="33"/>
        <v>908.9040820273151</v>
      </c>
      <c r="P65" s="60">
        <f t="shared" si="33"/>
        <v>975.33631383893635</v>
      </c>
      <c r="Q65" s="60">
        <f t="shared" si="33"/>
        <v>1054.4623736617348</v>
      </c>
      <c r="R65" s="60">
        <f t="shared" si="33"/>
        <v>1082.9481345856036</v>
      </c>
      <c r="S65" s="60">
        <f t="shared" si="33"/>
        <v>1111.6042111873462</v>
      </c>
      <c r="T65" s="60">
        <f t="shared" si="33"/>
        <v>1138.4499646439226</v>
      </c>
      <c r="U65" s="60">
        <f t="shared" si="33"/>
        <v>1166.0012423813123</v>
      </c>
      <c r="V65" s="60">
        <f t="shared" si="33"/>
        <v>1546.7638468470939</v>
      </c>
    </row>
    <row r="66" spans="1:22" x14ac:dyDescent="0.25">
      <c r="A66" s="5" t="s">
        <v>94</v>
      </c>
      <c r="B66" s="52">
        <f>(monthly_data!$D14+monthly_data!$E14)*0.87/1000</f>
        <v>271.01718</v>
      </c>
      <c r="C66" s="52">
        <f>(monthly_data!$D26+monthly_data!$E26)*0.87/1000</f>
        <v>265.60490999999996</v>
      </c>
      <c r="D66" s="52">
        <f>(monthly_data!$D38+monthly_data!$E38)*0.87/1000</f>
        <v>310.39425</v>
      </c>
      <c r="E66" s="52">
        <f>(monthly_data!$D50+monthly_data!$E50)*0.87/1000</f>
        <v>398.33820000000003</v>
      </c>
      <c r="F66" s="52">
        <f>(monthly_data!$D62+monthly_data!$E62)*0.87/1000</f>
        <v>427.21262999999999</v>
      </c>
      <c r="G66" s="52">
        <f>(monthly_data!$D74+monthly_data!$E74)*0.87/1000</f>
        <v>425.47456835999981</v>
      </c>
      <c r="H66" s="52">
        <f>(monthly_data!$D86+monthly_data!$E86)*0.87/1000</f>
        <v>457.09145151000024</v>
      </c>
      <c r="I66" s="52">
        <f>(monthly_data!$D98+monthly_data!$E98)*0.87/1000</f>
        <v>418.48066881</v>
      </c>
      <c r="J66" s="52">
        <f>(monthly_data!$D110+monthly_data!$E110)*0.87/1000</f>
        <v>561.43963083000006</v>
      </c>
      <c r="K66" s="52">
        <f>(monthly_data!$D122+monthly_data!$E122)*0.87/1000</f>
        <v>570.09562014000005</v>
      </c>
      <c r="L66" s="60">
        <f t="shared" ref="L66:V66" si="35">L67-SUM(L55:L65)</f>
        <v>706.53238068143219</v>
      </c>
      <c r="M66" s="60">
        <f t="shared" si="35"/>
        <v>754.99154890046702</v>
      </c>
      <c r="N66" s="60">
        <f t="shared" si="35"/>
        <v>795.41080338459687</v>
      </c>
      <c r="O66" s="60">
        <f t="shared" si="35"/>
        <v>837.88712636688433</v>
      </c>
      <c r="P66" s="60">
        <f t="shared" si="35"/>
        <v>892.63153251350559</v>
      </c>
      <c r="Q66" s="60">
        <f t="shared" si="35"/>
        <v>977.25060788353949</v>
      </c>
      <c r="R66" s="60">
        <f t="shared" si="35"/>
        <v>998.74699447305647</v>
      </c>
      <c r="S66" s="60">
        <f t="shared" si="35"/>
        <v>1023.9071123194626</v>
      </c>
      <c r="T66" s="60">
        <f t="shared" si="35"/>
        <v>1049.1102042296261</v>
      </c>
      <c r="U66" s="60">
        <f t="shared" si="35"/>
        <v>1074.4321678170454</v>
      </c>
      <c r="V66" s="60">
        <f t="shared" si="35"/>
        <v>1426.9940303799558</v>
      </c>
    </row>
    <row r="67" spans="1:22" x14ac:dyDescent="0.25">
      <c r="A67" s="61" t="s">
        <v>95</v>
      </c>
      <c r="B67" s="62">
        <f>SUM(B55:B66)</f>
        <v>3422.8992900000003</v>
      </c>
      <c r="C67" s="62">
        <f t="shared" ref="C67:K67" si="36">SUM(C55:C66)</f>
        <v>3289.8188700000001</v>
      </c>
      <c r="D67" s="62">
        <f t="shared" si="36"/>
        <v>3705.5083499999996</v>
      </c>
      <c r="E67" s="62">
        <f t="shared" si="36"/>
        <v>4636.0942800000003</v>
      </c>
      <c r="F67" s="62">
        <f t="shared" si="36"/>
        <v>5087.3389200000001</v>
      </c>
      <c r="G67" s="62">
        <f t="shared" si="36"/>
        <v>5562.0178791300004</v>
      </c>
      <c r="H67" s="62">
        <f t="shared" si="36"/>
        <v>5930.8249957500002</v>
      </c>
      <c r="I67" s="62">
        <f t="shared" si="36"/>
        <v>5388.8385605699996</v>
      </c>
      <c r="J67" s="62">
        <f t="shared" si="36"/>
        <v>6441.16501737</v>
      </c>
      <c r="K67" s="62">
        <f t="shared" si="36"/>
        <v>7883.2640065199994</v>
      </c>
      <c r="L67" s="63">
        <f>L7</f>
        <v>8764.5265668449993</v>
      </c>
      <c r="M67" s="63">
        <f t="shared" ref="M67:V67" si="37">M7</f>
        <v>9573.2002180792315</v>
      </c>
      <c r="N67" s="63">
        <f t="shared" si="37"/>
        <v>10050.065253942304</v>
      </c>
      <c r="O67" s="63">
        <f t="shared" si="37"/>
        <v>10561.70493959755</v>
      </c>
      <c r="P67" s="63">
        <f t="shared" si="37"/>
        <v>11406.641334765352</v>
      </c>
      <c r="Q67" s="63">
        <f t="shared" si="37"/>
        <v>12341.352221919733</v>
      </c>
      <c r="R67" s="63">
        <f t="shared" si="37"/>
        <v>12649.886027467724</v>
      </c>
      <c r="S67" s="63">
        <f t="shared" si="37"/>
        <v>12966.133178154416</v>
      </c>
      <c r="T67" s="63">
        <f t="shared" si="37"/>
        <v>13290.286507608274</v>
      </c>
      <c r="U67" s="63">
        <f t="shared" si="37"/>
        <v>13622.543670298481</v>
      </c>
      <c r="V67" s="63">
        <f t="shared" si="37"/>
        <v>18067.79476271167</v>
      </c>
    </row>
    <row r="68" spans="1:22" x14ac:dyDescent="0.25">
      <c r="A68" s="68"/>
      <c r="B68" s="68"/>
      <c r="C68" s="68"/>
      <c r="D68" s="68"/>
      <c r="E68" s="68"/>
      <c r="F68" s="68"/>
      <c r="G68" s="68"/>
      <c r="H68" s="68"/>
      <c r="I68" s="68"/>
      <c r="J68" s="69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</row>
    <row r="69" spans="1:22" ht="15.75" thickBot="1" x14ac:dyDescent="0.3">
      <c r="A69" s="4" t="s">
        <v>98</v>
      </c>
    </row>
    <row r="70" spans="1:22" ht="16.5" thickTop="1" thickBot="1" x14ac:dyDescent="0.3">
      <c r="A70" s="33" t="s">
        <v>71</v>
      </c>
      <c r="B70" s="59">
        <f t="shared" ref="B70:V70" si="38">B2</f>
        <v>2015</v>
      </c>
      <c r="C70" s="59">
        <f t="shared" si="38"/>
        <v>2016</v>
      </c>
      <c r="D70" s="59">
        <f t="shared" si="38"/>
        <v>2017</v>
      </c>
      <c r="E70" s="59">
        <f t="shared" si="38"/>
        <v>2018</v>
      </c>
      <c r="F70" s="59">
        <f t="shared" si="38"/>
        <v>2019</v>
      </c>
      <c r="G70" s="59">
        <f t="shared" si="38"/>
        <v>2020</v>
      </c>
      <c r="H70" s="59">
        <f t="shared" si="38"/>
        <v>2021</v>
      </c>
      <c r="I70" s="59">
        <f t="shared" si="38"/>
        <v>2022</v>
      </c>
      <c r="J70" s="59">
        <f t="shared" si="38"/>
        <v>2023</v>
      </c>
      <c r="K70" s="59">
        <f t="shared" si="38"/>
        <v>2024</v>
      </c>
      <c r="L70" s="59">
        <f t="shared" si="38"/>
        <v>2025</v>
      </c>
      <c r="M70" s="59">
        <f t="shared" si="38"/>
        <v>2026</v>
      </c>
      <c r="N70" s="59">
        <f t="shared" si="38"/>
        <v>2027</v>
      </c>
      <c r="O70" s="59">
        <f t="shared" si="38"/>
        <v>2028</v>
      </c>
      <c r="P70" s="59">
        <f t="shared" si="38"/>
        <v>2029</v>
      </c>
      <c r="Q70" s="59">
        <f t="shared" si="38"/>
        <v>2030</v>
      </c>
      <c r="R70" s="59">
        <f t="shared" si="38"/>
        <v>2031</v>
      </c>
      <c r="S70" s="59">
        <f t="shared" si="38"/>
        <v>2032</v>
      </c>
      <c r="T70" s="59">
        <f t="shared" si="38"/>
        <v>2033</v>
      </c>
      <c r="U70" s="59">
        <f t="shared" si="38"/>
        <v>2034</v>
      </c>
      <c r="V70" s="59">
        <f t="shared" si="38"/>
        <v>2035</v>
      </c>
    </row>
    <row r="71" spans="1:22" ht="15.75" thickTop="1" x14ac:dyDescent="0.25">
      <c r="A71" s="5" t="s">
        <v>83</v>
      </c>
      <c r="B71" s="52">
        <f>monthly_data!$F3/1000000</f>
        <v>0</v>
      </c>
      <c r="C71" s="52">
        <f>monthly_data!$F15/1000000</f>
        <v>0</v>
      </c>
      <c r="D71" s="52">
        <f>monthly_data!$F27/1000000</f>
        <v>0</v>
      </c>
      <c r="E71" s="52">
        <f>monthly_data!$F39/1000000</f>
        <v>0</v>
      </c>
      <c r="F71" s="52">
        <f>monthly_data!$F51/1000000</f>
        <v>9.7430000000000003E-2</v>
      </c>
      <c r="G71" s="52">
        <f>monthly_data!$F63/1000000</f>
        <v>0</v>
      </c>
      <c r="H71" s="52">
        <f>monthly_data!$F75/1000000</f>
        <v>0</v>
      </c>
      <c r="I71" s="52">
        <f>monthly_data!$F87/1000000</f>
        <v>0</v>
      </c>
      <c r="J71" s="52">
        <f>monthly_data!$F99/1000000</f>
        <v>6.1509689999999999</v>
      </c>
      <c r="K71" s="52">
        <f>monthly_data!$F111/1000000</f>
        <v>7.9807769999999998</v>
      </c>
      <c r="L71" s="52">
        <f>monthly_data!$F123/1000000</f>
        <v>0</v>
      </c>
      <c r="M71" s="70">
        <f t="shared" ref="M71:V73" si="39">M$83*(SUM(H71:L71)/SUM(H$83:L$83))</f>
        <v>2.3833978851423927</v>
      </c>
      <c r="N71" s="70">
        <f t="shared" si="39"/>
        <v>2.8108481223617856</v>
      </c>
      <c r="O71" s="70">
        <f t="shared" si="39"/>
        <v>3.5903009269038337</v>
      </c>
      <c r="P71" s="70">
        <f t="shared" si="39"/>
        <v>3.7195957534557884</v>
      </c>
      <c r="Q71" s="70">
        <f t="shared" si="39"/>
        <v>2.5721548217543582</v>
      </c>
      <c r="R71" s="70">
        <f t="shared" si="39"/>
        <v>3.0804080151880662</v>
      </c>
      <c r="S71" s="70">
        <f t="shared" si="39"/>
        <v>3.0370536389900322</v>
      </c>
      <c r="T71" s="70">
        <f t="shared" si="39"/>
        <v>3.1384840936092404</v>
      </c>
      <c r="U71" s="70">
        <f t="shared" si="39"/>
        <v>3.1202751825777533</v>
      </c>
      <c r="V71" s="70">
        <f t="shared" si="39"/>
        <v>3.0415136907013172</v>
      </c>
    </row>
    <row r="72" spans="1:22" x14ac:dyDescent="0.25">
      <c r="A72" s="5" t="s">
        <v>84</v>
      </c>
      <c r="B72" s="52">
        <f>monthly_data!$F4/1000000</f>
        <v>0</v>
      </c>
      <c r="C72" s="52">
        <f>monthly_data!$F16/1000000</f>
        <v>3.9999999999999998E-6</v>
      </c>
      <c r="D72" s="52">
        <f>monthly_data!$F28/1000000</f>
        <v>0</v>
      </c>
      <c r="E72" s="52">
        <f>monthly_data!$F40/1000000</f>
        <v>0</v>
      </c>
      <c r="F72" s="52">
        <f>monthly_data!$F52/1000000</f>
        <v>3.9129999999999998E-2</v>
      </c>
      <c r="G72" s="52">
        <f>monthly_data!$F64/1000000</f>
        <v>2.2499999999999999E-2</v>
      </c>
      <c r="H72" s="52">
        <f>monthly_data!$F76/1000000</f>
        <v>0</v>
      </c>
      <c r="I72" s="52">
        <f>monthly_data!$F88/1000000</f>
        <v>4.6783330000000003</v>
      </c>
      <c r="J72" s="52">
        <f>monthly_data!$F100/1000000</f>
        <v>0</v>
      </c>
      <c r="K72" s="52">
        <f>monthly_data!$F112/1000000</f>
        <v>0</v>
      </c>
      <c r="L72" s="52">
        <f>monthly_data!$F124/1000000</f>
        <v>12.00004</v>
      </c>
      <c r="M72" s="71">
        <f t="shared" si="39"/>
        <v>2.8129007509628314</v>
      </c>
      <c r="N72" s="71">
        <f t="shared" si="39"/>
        <v>3.3173801334314601</v>
      </c>
      <c r="O72" s="71">
        <f t="shared" si="39"/>
        <v>3.368174210722501</v>
      </c>
      <c r="P72" s="71">
        <f t="shared" si="39"/>
        <v>4.7697086781228428</v>
      </c>
      <c r="Q72" s="71">
        <f t="shared" si="39"/>
        <v>5.4034801649970019</v>
      </c>
      <c r="R72" s="71">
        <f t="shared" si="39"/>
        <v>4.0193349607628308</v>
      </c>
      <c r="S72" s="71">
        <f t="shared" si="39"/>
        <v>4.0199458897997076</v>
      </c>
      <c r="T72" s="71">
        <f t="shared" si="39"/>
        <v>4.233285535765428</v>
      </c>
      <c r="U72" s="71">
        <f t="shared" si="39"/>
        <v>4.5046501772140486</v>
      </c>
      <c r="V72" s="71">
        <f t="shared" si="39"/>
        <v>4.5130584009824704</v>
      </c>
    </row>
    <row r="73" spans="1:22" x14ac:dyDescent="0.25">
      <c r="A73" s="5" t="s">
        <v>85</v>
      </c>
      <c r="B73" s="52">
        <f>monthly_data!$F5/1000000</f>
        <v>0</v>
      </c>
      <c r="C73" s="52">
        <f>monthly_data!$F17/1000000</f>
        <v>0</v>
      </c>
      <c r="D73" s="52">
        <f>monthly_data!$F29/1000000</f>
        <v>0</v>
      </c>
      <c r="E73" s="52">
        <f>monthly_data!$F41/1000000</f>
        <v>0</v>
      </c>
      <c r="F73" s="52">
        <f>monthly_data!$F53/1000000</f>
        <v>5.8619999999999998E-2</v>
      </c>
      <c r="G73" s="52">
        <f>monthly_data!$F65/1000000</f>
        <v>2.2499999999999999E-2</v>
      </c>
      <c r="H73" s="52">
        <f>monthly_data!$F77/1000000</f>
        <v>0</v>
      </c>
      <c r="I73" s="52">
        <f>monthly_data!$F89/1000000</f>
        <v>2.2499999999999999E-2</v>
      </c>
      <c r="J73" s="52">
        <f>monthly_data!$F101/1000000</f>
        <v>17.026506999999999</v>
      </c>
      <c r="K73" s="52">
        <f>monthly_data!$F113/1000000</f>
        <v>10.261511</v>
      </c>
      <c r="L73" s="60">
        <f>L$83*(SUM(G73:K73)/SUM(G$83:K$83))</f>
        <v>8.286620777510656</v>
      </c>
      <c r="M73" s="71">
        <f t="shared" si="39"/>
        <v>6.0036562558822641</v>
      </c>
      <c r="N73" s="71">
        <f t="shared" si="39"/>
        <v>7.0803813410046956</v>
      </c>
      <c r="O73" s="71">
        <f t="shared" si="39"/>
        <v>9.0396027702525501</v>
      </c>
      <c r="P73" s="71">
        <f t="shared" si="39"/>
        <v>9.0235387963056386</v>
      </c>
      <c r="Q73" s="71">
        <f t="shared" si="39"/>
        <v>8.1116987537795264</v>
      </c>
      <c r="R73" s="71">
        <f t="shared" si="39"/>
        <v>8.0214231727887668</v>
      </c>
      <c r="S73" s="71">
        <f t="shared" si="39"/>
        <v>7.947564788729939</v>
      </c>
      <c r="T73" s="71">
        <f t="shared" si="39"/>
        <v>8.2669849647511988</v>
      </c>
      <c r="U73" s="71">
        <f t="shared" si="39"/>
        <v>8.3028095378752518</v>
      </c>
      <c r="V73" s="71">
        <f t="shared" si="39"/>
        <v>8.2710655129460857</v>
      </c>
    </row>
    <row r="74" spans="1:22" x14ac:dyDescent="0.25">
      <c r="A74" s="5" t="s">
        <v>86</v>
      </c>
      <c r="B74" s="52">
        <f>monthly_data!$F6/1000000</f>
        <v>0</v>
      </c>
      <c r="C74" s="52">
        <f>monthly_data!$F18/1000000</f>
        <v>0</v>
      </c>
      <c r="D74" s="52">
        <f>monthly_data!$F30/1000000</f>
        <v>0</v>
      </c>
      <c r="E74" s="52">
        <f>monthly_data!$F42/1000000</f>
        <v>4.3999999999999999E-5</v>
      </c>
      <c r="F74" s="52">
        <f>monthly_data!$F54/1000000</f>
        <v>7.8902E-2</v>
      </c>
      <c r="G74" s="52">
        <f>monthly_data!$F66/1000000</f>
        <v>3.1360100000000002</v>
      </c>
      <c r="H74" s="52">
        <f>monthly_data!$F78/1000000</f>
        <v>0</v>
      </c>
      <c r="I74" s="52">
        <f>monthly_data!$F90/1000000</f>
        <v>4.8107519999999999</v>
      </c>
      <c r="J74" s="52">
        <f>monthly_data!$F102/1000000</f>
        <v>12.960718999999999</v>
      </c>
      <c r="K74" s="52">
        <f>monthly_data!$F114/1000000</f>
        <v>6.0450840000000001</v>
      </c>
      <c r="L74" s="60">
        <f t="shared" ref="L74:V81" si="40">L$83*(SUM(G74:K74)/SUM(G$83:K$83))</f>
        <v>8.1712778711888472</v>
      </c>
      <c r="M74" s="71">
        <f t="shared" si="40"/>
        <v>5.3949266577165922</v>
      </c>
      <c r="N74" s="71">
        <f t="shared" si="40"/>
        <v>6.3624791985649738</v>
      </c>
      <c r="O74" s="71">
        <f t="shared" si="40"/>
        <v>7.2330840109984367</v>
      </c>
      <c r="P74" s="71">
        <f t="shared" si="40"/>
        <v>7.3673533058641771</v>
      </c>
      <c r="Q74" s="71">
        <f t="shared" si="40"/>
        <v>7.1027856448984608</v>
      </c>
      <c r="R74" s="71">
        <f t="shared" si="40"/>
        <v>6.8367176449373392</v>
      </c>
      <c r="S74" s="71">
        <f t="shared" si="40"/>
        <v>6.720246856314537</v>
      </c>
      <c r="T74" s="71">
        <f t="shared" si="40"/>
        <v>6.9166815520774643</v>
      </c>
      <c r="U74" s="71">
        <f t="shared" si="40"/>
        <v>7.0128862095358855</v>
      </c>
      <c r="V74" s="71">
        <f t="shared" si="40"/>
        <v>7.0378137205687521</v>
      </c>
    </row>
    <row r="75" spans="1:22" x14ac:dyDescent="0.25">
      <c r="A75" s="5" t="s">
        <v>87</v>
      </c>
      <c r="B75" s="52">
        <f>monthly_data!$F7/1000000</f>
        <v>0</v>
      </c>
      <c r="C75" s="52">
        <f>monthly_data!$F19/1000000</f>
        <v>0</v>
      </c>
      <c r="D75" s="52">
        <f>monthly_data!$F31/1000000</f>
        <v>0</v>
      </c>
      <c r="E75" s="52">
        <f>monthly_data!$F43/1000000</f>
        <v>0</v>
      </c>
      <c r="F75" s="52">
        <f>monthly_data!$F55/1000000</f>
        <v>1.9400000000000001E-2</v>
      </c>
      <c r="G75" s="52">
        <f>monthly_data!$F67/1000000</f>
        <v>0</v>
      </c>
      <c r="H75" s="52">
        <f>monthly_data!$F79/1000000</f>
        <v>1.8E-5</v>
      </c>
      <c r="I75" s="52">
        <f>monthly_data!$F91/1000000</f>
        <v>2.2499999999999999E-2</v>
      </c>
      <c r="J75" s="52">
        <f>monthly_data!$F103/1000000</f>
        <v>0</v>
      </c>
      <c r="K75" s="52">
        <f>monthly_data!$F115/1000000</f>
        <v>0</v>
      </c>
      <c r="L75" s="60">
        <f t="shared" si="40"/>
        <v>6.8268394901721046E-3</v>
      </c>
      <c r="M75" s="71">
        <f t="shared" si="40"/>
        <v>4.9491710635557124E-3</v>
      </c>
      <c r="N75" s="71">
        <f t="shared" si="40"/>
        <v>5.8337160473469225E-3</v>
      </c>
      <c r="O75" s="71">
        <f t="shared" si="40"/>
        <v>3.2714604100949696E-3</v>
      </c>
      <c r="P75" s="71">
        <f t="shared" si="40"/>
        <v>4.6327511975154407E-3</v>
      </c>
      <c r="Q75" s="71">
        <f t="shared" si="40"/>
        <v>5.2483245611957829E-3</v>
      </c>
      <c r="R75" s="71">
        <f t="shared" si="40"/>
        <v>4.8905157032551492E-3</v>
      </c>
      <c r="S75" s="71">
        <f t="shared" si="40"/>
        <v>4.5973252125389233E-3</v>
      </c>
      <c r="T75" s="71">
        <f t="shared" si="40"/>
        <v>4.4411640941330096E-3</v>
      </c>
      <c r="U75" s="71">
        <f t="shared" si="40"/>
        <v>4.7784573723414847E-3</v>
      </c>
      <c r="V75" s="71">
        <f t="shared" si="40"/>
        <v>4.8742321686514999E-3</v>
      </c>
    </row>
    <row r="76" spans="1:22" x14ac:dyDescent="0.25">
      <c r="A76" s="5" t="s">
        <v>88</v>
      </c>
      <c r="B76" s="52">
        <f>monthly_data!$F8/1000000</f>
        <v>0</v>
      </c>
      <c r="C76" s="52">
        <f>monthly_data!$F20/1000000</f>
        <v>0</v>
      </c>
      <c r="D76" s="52">
        <f>monthly_data!$F32/1000000</f>
        <v>0</v>
      </c>
      <c r="E76" s="52">
        <f>monthly_data!$F44/1000000</f>
        <v>0</v>
      </c>
      <c r="F76" s="52">
        <f>monthly_data!$F56/1000000</f>
        <v>0</v>
      </c>
      <c r="G76" s="52">
        <f>monthly_data!$F68/1000000</f>
        <v>2.2499999999999999E-2</v>
      </c>
      <c r="H76" s="52">
        <f>monthly_data!$F80/1000000</f>
        <v>0</v>
      </c>
      <c r="I76" s="52">
        <f>monthly_data!$F92/1000000</f>
        <v>8.4555170000000004</v>
      </c>
      <c r="J76" s="52">
        <f>monthly_data!$F104/1000000</f>
        <v>3.9928249999999998</v>
      </c>
      <c r="K76" s="52">
        <f>monthly_data!$F116/1000000</f>
        <v>20.887305000000001</v>
      </c>
      <c r="L76" s="60">
        <f t="shared" si="40"/>
        <v>10.113274503000538</v>
      </c>
      <c r="M76" s="60">
        <f t="shared" si="40"/>
        <v>7.3279032627652203</v>
      </c>
      <c r="N76" s="60">
        <f t="shared" si="40"/>
        <v>8.6421252848270615</v>
      </c>
      <c r="O76" s="60">
        <f t="shared" si="40"/>
        <v>9.4677707022075257</v>
      </c>
      <c r="P76" s="60">
        <f t="shared" si="40"/>
        <v>12.521556682242426</v>
      </c>
      <c r="Q76" s="60">
        <f t="shared" si="40"/>
        <v>9.8887425755243736</v>
      </c>
      <c r="R76" s="60">
        <f t="shared" si="40"/>
        <v>9.7763834960264955</v>
      </c>
      <c r="S76" s="60">
        <f t="shared" si="40"/>
        <v>9.6842977378735497</v>
      </c>
      <c r="T76" s="60">
        <f t="shared" si="40"/>
        <v>10.070672303198902</v>
      </c>
      <c r="U76" s="60">
        <f t="shared" si="40"/>
        <v>10.424197050862107</v>
      </c>
      <c r="V76" s="60">
        <f t="shared" si="40"/>
        <v>10.141710549293368</v>
      </c>
    </row>
    <row r="77" spans="1:22" x14ac:dyDescent="0.25">
      <c r="A77" s="5" t="s">
        <v>89</v>
      </c>
      <c r="B77" s="52">
        <f>monthly_data!$F9/1000000</f>
        <v>2.1985999999999999E-2</v>
      </c>
      <c r="C77" s="52">
        <f>monthly_data!$F21/1000000</f>
        <v>0</v>
      </c>
      <c r="D77" s="52">
        <f>monthly_data!$F33/1000000</f>
        <v>0</v>
      </c>
      <c r="E77" s="52">
        <f>monthly_data!$F45/1000000</f>
        <v>1.934E-2</v>
      </c>
      <c r="F77" s="52">
        <f>monthly_data!$F57/1000000</f>
        <v>0</v>
      </c>
      <c r="G77" s="52">
        <f>monthly_data!$F69/1000000</f>
        <v>2.2499999999999999E-2</v>
      </c>
      <c r="H77" s="52">
        <f>monthly_data!$F81/1000000</f>
        <v>5.0000000000000004E-6</v>
      </c>
      <c r="I77" s="52">
        <f>monthly_data!$F93/1000000</f>
        <v>6.4799999999999996E-2</v>
      </c>
      <c r="J77" s="52">
        <f>monthly_data!$F105/1000000</f>
        <v>4.017747</v>
      </c>
      <c r="K77" s="52">
        <f>monthly_data!$F117/1000000</f>
        <v>6.0247359999999999</v>
      </c>
      <c r="L77" s="60">
        <f t="shared" si="40"/>
        <v>3.0710736630904827</v>
      </c>
      <c r="M77" s="60">
        <f t="shared" si="40"/>
        <v>2.2226042923111868</v>
      </c>
      <c r="N77" s="60">
        <f t="shared" si="40"/>
        <v>2.6212161689371021</v>
      </c>
      <c r="O77" s="60">
        <f t="shared" si="40"/>
        <v>3.3360454515991163</v>
      </c>
      <c r="P77" s="60">
        <f t="shared" si="40"/>
        <v>3.8328236162773219</v>
      </c>
      <c r="Q77" s="60">
        <f t="shared" si="40"/>
        <v>3.1027936255648605</v>
      </c>
      <c r="R77" s="60">
        <f t="shared" si="40"/>
        <v>3.0884144753339564</v>
      </c>
      <c r="S77" s="60">
        <f t="shared" si="40"/>
        <v>3.0771000094499454</v>
      </c>
      <c r="T77" s="60">
        <f t="shared" si="40"/>
        <v>3.2243368041113691</v>
      </c>
      <c r="U77" s="60">
        <f t="shared" si="40"/>
        <v>3.2763666875243755</v>
      </c>
      <c r="V77" s="60">
        <f t="shared" si="40"/>
        <v>3.2084866925735098</v>
      </c>
    </row>
    <row r="78" spans="1:22" x14ac:dyDescent="0.25">
      <c r="A78" s="5" t="s">
        <v>90</v>
      </c>
      <c r="B78" s="52">
        <f>monthly_data!$F10/1000000</f>
        <v>0</v>
      </c>
      <c r="C78" s="52">
        <f>monthly_data!$F22/1000000</f>
        <v>8.0000000000000007E-5</v>
      </c>
      <c r="D78" s="52">
        <f>monthly_data!$F34/1000000</f>
        <v>0</v>
      </c>
      <c r="E78" s="52">
        <f>monthly_data!$F46/1000000</f>
        <v>0</v>
      </c>
      <c r="F78" s="52">
        <f>monthly_data!$F58/1000000</f>
        <v>0</v>
      </c>
      <c r="G78" s="52">
        <f>monthly_data!$F70/1000000</f>
        <v>4.4999999999999998E-2</v>
      </c>
      <c r="H78" s="52">
        <f>monthly_data!$F82/1000000</f>
        <v>1.68208</v>
      </c>
      <c r="I78" s="52">
        <f>monthly_data!$F94/1000000</f>
        <v>0</v>
      </c>
      <c r="J78" s="52">
        <f>monthly_data!$F106/1000000</f>
        <v>7.1339519999999998</v>
      </c>
      <c r="K78" s="52">
        <f>monthly_data!$F118/1000000</f>
        <v>6.9597340000000001</v>
      </c>
      <c r="L78" s="60">
        <f t="shared" si="40"/>
        <v>4.7964219776877233</v>
      </c>
      <c r="M78" s="60">
        <f t="shared" si="40"/>
        <v>3.4696143929258767</v>
      </c>
      <c r="N78" s="60">
        <f t="shared" si="40"/>
        <v>3.8055849878796355</v>
      </c>
      <c r="O78" s="60">
        <f t="shared" si="40"/>
        <v>4.860879960285871</v>
      </c>
      <c r="P78" s="60">
        <f t="shared" si="40"/>
        <v>5.3007897360042975</v>
      </c>
      <c r="Q78" s="60">
        <f t="shared" si="40"/>
        <v>4.573481622657253</v>
      </c>
      <c r="R78" s="60">
        <f t="shared" si="40"/>
        <v>4.4971824593780125</v>
      </c>
      <c r="S78" s="60">
        <f t="shared" si="40"/>
        <v>4.4358099532477668</v>
      </c>
      <c r="T78" s="60">
        <f t="shared" si="40"/>
        <v>4.642772058197723</v>
      </c>
      <c r="U78" s="60">
        <f t="shared" si="40"/>
        <v>4.7061997680692134</v>
      </c>
      <c r="V78" s="60">
        <f t="shared" si="40"/>
        <v>4.6503481480341309</v>
      </c>
    </row>
    <row r="79" spans="1:22" x14ac:dyDescent="0.25">
      <c r="A79" s="5" t="s">
        <v>91</v>
      </c>
      <c r="B79" s="52">
        <f>monthly_data!$F11/1000000</f>
        <v>0</v>
      </c>
      <c r="C79" s="52">
        <f>monthly_data!$F23/1000000</f>
        <v>0</v>
      </c>
      <c r="D79" s="52">
        <f>monthly_data!$F35/1000000</f>
        <v>0</v>
      </c>
      <c r="E79" s="52">
        <f>monthly_data!$F47/1000000</f>
        <v>0</v>
      </c>
      <c r="F79" s="52">
        <f>monthly_data!$F59/1000000</f>
        <v>0</v>
      </c>
      <c r="G79" s="52">
        <f>monthly_data!$F71/1000000</f>
        <v>0</v>
      </c>
      <c r="H79" s="52">
        <f>monthly_data!$F83/1000000</f>
        <v>0.35943999999999998</v>
      </c>
      <c r="I79" s="52">
        <f>monthly_data!$F95/1000000</f>
        <v>9.7149099999999997</v>
      </c>
      <c r="J79" s="52">
        <f>monthly_data!$F107/1000000</f>
        <v>8.0490180000000002</v>
      </c>
      <c r="K79" s="52">
        <f>monthly_data!$F119/1000000</f>
        <v>3.8545389999999999</v>
      </c>
      <c r="L79" s="60">
        <f t="shared" si="40"/>
        <v>6.6630981179025621</v>
      </c>
      <c r="M79" s="60">
        <f t="shared" si="40"/>
        <v>4.8304654659347408</v>
      </c>
      <c r="N79" s="60">
        <f t="shared" si="40"/>
        <v>5.6356087262368186</v>
      </c>
      <c r="O79" s="60">
        <f t="shared" si="40"/>
        <v>5.3935774635544105</v>
      </c>
      <c r="P79" s="60">
        <f t="shared" si="40"/>
        <v>5.8521297705859165</v>
      </c>
      <c r="Q79" s="60">
        <f t="shared" si="40"/>
        <v>5.8368322449796786</v>
      </c>
      <c r="R79" s="60">
        <f t="shared" si="40"/>
        <v>5.6287672955662815</v>
      </c>
      <c r="S79" s="60">
        <f t="shared" si="40"/>
        <v>5.4580247112999487</v>
      </c>
      <c r="T79" s="60">
        <f t="shared" si="40"/>
        <v>5.5257305602205404</v>
      </c>
      <c r="U79" s="60">
        <f t="shared" si="40"/>
        <v>5.6798395169794418</v>
      </c>
      <c r="V79" s="60">
        <f t="shared" si="40"/>
        <v>5.7233863450388913</v>
      </c>
    </row>
    <row r="80" spans="1:22" x14ac:dyDescent="0.25">
      <c r="A80" s="5" t="s">
        <v>92</v>
      </c>
      <c r="B80" s="52">
        <f>monthly_data!$F12/1000000</f>
        <v>0</v>
      </c>
      <c r="C80" s="52">
        <f>monthly_data!$F24/1000000</f>
        <v>0</v>
      </c>
      <c r="D80" s="52">
        <f>monthly_data!$F36/1000000</f>
        <v>0.11376</v>
      </c>
      <c r="E80" s="52">
        <f>monthly_data!$F48/1000000</f>
        <v>1.9730000000000001E-2</v>
      </c>
      <c r="F80" s="52">
        <f>monthly_data!$F60/1000000</f>
        <v>2.2499999999999999E-2</v>
      </c>
      <c r="G80" s="52">
        <f>monthly_data!$F72/1000000</f>
        <v>0</v>
      </c>
      <c r="H80" s="52">
        <f>monthly_data!$F84/1000000</f>
        <v>4.5602359999999997</v>
      </c>
      <c r="I80" s="52">
        <f>monthly_data!$F96/1000000</f>
        <v>4.8505599999999998</v>
      </c>
      <c r="J80" s="52">
        <f>monthly_data!$F108/1000000</f>
        <v>9.7262500000000003</v>
      </c>
      <c r="K80" s="52">
        <f>monthly_data!$F120/1000000</f>
        <v>7.1999999999999998E-3</v>
      </c>
      <c r="L80" s="60">
        <f t="shared" si="40"/>
        <v>5.8040098855302134</v>
      </c>
      <c r="M80" s="60">
        <f t="shared" si="40"/>
        <v>4.2076626848206846</v>
      </c>
      <c r="N80" s="60">
        <f t="shared" si="40"/>
        <v>4.1861414379364481</v>
      </c>
      <c r="O80" s="60">
        <f t="shared" si="40"/>
        <v>4.4458488504792903</v>
      </c>
      <c r="P80" s="60">
        <f t="shared" si="40"/>
        <v>4.1379260286988462</v>
      </c>
      <c r="Q80" s="60">
        <f t="shared" si="40"/>
        <v>4.6862687964200322</v>
      </c>
      <c r="R80" s="60">
        <f t="shared" si="40"/>
        <v>4.4263845519958949</v>
      </c>
      <c r="S80" s="60">
        <f t="shared" si="40"/>
        <v>4.2133545703524193</v>
      </c>
      <c r="T80" s="60">
        <f t="shared" si="40"/>
        <v>4.2978498241833041</v>
      </c>
      <c r="U80" s="60">
        <f t="shared" si="40"/>
        <v>4.3673835930835301</v>
      </c>
      <c r="V80" s="60">
        <f t="shared" si="40"/>
        <v>4.4745103219381024</v>
      </c>
    </row>
    <row r="81" spans="1:22" x14ac:dyDescent="0.25">
      <c r="A81" s="5" t="s">
        <v>93</v>
      </c>
      <c r="B81" s="52">
        <f>monthly_data!$F13/1000000</f>
        <v>0</v>
      </c>
      <c r="C81" s="52">
        <f>monthly_data!$F25/1000000</f>
        <v>0</v>
      </c>
      <c r="D81" s="52">
        <f>monthly_data!$F37/1000000</f>
        <v>0</v>
      </c>
      <c r="E81" s="52">
        <f>monthly_data!$F49/1000000</f>
        <v>3.8870000000000002E-2</v>
      </c>
      <c r="F81" s="52">
        <f>monthly_data!$F61/1000000</f>
        <v>1.1717999999999999E-2</v>
      </c>
      <c r="G81" s="52">
        <f>monthly_data!$F73/1000000</f>
        <v>0</v>
      </c>
      <c r="H81" s="52">
        <f>monthly_data!$F85/1000000</f>
        <v>2.2499999999999999E-2</v>
      </c>
      <c r="I81" s="52">
        <f>monthly_data!$F97/1000000</f>
        <v>0</v>
      </c>
      <c r="J81" s="52">
        <f>monthly_data!$F109/1000000</f>
        <v>17.814764</v>
      </c>
      <c r="K81" s="52">
        <f>monthly_data!$F121/1000000</f>
        <v>0</v>
      </c>
      <c r="L81" s="60">
        <f t="shared" si="40"/>
        <v>5.4077688192479458</v>
      </c>
      <c r="M81" s="60">
        <f t="shared" si="40"/>
        <v>3.9204046026203039</v>
      </c>
      <c r="N81" s="60">
        <f t="shared" si="40"/>
        <v>4.6196796841884744</v>
      </c>
      <c r="O81" s="60">
        <f t="shared" si="40"/>
        <v>5.900724454014413</v>
      </c>
      <c r="P81" s="60">
        <f t="shared" si="40"/>
        <v>4.4036539403248556</v>
      </c>
      <c r="Q81" s="60">
        <f t="shared" si="40"/>
        <v>4.9887861766477908</v>
      </c>
      <c r="R81" s="60">
        <f t="shared" si="40"/>
        <v>4.8696392972272644</v>
      </c>
      <c r="S81" s="60">
        <f t="shared" si="40"/>
        <v>4.7717152023822216</v>
      </c>
      <c r="T81" s="60">
        <f t="shared" si="40"/>
        <v>4.8911857954932696</v>
      </c>
      <c r="U81" s="60">
        <f t="shared" si="40"/>
        <v>4.8015166409595329</v>
      </c>
      <c r="V81" s="60">
        <f t="shared" si="40"/>
        <v>4.9489162937049516</v>
      </c>
    </row>
    <row r="82" spans="1:22" x14ac:dyDescent="0.25">
      <c r="A82" s="5" t="s">
        <v>94</v>
      </c>
      <c r="B82" s="52">
        <f>monthly_data!$F14/1000000</f>
        <v>10.337666</v>
      </c>
      <c r="C82" s="52">
        <f>monthly_data!$F26/1000000</f>
        <v>5.0000000000000002E-5</v>
      </c>
      <c r="D82" s="52">
        <f>monthly_data!$F38/1000000</f>
        <v>0</v>
      </c>
      <c r="E82" s="52">
        <f>monthly_data!$F50/1000000</f>
        <v>1.933E-2</v>
      </c>
      <c r="F82" s="52">
        <f>monthly_data!$F62/1000000</f>
        <v>0</v>
      </c>
      <c r="G82" s="52">
        <f>monthly_data!$F74/1000000</f>
        <v>0</v>
      </c>
      <c r="H82" s="52">
        <f>monthly_data!$F86/1000000</f>
        <v>2.2499999999999999E-2</v>
      </c>
      <c r="I82" s="52">
        <f>monthly_data!$F98/1000000</f>
        <v>5.1377420000000003</v>
      </c>
      <c r="J82" s="52">
        <f>monthly_data!$F110/1000000</f>
        <v>10.276120000000001</v>
      </c>
      <c r="K82" s="52">
        <f>monthly_data!$F122/1000000</f>
        <v>6</v>
      </c>
      <c r="L82" s="60">
        <f t="shared" ref="L82:V82" si="41">L83-SUM(L71:L81)</f>
        <v>0.20839754535084865</v>
      </c>
      <c r="M82" s="60">
        <f t="shared" si="41"/>
        <v>3.6505095778543577</v>
      </c>
      <c r="N82" s="60">
        <f t="shared" si="41"/>
        <v>4.3013803652508571</v>
      </c>
      <c r="O82" s="60">
        <f t="shared" si="41"/>
        <v>4.5396922663497321</v>
      </c>
      <c r="P82" s="60">
        <f t="shared" si="41"/>
        <v>4.1488232233277671</v>
      </c>
      <c r="Q82" s="60">
        <f t="shared" si="41"/>
        <v>3.465869744357434</v>
      </c>
      <c r="R82" s="60">
        <f t="shared" si="41"/>
        <v>4.1081393605907977</v>
      </c>
      <c r="S82" s="60">
        <f t="shared" si="41"/>
        <v>3.9594537694295084</v>
      </c>
      <c r="T82" s="60">
        <f t="shared" si="41"/>
        <v>3.9667680395599163</v>
      </c>
      <c r="U82" s="60">
        <f t="shared" si="41"/>
        <v>3.9433787946416388</v>
      </c>
      <c r="V82" s="60">
        <f t="shared" si="41"/>
        <v>3.956149223564438</v>
      </c>
    </row>
    <row r="83" spans="1:22" x14ac:dyDescent="0.25">
      <c r="A83" s="61" t="s">
        <v>95</v>
      </c>
      <c r="B83" s="62">
        <f>SUM(B71:B82)</f>
        <v>10.359652000000001</v>
      </c>
      <c r="C83" s="62">
        <f t="shared" ref="C83:K83" si="42">SUM(C71:C82)</f>
        <v>1.34E-4</v>
      </c>
      <c r="D83" s="62">
        <f t="shared" si="42"/>
        <v>0.11376</v>
      </c>
      <c r="E83" s="62">
        <f t="shared" si="42"/>
        <v>9.7313999999999998E-2</v>
      </c>
      <c r="F83" s="62">
        <f t="shared" si="42"/>
        <v>0.32770000000000005</v>
      </c>
      <c r="G83" s="62">
        <f t="shared" si="42"/>
        <v>3.27101</v>
      </c>
      <c r="H83" s="62">
        <f t="shared" si="42"/>
        <v>6.6467789999999995</v>
      </c>
      <c r="I83" s="62">
        <f t="shared" si="42"/>
        <v>37.757614000000004</v>
      </c>
      <c r="J83" s="62">
        <f t="shared" si="42"/>
        <v>97.148871</v>
      </c>
      <c r="K83" s="62">
        <f t="shared" si="42"/>
        <v>68.02088599999999</v>
      </c>
      <c r="L83" s="63">
        <f t="shared" ref="L83:V83" si="43">L8</f>
        <v>64.528809999999993</v>
      </c>
      <c r="M83" s="63">
        <f t="shared" si="43"/>
        <v>46.228994999999998</v>
      </c>
      <c r="N83" s="63">
        <f t="shared" si="43"/>
        <v>53.388659166666663</v>
      </c>
      <c r="O83" s="63">
        <f t="shared" si="43"/>
        <v>61.17897252777778</v>
      </c>
      <c r="P83" s="63">
        <f t="shared" si="43"/>
        <v>65.082532282407399</v>
      </c>
      <c r="Q83" s="63">
        <f t="shared" si="43"/>
        <v>59.738142496141968</v>
      </c>
      <c r="R83" s="63">
        <f t="shared" si="43"/>
        <v>58.357685245498963</v>
      </c>
      <c r="S83" s="63">
        <f t="shared" si="43"/>
        <v>57.329164453082122</v>
      </c>
      <c r="T83" s="63">
        <f t="shared" si="43"/>
        <v>59.179192695262479</v>
      </c>
      <c r="U83" s="63">
        <f t="shared" si="43"/>
        <v>60.144281616695118</v>
      </c>
      <c r="V83" s="63">
        <f t="shared" si="43"/>
        <v>59.971833131514678</v>
      </c>
    </row>
    <row r="84" spans="1:22" x14ac:dyDescent="0.25">
      <c r="J84" s="64"/>
    </row>
    <row r="85" spans="1:22" ht="15.75" thickBot="1" x14ac:dyDescent="0.3">
      <c r="A85" s="4" t="s">
        <v>99</v>
      </c>
      <c r="B85" s="58"/>
      <c r="C85" s="58"/>
      <c r="D85" s="58"/>
      <c r="E85" s="58"/>
      <c r="F85" s="58"/>
      <c r="G85" s="58"/>
      <c r="H85" s="58"/>
      <c r="I85" s="58"/>
      <c r="J85" s="72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spans="1:22" ht="16.5" thickTop="1" thickBot="1" x14ac:dyDescent="0.3">
      <c r="A86" s="33" t="s">
        <v>71</v>
      </c>
      <c r="B86" s="67">
        <f t="shared" ref="B86:V86" si="44">B2</f>
        <v>2015</v>
      </c>
      <c r="C86" s="67">
        <f t="shared" si="44"/>
        <v>2016</v>
      </c>
      <c r="D86" s="67">
        <f t="shared" si="44"/>
        <v>2017</v>
      </c>
      <c r="E86" s="67">
        <f t="shared" si="44"/>
        <v>2018</v>
      </c>
      <c r="F86" s="67">
        <f t="shared" si="44"/>
        <v>2019</v>
      </c>
      <c r="G86" s="67">
        <f t="shared" si="44"/>
        <v>2020</v>
      </c>
      <c r="H86" s="67">
        <f t="shared" si="44"/>
        <v>2021</v>
      </c>
      <c r="I86" s="67">
        <f t="shared" si="44"/>
        <v>2022</v>
      </c>
      <c r="J86" s="67">
        <f t="shared" si="44"/>
        <v>2023</v>
      </c>
      <c r="K86" s="67">
        <f t="shared" si="44"/>
        <v>2024</v>
      </c>
      <c r="L86" s="67">
        <f t="shared" si="44"/>
        <v>2025</v>
      </c>
      <c r="M86" s="67">
        <f t="shared" si="44"/>
        <v>2026</v>
      </c>
      <c r="N86" s="67">
        <f t="shared" si="44"/>
        <v>2027</v>
      </c>
      <c r="O86" s="67">
        <f t="shared" si="44"/>
        <v>2028</v>
      </c>
      <c r="P86" s="67">
        <f t="shared" si="44"/>
        <v>2029</v>
      </c>
      <c r="Q86" s="67">
        <f t="shared" si="44"/>
        <v>2030</v>
      </c>
      <c r="R86" s="67">
        <f t="shared" si="44"/>
        <v>2031</v>
      </c>
      <c r="S86" s="67">
        <f t="shared" si="44"/>
        <v>2032</v>
      </c>
      <c r="T86" s="67">
        <f t="shared" si="44"/>
        <v>2033</v>
      </c>
      <c r="U86" s="67">
        <f t="shared" si="44"/>
        <v>2034</v>
      </c>
      <c r="V86" s="67">
        <f t="shared" si="44"/>
        <v>2035</v>
      </c>
    </row>
    <row r="87" spans="1:22" ht="15.75" thickTop="1" x14ac:dyDescent="0.25">
      <c r="A87" s="5" t="s">
        <v>83</v>
      </c>
      <c r="B87" s="52"/>
      <c r="C87" s="52"/>
      <c r="D87" s="52"/>
      <c r="E87" s="52">
        <f>Capacity!$S4*0.87/1000*31</f>
        <v>587.46054000000004</v>
      </c>
      <c r="F87" s="52">
        <f>Capacity!$S16*0.87/1000*31</f>
        <v>639.62051999999994</v>
      </c>
      <c r="G87" s="52">
        <f>Capacity!$S28*0.87/1000*31</f>
        <v>698.92755</v>
      </c>
      <c r="H87" s="52">
        <f>Capacity!$S40*0.87/1000*31</f>
        <v>785.87883000000011</v>
      </c>
      <c r="I87" s="52">
        <f>Capacity!$S52*0.87/1000*31</f>
        <v>915.11906999999997</v>
      </c>
      <c r="J87" s="52">
        <f>Capacity!$S64*0.87/1000*31</f>
        <v>1009.4601299999999</v>
      </c>
      <c r="K87" s="52">
        <f>Capacity!$S76*0.87/1000*31</f>
        <v>1058.7073499999999</v>
      </c>
      <c r="L87" s="52">
        <f>Capacity!$S88*0.87/1000*31</f>
        <v>1115.1744389999999</v>
      </c>
      <c r="M87" s="73"/>
      <c r="N87" s="73"/>
      <c r="O87" s="73"/>
      <c r="P87" s="73"/>
      <c r="Q87" s="73"/>
      <c r="R87" s="73"/>
      <c r="S87" s="73"/>
      <c r="T87" s="73"/>
      <c r="U87" s="73"/>
      <c r="V87" s="73"/>
    </row>
    <row r="88" spans="1:22" x14ac:dyDescent="0.25">
      <c r="A88" s="5" t="s">
        <v>84</v>
      </c>
      <c r="B88" s="74"/>
      <c r="C88" s="74"/>
      <c r="D88" s="74"/>
      <c r="E88" s="52">
        <f>Capacity!$S5*0.87/1000*28</f>
        <v>530.60951999999997</v>
      </c>
      <c r="F88" s="52">
        <f>Capacity!$S17*0.87/1000*28</f>
        <v>577.7217599999999</v>
      </c>
      <c r="G88" s="52">
        <f>Capacity!$S29*0.87/1000*29</f>
        <v>653.83545000000004</v>
      </c>
      <c r="H88" s="52">
        <f>Capacity!$S41*0.87/1000*28</f>
        <v>753.67403999999999</v>
      </c>
      <c r="I88" s="52">
        <f>Capacity!$S53*0.87/1000*28</f>
        <v>833.01456000000007</v>
      </c>
      <c r="J88" s="52">
        <f>Capacity!$S65*0.87/1000*28</f>
        <v>911.77043999999989</v>
      </c>
      <c r="K88" s="52">
        <f>Capacity!$S77*0.87/1000*29</f>
        <v>1007.5600499999998</v>
      </c>
      <c r="L88" s="52">
        <f>Capacity!$S89*0.87/1000*28</f>
        <v>1007.254332</v>
      </c>
      <c r="M88" s="73"/>
      <c r="N88" s="73"/>
      <c r="O88" s="73"/>
      <c r="P88" s="73"/>
      <c r="Q88" s="73"/>
      <c r="R88" s="73"/>
      <c r="S88" s="73"/>
      <c r="T88" s="73"/>
      <c r="U88" s="73"/>
      <c r="V88" s="73"/>
    </row>
    <row r="89" spans="1:22" x14ac:dyDescent="0.25">
      <c r="A89" s="5" t="s">
        <v>85</v>
      </c>
      <c r="B89" s="74"/>
      <c r="C89" s="74"/>
      <c r="D89" s="74"/>
      <c r="E89" s="52">
        <f>Capacity!$S6*0.87/1000*31</f>
        <v>587.46054000000004</v>
      </c>
      <c r="F89" s="52">
        <f>Capacity!$S18*0.87/1000*31</f>
        <v>643.80086999999992</v>
      </c>
      <c r="G89" s="52">
        <f>Capacity!$S30*0.87/1000*31</f>
        <v>714.94772999999998</v>
      </c>
      <c r="H89" s="52">
        <f>Capacity!$S42*0.87/1000*31</f>
        <v>838.47032999999999</v>
      </c>
      <c r="I89" s="52">
        <f>Capacity!$S54*0.87/1000*31</f>
        <v>962.18171999999993</v>
      </c>
      <c r="J89" s="52">
        <f>Capacity!$S66*0.87/1000*31</f>
        <v>1037.0234700000001</v>
      </c>
      <c r="K89" s="52">
        <f>Capacity!$S78*0.87/1000*31</f>
        <v>1077.0469499999999</v>
      </c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</row>
    <row r="90" spans="1:22" x14ac:dyDescent="0.25">
      <c r="A90" s="5" t="s">
        <v>86</v>
      </c>
      <c r="B90" s="74"/>
      <c r="C90" s="74"/>
      <c r="D90" s="74"/>
      <c r="E90" s="52">
        <f>Capacity!$S7*0.87/1000*30</f>
        <v>584.17020000000002</v>
      </c>
      <c r="F90" s="52">
        <f>Capacity!$S19*0.87/1000*30</f>
        <v>612.59310000000005</v>
      </c>
      <c r="G90" s="52">
        <f>Capacity!$S31*0.87/1000*30</f>
        <v>694.23390000000006</v>
      </c>
      <c r="H90" s="52">
        <f>Capacity!$S43*0.87/1000*30</f>
        <v>811.42289999999991</v>
      </c>
      <c r="I90" s="52">
        <f>Capacity!$S55*0.87/1000*30</f>
        <v>931.14359999999999</v>
      </c>
      <c r="J90" s="52">
        <f>Capacity!$S67*0.87/1000*30</f>
        <v>1003.5711000000001</v>
      </c>
      <c r="K90" s="52">
        <f>Capacity!$S79*0.87/1000*30</f>
        <v>1042.3035</v>
      </c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</row>
    <row r="91" spans="1:22" x14ac:dyDescent="0.25">
      <c r="A91" s="5" t="s">
        <v>87</v>
      </c>
      <c r="B91" s="74"/>
      <c r="C91" s="74"/>
      <c r="D91" s="74"/>
      <c r="E91" s="52">
        <f>Capacity!$S8*0.87/1000*31</f>
        <v>612.65051999999991</v>
      </c>
      <c r="F91" s="52">
        <f>Capacity!$S20*0.87/1000*31</f>
        <v>633.01287000000002</v>
      </c>
      <c r="G91" s="52">
        <f>Capacity!$S32*0.87/1000*31</f>
        <v>733.55703000000005</v>
      </c>
      <c r="H91" s="52">
        <f>Capacity!$S44*0.87/1000*31</f>
        <v>838.47032999999999</v>
      </c>
      <c r="I91" s="52">
        <f>Capacity!$S56*0.87/1000*31</f>
        <v>962.18171999999993</v>
      </c>
      <c r="J91" s="52">
        <f>Capacity!$S68*0.87/1000*31</f>
        <v>1037.0234700000001</v>
      </c>
      <c r="K91" s="52">
        <f>Capacity!$S80*0.87/1000*31</f>
        <v>1077.0469499999999</v>
      </c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</row>
    <row r="92" spans="1:22" x14ac:dyDescent="0.25">
      <c r="A92" s="5" t="s">
        <v>88</v>
      </c>
      <c r="B92" s="74"/>
      <c r="C92" s="74"/>
      <c r="D92" s="74"/>
      <c r="E92" s="52">
        <f>Capacity!$S9*0.87/1000*30</f>
        <v>592.88759999999991</v>
      </c>
      <c r="F92" s="52">
        <f>Capacity!$S21*0.87/1000*30</f>
        <v>609.46109999999999</v>
      </c>
      <c r="G92" s="52">
        <f>Capacity!$S33*0.87/1000*30</f>
        <v>709.89390000000003</v>
      </c>
      <c r="H92" s="52">
        <f>Capacity!$S45*0.87/1000*30</f>
        <v>811.42289999999991</v>
      </c>
      <c r="I92" s="52">
        <f>Capacity!$S57*0.87/1000*30</f>
        <v>953.32859999999994</v>
      </c>
      <c r="J92" s="52">
        <f>Capacity!$S69*0.87/1000*30</f>
        <v>1003.5711000000001</v>
      </c>
      <c r="K92" s="52">
        <f>Capacity!$S81*0.87/1000*30</f>
        <v>1047.0015000000001</v>
      </c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</row>
    <row r="93" spans="1:22" x14ac:dyDescent="0.25">
      <c r="A93" s="5" t="s">
        <v>89</v>
      </c>
      <c r="B93" s="74"/>
      <c r="C93" s="74"/>
      <c r="D93" s="74"/>
      <c r="E93" s="52">
        <f>Capacity!$S10*0.87/1000*31</f>
        <v>618.04451999999992</v>
      </c>
      <c r="F93" s="52">
        <f>Capacity!$S22*0.87/1000*31</f>
        <v>652.70096999999987</v>
      </c>
      <c r="G93" s="52">
        <f>Capacity!$S34*0.87/1000*31</f>
        <v>733.55703000000005</v>
      </c>
      <c r="H93" s="52">
        <f>Capacity!$S46*0.87/1000*31</f>
        <v>842.51583000000005</v>
      </c>
      <c r="I93" s="52">
        <f>Capacity!$S58*0.87/1000*31</f>
        <v>993.27812999999992</v>
      </c>
      <c r="J93" s="52">
        <f>Capacity!$S70*0.87/1000*31</f>
        <v>1037.0234700000001</v>
      </c>
      <c r="K93" s="52">
        <f>Capacity!$S82*0.87/1000*31</f>
        <v>1089.9925500000002</v>
      </c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</row>
    <row r="94" spans="1:22" x14ac:dyDescent="0.25">
      <c r="A94" s="5" t="s">
        <v>90</v>
      </c>
      <c r="B94" s="74"/>
      <c r="C94" s="74"/>
      <c r="D94" s="74"/>
      <c r="E94" s="52">
        <f>Capacity!$S11*0.87/1000*31</f>
        <v>624.78701999999998</v>
      </c>
      <c r="F94" s="52">
        <f>Capacity!$S23*0.87/1000*31</f>
        <v>652.70096999999987</v>
      </c>
      <c r="G94" s="52">
        <f>Capacity!$S35*0.87/1000*31</f>
        <v>726.14027999999996</v>
      </c>
      <c r="H94" s="52">
        <f>Capacity!$S47*0.87/1000*31</f>
        <v>844.40372999999988</v>
      </c>
      <c r="I94" s="52">
        <f>Capacity!$S59*0.87/1000*31</f>
        <v>993.27812999999992</v>
      </c>
      <c r="J94" s="52">
        <f>Capacity!$S71*0.87/1000*31</f>
        <v>1037.0234700000001</v>
      </c>
      <c r="K94" s="52">
        <f>Capacity!$S83*0.87/1000*31</f>
        <v>1098.0835500000003</v>
      </c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</row>
    <row r="95" spans="1:22" x14ac:dyDescent="0.25">
      <c r="A95" s="5" t="s">
        <v>91</v>
      </c>
      <c r="B95" s="74"/>
      <c r="C95" s="74"/>
      <c r="D95" s="74"/>
      <c r="E95" s="52">
        <f>Capacity!$S12*0.87/1000*30</f>
        <v>612.46259999999995</v>
      </c>
      <c r="F95" s="52">
        <f>Capacity!$S24*0.87/1000*30</f>
        <v>659.88629999999989</v>
      </c>
      <c r="G95" s="52">
        <f>Capacity!$S36*0.87/1000*30</f>
        <v>702.71640000000002</v>
      </c>
      <c r="H95" s="52">
        <f>Capacity!$S48*0.87/1000*30</f>
        <v>843.2648999999999</v>
      </c>
      <c r="I95" s="52">
        <f>Capacity!$S60*0.87/1000*30</f>
        <v>961.23689999999999</v>
      </c>
      <c r="J95" s="52">
        <f>Capacity!$S72*0.87/1000*30</f>
        <v>1029.6711</v>
      </c>
      <c r="K95" s="52">
        <f>Capacity!$S84*0.87/1000*30</f>
        <v>1062.6615000000002</v>
      </c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</row>
    <row r="96" spans="1:22" x14ac:dyDescent="0.25">
      <c r="A96" s="5" t="s">
        <v>92</v>
      </c>
      <c r="B96" s="74"/>
      <c r="C96" s="74"/>
      <c r="D96" s="74"/>
      <c r="E96" s="52">
        <f>Capacity!$S13*0.87/1000*31</f>
        <v>632.87801999999988</v>
      </c>
      <c r="F96" s="52">
        <f>Capacity!$S25*0.87/1000*31</f>
        <v>688.62500999999997</v>
      </c>
      <c r="G96" s="52">
        <f>Capacity!$S37*0.87/1000*31</f>
        <v>765.38162999999997</v>
      </c>
      <c r="H96" s="52">
        <f>Capacity!$S49*0.87/1000*31</f>
        <v>887.55573000000004</v>
      </c>
      <c r="I96" s="52">
        <f>Capacity!$S61*0.87/1000*31</f>
        <v>998.67212999999992</v>
      </c>
      <c r="J96" s="52">
        <f>Capacity!$S73*0.87/1000*31</f>
        <v>1066.69047</v>
      </c>
      <c r="K96" s="52">
        <f>Capacity!$S85*0.87/1000*31</f>
        <v>1115.07465</v>
      </c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</row>
    <row r="97" spans="1:22" x14ac:dyDescent="0.25">
      <c r="A97" s="5" t="s">
        <v>93</v>
      </c>
      <c r="B97" s="74"/>
      <c r="C97" s="74"/>
      <c r="D97" s="74"/>
      <c r="E97" s="52">
        <f>Capacity!$S14*0.87/1000*30</f>
        <v>612.46259999999995</v>
      </c>
      <c r="F97" s="52">
        <f>Capacity!$S26*0.87/1000*30</f>
        <v>673.79759999999987</v>
      </c>
      <c r="G97" s="52">
        <f>Capacity!$S38*0.87/1000*30</f>
        <v>743.56290000000001</v>
      </c>
      <c r="H97" s="52">
        <f>Capacity!$S50*0.87/1000*30</f>
        <v>888.15689999999995</v>
      </c>
      <c r="I97" s="52">
        <f>Capacity!$S62*0.87/1000*30</f>
        <v>966.45689999999991</v>
      </c>
      <c r="J97" s="52">
        <f>Capacity!$S74*0.87/1000*30</f>
        <v>1032.2811000000002</v>
      </c>
      <c r="K97" s="52">
        <f>Capacity!$S86*0.87/1000*30</f>
        <v>1079.1045000000001</v>
      </c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</row>
    <row r="98" spans="1:22" x14ac:dyDescent="0.25">
      <c r="A98" s="61" t="s">
        <v>94</v>
      </c>
      <c r="B98" s="74"/>
      <c r="C98" s="74"/>
      <c r="D98" s="74"/>
      <c r="E98" s="52">
        <f>Capacity!$S15*0.87/1000*31</f>
        <v>639.62051999999994</v>
      </c>
      <c r="F98" s="52">
        <f>Capacity!$S27*0.87/1000*31</f>
        <v>681.39705000000004</v>
      </c>
      <c r="G98" s="52">
        <f>Capacity!$S39*0.87/1000*31</f>
        <v>781.83333000000005</v>
      </c>
      <c r="H98" s="52">
        <f>Capacity!$S51*0.87/1000*31</f>
        <v>915.11906999999997</v>
      </c>
      <c r="I98" s="52">
        <f>Capacity!$S63*0.87/1000*31</f>
        <v>1009.4601299999999</v>
      </c>
      <c r="J98" s="52">
        <f>Capacity!$S75*0.87/1000*31</f>
        <v>1075.6984499999999</v>
      </c>
      <c r="K98" s="52">
        <f>Capacity!$S87*0.87/1000*31</f>
        <v>1115.07465</v>
      </c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</row>
    <row r="99" spans="1:22" x14ac:dyDescent="0.25">
      <c r="A99" s="68"/>
      <c r="B99" s="75"/>
      <c r="C99" s="75"/>
      <c r="D99" s="76"/>
      <c r="E99" s="76"/>
      <c r="F99" s="76"/>
      <c r="G99" s="76"/>
      <c r="H99" s="76"/>
      <c r="I99" s="76"/>
      <c r="J99" s="77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</row>
    <row r="100" spans="1:22" x14ac:dyDescent="0.25">
      <c r="A100" s="68"/>
      <c r="B100" s="68"/>
      <c r="C100" s="68"/>
      <c r="D100" s="68"/>
      <c r="E100" s="68"/>
      <c r="F100" s="68"/>
      <c r="G100" s="68"/>
      <c r="H100" s="68"/>
      <c r="I100" s="68"/>
      <c r="J100" s="7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</row>
  </sheetData>
  <printOptions verticalCentered="1"/>
  <pageMargins left="0.2" right="0.2" top="0.25" bottom="0.25" header="0" footer="0.1"/>
  <pageSetup scale="52" orientation="landscape" r:id="rId1"/>
  <headerFooter>
    <oddFooter>&amp;L&amp;"Arial,Regular"&amp;10&amp;D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C7EE-8DEF-4CB2-9662-E3A9F65EBDEB}">
  <sheetPr>
    <pageSetUpPr fitToPage="1"/>
  </sheetPr>
  <dimension ref="A1:Z102"/>
  <sheetViews>
    <sheetView showGridLines="0" zoomScaleNormal="100" workbookViewId="0">
      <pane xSplit="1" ySplit="2" topLeftCell="B11" activePane="bottomRight" state="frozen"/>
      <selection activeCell="B1" sqref="B1:D1048576"/>
      <selection pane="topRight" activeCell="B1" sqref="B1:D1048576"/>
      <selection pane="bottomLeft" activeCell="B1" sqref="B1:D1048576"/>
      <selection pane="bottomRight" activeCell="B1" sqref="B1:D1048576"/>
    </sheetView>
  </sheetViews>
  <sheetFormatPr defaultColWidth="8.85546875" defaultRowHeight="15" x14ac:dyDescent="0.25"/>
  <cols>
    <col min="1" max="1" width="57.85546875" style="5" customWidth="1"/>
    <col min="2" max="4" width="8.85546875" style="58" hidden="1" customWidth="1"/>
    <col min="5" max="8" width="8.85546875" style="58" customWidth="1"/>
    <col min="9" max="9" width="9.28515625" style="58" bestFit="1" customWidth="1"/>
    <col min="10" max="20" width="8.85546875" style="72" customWidth="1"/>
    <col min="21" max="21" width="8.85546875" style="72"/>
    <col min="22" max="22" width="8.85546875" style="72" customWidth="1"/>
    <col min="23" max="23" width="12.85546875" style="5" bestFit="1" customWidth="1"/>
    <col min="24" max="24" width="10.5703125" style="5" bestFit="1" customWidth="1"/>
    <col min="25" max="25" width="9.5703125" style="5" bestFit="1" customWidth="1"/>
    <col min="26" max="16384" width="8.85546875" style="5"/>
  </cols>
  <sheetData>
    <row r="1" spans="1:23" ht="15.75" thickBot="1" x14ac:dyDescent="0.3">
      <c r="A1" s="29" t="s">
        <v>100</v>
      </c>
      <c r="B1" s="79"/>
      <c r="C1" s="79"/>
      <c r="D1" s="79"/>
      <c r="E1" s="79"/>
      <c r="F1" s="79"/>
      <c r="G1" s="79"/>
      <c r="H1" s="79"/>
      <c r="I1" s="79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3" ht="16.5" thickTop="1" thickBot="1" x14ac:dyDescent="0.3">
      <c r="A2" s="33" t="s">
        <v>71</v>
      </c>
      <c r="B2" s="81">
        <v>2015</v>
      </c>
      <c r="C2" s="81">
        <v>2016</v>
      </c>
      <c r="D2" s="81">
        <v>2017</v>
      </c>
      <c r="E2" s="81">
        <v>2018</v>
      </c>
      <c r="F2" s="81">
        <v>2019</v>
      </c>
      <c r="G2" s="81">
        <v>2020</v>
      </c>
      <c r="H2" s="81">
        <v>2021</v>
      </c>
      <c r="I2" s="81">
        <v>2022</v>
      </c>
      <c r="J2" s="81">
        <v>2023</v>
      </c>
      <c r="K2" s="81">
        <v>2024</v>
      </c>
      <c r="L2" s="81">
        <v>2025</v>
      </c>
      <c r="M2" s="81">
        <v>2026</v>
      </c>
      <c r="N2" s="81">
        <v>2027</v>
      </c>
      <c r="O2" s="81">
        <v>2028</v>
      </c>
      <c r="P2" s="81">
        <v>2029</v>
      </c>
      <c r="Q2" s="81">
        <v>2030</v>
      </c>
      <c r="R2" s="81">
        <v>2031</v>
      </c>
      <c r="S2" s="81">
        <v>2032</v>
      </c>
      <c r="T2" s="81">
        <v>2033</v>
      </c>
      <c r="U2" s="81">
        <v>2034</v>
      </c>
      <c r="V2" s="81">
        <v>2035</v>
      </c>
    </row>
    <row r="3" spans="1:23" ht="15.75" thickTop="1" x14ac:dyDescent="0.25">
      <c r="A3" s="35" t="s">
        <v>72</v>
      </c>
      <c r="B3" s="36">
        <v>0</v>
      </c>
      <c r="C3" s="36">
        <f>B10</f>
        <v>0</v>
      </c>
      <c r="D3" s="36">
        <f t="shared" ref="D3:V3" si="0">C10</f>
        <v>0</v>
      </c>
      <c r="E3" s="36">
        <f t="shared" si="0"/>
        <v>0</v>
      </c>
      <c r="F3" s="36">
        <f t="shared" si="0"/>
        <v>0</v>
      </c>
      <c r="G3" s="36">
        <f t="shared" si="0"/>
        <v>0</v>
      </c>
      <c r="H3" s="36">
        <f t="shared" si="0"/>
        <v>0</v>
      </c>
      <c r="I3" s="36">
        <f t="shared" si="0"/>
        <v>0</v>
      </c>
      <c r="J3" s="36">
        <f t="shared" si="0"/>
        <v>0</v>
      </c>
      <c r="K3" s="36">
        <f t="shared" si="0"/>
        <v>0</v>
      </c>
      <c r="L3" s="37">
        <f t="shared" si="0"/>
        <v>0</v>
      </c>
      <c r="M3" s="37">
        <f t="shared" si="0"/>
        <v>0</v>
      </c>
      <c r="N3" s="37">
        <f t="shared" si="0"/>
        <v>0</v>
      </c>
      <c r="O3" s="37">
        <f t="shared" si="0"/>
        <v>0</v>
      </c>
      <c r="P3" s="37">
        <f t="shared" si="0"/>
        <v>0</v>
      </c>
      <c r="Q3" s="37">
        <f t="shared" si="0"/>
        <v>0</v>
      </c>
      <c r="R3" s="37">
        <f t="shared" si="0"/>
        <v>0</v>
      </c>
      <c r="S3" s="37">
        <f t="shared" si="0"/>
        <v>0</v>
      </c>
      <c r="T3" s="37">
        <f t="shared" si="0"/>
        <v>0</v>
      </c>
      <c r="U3" s="37">
        <f t="shared" si="0"/>
        <v>0</v>
      </c>
      <c r="V3" s="37">
        <f t="shared" si="0"/>
        <v>0</v>
      </c>
    </row>
    <row r="4" spans="1:23" x14ac:dyDescent="0.25">
      <c r="A4" s="35" t="s">
        <v>73</v>
      </c>
      <c r="B4" s="36">
        <v>0</v>
      </c>
      <c r="C4" s="36">
        <v>0</v>
      </c>
      <c r="D4" s="36">
        <v>0</v>
      </c>
      <c r="E4" s="36">
        <v>0</v>
      </c>
      <c r="F4" s="36">
        <v>0</v>
      </c>
      <c r="G4" s="36">
        <v>0</v>
      </c>
      <c r="H4" s="36">
        <v>0</v>
      </c>
      <c r="I4" s="36">
        <v>0</v>
      </c>
      <c r="J4" s="36">
        <v>0</v>
      </c>
      <c r="K4" s="36">
        <v>0</v>
      </c>
      <c r="L4" s="37">
        <v>0</v>
      </c>
      <c r="M4" s="37">
        <f>M12*0.55</f>
        <v>116.985</v>
      </c>
      <c r="N4" s="37">
        <f>N12*0.65</f>
        <v>291.65500000000003</v>
      </c>
      <c r="O4" s="37">
        <f>O12*0.7</f>
        <v>573.79</v>
      </c>
      <c r="P4" s="37">
        <f>P12*0.7</f>
        <v>666.18999999999994</v>
      </c>
      <c r="Q4" s="37">
        <f>Q12*0.7</f>
        <v>666.18999999999994</v>
      </c>
      <c r="R4" s="37">
        <f>R12*0.7</f>
        <v>666.18999999999994</v>
      </c>
      <c r="S4" s="37">
        <f>S12*0.72</f>
        <v>685.22400000000005</v>
      </c>
      <c r="T4" s="37">
        <f>T12*0.74</f>
        <v>704.25800000000004</v>
      </c>
      <c r="U4" s="37">
        <f>U12*0.78</f>
        <v>742.32600000000002</v>
      </c>
      <c r="V4" s="37">
        <f>V12*0.85</f>
        <v>808.94500000000005</v>
      </c>
    </row>
    <row r="5" spans="1:23" x14ac:dyDescent="0.25">
      <c r="A5" s="51" t="s">
        <v>74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3">
        <v>0</v>
      </c>
      <c r="M5" s="83">
        <v>0</v>
      </c>
      <c r="N5" s="83">
        <v>0</v>
      </c>
      <c r="O5" s="83">
        <v>0</v>
      </c>
      <c r="P5" s="83">
        <v>0</v>
      </c>
      <c r="Q5" s="83">
        <v>0</v>
      </c>
      <c r="R5" s="83">
        <v>0</v>
      </c>
      <c r="S5" s="83">
        <v>0</v>
      </c>
      <c r="T5" s="83">
        <v>0</v>
      </c>
      <c r="U5" s="83">
        <v>0</v>
      </c>
      <c r="V5" s="83">
        <v>0</v>
      </c>
    </row>
    <row r="6" spans="1:23" x14ac:dyDescent="0.25">
      <c r="A6" s="42" t="s">
        <v>75</v>
      </c>
      <c r="B6" s="43">
        <f t="shared" ref="B6:V6" si="1">B5+B4+B3</f>
        <v>0</v>
      </c>
      <c r="C6" s="43">
        <f t="shared" si="1"/>
        <v>0</v>
      </c>
      <c r="D6" s="43">
        <f t="shared" si="1"/>
        <v>0</v>
      </c>
      <c r="E6" s="43">
        <f t="shared" si="1"/>
        <v>0</v>
      </c>
      <c r="F6" s="43">
        <f t="shared" si="1"/>
        <v>0</v>
      </c>
      <c r="G6" s="43">
        <f t="shared" si="1"/>
        <v>0</v>
      </c>
      <c r="H6" s="43">
        <f t="shared" si="1"/>
        <v>0</v>
      </c>
      <c r="I6" s="43">
        <f t="shared" si="1"/>
        <v>0</v>
      </c>
      <c r="J6" s="43">
        <f t="shared" si="1"/>
        <v>0</v>
      </c>
      <c r="K6" s="43">
        <f t="shared" si="1"/>
        <v>0</v>
      </c>
      <c r="L6" s="44">
        <f t="shared" si="1"/>
        <v>0</v>
      </c>
      <c r="M6" s="44">
        <f t="shared" si="1"/>
        <v>116.985</v>
      </c>
      <c r="N6" s="44">
        <f t="shared" si="1"/>
        <v>291.65500000000003</v>
      </c>
      <c r="O6" s="44">
        <f t="shared" si="1"/>
        <v>573.79</v>
      </c>
      <c r="P6" s="44">
        <f t="shared" si="1"/>
        <v>666.18999999999994</v>
      </c>
      <c r="Q6" s="44">
        <f t="shared" si="1"/>
        <v>666.18999999999994</v>
      </c>
      <c r="R6" s="44">
        <f t="shared" si="1"/>
        <v>666.18999999999994</v>
      </c>
      <c r="S6" s="44">
        <f t="shared" si="1"/>
        <v>685.22400000000005</v>
      </c>
      <c r="T6" s="44">
        <f t="shared" si="1"/>
        <v>704.25800000000004</v>
      </c>
      <c r="U6" s="44">
        <f t="shared" si="1"/>
        <v>742.32600000000002</v>
      </c>
      <c r="V6" s="44">
        <f t="shared" si="1"/>
        <v>808.94500000000005</v>
      </c>
      <c r="W6" s="84"/>
    </row>
    <row r="7" spans="1:23" x14ac:dyDescent="0.25">
      <c r="A7" s="45" t="s">
        <v>101</v>
      </c>
      <c r="B7" s="36">
        <v>0</v>
      </c>
      <c r="C7" s="36">
        <v>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7">
        <v>0</v>
      </c>
      <c r="M7" s="37">
        <f>M6</f>
        <v>116.985</v>
      </c>
      <c r="N7" s="37">
        <f t="shared" ref="N7:V7" si="2">N6</f>
        <v>291.65500000000003</v>
      </c>
      <c r="O7" s="37">
        <f t="shared" si="2"/>
        <v>573.79</v>
      </c>
      <c r="P7" s="37">
        <f t="shared" si="2"/>
        <v>666.18999999999994</v>
      </c>
      <c r="Q7" s="37">
        <f t="shared" si="2"/>
        <v>666.18999999999994</v>
      </c>
      <c r="R7" s="37">
        <f t="shared" si="2"/>
        <v>666.18999999999994</v>
      </c>
      <c r="S7" s="37">
        <f t="shared" si="2"/>
        <v>685.22400000000005</v>
      </c>
      <c r="T7" s="37">
        <f t="shared" si="2"/>
        <v>704.25800000000004</v>
      </c>
      <c r="U7" s="37">
        <f t="shared" si="2"/>
        <v>742.32600000000002</v>
      </c>
      <c r="V7" s="37">
        <f t="shared" si="2"/>
        <v>808.94500000000005</v>
      </c>
      <c r="W7" s="84"/>
    </row>
    <row r="8" spans="1:23" x14ac:dyDescent="0.25">
      <c r="A8" s="85" t="s">
        <v>77</v>
      </c>
      <c r="B8" s="86">
        <v>0</v>
      </c>
      <c r="C8" s="86">
        <v>0</v>
      </c>
      <c r="D8" s="86">
        <v>0</v>
      </c>
      <c r="E8" s="86">
        <v>0</v>
      </c>
      <c r="F8" s="86">
        <v>0</v>
      </c>
      <c r="G8" s="86">
        <v>0</v>
      </c>
      <c r="H8" s="86">
        <v>0</v>
      </c>
      <c r="I8" s="86">
        <v>0</v>
      </c>
      <c r="J8" s="86">
        <v>0</v>
      </c>
      <c r="K8" s="86">
        <v>0</v>
      </c>
      <c r="L8" s="8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84"/>
    </row>
    <row r="9" spans="1:23" x14ac:dyDescent="0.25">
      <c r="A9" s="51" t="s">
        <v>78</v>
      </c>
      <c r="B9" s="82">
        <f>B8+B7</f>
        <v>0</v>
      </c>
      <c r="C9" s="82">
        <f t="shared" ref="C9:V9" si="3">C8+C7</f>
        <v>0</v>
      </c>
      <c r="D9" s="82">
        <f t="shared" si="3"/>
        <v>0</v>
      </c>
      <c r="E9" s="82">
        <f t="shared" si="3"/>
        <v>0</v>
      </c>
      <c r="F9" s="82">
        <f t="shared" si="3"/>
        <v>0</v>
      </c>
      <c r="G9" s="82">
        <f t="shared" si="3"/>
        <v>0</v>
      </c>
      <c r="H9" s="82">
        <f t="shared" si="3"/>
        <v>0</v>
      </c>
      <c r="I9" s="82">
        <f t="shared" si="3"/>
        <v>0</v>
      </c>
      <c r="J9" s="82">
        <f t="shared" si="3"/>
        <v>0</v>
      </c>
      <c r="K9" s="82">
        <f t="shared" si="3"/>
        <v>0</v>
      </c>
      <c r="L9" s="83">
        <f t="shared" si="3"/>
        <v>0</v>
      </c>
      <c r="M9" s="83">
        <f t="shared" si="3"/>
        <v>116.985</v>
      </c>
      <c r="N9" s="83">
        <f t="shared" si="3"/>
        <v>291.65500000000003</v>
      </c>
      <c r="O9" s="83">
        <f t="shared" si="3"/>
        <v>573.79</v>
      </c>
      <c r="P9" s="83">
        <f t="shared" si="3"/>
        <v>666.18999999999994</v>
      </c>
      <c r="Q9" s="83">
        <f t="shared" si="3"/>
        <v>666.18999999999994</v>
      </c>
      <c r="R9" s="83">
        <f t="shared" si="3"/>
        <v>666.18999999999994</v>
      </c>
      <c r="S9" s="83">
        <f t="shared" si="3"/>
        <v>685.22400000000005</v>
      </c>
      <c r="T9" s="83">
        <f t="shared" si="3"/>
        <v>704.25800000000004</v>
      </c>
      <c r="U9" s="83">
        <f t="shared" si="3"/>
        <v>742.32600000000002</v>
      </c>
      <c r="V9" s="83">
        <f t="shared" si="3"/>
        <v>808.94500000000005</v>
      </c>
      <c r="W9" s="84"/>
    </row>
    <row r="10" spans="1:23" x14ac:dyDescent="0.25">
      <c r="A10" s="88" t="s">
        <v>102</v>
      </c>
      <c r="B10" s="43">
        <f>B6-B9</f>
        <v>0</v>
      </c>
      <c r="C10" s="43">
        <f t="shared" ref="C10:V10" si="4">C6-C9</f>
        <v>0</v>
      </c>
      <c r="D10" s="43">
        <f t="shared" si="4"/>
        <v>0</v>
      </c>
      <c r="E10" s="43">
        <f t="shared" si="4"/>
        <v>0</v>
      </c>
      <c r="F10" s="43">
        <f t="shared" si="4"/>
        <v>0</v>
      </c>
      <c r="G10" s="43">
        <f t="shared" si="4"/>
        <v>0</v>
      </c>
      <c r="H10" s="43">
        <f t="shared" si="4"/>
        <v>0</v>
      </c>
      <c r="I10" s="43">
        <f t="shared" si="4"/>
        <v>0</v>
      </c>
      <c r="J10" s="43">
        <f t="shared" si="4"/>
        <v>0</v>
      </c>
      <c r="K10" s="43">
        <f t="shared" si="4"/>
        <v>0</v>
      </c>
      <c r="L10" s="44">
        <f t="shared" si="4"/>
        <v>0</v>
      </c>
      <c r="M10" s="44">
        <f t="shared" si="4"/>
        <v>0</v>
      </c>
      <c r="N10" s="44">
        <f t="shared" si="4"/>
        <v>0</v>
      </c>
      <c r="O10" s="44">
        <f t="shared" si="4"/>
        <v>0</v>
      </c>
      <c r="P10" s="44">
        <f t="shared" si="4"/>
        <v>0</v>
      </c>
      <c r="Q10" s="44">
        <f t="shared" si="4"/>
        <v>0</v>
      </c>
      <c r="R10" s="44">
        <f t="shared" si="4"/>
        <v>0</v>
      </c>
      <c r="S10" s="44">
        <f t="shared" si="4"/>
        <v>0</v>
      </c>
      <c r="T10" s="44">
        <f t="shared" si="4"/>
        <v>0</v>
      </c>
      <c r="U10" s="44">
        <f t="shared" si="4"/>
        <v>0</v>
      </c>
      <c r="V10" s="44">
        <f t="shared" si="4"/>
        <v>0</v>
      </c>
      <c r="W10" s="84"/>
    </row>
    <row r="11" spans="1:23" x14ac:dyDescent="0.25">
      <c r="A11" s="45"/>
      <c r="B11" s="89"/>
      <c r="C11" s="89"/>
      <c r="D11" s="89"/>
      <c r="E11" s="89"/>
      <c r="F11" s="89"/>
      <c r="G11" s="89"/>
      <c r="H11" s="89"/>
      <c r="I11" s="89"/>
      <c r="J11" s="89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84"/>
      <c r="V11" s="84"/>
      <c r="W11" s="84"/>
    </row>
    <row r="12" spans="1:23" x14ac:dyDescent="0.25">
      <c r="A12" s="51" t="s">
        <v>103</v>
      </c>
      <c r="B12" s="91">
        <v>0</v>
      </c>
      <c r="C12" s="91">
        <v>0</v>
      </c>
      <c r="D12" s="91">
        <v>0</v>
      </c>
      <c r="E12" s="91">
        <v>0</v>
      </c>
      <c r="F12" s="91">
        <v>0</v>
      </c>
      <c r="G12" s="91">
        <v>0</v>
      </c>
      <c r="H12" s="91">
        <v>0</v>
      </c>
      <c r="I12" s="91">
        <v>0</v>
      </c>
      <c r="J12" s="91">
        <v>0</v>
      </c>
      <c r="K12" s="91">
        <v>0</v>
      </c>
      <c r="L12" s="92">
        <v>0.219</v>
      </c>
      <c r="M12" s="92">
        <f>212.7</f>
        <v>212.7</v>
      </c>
      <c r="N12" s="92">
        <f>M12+236</f>
        <v>448.7</v>
      </c>
      <c r="O12" s="92">
        <f>N12+371</f>
        <v>819.7</v>
      </c>
      <c r="P12" s="92">
        <f>O12+132</f>
        <v>951.7</v>
      </c>
      <c r="Q12" s="92">
        <f>P12</f>
        <v>951.7</v>
      </c>
      <c r="R12" s="92">
        <f t="shared" ref="R12:V12" si="5">Q12</f>
        <v>951.7</v>
      </c>
      <c r="S12" s="92">
        <f t="shared" si="5"/>
        <v>951.7</v>
      </c>
      <c r="T12" s="92">
        <f t="shared" si="5"/>
        <v>951.7</v>
      </c>
      <c r="U12" s="92">
        <f t="shared" si="5"/>
        <v>951.7</v>
      </c>
      <c r="V12" s="92">
        <f t="shared" si="5"/>
        <v>951.7</v>
      </c>
    </row>
    <row r="13" spans="1:23" x14ac:dyDescent="0.25">
      <c r="A13" s="35" t="s">
        <v>81</v>
      </c>
      <c r="B13" s="93">
        <v>0</v>
      </c>
      <c r="C13" s="93">
        <v>0</v>
      </c>
      <c r="D13" s="93">
        <v>0</v>
      </c>
      <c r="E13" s="93">
        <v>0</v>
      </c>
      <c r="F13" s="93">
        <v>0</v>
      </c>
      <c r="G13" s="93">
        <v>0</v>
      </c>
      <c r="H13" s="93">
        <v>0</v>
      </c>
      <c r="I13" s="93">
        <v>0</v>
      </c>
      <c r="J13" s="93">
        <v>0</v>
      </c>
      <c r="K13" s="93">
        <v>0</v>
      </c>
      <c r="L13" s="94">
        <v>0</v>
      </c>
      <c r="M13" s="94">
        <f>M4/M12</f>
        <v>0.55000000000000004</v>
      </c>
      <c r="N13" s="94">
        <f t="shared" ref="N13:V13" si="6">N4/N12</f>
        <v>0.65000000000000013</v>
      </c>
      <c r="O13" s="94">
        <f t="shared" si="6"/>
        <v>0.7</v>
      </c>
      <c r="P13" s="94">
        <f t="shared" si="6"/>
        <v>0.7</v>
      </c>
      <c r="Q13" s="94">
        <f t="shared" si="6"/>
        <v>0.7</v>
      </c>
      <c r="R13" s="94">
        <f t="shared" si="6"/>
        <v>0.7</v>
      </c>
      <c r="S13" s="94">
        <f t="shared" si="6"/>
        <v>0.72</v>
      </c>
      <c r="T13" s="94">
        <f t="shared" si="6"/>
        <v>0.74</v>
      </c>
      <c r="U13" s="94">
        <f t="shared" si="6"/>
        <v>0.78</v>
      </c>
      <c r="V13" s="94">
        <f t="shared" si="6"/>
        <v>0.85</v>
      </c>
    </row>
    <row r="14" spans="1:23" x14ac:dyDescent="0.25">
      <c r="A14" s="45"/>
      <c r="B14" s="56"/>
      <c r="C14" s="56"/>
      <c r="D14" s="56"/>
      <c r="E14" s="56"/>
      <c r="F14" s="56"/>
      <c r="G14" s="56"/>
      <c r="H14" s="56"/>
      <c r="I14" s="56"/>
      <c r="J14" s="57"/>
      <c r="K14" s="37"/>
      <c r="L14" s="37"/>
      <c r="M14" s="37"/>
      <c r="N14" s="37"/>
      <c r="O14" s="37"/>
      <c r="P14" s="37"/>
    </row>
    <row r="15" spans="1:23" x14ac:dyDescent="0.25">
      <c r="A15" s="45"/>
      <c r="B15" s="56"/>
      <c r="C15" s="56"/>
      <c r="D15" s="56"/>
      <c r="E15" s="56"/>
      <c r="F15" s="56"/>
      <c r="G15" s="56"/>
      <c r="H15" s="56"/>
      <c r="I15" s="56"/>
      <c r="J15" s="57"/>
      <c r="K15" s="37"/>
      <c r="L15" s="37"/>
      <c r="M15" s="37"/>
      <c r="N15" s="37"/>
      <c r="O15" s="37"/>
    </row>
    <row r="16" spans="1:23" x14ac:dyDescent="0.25">
      <c r="A16" s="45"/>
      <c r="B16" s="56"/>
      <c r="C16" s="56"/>
      <c r="D16" s="56"/>
      <c r="E16" s="56"/>
      <c r="F16" s="56"/>
      <c r="G16" s="56"/>
      <c r="H16" s="56"/>
      <c r="I16" s="56"/>
      <c r="J16" s="37"/>
      <c r="K16" s="37"/>
      <c r="L16" s="37"/>
      <c r="M16" s="37"/>
      <c r="N16" s="37"/>
      <c r="O16" s="37"/>
    </row>
    <row r="17" spans="1:26" x14ac:dyDescent="0.25">
      <c r="A17" s="45"/>
      <c r="B17" s="56"/>
      <c r="C17" s="56"/>
      <c r="D17" s="56"/>
      <c r="E17" s="56"/>
      <c r="F17" s="56"/>
      <c r="G17" s="56"/>
      <c r="H17" s="56"/>
      <c r="I17" s="56"/>
      <c r="J17" s="37"/>
      <c r="K17" s="37"/>
      <c r="L17" s="37"/>
      <c r="M17" s="37"/>
      <c r="N17" s="37"/>
      <c r="O17" s="37"/>
    </row>
    <row r="18" spans="1:26" x14ac:dyDescent="0.25">
      <c r="A18" s="45"/>
      <c r="B18" s="56"/>
      <c r="C18" s="56"/>
      <c r="D18" s="56"/>
      <c r="E18" s="56"/>
      <c r="F18" s="56"/>
      <c r="G18" s="56"/>
      <c r="H18" s="56"/>
      <c r="I18" s="56"/>
      <c r="J18" s="37"/>
      <c r="K18" s="37"/>
      <c r="L18" s="37"/>
      <c r="M18" s="37"/>
      <c r="N18" s="37"/>
      <c r="O18" s="37"/>
    </row>
    <row r="19" spans="1:26" x14ac:dyDescent="0.25">
      <c r="A19" s="45"/>
      <c r="B19" s="36"/>
      <c r="C19" s="36"/>
      <c r="D19" s="36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</row>
    <row r="20" spans="1:26" x14ac:dyDescent="0.25">
      <c r="A20" s="45"/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95"/>
      <c r="M20" s="37"/>
      <c r="N20" s="37"/>
      <c r="O20" s="37"/>
    </row>
    <row r="21" spans="1:26" ht="15.75" thickBot="1" x14ac:dyDescent="0.3">
      <c r="A21" s="4" t="s">
        <v>104</v>
      </c>
    </row>
    <row r="22" spans="1:26" ht="16.5" thickTop="1" thickBot="1" x14ac:dyDescent="0.3">
      <c r="A22" s="33" t="s">
        <v>71</v>
      </c>
      <c r="B22" s="96">
        <f t="shared" ref="B22:V22" si="7">B2</f>
        <v>2015</v>
      </c>
      <c r="C22" s="96">
        <f t="shared" si="7"/>
        <v>2016</v>
      </c>
      <c r="D22" s="96">
        <f t="shared" si="7"/>
        <v>2017</v>
      </c>
      <c r="E22" s="96">
        <f t="shared" si="7"/>
        <v>2018</v>
      </c>
      <c r="F22" s="96">
        <f t="shared" si="7"/>
        <v>2019</v>
      </c>
      <c r="G22" s="96">
        <f t="shared" si="7"/>
        <v>2020</v>
      </c>
      <c r="H22" s="96">
        <f t="shared" si="7"/>
        <v>2021</v>
      </c>
      <c r="I22" s="96">
        <f t="shared" si="7"/>
        <v>2022</v>
      </c>
      <c r="J22" s="96">
        <f t="shared" si="7"/>
        <v>2023</v>
      </c>
      <c r="K22" s="96">
        <f t="shared" si="7"/>
        <v>2024</v>
      </c>
      <c r="L22" s="96">
        <f t="shared" si="7"/>
        <v>2025</v>
      </c>
      <c r="M22" s="96">
        <f t="shared" si="7"/>
        <v>2026</v>
      </c>
      <c r="N22" s="96">
        <f t="shared" si="7"/>
        <v>2027</v>
      </c>
      <c r="O22" s="96">
        <f t="shared" si="7"/>
        <v>2028</v>
      </c>
      <c r="P22" s="96">
        <f t="shared" si="7"/>
        <v>2029</v>
      </c>
      <c r="Q22" s="96">
        <f t="shared" si="7"/>
        <v>2030</v>
      </c>
      <c r="R22" s="96">
        <f t="shared" si="7"/>
        <v>2031</v>
      </c>
      <c r="S22" s="96">
        <f t="shared" si="7"/>
        <v>2032</v>
      </c>
      <c r="T22" s="96">
        <f t="shared" si="7"/>
        <v>2033</v>
      </c>
      <c r="U22" s="96">
        <f t="shared" si="7"/>
        <v>2034</v>
      </c>
      <c r="V22" s="96">
        <f t="shared" si="7"/>
        <v>2035</v>
      </c>
    </row>
    <row r="23" spans="1:26" ht="15.75" thickTop="1" x14ac:dyDescent="0.25">
      <c r="A23" s="5" t="s">
        <v>83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20"/>
      <c r="X23" s="20"/>
      <c r="Y23" s="20"/>
      <c r="Z23" s="4"/>
    </row>
    <row r="24" spans="1:26" x14ac:dyDescent="0.25">
      <c r="A24" s="5" t="s">
        <v>84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74"/>
      <c r="X24" s="74"/>
      <c r="Y24" s="74"/>
      <c r="Z24" s="99"/>
    </row>
    <row r="25" spans="1:26" x14ac:dyDescent="0.25">
      <c r="A25" s="5" t="s">
        <v>85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74"/>
      <c r="X25" s="74"/>
      <c r="Y25" s="74"/>
      <c r="Z25" s="99"/>
    </row>
    <row r="26" spans="1:26" x14ac:dyDescent="0.25">
      <c r="A26" s="5" t="s">
        <v>86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74"/>
      <c r="X26" s="74"/>
      <c r="Y26" s="74"/>
      <c r="Z26" s="99"/>
    </row>
    <row r="27" spans="1:26" x14ac:dyDescent="0.25">
      <c r="A27" s="5" t="s">
        <v>87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74"/>
      <c r="X27" s="74"/>
      <c r="Y27" s="74"/>
      <c r="Z27" s="99"/>
    </row>
    <row r="28" spans="1:26" x14ac:dyDescent="0.25">
      <c r="A28" s="5" t="s">
        <v>88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74"/>
      <c r="X28" s="74"/>
      <c r="Y28" s="74"/>
      <c r="Z28" s="99"/>
    </row>
    <row r="29" spans="1:26" x14ac:dyDescent="0.25">
      <c r="A29" s="5" t="s">
        <v>89</v>
      </c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74"/>
      <c r="X29" s="74"/>
      <c r="Y29" s="74"/>
      <c r="Z29" s="99"/>
    </row>
    <row r="30" spans="1:26" x14ac:dyDescent="0.25">
      <c r="A30" s="5" t="s">
        <v>90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74"/>
      <c r="X30" s="74"/>
      <c r="Y30" s="74"/>
      <c r="Z30" s="100"/>
    </row>
    <row r="31" spans="1:26" x14ac:dyDescent="0.25">
      <c r="A31" s="5" t="s">
        <v>91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74"/>
      <c r="X31" s="74"/>
      <c r="Y31" s="74"/>
      <c r="Z31" s="100"/>
    </row>
    <row r="32" spans="1:26" x14ac:dyDescent="0.25">
      <c r="A32" s="5" t="s">
        <v>92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74"/>
      <c r="X32" s="74"/>
      <c r="Y32" s="74"/>
      <c r="Z32" s="100"/>
    </row>
    <row r="33" spans="1:26" x14ac:dyDescent="0.25">
      <c r="A33" s="5" t="s">
        <v>93</v>
      </c>
      <c r="B33" s="97"/>
      <c r="C33" s="97"/>
      <c r="D33" s="97"/>
      <c r="E33" s="97"/>
      <c r="F33" s="97"/>
      <c r="G33" s="97"/>
      <c r="H33" s="97"/>
      <c r="I33" s="97"/>
      <c r="J33" s="97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74"/>
      <c r="X33" s="74"/>
      <c r="Y33" s="74"/>
      <c r="Z33" s="100"/>
    </row>
    <row r="34" spans="1:26" x14ac:dyDescent="0.25">
      <c r="A34" s="5" t="s">
        <v>94</v>
      </c>
      <c r="B34" s="97"/>
      <c r="C34" s="97"/>
      <c r="D34" s="97"/>
      <c r="E34" s="97"/>
      <c r="F34" s="97"/>
      <c r="G34" s="97"/>
      <c r="H34" s="97"/>
      <c r="I34" s="97"/>
      <c r="J34" s="97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74"/>
      <c r="X34" s="74"/>
      <c r="Y34" s="74"/>
      <c r="Z34" s="100"/>
    </row>
    <row r="35" spans="1:26" x14ac:dyDescent="0.25">
      <c r="A35" s="61" t="s">
        <v>95</v>
      </c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74"/>
      <c r="X35" s="74"/>
      <c r="Y35" s="74"/>
      <c r="Z35" s="100"/>
    </row>
    <row r="36" spans="1:26" x14ac:dyDescent="0.25">
      <c r="B36" s="103"/>
      <c r="C36" s="103"/>
      <c r="D36" s="103"/>
      <c r="E36" s="103"/>
      <c r="F36" s="103"/>
      <c r="G36" s="103"/>
      <c r="H36" s="103"/>
      <c r="I36" s="103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74"/>
      <c r="X36" s="74"/>
      <c r="Y36" s="74"/>
      <c r="Z36" s="99"/>
    </row>
    <row r="37" spans="1:26" ht="15.75" thickBot="1" x14ac:dyDescent="0.3">
      <c r="A37" s="4" t="s">
        <v>105</v>
      </c>
    </row>
    <row r="38" spans="1:26" ht="16.5" thickTop="1" thickBot="1" x14ac:dyDescent="0.3">
      <c r="A38" s="33" t="s">
        <v>71</v>
      </c>
      <c r="B38" s="96">
        <f t="shared" ref="B38:V38" si="8">B2</f>
        <v>2015</v>
      </c>
      <c r="C38" s="96">
        <f t="shared" si="8"/>
        <v>2016</v>
      </c>
      <c r="D38" s="96">
        <f t="shared" si="8"/>
        <v>2017</v>
      </c>
      <c r="E38" s="96">
        <f t="shared" si="8"/>
        <v>2018</v>
      </c>
      <c r="F38" s="96">
        <f t="shared" si="8"/>
        <v>2019</v>
      </c>
      <c r="G38" s="96">
        <f t="shared" si="8"/>
        <v>2020</v>
      </c>
      <c r="H38" s="96">
        <f t="shared" si="8"/>
        <v>2021</v>
      </c>
      <c r="I38" s="96">
        <f t="shared" si="8"/>
        <v>2022</v>
      </c>
      <c r="J38" s="96">
        <f t="shared" si="8"/>
        <v>2023</v>
      </c>
      <c r="K38" s="96">
        <f t="shared" si="8"/>
        <v>2024</v>
      </c>
      <c r="L38" s="96">
        <f t="shared" si="8"/>
        <v>2025</v>
      </c>
      <c r="M38" s="96">
        <f t="shared" si="8"/>
        <v>2026</v>
      </c>
      <c r="N38" s="96">
        <f t="shared" si="8"/>
        <v>2027</v>
      </c>
      <c r="O38" s="96">
        <f t="shared" si="8"/>
        <v>2028</v>
      </c>
      <c r="P38" s="96">
        <f t="shared" si="8"/>
        <v>2029</v>
      </c>
      <c r="Q38" s="96">
        <f t="shared" si="8"/>
        <v>2030</v>
      </c>
      <c r="R38" s="96">
        <f t="shared" si="8"/>
        <v>2031</v>
      </c>
      <c r="S38" s="96">
        <f t="shared" si="8"/>
        <v>2032</v>
      </c>
      <c r="T38" s="96">
        <f t="shared" si="8"/>
        <v>2033</v>
      </c>
      <c r="U38" s="96">
        <f t="shared" si="8"/>
        <v>2034</v>
      </c>
      <c r="V38" s="96">
        <f t="shared" si="8"/>
        <v>2035</v>
      </c>
      <c r="W38" s="20"/>
      <c r="X38" s="20"/>
      <c r="Y38" s="20"/>
      <c r="Z38" s="4"/>
    </row>
    <row r="39" spans="1:26" ht="15.75" thickTop="1" x14ac:dyDescent="0.25">
      <c r="A39" s="5" t="s">
        <v>83</v>
      </c>
      <c r="B39" s="97"/>
      <c r="C39" s="97"/>
      <c r="D39" s="97"/>
      <c r="E39" s="97"/>
      <c r="F39" s="105"/>
      <c r="G39" s="105"/>
      <c r="H39" s="105"/>
      <c r="I39" s="105"/>
      <c r="J39" s="105"/>
      <c r="K39" s="105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74"/>
      <c r="X39" s="74"/>
      <c r="Y39" s="74"/>
      <c r="Z39" s="99"/>
    </row>
    <row r="40" spans="1:26" x14ac:dyDescent="0.25">
      <c r="A40" s="5" t="s">
        <v>84</v>
      </c>
      <c r="B40" s="97"/>
      <c r="C40" s="97"/>
      <c r="D40" s="97"/>
      <c r="E40" s="97"/>
      <c r="F40" s="105"/>
      <c r="G40" s="105"/>
      <c r="H40" s="105"/>
      <c r="I40" s="105"/>
      <c r="J40" s="105"/>
      <c r="K40" s="105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74"/>
      <c r="X40" s="74"/>
      <c r="Y40" s="74"/>
      <c r="Z40" s="99"/>
    </row>
    <row r="41" spans="1:26" x14ac:dyDescent="0.25">
      <c r="A41" s="5" t="s">
        <v>85</v>
      </c>
      <c r="B41" s="97"/>
      <c r="C41" s="97"/>
      <c r="D41" s="97"/>
      <c r="E41" s="97"/>
      <c r="F41" s="105"/>
      <c r="G41" s="105"/>
      <c r="H41" s="105"/>
      <c r="I41" s="105"/>
      <c r="J41" s="105"/>
      <c r="K41" s="105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74"/>
      <c r="X41" s="74"/>
      <c r="Y41" s="74"/>
      <c r="Z41" s="99"/>
    </row>
    <row r="42" spans="1:26" x14ac:dyDescent="0.25">
      <c r="A42" s="5" t="s">
        <v>86</v>
      </c>
      <c r="B42" s="97"/>
      <c r="C42" s="97"/>
      <c r="D42" s="97"/>
      <c r="E42" s="97"/>
      <c r="F42" s="105"/>
      <c r="G42" s="105"/>
      <c r="H42" s="105"/>
      <c r="I42" s="105"/>
      <c r="J42" s="105"/>
      <c r="K42" s="105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74"/>
      <c r="X42" s="74"/>
      <c r="Y42" s="74"/>
      <c r="Z42" s="99"/>
    </row>
    <row r="43" spans="1:26" x14ac:dyDescent="0.25">
      <c r="A43" s="5" t="s">
        <v>87</v>
      </c>
      <c r="B43" s="97"/>
      <c r="C43" s="97"/>
      <c r="D43" s="97"/>
      <c r="E43" s="97"/>
      <c r="F43" s="105"/>
      <c r="G43" s="105"/>
      <c r="H43" s="105"/>
      <c r="I43" s="105"/>
      <c r="J43" s="105"/>
      <c r="K43" s="105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74"/>
      <c r="X43" s="74"/>
      <c r="Y43" s="74"/>
      <c r="Z43" s="99"/>
    </row>
    <row r="44" spans="1:26" x14ac:dyDescent="0.25">
      <c r="A44" s="5" t="s">
        <v>88</v>
      </c>
      <c r="B44" s="97"/>
      <c r="C44" s="97"/>
      <c r="D44" s="97"/>
      <c r="E44" s="97"/>
      <c r="F44" s="105"/>
      <c r="G44" s="105"/>
      <c r="H44" s="105"/>
      <c r="I44" s="105"/>
      <c r="J44" s="105"/>
      <c r="K44" s="105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74"/>
      <c r="X44" s="74"/>
      <c r="Y44" s="74"/>
      <c r="Z44" s="99"/>
    </row>
    <row r="45" spans="1:26" x14ac:dyDescent="0.25">
      <c r="A45" s="5" t="s">
        <v>89</v>
      </c>
      <c r="B45" s="97"/>
      <c r="C45" s="97"/>
      <c r="D45" s="97"/>
      <c r="E45" s="97"/>
      <c r="F45" s="105"/>
      <c r="G45" s="105"/>
      <c r="H45" s="105"/>
      <c r="I45" s="105"/>
      <c r="J45" s="105"/>
      <c r="K45" s="105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74"/>
      <c r="X45" s="74"/>
      <c r="Y45" s="74"/>
      <c r="Z45" s="100"/>
    </row>
    <row r="46" spans="1:26" x14ac:dyDescent="0.25">
      <c r="A46" s="5" t="s">
        <v>90</v>
      </c>
      <c r="B46" s="97"/>
      <c r="C46" s="97"/>
      <c r="D46" s="97"/>
      <c r="E46" s="97"/>
      <c r="F46" s="105"/>
      <c r="G46" s="105"/>
      <c r="H46" s="105"/>
      <c r="I46" s="105"/>
      <c r="J46" s="105"/>
      <c r="K46" s="105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74"/>
      <c r="X46" s="74"/>
      <c r="Y46" s="74"/>
      <c r="Z46" s="100"/>
    </row>
    <row r="47" spans="1:26" x14ac:dyDescent="0.25">
      <c r="A47" s="5" t="s">
        <v>91</v>
      </c>
      <c r="B47" s="97"/>
      <c r="C47" s="97"/>
      <c r="D47" s="97"/>
      <c r="E47" s="97"/>
      <c r="F47" s="105"/>
      <c r="G47" s="105"/>
      <c r="H47" s="105"/>
      <c r="I47" s="105"/>
      <c r="J47" s="105"/>
      <c r="K47" s="105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74"/>
      <c r="X47" s="74"/>
      <c r="Y47" s="74"/>
      <c r="Z47" s="100"/>
    </row>
    <row r="48" spans="1:26" x14ac:dyDescent="0.25">
      <c r="A48" s="5" t="s">
        <v>92</v>
      </c>
      <c r="B48" s="97"/>
      <c r="C48" s="97"/>
      <c r="D48" s="97"/>
      <c r="E48" s="97"/>
      <c r="F48" s="105"/>
      <c r="G48" s="105"/>
      <c r="H48" s="105"/>
      <c r="I48" s="105"/>
      <c r="J48" s="105"/>
      <c r="K48" s="105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74"/>
      <c r="X48" s="74"/>
      <c r="Y48" s="74"/>
      <c r="Z48" s="100"/>
    </row>
    <row r="49" spans="1:26" x14ac:dyDescent="0.25">
      <c r="A49" s="5" t="s">
        <v>93</v>
      </c>
      <c r="B49" s="97"/>
      <c r="C49" s="97"/>
      <c r="D49" s="97"/>
      <c r="E49" s="97"/>
      <c r="F49" s="105"/>
      <c r="G49" s="105"/>
      <c r="H49" s="105"/>
      <c r="I49" s="105"/>
      <c r="J49" s="105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74"/>
      <c r="X49" s="74"/>
      <c r="Y49" s="74"/>
      <c r="Z49" s="100"/>
    </row>
    <row r="50" spans="1:26" x14ac:dyDescent="0.25">
      <c r="A50" s="5" t="s">
        <v>94</v>
      </c>
      <c r="B50" s="97"/>
      <c r="C50" s="97"/>
      <c r="D50" s="97"/>
      <c r="E50" s="97"/>
      <c r="F50" s="105"/>
      <c r="G50" s="105"/>
      <c r="H50" s="105"/>
      <c r="I50" s="105"/>
      <c r="J50" s="105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74"/>
      <c r="X50" s="74"/>
      <c r="Y50" s="74"/>
      <c r="Z50" s="100"/>
    </row>
    <row r="51" spans="1:26" x14ac:dyDescent="0.25">
      <c r="A51" s="61" t="s">
        <v>95</v>
      </c>
      <c r="B51" s="101"/>
      <c r="C51" s="101"/>
      <c r="D51" s="101"/>
      <c r="E51" s="101"/>
      <c r="F51" s="101"/>
      <c r="G51" s="101"/>
      <c r="H51" s="101"/>
      <c r="I51" s="101"/>
      <c r="J51" s="101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74"/>
      <c r="X51" s="74"/>
      <c r="Y51" s="74"/>
      <c r="Z51" s="99"/>
    </row>
    <row r="52" spans="1:26" x14ac:dyDescent="0.25">
      <c r="J52" s="87"/>
    </row>
    <row r="53" spans="1:26" ht="15.75" thickBot="1" x14ac:dyDescent="0.3">
      <c r="A53" s="4" t="s">
        <v>106</v>
      </c>
    </row>
    <row r="54" spans="1:26" ht="16.5" thickTop="1" thickBot="1" x14ac:dyDescent="0.3">
      <c r="A54" s="33" t="s">
        <v>71</v>
      </c>
      <c r="B54" s="96">
        <f t="shared" ref="B54:V54" si="9">B2</f>
        <v>2015</v>
      </c>
      <c r="C54" s="96">
        <f t="shared" si="9"/>
        <v>2016</v>
      </c>
      <c r="D54" s="96">
        <f t="shared" si="9"/>
        <v>2017</v>
      </c>
      <c r="E54" s="96">
        <f t="shared" si="9"/>
        <v>2018</v>
      </c>
      <c r="F54" s="96">
        <f t="shared" si="9"/>
        <v>2019</v>
      </c>
      <c r="G54" s="96">
        <f t="shared" si="9"/>
        <v>2020</v>
      </c>
      <c r="H54" s="96">
        <f t="shared" si="9"/>
        <v>2021</v>
      </c>
      <c r="I54" s="96">
        <f t="shared" si="9"/>
        <v>2022</v>
      </c>
      <c r="J54" s="96">
        <f t="shared" si="9"/>
        <v>2023</v>
      </c>
      <c r="K54" s="96">
        <f t="shared" si="9"/>
        <v>2024</v>
      </c>
      <c r="L54" s="96">
        <f t="shared" si="9"/>
        <v>2025</v>
      </c>
      <c r="M54" s="96">
        <f t="shared" si="9"/>
        <v>2026</v>
      </c>
      <c r="N54" s="96">
        <f t="shared" si="9"/>
        <v>2027</v>
      </c>
      <c r="O54" s="96">
        <f t="shared" si="9"/>
        <v>2028</v>
      </c>
      <c r="P54" s="96">
        <f t="shared" si="9"/>
        <v>2029</v>
      </c>
      <c r="Q54" s="96">
        <f t="shared" si="9"/>
        <v>2030</v>
      </c>
      <c r="R54" s="96">
        <f t="shared" si="9"/>
        <v>2031</v>
      </c>
      <c r="S54" s="96">
        <f t="shared" si="9"/>
        <v>2032</v>
      </c>
      <c r="T54" s="96">
        <f t="shared" si="9"/>
        <v>2033</v>
      </c>
      <c r="U54" s="96">
        <f t="shared" si="9"/>
        <v>2034</v>
      </c>
      <c r="V54" s="96">
        <f t="shared" si="9"/>
        <v>2035</v>
      </c>
    </row>
    <row r="55" spans="1:26" ht="15.75" thickTop="1" x14ac:dyDescent="0.25">
      <c r="A55" s="5" t="s">
        <v>83</v>
      </c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</row>
    <row r="56" spans="1:26" x14ac:dyDescent="0.25">
      <c r="A56" s="5" t="s">
        <v>84</v>
      </c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</row>
    <row r="57" spans="1:26" x14ac:dyDescent="0.25">
      <c r="A57" s="5" t="s">
        <v>85</v>
      </c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</row>
    <row r="58" spans="1:26" x14ac:dyDescent="0.25">
      <c r="A58" s="5" t="s">
        <v>86</v>
      </c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</row>
    <row r="59" spans="1:26" x14ac:dyDescent="0.25">
      <c r="A59" s="5" t="s">
        <v>87</v>
      </c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</row>
    <row r="60" spans="1:26" x14ac:dyDescent="0.25">
      <c r="A60" s="5" t="s">
        <v>88</v>
      </c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</row>
    <row r="61" spans="1:26" x14ac:dyDescent="0.25">
      <c r="A61" s="5" t="s">
        <v>89</v>
      </c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</row>
    <row r="62" spans="1:26" x14ac:dyDescent="0.25">
      <c r="A62" s="5" t="s">
        <v>90</v>
      </c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</row>
    <row r="63" spans="1:26" x14ac:dyDescent="0.25">
      <c r="A63" s="5" t="s">
        <v>91</v>
      </c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</row>
    <row r="64" spans="1:26" x14ac:dyDescent="0.25">
      <c r="A64" s="5" t="s">
        <v>92</v>
      </c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</row>
    <row r="65" spans="1:22" x14ac:dyDescent="0.25">
      <c r="A65" s="5" t="s">
        <v>93</v>
      </c>
      <c r="B65" s="97"/>
      <c r="C65" s="97"/>
      <c r="D65" s="97"/>
      <c r="E65" s="97"/>
      <c r="F65" s="97"/>
      <c r="G65" s="97"/>
      <c r="H65" s="97"/>
      <c r="I65" s="97"/>
      <c r="J65" s="97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</row>
    <row r="66" spans="1:22" x14ac:dyDescent="0.25">
      <c r="A66" s="5" t="s">
        <v>94</v>
      </c>
      <c r="B66" s="97"/>
      <c r="C66" s="97"/>
      <c r="D66" s="97"/>
      <c r="E66" s="97"/>
      <c r="F66" s="97"/>
      <c r="G66" s="97"/>
      <c r="H66" s="97"/>
      <c r="I66" s="97"/>
      <c r="J66" s="97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</row>
    <row r="67" spans="1:22" x14ac:dyDescent="0.25">
      <c r="A67" s="61" t="s">
        <v>95</v>
      </c>
      <c r="B67" s="101"/>
      <c r="C67" s="101"/>
      <c r="D67" s="101"/>
      <c r="E67" s="101"/>
      <c r="F67" s="101"/>
      <c r="G67" s="101"/>
      <c r="H67" s="101"/>
      <c r="I67" s="101"/>
      <c r="J67" s="101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</row>
    <row r="68" spans="1:22" x14ac:dyDescent="0.25"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</row>
    <row r="69" spans="1:22" x14ac:dyDescent="0.25"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spans="1:22" ht="15.75" thickBot="1" x14ac:dyDescent="0.3">
      <c r="A70" s="4" t="s">
        <v>107</v>
      </c>
    </row>
    <row r="71" spans="1:22" ht="16.5" thickTop="1" thickBot="1" x14ac:dyDescent="0.3">
      <c r="A71" s="33" t="s">
        <v>71</v>
      </c>
      <c r="B71" s="96">
        <f t="shared" ref="B71:V71" si="10">B2</f>
        <v>2015</v>
      </c>
      <c r="C71" s="96">
        <f t="shared" si="10"/>
        <v>2016</v>
      </c>
      <c r="D71" s="96">
        <f t="shared" si="10"/>
        <v>2017</v>
      </c>
      <c r="E71" s="96">
        <f t="shared" si="10"/>
        <v>2018</v>
      </c>
      <c r="F71" s="96">
        <f t="shared" si="10"/>
        <v>2019</v>
      </c>
      <c r="G71" s="96">
        <f t="shared" si="10"/>
        <v>2020</v>
      </c>
      <c r="H71" s="96">
        <f t="shared" si="10"/>
        <v>2021</v>
      </c>
      <c r="I71" s="96">
        <f t="shared" si="10"/>
        <v>2022</v>
      </c>
      <c r="J71" s="96">
        <f t="shared" si="10"/>
        <v>2023</v>
      </c>
      <c r="K71" s="96">
        <f t="shared" si="10"/>
        <v>2024</v>
      </c>
      <c r="L71" s="96">
        <f t="shared" si="10"/>
        <v>2025</v>
      </c>
      <c r="M71" s="96">
        <f t="shared" si="10"/>
        <v>2026</v>
      </c>
      <c r="N71" s="96">
        <f t="shared" si="10"/>
        <v>2027</v>
      </c>
      <c r="O71" s="96">
        <f t="shared" si="10"/>
        <v>2028</v>
      </c>
      <c r="P71" s="96">
        <f t="shared" si="10"/>
        <v>2029</v>
      </c>
      <c r="Q71" s="96">
        <f t="shared" si="10"/>
        <v>2030</v>
      </c>
      <c r="R71" s="96">
        <f t="shared" si="10"/>
        <v>2031</v>
      </c>
      <c r="S71" s="96">
        <f t="shared" si="10"/>
        <v>2032</v>
      </c>
      <c r="T71" s="96">
        <f t="shared" si="10"/>
        <v>2033</v>
      </c>
      <c r="U71" s="96">
        <f t="shared" si="10"/>
        <v>2034</v>
      </c>
      <c r="V71" s="96">
        <f t="shared" si="10"/>
        <v>2035</v>
      </c>
    </row>
    <row r="72" spans="1:22" ht="15.75" thickTop="1" x14ac:dyDescent="0.25">
      <c r="A72" s="5" t="s">
        <v>83</v>
      </c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</row>
    <row r="73" spans="1:22" x14ac:dyDescent="0.25">
      <c r="A73" s="5" t="s">
        <v>84</v>
      </c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</row>
    <row r="74" spans="1:22" x14ac:dyDescent="0.25">
      <c r="A74" s="5" t="s">
        <v>85</v>
      </c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</row>
    <row r="75" spans="1:22" x14ac:dyDescent="0.25">
      <c r="A75" s="5" t="s">
        <v>86</v>
      </c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</row>
    <row r="76" spans="1:22" x14ac:dyDescent="0.25">
      <c r="A76" s="5" t="s">
        <v>87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</row>
    <row r="77" spans="1:22" x14ac:dyDescent="0.25">
      <c r="A77" s="5" t="s">
        <v>88</v>
      </c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</row>
    <row r="78" spans="1:22" x14ac:dyDescent="0.25">
      <c r="A78" s="5" t="s">
        <v>89</v>
      </c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</row>
    <row r="79" spans="1:22" x14ac:dyDescent="0.25">
      <c r="A79" s="5" t="s">
        <v>90</v>
      </c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</row>
    <row r="80" spans="1:22" x14ac:dyDescent="0.25">
      <c r="A80" s="5" t="s">
        <v>91</v>
      </c>
      <c r="B80" s="97"/>
      <c r="C80" s="97"/>
      <c r="D80" s="97"/>
      <c r="E80" s="97"/>
      <c r="F80" s="97"/>
      <c r="G80" s="97"/>
      <c r="H80" s="97"/>
      <c r="I80" s="97"/>
      <c r="J80" s="97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</row>
    <row r="81" spans="1:24" x14ac:dyDescent="0.25">
      <c r="A81" s="5" t="s">
        <v>92</v>
      </c>
      <c r="B81" s="97"/>
      <c r="C81" s="97"/>
      <c r="D81" s="97"/>
      <c r="E81" s="97"/>
      <c r="F81" s="97"/>
      <c r="G81" s="97"/>
      <c r="H81" s="97"/>
      <c r="I81" s="97"/>
      <c r="J81" s="97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</row>
    <row r="82" spans="1:24" x14ac:dyDescent="0.25">
      <c r="A82" s="5" t="s">
        <v>93</v>
      </c>
      <c r="B82" s="97"/>
      <c r="C82" s="97"/>
      <c r="D82" s="97"/>
      <c r="E82" s="97"/>
      <c r="F82" s="97"/>
      <c r="G82" s="97"/>
      <c r="H82" s="97"/>
      <c r="I82" s="97"/>
      <c r="J82" s="97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</row>
    <row r="83" spans="1:24" x14ac:dyDescent="0.25">
      <c r="A83" s="5" t="s">
        <v>94</v>
      </c>
      <c r="B83" s="97"/>
      <c r="C83" s="97"/>
      <c r="D83" s="97"/>
      <c r="E83" s="97"/>
      <c r="F83" s="97"/>
      <c r="G83" s="97"/>
      <c r="H83" s="97"/>
      <c r="I83" s="97"/>
      <c r="J83" s="97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</row>
    <row r="84" spans="1:24" x14ac:dyDescent="0.25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</row>
    <row r="85" spans="1:24" x14ac:dyDescent="0.2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</row>
    <row r="86" spans="1:24" ht="15.75" thickBot="1" x14ac:dyDescent="0.3">
      <c r="A86" s="4" t="s">
        <v>108</v>
      </c>
      <c r="J86" s="107"/>
    </row>
    <row r="87" spans="1:24" ht="16.5" thickTop="1" thickBot="1" x14ac:dyDescent="0.3">
      <c r="A87" s="33" t="s">
        <v>71</v>
      </c>
      <c r="B87" s="96">
        <f t="shared" ref="B87:V87" si="11">B2</f>
        <v>2015</v>
      </c>
      <c r="C87" s="96">
        <f t="shared" si="11"/>
        <v>2016</v>
      </c>
      <c r="D87" s="96">
        <f t="shared" si="11"/>
        <v>2017</v>
      </c>
      <c r="E87" s="96">
        <f t="shared" si="11"/>
        <v>2018</v>
      </c>
      <c r="F87" s="96">
        <f t="shared" si="11"/>
        <v>2019</v>
      </c>
      <c r="G87" s="96">
        <f t="shared" si="11"/>
        <v>2020</v>
      </c>
      <c r="H87" s="96">
        <f t="shared" si="11"/>
        <v>2021</v>
      </c>
      <c r="I87" s="96">
        <f t="shared" si="11"/>
        <v>2022</v>
      </c>
      <c r="J87" s="96">
        <f t="shared" si="11"/>
        <v>2023</v>
      </c>
      <c r="K87" s="96">
        <f t="shared" si="11"/>
        <v>2024</v>
      </c>
      <c r="L87" s="96">
        <f t="shared" si="11"/>
        <v>2025</v>
      </c>
      <c r="M87" s="96">
        <f t="shared" si="11"/>
        <v>2026</v>
      </c>
      <c r="N87" s="96">
        <f t="shared" si="11"/>
        <v>2027</v>
      </c>
      <c r="O87" s="96">
        <f t="shared" si="11"/>
        <v>2028</v>
      </c>
      <c r="P87" s="96">
        <f t="shared" si="11"/>
        <v>2029</v>
      </c>
      <c r="Q87" s="96">
        <f t="shared" si="11"/>
        <v>2030</v>
      </c>
      <c r="R87" s="96">
        <f t="shared" si="11"/>
        <v>2031</v>
      </c>
      <c r="S87" s="96">
        <f t="shared" si="11"/>
        <v>2032</v>
      </c>
      <c r="T87" s="96">
        <f t="shared" si="11"/>
        <v>2033</v>
      </c>
      <c r="U87" s="96">
        <f t="shared" si="11"/>
        <v>2034</v>
      </c>
      <c r="V87" s="96">
        <f t="shared" si="11"/>
        <v>2035</v>
      </c>
    </row>
    <row r="88" spans="1:24" ht="15.75" thickTop="1" x14ac:dyDescent="0.25">
      <c r="A88" s="5" t="s">
        <v>83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</row>
    <row r="89" spans="1:24" x14ac:dyDescent="0.25">
      <c r="A89" s="5" t="s">
        <v>84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72"/>
      <c r="X89" s="72"/>
    </row>
    <row r="90" spans="1:24" x14ac:dyDescent="0.25">
      <c r="A90" s="5" t="s">
        <v>85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72"/>
      <c r="X90" s="72"/>
    </row>
    <row r="91" spans="1:24" x14ac:dyDescent="0.25">
      <c r="A91" s="5" t="s">
        <v>86</v>
      </c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72"/>
      <c r="X91" s="72"/>
    </row>
    <row r="92" spans="1:24" x14ac:dyDescent="0.25">
      <c r="A92" s="5" t="s">
        <v>87</v>
      </c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72"/>
      <c r="X92" s="72"/>
    </row>
    <row r="93" spans="1:24" x14ac:dyDescent="0.25">
      <c r="A93" s="5" t="s">
        <v>88</v>
      </c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72"/>
      <c r="X93" s="72"/>
    </row>
    <row r="94" spans="1:24" x14ac:dyDescent="0.25">
      <c r="A94" s="5" t="s">
        <v>89</v>
      </c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72"/>
      <c r="X94" s="72"/>
    </row>
    <row r="95" spans="1:24" x14ac:dyDescent="0.25">
      <c r="A95" s="5" t="s">
        <v>90</v>
      </c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72"/>
      <c r="X95" s="72"/>
    </row>
    <row r="96" spans="1:24" x14ac:dyDescent="0.25">
      <c r="A96" s="5" t="s">
        <v>91</v>
      </c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72"/>
      <c r="X96" s="72"/>
    </row>
    <row r="97" spans="1:24" x14ac:dyDescent="0.25">
      <c r="A97" s="5" t="s">
        <v>92</v>
      </c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72"/>
      <c r="X97" s="72"/>
    </row>
    <row r="98" spans="1:24" x14ac:dyDescent="0.25">
      <c r="A98" s="5" t="s">
        <v>93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72"/>
      <c r="X98" s="72"/>
    </row>
    <row r="99" spans="1:24" x14ac:dyDescent="0.25">
      <c r="A99" s="5" t="s">
        <v>94</v>
      </c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72"/>
      <c r="X99" s="72"/>
    </row>
    <row r="100" spans="1:24" x14ac:dyDescent="0.25">
      <c r="A100" s="5" t="s">
        <v>109</v>
      </c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72"/>
      <c r="X100" s="72"/>
    </row>
    <row r="101" spans="1:24" x14ac:dyDescent="0.25">
      <c r="A101" s="68"/>
      <c r="B101" s="108"/>
      <c r="C101" s="108"/>
      <c r="D101" s="108"/>
      <c r="E101" s="108"/>
      <c r="F101" s="108"/>
      <c r="G101" s="108"/>
      <c r="H101" s="108"/>
      <c r="I101" s="108"/>
      <c r="J101" s="10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72"/>
      <c r="X101" s="72"/>
    </row>
    <row r="102" spans="1:24" x14ac:dyDescent="0.2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</row>
  </sheetData>
  <printOptions verticalCentered="1"/>
  <pageMargins left="0.2" right="0.2" top="0.25" bottom="0.25" header="0" footer="0.1"/>
  <pageSetup scale="53" orientation="landscape" r:id="rId1"/>
  <headerFooter>
    <oddFooter>&amp;L&amp;"Arial,Regular"&amp;10&amp;D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4BAF-E5A8-4697-BC2F-636D180FC9DB}">
  <dimension ref="A1:AL95"/>
  <sheetViews>
    <sheetView workbookViewId="0">
      <pane xSplit="1" ySplit="2" topLeftCell="T74" activePane="bottomRight" state="frozen"/>
      <selection activeCell="B1" sqref="B1:D1048576"/>
      <selection pane="topRight" activeCell="B1" sqref="B1:D1048576"/>
      <selection pane="bottomLeft" activeCell="B1" sqref="B1:D1048576"/>
      <selection pane="bottomRight" activeCell="B1" sqref="B1:D1048576"/>
    </sheetView>
  </sheetViews>
  <sheetFormatPr defaultRowHeight="12.75" x14ac:dyDescent="0.2"/>
  <cols>
    <col min="1" max="1" width="34.28515625" style="112" customWidth="1"/>
    <col min="2" max="4" width="9.140625" style="112" customWidth="1"/>
    <col min="5" max="16384" width="9.140625" style="112"/>
  </cols>
  <sheetData>
    <row r="1" spans="1:38" ht="16.5" customHeight="1" thickBot="1" x14ac:dyDescent="0.25">
      <c r="A1" s="109" t="s">
        <v>110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1"/>
    </row>
    <row r="2" spans="1:38" ht="13.5" thickBot="1" x14ac:dyDescent="0.25">
      <c r="A2" s="113" t="s">
        <v>111</v>
      </c>
      <c r="B2" s="114">
        <v>2015</v>
      </c>
      <c r="C2" s="114">
        <v>2016</v>
      </c>
      <c r="D2" s="114">
        <v>2017</v>
      </c>
      <c r="E2" s="114">
        <v>2018</v>
      </c>
      <c r="F2" s="114">
        <v>2019</v>
      </c>
      <c r="G2" s="114">
        <v>2020</v>
      </c>
      <c r="H2" s="114">
        <v>2021</v>
      </c>
      <c r="I2" s="114">
        <v>2022</v>
      </c>
      <c r="J2" s="114">
        <v>2023</v>
      </c>
      <c r="K2" s="114">
        <v>2024</v>
      </c>
      <c r="L2" s="114">
        <f>[1]SAF!I$4</f>
        <v>2025</v>
      </c>
      <c r="M2" s="114">
        <f>[1]SAF!J$4</f>
        <v>2026</v>
      </c>
      <c r="N2" s="114">
        <f>[1]SAF!K$4</f>
        <v>2027</v>
      </c>
      <c r="O2" s="114">
        <f>[1]SAF!L$4</f>
        <v>2028</v>
      </c>
      <c r="P2" s="114">
        <f>[1]SAF!M$4</f>
        <v>2029</v>
      </c>
      <c r="Q2" s="114">
        <f>[1]SAF!N$4</f>
        <v>2030</v>
      </c>
      <c r="R2" s="114">
        <f>[1]SAF!O$4</f>
        <v>2031</v>
      </c>
      <c r="S2" s="114">
        <f>[1]SAF!P$4</f>
        <v>2032</v>
      </c>
      <c r="T2" s="114">
        <f>[1]SAF!Q$4</f>
        <v>2033</v>
      </c>
      <c r="U2" s="114">
        <f>[1]SAF!R$4</f>
        <v>2034</v>
      </c>
      <c r="V2" s="114">
        <f>[1]SAF!S$4</f>
        <v>2035</v>
      </c>
      <c r="W2" s="114">
        <f>[1]SAF!T$4</f>
        <v>2036</v>
      </c>
      <c r="X2" s="114">
        <f>[1]SAF!U$4</f>
        <v>2037</v>
      </c>
      <c r="Y2" s="114">
        <f>[1]SAF!V$4</f>
        <v>2038</v>
      </c>
      <c r="Z2" s="114">
        <f>[1]SAF!W$4</f>
        <v>2039</v>
      </c>
      <c r="AA2" s="114">
        <f>[1]SAF!X$4</f>
        <v>2040</v>
      </c>
      <c r="AB2" s="114">
        <f>[1]SAF!Y$4</f>
        <v>2041</v>
      </c>
      <c r="AC2" s="114">
        <f>[1]SAF!Z$4</f>
        <v>2042</v>
      </c>
      <c r="AD2" s="114">
        <f>[1]SAF!AA$4</f>
        <v>2043</v>
      </c>
      <c r="AE2" s="114">
        <f>[1]SAF!AB$4</f>
        <v>2044</v>
      </c>
      <c r="AF2" s="114">
        <f>[1]SAF!AC$4</f>
        <v>2045</v>
      </c>
      <c r="AG2" s="114">
        <f>[1]SAF!AD$4</f>
        <v>2046</v>
      </c>
      <c r="AH2" s="114">
        <f>[1]SAF!AE$4</f>
        <v>2047</v>
      </c>
      <c r="AI2" s="114">
        <f>[1]SAF!AF$4</f>
        <v>2048</v>
      </c>
      <c r="AJ2" s="114">
        <f>[1]SAF!AG$4</f>
        <v>2049</v>
      </c>
      <c r="AK2" s="114">
        <f>[1]SAF!AH$4</f>
        <v>2050</v>
      </c>
    </row>
    <row r="3" spans="1:38" s="119" customFormat="1" x14ac:dyDescent="0.2">
      <c r="A3" s="115" t="s">
        <v>72</v>
      </c>
      <c r="B3" s="116">
        <v>0</v>
      </c>
      <c r="C3" s="116">
        <f>B10</f>
        <v>0</v>
      </c>
      <c r="D3" s="116">
        <f t="shared" ref="D3:AK3" si="0">C10</f>
        <v>0</v>
      </c>
      <c r="E3" s="116">
        <f t="shared" si="0"/>
        <v>0</v>
      </c>
      <c r="F3" s="116">
        <f t="shared" si="0"/>
        <v>0</v>
      </c>
      <c r="G3" s="116">
        <f t="shared" si="0"/>
        <v>0</v>
      </c>
      <c r="H3" s="116">
        <f t="shared" si="0"/>
        <v>0</v>
      </c>
      <c r="I3" s="116">
        <f t="shared" si="0"/>
        <v>0</v>
      </c>
      <c r="J3" s="116">
        <f t="shared" si="0"/>
        <v>0</v>
      </c>
      <c r="K3" s="116">
        <f t="shared" si="0"/>
        <v>0</v>
      </c>
      <c r="L3" s="117">
        <f t="shared" si="0"/>
        <v>0</v>
      </c>
      <c r="M3" s="118">
        <f t="shared" si="0"/>
        <v>5</v>
      </c>
      <c r="N3" s="118">
        <f t="shared" si="0"/>
        <v>7.5</v>
      </c>
      <c r="O3" s="118">
        <f t="shared" si="0"/>
        <v>12</v>
      </c>
      <c r="P3" s="118">
        <f t="shared" si="0"/>
        <v>15</v>
      </c>
      <c r="Q3" s="118">
        <f t="shared" si="0"/>
        <v>15</v>
      </c>
      <c r="R3" s="118">
        <f t="shared" si="0"/>
        <v>15</v>
      </c>
      <c r="S3" s="118">
        <f t="shared" si="0"/>
        <v>15</v>
      </c>
      <c r="T3" s="118">
        <f t="shared" si="0"/>
        <v>15</v>
      </c>
      <c r="U3" s="118">
        <f t="shared" si="0"/>
        <v>15</v>
      </c>
      <c r="V3" s="118">
        <f t="shared" si="0"/>
        <v>15</v>
      </c>
      <c r="W3" s="118">
        <f t="shared" si="0"/>
        <v>15</v>
      </c>
      <c r="X3" s="118">
        <f t="shared" si="0"/>
        <v>15</v>
      </c>
      <c r="Y3" s="118">
        <f t="shared" si="0"/>
        <v>15</v>
      </c>
      <c r="Z3" s="118">
        <f t="shared" si="0"/>
        <v>15</v>
      </c>
      <c r="AA3" s="118">
        <f t="shared" si="0"/>
        <v>15</v>
      </c>
      <c r="AB3" s="118">
        <f t="shared" si="0"/>
        <v>15</v>
      </c>
      <c r="AC3" s="118">
        <f t="shared" si="0"/>
        <v>15</v>
      </c>
      <c r="AD3" s="118">
        <f t="shared" si="0"/>
        <v>15</v>
      </c>
      <c r="AE3" s="118">
        <f t="shared" si="0"/>
        <v>15</v>
      </c>
      <c r="AF3" s="118">
        <f t="shared" si="0"/>
        <v>15</v>
      </c>
      <c r="AG3" s="118">
        <f t="shared" si="0"/>
        <v>15</v>
      </c>
      <c r="AH3" s="118">
        <f t="shared" si="0"/>
        <v>15</v>
      </c>
      <c r="AI3" s="118">
        <f t="shared" si="0"/>
        <v>15</v>
      </c>
      <c r="AJ3" s="118">
        <f t="shared" si="0"/>
        <v>15</v>
      </c>
      <c r="AK3" s="118">
        <f t="shared" si="0"/>
        <v>15</v>
      </c>
    </row>
    <row r="4" spans="1:38" s="119" customFormat="1" x14ac:dyDescent="0.2">
      <c r="A4" s="120" t="s">
        <v>112</v>
      </c>
      <c r="B4" s="121">
        <v>0</v>
      </c>
      <c r="C4" s="121">
        <v>0</v>
      </c>
      <c r="D4" s="121">
        <v>0</v>
      </c>
      <c r="E4" s="121">
        <v>0</v>
      </c>
      <c r="F4" s="121">
        <v>0</v>
      </c>
      <c r="G4" s="121">
        <v>0</v>
      </c>
      <c r="H4" s="121">
        <v>0</v>
      </c>
      <c r="I4" s="121">
        <v>0</v>
      </c>
      <c r="J4" s="121">
        <v>0</v>
      </c>
      <c r="K4" s="121">
        <v>0</v>
      </c>
      <c r="L4" s="122">
        <f>MROUND(L12*0.35,10)</f>
        <v>40</v>
      </c>
      <c r="M4" s="122">
        <f>MROUND(M12*0.55,10)</f>
        <v>90</v>
      </c>
      <c r="N4" s="122">
        <f>MROUND(N12*0.65,10)</f>
        <v>170</v>
      </c>
      <c r="O4" s="122">
        <f t="shared" ref="O4:AK4" si="1">MROUND(O12*0.65,10)</f>
        <v>210</v>
      </c>
      <c r="P4" s="122">
        <f t="shared" si="1"/>
        <v>230</v>
      </c>
      <c r="Q4" s="122">
        <f t="shared" si="1"/>
        <v>260</v>
      </c>
      <c r="R4" s="122">
        <f t="shared" si="1"/>
        <v>260</v>
      </c>
      <c r="S4" s="122">
        <f t="shared" si="1"/>
        <v>260</v>
      </c>
      <c r="T4" s="122">
        <f t="shared" si="1"/>
        <v>260</v>
      </c>
      <c r="U4" s="122">
        <f t="shared" si="1"/>
        <v>260</v>
      </c>
      <c r="V4" s="122">
        <f t="shared" si="1"/>
        <v>260</v>
      </c>
      <c r="W4" s="122">
        <f t="shared" si="1"/>
        <v>260</v>
      </c>
      <c r="X4" s="122">
        <f t="shared" si="1"/>
        <v>260</v>
      </c>
      <c r="Y4" s="122">
        <f t="shared" si="1"/>
        <v>260</v>
      </c>
      <c r="Z4" s="122">
        <f t="shared" si="1"/>
        <v>260</v>
      </c>
      <c r="AA4" s="122">
        <f t="shared" si="1"/>
        <v>260</v>
      </c>
      <c r="AB4" s="122">
        <f t="shared" si="1"/>
        <v>260</v>
      </c>
      <c r="AC4" s="122">
        <f t="shared" si="1"/>
        <v>260</v>
      </c>
      <c r="AD4" s="122">
        <f t="shared" si="1"/>
        <v>260</v>
      </c>
      <c r="AE4" s="122">
        <f t="shared" si="1"/>
        <v>260</v>
      </c>
      <c r="AF4" s="122">
        <f t="shared" si="1"/>
        <v>260</v>
      </c>
      <c r="AG4" s="122">
        <f t="shared" si="1"/>
        <v>260</v>
      </c>
      <c r="AH4" s="122">
        <f t="shared" si="1"/>
        <v>260</v>
      </c>
      <c r="AI4" s="122">
        <f t="shared" si="1"/>
        <v>260</v>
      </c>
      <c r="AJ4" s="122">
        <f t="shared" si="1"/>
        <v>260</v>
      </c>
      <c r="AK4" s="122">
        <f t="shared" si="1"/>
        <v>260</v>
      </c>
    </row>
    <row r="5" spans="1:38" x14ac:dyDescent="0.2">
      <c r="A5" s="123" t="s">
        <v>113</v>
      </c>
      <c r="B5" s="124">
        <f t="shared" ref="B5:K5" si="2">B47</f>
        <v>0</v>
      </c>
      <c r="C5" s="124">
        <f t="shared" si="2"/>
        <v>0</v>
      </c>
      <c r="D5" s="124">
        <f t="shared" si="2"/>
        <v>0</v>
      </c>
      <c r="E5" s="124">
        <f t="shared" si="2"/>
        <v>0</v>
      </c>
      <c r="F5" s="124">
        <f t="shared" si="2"/>
        <v>0</v>
      </c>
      <c r="G5" s="124">
        <f t="shared" si="2"/>
        <v>0</v>
      </c>
      <c r="H5" s="124">
        <f t="shared" si="2"/>
        <v>0</v>
      </c>
      <c r="I5" s="124">
        <f t="shared" si="2"/>
        <v>0</v>
      </c>
      <c r="J5" s="124">
        <f t="shared" si="2"/>
        <v>0</v>
      </c>
      <c r="K5" s="124">
        <f t="shared" si="2"/>
        <v>0</v>
      </c>
      <c r="L5" s="125">
        <f>L47</f>
        <v>17.198771605365824</v>
      </c>
      <c r="M5" s="125">
        <f t="shared" ref="M5:AK5" si="3">M47</f>
        <v>8.9823455055387331</v>
      </c>
      <c r="N5" s="125">
        <f t="shared" si="3"/>
        <v>8.5622560881407423</v>
      </c>
      <c r="O5" s="125">
        <f t="shared" si="3"/>
        <v>10.520494459951379</v>
      </c>
      <c r="P5" s="125">
        <f t="shared" si="3"/>
        <v>10.283989243069328</v>
      </c>
      <c r="Q5" s="125">
        <f t="shared" si="3"/>
        <v>11.590539293150943</v>
      </c>
      <c r="R5" s="125">
        <f t="shared" si="3"/>
        <v>8.9726782692155744</v>
      </c>
      <c r="S5" s="125">
        <f t="shared" si="3"/>
        <v>6.3841544971682218</v>
      </c>
      <c r="T5" s="125">
        <f t="shared" si="3"/>
        <v>6.3872068943308475</v>
      </c>
      <c r="U5" s="125">
        <f t="shared" si="3"/>
        <v>6.3947445121995869</v>
      </c>
      <c r="V5" s="125">
        <f t="shared" si="3"/>
        <v>6.4164469982939183</v>
      </c>
      <c r="W5" s="125">
        <f t="shared" si="3"/>
        <v>7.7216234619098252</v>
      </c>
      <c r="X5" s="125">
        <f t="shared" si="3"/>
        <v>7.0555677737886029</v>
      </c>
      <c r="Y5" s="125">
        <f t="shared" si="3"/>
        <v>6.3277061517548745</v>
      </c>
      <c r="Z5" s="125">
        <f t="shared" si="3"/>
        <v>5.6751288637720254</v>
      </c>
      <c r="AA5" s="125">
        <f t="shared" si="3"/>
        <v>5.2574375628353822</v>
      </c>
      <c r="AB5" s="125">
        <f t="shared" si="3"/>
        <v>5.2423001512797089</v>
      </c>
      <c r="AC5" s="125">
        <f t="shared" si="3"/>
        <v>5.3312093939149632</v>
      </c>
      <c r="AD5" s="125">
        <f t="shared" si="3"/>
        <v>6.3337603545132355</v>
      </c>
      <c r="AE5" s="125">
        <f t="shared" si="3"/>
        <v>6.4319042653854837</v>
      </c>
      <c r="AF5" s="125">
        <f t="shared" si="3"/>
        <v>6.4113268830231371</v>
      </c>
      <c r="AG5" s="125">
        <f t="shared" si="3"/>
        <v>6.2254436446638728</v>
      </c>
      <c r="AH5" s="125">
        <f t="shared" si="3"/>
        <v>6.1506668101943482</v>
      </c>
      <c r="AI5" s="125">
        <f t="shared" si="3"/>
        <v>6.2669754396766661</v>
      </c>
      <c r="AJ5" s="125">
        <f t="shared" si="3"/>
        <v>6.4013068200071412</v>
      </c>
      <c r="AK5" s="125">
        <f t="shared" si="3"/>
        <v>6.595888423876624</v>
      </c>
    </row>
    <row r="6" spans="1:38" x14ac:dyDescent="0.2">
      <c r="A6" s="126" t="s">
        <v>114</v>
      </c>
      <c r="B6" s="127">
        <f t="shared" ref="B6:AK6" si="4">B5+B4+B3</f>
        <v>0</v>
      </c>
      <c r="C6" s="127">
        <f t="shared" si="4"/>
        <v>0</v>
      </c>
      <c r="D6" s="127">
        <f t="shared" si="4"/>
        <v>0</v>
      </c>
      <c r="E6" s="127">
        <f t="shared" si="4"/>
        <v>0</v>
      </c>
      <c r="F6" s="127">
        <f t="shared" si="4"/>
        <v>0</v>
      </c>
      <c r="G6" s="127">
        <f t="shared" si="4"/>
        <v>0</v>
      </c>
      <c r="H6" s="127">
        <f t="shared" si="4"/>
        <v>0</v>
      </c>
      <c r="I6" s="127">
        <f t="shared" si="4"/>
        <v>0</v>
      </c>
      <c r="J6" s="127">
        <f t="shared" si="4"/>
        <v>0</v>
      </c>
      <c r="K6" s="127">
        <f t="shared" si="4"/>
        <v>0</v>
      </c>
      <c r="L6" s="128">
        <f t="shared" si="4"/>
        <v>57.19877160536582</v>
      </c>
      <c r="M6" s="128">
        <f t="shared" si="4"/>
        <v>103.98234550553873</v>
      </c>
      <c r="N6" s="128">
        <f t="shared" si="4"/>
        <v>186.06225608814074</v>
      </c>
      <c r="O6" s="128">
        <f t="shared" si="4"/>
        <v>232.52049445995138</v>
      </c>
      <c r="P6" s="128">
        <f t="shared" si="4"/>
        <v>255.28398924306933</v>
      </c>
      <c r="Q6" s="128">
        <f t="shared" si="4"/>
        <v>286.59053929315093</v>
      </c>
      <c r="R6" s="128">
        <f t="shared" si="4"/>
        <v>283.97267826921558</v>
      </c>
      <c r="S6" s="128">
        <f t="shared" si="4"/>
        <v>281.3841544971682</v>
      </c>
      <c r="T6" s="128">
        <f t="shared" si="4"/>
        <v>281.38720689433086</v>
      </c>
      <c r="U6" s="128">
        <f t="shared" si="4"/>
        <v>281.39474451219957</v>
      </c>
      <c r="V6" s="128">
        <f t="shared" si="4"/>
        <v>281.41644699829391</v>
      </c>
      <c r="W6" s="128">
        <f t="shared" si="4"/>
        <v>282.72162346190981</v>
      </c>
      <c r="X6" s="128">
        <f t="shared" si="4"/>
        <v>282.0555677737886</v>
      </c>
      <c r="Y6" s="128">
        <f t="shared" si="4"/>
        <v>281.32770615175485</v>
      </c>
      <c r="Z6" s="128">
        <f t="shared" si="4"/>
        <v>280.67512886377204</v>
      </c>
      <c r="AA6" s="128">
        <f t="shared" si="4"/>
        <v>280.25743756283538</v>
      </c>
      <c r="AB6" s="128">
        <f t="shared" si="4"/>
        <v>280.24230015127972</v>
      </c>
      <c r="AC6" s="128">
        <f t="shared" si="4"/>
        <v>280.33120939391495</v>
      </c>
      <c r="AD6" s="128">
        <f t="shared" si="4"/>
        <v>281.33376035451323</v>
      </c>
      <c r="AE6" s="128">
        <f t="shared" si="4"/>
        <v>281.43190426538547</v>
      </c>
      <c r="AF6" s="128">
        <f t="shared" si="4"/>
        <v>281.41132688302315</v>
      </c>
      <c r="AG6" s="128">
        <f t="shared" si="4"/>
        <v>281.22544364466387</v>
      </c>
      <c r="AH6" s="128">
        <f t="shared" si="4"/>
        <v>281.15066681019437</v>
      </c>
      <c r="AI6" s="128">
        <f t="shared" si="4"/>
        <v>281.26697543967668</v>
      </c>
      <c r="AJ6" s="128">
        <f t="shared" si="4"/>
        <v>281.40130682000716</v>
      </c>
      <c r="AK6" s="128">
        <f t="shared" si="4"/>
        <v>281.5958884238766</v>
      </c>
    </row>
    <row r="7" spans="1:38" s="119" customFormat="1" x14ac:dyDescent="0.2">
      <c r="A7" s="120" t="s">
        <v>115</v>
      </c>
      <c r="B7" s="121">
        <v>0</v>
      </c>
      <c r="C7" s="121">
        <v>0</v>
      </c>
      <c r="D7" s="121">
        <v>0</v>
      </c>
      <c r="E7" s="121">
        <v>0</v>
      </c>
      <c r="F7" s="121">
        <v>0</v>
      </c>
      <c r="G7" s="121">
        <v>0</v>
      </c>
      <c r="H7" s="121">
        <v>0</v>
      </c>
      <c r="I7" s="121">
        <v>0</v>
      </c>
      <c r="J7" s="121">
        <v>0</v>
      </c>
      <c r="K7" s="121">
        <v>0</v>
      </c>
      <c r="L7" s="122">
        <f>L9-L8</f>
        <v>52.19877160536582</v>
      </c>
      <c r="M7" s="122">
        <f t="shared" ref="M7:AK7" si="5">M9-M8</f>
        <v>81.482345505538731</v>
      </c>
      <c r="N7" s="122">
        <f t="shared" si="5"/>
        <v>99.062256088140742</v>
      </c>
      <c r="O7" s="122">
        <f t="shared" si="5"/>
        <v>92.520494459951379</v>
      </c>
      <c r="P7" s="122">
        <f t="shared" si="5"/>
        <v>90.283989243069328</v>
      </c>
      <c r="Q7" s="122">
        <f t="shared" si="5"/>
        <v>121.59053929315093</v>
      </c>
      <c r="R7" s="122">
        <f t="shared" si="5"/>
        <v>118.97267826921558</v>
      </c>
      <c r="S7" s="122">
        <f t="shared" si="5"/>
        <v>116.3841544971682</v>
      </c>
      <c r="T7" s="122">
        <f t="shared" si="5"/>
        <v>116.38720689433086</v>
      </c>
      <c r="U7" s="122">
        <f t="shared" si="5"/>
        <v>116.39474451219957</v>
      </c>
      <c r="V7" s="122">
        <f t="shared" si="5"/>
        <v>116.41644699829391</v>
      </c>
      <c r="W7" s="122">
        <f t="shared" si="5"/>
        <v>117.72162346190981</v>
      </c>
      <c r="X7" s="122">
        <f t="shared" si="5"/>
        <v>117.0555677737886</v>
      </c>
      <c r="Y7" s="122">
        <f t="shared" si="5"/>
        <v>116.32770615175485</v>
      </c>
      <c r="Z7" s="122">
        <f t="shared" si="5"/>
        <v>115.67512886377204</v>
      </c>
      <c r="AA7" s="122">
        <f t="shared" si="5"/>
        <v>115.25743756283538</v>
      </c>
      <c r="AB7" s="122">
        <f t="shared" si="5"/>
        <v>115.24230015127972</v>
      </c>
      <c r="AC7" s="122">
        <f t="shared" si="5"/>
        <v>115.33120939391495</v>
      </c>
      <c r="AD7" s="122">
        <f t="shared" si="5"/>
        <v>116.33376035451323</v>
      </c>
      <c r="AE7" s="122">
        <f t="shared" si="5"/>
        <v>116.43190426538547</v>
      </c>
      <c r="AF7" s="122">
        <f t="shared" si="5"/>
        <v>116.41132688302315</v>
      </c>
      <c r="AG7" s="122">
        <f t="shared" si="5"/>
        <v>116.22544364466387</v>
      </c>
      <c r="AH7" s="122">
        <f t="shared" si="5"/>
        <v>116.15066681019437</v>
      </c>
      <c r="AI7" s="122">
        <f t="shared" si="5"/>
        <v>116.26697543967668</v>
      </c>
      <c r="AJ7" s="122">
        <f t="shared" si="5"/>
        <v>116.40130682000716</v>
      </c>
      <c r="AK7" s="122">
        <f t="shared" si="5"/>
        <v>116.5958884238766</v>
      </c>
    </row>
    <row r="8" spans="1:38" s="119" customFormat="1" x14ac:dyDescent="0.2">
      <c r="A8" s="120" t="s">
        <v>77</v>
      </c>
      <c r="B8" s="121">
        <v>0</v>
      </c>
      <c r="C8" s="121">
        <v>0</v>
      </c>
      <c r="D8" s="121">
        <v>0</v>
      </c>
      <c r="E8" s="121">
        <v>0</v>
      </c>
      <c r="F8" s="121">
        <v>0</v>
      </c>
      <c r="G8" s="121">
        <v>0</v>
      </c>
      <c r="H8" s="121">
        <v>0</v>
      </c>
      <c r="I8" s="121">
        <v>0</v>
      </c>
      <c r="J8" s="121">
        <v>0</v>
      </c>
      <c r="K8" s="121">
        <v>0</v>
      </c>
      <c r="L8" s="122">
        <v>0</v>
      </c>
      <c r="M8" s="122">
        <v>15</v>
      </c>
      <c r="N8" s="122">
        <v>75</v>
      </c>
      <c r="O8" s="122">
        <v>125</v>
      </c>
      <c r="P8" s="122">
        <v>150</v>
      </c>
      <c r="Q8" s="122">
        <v>150</v>
      </c>
      <c r="R8" s="122">
        <v>150</v>
      </c>
      <c r="S8" s="122">
        <v>150</v>
      </c>
      <c r="T8" s="122">
        <v>150</v>
      </c>
      <c r="U8" s="122">
        <v>150</v>
      </c>
      <c r="V8" s="122">
        <v>150</v>
      </c>
      <c r="W8" s="122">
        <v>150</v>
      </c>
      <c r="X8" s="122">
        <v>150</v>
      </c>
      <c r="Y8" s="122">
        <v>150</v>
      </c>
      <c r="Z8" s="122">
        <v>150</v>
      </c>
      <c r="AA8" s="122">
        <v>150</v>
      </c>
      <c r="AB8" s="122">
        <v>150</v>
      </c>
      <c r="AC8" s="122">
        <v>150</v>
      </c>
      <c r="AD8" s="122">
        <v>150</v>
      </c>
      <c r="AE8" s="122">
        <v>150</v>
      </c>
      <c r="AF8" s="122">
        <v>150</v>
      </c>
      <c r="AG8" s="122">
        <v>150</v>
      </c>
      <c r="AH8" s="122">
        <v>150</v>
      </c>
      <c r="AI8" s="122">
        <v>150</v>
      </c>
      <c r="AJ8" s="122">
        <v>150</v>
      </c>
      <c r="AK8" s="122">
        <v>150</v>
      </c>
    </row>
    <row r="9" spans="1:38" x14ac:dyDescent="0.2">
      <c r="A9" s="123" t="s">
        <v>116</v>
      </c>
      <c r="B9" s="129">
        <f>B8+B7</f>
        <v>0</v>
      </c>
      <c r="C9" s="129">
        <f t="shared" ref="C9:K9" si="6">C8+C7</f>
        <v>0</v>
      </c>
      <c r="D9" s="129">
        <f t="shared" si="6"/>
        <v>0</v>
      </c>
      <c r="E9" s="129">
        <f t="shared" si="6"/>
        <v>0</v>
      </c>
      <c r="F9" s="129">
        <f t="shared" si="6"/>
        <v>0</v>
      </c>
      <c r="G9" s="129">
        <f t="shared" si="6"/>
        <v>0</v>
      </c>
      <c r="H9" s="129">
        <f t="shared" si="6"/>
        <v>0</v>
      </c>
      <c r="I9" s="129">
        <f t="shared" si="6"/>
        <v>0</v>
      </c>
      <c r="J9" s="129">
        <f t="shared" si="6"/>
        <v>0</v>
      </c>
      <c r="K9" s="129">
        <f t="shared" si="6"/>
        <v>0</v>
      </c>
      <c r="L9" s="125">
        <f>L6-L10</f>
        <v>52.19877160536582</v>
      </c>
      <c r="M9" s="125">
        <f t="shared" ref="M9:AK9" si="7">M6-M10</f>
        <v>96.482345505538731</v>
      </c>
      <c r="N9" s="125">
        <f t="shared" si="7"/>
        <v>174.06225608814074</v>
      </c>
      <c r="O9" s="125">
        <f t="shared" si="7"/>
        <v>217.52049445995138</v>
      </c>
      <c r="P9" s="125">
        <f t="shared" si="7"/>
        <v>240.28398924306933</v>
      </c>
      <c r="Q9" s="125">
        <f t="shared" si="7"/>
        <v>271.59053929315093</v>
      </c>
      <c r="R9" s="125">
        <f t="shared" si="7"/>
        <v>268.97267826921558</v>
      </c>
      <c r="S9" s="125">
        <f t="shared" si="7"/>
        <v>266.3841544971682</v>
      </c>
      <c r="T9" s="125">
        <f t="shared" si="7"/>
        <v>266.38720689433086</v>
      </c>
      <c r="U9" s="125">
        <f t="shared" si="7"/>
        <v>266.39474451219957</v>
      </c>
      <c r="V9" s="125">
        <f t="shared" si="7"/>
        <v>266.41644699829391</v>
      </c>
      <c r="W9" s="125">
        <f t="shared" si="7"/>
        <v>267.72162346190981</v>
      </c>
      <c r="X9" s="125">
        <f t="shared" si="7"/>
        <v>267.0555677737886</v>
      </c>
      <c r="Y9" s="125">
        <f t="shared" si="7"/>
        <v>266.32770615175485</v>
      </c>
      <c r="Z9" s="125">
        <f t="shared" si="7"/>
        <v>265.67512886377204</v>
      </c>
      <c r="AA9" s="125">
        <f t="shared" si="7"/>
        <v>265.25743756283538</v>
      </c>
      <c r="AB9" s="125">
        <f t="shared" si="7"/>
        <v>265.24230015127972</v>
      </c>
      <c r="AC9" s="125">
        <f t="shared" si="7"/>
        <v>265.33120939391495</v>
      </c>
      <c r="AD9" s="125">
        <f t="shared" si="7"/>
        <v>266.33376035451323</v>
      </c>
      <c r="AE9" s="125">
        <f t="shared" si="7"/>
        <v>266.43190426538547</v>
      </c>
      <c r="AF9" s="125">
        <f t="shared" si="7"/>
        <v>266.41132688302315</v>
      </c>
      <c r="AG9" s="125">
        <f t="shared" si="7"/>
        <v>266.22544364466387</v>
      </c>
      <c r="AH9" s="125">
        <f t="shared" si="7"/>
        <v>266.15066681019437</v>
      </c>
      <c r="AI9" s="125">
        <f t="shared" si="7"/>
        <v>266.26697543967668</v>
      </c>
      <c r="AJ9" s="125">
        <f t="shared" si="7"/>
        <v>266.40130682000716</v>
      </c>
      <c r="AK9" s="125">
        <f t="shared" si="7"/>
        <v>266.5958884238766</v>
      </c>
    </row>
    <row r="10" spans="1:38" x14ac:dyDescent="0.2">
      <c r="A10" s="130" t="s">
        <v>102</v>
      </c>
      <c r="B10" s="127">
        <f>B6-B9</f>
        <v>0</v>
      </c>
      <c r="C10" s="127">
        <f t="shared" ref="C10:K10" si="8">C6-C9</f>
        <v>0</v>
      </c>
      <c r="D10" s="127">
        <f t="shared" si="8"/>
        <v>0</v>
      </c>
      <c r="E10" s="127">
        <f t="shared" si="8"/>
        <v>0</v>
      </c>
      <c r="F10" s="127">
        <f t="shared" si="8"/>
        <v>0</v>
      </c>
      <c r="G10" s="127">
        <f t="shared" si="8"/>
        <v>0</v>
      </c>
      <c r="H10" s="127">
        <f t="shared" si="8"/>
        <v>0</v>
      </c>
      <c r="I10" s="127">
        <f t="shared" si="8"/>
        <v>0</v>
      </c>
      <c r="J10" s="127">
        <f t="shared" si="8"/>
        <v>0</v>
      </c>
      <c r="K10" s="127">
        <f t="shared" si="8"/>
        <v>0</v>
      </c>
      <c r="L10" s="128">
        <v>5</v>
      </c>
      <c r="M10" s="128">
        <v>7.5</v>
      </c>
      <c r="N10" s="128">
        <v>12</v>
      </c>
      <c r="O10" s="128">
        <v>15</v>
      </c>
      <c r="P10" s="128">
        <v>15</v>
      </c>
      <c r="Q10" s="128">
        <v>15</v>
      </c>
      <c r="R10" s="128">
        <v>15</v>
      </c>
      <c r="S10" s="128">
        <v>15</v>
      </c>
      <c r="T10" s="128">
        <v>15</v>
      </c>
      <c r="U10" s="128">
        <v>15</v>
      </c>
      <c r="V10" s="128">
        <v>15</v>
      </c>
      <c r="W10" s="128">
        <v>15</v>
      </c>
      <c r="X10" s="128">
        <v>15</v>
      </c>
      <c r="Y10" s="128">
        <v>15</v>
      </c>
      <c r="Z10" s="128">
        <v>15</v>
      </c>
      <c r="AA10" s="128">
        <v>15</v>
      </c>
      <c r="AB10" s="128">
        <v>15</v>
      </c>
      <c r="AC10" s="128">
        <v>15</v>
      </c>
      <c r="AD10" s="128">
        <v>15</v>
      </c>
      <c r="AE10" s="128">
        <v>15</v>
      </c>
      <c r="AF10" s="128">
        <v>15</v>
      </c>
      <c r="AG10" s="128">
        <v>15</v>
      </c>
      <c r="AH10" s="128">
        <v>15</v>
      </c>
      <c r="AI10" s="128">
        <v>15</v>
      </c>
      <c r="AJ10" s="128">
        <v>15</v>
      </c>
      <c r="AK10" s="128">
        <v>15</v>
      </c>
    </row>
    <row r="11" spans="1:38" s="119" customFormat="1" x14ac:dyDescent="0.2">
      <c r="A11" s="120" t="s">
        <v>117</v>
      </c>
      <c r="B11" s="131"/>
      <c r="C11" s="131"/>
      <c r="D11" s="131"/>
      <c r="E11" s="131"/>
      <c r="F11" s="132"/>
      <c r="G11" s="132"/>
      <c r="H11" s="132"/>
      <c r="I11" s="132"/>
      <c r="J11" s="132"/>
      <c r="K11" s="132"/>
      <c r="L11" s="133">
        <f>L10/(L9/365)</f>
        <v>34.962508577738205</v>
      </c>
      <c r="M11" s="133">
        <f t="shared" ref="M11:AB11" si="9">M10/(M9/365)</f>
        <v>28.37306644709264</v>
      </c>
      <c r="N11" s="133">
        <f t="shared" si="9"/>
        <v>25.163410485625775</v>
      </c>
      <c r="O11" s="133">
        <f t="shared" si="9"/>
        <v>25.17004208542761</v>
      </c>
      <c r="P11" s="133">
        <f t="shared" si="9"/>
        <v>22.785538134467771</v>
      </c>
      <c r="Q11" s="133">
        <f t="shared" si="9"/>
        <v>20.159023264394214</v>
      </c>
      <c r="R11" s="133">
        <f t="shared" si="9"/>
        <v>20.355227286393959</v>
      </c>
      <c r="S11" s="133">
        <f t="shared" si="9"/>
        <v>20.553024298065754</v>
      </c>
      <c r="T11" s="133">
        <f t="shared" si="9"/>
        <v>20.552788791286797</v>
      </c>
      <c r="U11" s="133">
        <f t="shared" si="9"/>
        <v>20.552207251781098</v>
      </c>
      <c r="V11" s="133">
        <f t="shared" si="9"/>
        <v>20.550533053370614</v>
      </c>
      <c r="W11" s="133">
        <f t="shared" si="9"/>
        <v>20.450346629468118</v>
      </c>
      <c r="X11" s="133">
        <f t="shared" si="9"/>
        <v>20.501351256745334</v>
      </c>
      <c r="Y11" s="133">
        <f t="shared" si="9"/>
        <v>20.557380526081346</v>
      </c>
      <c r="Z11" s="133">
        <f t="shared" si="9"/>
        <v>20.607875578776397</v>
      </c>
      <c r="AA11" s="133">
        <f t="shared" si="9"/>
        <v>20.640326055713548</v>
      </c>
      <c r="AB11" s="133">
        <f t="shared" si="9"/>
        <v>20.64150400172732</v>
      </c>
      <c r="AC11" s="133">
        <f>AC10/(AC9/365)</f>
        <v>20.634587286231103</v>
      </c>
      <c r="AD11" s="133">
        <f t="shared" ref="AD11:AK11" si="10">AD10/(AD9/365)</f>
        <v>20.556913223138899</v>
      </c>
      <c r="AE11" s="133">
        <f t="shared" si="10"/>
        <v>20.54934079721362</v>
      </c>
      <c r="AF11" s="133">
        <f t="shared" si="10"/>
        <v>20.55092801066969</v>
      </c>
      <c r="AG11" s="133">
        <f t="shared" si="10"/>
        <v>20.565277026291994</v>
      </c>
      <c r="AH11" s="133">
        <f t="shared" si="10"/>
        <v>20.571054980314976</v>
      </c>
      <c r="AI11" s="133">
        <f t="shared" si="10"/>
        <v>20.562069295147616</v>
      </c>
      <c r="AJ11" s="133">
        <f t="shared" si="10"/>
        <v>20.551700985833222</v>
      </c>
      <c r="AK11" s="133">
        <f t="shared" si="10"/>
        <v>20.536700818487393</v>
      </c>
    </row>
    <row r="12" spans="1:38" x14ac:dyDescent="0.2">
      <c r="A12" s="123" t="s">
        <v>118</v>
      </c>
      <c r="B12" s="134">
        <v>0</v>
      </c>
      <c r="C12" s="134">
        <v>0</v>
      </c>
      <c r="D12" s="134">
        <v>0</v>
      </c>
      <c r="E12" s="134">
        <v>0</v>
      </c>
      <c r="F12" s="134">
        <v>0</v>
      </c>
      <c r="G12" s="134">
        <v>0</v>
      </c>
      <c r="H12" s="134">
        <v>0</v>
      </c>
      <c r="I12" s="134">
        <v>0</v>
      </c>
      <c r="J12" s="134">
        <v>0</v>
      </c>
      <c r="K12" s="134">
        <v>0</v>
      </c>
      <c r="L12" s="135">
        <f>'[2]SAm Capacity Data'!G$13</f>
        <v>117.60000000000001</v>
      </c>
      <c r="M12" s="135">
        <f>'[2]SAm Capacity Data'!H$13</f>
        <v>167.10000000000002</v>
      </c>
      <c r="N12" s="135">
        <f>'[2]SAm Capacity Data'!I$13</f>
        <v>258.60000000000002</v>
      </c>
      <c r="O12" s="135">
        <f>'[2]SAm Capacity Data'!J$13</f>
        <v>326.05200000000002</v>
      </c>
      <c r="P12" s="135">
        <f>'[2]SAm Capacity Data'!K$13</f>
        <v>351.077</v>
      </c>
      <c r="Q12" s="135">
        <f>'[2]SAm Capacity Data'!L$13</f>
        <v>397.41149999999999</v>
      </c>
      <c r="R12" s="135">
        <f>'[2]SAm Capacity Data'!M$13</f>
        <v>397.41149999999999</v>
      </c>
      <c r="S12" s="135">
        <f>'[2]SAm Capacity Data'!N$13</f>
        <v>397.41149999999999</v>
      </c>
      <c r="T12" s="135">
        <f>'[2]SAm Capacity Data'!O$13</f>
        <v>397.41149999999999</v>
      </c>
      <c r="U12" s="135">
        <f>'[2]SAm Capacity Data'!O$13</f>
        <v>397.41149999999999</v>
      </c>
      <c r="V12" s="135">
        <f>'[2]SAm Capacity Data'!P$13</f>
        <v>397.41149999999999</v>
      </c>
      <c r="W12" s="135">
        <f>'[2]SAm Capacity Data'!Q$13</f>
        <v>397.41149999999999</v>
      </c>
      <c r="X12" s="135">
        <f>'[2]SAm Capacity Data'!R$13</f>
        <v>397.41149999999999</v>
      </c>
      <c r="Y12" s="135">
        <f>'[2]SAm Capacity Data'!S$13</f>
        <v>397.41149999999999</v>
      </c>
      <c r="Z12" s="135">
        <f>'[2]SAm Capacity Data'!T$13</f>
        <v>397.41149999999999</v>
      </c>
      <c r="AA12" s="135">
        <f>'[2]SAm Capacity Data'!U$13</f>
        <v>397.41149999999999</v>
      </c>
      <c r="AB12" s="135">
        <f>'[2]SAm Capacity Data'!V$13</f>
        <v>397.41149999999999</v>
      </c>
      <c r="AC12" s="135">
        <f>'[2]SAm Capacity Data'!W$13</f>
        <v>397.41149999999999</v>
      </c>
      <c r="AD12" s="135">
        <f>'[2]SAm Capacity Data'!X$13</f>
        <v>397.41149999999999</v>
      </c>
      <c r="AE12" s="135">
        <f>'[2]SAm Capacity Data'!Y$13</f>
        <v>397.41149999999999</v>
      </c>
      <c r="AF12" s="135">
        <f>'[2]SAm Capacity Data'!Z$13</f>
        <v>397.41149999999999</v>
      </c>
      <c r="AG12" s="135">
        <f>'[2]SAm Capacity Data'!AA$13</f>
        <v>397.41149999999999</v>
      </c>
      <c r="AH12" s="135">
        <f>'[2]SAm Capacity Data'!AB$13</f>
        <v>397.41149999999999</v>
      </c>
      <c r="AI12" s="135">
        <f>'[2]SAm Capacity Data'!AC$13</f>
        <v>397.41149999999999</v>
      </c>
      <c r="AJ12" s="135">
        <f>'[2]SAm Capacity Data'!AD$13</f>
        <v>397.41149999999999</v>
      </c>
      <c r="AK12" s="135">
        <f>'[2]SAm Capacity Data'!AE$13</f>
        <v>397.41149999999999</v>
      </c>
    </row>
    <row r="13" spans="1:38" x14ac:dyDescent="0.2">
      <c r="A13" s="136" t="s">
        <v>81</v>
      </c>
      <c r="B13" s="137">
        <v>0</v>
      </c>
      <c r="C13" s="137">
        <v>0</v>
      </c>
      <c r="D13" s="137">
        <v>0</v>
      </c>
      <c r="E13" s="137">
        <v>0</v>
      </c>
      <c r="F13" s="137">
        <v>0</v>
      </c>
      <c r="G13" s="137">
        <v>0</v>
      </c>
      <c r="H13" s="137">
        <v>0</v>
      </c>
      <c r="I13" s="137">
        <v>0</v>
      </c>
      <c r="J13" s="137">
        <v>0</v>
      </c>
      <c r="K13" s="137">
        <v>0</v>
      </c>
      <c r="L13" s="138">
        <f t="shared" ref="L13" si="11">L4/L12</f>
        <v>0.3401360544217687</v>
      </c>
      <c r="M13" s="138">
        <f>M4/M12</f>
        <v>0.5385996409335726</v>
      </c>
      <c r="N13" s="138">
        <f t="shared" ref="N13:AK13" si="12">N4/N12</f>
        <v>0.65738592420726982</v>
      </c>
      <c r="O13" s="138">
        <f t="shared" si="12"/>
        <v>0.64406904420153832</v>
      </c>
      <c r="P13" s="138">
        <f t="shared" si="12"/>
        <v>0.65512693796517574</v>
      </c>
      <c r="Q13" s="138">
        <f t="shared" si="12"/>
        <v>0.65423370989515905</v>
      </c>
      <c r="R13" s="138">
        <f t="shared" si="12"/>
        <v>0.65423370989515905</v>
      </c>
      <c r="S13" s="138">
        <f t="shared" si="12"/>
        <v>0.65423370989515905</v>
      </c>
      <c r="T13" s="138">
        <f t="shared" si="12"/>
        <v>0.65423370989515905</v>
      </c>
      <c r="U13" s="138">
        <f t="shared" si="12"/>
        <v>0.65423370989515905</v>
      </c>
      <c r="V13" s="138">
        <f t="shared" si="12"/>
        <v>0.65423370989515905</v>
      </c>
      <c r="W13" s="138">
        <f t="shared" si="12"/>
        <v>0.65423370989515905</v>
      </c>
      <c r="X13" s="138">
        <f t="shared" si="12"/>
        <v>0.65423370989515905</v>
      </c>
      <c r="Y13" s="138">
        <f t="shared" si="12"/>
        <v>0.65423370989515905</v>
      </c>
      <c r="Z13" s="138">
        <f t="shared" si="12"/>
        <v>0.65423370989515905</v>
      </c>
      <c r="AA13" s="138">
        <f t="shared" si="12"/>
        <v>0.65423370989515905</v>
      </c>
      <c r="AB13" s="138">
        <f t="shared" si="12"/>
        <v>0.65423370989515905</v>
      </c>
      <c r="AC13" s="138">
        <f t="shared" si="12"/>
        <v>0.65423370989515905</v>
      </c>
      <c r="AD13" s="138">
        <f t="shared" si="12"/>
        <v>0.65423370989515905</v>
      </c>
      <c r="AE13" s="138">
        <f t="shared" si="12"/>
        <v>0.65423370989515905</v>
      </c>
      <c r="AF13" s="138">
        <f t="shared" si="12"/>
        <v>0.65423370989515905</v>
      </c>
      <c r="AG13" s="138">
        <f t="shared" si="12"/>
        <v>0.65423370989515905</v>
      </c>
      <c r="AH13" s="138">
        <f t="shared" si="12"/>
        <v>0.65423370989515905</v>
      </c>
      <c r="AI13" s="138">
        <f t="shared" si="12"/>
        <v>0.65423370989515905</v>
      </c>
      <c r="AJ13" s="138">
        <f t="shared" si="12"/>
        <v>0.65423370989515905</v>
      </c>
      <c r="AK13" s="138">
        <f t="shared" si="12"/>
        <v>0.65423370989515905</v>
      </c>
    </row>
    <row r="14" spans="1:38" s="119" customFormat="1" x14ac:dyDescent="0.2">
      <c r="A14" s="120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</row>
    <row r="15" spans="1:38" s="119" customFormat="1" ht="13.5" thickBot="1" x14ac:dyDescent="0.25">
      <c r="A15" s="141" t="s">
        <v>119</v>
      </c>
      <c r="B15" s="142">
        <f>B7/'Jet Fuel'!B7</f>
        <v>0</v>
      </c>
      <c r="C15" s="142">
        <f>C7/'Jet Fuel'!C7</f>
        <v>0</v>
      </c>
      <c r="D15" s="142">
        <f>D7/'Jet Fuel'!D7</f>
        <v>0</v>
      </c>
      <c r="E15" s="142">
        <f>E7/'Jet Fuel'!E7</f>
        <v>0</v>
      </c>
      <c r="F15" s="142">
        <f>F7/'Jet Fuel'!F7</f>
        <v>0</v>
      </c>
      <c r="G15" s="142">
        <f>G7/'Jet Fuel'!G7</f>
        <v>0</v>
      </c>
      <c r="H15" s="142">
        <f>H7/'Jet Fuel'!H7</f>
        <v>0</v>
      </c>
      <c r="I15" s="142">
        <f>I7/'Jet Fuel'!I7</f>
        <v>0</v>
      </c>
      <c r="J15" s="142">
        <f>J7/'Jet Fuel'!J7</f>
        <v>0</v>
      </c>
      <c r="K15" s="142">
        <f>K7/'Jet Fuel'!K7</f>
        <v>0</v>
      </c>
      <c r="L15" s="143">
        <f>L7/'Jet Fuel'!L7</f>
        <v>1.6061160493958716E-2</v>
      </c>
      <c r="M15" s="143">
        <f>M7/'Jet Fuel'!M7</f>
        <v>2.4880105497874422E-2</v>
      </c>
      <c r="N15" s="143">
        <f>N7/'Jet Fuel'!N7</f>
        <v>2.9570822712877833E-2</v>
      </c>
      <c r="O15" s="143">
        <f>O7/'Jet Fuel'!O7</f>
        <v>2.8467844449215816E-2</v>
      </c>
      <c r="P15" s="143">
        <f>P7/'Jet Fuel'!P7</f>
        <v>2.6950444550169948E-2</v>
      </c>
      <c r="Q15" s="143">
        <f>Q7/'Jet Fuel'!Q7</f>
        <v>3.5761923321514968E-2</v>
      </c>
      <c r="R15" s="143">
        <f>R7/'Jet Fuel'!R7</f>
        <v>3.4991964196828103E-2</v>
      </c>
      <c r="S15" s="143">
        <f>S7/'Jet Fuel'!S7</f>
        <v>3.4230633675637688E-2</v>
      </c>
      <c r="T15" s="143">
        <f>T7/'Jet Fuel'!T7</f>
        <v>3.3735422288211858E-2</v>
      </c>
      <c r="U15" s="143">
        <f>U7/'Jet Fuel'!U7</f>
        <v>3.3255641289199861E-2</v>
      </c>
      <c r="V15" s="143">
        <f>V7/'Jet Fuel'!V7</f>
        <v>3.3261841999512563E-2</v>
      </c>
      <c r="W15" s="143">
        <f>W7/'Jet Fuel'!W7</f>
        <v>3.3161020693495726E-2</v>
      </c>
      <c r="X15" s="143">
        <f>X7/'Jet Fuel'!X7</f>
        <v>3.2515435492719069E-2</v>
      </c>
      <c r="Y15" s="143">
        <f>Y7/'Jet Fuel'!Y7</f>
        <v>3.1870604425138317E-2</v>
      </c>
      <c r="Z15" s="143">
        <f>Z7/'Jet Fuel'!Z7</f>
        <v>3.1263548341560025E-2</v>
      </c>
      <c r="AA15" s="143">
        <f>AA7/'Jet Fuel'!AA7</f>
        <v>3.0735316683422751E-2</v>
      </c>
      <c r="AB15" s="143">
        <f>AB7/'Jet Fuel'!AB7</f>
        <v>3.0326921092442002E-2</v>
      </c>
      <c r="AC15" s="143">
        <f>AC7/'Jet Fuel'!AC7</f>
        <v>2.9956158284133737E-2</v>
      </c>
      <c r="AD15" s="143">
        <f>AD7/'Jet Fuel'!AD7</f>
        <v>2.9829169321670058E-2</v>
      </c>
      <c r="AE15" s="143">
        <f>AE7/'Jet Fuel'!AE7</f>
        <v>2.9476431459591258E-2</v>
      </c>
      <c r="AF15" s="143">
        <f>AF7/'Jet Fuel'!AF7</f>
        <v>2.9102831720755788E-2</v>
      </c>
      <c r="AG15" s="143">
        <f>AG7/'Jet Fuel'!AG7</f>
        <v>2.8697640406089846E-2</v>
      </c>
      <c r="AH15" s="143">
        <f>AH7/'Jet Fuel'!AH7</f>
        <v>2.83294309293157E-2</v>
      </c>
      <c r="AI15" s="143">
        <f>AI7/'Jet Fuel'!AI7</f>
        <v>2.801613866016308E-2</v>
      </c>
      <c r="AJ15" s="143">
        <f>AJ7/'Jet Fuel'!AJ7</f>
        <v>2.7714596861906443E-2</v>
      </c>
      <c r="AK15" s="143">
        <f>AK7/'Jet Fuel'!AK7</f>
        <v>2.7434326687970967E-2</v>
      </c>
    </row>
    <row r="16" spans="1:38" s="119" customFormat="1" ht="13.5" thickTop="1" x14ac:dyDescent="0.2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</row>
    <row r="17" spans="1:37" s="119" customFormat="1" ht="13.5" thickBot="1" x14ac:dyDescent="0.25">
      <c r="A17" s="120" t="s">
        <v>120</v>
      </c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</row>
    <row r="18" spans="1:37" s="119" customFormat="1" ht="13.5" thickBot="1" x14ac:dyDescent="0.25">
      <c r="A18" s="145" t="s">
        <v>111</v>
      </c>
      <c r="B18" s="146">
        <f t="shared" ref="B18:AK18" si="13">B2</f>
        <v>2015</v>
      </c>
      <c r="C18" s="146">
        <f t="shared" si="13"/>
        <v>2016</v>
      </c>
      <c r="D18" s="146">
        <f t="shared" si="13"/>
        <v>2017</v>
      </c>
      <c r="E18" s="146">
        <f t="shared" si="13"/>
        <v>2018</v>
      </c>
      <c r="F18" s="146">
        <f t="shared" si="13"/>
        <v>2019</v>
      </c>
      <c r="G18" s="146">
        <f t="shared" si="13"/>
        <v>2020</v>
      </c>
      <c r="H18" s="146">
        <f t="shared" si="13"/>
        <v>2021</v>
      </c>
      <c r="I18" s="146">
        <f t="shared" si="13"/>
        <v>2022</v>
      </c>
      <c r="J18" s="146">
        <f t="shared" si="13"/>
        <v>2023</v>
      </c>
      <c r="K18" s="146">
        <f t="shared" si="13"/>
        <v>2024</v>
      </c>
      <c r="L18" s="146">
        <f t="shared" si="13"/>
        <v>2025</v>
      </c>
      <c r="M18" s="146">
        <f t="shared" si="13"/>
        <v>2026</v>
      </c>
      <c r="N18" s="146">
        <f t="shared" si="13"/>
        <v>2027</v>
      </c>
      <c r="O18" s="146">
        <f t="shared" si="13"/>
        <v>2028</v>
      </c>
      <c r="P18" s="146">
        <f t="shared" si="13"/>
        <v>2029</v>
      </c>
      <c r="Q18" s="146">
        <f t="shared" si="13"/>
        <v>2030</v>
      </c>
      <c r="R18" s="146">
        <f t="shared" si="13"/>
        <v>2031</v>
      </c>
      <c r="S18" s="146">
        <f t="shared" si="13"/>
        <v>2032</v>
      </c>
      <c r="T18" s="146">
        <f t="shared" si="13"/>
        <v>2033</v>
      </c>
      <c r="U18" s="146">
        <f t="shared" si="13"/>
        <v>2034</v>
      </c>
      <c r="V18" s="146">
        <f t="shared" si="13"/>
        <v>2035</v>
      </c>
      <c r="W18" s="146">
        <f t="shared" si="13"/>
        <v>2036</v>
      </c>
      <c r="X18" s="146">
        <f t="shared" si="13"/>
        <v>2037</v>
      </c>
      <c r="Y18" s="146">
        <f t="shared" si="13"/>
        <v>2038</v>
      </c>
      <c r="Z18" s="146">
        <f t="shared" si="13"/>
        <v>2039</v>
      </c>
      <c r="AA18" s="146">
        <f t="shared" si="13"/>
        <v>2040</v>
      </c>
      <c r="AB18" s="146">
        <f t="shared" si="13"/>
        <v>2041</v>
      </c>
      <c r="AC18" s="146">
        <f t="shared" si="13"/>
        <v>2042</v>
      </c>
      <c r="AD18" s="146">
        <f t="shared" si="13"/>
        <v>2043</v>
      </c>
      <c r="AE18" s="146">
        <f t="shared" si="13"/>
        <v>2044</v>
      </c>
      <c r="AF18" s="146">
        <f t="shared" si="13"/>
        <v>2045</v>
      </c>
      <c r="AG18" s="146">
        <f t="shared" si="13"/>
        <v>2046</v>
      </c>
      <c r="AH18" s="146">
        <f t="shared" si="13"/>
        <v>2047</v>
      </c>
      <c r="AI18" s="146">
        <f t="shared" si="13"/>
        <v>2048</v>
      </c>
      <c r="AJ18" s="146">
        <f t="shared" si="13"/>
        <v>2049</v>
      </c>
      <c r="AK18" s="146">
        <f t="shared" si="13"/>
        <v>2050</v>
      </c>
    </row>
    <row r="19" spans="1:37" s="119" customFormat="1" x14ac:dyDescent="0.2">
      <c r="A19" s="119" t="s">
        <v>83</v>
      </c>
      <c r="B19" s="147">
        <v>0</v>
      </c>
      <c r="C19" s="147">
        <v>0</v>
      </c>
      <c r="D19" s="147">
        <v>0</v>
      </c>
      <c r="E19" s="147">
        <v>0</v>
      </c>
      <c r="F19" s="147">
        <v>0</v>
      </c>
      <c r="G19" s="147">
        <v>0</v>
      </c>
      <c r="H19" s="147">
        <v>0</v>
      </c>
      <c r="I19" s="147">
        <v>0</v>
      </c>
      <c r="J19" s="147">
        <v>0</v>
      </c>
      <c r="K19" s="147">
        <v>0</v>
      </c>
      <c r="L19" s="147">
        <v>0</v>
      </c>
      <c r="M19" s="148">
        <f>M$31*(SUM([1]SAF!D23:H23)/SUM([1]SAF!D$35:H$35))</f>
        <v>2.1357961207915603</v>
      </c>
      <c r="N19" s="148">
        <f>N$31*(SUM([1]SAF!E23:I23)/SUM([1]SAF!E$35:I$35))</f>
        <v>8.3675900992539436</v>
      </c>
      <c r="O19" s="148">
        <f>O$31*(SUM([1]SAF!F23:J23)/SUM([1]SAF!F$35:J$35))</f>
        <v>10.707452033150725</v>
      </c>
      <c r="P19" s="148">
        <f>P$31*(SUM([1]SAF!G23:K23)/SUM([1]SAF!G$35:K$35))</f>
        <v>11.830841626804231</v>
      </c>
      <c r="Q19" s="148">
        <f>Q$31*(SUM([1]SAF!H23:L23)/SUM([1]SAF!H$35:L$35))</f>
        <v>13.423477589746797</v>
      </c>
      <c r="R19" s="148">
        <f>R$31*(SUM([1]SAF!I23:M23)/SUM([1]SAF!I$35:M$35))</f>
        <v>13.474547331292525</v>
      </c>
      <c r="S19" s="148">
        <f>S$31*(SUM([1]SAF!J23:N23)/SUM([1]SAF!J$35:N$35))</f>
        <v>13.43809494382119</v>
      </c>
      <c r="T19" s="148">
        <f>T$31*(SUM([1]SAF!K23:O23)/SUM([1]SAF!K$35:O$35))</f>
        <v>13.436528030135063</v>
      </c>
      <c r="U19" s="148">
        <f>U$31*(SUM([1]SAF!L23:P23)/SUM([1]SAF!L$35:P$35))</f>
        <v>13.436950638444159</v>
      </c>
      <c r="V19" s="148">
        <f>V$31*(SUM([1]SAF!M23:Q23)/SUM([1]SAF!M$35:Q$35))</f>
        <v>13.441749155675073</v>
      </c>
      <c r="W19" s="148">
        <f>W$31*(SUM([1]SAF!N23:R23)/SUM([1]SAF!N$35:R$35))</f>
        <v>13.443703575837144</v>
      </c>
      <c r="X19" s="148">
        <f>X$31*(SUM([1]SAF!O23:S23)/SUM([1]SAF!O$35:S$35))</f>
        <v>13.439653849795974</v>
      </c>
      <c r="Y19" s="148">
        <f>Y$31*(SUM([1]SAF!P23:T23)/SUM([1]SAF!P$35:T$35))</f>
        <v>13.439887334566201</v>
      </c>
      <c r="Z19" s="148">
        <f>Z$31*(SUM([1]SAF!Q23:U23)/SUM([1]SAF!Q$35:U$35))</f>
        <v>13.44052428215757</v>
      </c>
      <c r="AA19" s="148">
        <f>AA$31*(SUM([1]SAF!R23:V23)/SUM([1]SAF!R$35:V$35))</f>
        <v>13.441221756821427</v>
      </c>
      <c r="AB19" s="148">
        <f>AB$31*(SUM([1]SAF!S23:W23)/SUM([1]SAF!S$35:W$35))</f>
        <v>13.441109579006792</v>
      </c>
      <c r="AC19" s="148">
        <f>AC$31*(SUM([1]SAF!T23:X23)/SUM([1]SAF!T$35:X$35))</f>
        <v>13.440525410262817</v>
      </c>
      <c r="AD19" s="148">
        <f>AD$31*(SUM([1]SAF!U23:Y23)/SUM([1]SAF!U$35:Y$35))</f>
        <v>13.440669548938182</v>
      </c>
      <c r="AE19" s="148">
        <f>AE$31*(SUM([1]SAF!V23:Z23)/SUM([1]SAF!V$35:Z$35))</f>
        <v>13.4408057013347</v>
      </c>
      <c r="AF19" s="148">
        <f>AF$31*(SUM([1]SAF!W23:AA23)/SUM([1]SAF!W$35:AA$35))</f>
        <v>13.4408598434021</v>
      </c>
      <c r="AG19" s="148">
        <f>AG$31*(SUM([1]SAF!X23:AB23)/SUM([1]SAF!X$35:AB$35))</f>
        <v>13.440791663011151</v>
      </c>
      <c r="AH19" s="148">
        <f>AH$31*(SUM([1]SAF!Y23:AC23)/SUM([1]SAF!Y$35:AC$35))</f>
        <v>13.440733705076402</v>
      </c>
      <c r="AI19" s="148">
        <f>AI$31*(SUM([1]SAF!Z23:AD23)/SUM([1]SAF!Z$35:AD$35))</f>
        <v>13.440772157961062</v>
      </c>
      <c r="AJ19" s="148">
        <f>AJ$31*(SUM([1]SAF!AA23:AE23)/SUM([1]SAF!AA$35:AE$35))</f>
        <v>13.440791120614987</v>
      </c>
      <c r="AK19" s="148">
        <f>AK$31*(SUM([1]SAF!AB23:AF23)/SUM([1]SAF!AB$35:AF$35))</f>
        <v>13.440788434910415</v>
      </c>
    </row>
    <row r="20" spans="1:37" s="119" customFormat="1" x14ac:dyDescent="0.2">
      <c r="A20" s="119" t="s">
        <v>84</v>
      </c>
      <c r="B20" s="147">
        <v>0</v>
      </c>
      <c r="C20" s="147">
        <v>0</v>
      </c>
      <c r="D20" s="147">
        <v>0</v>
      </c>
      <c r="E20" s="147">
        <v>0</v>
      </c>
      <c r="F20" s="147">
        <v>0</v>
      </c>
      <c r="G20" s="147">
        <v>0</v>
      </c>
      <c r="H20" s="147">
        <v>0</v>
      </c>
      <c r="I20" s="147">
        <v>0</v>
      </c>
      <c r="J20" s="147">
        <v>0</v>
      </c>
      <c r="K20" s="147">
        <v>0</v>
      </c>
      <c r="L20" s="147">
        <v>0</v>
      </c>
      <c r="M20" s="148">
        <f>M$31*(SUM([1]SAF!D24:H24)/SUM([1]SAF!D$35:H$35))</f>
        <v>5.4242471643200894</v>
      </c>
      <c r="N20" s="148">
        <f>N$31*(SUM([1]SAF!E24:I24)/SUM([1]SAF!E$35:I$35))</f>
        <v>16.537218945120717</v>
      </c>
      <c r="O20" s="148">
        <f>O$31*(SUM([1]SAF!F24:J24)/SUM([1]SAF!F$35:J$35))</f>
        <v>20.622082962427072</v>
      </c>
      <c r="P20" s="148">
        <f>P$31*(SUM([1]SAF!G24:K24)/SUM([1]SAF!G$35:K$35))</f>
        <v>22.520290568251838</v>
      </c>
      <c r="Q20" s="148">
        <f>Q$31*(SUM([1]SAF!H24:L24)/SUM([1]SAF!H$35:L$35))</f>
        <v>25.454492034632825</v>
      </c>
      <c r="R20" s="148">
        <f>R$31*(SUM([1]SAF!I24:M24)/SUM([1]SAF!I$35:M$35))</f>
        <v>25.565630197914441</v>
      </c>
      <c r="S20" s="148">
        <f>S$31*(SUM([1]SAF!J24:N24)/SUM([1]SAF!J$35:N$35))</f>
        <v>25.506798784162175</v>
      </c>
      <c r="T20" s="148">
        <f>T$31*(SUM([1]SAF!K24:O24)/SUM([1]SAF!K$35:O$35))</f>
        <v>25.50613958980621</v>
      </c>
      <c r="U20" s="148">
        <f>U$31*(SUM([1]SAF!L24:P24)/SUM([1]SAF!L$35:P$35))</f>
        <v>25.507846513073151</v>
      </c>
      <c r="V20" s="148">
        <f>V$31*(SUM([1]SAF!M24:Q24)/SUM([1]SAF!M$35:Q$35))</f>
        <v>25.510336346468673</v>
      </c>
      <c r="W20" s="148">
        <f>W$31*(SUM([1]SAF!N24:R24)/SUM([1]SAF!N$35:R$35))</f>
        <v>25.516327032012516</v>
      </c>
      <c r="X20" s="148">
        <f>X$31*(SUM([1]SAF!O24:S24)/SUM([1]SAF!O$35:S$35))</f>
        <v>25.509853620720108</v>
      </c>
      <c r="Y20" s="148">
        <f>Y$31*(SUM([1]SAF!P24:T24)/SUM([1]SAF!P$35:T$35))</f>
        <v>25.510311158136314</v>
      </c>
      <c r="Z20" s="148">
        <f>Z$31*(SUM([1]SAF!Q24:U24)/SUM([1]SAF!Q$35:U$35))</f>
        <v>25.511102116638156</v>
      </c>
      <c r="AA20" s="148">
        <f>AA$31*(SUM([1]SAF!R24:V24)/SUM([1]SAF!R$35:V$35))</f>
        <v>25.511737518817064</v>
      </c>
      <c r="AB20" s="148">
        <f>AB$31*(SUM([1]SAF!S24:W24)/SUM([1]SAF!S$35:W$35))</f>
        <v>25.512035548384048</v>
      </c>
      <c r="AC20" s="148">
        <f>AC$31*(SUM([1]SAF!T24:X24)/SUM([1]SAF!T$35:X$35))</f>
        <v>25.511069105182695</v>
      </c>
      <c r="AD20" s="148">
        <f>AD$31*(SUM([1]SAF!U24:Y24)/SUM([1]SAF!U$35:Y$35))</f>
        <v>25.511270122010593</v>
      </c>
      <c r="AE20" s="148">
        <f>AE$31*(SUM([1]SAF!V24:Z24)/SUM([1]SAF!V$35:Z$35))</f>
        <v>25.511437039462297</v>
      </c>
      <c r="AF20" s="148">
        <f>AF$31*(SUM([1]SAF!W24:AA24)/SUM([1]SAF!W$35:AA$35))</f>
        <v>25.511501475064378</v>
      </c>
      <c r="AG20" s="148">
        <f>AG$31*(SUM([1]SAF!X24:AB24)/SUM([1]SAF!X$35:AB$35))</f>
        <v>25.51145700709365</v>
      </c>
      <c r="AH20" s="148">
        <f>AH$31*(SUM([1]SAF!Y24:AC24)/SUM([1]SAF!Y$35:AC$35))</f>
        <v>25.511351535652068</v>
      </c>
      <c r="AI20" s="148">
        <f>AI$31*(SUM([1]SAF!Z24:AD24)/SUM([1]SAF!Z$35:AD$35))</f>
        <v>25.511403674570353</v>
      </c>
      <c r="AJ20" s="148">
        <f>AJ$31*(SUM([1]SAF!AA24:AE24)/SUM([1]SAF!AA$35:AE$35))</f>
        <v>25.511428355742641</v>
      </c>
      <c r="AK20" s="148">
        <f>AK$31*(SUM([1]SAF!AB24:AF24)/SUM([1]SAF!AB$35:AF$35))</f>
        <v>25.51142675623959</v>
      </c>
    </row>
    <row r="21" spans="1:37" s="119" customFormat="1" x14ac:dyDescent="0.2">
      <c r="A21" s="119" t="s">
        <v>85</v>
      </c>
      <c r="B21" s="147">
        <v>0</v>
      </c>
      <c r="C21" s="147">
        <v>0</v>
      </c>
      <c r="D21" s="147">
        <v>0</v>
      </c>
      <c r="E21" s="147">
        <v>0</v>
      </c>
      <c r="F21" s="147">
        <v>0</v>
      </c>
      <c r="G21" s="147">
        <v>0</v>
      </c>
      <c r="H21" s="147">
        <v>0</v>
      </c>
      <c r="I21" s="147">
        <v>0</v>
      </c>
      <c r="J21" s="147">
        <v>0</v>
      </c>
      <c r="K21" s="147">
        <v>0</v>
      </c>
      <c r="L21" s="148">
        <v>0</v>
      </c>
      <c r="M21" s="148">
        <f>M$31*(SUM([1]SAF!D25:H25)/SUM([1]SAF!D$35:H$35))</f>
        <v>5.7770198001207822</v>
      </c>
      <c r="N21" s="148">
        <f>N$31*(SUM([1]SAF!E25:I25)/SUM([1]SAF!E$35:I$35))</f>
        <v>6.6900859677122124</v>
      </c>
      <c r="O21" s="148">
        <f>O$31*(SUM([1]SAF!F25:J25)/SUM([1]SAF!F$35:J$35))</f>
        <v>8.2887041781565536</v>
      </c>
      <c r="P21" s="148">
        <f>P$31*(SUM([1]SAF!G25:K25)/SUM([1]SAF!G$35:K$35))</f>
        <v>9.0121625611714045</v>
      </c>
      <c r="Q21" s="148">
        <f>Q$31*(SUM([1]SAF!H25:L25)/SUM([1]SAF!H$35:L$35))</f>
        <v>10.174745191469803</v>
      </c>
      <c r="R21" s="148">
        <f>R$31*(SUM([1]SAF!I25:M25)/SUM([1]SAF!I$35:M$35))</f>
        <v>10.14830706095789</v>
      </c>
      <c r="S21" s="148">
        <f>S$31*(SUM([1]SAF!J25:N25)/SUM([1]SAF!J$35:N$35))</f>
        <v>10.195263151628559</v>
      </c>
      <c r="T21" s="148">
        <f>T$31*(SUM([1]SAF!K25:O25)/SUM([1]SAF!K$35:O$35))</f>
        <v>10.190253962955623</v>
      </c>
      <c r="U21" s="148">
        <f>U$31*(SUM([1]SAF!L25:P25)/SUM([1]SAF!L$35:P$35))</f>
        <v>10.181459003043015</v>
      </c>
      <c r="V21" s="148">
        <f>V$31*(SUM([1]SAF!M25:Q25)/SUM([1]SAF!M$35:Q$35))</f>
        <v>10.179952246128959</v>
      </c>
      <c r="W21" s="148">
        <f>W$31*(SUM([1]SAF!N25:R25)/SUM([1]SAF!N$35:R$35))</f>
        <v>10.180502168770364</v>
      </c>
      <c r="X21" s="148">
        <f>X$31*(SUM([1]SAF!O25:S25)/SUM([1]SAF!O$35:S$35))</f>
        <v>10.184729324788865</v>
      </c>
      <c r="Y21" s="148">
        <f>Y$31*(SUM([1]SAF!P25:T25)/SUM([1]SAF!P$35:T$35))</f>
        <v>10.183151623388628</v>
      </c>
      <c r="Z21" s="148">
        <f>Z$31*(SUM([1]SAF!Q25:U25)/SUM([1]SAF!Q$35:U$35))</f>
        <v>10.181804970183174</v>
      </c>
      <c r="AA21" s="148">
        <f>AA$31*(SUM([1]SAF!R25:V25)/SUM([1]SAF!R$35:V$35))</f>
        <v>10.181872493230836</v>
      </c>
      <c r="AB21" s="148">
        <f>AB$31*(SUM([1]SAF!S25:W25)/SUM([1]SAF!S$35:W$35))</f>
        <v>10.182280930075107</v>
      </c>
      <c r="AC21" s="148">
        <f>AC$31*(SUM([1]SAF!T25:X25)/SUM([1]SAF!T$35:X$35))</f>
        <v>10.182681507571989</v>
      </c>
      <c r="AD21" s="148">
        <f>AD$31*(SUM([1]SAF!U25:Y25)/SUM([1]SAF!U$35:Y$35))</f>
        <v>10.182342839548063</v>
      </c>
      <c r="AE21" s="148">
        <f>AE$31*(SUM([1]SAF!V25:Z25)/SUM([1]SAF!V$35:Z$35))</f>
        <v>10.182202062464315</v>
      </c>
      <c r="AF21" s="148">
        <f>AF$31*(SUM([1]SAF!W25:AA25)/SUM([1]SAF!W$35:AA$35))</f>
        <v>10.182278458811105</v>
      </c>
      <c r="AG21" s="148">
        <f>AG$31*(SUM([1]SAF!X25:AB25)/SUM([1]SAF!X$35:AB$35))</f>
        <v>10.182354938130455</v>
      </c>
      <c r="AH21" s="148">
        <f>AH$31*(SUM([1]SAF!Y25:AC25)/SUM([1]SAF!Y$35:AC$35))</f>
        <v>10.182368430229317</v>
      </c>
      <c r="AI21" s="148">
        <f>AI$31*(SUM([1]SAF!Z25:AD25)/SUM([1]SAF!Z$35:AD$35))</f>
        <v>10.182310633653683</v>
      </c>
      <c r="AJ21" s="148">
        <f>AJ$31*(SUM([1]SAF!AA25:AE25)/SUM([1]SAF!AA$35:AE$35))</f>
        <v>10.18230468184543</v>
      </c>
      <c r="AK21" s="148">
        <f>AK$31*(SUM([1]SAF!AB25:AF25)/SUM([1]SAF!AB$35:AF$35))</f>
        <v>10.18232358388498</v>
      </c>
    </row>
    <row r="22" spans="1:37" s="119" customFormat="1" x14ac:dyDescent="0.2">
      <c r="A22" s="119" t="s">
        <v>86</v>
      </c>
      <c r="B22" s="147">
        <v>0</v>
      </c>
      <c r="C22" s="147">
        <v>0</v>
      </c>
      <c r="D22" s="147">
        <v>0</v>
      </c>
      <c r="E22" s="147">
        <v>0</v>
      </c>
      <c r="F22" s="147">
        <v>0</v>
      </c>
      <c r="G22" s="147">
        <v>0</v>
      </c>
      <c r="H22" s="147">
        <v>0</v>
      </c>
      <c r="I22" s="147">
        <v>0</v>
      </c>
      <c r="J22" s="147">
        <v>0</v>
      </c>
      <c r="K22" s="147">
        <v>0</v>
      </c>
      <c r="L22" s="148">
        <v>0</v>
      </c>
      <c r="M22" s="148">
        <f>M$31*(SUM([1]SAF!D26:H26)/SUM([1]SAF!D$35:H$35))</f>
        <v>7.2092062665123287</v>
      </c>
      <c r="N22" s="148">
        <f>N$31*(SUM([1]SAF!E26:I26)/SUM([1]SAF!E$35:I$35))</f>
        <v>10.603465383557728</v>
      </c>
      <c r="O22" s="148">
        <f>O$31*(SUM([1]SAF!F26:J26)/SUM([1]SAF!F$35:J$35))</f>
        <v>13.162047288098991</v>
      </c>
      <c r="P22" s="148">
        <f>P$31*(SUM([1]SAF!G26:K26)/SUM([1]SAF!G$35:K$35))</f>
        <v>14.461368795481057</v>
      </c>
      <c r="Q22" s="148">
        <f>Q$31*(SUM([1]SAF!H26:L26)/SUM([1]SAF!H$35:L$35))</f>
        <v>16.35024700649101</v>
      </c>
      <c r="R22" s="148">
        <f>R$31*(SUM([1]SAF!I26:M26)/SUM([1]SAF!I$35:M$35))</f>
        <v>16.334085850020731</v>
      </c>
      <c r="S22" s="148">
        <f>S$31*(SUM([1]SAF!J26:N26)/SUM([1]SAF!J$35:N$35))</f>
        <v>16.344704536032442</v>
      </c>
      <c r="T22" s="148">
        <f>T$31*(SUM([1]SAF!K26:O26)/SUM([1]SAF!K$35:O$35))</f>
        <v>16.345772142821865</v>
      </c>
      <c r="U22" s="148">
        <f>U$31*(SUM([1]SAF!L26:P26)/SUM([1]SAF!L$35:P$35))</f>
        <v>16.344852327143627</v>
      </c>
      <c r="V22" s="148">
        <f>V$31*(SUM([1]SAF!M26:Q26)/SUM([1]SAF!M$35:Q$35))</f>
        <v>16.343596079140184</v>
      </c>
      <c r="W22" s="148">
        <f>W$31*(SUM([1]SAF!N26:R26)/SUM([1]SAF!N$35:R$35))</f>
        <v>16.343149796025756</v>
      </c>
      <c r="X22" s="148">
        <f>X$31*(SUM([1]SAF!O26:S26)/SUM([1]SAF!O$35:S$35))</f>
        <v>16.344339874783362</v>
      </c>
      <c r="Y22" s="148">
        <f>Y$31*(SUM([1]SAF!P26:T26)/SUM([1]SAF!P$35:T$35))</f>
        <v>16.344285257731837</v>
      </c>
      <c r="Z22" s="148">
        <f>Z$31*(SUM([1]SAF!Q26:U26)/SUM([1]SAF!Q$35:U$35))</f>
        <v>16.344003333930008</v>
      </c>
      <c r="AA22" s="148">
        <f>AA$31*(SUM([1]SAF!R26:V26)/SUM([1]SAF!R$35:V$35))</f>
        <v>16.343837634351711</v>
      </c>
      <c r="AB22" s="148">
        <f>AB$31*(SUM([1]SAF!S26:W26)/SUM([1]SAF!S$35:W$35))</f>
        <v>16.343889013181148</v>
      </c>
      <c r="AC22" s="148">
        <f>AC$31*(SUM([1]SAF!T26:X26)/SUM([1]SAF!T$35:X$35))</f>
        <v>16.34405548507198</v>
      </c>
      <c r="AD22" s="148">
        <f>AD$31*(SUM([1]SAF!U26:Y26)/SUM([1]SAF!U$35:Y$35))</f>
        <v>16.344008452699764</v>
      </c>
      <c r="AE22" s="148">
        <f>AE$31*(SUM([1]SAF!V26:Z26)/SUM([1]SAF!V$35:Z$35))</f>
        <v>16.343960271958228</v>
      </c>
      <c r="AF22" s="148">
        <f>AF$31*(SUM([1]SAF!W26:AA26)/SUM([1]SAF!W$35:AA$35))</f>
        <v>16.343951987291195</v>
      </c>
      <c r="AG22" s="148">
        <f>AG$31*(SUM([1]SAF!X26:AB26)/SUM([1]SAF!X$35:AB$35))</f>
        <v>16.343973530090395</v>
      </c>
      <c r="AH22" s="148">
        <f>AH$31*(SUM([1]SAF!Y26:AC26)/SUM([1]SAF!Y$35:AC$35))</f>
        <v>16.343988938014434</v>
      </c>
      <c r="AI22" s="148">
        <f>AI$31*(SUM([1]SAF!Z26:AD26)/SUM([1]SAF!Z$35:AD$35))</f>
        <v>16.343976652896604</v>
      </c>
      <c r="AJ22" s="148">
        <f>AJ$31*(SUM([1]SAF!AA26:AE26)/SUM([1]SAF!AA$35:AE$35))</f>
        <v>16.343970776136015</v>
      </c>
      <c r="AK22" s="148">
        <f>AK$31*(SUM([1]SAF!AB26:AF26)/SUM([1]SAF!AB$35:AF$35))</f>
        <v>16.343972710959452</v>
      </c>
    </row>
    <row r="23" spans="1:37" s="119" customFormat="1" x14ac:dyDescent="0.2">
      <c r="A23" s="119" t="s">
        <v>87</v>
      </c>
      <c r="B23" s="147">
        <v>0</v>
      </c>
      <c r="C23" s="147">
        <v>0</v>
      </c>
      <c r="D23" s="147">
        <v>0</v>
      </c>
      <c r="E23" s="147">
        <v>0</v>
      </c>
      <c r="F23" s="147">
        <v>0</v>
      </c>
      <c r="G23" s="147">
        <v>0</v>
      </c>
      <c r="H23" s="147">
        <v>0</v>
      </c>
      <c r="I23" s="147">
        <v>0</v>
      </c>
      <c r="J23" s="147">
        <v>0</v>
      </c>
      <c r="K23" s="147">
        <v>0</v>
      </c>
      <c r="L23" s="148">
        <f>L$31*(SUM([1]SAF!C27:G27)/SUM([1]SAF!C$35:G$35))</f>
        <v>2.7879168441693181</v>
      </c>
      <c r="M23" s="148">
        <f>M$31*(SUM([1]SAF!D27:H27)/SUM([1]SAF!D$35:H$35))</f>
        <v>6.8914859684039511</v>
      </c>
      <c r="N23" s="148">
        <f>N$31*(SUM([1]SAF!E27:I27)/SUM([1]SAF!E$35:I$35))</f>
        <v>13.550515157988876</v>
      </c>
      <c r="O23" s="148">
        <f>O$31*(SUM([1]SAF!F27:J27)/SUM([1]SAF!F$35:J$35))</f>
        <v>17.200696786213705</v>
      </c>
      <c r="P23" s="148">
        <f>P$31*(SUM([1]SAF!G27:K27)/SUM([1]SAF!G$35:K$35))</f>
        <v>19.042384321709982</v>
      </c>
      <c r="Q23" s="148">
        <f>Q$31*(SUM([1]SAF!H27:L27)/SUM([1]SAF!H$35:L$35))</f>
        <v>21.502933445072152</v>
      </c>
      <c r="R23" s="148">
        <f>R$31*(SUM([1]SAF!I27:M27)/SUM([1]SAF!I$35:M$35))</f>
        <v>21.500177394972095</v>
      </c>
      <c r="S23" s="148">
        <f>S$31*(SUM([1]SAF!J27:N27)/SUM([1]SAF!J$35:N$35))</f>
        <v>21.516688849699655</v>
      </c>
      <c r="T23" s="148">
        <f>T$31*(SUM([1]SAF!K27:O27)/SUM([1]SAF!K$35:O$35))</f>
        <v>21.518162347243909</v>
      </c>
      <c r="U23" s="148">
        <f>U$31*(SUM([1]SAF!L27:P27)/SUM([1]SAF!L$35:P$35))</f>
        <v>21.51516894443315</v>
      </c>
      <c r="V23" s="148">
        <f>V$31*(SUM([1]SAF!M27:Q27)/SUM([1]SAF!M$35:Q$35))</f>
        <v>21.512185577072707</v>
      </c>
      <c r="W23" s="148">
        <f>W$31*(SUM([1]SAF!N27:R27)/SUM([1]SAF!N$35:R$35))</f>
        <v>21.513158902532879</v>
      </c>
      <c r="X23" s="148">
        <f>X$31*(SUM([1]SAF!O27:S27)/SUM([1]SAF!O$35:S$35))</f>
        <v>21.514863349622615</v>
      </c>
      <c r="Y23" s="148">
        <f>Y$31*(SUM([1]SAF!P27:T27)/SUM([1]SAF!P$35:T$35))</f>
        <v>21.514589935784368</v>
      </c>
      <c r="Z23" s="148">
        <f>Z$31*(SUM([1]SAF!Q27:U27)/SUM([1]SAF!Q$35:U$35))</f>
        <v>21.513912581611446</v>
      </c>
      <c r="AA23" s="148">
        <f>AA$31*(SUM([1]SAF!R27:V27)/SUM([1]SAF!R$35:V$35))</f>
        <v>21.513667374952078</v>
      </c>
      <c r="AB23" s="148">
        <f>AB$31*(SUM([1]SAF!S27:W27)/SUM([1]SAF!S$35:W$35))</f>
        <v>21.513982553581492</v>
      </c>
      <c r="AC23" s="148">
        <f>AC$31*(SUM([1]SAF!T27:X27)/SUM([1]SAF!T$35:X$35))</f>
        <v>21.514168040006496</v>
      </c>
      <c r="AD23" s="148">
        <f>AD$31*(SUM([1]SAF!U27:Y27)/SUM([1]SAF!U$35:Y$35))</f>
        <v>21.514053049697903</v>
      </c>
      <c r="AE23" s="148">
        <f>AE$31*(SUM([1]SAF!V27:Z27)/SUM([1]SAF!V$35:Z$35))</f>
        <v>21.513959599193868</v>
      </c>
      <c r="AF23" s="148">
        <f>AF$31*(SUM([1]SAF!W27:AA27)/SUM([1]SAF!W$35:AA$35))</f>
        <v>21.513968644878457</v>
      </c>
      <c r="AG23" s="148">
        <f>AG$31*(SUM([1]SAF!X27:AB27)/SUM([1]SAF!X$35:AB$35))</f>
        <v>21.514025400721888</v>
      </c>
      <c r="AH23" s="148">
        <f>AH$31*(SUM([1]SAF!Y27:AC27)/SUM([1]SAF!Y$35:AC$35))</f>
        <v>21.514033212004747</v>
      </c>
      <c r="AI23" s="148">
        <f>AI$31*(SUM([1]SAF!Z27:AD27)/SUM([1]SAF!Z$35:AD$35))</f>
        <v>21.514008321679778</v>
      </c>
      <c r="AJ23" s="148">
        <f>AJ$31*(SUM([1]SAF!AA27:AE27)/SUM([1]SAF!AA$35:AE$35))</f>
        <v>21.514000055721244</v>
      </c>
      <c r="AK23" s="148">
        <f>AK$31*(SUM([1]SAF!AB27:AF27)/SUM([1]SAF!AB$35:AF$35))</f>
        <v>21.514007507636002</v>
      </c>
    </row>
    <row r="24" spans="1:37" s="119" customFormat="1" x14ac:dyDescent="0.2">
      <c r="A24" s="119" t="s">
        <v>88</v>
      </c>
      <c r="B24" s="147">
        <v>0</v>
      </c>
      <c r="C24" s="147">
        <v>0</v>
      </c>
      <c r="D24" s="147">
        <v>0</v>
      </c>
      <c r="E24" s="147">
        <v>0</v>
      </c>
      <c r="F24" s="147">
        <v>0</v>
      </c>
      <c r="G24" s="147">
        <v>0</v>
      </c>
      <c r="H24" s="147">
        <v>0</v>
      </c>
      <c r="I24" s="147">
        <v>0</v>
      </c>
      <c r="J24" s="147">
        <v>0</v>
      </c>
      <c r="K24" s="147">
        <v>0</v>
      </c>
      <c r="L24" s="148">
        <f>L$31*(SUM([1]SAF!C28:G28)/SUM([1]SAF!C$35:G$35))</f>
        <v>3.5425882622931821</v>
      </c>
      <c r="M24" s="148">
        <f>M$31*(SUM([1]SAF!D28:H28)/SUM([1]SAF!D$35:H$35))</f>
        <v>7.4103504341917397</v>
      </c>
      <c r="N24" s="148">
        <f>N$31*(SUM([1]SAF!E28:I28)/SUM([1]SAF!E$35:I$35))</f>
        <v>13.321240707765622</v>
      </c>
      <c r="O24" s="148">
        <f>O$31*(SUM([1]SAF!F28:J28)/SUM([1]SAF!F$35:J$35))</f>
        <v>16.573633141639117</v>
      </c>
      <c r="P24" s="148">
        <f>P$31*(SUM([1]SAF!G28:K28)/SUM([1]SAF!G$35:K$35))</f>
        <v>18.142342158699687</v>
      </c>
      <c r="Q24" s="148">
        <f>Q$31*(SUM([1]SAF!H28:L28)/SUM([1]SAF!H$35:L$35))</f>
        <v>20.51666391867111</v>
      </c>
      <c r="R24" s="148">
        <f>R$31*(SUM([1]SAF!I28:M28)/SUM([1]SAF!I$35:M$35))</f>
        <v>20.51919438468234</v>
      </c>
      <c r="S24" s="148">
        <f>S$31*(SUM([1]SAF!J28:N28)/SUM([1]SAF!J$35:N$35))</f>
        <v>20.525359821305418</v>
      </c>
      <c r="T24" s="148">
        <f>T$31*(SUM([1]SAF!K28:O28)/SUM([1]SAF!K$35:O$35))</f>
        <v>20.52401608118619</v>
      </c>
      <c r="U24" s="148">
        <f>U$31*(SUM([1]SAF!L28:P28)/SUM([1]SAF!L$35:P$35))</f>
        <v>20.522754492006626</v>
      </c>
      <c r="V24" s="148">
        <f>V$31*(SUM([1]SAF!M28:Q28)/SUM([1]SAF!M$35:Q$35))</f>
        <v>20.522247681176374</v>
      </c>
      <c r="W24" s="148">
        <f>W$31*(SUM([1]SAF!N28:R28)/SUM([1]SAF!N$35:R$35))</f>
        <v>20.522826721591287</v>
      </c>
      <c r="X24" s="148">
        <f>X$31*(SUM([1]SAF!O28:S28)/SUM([1]SAF!O$35:S$35))</f>
        <v>20.523303640473348</v>
      </c>
      <c r="Y24" s="148">
        <f>Y$31*(SUM([1]SAF!P28:T28)/SUM([1]SAF!P$35:T$35))</f>
        <v>20.522995676480086</v>
      </c>
      <c r="Z24" s="148">
        <f>Z$31*(SUM([1]SAF!Q28:U28)/SUM([1]SAF!Q$35:U$35))</f>
        <v>20.522802200618308</v>
      </c>
      <c r="AA24" s="148">
        <f>AA$31*(SUM([1]SAF!R28:V28)/SUM([1]SAF!R$35:V$35))</f>
        <v>20.522811511996437</v>
      </c>
      <c r="AB24" s="148">
        <f>AB$31*(SUM([1]SAF!S28:W28)/SUM([1]SAF!S$35:W$35))</f>
        <v>20.522931438895753</v>
      </c>
      <c r="AC24" s="148">
        <f>AC$31*(SUM([1]SAF!T28:X28)/SUM([1]SAF!T$35:X$35))</f>
        <v>20.522955021259275</v>
      </c>
      <c r="AD24" s="148">
        <f>AD$31*(SUM([1]SAF!U28:Y28)/SUM([1]SAF!U$35:Y$35))</f>
        <v>20.522897366611502</v>
      </c>
      <c r="AE24" s="148">
        <f>AE$31*(SUM([1]SAF!V28:Z28)/SUM([1]SAF!V$35:Z$35))</f>
        <v>20.522880254775306</v>
      </c>
      <c r="AF24" s="148">
        <f>AF$31*(SUM([1]SAF!W28:AA28)/SUM([1]SAF!W$35:AA$35))</f>
        <v>20.52289527156794</v>
      </c>
      <c r="AG24" s="148">
        <f>AG$31*(SUM([1]SAF!X28:AB28)/SUM([1]SAF!X$35:AB$35))</f>
        <v>20.522911050922964</v>
      </c>
      <c r="AH24" s="148">
        <f>AH$31*(SUM([1]SAF!Y28:AC28)/SUM([1]SAF!Y$35:AC$35))</f>
        <v>20.522907334076972</v>
      </c>
      <c r="AI24" s="148">
        <f>AI$31*(SUM([1]SAF!Z28:AD28)/SUM([1]SAF!Z$35:AD$35))</f>
        <v>20.5228985306426</v>
      </c>
      <c r="AJ24" s="148">
        <f>AJ$31*(SUM([1]SAF!AA28:AE28)/SUM([1]SAF!AA$35:AE$35))</f>
        <v>20.522898745761296</v>
      </c>
      <c r="AK24" s="148">
        <f>AK$31*(SUM([1]SAF!AB28:AF28)/SUM([1]SAF!AB$35:AF$35))</f>
        <v>20.522902151719741</v>
      </c>
    </row>
    <row r="25" spans="1:37" s="119" customFormat="1" x14ac:dyDescent="0.2">
      <c r="A25" s="119" t="s">
        <v>89</v>
      </c>
      <c r="B25" s="147">
        <v>0</v>
      </c>
      <c r="C25" s="147">
        <v>0</v>
      </c>
      <c r="D25" s="147">
        <v>0</v>
      </c>
      <c r="E25" s="147">
        <v>0</v>
      </c>
      <c r="F25" s="147">
        <v>0</v>
      </c>
      <c r="G25" s="147">
        <v>0</v>
      </c>
      <c r="H25" s="147">
        <v>0</v>
      </c>
      <c r="I25" s="147">
        <v>0</v>
      </c>
      <c r="J25" s="147">
        <v>0</v>
      </c>
      <c r="K25" s="147">
        <v>0</v>
      </c>
      <c r="L25" s="148">
        <f>L$31*(SUM([1]SAF!C29:G29)/SUM([1]SAF!C$35:G$35))</f>
        <v>6.6839933943442791</v>
      </c>
      <c r="M25" s="148">
        <f>M$31*(SUM([1]SAF!D29:H29)/SUM([1]SAF!D$35:H$35))</f>
        <v>11.259743854746096</v>
      </c>
      <c r="N25" s="148">
        <f>N$31*(SUM([1]SAF!E29:I29)/SUM([1]SAF!E$35:I$35))</f>
        <v>15.068714497237501</v>
      </c>
      <c r="O25" s="148">
        <f>O$31*(SUM([1]SAF!F29:J29)/SUM([1]SAF!F$35:J$35))</f>
        <v>18.131787401697579</v>
      </c>
      <c r="P25" s="148">
        <f>P$31*(SUM([1]SAF!G29:K29)/SUM([1]SAF!G$35:K$35))</f>
        <v>19.755952643141033</v>
      </c>
      <c r="Q25" s="148">
        <f>Q$31*(SUM([1]SAF!H29:L29)/SUM([1]SAF!H$35:L$35))</f>
        <v>22.302866749576921</v>
      </c>
      <c r="R25" s="148">
        <f>R$31*(SUM([1]SAF!I29:M29)/SUM([1]SAF!I$35:M$35))</f>
        <v>22.30573962614417</v>
      </c>
      <c r="S25" s="148">
        <f>S$31*(SUM([1]SAF!J29:N29)/SUM([1]SAF!J$35:N$35))</f>
        <v>22.33617548447258</v>
      </c>
      <c r="T25" s="148">
        <f>T$31*(SUM([1]SAF!K29:O29)/SUM([1]SAF!K$35:O$35))</f>
        <v>22.327873503680721</v>
      </c>
      <c r="U25" s="148">
        <f>U$31*(SUM([1]SAF!L29:P29)/SUM([1]SAF!L$35:P$35))</f>
        <v>22.324624283974412</v>
      </c>
      <c r="V25" s="148">
        <f>V$31*(SUM([1]SAF!M29:Q29)/SUM([1]SAF!M$35:Q$35))</f>
        <v>22.321836526274083</v>
      </c>
      <c r="W25" s="148">
        <f>W$31*(SUM([1]SAF!N29:R29)/SUM([1]SAF!N$35:R$35))</f>
        <v>22.323856340151472</v>
      </c>
      <c r="X25" s="148">
        <f>X$31*(SUM([1]SAF!O29:S29)/SUM([1]SAF!O$35:S$35))</f>
        <v>22.326235030016331</v>
      </c>
      <c r="Y25" s="148">
        <f>Y$31*(SUM([1]SAF!P29:T29)/SUM([1]SAF!P$35:T$35))</f>
        <v>22.324746200823178</v>
      </c>
      <c r="Z25" s="148">
        <f>Z$31*(SUM([1]SAF!Q29:U29)/SUM([1]SAF!Q$35:U$35))</f>
        <v>22.324153242351127</v>
      </c>
      <c r="AA25" s="148">
        <f>AA$31*(SUM([1]SAF!R29:V29)/SUM([1]SAF!R$35:V$35))</f>
        <v>22.32406130828489</v>
      </c>
      <c r="AB25" s="148">
        <f>AB$31*(SUM([1]SAF!S29:W29)/SUM([1]SAF!S$35:W$35))</f>
        <v>22.324534519749605</v>
      </c>
      <c r="AC25" s="148">
        <f>AC$31*(SUM([1]SAF!T29:X29)/SUM([1]SAF!T$35:X$35))</f>
        <v>22.324687245967073</v>
      </c>
      <c r="AD25" s="148">
        <f>AD$31*(SUM([1]SAF!U29:Y29)/SUM([1]SAF!U$35:Y$35))</f>
        <v>22.324431273431486</v>
      </c>
      <c r="AE25" s="148">
        <f>AE$31*(SUM([1]SAF!V29:Z29)/SUM([1]SAF!V$35:Z$35))</f>
        <v>22.324376457104098</v>
      </c>
      <c r="AF25" s="148">
        <f>AF$31*(SUM([1]SAF!W29:AA29)/SUM([1]SAF!W$35:AA$35))</f>
        <v>22.324419401257092</v>
      </c>
      <c r="AG25" s="148">
        <f>AG$31*(SUM([1]SAF!X29:AB29)/SUM([1]SAF!X$35:AB$35))</f>
        <v>22.324486861919052</v>
      </c>
      <c r="AH25" s="148">
        <f>AH$31*(SUM([1]SAF!Y29:AC29)/SUM([1]SAF!Y$35:AC$35))</f>
        <v>22.324478173619401</v>
      </c>
      <c r="AI25" s="148">
        <f>AI$31*(SUM([1]SAF!Z29:AD29)/SUM([1]SAF!Z$35:AD$35))</f>
        <v>22.324439577195747</v>
      </c>
      <c r="AJ25" s="148">
        <f>AJ$31*(SUM([1]SAF!AA29:AE29)/SUM([1]SAF!AA$35:AE$35))</f>
        <v>22.324441111772376</v>
      </c>
      <c r="AK25" s="148">
        <f>AK$31*(SUM([1]SAF!AB29:AF29)/SUM([1]SAF!AB$35:AF$35))</f>
        <v>22.324453020878465</v>
      </c>
    </row>
    <row r="26" spans="1:37" s="119" customFormat="1" x14ac:dyDescent="0.2">
      <c r="A26" s="119" t="s">
        <v>90</v>
      </c>
      <c r="B26" s="147">
        <v>0</v>
      </c>
      <c r="C26" s="147">
        <v>0</v>
      </c>
      <c r="D26" s="147">
        <v>0</v>
      </c>
      <c r="E26" s="147">
        <v>0</v>
      </c>
      <c r="F26" s="147">
        <v>0</v>
      </c>
      <c r="G26" s="147">
        <v>0</v>
      </c>
      <c r="H26" s="147">
        <v>0</v>
      </c>
      <c r="I26" s="147">
        <v>0</v>
      </c>
      <c r="J26" s="147">
        <v>0</v>
      </c>
      <c r="K26" s="147">
        <v>0</v>
      </c>
      <c r="L26" s="148">
        <f>L$31*(SUM([1]SAF!C30:G30)/SUM([1]SAF!C$35:G$35))</f>
        <v>5.1283947437151722</v>
      </c>
      <c r="M26" s="148">
        <f>M$31*(SUM([1]SAF!D30:H30)/SUM([1]SAF!D$35:H$35))</f>
        <v>10.39128541553262</v>
      </c>
      <c r="N26" s="148">
        <f>N$31*(SUM([1]SAF!E30:I30)/SUM([1]SAF!E$35:I$35))</f>
        <v>16.419934273282038</v>
      </c>
      <c r="O26" s="148">
        <f>O$31*(SUM([1]SAF!F30:J30)/SUM([1]SAF!F$35:J$35))</f>
        <v>19.710943262646428</v>
      </c>
      <c r="P26" s="148">
        <f>P$31*(SUM([1]SAF!G30:K30)/SUM([1]SAF!G$35:K$35))</f>
        <v>21.628300193104682</v>
      </c>
      <c r="Q26" s="148">
        <f>Q$31*(SUM([1]SAF!H30:L30)/SUM([1]SAF!H$35:L$35))</f>
        <v>24.294324639345088</v>
      </c>
      <c r="R26" s="148">
        <f>R$31*(SUM([1]SAF!I30:M30)/SUM([1]SAF!I$35:M$35))</f>
        <v>24.276466793969366</v>
      </c>
      <c r="S26" s="148">
        <f>S$31*(SUM([1]SAF!J30:N30)/SUM([1]SAF!J$35:N$35))</f>
        <v>24.313377835278867</v>
      </c>
      <c r="T26" s="148">
        <f>T$31*(SUM([1]SAF!K30:O30)/SUM([1]SAF!K$35:O$35))</f>
        <v>24.316700052901947</v>
      </c>
      <c r="U26" s="148">
        <f>U$31*(SUM([1]SAF!L30:P30)/SUM([1]SAF!L$35:P$35))</f>
        <v>24.309147588935183</v>
      </c>
      <c r="V26" s="148">
        <f>V$31*(SUM([1]SAF!M30:Q30)/SUM([1]SAF!M$35:Q$35))</f>
        <v>24.304530614001024</v>
      </c>
      <c r="W26" s="148">
        <f>W$31*(SUM([1]SAF!N30:R30)/SUM([1]SAF!N$35:R$35))</f>
        <v>24.305603645811562</v>
      </c>
      <c r="X26" s="148">
        <f>X$31*(SUM([1]SAF!O30:S30)/SUM([1]SAF!O$35:S$35))</f>
        <v>24.309429258676179</v>
      </c>
      <c r="Y26" s="148">
        <f>Y$31*(SUM([1]SAF!P30:T30)/SUM([1]SAF!P$35:T$35))</f>
        <v>24.308837861558136</v>
      </c>
      <c r="Z26" s="148">
        <f>Z$31*(SUM([1]SAF!Q30:U30)/SUM([1]SAF!Q$35:U$35))</f>
        <v>24.30734713514676</v>
      </c>
      <c r="AA26" s="148">
        <f>AA$31*(SUM([1]SAF!R30:V30)/SUM([1]SAF!R$35:V$35))</f>
        <v>24.306995737245469</v>
      </c>
      <c r="AB26" s="148">
        <f>AB$31*(SUM([1]SAF!S30:W30)/SUM([1]SAF!S$35:W$35))</f>
        <v>24.30752006932633</v>
      </c>
      <c r="AC26" s="148">
        <f>AC$31*(SUM([1]SAF!T30:X30)/SUM([1]SAF!T$35:X$35))</f>
        <v>24.307951648387814</v>
      </c>
      <c r="AD26" s="148">
        <f>AD$31*(SUM([1]SAF!U30:Y30)/SUM([1]SAF!U$35:Y$35))</f>
        <v>24.307707281189234</v>
      </c>
      <c r="AE26" s="148">
        <f>AE$31*(SUM([1]SAF!V30:Z30)/SUM([1]SAF!V$35:Z$35))</f>
        <v>24.307510492134735</v>
      </c>
      <c r="AF26" s="148">
        <f>AF$31*(SUM([1]SAF!W30:AA30)/SUM([1]SAF!W$35:AA$35))</f>
        <v>24.307541920288074</v>
      </c>
      <c r="AG26" s="148">
        <f>AG$31*(SUM([1]SAF!X30:AB30)/SUM([1]SAF!X$35:AB$35))</f>
        <v>24.307644814989924</v>
      </c>
      <c r="AH26" s="148">
        <f>AH$31*(SUM([1]SAF!Y30:AC30)/SUM([1]SAF!Y$35:AC$35))</f>
        <v>24.307667556849815</v>
      </c>
      <c r="AI26" s="148">
        <f>AI$31*(SUM([1]SAF!Z30:AD30)/SUM([1]SAF!Z$35:AD$35))</f>
        <v>24.307615111285013</v>
      </c>
      <c r="AJ26" s="148">
        <f>AJ$31*(SUM([1]SAF!AA30:AE30)/SUM([1]SAF!AA$35:AE$35))</f>
        <v>24.307598077831752</v>
      </c>
      <c r="AK26" s="148">
        <f>AK$31*(SUM([1]SAF!AB30:AF30)/SUM([1]SAF!AB$35:AF$35))</f>
        <v>24.307614210732677</v>
      </c>
    </row>
    <row r="27" spans="1:37" s="119" customFormat="1" x14ac:dyDescent="0.2">
      <c r="A27" s="119" t="s">
        <v>91</v>
      </c>
      <c r="B27" s="147">
        <v>0</v>
      </c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8">
        <f>L$31*(SUM([1]SAF!C31:G31)/SUM([1]SAF!C$35:G$35))</f>
        <v>2.3509919740683398</v>
      </c>
      <c r="M27" s="148">
        <f>M$31*(SUM([1]SAF!D31:H31)/SUM([1]SAF!D$35:H$35))</f>
        <v>14.034490798187058</v>
      </c>
      <c r="N27" s="148">
        <f>N$31*(SUM([1]SAF!E31:I31)/SUM([1]SAF!E$35:I$35))</f>
        <v>19.00514310947305</v>
      </c>
      <c r="O27" s="148">
        <f>O$31*(SUM([1]SAF!F31:J31)/SUM([1]SAF!F$35:J$35))</f>
        <v>23.71186785298606</v>
      </c>
      <c r="P27" s="148">
        <f>P$31*(SUM([1]SAF!G31:K31)/SUM([1]SAF!G$35:K$35))</f>
        <v>26.181820612538427</v>
      </c>
      <c r="Q27" s="148">
        <f>Q$31*(SUM([1]SAF!H31:L31)/SUM([1]SAF!H$35:L$35))</f>
        <v>29.67571632859703</v>
      </c>
      <c r="R27" s="148">
        <f>R$31*(SUM([1]SAF!I31:M31)/SUM([1]SAF!I$35:M$35))</f>
        <v>29.464656039219832</v>
      </c>
      <c r="S27" s="148">
        <f>S$31*(SUM([1]SAF!J31:N31)/SUM([1]SAF!J$35:N$35))</f>
        <v>29.566122652512977</v>
      </c>
      <c r="T27" s="148">
        <f>T$31*(SUM([1]SAF!K31:O31)/SUM([1]SAF!K$35:O$35))</f>
        <v>29.575078543316188</v>
      </c>
      <c r="U27" s="148">
        <f>U$31*(SUM([1]SAF!L31:P31)/SUM([1]SAF!L$35:P$35))</f>
        <v>29.571414365560823</v>
      </c>
      <c r="V27" s="148">
        <f>V$31*(SUM([1]SAF!M31:Q31)/SUM([1]SAF!M$35:Q$35))</f>
        <v>29.566331157094648</v>
      </c>
      <c r="W27" s="148">
        <f>W$31*(SUM([1]SAF!N31:R31)/SUM([1]SAF!N$35:R$35))</f>
        <v>29.554508569222811</v>
      </c>
      <c r="X27" s="148">
        <f>X$31*(SUM([1]SAF!O31:S31)/SUM([1]SAF!O$35:S$35))</f>
        <v>29.566306034390252</v>
      </c>
      <c r="Y27" s="148">
        <f>Y$31*(SUM([1]SAF!P31:T31)/SUM([1]SAF!P$35:T$35))</f>
        <v>29.566333500367147</v>
      </c>
      <c r="Z27" s="148">
        <f>Z$31*(SUM([1]SAF!Q31:U31)/SUM([1]SAF!Q$35:U$35))</f>
        <v>29.564675379122999</v>
      </c>
      <c r="AA27" s="148">
        <f>AA$31*(SUM([1]SAF!R31:V31)/SUM([1]SAF!R$35:V$35))</f>
        <v>29.563360118655702</v>
      </c>
      <c r="AB27" s="148">
        <f>AB$31*(SUM([1]SAF!S31:W31)/SUM([1]SAF!S$35:W$35))</f>
        <v>29.562728178337697</v>
      </c>
      <c r="AC27" s="148">
        <f>AC$31*(SUM([1]SAF!T31:X31)/SUM([1]SAF!T$35:X$35))</f>
        <v>29.564579236394675</v>
      </c>
      <c r="AD27" s="148">
        <f>AD$31*(SUM([1]SAF!U31:Y31)/SUM([1]SAF!U$35:Y$35))</f>
        <v>29.564293658531529</v>
      </c>
      <c r="AE27" s="148">
        <f>AE$31*(SUM([1]SAF!V31:Z31)/SUM([1]SAF!V$35:Z$35))</f>
        <v>29.563938603236739</v>
      </c>
      <c r="AF27" s="148">
        <f>AF$31*(SUM([1]SAF!W31:AA31)/SUM([1]SAF!W$35:AA$35))</f>
        <v>29.56379685536405</v>
      </c>
      <c r="AG27" s="148">
        <f>AG$31*(SUM([1]SAF!X31:AB31)/SUM([1]SAF!X$35:AB$35))</f>
        <v>29.563879131615565</v>
      </c>
      <c r="AH27" s="148">
        <f>AH$31*(SUM([1]SAF!Y31:AC31)/SUM([1]SAF!Y$35:AC$35))</f>
        <v>29.564088957091144</v>
      </c>
      <c r="AI27" s="148">
        <f>AI$31*(SUM([1]SAF!Z31:AD31)/SUM([1]SAF!Z$35:AD$35))</f>
        <v>29.563998447619571</v>
      </c>
      <c r="AJ27" s="148">
        <f>AJ$31*(SUM([1]SAF!AA31:AE31)/SUM([1]SAF!AA$35:AE$35))</f>
        <v>29.56394389118584</v>
      </c>
      <c r="AK27" s="148">
        <f>AK$31*(SUM([1]SAF!AB31:AF31)/SUM([1]SAF!AB$35:AF$35))</f>
        <v>29.563944865202838</v>
      </c>
    </row>
    <row r="28" spans="1:37" s="119" customFormat="1" x14ac:dyDescent="0.2">
      <c r="A28" s="119" t="s">
        <v>92</v>
      </c>
      <c r="B28" s="147">
        <v>0</v>
      </c>
      <c r="C28" s="147">
        <v>0</v>
      </c>
      <c r="D28" s="147">
        <v>0</v>
      </c>
      <c r="E28" s="147">
        <v>0</v>
      </c>
      <c r="F28" s="147">
        <v>0</v>
      </c>
      <c r="G28" s="147">
        <v>0</v>
      </c>
      <c r="H28" s="147">
        <v>0</v>
      </c>
      <c r="I28" s="147">
        <v>0</v>
      </c>
      <c r="J28" s="147">
        <v>0</v>
      </c>
      <c r="K28" s="147">
        <v>0</v>
      </c>
      <c r="L28" s="148">
        <f>L$31*(SUM([1]SAF!C32:G32)/SUM([1]SAF!C$35:G$35))</f>
        <v>5.3618535197666191</v>
      </c>
      <c r="M28" s="148">
        <f>M$31*(SUM([1]SAF!D32:H32)/SUM([1]SAF!D$35:H$35))</f>
        <v>11.175668682986741</v>
      </c>
      <c r="N28" s="148">
        <f>N$31*(SUM([1]SAF!E32:I32)/SUM([1]SAF!E$35:I$35))</f>
        <v>19.337280674626442</v>
      </c>
      <c r="O28" s="148">
        <f>O$31*(SUM([1]SAF!F32:J32)/SUM([1]SAF!F$35:J$35))</f>
        <v>23.732780680128641</v>
      </c>
      <c r="P28" s="148">
        <f>P$31*(SUM([1]SAF!G32:K32)/SUM([1]SAF!G$35:K$35))</f>
        <v>25.570929188826625</v>
      </c>
      <c r="Q28" s="148">
        <f>Q$31*(SUM([1]SAF!H32:L32)/SUM([1]SAF!H$35:L$35))</f>
        <v>28.861168779734317</v>
      </c>
      <c r="R28" s="148">
        <f>R$31*(SUM([1]SAF!I32:M32)/SUM([1]SAF!I$35:M$35))</f>
        <v>28.857388738762044</v>
      </c>
      <c r="S28" s="148">
        <f>S$31*(SUM([1]SAF!J32:N32)/SUM([1]SAF!J$35:N$35))</f>
        <v>28.877433961221787</v>
      </c>
      <c r="T28" s="148">
        <f>T$31*(SUM([1]SAF!K32:O32)/SUM([1]SAF!K$35:O$35))</f>
        <v>28.86421234737535</v>
      </c>
      <c r="U28" s="148">
        <f>U$31*(SUM([1]SAF!L32:P32)/SUM([1]SAF!L$35:P$35))</f>
        <v>28.866123399013755</v>
      </c>
      <c r="V28" s="148">
        <f>V$31*(SUM([1]SAF!M32:Q32)/SUM([1]SAF!M$35:Q$35))</f>
        <v>28.865820413222128</v>
      </c>
      <c r="W28" s="148">
        <f>W$31*(SUM([1]SAF!N32:R32)/SUM([1]SAF!N$35:R$35))</f>
        <v>28.866289721788121</v>
      </c>
      <c r="X28" s="148">
        <f>X$31*(SUM([1]SAF!O32:S32)/SUM([1]SAF!O$35:S$35))</f>
        <v>28.867458403818581</v>
      </c>
      <c r="Y28" s="148">
        <f>Y$31*(SUM([1]SAF!P32:T32)/SUM([1]SAF!P$35:T$35))</f>
        <v>28.865964317089929</v>
      </c>
      <c r="Z28" s="148">
        <f>Z$31*(SUM([1]SAF!Q32:U32)/SUM([1]SAF!Q$35:U$35))</f>
        <v>28.866296502788696</v>
      </c>
      <c r="AA28" s="148">
        <f>AA$31*(SUM([1]SAF!R32:V32)/SUM([1]SAF!R$35:V$35))</f>
        <v>28.866330287773138</v>
      </c>
      <c r="AB28" s="148">
        <f>AB$31*(SUM([1]SAF!S32:W32)/SUM([1]SAF!S$35:W$35))</f>
        <v>28.866438738165996</v>
      </c>
      <c r="AC28" s="148">
        <f>AC$31*(SUM([1]SAF!T32:X32)/SUM([1]SAF!T$35:X$35))</f>
        <v>28.866472296692088</v>
      </c>
      <c r="AD28" s="148">
        <f>AD$31*(SUM([1]SAF!U32:Y32)/SUM([1]SAF!U$35:Y$35))</f>
        <v>28.866309214289437</v>
      </c>
      <c r="AE28" s="148">
        <f>AE$31*(SUM([1]SAF!V32:Z32)/SUM([1]SAF!V$35:Z$35))</f>
        <v>28.866369247167821</v>
      </c>
      <c r="AF28" s="148">
        <f>AF$31*(SUM([1]SAF!W32:AA32)/SUM([1]SAF!W$35:AA$35))</f>
        <v>28.866383242415473</v>
      </c>
      <c r="AG28" s="148">
        <f>AG$31*(SUM([1]SAF!X32:AB32)/SUM([1]SAF!X$35:AB$35))</f>
        <v>28.866393218470581</v>
      </c>
      <c r="AH28" s="148">
        <f>AH$31*(SUM([1]SAF!Y32:AC32)/SUM([1]SAF!Y$35:AC$35))</f>
        <v>28.866384919965405</v>
      </c>
      <c r="AI28" s="148">
        <f>AI$31*(SUM([1]SAF!Z32:AD32)/SUM([1]SAF!Z$35:AD$35))</f>
        <v>28.866368789524444</v>
      </c>
      <c r="AJ28" s="148">
        <f>AJ$31*(SUM([1]SAF!AA32:AE32)/SUM([1]SAF!AA$35:AE$35))</f>
        <v>28.866379799321948</v>
      </c>
      <c r="AK28" s="148">
        <f>AK$31*(SUM([1]SAF!AB32:AF32)/SUM([1]SAF!AB$35:AF$35))</f>
        <v>28.866381742982412</v>
      </c>
    </row>
    <row r="29" spans="1:37" s="119" customFormat="1" x14ac:dyDescent="0.2">
      <c r="A29" s="119" t="s">
        <v>93</v>
      </c>
      <c r="B29" s="147">
        <v>0</v>
      </c>
      <c r="C29" s="147">
        <v>0</v>
      </c>
      <c r="D29" s="147">
        <v>0</v>
      </c>
      <c r="E29" s="147">
        <v>0</v>
      </c>
      <c r="F29" s="147">
        <v>0</v>
      </c>
      <c r="G29" s="147">
        <v>0</v>
      </c>
      <c r="H29" s="147">
        <v>0</v>
      </c>
      <c r="I29" s="147">
        <v>0</v>
      </c>
      <c r="J29" s="147">
        <v>0</v>
      </c>
      <c r="K29" s="147">
        <v>0</v>
      </c>
      <c r="L29" s="148">
        <f>L$31*(SUM([1]SAF!C33:G33)/SUM([1]SAF!C$35:G$35))+5</f>
        <v>6.5105819992295793</v>
      </c>
      <c r="M29" s="148">
        <f>M$31*(SUM([1]SAF!D33:H33)/SUM([1]SAF!D$35:H$35))</f>
        <v>4.5818696306909805</v>
      </c>
      <c r="N29" s="148">
        <f>N$31*(SUM([1]SAF!E33:I33)/SUM([1]SAF!E$35:I$35))</f>
        <v>16.376691402961768</v>
      </c>
      <c r="O29" s="148">
        <f>O$31*(SUM([1]SAF!F33:J33)/SUM([1]SAF!F$35:J$35))</f>
        <v>20.062644853664132</v>
      </c>
      <c r="P29" s="148">
        <f>P$31*(SUM([1]SAF!G33:K33)/SUM([1]SAF!G$35:K$35))</f>
        <v>22.061226251003877</v>
      </c>
      <c r="Q29" s="148">
        <f>Q$31*(SUM([1]SAF!H33:L33)/SUM([1]SAF!H$35:L$35))</f>
        <v>24.984907977731162</v>
      </c>
      <c r="R29" s="148">
        <f>R$31*(SUM([1]SAF!I33:M33)/SUM([1]SAF!I$35:M$35))</f>
        <v>25.043459224089201</v>
      </c>
      <c r="S29" s="148">
        <f>S$31*(SUM([1]SAF!J33:N33)/SUM([1]SAF!J$35:N$35))</f>
        <v>24.957285082950943</v>
      </c>
      <c r="T29" s="148">
        <f>T$31*(SUM([1]SAF!K33:O33)/SUM([1]SAF!K$35:O$35))</f>
        <v>24.967124047475178</v>
      </c>
      <c r="U29" s="148">
        <f>U$31*(SUM([1]SAF!L33:P33)/SUM([1]SAF!L$35:P$35))</f>
        <v>24.975616584177068</v>
      </c>
      <c r="V29" s="148">
        <f>V$31*(SUM([1]SAF!M33:Q33)/SUM([1]SAF!M$35:Q$35))</f>
        <v>24.982526341212758</v>
      </c>
      <c r="W29" s="148">
        <f>W$31*(SUM([1]SAF!N33:R33)/SUM([1]SAF!N$35:R$35))</f>
        <v>24.982241901835764</v>
      </c>
      <c r="X29" s="148">
        <f>X$31*(SUM([1]SAF!O33:S33)/SUM([1]SAF!O$35:S$35))</f>
        <v>24.974204184623957</v>
      </c>
      <c r="Y29" s="148">
        <f>Y$31*(SUM([1]SAF!P33:T33)/SUM([1]SAF!P$35:T$35))</f>
        <v>24.976738239038045</v>
      </c>
      <c r="Z29" s="148">
        <f>Z$31*(SUM([1]SAF!Q33:U33)/SUM([1]SAF!Q$35:U$35))</f>
        <v>24.978561156932045</v>
      </c>
      <c r="AA29" s="148">
        <f>AA$31*(SUM([1]SAF!R33:V33)/SUM([1]SAF!R$35:V$35))</f>
        <v>24.979135854651567</v>
      </c>
      <c r="AB29" s="148">
        <f>AB$31*(SUM([1]SAF!S33:W33)/SUM([1]SAF!S$35:W$35))</f>
        <v>24.978414697655552</v>
      </c>
      <c r="AC29" s="148">
        <f>AC$31*(SUM([1]SAF!T33:X33)/SUM([1]SAF!T$35:X$35))</f>
        <v>24.977552810303681</v>
      </c>
      <c r="AD29" s="148">
        <f>AD$31*(SUM([1]SAF!U33:Y33)/SUM([1]SAF!U$35:Y$35))</f>
        <v>24.978106606039184</v>
      </c>
      <c r="AE29" s="148">
        <f>AE$31*(SUM([1]SAF!V33:Z33)/SUM([1]SAF!V$35:Z$35))</f>
        <v>24.978344784284424</v>
      </c>
      <c r="AF29" s="148">
        <f>AF$31*(SUM([1]SAF!W33:AA33)/SUM([1]SAF!W$35:AA$35))</f>
        <v>24.978303156479985</v>
      </c>
      <c r="AG29" s="148">
        <f>AG$31*(SUM([1]SAF!X33:AB33)/SUM([1]SAF!X$35:AB$35))</f>
        <v>24.978146285571501</v>
      </c>
      <c r="AH29" s="148">
        <f>AH$31*(SUM([1]SAF!Y33:AC33)/SUM([1]SAF!Y$35:AC$35))</f>
        <v>24.978097352487715</v>
      </c>
      <c r="AI29" s="148">
        <f>AI$31*(SUM([1]SAF!Z33:AD33)/SUM([1]SAF!Z$35:AD$35))</f>
        <v>24.978197879320021</v>
      </c>
      <c r="AJ29" s="148">
        <f>AJ$31*(SUM([1]SAF!AA33:AE33)/SUM([1]SAF!AA$35:AE$35))</f>
        <v>24.978214747072862</v>
      </c>
      <c r="AK29" s="148">
        <f>AK$31*(SUM([1]SAF!AB33:AF33)/SUM([1]SAF!AB$35:AF$35))</f>
        <v>24.978190794789292</v>
      </c>
    </row>
    <row r="30" spans="1:37" s="119" customFormat="1" x14ac:dyDescent="0.2">
      <c r="A30" s="119" t="s">
        <v>94</v>
      </c>
      <c r="B30" s="147">
        <v>0</v>
      </c>
      <c r="C30" s="147">
        <v>0</v>
      </c>
      <c r="D30" s="147">
        <v>0</v>
      </c>
      <c r="E30" s="147">
        <v>0</v>
      </c>
      <c r="F30" s="147">
        <v>0</v>
      </c>
      <c r="G30" s="147">
        <v>0</v>
      </c>
      <c r="H30" s="147">
        <v>0</v>
      </c>
      <c r="I30" s="147">
        <v>0</v>
      </c>
      <c r="J30" s="147">
        <v>0</v>
      </c>
      <c r="K30" s="147">
        <v>0</v>
      </c>
      <c r="L30" s="148">
        <f>L31-SUM(L19:L29)</f>
        <v>7.6336792624135086</v>
      </c>
      <c r="M30" s="148">
        <f>M31-SUM(M19:M29)</f>
        <v>3.7088358635160574</v>
      </c>
      <c r="N30" s="148">
        <f t="shared" ref="N30:AK30" si="14">N31-SUM(N19:N29)</f>
        <v>14.722119781020098</v>
      </c>
      <c r="O30" s="148">
        <f t="shared" si="14"/>
        <v>18.095359559190996</v>
      </c>
      <c r="P30" s="148">
        <f t="shared" si="14"/>
        <v>19.792381079267159</v>
      </c>
      <c r="Q30" s="148">
        <f t="shared" si="14"/>
        <v>22.458456338931768</v>
      </c>
      <c r="R30" s="148">
        <f t="shared" si="14"/>
        <v>22.510347357975377</v>
      </c>
      <c r="S30" s="148">
        <f t="shared" si="14"/>
        <v>22.422694896913441</v>
      </c>
      <c r="T30" s="148">
        <f t="shared" si="14"/>
        <v>22.428139351101777</v>
      </c>
      <c r="U30" s="148">
        <f t="shared" si="14"/>
        <v>22.444041860195028</v>
      </c>
      <c r="V30" s="148">
        <f t="shared" si="14"/>
        <v>22.448887862533383</v>
      </c>
      <c r="W30" s="148">
        <f t="shared" si="14"/>
        <v>22.447831624420303</v>
      </c>
      <c r="X30" s="148">
        <f t="shared" si="14"/>
        <v>22.439623428290417</v>
      </c>
      <c r="Y30" s="148">
        <f t="shared" si="14"/>
        <v>22.442158895036158</v>
      </c>
      <c r="Z30" s="148">
        <f t="shared" si="14"/>
        <v>22.444817098519735</v>
      </c>
      <c r="AA30" s="148">
        <f t="shared" si="14"/>
        <v>22.44496840321969</v>
      </c>
      <c r="AB30" s="148">
        <f t="shared" si="14"/>
        <v>22.444134733640482</v>
      </c>
      <c r="AC30" s="148">
        <f t="shared" si="14"/>
        <v>22.443302192899409</v>
      </c>
      <c r="AD30" s="148">
        <f t="shared" si="14"/>
        <v>22.443910587013107</v>
      </c>
      <c r="AE30" s="148">
        <f t="shared" si="14"/>
        <v>22.444215486883479</v>
      </c>
      <c r="AF30" s="148">
        <f t="shared" si="14"/>
        <v>22.444099743180118</v>
      </c>
      <c r="AG30" s="148">
        <f t="shared" si="14"/>
        <v>22.443936097462853</v>
      </c>
      <c r="AH30" s="148">
        <f t="shared" si="14"/>
        <v>22.443899884932563</v>
      </c>
      <c r="AI30" s="148">
        <f t="shared" si="14"/>
        <v>22.444010223651134</v>
      </c>
      <c r="AJ30" s="148">
        <f t="shared" si="14"/>
        <v>22.444028636993636</v>
      </c>
      <c r="AK30" s="148">
        <f t="shared" si="14"/>
        <v>22.443994220064127</v>
      </c>
    </row>
    <row r="31" spans="1:37" s="119" customFormat="1" ht="13.5" thickBot="1" x14ac:dyDescent="0.25">
      <c r="A31" s="119" t="s">
        <v>121</v>
      </c>
      <c r="B31" s="149">
        <f>SUM(B19:B30)</f>
        <v>0</v>
      </c>
      <c r="C31" s="149">
        <f t="shared" ref="C31:K31" si="15">SUM(C19:C30)</f>
        <v>0</v>
      </c>
      <c r="D31" s="149">
        <f t="shared" si="15"/>
        <v>0</v>
      </c>
      <c r="E31" s="149">
        <f t="shared" si="15"/>
        <v>0</v>
      </c>
      <c r="F31" s="149">
        <f t="shared" si="15"/>
        <v>0</v>
      </c>
      <c r="G31" s="149">
        <f t="shared" si="15"/>
        <v>0</v>
      </c>
      <c r="H31" s="149">
        <f t="shared" si="15"/>
        <v>0</v>
      </c>
      <c r="I31" s="149">
        <f t="shared" si="15"/>
        <v>0</v>
      </c>
      <c r="J31" s="149">
        <f t="shared" si="15"/>
        <v>0</v>
      </c>
      <c r="K31" s="149">
        <f t="shared" si="15"/>
        <v>0</v>
      </c>
      <c r="L31" s="148">
        <f>L4</f>
        <v>40</v>
      </c>
      <c r="M31" s="148">
        <f>M4</f>
        <v>90</v>
      </c>
      <c r="N31" s="148">
        <f t="shared" ref="N31:AK31" si="16">N4</f>
        <v>170</v>
      </c>
      <c r="O31" s="148">
        <f t="shared" si="16"/>
        <v>210</v>
      </c>
      <c r="P31" s="148">
        <f t="shared" si="16"/>
        <v>230</v>
      </c>
      <c r="Q31" s="148">
        <f t="shared" si="16"/>
        <v>260</v>
      </c>
      <c r="R31" s="148">
        <f t="shared" si="16"/>
        <v>260</v>
      </c>
      <c r="S31" s="148">
        <f t="shared" si="16"/>
        <v>260</v>
      </c>
      <c r="T31" s="148">
        <f t="shared" si="16"/>
        <v>260</v>
      </c>
      <c r="U31" s="148">
        <f t="shared" si="16"/>
        <v>260</v>
      </c>
      <c r="V31" s="148">
        <f t="shared" si="16"/>
        <v>260</v>
      </c>
      <c r="W31" s="148">
        <f t="shared" si="16"/>
        <v>260</v>
      </c>
      <c r="X31" s="148">
        <f t="shared" si="16"/>
        <v>260</v>
      </c>
      <c r="Y31" s="148">
        <f t="shared" si="16"/>
        <v>260</v>
      </c>
      <c r="Z31" s="148">
        <f t="shared" si="16"/>
        <v>260</v>
      </c>
      <c r="AA31" s="148">
        <f t="shared" si="16"/>
        <v>260</v>
      </c>
      <c r="AB31" s="148">
        <f t="shared" si="16"/>
        <v>260</v>
      </c>
      <c r="AC31" s="148">
        <f t="shared" si="16"/>
        <v>260</v>
      </c>
      <c r="AD31" s="148">
        <f t="shared" si="16"/>
        <v>260</v>
      </c>
      <c r="AE31" s="148">
        <f t="shared" si="16"/>
        <v>260</v>
      </c>
      <c r="AF31" s="148">
        <f t="shared" si="16"/>
        <v>260</v>
      </c>
      <c r="AG31" s="148">
        <f t="shared" si="16"/>
        <v>260</v>
      </c>
      <c r="AH31" s="148">
        <f t="shared" si="16"/>
        <v>260</v>
      </c>
      <c r="AI31" s="148">
        <f t="shared" si="16"/>
        <v>260</v>
      </c>
      <c r="AJ31" s="148">
        <f t="shared" si="16"/>
        <v>260</v>
      </c>
      <c r="AK31" s="148">
        <f t="shared" si="16"/>
        <v>260</v>
      </c>
    </row>
    <row r="32" spans="1:37" s="119" customFormat="1" x14ac:dyDescent="0.2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</row>
    <row r="33" spans="1:37" s="119" customFormat="1" ht="13.5" thickBot="1" x14ac:dyDescent="0.25">
      <c r="A33" s="119" t="s">
        <v>122</v>
      </c>
    </row>
    <row r="34" spans="1:37" s="119" customFormat="1" ht="13.5" thickBot="1" x14ac:dyDescent="0.25">
      <c r="A34" s="145" t="s">
        <v>111</v>
      </c>
      <c r="B34" s="146">
        <f t="shared" ref="B34:AK34" si="17">B18</f>
        <v>2015</v>
      </c>
      <c r="C34" s="146">
        <f t="shared" si="17"/>
        <v>2016</v>
      </c>
      <c r="D34" s="146">
        <f t="shared" si="17"/>
        <v>2017</v>
      </c>
      <c r="E34" s="146">
        <f t="shared" si="17"/>
        <v>2018</v>
      </c>
      <c r="F34" s="146">
        <f t="shared" si="17"/>
        <v>2019</v>
      </c>
      <c r="G34" s="146">
        <f t="shared" si="17"/>
        <v>2020</v>
      </c>
      <c r="H34" s="146">
        <f t="shared" si="17"/>
        <v>2021</v>
      </c>
      <c r="I34" s="146">
        <f t="shared" si="17"/>
        <v>2022</v>
      </c>
      <c r="J34" s="146">
        <f t="shared" si="17"/>
        <v>2023</v>
      </c>
      <c r="K34" s="146">
        <f t="shared" si="17"/>
        <v>2024</v>
      </c>
      <c r="L34" s="146">
        <f t="shared" si="17"/>
        <v>2025</v>
      </c>
      <c r="M34" s="146">
        <f t="shared" si="17"/>
        <v>2026</v>
      </c>
      <c r="N34" s="146">
        <f t="shared" si="17"/>
        <v>2027</v>
      </c>
      <c r="O34" s="146">
        <f t="shared" si="17"/>
        <v>2028</v>
      </c>
      <c r="P34" s="146">
        <f t="shared" si="17"/>
        <v>2029</v>
      </c>
      <c r="Q34" s="146">
        <f t="shared" si="17"/>
        <v>2030</v>
      </c>
      <c r="R34" s="146">
        <f t="shared" si="17"/>
        <v>2031</v>
      </c>
      <c r="S34" s="146">
        <f t="shared" si="17"/>
        <v>2032</v>
      </c>
      <c r="T34" s="146">
        <f t="shared" si="17"/>
        <v>2033</v>
      </c>
      <c r="U34" s="146">
        <f t="shared" si="17"/>
        <v>2034</v>
      </c>
      <c r="V34" s="146">
        <f t="shared" si="17"/>
        <v>2035</v>
      </c>
      <c r="W34" s="146">
        <f t="shared" si="17"/>
        <v>2036</v>
      </c>
      <c r="X34" s="146">
        <f t="shared" si="17"/>
        <v>2037</v>
      </c>
      <c r="Y34" s="146">
        <f t="shared" si="17"/>
        <v>2038</v>
      </c>
      <c r="Z34" s="146">
        <f t="shared" si="17"/>
        <v>2039</v>
      </c>
      <c r="AA34" s="146">
        <f t="shared" si="17"/>
        <v>2040</v>
      </c>
      <c r="AB34" s="146">
        <f t="shared" si="17"/>
        <v>2041</v>
      </c>
      <c r="AC34" s="146">
        <f t="shared" si="17"/>
        <v>2042</v>
      </c>
      <c r="AD34" s="146">
        <f t="shared" si="17"/>
        <v>2043</v>
      </c>
      <c r="AE34" s="146">
        <f t="shared" si="17"/>
        <v>2044</v>
      </c>
      <c r="AF34" s="146">
        <f t="shared" si="17"/>
        <v>2045</v>
      </c>
      <c r="AG34" s="146">
        <f t="shared" si="17"/>
        <v>2046</v>
      </c>
      <c r="AH34" s="146">
        <f t="shared" si="17"/>
        <v>2047</v>
      </c>
      <c r="AI34" s="146">
        <f t="shared" si="17"/>
        <v>2048</v>
      </c>
      <c r="AJ34" s="146">
        <f t="shared" si="17"/>
        <v>2049</v>
      </c>
      <c r="AK34" s="146">
        <f t="shared" si="17"/>
        <v>2050</v>
      </c>
    </row>
    <row r="35" spans="1:37" s="119" customFormat="1" x14ac:dyDescent="0.2">
      <c r="A35" s="119" t="s">
        <v>83</v>
      </c>
      <c r="B35" s="147">
        <v>0</v>
      </c>
      <c r="C35" s="147">
        <v>0</v>
      </c>
      <c r="D35" s="147">
        <v>0</v>
      </c>
      <c r="E35" s="147">
        <v>0</v>
      </c>
      <c r="F35" s="147">
        <v>0</v>
      </c>
      <c r="G35" s="147">
        <v>0</v>
      </c>
      <c r="H35" s="147">
        <v>0</v>
      </c>
      <c r="I35" s="147">
        <v>0</v>
      </c>
      <c r="J35" s="147">
        <v>0</v>
      </c>
      <c r="K35" s="147">
        <v>0</v>
      </c>
      <c r="L35" s="147">
        <v>0</v>
      </c>
      <c r="M35" s="151">
        <f>M19*([1]SAF!J$7/[1]SAF!J$6)</f>
        <v>0.21316065207043483</v>
      </c>
      <c r="N35" s="151">
        <f>N19*([1]SAF!K$7/[1]SAF!K$6)</f>
        <v>0.42144381923766633</v>
      </c>
      <c r="O35" s="151">
        <f>O19*([1]SAF!L$7/[1]SAF!L$6)</f>
        <v>0.53641757045217775</v>
      </c>
      <c r="P35" s="151">
        <f>P19*([1]SAF!M$7/[1]SAF!M$6)</f>
        <v>0.52899238272396321</v>
      </c>
      <c r="Q35" s="151">
        <f>Q19*([1]SAF!N$7/[1]SAF!N$6)</f>
        <v>0.59840517097958223</v>
      </c>
      <c r="R35" s="151">
        <f>R19*([1]SAF!O$7/[1]SAF!O$6)</f>
        <v>0.46501068471925056</v>
      </c>
      <c r="S35" s="151">
        <f>S19*([1]SAF!P$7/[1]SAF!P$6)</f>
        <v>0.32996490103449838</v>
      </c>
      <c r="T35" s="151">
        <f>T19*([1]SAF!Q$7/[1]SAF!Q$6)</f>
        <v>0.33008417103826293</v>
      </c>
      <c r="U35" s="151">
        <f>U19*([1]SAF!R$7/[1]SAF!R$6)</f>
        <v>0.33048410136879819</v>
      </c>
      <c r="V35" s="151">
        <f>V19*([1]SAF!S$7/[1]SAF!S$6)</f>
        <v>0.33172411931442741</v>
      </c>
      <c r="W35" s="151">
        <f>W19*([1]SAF!T$7/[1]SAF!T$6)</f>
        <v>0.39925852671594275</v>
      </c>
      <c r="X35" s="151">
        <f>X19*([1]SAF!U$7/[1]SAF!U$6)</f>
        <v>0.36470918689805543</v>
      </c>
      <c r="Y35" s="151">
        <f>Y19*([1]SAF!V$7/[1]SAF!V$6)</f>
        <v>0.32709099140702674</v>
      </c>
      <c r="Z35" s="151">
        <f>Z19*([1]SAF!W$7/[1]SAF!W$6)</f>
        <v>0.29337195114577386</v>
      </c>
      <c r="AA35" s="151">
        <f>AA19*([1]SAF!X$7/[1]SAF!X$6)</f>
        <v>0.27179378521043523</v>
      </c>
      <c r="AB35" s="151">
        <f>AB19*([1]SAF!Y$7/[1]SAF!Y$6)</f>
        <v>0.27100896453613249</v>
      </c>
      <c r="AC35" s="151">
        <f>AC19*([1]SAF!Z$7/[1]SAF!Z$6)</f>
        <v>0.27559328971671498</v>
      </c>
      <c r="AD35" s="151">
        <f>AD19*([1]SAF!AA$7/[1]SAF!AA$6)</f>
        <v>0.32742299971991518</v>
      </c>
      <c r="AE35" s="151">
        <f>AE19*([1]SAF!AB$7/[1]SAF!AB$6)</f>
        <v>0.3324999058485853</v>
      </c>
      <c r="AF35" s="151">
        <f>AF19*([1]SAF!AC$7/[1]SAF!AC$6)</f>
        <v>0.3314374847882694</v>
      </c>
      <c r="AG35" s="151">
        <f>AG19*([1]SAF!AD$7/[1]SAF!AD$6)</f>
        <v>0.32182650399132279</v>
      </c>
      <c r="AH35" s="151">
        <f>AH19*([1]SAF!AE$7/[1]SAF!AE$6)</f>
        <v>0.31795951809413059</v>
      </c>
      <c r="AI35" s="151">
        <f>AI19*([1]SAF!AF$7/[1]SAF!AF$6)</f>
        <v>0.32397303463166122</v>
      </c>
      <c r="AJ35" s="151">
        <f>AJ19*([1]SAF!AG$7/[1]SAF!AG$6)</f>
        <v>0.33091779948724664</v>
      </c>
      <c r="AK35" s="151">
        <f>AK19*([1]SAF!AH$7/[1]SAF!AH$6)</f>
        <v>0.3409766955600016</v>
      </c>
    </row>
    <row r="36" spans="1:37" s="119" customFormat="1" x14ac:dyDescent="0.2">
      <c r="A36" s="119" t="s">
        <v>84</v>
      </c>
      <c r="B36" s="147">
        <v>0</v>
      </c>
      <c r="C36" s="147">
        <v>0</v>
      </c>
      <c r="D36" s="147">
        <v>0</v>
      </c>
      <c r="E36" s="147">
        <v>0</v>
      </c>
      <c r="F36" s="147">
        <v>0</v>
      </c>
      <c r="G36" s="147">
        <v>0</v>
      </c>
      <c r="H36" s="147">
        <v>0</v>
      </c>
      <c r="I36" s="147">
        <v>0</v>
      </c>
      <c r="J36" s="147">
        <v>0</v>
      </c>
      <c r="K36" s="147">
        <v>0</v>
      </c>
      <c r="L36" s="147">
        <v>0</v>
      </c>
      <c r="M36" s="151">
        <f>M20*([1]SAF!J$7/[1]SAF!J$6)</f>
        <v>0.54136069041513091</v>
      </c>
      <c r="N36" s="151">
        <f>N20*([1]SAF!K$7/[1]SAF!K$6)</f>
        <v>0.83291707996338982</v>
      </c>
      <c r="O36" s="151">
        <f>O20*([1]SAF!L$7/[1]SAF!L$6)</f>
        <v>1.0331167121851035</v>
      </c>
      <c r="P36" s="151">
        <f>P20*([1]SAF!M$7/[1]SAF!M$6)</f>
        <v>1.0069496780639025</v>
      </c>
      <c r="Q36" s="151">
        <f>Q20*([1]SAF!N$7/[1]SAF!N$6)</f>
        <v>1.1347357312100366</v>
      </c>
      <c r="R36" s="151">
        <f>R20*([1]SAF!O$7/[1]SAF!O$6)</f>
        <v>0.88227759429087826</v>
      </c>
      <c r="S36" s="151">
        <f>S20*([1]SAF!P$7/[1]SAF!P$6)</f>
        <v>0.62630516987028406</v>
      </c>
      <c r="T36" s="151">
        <f>T20*([1]SAF!Q$7/[1]SAF!Q$6)</f>
        <v>0.62658842552221228</v>
      </c>
      <c r="U36" s="151">
        <f>U20*([1]SAF!R$7/[1]SAF!R$6)</f>
        <v>0.62736985195193817</v>
      </c>
      <c r="V36" s="151">
        <f>V20*([1]SAF!S$7/[1]SAF!S$6)</f>
        <v>0.62956046567602753</v>
      </c>
      <c r="W36" s="151">
        <f>W20*([1]SAF!T$7/[1]SAF!T$6)</f>
        <v>0.757797959508276</v>
      </c>
      <c r="X36" s="151">
        <f>X20*([1]SAF!U$7/[1]SAF!U$6)</f>
        <v>0.69225577354006662</v>
      </c>
      <c r="Y36" s="151">
        <f>Y20*([1]SAF!V$7/[1]SAF!V$6)</f>
        <v>0.62085289557123136</v>
      </c>
      <c r="Z36" s="151">
        <f>Z20*([1]SAF!W$7/[1]SAF!W$6)</f>
        <v>0.55684150757218775</v>
      </c>
      <c r="AA36" s="151">
        <f>AA20*([1]SAF!X$7/[1]SAF!X$6)</f>
        <v>0.51587064278702144</v>
      </c>
      <c r="AB36" s="151">
        <f>AB20*([1]SAF!Y$7/[1]SAF!Y$6)</f>
        <v>0.51439133774902701</v>
      </c>
      <c r="AC36" s="151">
        <f>AC20*([1]SAF!Z$7/[1]SAF!Z$6)</f>
        <v>0.52309558177832227</v>
      </c>
      <c r="AD36" s="151">
        <f>AD20*([1]SAF!AA$7/[1]SAF!AA$6)</f>
        <v>0.62147027420026435</v>
      </c>
      <c r="AE36" s="151">
        <f>AE20*([1]SAF!AB$7/[1]SAF!AB$6)</f>
        <v>0.63110431042396442</v>
      </c>
      <c r="AF36" s="151">
        <f>AF20*([1]SAF!AC$7/[1]SAF!AC$6)</f>
        <v>0.62908682782063341</v>
      </c>
      <c r="AG36" s="151">
        <f>AG20*([1]SAF!AD$7/[1]SAF!AD$6)</f>
        <v>0.61084668419587218</v>
      </c>
      <c r="AH36" s="151">
        <f>AH20*([1]SAF!AE$7/[1]SAF!AE$6)</f>
        <v>0.60350701220590697</v>
      </c>
      <c r="AI36" s="151">
        <f>AI20*([1]SAF!AF$7/[1]SAF!AF$6)</f>
        <v>0.61492053946234404</v>
      </c>
      <c r="AJ36" s="151">
        <f>AJ20*([1]SAF!AG$7/[1]SAF!AG$6)</f>
        <v>0.62810184739130348</v>
      </c>
      <c r="AK36" s="151">
        <f>AK20*([1]SAF!AH$7/[1]SAF!AH$6)</f>
        <v>0.64719432468483495</v>
      </c>
    </row>
    <row r="37" spans="1:37" s="119" customFormat="1" x14ac:dyDescent="0.2">
      <c r="A37" s="119" t="s">
        <v>85</v>
      </c>
      <c r="B37" s="147">
        <v>0</v>
      </c>
      <c r="C37" s="147">
        <v>0</v>
      </c>
      <c r="D37" s="147">
        <v>0</v>
      </c>
      <c r="E37" s="147">
        <v>0</v>
      </c>
      <c r="F37" s="147">
        <v>0</v>
      </c>
      <c r="G37" s="147">
        <v>0</v>
      </c>
      <c r="H37" s="147">
        <v>0</v>
      </c>
      <c r="I37" s="147">
        <v>0</v>
      </c>
      <c r="J37" s="147">
        <v>0</v>
      </c>
      <c r="K37" s="147">
        <v>0</v>
      </c>
      <c r="L37" s="151">
        <f>L21*([1]SAF!I$7/[1]SAF!I$6)</f>
        <v>0</v>
      </c>
      <c r="M37" s="151">
        <f>M21*([1]SAF!J$7/[1]SAF!J$6)</f>
        <v>0.57656875374470207</v>
      </c>
      <c r="N37" s="151">
        <f>N21*([1]SAF!K$7/[1]SAF!K$6)</f>
        <v>0.33695429004252259</v>
      </c>
      <c r="O37" s="151">
        <f>O21*([1]SAF!L$7/[1]SAF!L$6)</f>
        <v>0.41524412564986607</v>
      </c>
      <c r="P37" s="151">
        <f>P21*([1]SAF!M$7/[1]SAF!M$6)</f>
        <v>0.40296079493860371</v>
      </c>
      <c r="Q37" s="151">
        <f>Q21*([1]SAF!N$7/[1]SAF!N$6)</f>
        <v>0.45357993822895915</v>
      </c>
      <c r="R37" s="151">
        <f>R21*([1]SAF!O$7/[1]SAF!O$6)</f>
        <v>0.35022113167378399</v>
      </c>
      <c r="S37" s="151">
        <f>S21*([1]SAF!P$7/[1]SAF!P$6)</f>
        <v>0.25033898115108816</v>
      </c>
      <c r="T37" s="151">
        <f>T21*([1]SAF!Q$7/[1]SAF!Q$6)</f>
        <v>0.25033561679681693</v>
      </c>
      <c r="U37" s="151">
        <f>U21*([1]SAF!R$7/[1]SAF!R$6)</f>
        <v>0.25041472725343999</v>
      </c>
      <c r="V37" s="151">
        <f>V21*([1]SAF!S$7/[1]SAF!S$6)</f>
        <v>0.2512274001248061</v>
      </c>
      <c r="W37" s="151">
        <f>W21*([1]SAF!T$7/[1]SAF!T$6)</f>
        <v>0.30234617077077347</v>
      </c>
      <c r="X37" s="151">
        <f>X21*([1]SAF!U$7/[1]SAF!U$6)</f>
        <v>0.27638095387976952</v>
      </c>
      <c r="Y37" s="151">
        <f>Y21*([1]SAF!V$7/[1]SAF!V$6)</f>
        <v>0.24783073527526481</v>
      </c>
      <c r="Z37" s="151">
        <f>Z21*([1]SAF!W$7/[1]SAF!W$6)</f>
        <v>0.22224252027532307</v>
      </c>
      <c r="AA37" s="151">
        <f>AA21*([1]SAF!X$7/[1]SAF!X$6)</f>
        <v>0.205886765022739</v>
      </c>
      <c r="AB37" s="151">
        <f>AB21*([1]SAF!Y$7/[1]SAF!Y$6)</f>
        <v>0.20530220330809704</v>
      </c>
      <c r="AC37" s="151">
        <f>AC21*([1]SAF!Z$7/[1]SAF!Z$6)</f>
        <v>0.20879233580158449</v>
      </c>
      <c r="AD37" s="151">
        <f>AD21*([1]SAF!AA$7/[1]SAF!AA$6)</f>
        <v>0.24804815151227402</v>
      </c>
      <c r="AE37" s="151">
        <f>AE21*([1]SAF!AB$7/[1]SAF!AB$6)</f>
        <v>0.25188826490992727</v>
      </c>
      <c r="AF37" s="151">
        <f>AF21*([1]SAF!AC$7/[1]SAF!AC$6)</f>
        <v>0.25108429082078093</v>
      </c>
      <c r="AG37" s="151">
        <f>AG21*([1]SAF!AD$7/[1]SAF!AD$6)</f>
        <v>0.24380644937421553</v>
      </c>
      <c r="AH37" s="151">
        <f>AH21*([1]SAF!AE$7/[1]SAF!AE$6)</f>
        <v>0.24087829058839305</v>
      </c>
      <c r="AI37" s="151">
        <f>AI21*([1]SAF!AF$7/[1]SAF!AF$6)</f>
        <v>0.24543188715486997</v>
      </c>
      <c r="AJ37" s="151">
        <f>AJ21*([1]SAF!AG$7/[1]SAF!AG$6)</f>
        <v>0.25069252462802993</v>
      </c>
      <c r="AK37" s="151">
        <f>AK21*([1]SAF!AH$7/[1]SAF!AH$6)</f>
        <v>0.25831334713504955</v>
      </c>
    </row>
    <row r="38" spans="1:37" s="119" customFormat="1" x14ac:dyDescent="0.2">
      <c r="A38" s="119" t="s">
        <v>86</v>
      </c>
      <c r="B38" s="147">
        <v>0</v>
      </c>
      <c r="C38" s="147">
        <v>0</v>
      </c>
      <c r="D38" s="147">
        <v>0</v>
      </c>
      <c r="E38" s="147">
        <v>0</v>
      </c>
      <c r="F38" s="147">
        <v>0</v>
      </c>
      <c r="G38" s="147">
        <v>0</v>
      </c>
      <c r="H38" s="147">
        <v>0</v>
      </c>
      <c r="I38" s="147">
        <v>0</v>
      </c>
      <c r="J38" s="147">
        <v>0</v>
      </c>
      <c r="K38" s="147">
        <v>0</v>
      </c>
      <c r="L38" s="151">
        <f>L22*([1]SAF!I$7/[1]SAF!I$6)</f>
        <v>0</v>
      </c>
      <c r="M38" s="151">
        <f>M22*([1]SAF!J$7/[1]SAF!J$6)</f>
        <v>0.71950646118342987</v>
      </c>
      <c r="N38" s="151">
        <f>N22*([1]SAF!K$7/[1]SAF!K$6)</f>
        <v>0.53405638844562797</v>
      </c>
      <c r="O38" s="151">
        <f>O22*([1]SAF!L$7/[1]SAF!L$6)</f>
        <v>0.65938688369554055</v>
      </c>
      <c r="P38" s="151">
        <f>P22*([1]SAF!M$7/[1]SAF!M$6)</f>
        <v>0.64661113535993764</v>
      </c>
      <c r="Q38" s="151">
        <f>Q22*([1]SAF!N$7/[1]SAF!N$6)</f>
        <v>0.72887761685176022</v>
      </c>
      <c r="R38" s="151">
        <f>R22*([1]SAF!O$7/[1]SAF!O$6)</f>
        <v>0.56369421982301005</v>
      </c>
      <c r="S38" s="151">
        <f>S22*([1]SAF!P$7/[1]SAF!P$6)</f>
        <v>0.40133507295614357</v>
      </c>
      <c r="T38" s="151">
        <f>T22*([1]SAF!Q$7/[1]SAF!Q$6)</f>
        <v>0.4015531866299728</v>
      </c>
      <c r="U38" s="151">
        <f>U22*([1]SAF!R$7/[1]SAF!R$6)</f>
        <v>0.40200444123736295</v>
      </c>
      <c r="V38" s="151">
        <f>V22*([1]SAF!S$7/[1]SAF!S$6)</f>
        <v>0.40333776155125878</v>
      </c>
      <c r="W38" s="151">
        <f>W22*([1]SAF!T$7/[1]SAF!T$6)</f>
        <v>0.4853678804096126</v>
      </c>
      <c r="X38" s="151">
        <f>X22*([1]SAF!U$7/[1]SAF!U$6)</f>
        <v>0.443533068093729</v>
      </c>
      <c r="Y38" s="151">
        <f>Y22*([1]SAF!V$7/[1]SAF!V$6)</f>
        <v>0.39777628604379323</v>
      </c>
      <c r="Z38" s="151">
        <f>Z22*([1]SAF!W$7/[1]SAF!W$6)</f>
        <v>0.35674740411527844</v>
      </c>
      <c r="AA38" s="151">
        <f>AA22*([1]SAF!X$7/[1]SAF!X$6)</f>
        <v>0.33048733038355099</v>
      </c>
      <c r="AB38" s="151">
        <f>AB22*([1]SAF!Y$7/[1]SAF!Y$6)</f>
        <v>0.32953681479345504</v>
      </c>
      <c r="AC38" s="151">
        <f>AC22*([1]SAF!Z$7/[1]SAF!Z$6)</f>
        <v>0.33512916206416588</v>
      </c>
      <c r="AD38" s="151">
        <f>AD22*([1]SAF!AA$7/[1]SAF!AA$6)</f>
        <v>0.39815012604438066</v>
      </c>
      <c r="AE38" s="151">
        <f>AE22*([1]SAF!AB$7/[1]SAF!AB$6)</f>
        <v>0.40431841456345774</v>
      </c>
      <c r="AF38" s="151">
        <f>AF22*([1]SAF!AC$7/[1]SAF!AC$6)</f>
        <v>0.4030246875036903</v>
      </c>
      <c r="AG38" s="151">
        <f>AG22*([1]SAF!AD$7/[1]SAF!AD$6)</f>
        <v>0.39134033131329155</v>
      </c>
      <c r="AH38" s="151">
        <f>AH22*([1]SAF!AE$7/[1]SAF!AE$6)</f>
        <v>0.38664011656626524</v>
      </c>
      <c r="AI38" s="151">
        <f>AI22*([1]SAF!AF$7/[1]SAF!AF$6)</f>
        <v>0.39395115488596871</v>
      </c>
      <c r="AJ38" s="151">
        <f>AJ22*([1]SAF!AG$7/[1]SAF!AG$6)</f>
        <v>0.40239527536644948</v>
      </c>
      <c r="AK38" s="151">
        <f>AK22*([1]SAF!AH$7/[1]SAF!AH$6)</f>
        <v>0.41462700155528037</v>
      </c>
    </row>
    <row r="39" spans="1:37" s="119" customFormat="1" x14ac:dyDescent="0.2">
      <c r="A39" s="119" t="s">
        <v>87</v>
      </c>
      <c r="B39" s="147">
        <v>0</v>
      </c>
      <c r="C39" s="147">
        <v>0</v>
      </c>
      <c r="D39" s="147">
        <v>0</v>
      </c>
      <c r="E39" s="147">
        <v>0</v>
      </c>
      <c r="F39" s="147">
        <v>0</v>
      </c>
      <c r="G39" s="147">
        <v>0</v>
      </c>
      <c r="H39" s="147">
        <v>0</v>
      </c>
      <c r="I39" s="147">
        <v>0</v>
      </c>
      <c r="J39" s="147">
        <v>0</v>
      </c>
      <c r="K39" s="147">
        <v>0</v>
      </c>
      <c r="L39" s="151">
        <f>L23*([1]SAF!I$7/[1]SAF!I$6)</f>
        <v>1.1987186264405092</v>
      </c>
      <c r="M39" s="151">
        <f>M23*([1]SAF!J$7/[1]SAF!J$6)</f>
        <v>0.68779675571973864</v>
      </c>
      <c r="N39" s="151">
        <f>N23*([1]SAF!K$7/[1]SAF!K$6)</f>
        <v>0.68248812299372741</v>
      </c>
      <c r="O39" s="151">
        <f>O23*([1]SAF!L$7/[1]SAF!L$6)</f>
        <v>0.86171350117459411</v>
      </c>
      <c r="P39" s="151">
        <f>P23*([1]SAF!M$7/[1]SAF!M$6)</f>
        <v>0.85144206750807605</v>
      </c>
      <c r="Q39" s="151">
        <f>Q23*([1]SAF!N$7/[1]SAF!N$6)</f>
        <v>0.9585792115889169</v>
      </c>
      <c r="R39" s="151">
        <f>R23*([1]SAF!O$7/[1]SAF!O$6)</f>
        <v>0.74197759421594622</v>
      </c>
      <c r="S39" s="151">
        <f>S23*([1]SAF!P$7/[1]SAF!P$6)</f>
        <v>0.52833025339992068</v>
      </c>
      <c r="T39" s="151">
        <f>T23*([1]SAF!Q$7/[1]SAF!Q$6)</f>
        <v>0.52861905729864134</v>
      </c>
      <c r="U39" s="151">
        <f>U23*([1]SAF!R$7/[1]SAF!R$6)</f>
        <v>0.52916926360177263</v>
      </c>
      <c r="V39" s="151">
        <f>V23*([1]SAF!S$7/[1]SAF!S$6)</f>
        <v>0.530891532972115</v>
      </c>
      <c r="W39" s="151">
        <f>W23*([1]SAF!T$7/[1]SAF!T$6)</f>
        <v>0.63890966354458512</v>
      </c>
      <c r="X39" s="151">
        <f>X23*([1]SAF!U$7/[1]SAF!U$6)</f>
        <v>0.58384452502716477</v>
      </c>
      <c r="Y39" s="151">
        <f>Y23*([1]SAF!V$7/[1]SAF!V$6)</f>
        <v>0.52360770418902403</v>
      </c>
      <c r="Z39" s="151">
        <f>Z23*([1]SAF!W$7/[1]SAF!W$6)</f>
        <v>0.46959317794065863</v>
      </c>
      <c r="AA39" s="151">
        <f>AA23*([1]SAF!X$7/[1]SAF!X$6)</f>
        <v>0.43502601142853514</v>
      </c>
      <c r="AB39" s="151">
        <f>AB23*([1]SAF!Y$7/[1]SAF!Y$6)</f>
        <v>0.43377982305872798</v>
      </c>
      <c r="AC39" s="151">
        <f>AC23*([1]SAF!Z$7/[1]SAF!Z$6)</f>
        <v>0.44114051829672191</v>
      </c>
      <c r="AD39" s="151">
        <f>AD23*([1]SAF!AA$7/[1]SAF!AA$6)</f>
        <v>0.52409560104258135</v>
      </c>
      <c r="AE39" s="151">
        <f>AE23*([1]SAF!AB$7/[1]SAF!AB$6)</f>
        <v>0.53221434042840765</v>
      </c>
      <c r="AF39" s="151">
        <f>AF23*([1]SAF!AC$7/[1]SAF!AC$6)</f>
        <v>0.53051186743625434</v>
      </c>
      <c r="AG39" s="151">
        <f>AG23*([1]SAF!AD$7/[1]SAF!AD$6)</f>
        <v>0.51513212577715839</v>
      </c>
      <c r="AH39" s="151">
        <f>AH23*([1]SAF!AE$7/[1]SAF!AE$6)</f>
        <v>0.50894480780960205</v>
      </c>
      <c r="AI39" s="151">
        <f>AI23*([1]SAF!AF$7/[1]SAF!AF$6)</f>
        <v>0.51856831446525609</v>
      </c>
      <c r="AJ39" s="151">
        <f>AJ23*([1]SAF!AG$7/[1]SAF!AG$6)</f>
        <v>0.52968352031662458</v>
      </c>
      <c r="AK39" s="151">
        <f>AK23*([1]SAF!AH$7/[1]SAF!AH$6)</f>
        <v>0.5457845887338888</v>
      </c>
    </row>
    <row r="40" spans="1:37" s="119" customFormat="1" x14ac:dyDescent="0.2">
      <c r="A40" s="119" t="s">
        <v>88</v>
      </c>
      <c r="B40" s="147">
        <v>0</v>
      </c>
      <c r="C40" s="147">
        <v>0</v>
      </c>
      <c r="D40" s="147">
        <v>0</v>
      </c>
      <c r="E40" s="147">
        <v>0</v>
      </c>
      <c r="F40" s="147">
        <v>0</v>
      </c>
      <c r="G40" s="147">
        <v>0</v>
      </c>
      <c r="H40" s="147">
        <v>0</v>
      </c>
      <c r="I40" s="147">
        <v>0</v>
      </c>
      <c r="J40" s="147">
        <v>0</v>
      </c>
      <c r="K40" s="147">
        <v>0</v>
      </c>
      <c r="L40" s="151">
        <f>L24*([1]SAF!I$7/[1]SAF!I$6)</f>
        <v>1.523204160375756</v>
      </c>
      <c r="M40" s="151">
        <f>M24*([1]SAF!J$7/[1]SAF!J$6)</f>
        <v>0.73958142130032423</v>
      </c>
      <c r="N40" s="151">
        <f>N24*([1]SAF!K$7/[1]SAF!K$6)</f>
        <v>0.67094043736267339</v>
      </c>
      <c r="O40" s="151">
        <f>O24*([1]SAF!L$7/[1]SAF!L$6)</f>
        <v>0.83029912213276624</v>
      </c>
      <c r="P40" s="151">
        <f>P24*([1]SAF!M$7/[1]SAF!M$6)</f>
        <v>0.81119848523543814</v>
      </c>
      <c r="Q40" s="151">
        <f>Q24*([1]SAF!N$7/[1]SAF!N$6)</f>
        <v>0.91461230505280666</v>
      </c>
      <c r="R40" s="151">
        <f>R24*([1]SAF!O$7/[1]SAF!O$6)</f>
        <v>0.7081235752201902</v>
      </c>
      <c r="S40" s="151">
        <f>S24*([1]SAF!P$7/[1]SAF!P$6)</f>
        <v>0.50398872388147264</v>
      </c>
      <c r="T40" s="151">
        <f>T24*([1]SAF!Q$7/[1]SAF!Q$6)</f>
        <v>0.5041966808196523</v>
      </c>
      <c r="U40" s="151">
        <f>U24*([1]SAF!R$7/[1]SAF!R$6)</f>
        <v>0.50476066024222621</v>
      </c>
      <c r="V40" s="151">
        <f>V24*([1]SAF!S$7/[1]SAF!S$6)</f>
        <v>0.5064612097389557</v>
      </c>
      <c r="W40" s="151">
        <f>W24*([1]SAF!T$7/[1]SAF!T$6)</f>
        <v>0.60949823199288156</v>
      </c>
      <c r="X40" s="151">
        <f>X24*([1]SAF!U$7/[1]SAF!U$6)</f>
        <v>0.55693676837462336</v>
      </c>
      <c r="Y40" s="151">
        <f>Y24*([1]SAF!V$7/[1]SAF!V$6)</f>
        <v>0.49947494613269888</v>
      </c>
      <c r="Z40" s="151">
        <f>Z24*([1]SAF!W$7/[1]SAF!W$6)</f>
        <v>0.44795979667004998</v>
      </c>
      <c r="AA40" s="151">
        <f>AA24*([1]SAF!X$7/[1]SAF!X$6)</f>
        <v>0.41499000053138646</v>
      </c>
      <c r="AB40" s="151">
        <f>AB24*([1]SAF!Y$7/[1]SAF!Y$6)</f>
        <v>0.41379756379548577</v>
      </c>
      <c r="AC40" s="151">
        <f>AC24*([1]SAF!Z$7/[1]SAF!Z$6)</f>
        <v>0.42081604077012197</v>
      </c>
      <c r="AD40" s="151">
        <f>AD24*([1]SAF!AA$7/[1]SAF!AA$6)</f>
        <v>0.4999504373091847</v>
      </c>
      <c r="AE40" s="151">
        <f>AE24*([1]SAF!AB$7/[1]SAF!AB$6)</f>
        <v>0.5076969271103261</v>
      </c>
      <c r="AF40" s="151">
        <f>AF24*([1]SAF!AC$7/[1]SAF!AC$6)</f>
        <v>0.50607303912335377</v>
      </c>
      <c r="AG40" s="151">
        <f>AG24*([1]SAF!AD$7/[1]SAF!AD$6)</f>
        <v>0.49140086989219356</v>
      </c>
      <c r="AH40" s="151">
        <f>AH24*([1]SAF!AE$7/[1]SAF!AE$6)</f>
        <v>0.485498326878467</v>
      </c>
      <c r="AI40" s="151">
        <f>AI24*([1]SAF!AF$7/[1]SAF!AF$6)</f>
        <v>0.49467885016351354</v>
      </c>
      <c r="AJ40" s="151">
        <f>AJ24*([1]SAF!AG$7/[1]SAF!AG$6)</f>
        <v>0.50528219887522219</v>
      </c>
      <c r="AK40" s="151">
        <f>AK24*([1]SAF!AH$7/[1]SAF!AH$6)</f>
        <v>0.52064143356492654</v>
      </c>
    </row>
    <row r="41" spans="1:37" s="119" customFormat="1" x14ac:dyDescent="0.2">
      <c r="A41" s="119" t="s">
        <v>89</v>
      </c>
      <c r="B41" s="147">
        <v>0</v>
      </c>
      <c r="C41" s="147">
        <v>0</v>
      </c>
      <c r="D41" s="147">
        <v>0</v>
      </c>
      <c r="E41" s="147">
        <v>0</v>
      </c>
      <c r="F41" s="147">
        <v>0</v>
      </c>
      <c r="G41" s="147">
        <v>0</v>
      </c>
      <c r="H41" s="147">
        <v>0</v>
      </c>
      <c r="I41" s="147">
        <v>0</v>
      </c>
      <c r="J41" s="147">
        <v>0</v>
      </c>
      <c r="K41" s="147">
        <v>0</v>
      </c>
      <c r="L41" s="151">
        <f>L25*([1]SAF!I$7/[1]SAF!I$6)</f>
        <v>2.8739118950275282</v>
      </c>
      <c r="M41" s="151">
        <f>M25*([1]SAF!J$7/[1]SAF!J$6)</f>
        <v>1.1237656623021774</v>
      </c>
      <c r="N41" s="151">
        <f>N25*([1]SAF!K$7/[1]SAF!K$6)</f>
        <v>0.75895407320250852</v>
      </c>
      <c r="O41" s="151">
        <f>O25*([1]SAF!L$7/[1]SAF!L$6)</f>
        <v>0.90835889956464566</v>
      </c>
      <c r="P41" s="151">
        <f>P25*([1]SAF!M$7/[1]SAF!M$6)</f>
        <v>0.8833478455158672</v>
      </c>
      <c r="Q41" s="151">
        <f>Q25*([1]SAF!N$7/[1]SAF!N$6)</f>
        <v>0.9942394361956961</v>
      </c>
      <c r="R41" s="151">
        <f>R25*([1]SAF!O$7/[1]SAF!O$6)</f>
        <v>0.76977778931647889</v>
      </c>
      <c r="S41" s="151">
        <f>S25*([1]SAF!P$7/[1]SAF!P$6)</f>
        <v>0.54845228911051613</v>
      </c>
      <c r="T41" s="151">
        <f>T25*([1]SAF!Q$7/[1]SAF!Q$6)</f>
        <v>0.54851056760944827</v>
      </c>
      <c r="U41" s="151">
        <f>U25*([1]SAF!R$7/[1]SAF!R$6)</f>
        <v>0.54907795625716549</v>
      </c>
      <c r="V41" s="151">
        <f>V25*([1]SAF!S$7/[1]SAF!S$6)</f>
        <v>0.55087261913622643</v>
      </c>
      <c r="W41" s="151">
        <f>W25*([1]SAF!T$7/[1]SAF!T$6)</f>
        <v>0.66298620337083858</v>
      </c>
      <c r="X41" s="151">
        <f>X25*([1]SAF!U$7/[1]SAF!U$6)</f>
        <v>0.60586255533774402</v>
      </c>
      <c r="Y41" s="151">
        <f>Y25*([1]SAF!V$7/[1]SAF!V$6)</f>
        <v>0.5433247456589041</v>
      </c>
      <c r="Z41" s="151">
        <f>Z25*([1]SAF!W$7/[1]SAF!W$6)</f>
        <v>0.48727864009591049</v>
      </c>
      <c r="AA41" s="151">
        <f>AA25*([1]SAF!X$7/[1]SAF!X$6)</f>
        <v>0.45141291722006527</v>
      </c>
      <c r="AB41" s="151">
        <f>AB25*([1]SAF!Y$7/[1]SAF!Y$6)</f>
        <v>0.45012273342358633</v>
      </c>
      <c r="AC41" s="151">
        <f>AC25*([1]SAF!Z$7/[1]SAF!Z$6)</f>
        <v>0.45775993216120475</v>
      </c>
      <c r="AD41" s="151">
        <f>AD25*([1]SAF!AA$7/[1]SAF!AA$6)</f>
        <v>0.54383691437198378</v>
      </c>
      <c r="AE41" s="151">
        <f>AE25*([1]SAF!AB$7/[1]SAF!AB$6)</f>
        <v>0.55226250829430423</v>
      </c>
      <c r="AF41" s="151">
        <f>AF25*([1]SAF!AC$7/[1]SAF!AC$6)</f>
        <v>0.55049673175062652</v>
      </c>
      <c r="AG41" s="151">
        <f>AG25*([1]SAF!AD$7/[1]SAF!AD$6)</f>
        <v>0.53453782636506186</v>
      </c>
      <c r="AH41" s="151">
        <f>AH25*([1]SAF!AE$7/[1]SAF!AE$6)</f>
        <v>0.52811702675918848</v>
      </c>
      <c r="AI41" s="151">
        <f>AI25*([1]SAF!AF$7/[1]SAF!AF$6)</f>
        <v>0.53810274821089032</v>
      </c>
      <c r="AJ41" s="151">
        <f>AJ25*([1]SAF!AG$7/[1]SAF!AG$6)</f>
        <v>0.54963691208321652</v>
      </c>
      <c r="AK41" s="151">
        <f>AK25*([1]SAF!AH$7/[1]SAF!AH$6)</f>
        <v>0.56634462019149923</v>
      </c>
    </row>
    <row r="42" spans="1:37" s="119" customFormat="1" x14ac:dyDescent="0.2">
      <c r="A42" s="119" t="s">
        <v>90</v>
      </c>
      <c r="B42" s="147">
        <v>0</v>
      </c>
      <c r="C42" s="147">
        <v>0</v>
      </c>
      <c r="D42" s="147">
        <v>0</v>
      </c>
      <c r="E42" s="147">
        <v>0</v>
      </c>
      <c r="F42" s="147">
        <v>0</v>
      </c>
      <c r="G42" s="147">
        <v>0</v>
      </c>
      <c r="H42" s="147">
        <v>0</v>
      </c>
      <c r="I42" s="147">
        <v>0</v>
      </c>
      <c r="J42" s="147">
        <v>0</v>
      </c>
      <c r="K42" s="147">
        <v>0</v>
      </c>
      <c r="L42" s="151">
        <f>L26*([1]SAF!I$7/[1]SAF!I$6)</f>
        <v>2.2050522474828962</v>
      </c>
      <c r="M42" s="151">
        <f>M26*([1]SAF!J$7/[1]SAF!J$6)</f>
        <v>1.0370901760997735</v>
      </c>
      <c r="N42" s="151">
        <f>N26*([1]SAF!K$7/[1]SAF!K$6)</f>
        <v>0.82700989528399971</v>
      </c>
      <c r="O42" s="151">
        <f>O26*([1]SAF!L$7/[1]SAF!L$6)</f>
        <v>0.9874708066432748</v>
      </c>
      <c r="P42" s="151">
        <f>P26*([1]SAF!M$7/[1]SAF!M$6)</f>
        <v>0.96706611535549059</v>
      </c>
      <c r="Q42" s="151">
        <f>Q26*([1]SAF!N$7/[1]SAF!N$6)</f>
        <v>1.0830166320495938</v>
      </c>
      <c r="R42" s="151">
        <f>R26*([1]SAF!O$7/[1]SAF!O$6)</f>
        <v>0.83778817713685538</v>
      </c>
      <c r="S42" s="151">
        <f>S26*([1]SAF!P$7/[1]SAF!P$6)</f>
        <v>0.59700138634017585</v>
      </c>
      <c r="T42" s="151">
        <f>T26*([1]SAF!Q$7/[1]SAF!Q$6)</f>
        <v>0.5973684393279638</v>
      </c>
      <c r="U42" s="151">
        <f>U26*([1]SAF!R$7/[1]SAF!R$6)</f>
        <v>0.59788764669458883</v>
      </c>
      <c r="V42" s="151">
        <f>V26*([1]SAF!S$7/[1]SAF!S$6)</f>
        <v>0.59980281731980578</v>
      </c>
      <c r="W42" s="151">
        <f>W26*([1]SAF!T$7/[1]SAF!T$6)</f>
        <v>0.72184122833607522</v>
      </c>
      <c r="X42" s="151">
        <f>X26*([1]SAF!U$7/[1]SAF!U$6)</f>
        <v>0.65968009875657474</v>
      </c>
      <c r="Y42" s="151">
        <f>Y26*([1]SAF!V$7/[1]SAF!V$6)</f>
        <v>0.59161224184074301</v>
      </c>
      <c r="Z42" s="151">
        <f>Z26*([1]SAF!W$7/[1]SAF!W$6)</f>
        <v>0.53056664357076011</v>
      </c>
      <c r="AA42" s="151">
        <f>AA26*([1]SAF!X$7/[1]SAF!X$6)</f>
        <v>0.49150966318720707</v>
      </c>
      <c r="AB42" s="151">
        <f>AB26*([1]SAF!Y$7/[1]SAF!Y$6)</f>
        <v>0.49010506206409227</v>
      </c>
      <c r="AC42" s="151">
        <f>AC26*([1]SAF!Z$7/[1]SAF!Z$6)</f>
        <v>0.49842607759506086</v>
      </c>
      <c r="AD42" s="151">
        <f>AD26*([1]SAF!AA$7/[1]SAF!AA$6)</f>
        <v>0.59215074110272725</v>
      </c>
      <c r="AE42" s="151">
        <f>AE26*([1]SAF!AB$7/[1]SAF!AB$6)</f>
        <v>0.60132146313562995</v>
      </c>
      <c r="AF42" s="151">
        <f>AF26*([1]SAF!AC$7/[1]SAF!AC$6)</f>
        <v>0.59939844989905688</v>
      </c>
      <c r="AG42" s="151">
        <f>AG26*([1]SAF!AD$7/[1]SAF!AD$6)</f>
        <v>0.58202258819317598</v>
      </c>
      <c r="AH42" s="151">
        <f>AH26*([1]SAF!AE$7/[1]SAF!AE$6)</f>
        <v>0.5750321695198235</v>
      </c>
      <c r="AI42" s="151">
        <f>AI26*([1]SAF!AF$7/[1]SAF!AF$6)</f>
        <v>0.58590471884437145</v>
      </c>
      <c r="AJ42" s="151">
        <f>AJ26*([1]SAF!AG$7/[1]SAF!AG$6)</f>
        <v>0.59846305136006483</v>
      </c>
      <c r="AK42" s="151">
        <f>AK26*([1]SAF!AH$7/[1]SAF!AH$6)</f>
        <v>0.61665504301780993</v>
      </c>
    </row>
    <row r="43" spans="1:37" s="119" customFormat="1" x14ac:dyDescent="0.2">
      <c r="A43" s="119" t="s">
        <v>91</v>
      </c>
      <c r="B43" s="147">
        <v>0</v>
      </c>
      <c r="C43" s="147">
        <v>0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>
        <v>0</v>
      </c>
      <c r="J43" s="147">
        <v>0</v>
      </c>
      <c r="K43" s="147">
        <v>0</v>
      </c>
      <c r="L43" s="151">
        <f>L27*([1]SAF!I$7/[1]SAF!I$6)</f>
        <v>1.0108543502012377</v>
      </c>
      <c r="M43" s="151">
        <f>M27*([1]SAF!J$7/[1]SAF!J$6)</f>
        <v>1.4006960593735582</v>
      </c>
      <c r="N43" s="151">
        <f>N27*([1]SAF!K$7/[1]SAF!K$6)</f>
        <v>0.95721707232395115</v>
      </c>
      <c r="O43" s="151">
        <f>O27*([1]SAF!L$7/[1]SAF!L$6)</f>
        <v>1.1879074970592336</v>
      </c>
      <c r="P43" s="151">
        <f>P27*([1]SAF!M$7/[1]SAF!M$6)</f>
        <v>1.1706676588839826</v>
      </c>
      <c r="Q43" s="151">
        <f>Q27*([1]SAF!N$7/[1]SAF!N$6)</f>
        <v>1.3229136775346344</v>
      </c>
      <c r="R43" s="151">
        <f>R27*([1]SAF!O$7/[1]SAF!O$6)</f>
        <v>1.0168341498193048</v>
      </c>
      <c r="S43" s="151">
        <f>S27*([1]SAF!P$7/[1]SAF!P$6)</f>
        <v>0.72597959575333826</v>
      </c>
      <c r="T43" s="151">
        <f>T27*([1]SAF!Q$7/[1]SAF!Q$6)</f>
        <v>0.7265467137394056</v>
      </c>
      <c r="U43" s="151">
        <f>U27*([1]SAF!R$7/[1]SAF!R$6)</f>
        <v>0.7273139989698082</v>
      </c>
      <c r="V43" s="151">
        <f>V27*([1]SAF!S$7/[1]SAF!S$6)</f>
        <v>0.72965691078270734</v>
      </c>
      <c r="W43" s="151">
        <f>W27*([1]SAF!T$7/[1]SAF!T$6)</f>
        <v>0.87772610297433029</v>
      </c>
      <c r="X43" s="151">
        <f>X27*([1]SAF!U$7/[1]SAF!U$6)</f>
        <v>0.80233490787005912</v>
      </c>
      <c r="Y43" s="151">
        <f>Y27*([1]SAF!V$7/[1]SAF!V$6)</f>
        <v>0.71956565528888228</v>
      </c>
      <c r="Z43" s="151">
        <f>Z27*([1]SAF!W$7/[1]SAF!W$6)</f>
        <v>0.64532054843119646</v>
      </c>
      <c r="AA43" s="151">
        <f>AA27*([1]SAF!X$7/[1]SAF!X$6)</f>
        <v>0.59779815373634604</v>
      </c>
      <c r="AB43" s="151">
        <f>AB27*([1]SAF!Y$7/[1]SAF!Y$6)</f>
        <v>0.59606420923669468</v>
      </c>
      <c r="AC43" s="151">
        <f>AC27*([1]SAF!Z$7/[1]SAF!Z$6)</f>
        <v>0.60621139443157912</v>
      </c>
      <c r="AD43" s="151">
        <f>AD27*([1]SAF!AA$7/[1]SAF!AA$6)</f>
        <v>0.72020442724459255</v>
      </c>
      <c r="AE43" s="151">
        <f>AE27*([1]SAF!AB$7/[1]SAF!AB$6)</f>
        <v>0.73135547232212661</v>
      </c>
      <c r="AF43" s="151">
        <f>AF27*([1]SAF!AC$7/[1]SAF!AC$6)</f>
        <v>0.72901217516550165</v>
      </c>
      <c r="AG43" s="151">
        <f>AG27*([1]SAF!AD$7/[1]SAF!AD$6)</f>
        <v>0.70787793635202689</v>
      </c>
      <c r="AH43" s="151">
        <f>AH27*([1]SAF!AE$7/[1]SAF!AE$6)</f>
        <v>0.69938023354620682</v>
      </c>
      <c r="AI43" s="151">
        <f>AI27*([1]SAF!AF$7/[1]SAF!AF$6)</f>
        <v>0.71260327757642672</v>
      </c>
      <c r="AJ43" s="151">
        <f>AJ27*([1]SAF!AG$7/[1]SAF!AG$6)</f>
        <v>0.72787644483444747</v>
      </c>
      <c r="AK43" s="151">
        <f>AK27*([1]SAF!AH$7/[1]SAF!AH$6)</f>
        <v>0.75000185269430064</v>
      </c>
    </row>
    <row r="44" spans="1:37" s="119" customFormat="1" x14ac:dyDescent="0.2">
      <c r="A44" s="119" t="s">
        <v>92</v>
      </c>
      <c r="B44" s="147">
        <v>0</v>
      </c>
      <c r="C44" s="147">
        <v>0</v>
      </c>
      <c r="D44" s="147">
        <v>0</v>
      </c>
      <c r="E44" s="147">
        <v>0</v>
      </c>
      <c r="F44" s="147">
        <v>0</v>
      </c>
      <c r="G44" s="147">
        <v>0</v>
      </c>
      <c r="H44" s="147">
        <v>0</v>
      </c>
      <c r="I44" s="147">
        <v>0</v>
      </c>
      <c r="J44" s="147">
        <v>0</v>
      </c>
      <c r="K44" s="147">
        <v>0</v>
      </c>
      <c r="L44" s="151">
        <f>L28*([1]SAF!I$7/[1]SAF!I$6)</f>
        <v>2.3054323516973234</v>
      </c>
      <c r="M44" s="151">
        <f>M28*([1]SAF!J$7/[1]SAF!J$6)</f>
        <v>1.1153746374001772</v>
      </c>
      <c r="N44" s="151">
        <f>N28*([1]SAF!K$7/[1]SAF!K$6)</f>
        <v>0.97394558343768567</v>
      </c>
      <c r="O44" s="151">
        <f>O28*([1]SAF!L$7/[1]SAF!L$6)</f>
        <v>1.1889551793549262</v>
      </c>
      <c r="P44" s="151">
        <f>P28*([1]SAF!M$7/[1]SAF!M$6)</f>
        <v>1.1433528726660023</v>
      </c>
      <c r="Q44" s="151">
        <f>Q28*([1]SAF!N$7/[1]SAF!N$6)</f>
        <v>1.2866019645683535</v>
      </c>
      <c r="R44" s="151">
        <f>R28*([1]SAF!O$7/[1]SAF!O$6)</f>
        <v>0.99587717247152463</v>
      </c>
      <c r="S44" s="151">
        <f>S28*([1]SAF!P$7/[1]SAF!P$6)</f>
        <v>0.70906923034697067</v>
      </c>
      <c r="T44" s="151">
        <f>T28*([1]SAF!Q$7/[1]SAF!Q$6)</f>
        <v>0.70908344655609767</v>
      </c>
      <c r="U44" s="151">
        <f>U28*([1]SAF!R$7/[1]SAF!R$6)</f>
        <v>0.70996724690122814</v>
      </c>
      <c r="V44" s="151">
        <f>V28*([1]SAF!S$7/[1]SAF!S$6)</f>
        <v>0.71236925670657858</v>
      </c>
      <c r="W44" s="151">
        <f>W28*([1]SAF!T$7/[1]SAF!T$6)</f>
        <v>0.85728699990017543</v>
      </c>
      <c r="X44" s="151">
        <f>X28*([1]SAF!U$7/[1]SAF!U$6)</f>
        <v>0.78337042009678992</v>
      </c>
      <c r="Y44" s="151">
        <f>Y28*([1]SAF!V$7/[1]SAF!V$6)</f>
        <v>0.7025205384061024</v>
      </c>
      <c r="Z44" s="151">
        <f>Z28*([1]SAF!W$7/[1]SAF!W$6)</f>
        <v>0.63007674028145233</v>
      </c>
      <c r="AA44" s="151">
        <f>AA28*([1]SAF!X$7/[1]SAF!X$6)</f>
        <v>0.58370357367750458</v>
      </c>
      <c r="AB44" s="151">
        <f>AB28*([1]SAF!Y$7/[1]SAF!Y$6)</f>
        <v>0.58202513909228482</v>
      </c>
      <c r="AC44" s="151">
        <f>AC28*([1]SAF!Z$7/[1]SAF!Z$6)</f>
        <v>0.5918969549127342</v>
      </c>
      <c r="AD44" s="151">
        <f>AD28*([1]SAF!AA$7/[1]SAF!AA$6)</f>
        <v>0.70320109570225597</v>
      </c>
      <c r="AE44" s="151">
        <f>AE28*([1]SAF!AB$7/[1]SAF!AB$6)</f>
        <v>0.71409893648865785</v>
      </c>
      <c r="AF44" s="151">
        <f>AF28*([1]SAF!AC$7/[1]SAF!AC$6)</f>
        <v>0.71181468806825743</v>
      </c>
      <c r="AG44" s="151">
        <f>AG28*([1]SAF!AD$7/[1]SAF!AD$6)</f>
        <v>0.69117732387036912</v>
      </c>
      <c r="AH44" s="151">
        <f>AH28*([1]SAF!AE$7/[1]SAF!AE$6)</f>
        <v>0.68287506022125333</v>
      </c>
      <c r="AI44" s="151">
        <f>AI28*([1]SAF!AF$7/[1]SAF!AF$6)</f>
        <v>0.69578778552537979</v>
      </c>
      <c r="AJ44" s="151">
        <f>AJ28*([1]SAF!AG$7/[1]SAF!AG$6)</f>
        <v>0.7107021303012151</v>
      </c>
      <c r="AK44" s="151">
        <f>AK28*([1]SAF!AH$7/[1]SAF!AH$6)</f>
        <v>0.73230551222208162</v>
      </c>
    </row>
    <row r="45" spans="1:37" s="119" customFormat="1" x14ac:dyDescent="0.2">
      <c r="A45" s="119" t="s">
        <v>93</v>
      </c>
      <c r="B45" s="147">
        <v>0</v>
      </c>
      <c r="C45" s="147">
        <v>0</v>
      </c>
      <c r="D45" s="147">
        <v>0</v>
      </c>
      <c r="E45" s="147">
        <v>0</v>
      </c>
      <c r="F45" s="147">
        <v>0</v>
      </c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51">
        <f>L29*([1]SAF!I$7/[1]SAF!I$6)</f>
        <v>2.7993503205688888</v>
      </c>
      <c r="M45" s="151">
        <f>M29*([1]SAF!J$7/[1]SAF!J$6)</f>
        <v>0.45728817871335053</v>
      </c>
      <c r="N45" s="151">
        <f>N29*([1]SAF!K$7/[1]SAF!K$6)</f>
        <v>0.82483191569771497</v>
      </c>
      <c r="O45" s="151">
        <f>O29*([1]SAF!L$7/[1]SAF!L$6)</f>
        <v>1.005090209690217</v>
      </c>
      <c r="P45" s="151">
        <f>P29*([1]SAF!M$7/[1]SAF!M$6)</f>
        <v>0.98642353675757632</v>
      </c>
      <c r="Q45" s="151">
        <f>Q29*([1]SAF!N$7/[1]SAF!N$6)</f>
        <v>1.113802144814052</v>
      </c>
      <c r="R45" s="151">
        <f>R29*([1]SAF!O$7/[1]SAF!O$6)</f>
        <v>0.86425731679219808</v>
      </c>
      <c r="S45" s="151">
        <f>S29*([1]SAF!P$7/[1]SAF!P$6)</f>
        <v>0.61281216845934849</v>
      </c>
      <c r="T45" s="151">
        <f>T29*([1]SAF!Q$7/[1]SAF!Q$6)</f>
        <v>0.61334687249094977</v>
      </c>
      <c r="U45" s="151">
        <f>U29*([1]SAF!R$7/[1]SAF!R$6)</f>
        <v>0.61427956573256659</v>
      </c>
      <c r="V45" s="151">
        <f>V29*([1]SAF!S$7/[1]SAF!S$6)</f>
        <v>0.61653483135335896</v>
      </c>
      <c r="W45" s="151">
        <f>W29*([1]SAF!T$7/[1]SAF!T$6)</f>
        <v>0.74193640461662225</v>
      </c>
      <c r="X45" s="151">
        <f>X29*([1]SAF!U$7/[1]SAF!U$6)</f>
        <v>0.67771996238865106</v>
      </c>
      <c r="Y45" s="151">
        <f>Y29*([1]SAF!V$7/[1]SAF!V$6)</f>
        <v>0.60786715463820085</v>
      </c>
      <c r="Z45" s="151">
        <f>Z29*([1]SAF!W$7/[1]SAF!W$6)</f>
        <v>0.54521751306615307</v>
      </c>
      <c r="AA45" s="151">
        <f>AA29*([1]SAF!X$7/[1]SAF!X$6)</f>
        <v>0.50510095049774328</v>
      </c>
      <c r="AB45" s="151">
        <f>AB29*([1]SAF!Y$7/[1]SAF!Y$6)</f>
        <v>0.50363210441633466</v>
      </c>
      <c r="AC45" s="151">
        <f>AC29*([1]SAF!Z$7/[1]SAF!Z$6)</f>
        <v>0.51215601607422334</v>
      </c>
      <c r="AD45" s="151">
        <f>AD29*([1]SAF!AA$7/[1]SAF!AA$6)</f>
        <v>0.60848208212360044</v>
      </c>
      <c r="AE45" s="151">
        <f>AE29*([1]SAF!AB$7/[1]SAF!AB$6)</f>
        <v>0.61791662446272388</v>
      </c>
      <c r="AF45" s="151">
        <f>AF29*([1]SAF!AC$7/[1]SAF!AC$6)</f>
        <v>0.61593871738246853</v>
      </c>
      <c r="AG45" s="151">
        <f>AG29*([1]SAF!AD$7/[1]SAF!AD$6)</f>
        <v>0.59807708480382926</v>
      </c>
      <c r="AH45" s="151">
        <f>AH29*([1]SAF!AE$7/[1]SAF!AE$6)</f>
        <v>0.590892132183652</v>
      </c>
      <c r="AI45" s="151">
        <f>AI29*([1]SAF!AF$7/[1]SAF!AF$6)</f>
        <v>0.60206827937339369</v>
      </c>
      <c r="AJ45" s="151">
        <f>AJ29*([1]SAF!AG$7/[1]SAF!AG$6)</f>
        <v>0.61497390927707862</v>
      </c>
      <c r="AK45" s="151">
        <f>AK29*([1]SAF!AH$7/[1]SAF!AH$6)</f>
        <v>0.63366676735666283</v>
      </c>
    </row>
    <row r="46" spans="1:37" s="119" customFormat="1" x14ac:dyDescent="0.2">
      <c r="A46" s="119" t="s">
        <v>94</v>
      </c>
      <c r="B46" s="147">
        <v>0</v>
      </c>
      <c r="C46" s="147">
        <v>0</v>
      </c>
      <c r="D46" s="147">
        <v>0</v>
      </c>
      <c r="E46" s="147">
        <v>0</v>
      </c>
      <c r="F46" s="147">
        <v>0</v>
      </c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51">
        <f>L30*([1]SAF!I$7/[1]SAF!I$6)</f>
        <v>3.2822476535716847</v>
      </c>
      <c r="M46" s="151">
        <f>M30*([1]SAF!J$7/[1]SAF!J$6)</f>
        <v>0.37015605721593697</v>
      </c>
      <c r="N46" s="151">
        <f>N30*([1]SAF!K$7/[1]SAF!K$6)</f>
        <v>0.74149741014927395</v>
      </c>
      <c r="O46" s="151">
        <f>O30*([1]SAF!L$7/[1]SAF!L$6)</f>
        <v>0.90653395234903389</v>
      </c>
      <c r="P46" s="151">
        <f>P30*([1]SAF!M$7/[1]SAF!M$6)</f>
        <v>0.88497667006048852</v>
      </c>
      <c r="Q46" s="151">
        <f>Q30*([1]SAF!N$7/[1]SAF!N$6)</f>
        <v>1.0011754640765522</v>
      </c>
      <c r="R46" s="151">
        <f>R30*([1]SAF!O$7/[1]SAF!O$6)</f>
        <v>0.77683886373615341</v>
      </c>
      <c r="S46" s="151">
        <f>S30*([1]SAF!P$7/[1]SAF!P$6)</f>
        <v>0.55057672486446485</v>
      </c>
      <c r="T46" s="151">
        <f>T30*([1]SAF!Q$7/[1]SAF!Q$6)</f>
        <v>0.55097371650142402</v>
      </c>
      <c r="U46" s="151">
        <f>U30*([1]SAF!R$7/[1]SAF!R$6)</f>
        <v>0.55201505198869227</v>
      </c>
      <c r="V46" s="151">
        <f>V30*([1]SAF!S$7/[1]SAF!S$6)</f>
        <v>0.55400807361765037</v>
      </c>
      <c r="W46" s="151">
        <f>W30*([1]SAF!T$7/[1]SAF!T$6)</f>
        <v>0.66666808976971226</v>
      </c>
      <c r="X46" s="151">
        <f>X30*([1]SAF!U$7/[1]SAF!U$6)</f>
        <v>0.60893955352537543</v>
      </c>
      <c r="Y46" s="151">
        <f>Y30*([1]SAF!V$7/[1]SAF!V$6)</f>
        <v>0.54618225730300252</v>
      </c>
      <c r="Z46" s="151">
        <f>Z30*([1]SAF!W$7/[1]SAF!W$6)</f>
        <v>0.48991242060728168</v>
      </c>
      <c r="AA46" s="151">
        <f>AA30*([1]SAF!X$7/[1]SAF!X$6)</f>
        <v>0.45385776915284803</v>
      </c>
      <c r="AB46" s="151">
        <f>AB30*([1]SAF!Y$7/[1]SAF!Y$6)</f>
        <v>0.45253419580579102</v>
      </c>
      <c r="AC46" s="151">
        <f>AC30*([1]SAF!Z$7/[1]SAF!Z$6)</f>
        <v>0.46019209031252933</v>
      </c>
      <c r="AD46" s="151">
        <f>AD30*([1]SAF!AA$7/[1]SAF!AA$6)</f>
        <v>0.54674750413947504</v>
      </c>
      <c r="AE46" s="151">
        <f>AE30*([1]SAF!AB$7/[1]SAF!AB$6)</f>
        <v>0.55522709739737219</v>
      </c>
      <c r="AF46" s="151">
        <f>AF30*([1]SAF!AC$7/[1]SAF!AC$6)</f>
        <v>0.55344792326424386</v>
      </c>
      <c r="AG46" s="151">
        <f>AG30*([1]SAF!AD$7/[1]SAF!AD$6)</f>
        <v>0.53739792053535451</v>
      </c>
      <c r="AH46" s="151">
        <f>AH30*([1]SAF!AE$7/[1]SAF!AE$6)</f>
        <v>0.53094211582145956</v>
      </c>
      <c r="AI46" s="151">
        <f>AI30*([1]SAF!AF$7/[1]SAF!AF$6)</f>
        <v>0.54098484938259095</v>
      </c>
      <c r="AJ46" s="151">
        <f>AJ30*([1]SAF!AG$7/[1]SAF!AG$6)</f>
        <v>0.55258120608624195</v>
      </c>
      <c r="AK46" s="151">
        <f>AK30*([1]SAF!AH$7/[1]SAF!AH$6)</f>
        <v>0.56937723716028787</v>
      </c>
    </row>
    <row r="47" spans="1:37" s="119" customFormat="1" ht="13.5" thickBot="1" x14ac:dyDescent="0.25">
      <c r="A47" s="119" t="s">
        <v>121</v>
      </c>
      <c r="B47" s="149">
        <f>SUM(B35:B46)</f>
        <v>0</v>
      </c>
      <c r="C47" s="149">
        <f t="shared" ref="C47:K47" si="18">SUM(C35:C46)</f>
        <v>0</v>
      </c>
      <c r="D47" s="149">
        <f t="shared" si="18"/>
        <v>0</v>
      </c>
      <c r="E47" s="149">
        <f t="shared" si="18"/>
        <v>0</v>
      </c>
      <c r="F47" s="149">
        <f t="shared" si="18"/>
        <v>0</v>
      </c>
      <c r="G47" s="149">
        <f t="shared" si="18"/>
        <v>0</v>
      </c>
      <c r="H47" s="149">
        <f t="shared" si="18"/>
        <v>0</v>
      </c>
      <c r="I47" s="149">
        <f t="shared" si="18"/>
        <v>0</v>
      </c>
      <c r="J47" s="149">
        <f t="shared" si="18"/>
        <v>0</v>
      </c>
      <c r="K47" s="149">
        <f t="shared" si="18"/>
        <v>0</v>
      </c>
      <c r="L47" s="148">
        <f>SUM(L35:L46)</f>
        <v>17.198771605365824</v>
      </c>
      <c r="M47" s="148">
        <f>SUM(M35:M46)</f>
        <v>8.9823455055387331</v>
      </c>
      <c r="N47" s="148">
        <f t="shared" ref="N47:AK47" si="19">SUM(N35:N46)</f>
        <v>8.5622560881407423</v>
      </c>
      <c r="O47" s="148">
        <f t="shared" si="19"/>
        <v>10.520494459951379</v>
      </c>
      <c r="P47" s="148">
        <f t="shared" si="19"/>
        <v>10.283989243069328</v>
      </c>
      <c r="Q47" s="148">
        <f t="shared" si="19"/>
        <v>11.590539293150943</v>
      </c>
      <c r="R47" s="148">
        <f t="shared" si="19"/>
        <v>8.9726782692155744</v>
      </c>
      <c r="S47" s="148">
        <f t="shared" si="19"/>
        <v>6.3841544971682218</v>
      </c>
      <c r="T47" s="148">
        <f t="shared" si="19"/>
        <v>6.3872068943308475</v>
      </c>
      <c r="U47" s="148">
        <f t="shared" si="19"/>
        <v>6.3947445121995869</v>
      </c>
      <c r="V47" s="148">
        <f t="shared" si="19"/>
        <v>6.4164469982939183</v>
      </c>
      <c r="W47" s="148">
        <f t="shared" si="19"/>
        <v>7.7216234619098252</v>
      </c>
      <c r="X47" s="148">
        <f t="shared" si="19"/>
        <v>7.0555677737886029</v>
      </c>
      <c r="Y47" s="148">
        <f t="shared" si="19"/>
        <v>6.3277061517548745</v>
      </c>
      <c r="Z47" s="148">
        <f t="shared" si="19"/>
        <v>5.6751288637720254</v>
      </c>
      <c r="AA47" s="148">
        <f t="shared" si="19"/>
        <v>5.2574375628353822</v>
      </c>
      <c r="AB47" s="148">
        <f t="shared" si="19"/>
        <v>5.2423001512797089</v>
      </c>
      <c r="AC47" s="148">
        <f t="shared" si="19"/>
        <v>5.3312093939149632</v>
      </c>
      <c r="AD47" s="148">
        <f t="shared" si="19"/>
        <v>6.3337603545132355</v>
      </c>
      <c r="AE47" s="148">
        <f t="shared" si="19"/>
        <v>6.4319042653854837</v>
      </c>
      <c r="AF47" s="148">
        <f t="shared" si="19"/>
        <v>6.4113268830231371</v>
      </c>
      <c r="AG47" s="148">
        <f t="shared" si="19"/>
        <v>6.2254436446638728</v>
      </c>
      <c r="AH47" s="148">
        <f t="shared" si="19"/>
        <v>6.1506668101943482</v>
      </c>
      <c r="AI47" s="148">
        <f t="shared" si="19"/>
        <v>6.2669754396766661</v>
      </c>
      <c r="AJ47" s="148">
        <f t="shared" si="19"/>
        <v>6.4013068200071412</v>
      </c>
      <c r="AK47" s="148">
        <f t="shared" si="19"/>
        <v>6.595888423876624</v>
      </c>
    </row>
    <row r="48" spans="1:37" s="119" customFormat="1" x14ac:dyDescent="0.2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</row>
    <row r="49" spans="1:37" s="119" customFormat="1" ht="13.5" thickBot="1" x14ac:dyDescent="0.25">
      <c r="A49" s="119" t="s">
        <v>123</v>
      </c>
    </row>
    <row r="50" spans="1:37" s="119" customFormat="1" ht="13.5" thickBot="1" x14ac:dyDescent="0.25">
      <c r="A50" s="145" t="s">
        <v>111</v>
      </c>
      <c r="B50" s="146">
        <f t="shared" ref="B50:AK50" si="20">B2</f>
        <v>2015</v>
      </c>
      <c r="C50" s="146">
        <f t="shared" si="20"/>
        <v>2016</v>
      </c>
      <c r="D50" s="146">
        <f t="shared" si="20"/>
        <v>2017</v>
      </c>
      <c r="E50" s="146">
        <f t="shared" si="20"/>
        <v>2018</v>
      </c>
      <c r="F50" s="146">
        <f t="shared" si="20"/>
        <v>2019</v>
      </c>
      <c r="G50" s="146">
        <f t="shared" si="20"/>
        <v>2020</v>
      </c>
      <c r="H50" s="146">
        <f t="shared" si="20"/>
        <v>2021</v>
      </c>
      <c r="I50" s="146">
        <f t="shared" si="20"/>
        <v>2022</v>
      </c>
      <c r="J50" s="146">
        <f t="shared" si="20"/>
        <v>2023</v>
      </c>
      <c r="K50" s="146">
        <f t="shared" si="20"/>
        <v>2024</v>
      </c>
      <c r="L50" s="146">
        <f t="shared" si="20"/>
        <v>2025</v>
      </c>
      <c r="M50" s="146">
        <f t="shared" si="20"/>
        <v>2026</v>
      </c>
      <c r="N50" s="146">
        <f t="shared" si="20"/>
        <v>2027</v>
      </c>
      <c r="O50" s="146">
        <f t="shared" si="20"/>
        <v>2028</v>
      </c>
      <c r="P50" s="146">
        <f t="shared" si="20"/>
        <v>2029</v>
      </c>
      <c r="Q50" s="146">
        <f t="shared" si="20"/>
        <v>2030</v>
      </c>
      <c r="R50" s="146">
        <f t="shared" si="20"/>
        <v>2031</v>
      </c>
      <c r="S50" s="146">
        <f t="shared" si="20"/>
        <v>2032</v>
      </c>
      <c r="T50" s="146">
        <f t="shared" si="20"/>
        <v>2033</v>
      </c>
      <c r="U50" s="146">
        <f t="shared" si="20"/>
        <v>2034</v>
      </c>
      <c r="V50" s="146">
        <f t="shared" si="20"/>
        <v>2035</v>
      </c>
      <c r="W50" s="146">
        <f t="shared" si="20"/>
        <v>2036</v>
      </c>
      <c r="X50" s="146">
        <f t="shared" si="20"/>
        <v>2037</v>
      </c>
      <c r="Y50" s="146">
        <f t="shared" si="20"/>
        <v>2038</v>
      </c>
      <c r="Z50" s="146">
        <f t="shared" si="20"/>
        <v>2039</v>
      </c>
      <c r="AA50" s="146">
        <f t="shared" si="20"/>
        <v>2040</v>
      </c>
      <c r="AB50" s="146">
        <f t="shared" si="20"/>
        <v>2041</v>
      </c>
      <c r="AC50" s="146">
        <f t="shared" si="20"/>
        <v>2042</v>
      </c>
      <c r="AD50" s="146">
        <f t="shared" si="20"/>
        <v>2043</v>
      </c>
      <c r="AE50" s="146">
        <f t="shared" si="20"/>
        <v>2044</v>
      </c>
      <c r="AF50" s="146">
        <f t="shared" si="20"/>
        <v>2045</v>
      </c>
      <c r="AG50" s="146">
        <f t="shared" si="20"/>
        <v>2046</v>
      </c>
      <c r="AH50" s="146">
        <f t="shared" si="20"/>
        <v>2047</v>
      </c>
      <c r="AI50" s="146">
        <f t="shared" si="20"/>
        <v>2048</v>
      </c>
      <c r="AJ50" s="146">
        <f t="shared" si="20"/>
        <v>2049</v>
      </c>
      <c r="AK50" s="146">
        <f t="shared" si="20"/>
        <v>2050</v>
      </c>
    </row>
    <row r="51" spans="1:37" s="119" customFormat="1" x14ac:dyDescent="0.2">
      <c r="A51" s="119" t="s">
        <v>83</v>
      </c>
      <c r="B51" s="147">
        <v>0</v>
      </c>
      <c r="C51" s="147">
        <v>0</v>
      </c>
      <c r="D51" s="147">
        <v>0</v>
      </c>
      <c r="E51" s="147">
        <v>0</v>
      </c>
      <c r="F51" s="147">
        <v>0</v>
      </c>
      <c r="G51" s="147">
        <v>0</v>
      </c>
      <c r="H51" s="147">
        <v>0</v>
      </c>
      <c r="I51" s="147">
        <v>0</v>
      </c>
      <c r="J51" s="147">
        <v>0</v>
      </c>
      <c r="K51" s="147">
        <v>0</v>
      </c>
      <c r="L51" s="147">
        <v>0</v>
      </c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</row>
    <row r="52" spans="1:37" s="119" customFormat="1" x14ac:dyDescent="0.2">
      <c r="A52" s="119" t="s">
        <v>84</v>
      </c>
      <c r="B52" s="147">
        <v>0</v>
      </c>
      <c r="C52" s="147">
        <v>0</v>
      </c>
      <c r="D52" s="147">
        <v>0</v>
      </c>
      <c r="E52" s="147">
        <v>0</v>
      </c>
      <c r="F52" s="147">
        <v>0</v>
      </c>
      <c r="G52" s="147">
        <v>0</v>
      </c>
      <c r="H52" s="147">
        <v>0</v>
      </c>
      <c r="I52" s="147">
        <v>0</v>
      </c>
      <c r="J52" s="147">
        <v>0</v>
      </c>
      <c r="K52" s="147">
        <v>0</v>
      </c>
      <c r="L52" s="147">
        <v>0</v>
      </c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</row>
    <row r="53" spans="1:37" s="119" customFormat="1" x14ac:dyDescent="0.2">
      <c r="A53" s="119" t="s">
        <v>85</v>
      </c>
      <c r="B53" s="147">
        <v>0</v>
      </c>
      <c r="C53" s="147">
        <v>0</v>
      </c>
      <c r="D53" s="147">
        <v>0</v>
      </c>
      <c r="E53" s="147">
        <v>0</v>
      </c>
      <c r="F53" s="147">
        <v>0</v>
      </c>
      <c r="G53" s="147">
        <v>0</v>
      </c>
      <c r="H53" s="147">
        <v>0</v>
      </c>
      <c r="I53" s="147">
        <v>0</v>
      </c>
      <c r="J53" s="147">
        <v>0</v>
      </c>
      <c r="K53" s="147">
        <v>0</v>
      </c>
      <c r="L53" s="147">
        <v>0</v>
      </c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</row>
    <row r="54" spans="1:37" s="119" customFormat="1" x14ac:dyDescent="0.2">
      <c r="A54" s="119" t="s">
        <v>86</v>
      </c>
      <c r="B54" s="147">
        <v>0</v>
      </c>
      <c r="C54" s="147">
        <v>0</v>
      </c>
      <c r="D54" s="147">
        <v>0</v>
      </c>
      <c r="E54" s="147">
        <v>0</v>
      </c>
      <c r="F54" s="147">
        <v>0</v>
      </c>
      <c r="G54" s="147">
        <v>0</v>
      </c>
      <c r="H54" s="147">
        <v>0</v>
      </c>
      <c r="I54" s="147">
        <v>0</v>
      </c>
      <c r="J54" s="147">
        <v>0</v>
      </c>
      <c r="K54" s="147">
        <v>0</v>
      </c>
      <c r="L54" s="151">
        <v>0</v>
      </c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</row>
    <row r="55" spans="1:37" s="119" customFormat="1" x14ac:dyDescent="0.2">
      <c r="A55" s="119" t="s">
        <v>87</v>
      </c>
      <c r="B55" s="147">
        <v>0</v>
      </c>
      <c r="C55" s="147">
        <v>0</v>
      </c>
      <c r="D55" s="147">
        <v>0</v>
      </c>
      <c r="E55" s="147">
        <v>0</v>
      </c>
      <c r="F55" s="147">
        <v>0</v>
      </c>
      <c r="G55" s="147">
        <v>0</v>
      </c>
      <c r="H55" s="147">
        <v>0</v>
      </c>
      <c r="I55" s="147">
        <v>0</v>
      </c>
      <c r="J55" s="147">
        <v>0</v>
      </c>
      <c r="K55" s="147">
        <v>0</v>
      </c>
      <c r="L55" s="151">
        <v>0</v>
      </c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</row>
    <row r="56" spans="1:37" s="119" customFormat="1" x14ac:dyDescent="0.2">
      <c r="A56" s="119" t="s">
        <v>88</v>
      </c>
      <c r="B56" s="147">
        <v>0</v>
      </c>
      <c r="C56" s="147">
        <v>0</v>
      </c>
      <c r="D56" s="147">
        <v>0</v>
      </c>
      <c r="E56" s="147">
        <v>0</v>
      </c>
      <c r="F56" s="147">
        <v>0</v>
      </c>
      <c r="G56" s="147">
        <v>0</v>
      </c>
      <c r="H56" s="147">
        <v>0</v>
      </c>
      <c r="I56" s="147">
        <v>0</v>
      </c>
      <c r="J56" s="147">
        <v>0</v>
      </c>
      <c r="K56" s="147">
        <v>0</v>
      </c>
      <c r="L56" s="151">
        <v>0</v>
      </c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</row>
    <row r="57" spans="1:37" s="119" customFormat="1" x14ac:dyDescent="0.2">
      <c r="A57" s="119" t="s">
        <v>89</v>
      </c>
      <c r="B57" s="147">
        <v>0</v>
      </c>
      <c r="C57" s="147">
        <v>0</v>
      </c>
      <c r="D57" s="147">
        <v>0</v>
      </c>
      <c r="E57" s="147">
        <v>0</v>
      </c>
      <c r="F57" s="147">
        <v>0</v>
      </c>
      <c r="G57" s="147">
        <v>0</v>
      </c>
      <c r="H57" s="147">
        <v>0</v>
      </c>
      <c r="I57" s="147">
        <v>0</v>
      </c>
      <c r="J57" s="147">
        <v>0</v>
      </c>
      <c r="K57" s="147">
        <v>0</v>
      </c>
      <c r="L57" s="151">
        <v>0</v>
      </c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</row>
    <row r="58" spans="1:37" s="119" customFormat="1" x14ac:dyDescent="0.2">
      <c r="A58" s="119" t="s">
        <v>90</v>
      </c>
      <c r="B58" s="147">
        <v>0</v>
      </c>
      <c r="C58" s="147">
        <v>0</v>
      </c>
      <c r="D58" s="147">
        <v>0</v>
      </c>
      <c r="E58" s="147">
        <v>0</v>
      </c>
      <c r="F58" s="147">
        <v>0</v>
      </c>
      <c r="G58" s="147">
        <v>0</v>
      </c>
      <c r="H58" s="147">
        <v>0</v>
      </c>
      <c r="I58" s="147">
        <v>0</v>
      </c>
      <c r="J58" s="147">
        <v>0</v>
      </c>
      <c r="K58" s="147">
        <v>0</v>
      </c>
      <c r="L58" s="151">
        <v>0</v>
      </c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</row>
    <row r="59" spans="1:37" s="119" customFormat="1" x14ac:dyDescent="0.2">
      <c r="A59" s="119" t="s">
        <v>91</v>
      </c>
      <c r="B59" s="147">
        <v>0</v>
      </c>
      <c r="C59" s="147">
        <v>0</v>
      </c>
      <c r="D59" s="147">
        <v>0</v>
      </c>
      <c r="E59" s="147">
        <v>0</v>
      </c>
      <c r="F59" s="147">
        <v>0</v>
      </c>
      <c r="G59" s="147">
        <v>0</v>
      </c>
      <c r="H59" s="147">
        <v>0</v>
      </c>
      <c r="I59" s="147">
        <v>0</v>
      </c>
      <c r="J59" s="147">
        <v>0</v>
      </c>
      <c r="K59" s="147">
        <v>0</v>
      </c>
      <c r="L59" s="151">
        <v>0</v>
      </c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</row>
    <row r="60" spans="1:37" s="119" customFormat="1" x14ac:dyDescent="0.2">
      <c r="A60" s="119" t="s">
        <v>92</v>
      </c>
      <c r="B60" s="147">
        <v>0</v>
      </c>
      <c r="C60" s="147">
        <v>0</v>
      </c>
      <c r="D60" s="147">
        <v>0</v>
      </c>
      <c r="E60" s="147">
        <v>0</v>
      </c>
      <c r="F60" s="147">
        <v>0</v>
      </c>
      <c r="G60" s="147">
        <v>0</v>
      </c>
      <c r="H60" s="147">
        <v>0</v>
      </c>
      <c r="I60" s="147">
        <v>0</v>
      </c>
      <c r="J60" s="147">
        <v>0</v>
      </c>
      <c r="K60" s="147">
        <v>0</v>
      </c>
      <c r="L60" s="151">
        <v>0</v>
      </c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</row>
    <row r="61" spans="1:37" s="119" customFormat="1" x14ac:dyDescent="0.2">
      <c r="A61" s="119" t="s">
        <v>93</v>
      </c>
      <c r="B61" s="147">
        <v>0</v>
      </c>
      <c r="C61" s="147">
        <v>0</v>
      </c>
      <c r="D61" s="147">
        <v>0</v>
      </c>
      <c r="E61" s="147">
        <v>0</v>
      </c>
      <c r="F61" s="147">
        <v>0</v>
      </c>
      <c r="G61" s="147">
        <v>0</v>
      </c>
      <c r="H61" s="147">
        <v>0</v>
      </c>
      <c r="I61" s="147">
        <v>0</v>
      </c>
      <c r="J61" s="147">
        <v>0</v>
      </c>
      <c r="K61" s="147">
        <v>0</v>
      </c>
      <c r="L61" s="151">
        <v>0</v>
      </c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  <c r="AK61" s="149"/>
    </row>
    <row r="62" spans="1:37" s="119" customFormat="1" x14ac:dyDescent="0.2">
      <c r="A62" s="119" t="s">
        <v>94</v>
      </c>
      <c r="B62" s="147">
        <v>0</v>
      </c>
      <c r="C62" s="147">
        <v>0</v>
      </c>
      <c r="D62" s="147">
        <v>0</v>
      </c>
      <c r="E62" s="147">
        <v>0</v>
      </c>
      <c r="F62" s="147">
        <v>0</v>
      </c>
      <c r="G62" s="147">
        <v>0</v>
      </c>
      <c r="H62" s="147">
        <v>0</v>
      </c>
      <c r="I62" s="147">
        <v>0</v>
      </c>
      <c r="J62" s="147">
        <v>0</v>
      </c>
      <c r="K62" s="147">
        <v>0</v>
      </c>
      <c r="L62" s="151">
        <v>0</v>
      </c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</row>
    <row r="63" spans="1:37" s="119" customFormat="1" ht="13.5" thickBot="1" x14ac:dyDescent="0.25">
      <c r="A63" s="119" t="s">
        <v>121</v>
      </c>
      <c r="B63" s="149">
        <f>SUM(B51:B62)</f>
        <v>0</v>
      </c>
      <c r="C63" s="149">
        <f t="shared" ref="C63:K63" si="21">SUM(C51:C62)</f>
        <v>0</v>
      </c>
      <c r="D63" s="149">
        <f t="shared" si="21"/>
        <v>0</v>
      </c>
      <c r="E63" s="149">
        <f t="shared" si="21"/>
        <v>0</v>
      </c>
      <c r="F63" s="149">
        <f t="shared" si="21"/>
        <v>0</v>
      </c>
      <c r="G63" s="149">
        <f t="shared" si="21"/>
        <v>0</v>
      </c>
      <c r="H63" s="149">
        <f t="shared" si="21"/>
        <v>0</v>
      </c>
      <c r="I63" s="149">
        <f t="shared" si="21"/>
        <v>0</v>
      </c>
      <c r="J63" s="149">
        <f t="shared" si="21"/>
        <v>0</v>
      </c>
      <c r="K63" s="149">
        <f t="shared" si="21"/>
        <v>0</v>
      </c>
      <c r="L63" s="148">
        <f>L8</f>
        <v>0</v>
      </c>
      <c r="M63" s="148">
        <f t="shared" ref="M63:AK63" si="22">M8</f>
        <v>15</v>
      </c>
      <c r="N63" s="148">
        <f t="shared" si="22"/>
        <v>75</v>
      </c>
      <c r="O63" s="148">
        <f t="shared" si="22"/>
        <v>125</v>
      </c>
      <c r="P63" s="148">
        <f t="shared" si="22"/>
        <v>150</v>
      </c>
      <c r="Q63" s="148">
        <f t="shared" si="22"/>
        <v>150</v>
      </c>
      <c r="R63" s="148">
        <f t="shared" si="22"/>
        <v>150</v>
      </c>
      <c r="S63" s="148">
        <f t="shared" si="22"/>
        <v>150</v>
      </c>
      <c r="T63" s="148">
        <f t="shared" si="22"/>
        <v>150</v>
      </c>
      <c r="U63" s="148">
        <f t="shared" si="22"/>
        <v>150</v>
      </c>
      <c r="V63" s="148">
        <f t="shared" si="22"/>
        <v>150</v>
      </c>
      <c r="W63" s="148">
        <f t="shared" si="22"/>
        <v>150</v>
      </c>
      <c r="X63" s="148">
        <f t="shared" si="22"/>
        <v>150</v>
      </c>
      <c r="Y63" s="148">
        <f t="shared" si="22"/>
        <v>150</v>
      </c>
      <c r="Z63" s="148">
        <f t="shared" si="22"/>
        <v>150</v>
      </c>
      <c r="AA63" s="148">
        <f t="shared" si="22"/>
        <v>150</v>
      </c>
      <c r="AB63" s="148">
        <f t="shared" si="22"/>
        <v>150</v>
      </c>
      <c r="AC63" s="148">
        <f t="shared" si="22"/>
        <v>150</v>
      </c>
      <c r="AD63" s="148">
        <f t="shared" si="22"/>
        <v>150</v>
      </c>
      <c r="AE63" s="148">
        <f t="shared" si="22"/>
        <v>150</v>
      </c>
      <c r="AF63" s="148">
        <f t="shared" si="22"/>
        <v>150</v>
      </c>
      <c r="AG63" s="148">
        <f t="shared" si="22"/>
        <v>150</v>
      </c>
      <c r="AH63" s="148">
        <f t="shared" si="22"/>
        <v>150</v>
      </c>
      <c r="AI63" s="148">
        <f t="shared" si="22"/>
        <v>150</v>
      </c>
      <c r="AJ63" s="148">
        <f t="shared" si="22"/>
        <v>150</v>
      </c>
      <c r="AK63" s="148">
        <f t="shared" si="22"/>
        <v>150</v>
      </c>
    </row>
    <row r="64" spans="1:37" s="119" customFormat="1" x14ac:dyDescent="0.2">
      <c r="A64" s="150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</row>
    <row r="65" spans="1:37" s="119" customFormat="1" ht="13.5" thickBot="1" x14ac:dyDescent="0.25">
      <c r="A65" s="119" t="s">
        <v>124</v>
      </c>
    </row>
    <row r="66" spans="1:37" s="119" customFormat="1" ht="13.5" thickBot="1" x14ac:dyDescent="0.25">
      <c r="A66" s="145" t="s">
        <v>111</v>
      </c>
      <c r="B66" s="146">
        <f t="shared" ref="B66:AK66" si="23">B2</f>
        <v>2015</v>
      </c>
      <c r="C66" s="146">
        <f t="shared" si="23"/>
        <v>2016</v>
      </c>
      <c r="D66" s="146">
        <f t="shared" si="23"/>
        <v>2017</v>
      </c>
      <c r="E66" s="146">
        <f t="shared" si="23"/>
        <v>2018</v>
      </c>
      <c r="F66" s="146">
        <f t="shared" si="23"/>
        <v>2019</v>
      </c>
      <c r="G66" s="146">
        <f t="shared" si="23"/>
        <v>2020</v>
      </c>
      <c r="H66" s="146">
        <f t="shared" si="23"/>
        <v>2021</v>
      </c>
      <c r="I66" s="146">
        <f t="shared" si="23"/>
        <v>2022</v>
      </c>
      <c r="J66" s="146">
        <f t="shared" si="23"/>
        <v>2023</v>
      </c>
      <c r="K66" s="146">
        <f t="shared" si="23"/>
        <v>2024</v>
      </c>
      <c r="L66" s="146">
        <f t="shared" si="23"/>
        <v>2025</v>
      </c>
      <c r="M66" s="146">
        <f t="shared" si="23"/>
        <v>2026</v>
      </c>
      <c r="N66" s="146">
        <f t="shared" si="23"/>
        <v>2027</v>
      </c>
      <c r="O66" s="146">
        <f t="shared" si="23"/>
        <v>2028</v>
      </c>
      <c r="P66" s="146">
        <f t="shared" si="23"/>
        <v>2029</v>
      </c>
      <c r="Q66" s="146">
        <f t="shared" si="23"/>
        <v>2030</v>
      </c>
      <c r="R66" s="146">
        <f t="shared" si="23"/>
        <v>2031</v>
      </c>
      <c r="S66" s="146">
        <f t="shared" si="23"/>
        <v>2032</v>
      </c>
      <c r="T66" s="146">
        <f t="shared" si="23"/>
        <v>2033</v>
      </c>
      <c r="U66" s="146">
        <f t="shared" si="23"/>
        <v>2034</v>
      </c>
      <c r="V66" s="146">
        <f t="shared" si="23"/>
        <v>2035</v>
      </c>
      <c r="W66" s="146">
        <f t="shared" si="23"/>
        <v>2036</v>
      </c>
      <c r="X66" s="146">
        <f t="shared" si="23"/>
        <v>2037</v>
      </c>
      <c r="Y66" s="146">
        <f t="shared" si="23"/>
        <v>2038</v>
      </c>
      <c r="Z66" s="146">
        <f t="shared" si="23"/>
        <v>2039</v>
      </c>
      <c r="AA66" s="146">
        <f t="shared" si="23"/>
        <v>2040</v>
      </c>
      <c r="AB66" s="146">
        <f t="shared" si="23"/>
        <v>2041</v>
      </c>
      <c r="AC66" s="146">
        <f t="shared" si="23"/>
        <v>2042</v>
      </c>
      <c r="AD66" s="146">
        <f t="shared" si="23"/>
        <v>2043</v>
      </c>
      <c r="AE66" s="146">
        <f t="shared" si="23"/>
        <v>2044</v>
      </c>
      <c r="AF66" s="146">
        <f t="shared" si="23"/>
        <v>2045</v>
      </c>
      <c r="AG66" s="146">
        <f t="shared" si="23"/>
        <v>2046</v>
      </c>
      <c r="AH66" s="146">
        <f t="shared" si="23"/>
        <v>2047</v>
      </c>
      <c r="AI66" s="146">
        <f t="shared" si="23"/>
        <v>2048</v>
      </c>
      <c r="AJ66" s="146">
        <f t="shared" si="23"/>
        <v>2049</v>
      </c>
      <c r="AK66" s="146">
        <f t="shared" si="23"/>
        <v>2050</v>
      </c>
    </row>
    <row r="67" spans="1:37" s="119" customFormat="1" x14ac:dyDescent="0.2">
      <c r="A67" s="119" t="s">
        <v>83</v>
      </c>
      <c r="B67" s="147">
        <f>B3+B19+B35-B51-B83</f>
        <v>0</v>
      </c>
      <c r="C67" s="147">
        <f t="shared" ref="C67:J67" si="24">B94+C19+C35-C51-C83</f>
        <v>0</v>
      </c>
      <c r="D67" s="147">
        <f t="shared" si="24"/>
        <v>0</v>
      </c>
      <c r="E67" s="147">
        <f t="shared" si="24"/>
        <v>0</v>
      </c>
      <c r="F67" s="147">
        <f t="shared" si="24"/>
        <v>0</v>
      </c>
      <c r="G67" s="147">
        <f t="shared" si="24"/>
        <v>0</v>
      </c>
      <c r="H67" s="147">
        <f t="shared" si="24"/>
        <v>0</v>
      </c>
      <c r="I67" s="147">
        <f t="shared" si="24"/>
        <v>0</v>
      </c>
      <c r="J67" s="147">
        <f t="shared" si="24"/>
        <v>0</v>
      </c>
      <c r="K67" s="147">
        <f>J94+K19+K35-K51-K83</f>
        <v>0</v>
      </c>
      <c r="L67" s="147">
        <v>0</v>
      </c>
      <c r="M67" s="151">
        <f>(M19+M35+L94)*((SUM('Jet Fuel'!H68:L68)/SUM('Jet Fuel'!H84:L84)))</f>
        <v>6.8668263636254236</v>
      </c>
      <c r="N67" s="151">
        <f>(N19+N35+M94)*((SUM('Jet Fuel'!I68:M68)/SUM('Jet Fuel'!I84:M84)))</f>
        <v>16.516478863820936</v>
      </c>
      <c r="O67" s="151">
        <f>(O19+O35+N94)*((SUM('Jet Fuel'!J68:N68)/SUM('Jet Fuel'!J84:N84)))</f>
        <v>20.028398451879905</v>
      </c>
      <c r="P67" s="151">
        <f>(P19+P35+O94)*((SUM('Jet Fuel'!K68:O68)/SUM('Jet Fuel'!K84:O84)))</f>
        <v>22.921755367075857</v>
      </c>
      <c r="Q67" s="151">
        <f>(Q19+Q35+P94)*((SUM('Jet Fuel'!L68:P68)/SUM('Jet Fuel'!L84:P84)))</f>
        <v>23.304911926425255</v>
      </c>
      <c r="R67" s="151">
        <f>(R19+R35+Q94)*((SUM('Jet Fuel'!M68:Q68)/SUM('Jet Fuel'!M84:Q84)))</f>
        <v>22.699271406512036</v>
      </c>
      <c r="S67" s="151">
        <f>(S19+S35+R94)*((SUM('Jet Fuel'!N68:R68)/SUM('Jet Fuel'!N84:R84)))</f>
        <v>21.879248480755773</v>
      </c>
      <c r="T67" s="151">
        <f>(T19+T35+S94)*((SUM('Jet Fuel'!O68:S68)/SUM('Jet Fuel'!O84:S84)))</f>
        <v>21.444505595641168</v>
      </c>
      <c r="U67" s="151">
        <f>(U19+U35+T94)*((SUM('Jet Fuel'!P68:T68)/SUM('Jet Fuel'!P84:T84)))</f>
        <v>20.617930409810139</v>
      </c>
      <c r="V67" s="151">
        <f>(V19+V35+U94)*((SUM('Jet Fuel'!Q68:U68)/SUM('Jet Fuel'!Q84:U84)))</f>
        <v>21.212352407031325</v>
      </c>
      <c r="W67" s="151">
        <f>(W19+W35+V94)*((SUM('Jet Fuel'!R68:V68)/SUM('Jet Fuel'!R84:V84)))</f>
        <v>20.423200521592303</v>
      </c>
      <c r="X67" s="151">
        <f>(X19+X35+W94)*((SUM('Jet Fuel'!S68:W68)/SUM('Jet Fuel'!S84:W84)))</f>
        <v>19.430958618905567</v>
      </c>
      <c r="Y67" s="151">
        <f>(Y19+Y35+X94)*((SUM('Jet Fuel'!T68:X68)/SUM('Jet Fuel'!T84:X84)))</f>
        <v>18.157357692563686</v>
      </c>
      <c r="Z67" s="151">
        <f>(Z19+Z35+Y94)*((SUM('Jet Fuel'!U68:Y68)/SUM('Jet Fuel'!U84:Y84)))</f>
        <v>15.873161101235752</v>
      </c>
      <c r="AA67" s="151">
        <f>(AA19+AA35+Z94)*((SUM('Jet Fuel'!V68:Z68)/SUM('Jet Fuel'!V84:Z84)))</f>
        <v>14.080426258732743</v>
      </c>
      <c r="AB67" s="151">
        <f>(AB19+AB35+AA94)*((SUM('Jet Fuel'!W68:AA68)/SUM('Jet Fuel'!W84:AA84)))</f>
        <v>13.314665733120103</v>
      </c>
      <c r="AC67" s="151">
        <f>(AC19+AC35+AB94)*((SUM('Jet Fuel'!X68:AB68)/SUM('Jet Fuel'!X84:AB84)))</f>
        <v>12.5276232738325</v>
      </c>
      <c r="AD67" s="151">
        <f>(AD19+AD35+AC94)*((SUM('Jet Fuel'!Y68:AC68)/SUM('Jet Fuel'!Y84:AC84)))</f>
        <v>12.55328623999422</v>
      </c>
      <c r="AE67" s="151">
        <f>(AE19+AE35+AD94)*((SUM('Jet Fuel'!Z68:AD68)/SUM('Jet Fuel'!Z84:AD84)))</f>
        <v>11.974058503013826</v>
      </c>
      <c r="AF67" s="151">
        <f>(AF19+AF35+AE94)*((SUM('Jet Fuel'!AA68:AE68)/SUM('Jet Fuel'!AA84:AE84)))</f>
        <v>11.824585199568869</v>
      </c>
      <c r="AG67" s="151">
        <f>(AG19+AG35+AF94)*((SUM('Jet Fuel'!AB68:AF68)/SUM('Jet Fuel'!AB84:AF84)))</f>
        <v>11.041430676769627</v>
      </c>
      <c r="AH67" s="151">
        <f>(AH19+AH35+AG94)*((SUM('Jet Fuel'!AC68:AG68)/SUM('Jet Fuel'!AC84:AG84)))</f>
        <v>9.8494119113768459</v>
      </c>
      <c r="AI67" s="151">
        <f>(AI19+AI35+AH94)*((SUM('Jet Fuel'!AD68:AH68)/SUM('Jet Fuel'!AD84:AH84)))</f>
        <v>8.7103256480563918</v>
      </c>
      <c r="AJ67" s="151">
        <f>(AJ19+AJ35+AI94)*((SUM('Jet Fuel'!AE68:AI68)/SUM('Jet Fuel'!AE84:AI84)))</f>
        <v>7.4548450019736441</v>
      </c>
      <c r="AK67" s="151">
        <f>(AK19+AK35+AJ94)*((SUM('Jet Fuel'!AF68:AJ68)/SUM('Jet Fuel'!AF84:AJ84)))</f>
        <v>6.5643832680307526</v>
      </c>
    </row>
    <row r="68" spans="1:37" s="119" customFormat="1" x14ac:dyDescent="0.2">
      <c r="A68" s="119" t="s">
        <v>84</v>
      </c>
      <c r="B68" s="147">
        <f t="shared" ref="B68:K79" si="25">B83+B20+B36-B52-B84</f>
        <v>0</v>
      </c>
      <c r="C68" s="147">
        <f t="shared" si="25"/>
        <v>0</v>
      </c>
      <c r="D68" s="147">
        <f t="shared" si="25"/>
        <v>0</v>
      </c>
      <c r="E68" s="147">
        <f t="shared" si="25"/>
        <v>0</v>
      </c>
      <c r="F68" s="147">
        <f t="shared" si="25"/>
        <v>0</v>
      </c>
      <c r="G68" s="147">
        <f t="shared" si="25"/>
        <v>0</v>
      </c>
      <c r="H68" s="147">
        <f t="shared" si="25"/>
        <v>0</v>
      </c>
      <c r="I68" s="147">
        <f t="shared" si="25"/>
        <v>0</v>
      </c>
      <c r="J68" s="147">
        <f t="shared" si="25"/>
        <v>0</v>
      </c>
      <c r="K68" s="147">
        <f>K83+K20+K36-K52-K84</f>
        <v>0</v>
      </c>
      <c r="L68" s="147">
        <v>0</v>
      </c>
      <c r="M68" s="151">
        <f>(M20+M36+M83)*((SUM('Jet Fuel'!H69:L69)/SUM('Jet Fuel'!H85:L85)))</f>
        <v>4.6738644383665182</v>
      </c>
      <c r="N68" s="151">
        <f>(N20+N36+N83)*((SUM('Jet Fuel'!I69:M69)/SUM('Jet Fuel'!I85:M85)))</f>
        <v>12.40358484369443</v>
      </c>
      <c r="O68" s="151">
        <f>(O20+O36+O83)*((SUM('Jet Fuel'!J69:N69)/SUM('Jet Fuel'!J85:N85)))</f>
        <v>14.949275350552586</v>
      </c>
      <c r="P68" s="151">
        <f>(P20+P36+P83)*((SUM('Jet Fuel'!K69:O69)/SUM('Jet Fuel'!K85:O85)))</f>
        <v>18.255773549595915</v>
      </c>
      <c r="Q68" s="151">
        <f>(Q20+Q36+Q83)*((SUM('Jet Fuel'!L69:P69)/SUM('Jet Fuel'!L85:P85)))</f>
        <v>18.03735364722445</v>
      </c>
      <c r="R68" s="151">
        <f>(R20+R36+R83)*((SUM('Jet Fuel'!M69:Q69)/SUM('Jet Fuel'!M85:Q85)))</f>
        <v>18.733561999067941</v>
      </c>
      <c r="S68" s="151">
        <f>(S20+S36+S83)*((SUM('Jet Fuel'!N69:R69)/SUM('Jet Fuel'!N85:R85)))</f>
        <v>18.301710044555467</v>
      </c>
      <c r="T68" s="151">
        <f>(T20+T36+T83)*((SUM('Jet Fuel'!O69:S69)/SUM('Jet Fuel'!O85:S85)))</f>
        <v>18.08981723703026</v>
      </c>
      <c r="U68" s="151">
        <f>(U20+U36+U83)*((SUM('Jet Fuel'!P69:T69)/SUM('Jet Fuel'!P85:T85)))</f>
        <v>18.036986519807744</v>
      </c>
      <c r="V68" s="151">
        <f>(V20+V36+V83)*((SUM('Jet Fuel'!Q69:U69)/SUM('Jet Fuel'!Q85:U85)))</f>
        <v>17.869543152685441</v>
      </c>
      <c r="W68" s="151">
        <f>(W20+W36+W83)*((SUM('Jet Fuel'!R69:V69)/SUM('Jet Fuel'!R85:V85)))</f>
        <v>17.72988492232647</v>
      </c>
      <c r="X68" s="151">
        <f>(X20+X36+X83)*((SUM('Jet Fuel'!S69:W69)/SUM('Jet Fuel'!S85:W85)))</f>
        <v>17.265513571910201</v>
      </c>
      <c r="Y68" s="151">
        <f>(Y20+Y36+Y83)*((SUM('Jet Fuel'!T69:X69)/SUM('Jet Fuel'!T85:X85)))</f>
        <v>16.630182248126999</v>
      </c>
      <c r="Z68" s="151">
        <f>(Z20+Z36+Z83)*((SUM('Jet Fuel'!U69:Y69)/SUM('Jet Fuel'!U85:Y85)))</f>
        <v>15.564035083436549</v>
      </c>
      <c r="AA68" s="151">
        <f>(AA20+AA36+AA83)*((SUM('Jet Fuel'!V69:Z69)/SUM('Jet Fuel'!V85:Z85)))</f>
        <v>14.558161991279487</v>
      </c>
      <c r="AB68" s="151">
        <f>(AB20+AB36+AB83)*((SUM('Jet Fuel'!W69:AA69)/SUM('Jet Fuel'!W85:AA85)))</f>
        <v>14.03504726028175</v>
      </c>
      <c r="AC68" s="151">
        <f>(AC20+AC36+AC83)*((SUM('Jet Fuel'!X69:AB69)/SUM('Jet Fuel'!X85:AB85)))</f>
        <v>13.573357044500007</v>
      </c>
      <c r="AD68" s="151">
        <f>(AD20+AD36+AD83)*((SUM('Jet Fuel'!Y69:AC69)/SUM('Jet Fuel'!Y85:AC85)))</f>
        <v>13.503552187544381</v>
      </c>
      <c r="AE68" s="151">
        <f>(AE20+AE36+AE83)*((SUM('Jet Fuel'!Z69:AD69)/SUM('Jet Fuel'!Z85:AD85)))</f>
        <v>13.172203616005266</v>
      </c>
      <c r="AF68" s="151">
        <f>(AF20+AF36+AF83)*((SUM('Jet Fuel'!AA69:AE69)/SUM('Jet Fuel'!AA85:AE85)))</f>
        <v>13.071460704330143</v>
      </c>
      <c r="AG68" s="151">
        <f>(AG20+AG36+AG83)*((SUM('Jet Fuel'!AB69:AF69)/SUM('Jet Fuel'!AB85:AF85)))</f>
        <v>12.639338535019972</v>
      </c>
      <c r="AH68" s="151">
        <f>(AH20+AH36+AH83)*((SUM('Jet Fuel'!AC69:AG69)/SUM('Jet Fuel'!AC85:AG85)))</f>
        <v>11.944342976063204</v>
      </c>
      <c r="AI68" s="151">
        <f>(AI20+AI36+AI83)*((SUM('Jet Fuel'!AD69:AH69)/SUM('Jet Fuel'!AD85:AH85)))</f>
        <v>11.281480634325773</v>
      </c>
      <c r="AJ68" s="151">
        <f>(AJ20+AJ36+AJ83)*((SUM('Jet Fuel'!AE69:AI69)/SUM('Jet Fuel'!AE85:AI85)))</f>
        <v>10.598384986503886</v>
      </c>
      <c r="AK68" s="151">
        <f>(AK20+AK36+AK83)*((SUM('Jet Fuel'!AF69:AJ69)/SUM('Jet Fuel'!AF85:AJ85)))</f>
        <v>10.002160167076541</v>
      </c>
    </row>
    <row r="69" spans="1:37" s="119" customFormat="1" x14ac:dyDescent="0.2">
      <c r="A69" s="119" t="s">
        <v>85</v>
      </c>
      <c r="B69" s="147">
        <f t="shared" si="25"/>
        <v>0</v>
      </c>
      <c r="C69" s="147">
        <f t="shared" si="25"/>
        <v>0</v>
      </c>
      <c r="D69" s="147">
        <f t="shared" si="25"/>
        <v>0</v>
      </c>
      <c r="E69" s="147">
        <f t="shared" si="25"/>
        <v>0</v>
      </c>
      <c r="F69" s="147">
        <f t="shared" si="25"/>
        <v>0</v>
      </c>
      <c r="G69" s="147">
        <f t="shared" si="25"/>
        <v>0</v>
      </c>
      <c r="H69" s="147">
        <f t="shared" si="25"/>
        <v>0</v>
      </c>
      <c r="I69" s="147">
        <f t="shared" si="25"/>
        <v>0</v>
      </c>
      <c r="J69" s="147">
        <f t="shared" si="25"/>
        <v>0</v>
      </c>
      <c r="K69" s="147">
        <f t="shared" si="25"/>
        <v>0</v>
      </c>
      <c r="L69" s="147">
        <v>0</v>
      </c>
      <c r="M69" s="151">
        <f>(M21+M37+M84)*((SUM('Jet Fuel'!H70:L70)/SUM('Jet Fuel'!H86:L86)))</f>
        <v>9.4371330696362659</v>
      </c>
      <c r="N69" s="151">
        <f>(N21+N37+N84)*((SUM('Jet Fuel'!I70:M70)/SUM('Jet Fuel'!I86:M86)))</f>
        <v>13.0133293279625</v>
      </c>
      <c r="O69" s="151">
        <f>(O21+O37+O84)*((SUM('Jet Fuel'!J70:N70)/SUM('Jet Fuel'!J86:N86)))</f>
        <v>18.010628295483059</v>
      </c>
      <c r="P69" s="151">
        <f>(P21+P37+P84)*((SUM('Jet Fuel'!K70:O70)/SUM('Jet Fuel'!K86:O86)))</f>
        <v>19.055398655878765</v>
      </c>
      <c r="Q69" s="151">
        <f>(Q21+Q37+Q84)*((SUM('Jet Fuel'!L70:P70)/SUM('Jet Fuel'!L86:P86)))</f>
        <v>22.456324554930085</v>
      </c>
      <c r="R69" s="151">
        <f>(R21+R37+R84)*((SUM('Jet Fuel'!M70:Q70)/SUM('Jet Fuel'!M86:Q86)))</f>
        <v>21.614009864429484</v>
      </c>
      <c r="S69" s="151">
        <f>(S21+S37+S84)*((SUM('Jet Fuel'!N70:R70)/SUM('Jet Fuel'!N86:R86)))</f>
        <v>21.484004969008044</v>
      </c>
      <c r="T69" s="151">
        <f>(T21+T37+T84)*((SUM('Jet Fuel'!O70:S70)/SUM('Jet Fuel'!O86:S86)))</f>
        <v>21.380016809293124</v>
      </c>
      <c r="U69" s="151">
        <f>(U21+U37+U84)*((SUM('Jet Fuel'!P70:T70)/SUM('Jet Fuel'!P86:T86)))</f>
        <v>21.476303754304521</v>
      </c>
      <c r="V69" s="151">
        <f>(V21+V37+V84)*((SUM('Jet Fuel'!Q70:U70)/SUM('Jet Fuel'!Q86:U86)))</f>
        <v>21.435117800914536</v>
      </c>
      <c r="W69" s="151">
        <f>(W21+W37+W84)*((SUM('Jet Fuel'!R70:V70)/SUM('Jet Fuel'!R86:V86)))</f>
        <v>21.109032646988744</v>
      </c>
      <c r="X69" s="151">
        <f>(X21+X37+X84)*((SUM('Jet Fuel'!S70:W70)/SUM('Jet Fuel'!S86:W86)))</f>
        <v>20.90720124224336</v>
      </c>
      <c r="Y69" s="151">
        <f>(Y21+Y37+Y84)*((SUM('Jet Fuel'!T70:X70)/SUM('Jet Fuel'!T86:X86)))</f>
        <v>20.399855008584098</v>
      </c>
      <c r="Z69" s="151">
        <f>(Z21+Z37+Z84)*((SUM('Jet Fuel'!U70:Y70)/SUM('Jet Fuel'!U86:Y86)))</f>
        <v>19.57553706646079</v>
      </c>
      <c r="AA69" s="151">
        <f>(AA21+AA37+AA84)*((SUM('Jet Fuel'!V70:Z70)/SUM('Jet Fuel'!V86:Z86)))</f>
        <v>18.767847655851881</v>
      </c>
      <c r="AB69" s="151">
        <f>(AB21+AB37+AB84)*((SUM('Jet Fuel'!W70:AA70)/SUM('Jet Fuel'!W86:AA86)))</f>
        <v>18.265503792566744</v>
      </c>
      <c r="AC69" s="151">
        <f>(AC21+AC37+AC84)*((SUM('Jet Fuel'!X70:AB70)/SUM('Jet Fuel'!X86:AB86)))</f>
        <v>17.797161939690341</v>
      </c>
      <c r="AD69" s="151">
        <f>(AD21+AD37+AD84)*((SUM('Jet Fuel'!Y70:AC70)/SUM('Jet Fuel'!Y86:AC86)))</f>
        <v>17.652167911011485</v>
      </c>
      <c r="AE69" s="151">
        <f>(AE21+AE37+AE84)*((SUM('Jet Fuel'!Z70:AD70)/SUM('Jet Fuel'!Z86:AD86)))</f>
        <v>17.323864720020168</v>
      </c>
      <c r="AF69" s="151">
        <f>(AF21+AF37+AF84)*((SUM('Jet Fuel'!AA70:AE70)/SUM('Jet Fuel'!AA86:AE86)))</f>
        <v>17.133091305537352</v>
      </c>
      <c r="AG69" s="151">
        <f>(AG21+AG37+AG84)*((SUM('Jet Fuel'!AB70:AF70)/SUM('Jet Fuel'!AB86:AF86)))</f>
        <v>16.608147263773887</v>
      </c>
      <c r="AH69" s="151">
        <f>(AH21+AH37+AH84)*((SUM('Jet Fuel'!AC70:AG70)/SUM('Jet Fuel'!AC86:AG86)))</f>
        <v>15.895769866733964</v>
      </c>
      <c r="AI69" s="151">
        <f>(AI21+AI37+AI84)*((SUM('Jet Fuel'!AD70:AH70)/SUM('Jet Fuel'!AD86:AH86)))</f>
        <v>15.242618894269668</v>
      </c>
      <c r="AJ69" s="151">
        <f>(AJ21+AJ37+AJ84)*((SUM('Jet Fuel'!AE70:AI70)/SUM('Jet Fuel'!AE86:AI86)))</f>
        <v>14.499670739126728</v>
      </c>
      <c r="AK69" s="151">
        <f>(AK21+AK37+AK84)*((SUM('Jet Fuel'!AF70:AJ70)/SUM('Jet Fuel'!AF86:AJ86)))</f>
        <v>13.858045787003173</v>
      </c>
    </row>
    <row r="70" spans="1:37" s="119" customFormat="1" x14ac:dyDescent="0.2">
      <c r="A70" s="119" t="s">
        <v>86</v>
      </c>
      <c r="B70" s="147">
        <f t="shared" si="25"/>
        <v>0</v>
      </c>
      <c r="C70" s="147">
        <f t="shared" si="25"/>
        <v>0</v>
      </c>
      <c r="D70" s="147">
        <f t="shared" si="25"/>
        <v>0</v>
      </c>
      <c r="E70" s="147">
        <f t="shared" si="25"/>
        <v>0</v>
      </c>
      <c r="F70" s="147">
        <f t="shared" si="25"/>
        <v>0</v>
      </c>
      <c r="G70" s="147">
        <f t="shared" si="25"/>
        <v>0</v>
      </c>
      <c r="H70" s="147">
        <f t="shared" si="25"/>
        <v>0</v>
      </c>
      <c r="I70" s="147">
        <f t="shared" si="25"/>
        <v>0</v>
      </c>
      <c r="J70" s="147">
        <f t="shared" si="25"/>
        <v>0</v>
      </c>
      <c r="K70" s="147">
        <f t="shared" si="25"/>
        <v>0</v>
      </c>
      <c r="L70" s="151">
        <f>(L22+L38+L85)*((SUM('Jet Fuel'!G70:K70)/SUM('Jet Fuel'!G86:K86)))</f>
        <v>0</v>
      </c>
      <c r="M70" s="151">
        <f>(M22+M38+M85)*((SUM('Jet Fuel'!H71:L71)/SUM('Jet Fuel'!H87:L87)))</f>
        <v>7.1963224656861309</v>
      </c>
      <c r="N70" s="151">
        <f>(N22+N38+N85)*((SUM('Jet Fuel'!I71:M71)/SUM('Jet Fuel'!I87:M87)))</f>
        <v>10.151569814996153</v>
      </c>
      <c r="O70" s="151">
        <f>(O22+O38+O85)*((SUM('Jet Fuel'!J71:N71)/SUM('Jet Fuel'!J87:N87)))</f>
        <v>12.334009132431419</v>
      </c>
      <c r="P70" s="151">
        <f>(P22+P38+P85)*((SUM('Jet Fuel'!K71:O71)/SUM('Jet Fuel'!K87:O87)))</f>
        <v>14.457637033404254</v>
      </c>
      <c r="Q70" s="151">
        <f>(Q22+Q38+Q85)*((SUM('Jet Fuel'!L71:P71)/SUM('Jet Fuel'!L87:P87)))</f>
        <v>16.148105497092502</v>
      </c>
      <c r="R70" s="151">
        <f>(R22+R38+R85)*((SUM('Jet Fuel'!M71:Q71)/SUM('Jet Fuel'!M87:Q87)))</f>
        <v>15.662841412609389</v>
      </c>
      <c r="S70" s="151">
        <f>(S22+S38+S85)*((SUM('Jet Fuel'!N71:R71)/SUM('Jet Fuel'!N87:R87)))</f>
        <v>15.6837161977131</v>
      </c>
      <c r="T70" s="151">
        <f>(T22+T38+T85)*((SUM('Jet Fuel'!O71:S71)/SUM('Jet Fuel'!O87:S87)))</f>
        <v>15.494599705645985</v>
      </c>
      <c r="U70" s="151">
        <f>(U22+U38+U85)*((SUM('Jet Fuel'!P71:T71)/SUM('Jet Fuel'!P87:T87)))</f>
        <v>15.684430476113015</v>
      </c>
      <c r="V70" s="151">
        <f>(V22+V38+V85)*((SUM('Jet Fuel'!Q71:U71)/SUM('Jet Fuel'!Q87:U87)))</f>
        <v>15.42118088403134</v>
      </c>
      <c r="W70" s="151">
        <f>(W22+W38+W85)*((SUM('Jet Fuel'!R71:V71)/SUM('Jet Fuel'!R87:V87)))</f>
        <v>15.268950015839154</v>
      </c>
      <c r="X70" s="151">
        <f>(X22+X38+X85)*((SUM('Jet Fuel'!S71:W71)/SUM('Jet Fuel'!S87:W87)))</f>
        <v>15.254022734263716</v>
      </c>
      <c r="Y70" s="151">
        <f>(Y22+Y38+Y85)*((SUM('Jet Fuel'!T71:X71)/SUM('Jet Fuel'!T87:X87)))</f>
        <v>15.055912405578459</v>
      </c>
      <c r="Z70" s="151">
        <f>(Z22+Z38+Z85)*((SUM('Jet Fuel'!U71:Y71)/SUM('Jet Fuel'!U87:Y87)))</f>
        <v>14.820410888436111</v>
      </c>
      <c r="AA70" s="151">
        <f>(AA22+AA38+AA85)*((SUM('Jet Fuel'!V71:Z71)/SUM('Jet Fuel'!V87:Z87)))</f>
        <v>14.515902605682944</v>
      </c>
      <c r="AB70" s="151">
        <f>(AB22+AB38+AB85)*((SUM('Jet Fuel'!W71:AA71)/SUM('Jet Fuel'!W87:AA87)))</f>
        <v>14.239272352523519</v>
      </c>
      <c r="AC70" s="151">
        <f>(AC22+AC38+AC85)*((SUM('Jet Fuel'!X71:AB71)/SUM('Jet Fuel'!X87:AB87)))</f>
        <v>13.927379083454477</v>
      </c>
      <c r="AD70" s="151">
        <f>(AD22+AD38+AD85)*((SUM('Jet Fuel'!Y71:AC71)/SUM('Jet Fuel'!Y87:AC87)))</f>
        <v>13.732894605752362</v>
      </c>
      <c r="AE70" s="151">
        <f>(AE22+AE38+AE85)*((SUM('Jet Fuel'!Z71:AD71)/SUM('Jet Fuel'!Z87:AD87)))</f>
        <v>13.495617379820603</v>
      </c>
      <c r="AF70" s="151">
        <f>(AF22+AF38+AF85)*((SUM('Jet Fuel'!AA71:AE71)/SUM('Jet Fuel'!AA87:AE87)))</f>
        <v>13.250686148385485</v>
      </c>
      <c r="AG70" s="151">
        <f>(AG22+AG38+AG85)*((SUM('Jet Fuel'!AB71:AF71)/SUM('Jet Fuel'!AB87:AF87)))</f>
        <v>12.873036230724425</v>
      </c>
      <c r="AH70" s="151">
        <f>(AH22+AH38+AH85)*((SUM('Jet Fuel'!AC71:AG71)/SUM('Jet Fuel'!AC87:AG87)))</f>
        <v>12.468831610067934</v>
      </c>
      <c r="AI70" s="151">
        <f>(AI22+AI38+AI85)*((SUM('Jet Fuel'!AD71:AH71)/SUM('Jet Fuel'!AD87:AH87)))</f>
        <v>12.112522503453924</v>
      </c>
      <c r="AJ70" s="151">
        <f>(AJ22+AJ38+AJ85)*((SUM('Jet Fuel'!AE71:AI71)/SUM('Jet Fuel'!AE87:AI87)))</f>
        <v>11.662003711988959</v>
      </c>
      <c r="AK70" s="151">
        <f>(AK22+AK38+AK85)*((SUM('Jet Fuel'!AF71:AJ71)/SUM('Jet Fuel'!AF87:AJ87)))</f>
        <v>11.276551577860291</v>
      </c>
    </row>
    <row r="71" spans="1:37" s="119" customFormat="1" x14ac:dyDescent="0.2">
      <c r="A71" s="119" t="s">
        <v>87</v>
      </c>
      <c r="B71" s="147">
        <f t="shared" si="25"/>
        <v>0</v>
      </c>
      <c r="C71" s="147">
        <f t="shared" si="25"/>
        <v>0</v>
      </c>
      <c r="D71" s="147">
        <f t="shared" si="25"/>
        <v>0</v>
      </c>
      <c r="E71" s="147">
        <f t="shared" si="25"/>
        <v>0</v>
      </c>
      <c r="F71" s="147">
        <f t="shared" si="25"/>
        <v>0</v>
      </c>
      <c r="G71" s="147">
        <f t="shared" si="25"/>
        <v>0</v>
      </c>
      <c r="H71" s="147">
        <f t="shared" si="25"/>
        <v>0</v>
      </c>
      <c r="I71" s="147">
        <f t="shared" si="25"/>
        <v>0</v>
      </c>
      <c r="J71" s="147">
        <f t="shared" si="25"/>
        <v>0</v>
      </c>
      <c r="K71" s="147">
        <f t="shared" si="25"/>
        <v>0</v>
      </c>
      <c r="L71" s="151">
        <f>(L23+L39+L86)*((SUM('Jet Fuel'!G71:K71)/SUM('Jet Fuel'!G87:K87)))</f>
        <v>4.5918331345392991</v>
      </c>
      <c r="M71" s="151">
        <f>(M23+M39+M86)*((SUM('Jet Fuel'!H72:L72)/SUM('Jet Fuel'!H88:L88)))</f>
        <v>6.5986738763798032</v>
      </c>
      <c r="N71" s="151">
        <f>(N23+N39+N86)*((SUM('Jet Fuel'!I72:M72)/SUM('Jet Fuel'!I88:M88)))</f>
        <v>13.687698446259446</v>
      </c>
      <c r="O71" s="151">
        <f>(O23+O39+O86)*((SUM('Jet Fuel'!J72:N72)/SUM('Jet Fuel'!J88:N88)))</f>
        <v>17.535804203827769</v>
      </c>
      <c r="P71" s="151">
        <f>(P23+P39+P86)*((SUM('Jet Fuel'!K72:O72)/SUM('Jet Fuel'!K88:O88)))</f>
        <v>18.177343188507258</v>
      </c>
      <c r="Q71" s="151">
        <f>(Q23+Q39+Q86)*((SUM('Jet Fuel'!L72:P72)/SUM('Jet Fuel'!L88:P88)))</f>
        <v>21.671061852331384</v>
      </c>
      <c r="R71" s="151">
        <f>(R23+R39+R86)*((SUM('Jet Fuel'!M72:Q72)/SUM('Jet Fuel'!M88:Q88)))</f>
        <v>20.298994916025656</v>
      </c>
      <c r="S71" s="151">
        <f>(S23+S39+S86)*((SUM('Jet Fuel'!N72:R72)/SUM('Jet Fuel'!N88:R88)))</f>
        <v>20.438919150878185</v>
      </c>
      <c r="T71" s="151">
        <f>(T23+T39+T86)*((SUM('Jet Fuel'!O72:S72)/SUM('Jet Fuel'!O88:S88)))</f>
        <v>20.298116042886715</v>
      </c>
      <c r="U71" s="151">
        <f>(U23+U39+U86)*((SUM('Jet Fuel'!P72:T72)/SUM('Jet Fuel'!P88:T88)))</f>
        <v>20.208753654749362</v>
      </c>
      <c r="V71" s="151">
        <f>(V23+V39+V86)*((SUM('Jet Fuel'!Q72:U72)/SUM('Jet Fuel'!Q88:U88)))</f>
        <v>20.415117729597416</v>
      </c>
      <c r="W71" s="151">
        <f>(W23+W39+W86)*((SUM('Jet Fuel'!R72:V72)/SUM('Jet Fuel'!R88:V88)))</f>
        <v>20.046795886822505</v>
      </c>
      <c r="X71" s="151">
        <f>(X23+X39+X86)*((SUM('Jet Fuel'!S72:W72)/SUM('Jet Fuel'!S88:W88)))</f>
        <v>19.434101220675483</v>
      </c>
      <c r="Y71" s="151">
        <f>(Y23+Y39+Y86)*((SUM('Jet Fuel'!T72:X72)/SUM('Jet Fuel'!T88:X88)))</f>
        <v>18.517257149666889</v>
      </c>
      <c r="Z71" s="151">
        <f>(Z23+Z39+Z86)*((SUM('Jet Fuel'!U72:Y72)/SUM('Jet Fuel'!U88:Y88)))</f>
        <v>17.512600367255391</v>
      </c>
      <c r="AA71" s="151">
        <f>(AA23+AA39+AA86)*((SUM('Jet Fuel'!V72:Z72)/SUM('Jet Fuel'!V88:Z88)))</f>
        <v>16.715831869145624</v>
      </c>
      <c r="AB71" s="151">
        <f>(AB23+AB39+AB86)*((SUM('Jet Fuel'!W72:AA72)/SUM('Jet Fuel'!W88:AA88)))</f>
        <v>16.133307289004144</v>
      </c>
      <c r="AC71" s="151">
        <f>(AC23+AC39+AC86)*((SUM('Jet Fuel'!X72:AB72)/SUM('Jet Fuel'!X88:AB88)))</f>
        <v>15.687589400915105</v>
      </c>
      <c r="AD71" s="151">
        <f>(AD23+AD39+AD86)*((SUM('Jet Fuel'!Y72:AC72)/SUM('Jet Fuel'!Y88:AC88)))</f>
        <v>15.391445531165019</v>
      </c>
      <c r="AE71" s="151">
        <f>(AE23+AE39+AE86)*((SUM('Jet Fuel'!Z72:AD72)/SUM('Jet Fuel'!Z88:AD88)))</f>
        <v>15.18152264528714</v>
      </c>
      <c r="AF71" s="151">
        <f>(AF23+AF39+AF86)*((SUM('Jet Fuel'!AA72:AE72)/SUM('Jet Fuel'!AA88:AE88)))</f>
        <v>15.001043173743463</v>
      </c>
      <c r="AG71" s="151">
        <f>(AG23+AG39+AG86)*((SUM('Jet Fuel'!AB72:AF72)/SUM('Jet Fuel'!AB88:AF88)))</f>
        <v>14.649965024270902</v>
      </c>
      <c r="AH71" s="151">
        <f>(AH23+AH39+AH86)*((SUM('Jet Fuel'!AC72:AG72)/SUM('Jet Fuel'!AC88:AG88)))</f>
        <v>14.253308173626964</v>
      </c>
      <c r="AI71" s="151">
        <f>(AI23+AI39+AI86)*((SUM('Jet Fuel'!AD72:AH72)/SUM('Jet Fuel'!AD88:AH88)))</f>
        <v>14.002541575106514</v>
      </c>
      <c r="AJ71" s="151">
        <f>(AJ23+AJ39+AJ86)*((SUM('Jet Fuel'!AE72:AI72)/SUM('Jet Fuel'!AE88:AI88)))</f>
        <v>13.643115494515614</v>
      </c>
      <c r="AK71" s="151">
        <f>(AK23+AK39+AK86)*((SUM('Jet Fuel'!AF72:AJ72)/SUM('Jet Fuel'!AF88:AJ88)))</f>
        <v>13.294050909944177</v>
      </c>
    </row>
    <row r="72" spans="1:37" s="119" customFormat="1" x14ac:dyDescent="0.2">
      <c r="A72" s="119" t="s">
        <v>88</v>
      </c>
      <c r="B72" s="147">
        <f t="shared" si="25"/>
        <v>0</v>
      </c>
      <c r="C72" s="147">
        <f t="shared" si="25"/>
        <v>0</v>
      </c>
      <c r="D72" s="147">
        <f t="shared" si="25"/>
        <v>0</v>
      </c>
      <c r="E72" s="147">
        <f t="shared" si="25"/>
        <v>0</v>
      </c>
      <c r="F72" s="147">
        <f t="shared" si="25"/>
        <v>0</v>
      </c>
      <c r="G72" s="147">
        <f t="shared" si="25"/>
        <v>0</v>
      </c>
      <c r="H72" s="147">
        <f t="shared" si="25"/>
        <v>0</v>
      </c>
      <c r="I72" s="147">
        <f t="shared" si="25"/>
        <v>0</v>
      </c>
      <c r="J72" s="147">
        <f t="shared" si="25"/>
        <v>0</v>
      </c>
      <c r="K72" s="147">
        <f t="shared" si="25"/>
        <v>0</v>
      </c>
      <c r="L72" s="151">
        <f>(L24+L40+L87)*((SUM('Jet Fuel'!G72:K72)/SUM('Jet Fuel'!G88:K88)))</f>
        <v>3.7207717275137751</v>
      </c>
      <c r="M72" s="151">
        <f>(M24+M40+M87)*((SUM('Jet Fuel'!H73:L73)/SUM('Jet Fuel'!H89:L89)))</f>
        <v>7.9913909433243573</v>
      </c>
      <c r="N72" s="151">
        <f>(N24+N40+N87)*((SUM('Jet Fuel'!I73:M73)/SUM('Jet Fuel'!I89:M89)))</f>
        <v>14.378693876774385</v>
      </c>
      <c r="O72" s="151">
        <f>(O24+O40+O87)*((SUM('Jet Fuel'!J73:N73)/SUM('Jet Fuel'!J89:N89)))</f>
        <v>17.255384048811738</v>
      </c>
      <c r="P72" s="151">
        <f>(P24+P40+P87)*((SUM('Jet Fuel'!K73:O73)/SUM('Jet Fuel'!K89:O89)))</f>
        <v>17.827111214536249</v>
      </c>
      <c r="Q72" s="151">
        <f>(Q24+Q40+Q87)*((SUM('Jet Fuel'!L73:P73)/SUM('Jet Fuel'!L89:P89)))</f>
        <v>20.201102683546647</v>
      </c>
      <c r="R72" s="151">
        <f>(R24+R40+R87)*((SUM('Jet Fuel'!M73:Q73)/SUM('Jet Fuel'!M89:Q89)))</f>
        <v>20.354230065241033</v>
      </c>
      <c r="S72" s="151">
        <f>(S24+S40+S87)*((SUM('Jet Fuel'!N73:R73)/SUM('Jet Fuel'!N89:R89)))</f>
        <v>20.24765831434275</v>
      </c>
      <c r="T72" s="151">
        <f>(T24+T40+T87)*((SUM('Jet Fuel'!O73:S73)/SUM('Jet Fuel'!O89:S89)))</f>
        <v>19.758209163787228</v>
      </c>
      <c r="U72" s="151">
        <f>(U24+U40+U87)*((SUM('Jet Fuel'!P73:T73)/SUM('Jet Fuel'!P89:T89)))</f>
        <v>19.669913127129337</v>
      </c>
      <c r="V72" s="151">
        <f>(V24+V40+V87)*((SUM('Jet Fuel'!Q73:U73)/SUM('Jet Fuel'!Q89:U89)))</f>
        <v>19.522063270257135</v>
      </c>
      <c r="W72" s="151">
        <f>(W24+W40+W87)*((SUM('Jet Fuel'!R73:V73)/SUM('Jet Fuel'!R89:V89)))</f>
        <v>19.340255703271392</v>
      </c>
      <c r="X72" s="151">
        <f>(X24+X40+X87)*((SUM('Jet Fuel'!S73:W73)/SUM('Jet Fuel'!S89:W89)))</f>
        <v>19.035181095314268</v>
      </c>
      <c r="Y72" s="151">
        <f>(Y24+Y40+Y87)*((SUM('Jet Fuel'!T73:X73)/SUM('Jet Fuel'!T89:X89)))</f>
        <v>18.498573138926318</v>
      </c>
      <c r="Z72" s="151">
        <f>(Z24+Z40+Z87)*((SUM('Jet Fuel'!U73:Y73)/SUM('Jet Fuel'!U89:Y89)))</f>
        <v>17.938599790329683</v>
      </c>
      <c r="AA72" s="151">
        <f>(AA24+AA40+AA87)*((SUM('Jet Fuel'!V73:Z73)/SUM('Jet Fuel'!V89:Z89)))</f>
        <v>17.445169485421463</v>
      </c>
      <c r="AB72" s="151">
        <f>(AB24+AB40+AB87)*((SUM('Jet Fuel'!W73:AA73)/SUM('Jet Fuel'!W89:AA89)))</f>
        <v>17.023279776810945</v>
      </c>
      <c r="AC72" s="151">
        <f>(AC24+AC40+AC87)*((SUM('Jet Fuel'!X73:AB73)/SUM('Jet Fuel'!X89:AB89)))</f>
        <v>16.651744231027546</v>
      </c>
      <c r="AD72" s="151">
        <f>(AD24+AD40+AD87)*((SUM('Jet Fuel'!Y73:AC73)/SUM('Jet Fuel'!Y89:AC89)))</f>
        <v>16.35335428959025</v>
      </c>
      <c r="AE72" s="151">
        <f>(AE24+AE40+AE87)*((SUM('Jet Fuel'!Z73:AD73)/SUM('Jet Fuel'!Z89:AD89)))</f>
        <v>16.132344236181332</v>
      </c>
      <c r="AF72" s="151">
        <f>(AF24+AF40+AF87)*((SUM('Jet Fuel'!AA73:AE73)/SUM('Jet Fuel'!AA89:AE89)))</f>
        <v>15.877654634645289</v>
      </c>
      <c r="AG72" s="151">
        <f>(AG24+AG40+AG87)*((SUM('Jet Fuel'!AB73:AF73)/SUM('Jet Fuel'!AB89:AF89)))</f>
        <v>15.491347784439172</v>
      </c>
      <c r="AH72" s="151">
        <f>(AH24+AH40+AH87)*((SUM('Jet Fuel'!AC73:AG73)/SUM('Jet Fuel'!AC89:AG89)))</f>
        <v>15.105395570221672</v>
      </c>
      <c r="AI72" s="151">
        <f>(AI24+AI40+AI87)*((SUM('Jet Fuel'!AD73:AH73)/SUM('Jet Fuel'!AD89:AH89)))</f>
        <v>14.835973409387531</v>
      </c>
      <c r="AJ72" s="151">
        <f>(AJ24+AJ40+AJ87)*((SUM('Jet Fuel'!AE73:AI73)/SUM('Jet Fuel'!AE89:AI89)))</f>
        <v>14.461209172665988</v>
      </c>
      <c r="AK72" s="151">
        <f>(AK24+AK40+AK87)*((SUM('Jet Fuel'!AF73:AJ73)/SUM('Jet Fuel'!AF89:AJ89)))</f>
        <v>14.112215890399375</v>
      </c>
    </row>
    <row r="73" spans="1:37" s="119" customFormat="1" x14ac:dyDescent="0.2">
      <c r="A73" s="119" t="s">
        <v>89</v>
      </c>
      <c r="B73" s="147">
        <f t="shared" si="25"/>
        <v>0</v>
      </c>
      <c r="C73" s="147">
        <f t="shared" si="25"/>
        <v>0</v>
      </c>
      <c r="D73" s="147">
        <f t="shared" si="25"/>
        <v>0</v>
      </c>
      <c r="E73" s="147">
        <f t="shared" si="25"/>
        <v>0</v>
      </c>
      <c r="F73" s="147">
        <f t="shared" si="25"/>
        <v>0</v>
      </c>
      <c r="G73" s="147">
        <f t="shared" si="25"/>
        <v>0</v>
      </c>
      <c r="H73" s="147">
        <f t="shared" si="25"/>
        <v>0</v>
      </c>
      <c r="I73" s="147">
        <f t="shared" si="25"/>
        <v>0</v>
      </c>
      <c r="J73" s="147">
        <f t="shared" si="25"/>
        <v>0</v>
      </c>
      <c r="K73" s="147">
        <f t="shared" si="25"/>
        <v>0</v>
      </c>
      <c r="L73" s="151">
        <f>(L25+L41+L88)*((SUM('Jet Fuel'!G73:K73)/SUM('Jet Fuel'!G89:K89)))</f>
        <v>7.3671486144348801</v>
      </c>
      <c r="M73" s="151">
        <f>(M25+M41+M88)*((SUM('Jet Fuel'!H74:L74)/SUM('Jet Fuel'!H90:L90)))</f>
        <v>12.05842921599314</v>
      </c>
      <c r="N73" s="151">
        <f>(N25+N41+N88)*((SUM('Jet Fuel'!I74:M74)/SUM('Jet Fuel'!I90:M90)))</f>
        <v>14.3845111815858</v>
      </c>
      <c r="O73" s="151">
        <f>(O25+O41+O88)*((SUM('Jet Fuel'!J74:N74)/SUM('Jet Fuel'!J90:N90)))</f>
        <v>16.640132674287212</v>
      </c>
      <c r="P73" s="151">
        <f>(P25+P41+P88)*((SUM('Jet Fuel'!K74:O74)/SUM('Jet Fuel'!K90:O90)))</f>
        <v>19.095586838122255</v>
      </c>
      <c r="Q73" s="151">
        <f>(Q25+Q41+Q88)*((SUM('Jet Fuel'!L74:P74)/SUM('Jet Fuel'!L90:P90)))</f>
        <v>21.369385144983834</v>
      </c>
      <c r="R73" s="151">
        <f>(R25+R41+R88)*((SUM('Jet Fuel'!M74:Q74)/SUM('Jet Fuel'!M90:Q90)))</f>
        <v>21.350731213603908</v>
      </c>
      <c r="S73" s="151">
        <f>(S25+S41+S88)*((SUM('Jet Fuel'!N74:R74)/SUM('Jet Fuel'!N90:R90)))</f>
        <v>21.076890895706704</v>
      </c>
      <c r="T73" s="151">
        <f>(T25+T41+T88)*((SUM('Jet Fuel'!O74:S74)/SUM('Jet Fuel'!O90:S90)))</f>
        <v>20.854844209597506</v>
      </c>
      <c r="U73" s="151">
        <f>(U25+U41+U88)*((SUM('Jet Fuel'!P74:T74)/SUM('Jet Fuel'!P90:T90)))</f>
        <v>21.243941373654074</v>
      </c>
      <c r="V73" s="151">
        <f>(V25+V41+V88)*((SUM('Jet Fuel'!Q74:U74)/SUM('Jet Fuel'!Q90:U90)))</f>
        <v>21.226475074505679</v>
      </c>
      <c r="W73" s="151">
        <f>(W25+W41+W88)*((SUM('Jet Fuel'!R74:V74)/SUM('Jet Fuel'!R90:V90)))</f>
        <v>21.116112461952287</v>
      </c>
      <c r="X73" s="151">
        <f>(X25+X41+X88)*((SUM('Jet Fuel'!S74:W74)/SUM('Jet Fuel'!S90:W90)))</f>
        <v>20.929934218475552</v>
      </c>
      <c r="Y73" s="151">
        <f>(Y25+Y41+Y88)*((SUM('Jet Fuel'!T74:X74)/SUM('Jet Fuel'!T90:X90)))</f>
        <v>20.523003948883538</v>
      </c>
      <c r="Z73" s="151">
        <f>(Z25+Z41+Z88)*((SUM('Jet Fuel'!U74:Y74)/SUM('Jet Fuel'!U90:Y90)))</f>
        <v>20.089534226377392</v>
      </c>
      <c r="AA73" s="151">
        <f>(AA25+AA41+AA88)*((SUM('Jet Fuel'!V74:Z74)/SUM('Jet Fuel'!V90:Z90)))</f>
        <v>19.750712609485024</v>
      </c>
      <c r="AB73" s="151">
        <f>(AB25+AB41+AB88)*((SUM('Jet Fuel'!W74:AA74)/SUM('Jet Fuel'!W90:AA90)))</f>
        <v>19.519538297965187</v>
      </c>
      <c r="AC73" s="151">
        <f>(AC25+AC41+AC88)*((SUM('Jet Fuel'!X74:AB74)/SUM('Jet Fuel'!X90:AB90)))</f>
        <v>19.367231206203037</v>
      </c>
      <c r="AD73" s="151">
        <f>(AD25+AD41+AD88)*((SUM('Jet Fuel'!Y74:AC74)/SUM('Jet Fuel'!Y90:AC90)))</f>
        <v>19.225479090688463</v>
      </c>
      <c r="AE73" s="151">
        <f>(AE25+AE41+AE88)*((SUM('Jet Fuel'!Z74:AD74)/SUM('Jet Fuel'!Z90:AD90)))</f>
        <v>19.190645914631141</v>
      </c>
      <c r="AF73" s="151">
        <f>(AF25+AF41+AF88)*((SUM('Jet Fuel'!AA74:AE74)/SUM('Jet Fuel'!AA90:AE90)))</f>
        <v>19.074119602470944</v>
      </c>
      <c r="AG73" s="151">
        <f>(AG25+AG41+AG88)*((SUM('Jet Fuel'!AB74:AF74)/SUM('Jet Fuel'!AB90:AF90)))</f>
        <v>18.743005146672942</v>
      </c>
      <c r="AH73" s="151">
        <f>(AH25+AH41+AH88)*((SUM('Jet Fuel'!AC74:AG74)/SUM('Jet Fuel'!AC90:AG90)))</f>
        <v>18.403755220105722</v>
      </c>
      <c r="AI73" s="151">
        <f>(AI25+AI41+AI88)*((SUM('Jet Fuel'!AD74:AH74)/SUM('Jet Fuel'!AD90:AH90)))</f>
        <v>18.199271420518997</v>
      </c>
      <c r="AJ73" s="151">
        <f>(AJ25+AJ41+AJ88)*((SUM('Jet Fuel'!AE74:AI74)/SUM('Jet Fuel'!AE90:AI90)))</f>
        <v>17.855439231110424</v>
      </c>
      <c r="AK73" s="151">
        <f>(AK25+AK41+AK88)*((SUM('Jet Fuel'!AF74:AJ74)/SUM('Jet Fuel'!AF90:AJ90)))</f>
        <v>17.524358245129196</v>
      </c>
    </row>
    <row r="74" spans="1:37" s="119" customFormat="1" x14ac:dyDescent="0.2">
      <c r="A74" s="119" t="s">
        <v>90</v>
      </c>
      <c r="B74" s="147">
        <f t="shared" si="25"/>
        <v>0</v>
      </c>
      <c r="C74" s="147">
        <f t="shared" si="25"/>
        <v>0</v>
      </c>
      <c r="D74" s="147">
        <f t="shared" si="25"/>
        <v>0</v>
      </c>
      <c r="E74" s="147">
        <f t="shared" si="25"/>
        <v>0</v>
      </c>
      <c r="F74" s="147">
        <f t="shared" si="25"/>
        <v>0</v>
      </c>
      <c r="G74" s="147">
        <f t="shared" si="25"/>
        <v>0</v>
      </c>
      <c r="H74" s="147">
        <f t="shared" si="25"/>
        <v>0</v>
      </c>
      <c r="I74" s="147">
        <f t="shared" si="25"/>
        <v>0</v>
      </c>
      <c r="J74" s="147">
        <f t="shared" si="25"/>
        <v>0</v>
      </c>
      <c r="K74" s="147">
        <f t="shared" si="25"/>
        <v>0</v>
      </c>
      <c r="L74" s="151">
        <f>(L26+L42+L89)*((SUM('Jet Fuel'!G74:K74)/SUM('Jet Fuel'!G90:K90)))</f>
        <v>8.0396418836297023</v>
      </c>
      <c r="M74" s="151">
        <f>(M26+M42+M89)*((SUM('Jet Fuel'!H75:L75)/SUM('Jet Fuel'!H91:L91)))</f>
        <v>14.812274458522044</v>
      </c>
      <c r="N74" s="151">
        <f>(N26+N42+N89)*((SUM('Jet Fuel'!I75:M75)/SUM('Jet Fuel'!I91:M91)))</f>
        <v>21.490237728065654</v>
      </c>
      <c r="O74" s="151">
        <f>(O26+O42+O89)*((SUM('Jet Fuel'!J75:N75)/SUM('Jet Fuel'!J91:N91)))</f>
        <v>26.717737496777232</v>
      </c>
      <c r="P74" s="151">
        <f>(P26+P42+P89)*((SUM('Jet Fuel'!K75:O75)/SUM('Jet Fuel'!K91:O91)))</f>
        <v>28.112868024515116</v>
      </c>
      <c r="Q74" s="151">
        <f>(Q26+Q42+Q89)*((SUM('Jet Fuel'!L75:P75)/SUM('Jet Fuel'!L91:P91)))</f>
        <v>30.325342758518069</v>
      </c>
      <c r="R74" s="151">
        <f>(R26+R42+R89)*((SUM('Jet Fuel'!M75:Q75)/SUM('Jet Fuel'!M91:Q91)))</f>
        <v>29.838764451816605</v>
      </c>
      <c r="S74" s="151">
        <f>(S26+S42+S89)*((SUM('Jet Fuel'!N75:R75)/SUM('Jet Fuel'!N91:R91)))</f>
        <v>29.717708354562262</v>
      </c>
      <c r="T74" s="151">
        <f>(T26+T42+T89)*((SUM('Jet Fuel'!O75:S75)/SUM('Jet Fuel'!O91:S91)))</f>
        <v>29.196199013654095</v>
      </c>
      <c r="U74" s="151">
        <f>(U26+U42+U89)*((SUM('Jet Fuel'!P75:T75)/SUM('Jet Fuel'!P91:T91)))</f>
        <v>29.113984243178844</v>
      </c>
      <c r="V74" s="151">
        <f>(V26+V42+V89)*((SUM('Jet Fuel'!Q75:U75)/SUM('Jet Fuel'!Q91:U91)))</f>
        <v>28.763084842338777</v>
      </c>
      <c r="W74" s="151">
        <f>(W26+W42+W89)*((SUM('Jet Fuel'!R75:V75)/SUM('Jet Fuel'!R91:V91)))</f>
        <v>28.34294923529395</v>
      </c>
      <c r="X74" s="151">
        <f>(X26+X42+X89)*((SUM('Jet Fuel'!S75:W75)/SUM('Jet Fuel'!S91:W91)))</f>
        <v>28.048578474391284</v>
      </c>
      <c r="Y74" s="151">
        <f>(Y26+Y42+Y89)*((SUM('Jet Fuel'!T75:X75)/SUM('Jet Fuel'!T91:X91)))</f>
        <v>27.608155986960693</v>
      </c>
      <c r="Z74" s="151">
        <f>(Z26+Z42+Z89)*((SUM('Jet Fuel'!U75:Y75)/SUM('Jet Fuel'!U91:Y91)))</f>
        <v>27.228340114678588</v>
      </c>
      <c r="AA74" s="151">
        <f>(AA26+AA42+AA89)*((SUM('Jet Fuel'!V75:Z75)/SUM('Jet Fuel'!V91:Z91)))</f>
        <v>27.099858122611394</v>
      </c>
      <c r="AB74" s="151">
        <f>(AB26+AB42+AB89)*((SUM('Jet Fuel'!W75:AA75)/SUM('Jet Fuel'!W91:AA91)))</f>
        <v>27.203546907282117</v>
      </c>
      <c r="AC74" s="151">
        <f>(AC26+AC42+AC89)*((SUM('Jet Fuel'!X75:AB75)/SUM('Jet Fuel'!X91:AB91)))</f>
        <v>27.431208067107608</v>
      </c>
      <c r="AD74" s="151">
        <f>(AD26+AD42+AD89)*((SUM('Jet Fuel'!Y75:AC75)/SUM('Jet Fuel'!Y91:AC91)))</f>
        <v>27.535532880618256</v>
      </c>
      <c r="AE74" s="151">
        <f>(AE26+AE42+AE89)*((SUM('Jet Fuel'!Z75:AD75)/SUM('Jet Fuel'!Z91:AD91)))</f>
        <v>27.677101948827922</v>
      </c>
      <c r="AF74" s="151">
        <f>(AF26+AF42+AF89)*((SUM('Jet Fuel'!AA75:AE75)/SUM('Jet Fuel'!AA91:AE91)))</f>
        <v>27.634898943492455</v>
      </c>
      <c r="AG74" s="151">
        <f>(AG26+AG42+AG89)*((SUM('Jet Fuel'!AB75:AF75)/SUM('Jet Fuel'!AB91:AF91)))</f>
        <v>27.214461226792846</v>
      </c>
      <c r="AH74" s="151">
        <f>(AH26+AH42+AH89)*((SUM('Jet Fuel'!AC75:AG75)/SUM('Jet Fuel'!AC91:AG91)))</f>
        <v>26.753408936252558</v>
      </c>
      <c r="AI74" s="151">
        <f>(AI26+AI42+AI89)*((SUM('Jet Fuel'!AD75:AH75)/SUM('Jet Fuel'!AD91:AH91)))</f>
        <v>26.33714271921675</v>
      </c>
      <c r="AJ74" s="151">
        <f>(AJ26+AJ42+AJ89)*((SUM('Jet Fuel'!AE75:AI75)/SUM('Jet Fuel'!AE91:AI91)))</f>
        <v>25.786827163864572</v>
      </c>
      <c r="AK74" s="151">
        <f>(AK26+AK42+AK89)*((SUM('Jet Fuel'!AF75:AJ75)/SUM('Jet Fuel'!AF91:AJ91)))</f>
        <v>25.266089127525706</v>
      </c>
    </row>
    <row r="75" spans="1:37" s="119" customFormat="1" x14ac:dyDescent="0.2">
      <c r="A75" s="119" t="s">
        <v>91</v>
      </c>
      <c r="B75" s="147">
        <f t="shared" si="25"/>
        <v>0</v>
      </c>
      <c r="C75" s="147">
        <f t="shared" si="25"/>
        <v>0</v>
      </c>
      <c r="D75" s="147">
        <f t="shared" si="25"/>
        <v>0</v>
      </c>
      <c r="E75" s="147">
        <f t="shared" si="25"/>
        <v>0</v>
      </c>
      <c r="F75" s="147">
        <f t="shared" si="25"/>
        <v>0</v>
      </c>
      <c r="G75" s="147">
        <f t="shared" si="25"/>
        <v>0</v>
      </c>
      <c r="H75" s="147">
        <f t="shared" si="25"/>
        <v>0</v>
      </c>
      <c r="I75" s="147">
        <f t="shared" si="25"/>
        <v>0</v>
      </c>
      <c r="J75" s="147">
        <f t="shared" si="25"/>
        <v>0</v>
      </c>
      <c r="K75" s="147">
        <f t="shared" si="25"/>
        <v>0</v>
      </c>
      <c r="L75" s="151">
        <f>(L27+L43+L90)*((SUM('Jet Fuel'!G75:K75)/SUM('Jet Fuel'!G91:K91)))</f>
        <v>5.8311762413380643</v>
      </c>
      <c r="M75" s="151">
        <f>(M27+M43+M90)*((SUM('Jet Fuel'!H76:L76)/SUM('Jet Fuel'!H92:L92)))</f>
        <v>9.0085853626158343</v>
      </c>
      <c r="N75" s="151">
        <f>(N27+N43+N90)*((SUM('Jet Fuel'!I76:M76)/SUM('Jet Fuel'!I92:M92)))</f>
        <v>11.254425548976863</v>
      </c>
      <c r="O75" s="151">
        <f>(O27+O43+O90)*((SUM('Jet Fuel'!J76:N76)/SUM('Jet Fuel'!J92:N92)))</f>
        <v>12.974030632006157</v>
      </c>
      <c r="P75" s="151">
        <f>(P27+P43+P90)*((SUM('Jet Fuel'!K76:O76)/SUM('Jet Fuel'!K92:O92)))</f>
        <v>13.898391205159347</v>
      </c>
      <c r="Q75" s="151">
        <f>(Q27+Q43+Q90)*((SUM('Jet Fuel'!L76:P76)/SUM('Jet Fuel'!L92:P92)))</f>
        <v>18.384003634565556</v>
      </c>
      <c r="R75" s="151">
        <f>(R27+R43+R90)*((SUM('Jet Fuel'!M76:Q76)/SUM('Jet Fuel'!M92:Q92)))</f>
        <v>17.886196991378945</v>
      </c>
      <c r="S75" s="151">
        <f>(S27+S43+S90)*((SUM('Jet Fuel'!N76:R76)/SUM('Jet Fuel'!N92:R92)))</f>
        <v>17.814035246201922</v>
      </c>
      <c r="T75" s="151">
        <f>(T27+T43+T90)*((SUM('Jet Fuel'!O76:S76)/SUM('Jet Fuel'!O92:S92)))</f>
        <v>17.725318811711432</v>
      </c>
      <c r="U75" s="151">
        <f>(U27+U43+U90)*((SUM('Jet Fuel'!P76:T76)/SUM('Jet Fuel'!P92:T92)))</f>
        <v>18.307318002021251</v>
      </c>
      <c r="V75" s="151">
        <f>(V27+V43+V90)*((SUM('Jet Fuel'!Q76:U76)/SUM('Jet Fuel'!Q92:U92)))</f>
        <v>18.894001259746958</v>
      </c>
      <c r="W75" s="151">
        <f>(W27+W43+W90)*((SUM('Jet Fuel'!R76:V76)/SUM('Jet Fuel'!R92:V92)))</f>
        <v>18.890786429849992</v>
      </c>
      <c r="X75" s="151">
        <f>(X27+X43+X90)*((SUM('Jet Fuel'!S76:W76)/SUM('Jet Fuel'!S92:W92)))</f>
        <v>18.79005011311877</v>
      </c>
      <c r="Y75" s="151">
        <f>(Y27+Y43+Y90)*((SUM('Jet Fuel'!T76:X76)/SUM('Jet Fuel'!T92:X92)))</f>
        <v>18.35033683601559</v>
      </c>
      <c r="Z75" s="151">
        <f>(Z27+Z43+Z90)*((SUM('Jet Fuel'!U76:Y76)/SUM('Jet Fuel'!U92:Y92)))</f>
        <v>17.926602291339815</v>
      </c>
      <c r="AA75" s="151">
        <f>(AA27+AA43+AA90)*((SUM('Jet Fuel'!V76:Z76)/SUM('Jet Fuel'!V92:Z92)))</f>
        <v>17.704609356010533</v>
      </c>
      <c r="AB75" s="151">
        <f>(AB27+AB43+AB90)*((SUM('Jet Fuel'!W76:AA76)/SUM('Jet Fuel'!W92:AA92)))</f>
        <v>17.570043654540171</v>
      </c>
      <c r="AC75" s="151">
        <f>(AC27+AC43+AC90)*((SUM('Jet Fuel'!X76:AB76)/SUM('Jet Fuel'!X92:AB92)))</f>
        <v>17.567250741757221</v>
      </c>
      <c r="AD75" s="151">
        <f>(AD27+AD43+AD90)*((SUM('Jet Fuel'!Y76:AC76)/SUM('Jet Fuel'!Y92:AC92)))</f>
        <v>17.556123318167661</v>
      </c>
      <c r="AE75" s="151">
        <f>(AE27+AE43+AE90)*((SUM('Jet Fuel'!Z76:AD76)/SUM('Jet Fuel'!Z92:AD92)))</f>
        <v>17.773475833808202</v>
      </c>
      <c r="AF75" s="151">
        <f>(AF27+AF43+AF90)*((SUM('Jet Fuel'!AA76:AE76)/SUM('Jet Fuel'!AA92:AE92)))</f>
        <v>17.877640182421434</v>
      </c>
      <c r="AG75" s="151">
        <f>(AG27+AG43+AG90)*((SUM('Jet Fuel'!AB76:AF76)/SUM('Jet Fuel'!AB92:AF92)))</f>
        <v>17.751628332379873</v>
      </c>
      <c r="AH75" s="151">
        <f>(AH27+AH43+AH90)*((SUM('Jet Fuel'!AC76:AG76)/SUM('Jet Fuel'!AC92:AG92)))</f>
        <v>17.672418864948657</v>
      </c>
      <c r="AI75" s="151">
        <f>(AI27+AI43+AI90)*((SUM('Jet Fuel'!AD76:AH76)/SUM('Jet Fuel'!AD92:AH92)))</f>
        <v>17.798266686659414</v>
      </c>
      <c r="AJ75" s="151">
        <f>(AJ27+AJ43+AJ90)*((SUM('Jet Fuel'!AE76:AI76)/SUM('Jet Fuel'!AE92:AI92)))</f>
        <v>17.712998304024328</v>
      </c>
      <c r="AK75" s="151">
        <f>(AK27+AK43+AK90)*((SUM('Jet Fuel'!AF76:AJ76)/SUM('Jet Fuel'!AF92:AJ92)))</f>
        <v>17.633920336417159</v>
      </c>
    </row>
    <row r="76" spans="1:37" s="119" customFormat="1" x14ac:dyDescent="0.2">
      <c r="A76" s="119" t="s">
        <v>92</v>
      </c>
      <c r="B76" s="147">
        <f t="shared" si="25"/>
        <v>0</v>
      </c>
      <c r="C76" s="147">
        <f t="shared" si="25"/>
        <v>0</v>
      </c>
      <c r="D76" s="147">
        <f t="shared" si="25"/>
        <v>0</v>
      </c>
      <c r="E76" s="147">
        <f t="shared" si="25"/>
        <v>0</v>
      </c>
      <c r="F76" s="147">
        <f t="shared" si="25"/>
        <v>0</v>
      </c>
      <c r="G76" s="147">
        <f t="shared" si="25"/>
        <v>0</v>
      </c>
      <c r="H76" s="147">
        <f t="shared" si="25"/>
        <v>0</v>
      </c>
      <c r="I76" s="147">
        <f t="shared" si="25"/>
        <v>0</v>
      </c>
      <c r="J76" s="147">
        <f t="shared" si="25"/>
        <v>0</v>
      </c>
      <c r="K76" s="147">
        <f t="shared" si="25"/>
        <v>0</v>
      </c>
      <c r="L76" s="151">
        <f>(L28+L44+L91)*((SUM('Jet Fuel'!G76:K76)/SUM('Jet Fuel'!G92:K92)))</f>
        <v>4.8023352210629824</v>
      </c>
      <c r="M76" s="151">
        <f>(M28+M44+M91)*((SUM('Jet Fuel'!H77:L77)/SUM('Jet Fuel'!H93:L93)))</f>
        <v>17.239423692771627</v>
      </c>
      <c r="N76" s="151">
        <f>(N28+N44+N91)*((SUM('Jet Fuel'!I77:M77)/SUM('Jet Fuel'!I93:M93)))</f>
        <v>27.807063504278272</v>
      </c>
      <c r="O76" s="151">
        <f>(O28+O44+O91)*((SUM('Jet Fuel'!J77:N77)/SUM('Jet Fuel'!J93:N93)))</f>
        <v>37.551944464526557</v>
      </c>
      <c r="P76" s="151">
        <f>(P28+P44+P91)*((SUM('Jet Fuel'!K77:O77)/SUM('Jet Fuel'!K93:O93)))</f>
        <v>43.788006304636184</v>
      </c>
      <c r="Q76" s="151">
        <f>(Q28+Q44+Q91)*((SUM('Jet Fuel'!L77:P77)/SUM('Jet Fuel'!L93:P93)))</f>
        <v>46.915926973733917</v>
      </c>
      <c r="R76" s="151">
        <f>(R28+R44+R91)*((SUM('Jet Fuel'!M77:Q77)/SUM('Jet Fuel'!M93:Q93)))</f>
        <v>43.126930230001079</v>
      </c>
      <c r="S76" s="151">
        <f>(S28+S44+S91)*((SUM('Jet Fuel'!N77:R77)/SUM('Jet Fuel'!N93:R93)))</f>
        <v>44.549773306483218</v>
      </c>
      <c r="T76" s="151">
        <f>(T28+T44+T91)*((SUM('Jet Fuel'!O77:S77)/SUM('Jet Fuel'!O93:S93)))</f>
        <v>44.503078604807548</v>
      </c>
      <c r="U76" s="151">
        <f>(U28+U44+U91)*((SUM('Jet Fuel'!P77:T77)/SUM('Jet Fuel'!P93:T93)))</f>
        <v>45.52594600115124</v>
      </c>
      <c r="V76" s="151">
        <f>(V28+V44+V91)*((SUM('Jet Fuel'!Q77:U77)/SUM('Jet Fuel'!Q93:U93)))</f>
        <v>45.203867542708522</v>
      </c>
      <c r="W76" s="151">
        <f>(W28+W44+W91)*((SUM('Jet Fuel'!R77:V77)/SUM('Jet Fuel'!R93:V93)))</f>
        <v>44.08601714476405</v>
      </c>
      <c r="X76" s="151">
        <f>(X28+X44+X91)*((SUM('Jet Fuel'!S77:W77)/SUM('Jet Fuel'!S93:W93)))</f>
        <v>43.324191732087847</v>
      </c>
      <c r="Y76" s="151">
        <f>(Y28+Y44+Y91)*((SUM('Jet Fuel'!T77:X77)/SUM('Jet Fuel'!T93:X93)))</f>
        <v>41.473569261763139</v>
      </c>
      <c r="Z76" s="151">
        <f>(Z28+Z44+Z91)*((SUM('Jet Fuel'!U77:Y77)/SUM('Jet Fuel'!U93:Y93)))</f>
        <v>39.654242363258227</v>
      </c>
      <c r="AA76" s="151">
        <f>(AA28+AA44+AA91)*((SUM('Jet Fuel'!V77:Z77)/SUM('Jet Fuel'!V93:Z93)))</f>
        <v>38.631355316322633</v>
      </c>
      <c r="AB76" s="151">
        <f>(AB28+AB44+AB91)*((SUM('Jet Fuel'!W77:AA77)/SUM('Jet Fuel'!W93:AA93)))</f>
        <v>38.208324549130651</v>
      </c>
      <c r="AC76" s="151">
        <f>(AC28+AC44+AC91)*((SUM('Jet Fuel'!X77:AB77)/SUM('Jet Fuel'!X93:AB93)))</f>
        <v>38.207009245732436</v>
      </c>
      <c r="AD76" s="151">
        <f>(AD28+AD44+AD91)*((SUM('Jet Fuel'!Y77:AC77)/SUM('Jet Fuel'!Y93:AC93)))</f>
        <v>38.049283775473917</v>
      </c>
      <c r="AE76" s="151">
        <f>(AE28+AE44+AE91)*((SUM('Jet Fuel'!Z77:AD77)/SUM('Jet Fuel'!Z93:AD93)))</f>
        <v>38.484139502933985</v>
      </c>
      <c r="AF76" s="151">
        <f>(AF28+AF44+AF91)*((SUM('Jet Fuel'!AA77:AE77)/SUM('Jet Fuel'!AA93:AE93)))</f>
        <v>38.597025015172008</v>
      </c>
      <c r="AG76" s="151">
        <f>(AG28+AG44+AG91)*((SUM('Jet Fuel'!AB77:AF77)/SUM('Jet Fuel'!AB93:AF93)))</f>
        <v>38.091412997073036</v>
      </c>
      <c r="AH76" s="151">
        <f>(AH28+AH44+AH91)*((SUM('Jet Fuel'!AC77:AG77)/SUM('Jet Fuel'!AC93:AG93)))</f>
        <v>37.714150910341466</v>
      </c>
      <c r="AI76" s="151">
        <f>(AI28+AI44+AI91)*((SUM('Jet Fuel'!AD77:AH77)/SUM('Jet Fuel'!AD93:AH93)))</f>
        <v>37.811260183677859</v>
      </c>
      <c r="AJ76" s="151">
        <f>(AJ28+AJ44+AJ91)*((SUM('Jet Fuel'!AE77:AI77)/SUM('Jet Fuel'!AE93:AI93)))</f>
        <v>37.417429012960035</v>
      </c>
      <c r="AK76" s="151">
        <f>(AK28+AK44+AK91)*((SUM('Jet Fuel'!AF77:AJ77)/SUM('Jet Fuel'!AF93:AJ93)))</f>
        <v>37.084826261023579</v>
      </c>
    </row>
    <row r="77" spans="1:37" s="119" customFormat="1" x14ac:dyDescent="0.2">
      <c r="A77" s="119" t="s">
        <v>93</v>
      </c>
      <c r="B77" s="147">
        <f t="shared" si="25"/>
        <v>0</v>
      </c>
      <c r="C77" s="147">
        <f t="shared" si="25"/>
        <v>0</v>
      </c>
      <c r="D77" s="147">
        <f t="shared" si="25"/>
        <v>0</v>
      </c>
      <c r="E77" s="147">
        <f t="shared" si="25"/>
        <v>0</v>
      </c>
      <c r="F77" s="147">
        <f t="shared" si="25"/>
        <v>0</v>
      </c>
      <c r="G77" s="147">
        <f t="shared" si="25"/>
        <v>0</v>
      </c>
      <c r="H77" s="147">
        <f t="shared" si="25"/>
        <v>0</v>
      </c>
      <c r="I77" s="147">
        <f t="shared" si="25"/>
        <v>0</v>
      </c>
      <c r="J77" s="147">
        <f t="shared" si="25"/>
        <v>0</v>
      </c>
      <c r="K77" s="147">
        <f t="shared" si="25"/>
        <v>0</v>
      </c>
      <c r="L77" s="151">
        <f>(L29+L45+L92)*((SUM('Jet Fuel'!G77:K77)/SUM('Jet Fuel'!G93:K93)))</f>
        <v>9.3668601441385917</v>
      </c>
      <c r="M77" s="151">
        <f>(M29+M45+M92)*((SUM('Jet Fuel'!H78:L78)/SUM('Jet Fuel'!H94:L94)))</f>
        <v>5.5290264417879431</v>
      </c>
      <c r="N77" s="151">
        <f>(N29+N45+N92)*((SUM('Jet Fuel'!I78:M78)/SUM('Jet Fuel'!I94:M94)))</f>
        <v>18.974521261606242</v>
      </c>
      <c r="O77" s="151">
        <f>(O29+O45+O92)*((SUM('Jet Fuel'!J78:N78)/SUM('Jet Fuel'!J94:N94)))</f>
        <v>23.790473212401409</v>
      </c>
      <c r="P77" s="151">
        <f>(P29+P45+P92)*((SUM('Jet Fuel'!K78:O78)/SUM('Jet Fuel'!K94:O94)))</f>
        <v>23.996006610890269</v>
      </c>
      <c r="Q77" s="151">
        <f>(Q29+Q45+Q92)*((SUM('Jet Fuel'!L78:P78)/SUM('Jet Fuel'!L94:P94)))</f>
        <v>28.921156088092079</v>
      </c>
      <c r="R77" s="151">
        <f>(R29+R45+R92)*((SUM('Jet Fuel'!M78:Q78)/SUM('Jet Fuel'!M94:Q94)))</f>
        <v>30.742660648533199</v>
      </c>
      <c r="S77" s="151">
        <f>(S29+S45+S92)*((SUM('Jet Fuel'!N78:R78)/SUM('Jet Fuel'!N94:R94)))</f>
        <v>29.653798844705438</v>
      </c>
      <c r="T77" s="151">
        <f>(T29+T45+T92)*((SUM('Jet Fuel'!O78:S78)/SUM('Jet Fuel'!O94:S94)))</f>
        <v>30.047562298047005</v>
      </c>
      <c r="U77" s="151">
        <f>(U29+U45+U92)*((SUM('Jet Fuel'!P78:T78)/SUM('Jet Fuel'!P94:T94)))</f>
        <v>29.848444044294986</v>
      </c>
      <c r="V77" s="151">
        <f>(V29+V45+V92)*((SUM('Jet Fuel'!Q78:U78)/SUM('Jet Fuel'!Q94:U94)))</f>
        <v>29.813657494602392</v>
      </c>
      <c r="W77" s="151">
        <f>(W29+W45+W92)*((SUM('Jet Fuel'!R78:V78)/SUM('Jet Fuel'!R94:V94)))</f>
        <v>30.877849925927478</v>
      </c>
      <c r="X77" s="151">
        <f>(X29+X45+X92)*((SUM('Jet Fuel'!S78:W78)/SUM('Jet Fuel'!S94:W94)))</f>
        <v>31.880445539116117</v>
      </c>
      <c r="Y77" s="151">
        <f>(Y29+Y45+Y92)*((SUM('Jet Fuel'!T78:X78)/SUM('Jet Fuel'!T94:X94)))</f>
        <v>32.957064977701826</v>
      </c>
      <c r="Z77" s="151">
        <f>(Z29+Z45+Z92)*((SUM('Jet Fuel'!U78:Y78)/SUM('Jet Fuel'!U94:Y94)))</f>
        <v>33.828914959113355</v>
      </c>
      <c r="AA77" s="151">
        <f>(AA29+AA45+AA92)*((SUM('Jet Fuel'!V78:Z78)/SUM('Jet Fuel'!V94:Z94)))</f>
        <v>34.538585258767476</v>
      </c>
      <c r="AB77" s="151">
        <f>(AB29+AB45+AB92)*((SUM('Jet Fuel'!W78:AA78)/SUM('Jet Fuel'!W94:AA94)))</f>
        <v>35.169609313321125</v>
      </c>
      <c r="AC77" s="151">
        <f>(AC29+AC45+AC92)*((SUM('Jet Fuel'!X78:AB78)/SUM('Jet Fuel'!X94:AB94)))</f>
        <v>35.815249984116157</v>
      </c>
      <c r="AD77" s="151">
        <f>(AD29+AD45+AD92)*((SUM('Jet Fuel'!Y78:AC78)/SUM('Jet Fuel'!Y94:AC94)))</f>
        <v>36.224828074301826</v>
      </c>
      <c r="AE77" s="151">
        <f>(AE29+AE45+AE92)*((SUM('Jet Fuel'!Z78:AD78)/SUM('Jet Fuel'!Z94:AD94)))</f>
        <v>36.790261297762207</v>
      </c>
      <c r="AF77" s="151">
        <f>(AF29+AF45+AF92)*((SUM('Jet Fuel'!AA78:AE78)/SUM('Jet Fuel'!AA94:AE94)))</f>
        <v>36.965648883613433</v>
      </c>
      <c r="AG77" s="151">
        <f>(AG29+AG45+AG92)*((SUM('Jet Fuel'!AB78:AF78)/SUM('Jet Fuel'!AB94:AF94)))</f>
        <v>36.784342567188013</v>
      </c>
      <c r="AH77" s="151">
        <f>(AH29+AH45+AH92)*((SUM('Jet Fuel'!AC78:AG78)/SUM('Jet Fuel'!AC94:AG94)))</f>
        <v>36.764536241259059</v>
      </c>
      <c r="AI77" s="151">
        <f>(AI29+AI45+AI92)*((SUM('Jet Fuel'!AD78:AH78)/SUM('Jet Fuel'!AD94:AH94)))</f>
        <v>36.834281195583941</v>
      </c>
      <c r="AJ77" s="151">
        <f>(AJ29+AJ45+AJ92)*((SUM('Jet Fuel'!AE78:AI78)/SUM('Jet Fuel'!AE94:AI94)))</f>
        <v>36.575541306521487</v>
      </c>
      <c r="AK77" s="151">
        <f>(AK29+AK45+AK92)*((SUM('Jet Fuel'!AF78:AJ78)/SUM('Jet Fuel'!AF94:AJ94)))</f>
        <v>36.428247683726021</v>
      </c>
    </row>
    <row r="78" spans="1:37" s="119" customFormat="1" x14ac:dyDescent="0.2">
      <c r="A78" s="119" t="s">
        <v>94</v>
      </c>
      <c r="B78" s="147">
        <f t="shared" si="25"/>
        <v>0</v>
      </c>
      <c r="C78" s="147">
        <f t="shared" si="25"/>
        <v>0</v>
      </c>
      <c r="D78" s="147">
        <f t="shared" si="25"/>
        <v>0</v>
      </c>
      <c r="E78" s="147">
        <f t="shared" si="25"/>
        <v>0</v>
      </c>
      <c r="F78" s="147">
        <f t="shared" si="25"/>
        <v>0</v>
      </c>
      <c r="G78" s="147">
        <f t="shared" si="25"/>
        <v>0</v>
      </c>
      <c r="H78" s="147">
        <f t="shared" si="25"/>
        <v>0</v>
      </c>
      <c r="I78" s="147">
        <f t="shared" si="25"/>
        <v>0</v>
      </c>
      <c r="J78" s="147">
        <f t="shared" si="25"/>
        <v>0</v>
      </c>
      <c r="K78" s="147">
        <f t="shared" si="25"/>
        <v>0</v>
      </c>
      <c r="L78" s="151">
        <f>L79-SUM(L67:L77)</f>
        <v>8.2802330333427037</v>
      </c>
      <c r="M78" s="151">
        <f>M79-SUM(M67:M77)</f>
        <v>-5.4119503287090822</v>
      </c>
      <c r="N78" s="151">
        <f>N79-SUM(N67:N77)</f>
        <v>0.9378856019793318</v>
      </c>
      <c r="O78" s="151">
        <f>O79-SUM(O67:O77)</f>
        <v>-0.78781796298505924</v>
      </c>
      <c r="P78" s="151">
        <f t="shared" ref="P78:AK78" si="26">P79-SUM(P67:P77)</f>
        <v>1.414122007678543</v>
      </c>
      <c r="Q78" s="151">
        <f t="shared" si="26"/>
        <v>3.2653252385562155</v>
      </c>
      <c r="R78" s="151">
        <f t="shared" si="26"/>
        <v>6.6918068007806824</v>
      </c>
      <c r="S78" s="151">
        <f t="shared" si="26"/>
        <v>6.1525361950871797</v>
      </c>
      <c r="T78" s="151">
        <f t="shared" si="26"/>
        <v>7.2077325078979584</v>
      </c>
      <c r="U78" s="151">
        <f t="shared" si="26"/>
        <v>6.2660483937855247</v>
      </c>
      <c r="V78" s="151">
        <f t="shared" si="26"/>
        <v>7.2235385415804672</v>
      </c>
      <c r="W78" s="151">
        <f t="shared" si="26"/>
        <v>9.7681651053716791</v>
      </c>
      <c r="X78" s="151">
        <f t="shared" si="26"/>
        <v>12.699821439497782</v>
      </c>
      <c r="Y78" s="151">
        <f t="shared" si="26"/>
        <v>18.828731345228732</v>
      </c>
      <c r="Z78" s="151">
        <f t="shared" si="26"/>
        <v>25.988021748078381</v>
      </c>
      <c r="AA78" s="151">
        <f t="shared" si="26"/>
        <v>31.191539470688781</v>
      </c>
      <c r="AB78" s="151">
        <f t="shared" si="26"/>
        <v>35.317861073453514</v>
      </c>
      <c r="AC78" s="151">
        <f t="shared" si="26"/>
        <v>36.447195781663567</v>
      </c>
      <c r="AD78" s="151">
        <f t="shared" si="26"/>
        <v>39.222052095692163</v>
      </c>
      <c r="AE78" s="151">
        <f t="shared" si="26"/>
        <v>39.804764401708184</v>
      </c>
      <c r="AF78" s="151">
        <f t="shared" si="26"/>
        <v>41.692146206619157</v>
      </c>
      <c r="AG78" s="151">
        <f t="shared" si="26"/>
        <v>46.111884214895298</v>
      </c>
      <c r="AH78" s="151">
        <f t="shared" si="26"/>
        <v>51.17466971900194</v>
      </c>
      <c r="AI78" s="151">
        <f t="shared" si="26"/>
        <v>55.834315129743231</v>
      </c>
      <c r="AJ78" s="151">
        <f t="shared" si="26"/>
        <v>60.332535874744337</v>
      </c>
      <c r="AK78" s="151">
        <f t="shared" si="26"/>
        <v>65.955150745864046</v>
      </c>
    </row>
    <row r="79" spans="1:37" s="119" customFormat="1" ht="13.5" thickBot="1" x14ac:dyDescent="0.25">
      <c r="A79" s="119" t="s">
        <v>121</v>
      </c>
      <c r="B79" s="147">
        <f t="shared" si="25"/>
        <v>0</v>
      </c>
      <c r="C79" s="147">
        <f t="shared" si="25"/>
        <v>0</v>
      </c>
      <c r="D79" s="147">
        <f t="shared" si="25"/>
        <v>0</v>
      </c>
      <c r="E79" s="147">
        <f t="shared" si="25"/>
        <v>0</v>
      </c>
      <c r="F79" s="147">
        <f t="shared" si="25"/>
        <v>0</v>
      </c>
      <c r="G79" s="147">
        <f t="shared" si="25"/>
        <v>0</v>
      </c>
      <c r="H79" s="147">
        <f t="shared" si="25"/>
        <v>0</v>
      </c>
      <c r="I79" s="147">
        <f t="shared" si="25"/>
        <v>0</v>
      </c>
      <c r="J79" s="147">
        <f t="shared" si="25"/>
        <v>0</v>
      </c>
      <c r="K79" s="147">
        <f t="shared" si="25"/>
        <v>0</v>
      </c>
      <c r="L79" s="148">
        <v>52</v>
      </c>
      <c r="M79" s="148">
        <v>96</v>
      </c>
      <c r="N79" s="148">
        <v>175</v>
      </c>
      <c r="O79" s="148">
        <v>217</v>
      </c>
      <c r="P79" s="148">
        <v>241</v>
      </c>
      <c r="Q79" s="148">
        <v>271</v>
      </c>
      <c r="R79" s="148">
        <v>269</v>
      </c>
      <c r="S79" s="148">
        <v>267</v>
      </c>
      <c r="T79" s="148">
        <v>266</v>
      </c>
      <c r="U79" s="148">
        <v>266</v>
      </c>
      <c r="V79" s="148">
        <v>267</v>
      </c>
      <c r="W79" s="148">
        <v>267</v>
      </c>
      <c r="X79" s="148">
        <v>267</v>
      </c>
      <c r="Y79" s="148">
        <v>267</v>
      </c>
      <c r="Z79" s="148">
        <v>266</v>
      </c>
      <c r="AA79" s="148">
        <v>265</v>
      </c>
      <c r="AB79" s="148">
        <v>266</v>
      </c>
      <c r="AC79" s="148">
        <v>265</v>
      </c>
      <c r="AD79" s="148">
        <v>267</v>
      </c>
      <c r="AE79" s="148">
        <v>267</v>
      </c>
      <c r="AF79" s="148">
        <v>268</v>
      </c>
      <c r="AG79" s="148">
        <v>268</v>
      </c>
      <c r="AH79" s="148">
        <v>268</v>
      </c>
      <c r="AI79" s="148">
        <v>269</v>
      </c>
      <c r="AJ79" s="148">
        <v>268</v>
      </c>
      <c r="AK79" s="148">
        <v>269</v>
      </c>
    </row>
    <row r="80" spans="1:37" s="119" customFormat="1" x14ac:dyDescent="0.2">
      <c r="A80" s="150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0"/>
      <c r="AE80" s="150"/>
      <c r="AF80" s="150"/>
      <c r="AG80" s="150"/>
      <c r="AH80" s="150"/>
      <c r="AI80" s="150"/>
      <c r="AJ80" s="150"/>
      <c r="AK80" s="150"/>
    </row>
    <row r="81" spans="1:37" ht="13.5" thickBot="1" x14ac:dyDescent="0.25">
      <c r="A81" s="119" t="s">
        <v>125</v>
      </c>
    </row>
    <row r="82" spans="1:37" ht="13.5" thickBot="1" x14ac:dyDescent="0.25">
      <c r="A82" s="145" t="s">
        <v>111</v>
      </c>
      <c r="B82" s="146">
        <f>B2</f>
        <v>2015</v>
      </c>
      <c r="C82" s="146">
        <f t="shared" ref="C82:AK82" si="27">C2</f>
        <v>2016</v>
      </c>
      <c r="D82" s="146">
        <f t="shared" si="27"/>
        <v>2017</v>
      </c>
      <c r="E82" s="146">
        <f t="shared" si="27"/>
        <v>2018</v>
      </c>
      <c r="F82" s="146">
        <f t="shared" si="27"/>
        <v>2019</v>
      </c>
      <c r="G82" s="146">
        <f t="shared" si="27"/>
        <v>2020</v>
      </c>
      <c r="H82" s="146">
        <f t="shared" si="27"/>
        <v>2021</v>
      </c>
      <c r="I82" s="146">
        <f t="shared" si="27"/>
        <v>2022</v>
      </c>
      <c r="J82" s="146">
        <f t="shared" si="27"/>
        <v>2023</v>
      </c>
      <c r="K82" s="146">
        <f t="shared" si="27"/>
        <v>2024</v>
      </c>
      <c r="L82" s="146">
        <f t="shared" si="27"/>
        <v>2025</v>
      </c>
      <c r="M82" s="146">
        <f t="shared" si="27"/>
        <v>2026</v>
      </c>
      <c r="N82" s="146">
        <f t="shared" si="27"/>
        <v>2027</v>
      </c>
      <c r="O82" s="146">
        <f t="shared" si="27"/>
        <v>2028</v>
      </c>
      <c r="P82" s="146">
        <f t="shared" si="27"/>
        <v>2029</v>
      </c>
      <c r="Q82" s="146">
        <f t="shared" si="27"/>
        <v>2030</v>
      </c>
      <c r="R82" s="146">
        <f t="shared" si="27"/>
        <v>2031</v>
      </c>
      <c r="S82" s="146">
        <f t="shared" si="27"/>
        <v>2032</v>
      </c>
      <c r="T82" s="146">
        <f t="shared" si="27"/>
        <v>2033</v>
      </c>
      <c r="U82" s="146">
        <f t="shared" si="27"/>
        <v>2034</v>
      </c>
      <c r="V82" s="146">
        <f t="shared" si="27"/>
        <v>2035</v>
      </c>
      <c r="W82" s="146">
        <f t="shared" si="27"/>
        <v>2036</v>
      </c>
      <c r="X82" s="146">
        <f t="shared" si="27"/>
        <v>2037</v>
      </c>
      <c r="Y82" s="146">
        <f t="shared" si="27"/>
        <v>2038</v>
      </c>
      <c r="Z82" s="146">
        <f t="shared" si="27"/>
        <v>2039</v>
      </c>
      <c r="AA82" s="146">
        <f t="shared" si="27"/>
        <v>2040</v>
      </c>
      <c r="AB82" s="146">
        <f t="shared" si="27"/>
        <v>2041</v>
      </c>
      <c r="AC82" s="146">
        <f t="shared" si="27"/>
        <v>2042</v>
      </c>
      <c r="AD82" s="146">
        <f t="shared" si="27"/>
        <v>2043</v>
      </c>
      <c r="AE82" s="146">
        <f t="shared" si="27"/>
        <v>2044</v>
      </c>
      <c r="AF82" s="146">
        <f t="shared" si="27"/>
        <v>2045</v>
      </c>
      <c r="AG82" s="146">
        <f t="shared" si="27"/>
        <v>2046</v>
      </c>
      <c r="AH82" s="146">
        <f t="shared" si="27"/>
        <v>2047</v>
      </c>
      <c r="AI82" s="146">
        <f t="shared" si="27"/>
        <v>2048</v>
      </c>
      <c r="AJ82" s="146">
        <f t="shared" si="27"/>
        <v>2049</v>
      </c>
      <c r="AK82" s="146">
        <f t="shared" si="27"/>
        <v>2050</v>
      </c>
    </row>
    <row r="83" spans="1:37" x14ac:dyDescent="0.2">
      <c r="A83" s="119" t="s">
        <v>83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52">
        <f>L94+M19+M35-M51-M67</f>
        <v>0.6809020146023963</v>
      </c>
      <c r="N83" s="152">
        <f t="shared" ref="N83:AK83" si="28">M94+N19+N35-N51-N67</f>
        <v>0.45367216557523449</v>
      </c>
      <c r="O83" s="152">
        <f t="shared" si="28"/>
        <v>2.9588443507682776</v>
      </c>
      <c r="P83" s="152">
        <f t="shared" si="28"/>
        <v>4.7019463014490164</v>
      </c>
      <c r="Q83" s="152">
        <f t="shared" si="28"/>
        <v>5.264827736367117</v>
      </c>
      <c r="R83" s="152">
        <f t="shared" si="28"/>
        <v>6.3786828047166608</v>
      </c>
      <c r="S83" s="152">
        <f t="shared" si="28"/>
        <v>6.999885828532463</v>
      </c>
      <c r="T83" s="152">
        <f t="shared" si="28"/>
        <v>6.8173355671329254</v>
      </c>
      <c r="U83" s="152">
        <f t="shared" si="28"/>
        <v>8.0319401859344417</v>
      </c>
      <c r="V83" s="152">
        <f t="shared" si="28"/>
        <v>7.8383012360893396</v>
      </c>
      <c r="W83" s="152">
        <f t="shared" si="28"/>
        <v>8.1133889473858716</v>
      </c>
      <c r="X83" s="152">
        <f t="shared" si="28"/>
        <v>9.7886552461233336</v>
      </c>
      <c r="Y83" s="152">
        <f t="shared" si="28"/>
        <v>11.080439235533056</v>
      </c>
      <c r="Z83" s="152">
        <f t="shared" si="28"/>
        <v>12.659259885946049</v>
      </c>
      <c r="AA83" s="152">
        <f t="shared" si="28"/>
        <v>14.106242900949596</v>
      </c>
      <c r="AB83" s="152">
        <f t="shared" si="28"/>
        <v>15.128543990908712</v>
      </c>
      <c r="AC83" s="152">
        <f t="shared" si="28"/>
        <v>15.161886757912647</v>
      </c>
      <c r="AD83" s="152">
        <f t="shared" si="28"/>
        <v>15.519407034344448</v>
      </c>
      <c r="AE83" s="152">
        <f t="shared" si="28"/>
        <v>15.437608184363263</v>
      </c>
      <c r="AF83" s="152">
        <f t="shared" si="28"/>
        <v>15.017977474200819</v>
      </c>
      <c r="AG83" s="152">
        <f t="shared" si="28"/>
        <v>14.202779718835233</v>
      </c>
      <c r="AH83" s="152">
        <f t="shared" si="28"/>
        <v>13.616317185059918</v>
      </c>
      <c r="AI83" s="152">
        <f t="shared" si="28"/>
        <v>12.912122227996926</v>
      </c>
      <c r="AJ83" s="152">
        <f t="shared" si="28"/>
        <v>11.441542041265883</v>
      </c>
      <c r="AK83" s="152">
        <f t="shared" si="28"/>
        <v>10.743366805584159</v>
      </c>
    </row>
    <row r="84" spans="1:37" x14ac:dyDescent="0.2">
      <c r="A84" s="119" t="s">
        <v>84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52">
        <f t="shared" ref="M84:AK94" si="29">M83+M20+M36-M52-M68</f>
        <v>1.9726454309710988</v>
      </c>
      <c r="N84" s="152">
        <f t="shared" si="29"/>
        <v>5.4202233469649119</v>
      </c>
      <c r="O84" s="152">
        <f t="shared" si="29"/>
        <v>9.6647686748278652</v>
      </c>
      <c r="P84" s="152">
        <f t="shared" si="29"/>
        <v>9.9734129981688397</v>
      </c>
      <c r="Q84" s="152">
        <f t="shared" si="29"/>
        <v>13.816701854985528</v>
      </c>
      <c r="R84" s="152">
        <f t="shared" si="29"/>
        <v>14.09302859785404</v>
      </c>
      <c r="S84" s="152">
        <f t="shared" si="29"/>
        <v>14.83127973800946</v>
      </c>
      <c r="T84" s="152">
        <f t="shared" si="29"/>
        <v>14.860246345431094</v>
      </c>
      <c r="U84" s="152">
        <f t="shared" si="29"/>
        <v>16.130170031151788</v>
      </c>
      <c r="V84" s="152">
        <f t="shared" si="29"/>
        <v>16.1086548955486</v>
      </c>
      <c r="W84" s="152">
        <f t="shared" si="29"/>
        <v>16.657629016580188</v>
      </c>
      <c r="X84" s="152">
        <f t="shared" si="29"/>
        <v>18.725251068473309</v>
      </c>
      <c r="Y84" s="152">
        <f t="shared" si="29"/>
        <v>20.5814210411136</v>
      </c>
      <c r="Z84" s="152">
        <f t="shared" si="29"/>
        <v>23.163168426719842</v>
      </c>
      <c r="AA84" s="152">
        <f t="shared" si="29"/>
        <v>25.575689071274194</v>
      </c>
      <c r="AB84" s="152">
        <f t="shared" si="29"/>
        <v>27.119923616760033</v>
      </c>
      <c r="AC84" s="152">
        <f t="shared" si="29"/>
        <v>27.622694400373653</v>
      </c>
      <c r="AD84" s="152">
        <f t="shared" si="29"/>
        <v>28.148595243010924</v>
      </c>
      <c r="AE84" s="152">
        <f t="shared" si="29"/>
        <v>28.407945918244263</v>
      </c>
      <c r="AF84" s="152">
        <f t="shared" si="29"/>
        <v>28.087105072755691</v>
      </c>
      <c r="AG84" s="152">
        <f t="shared" si="29"/>
        <v>27.685744875104781</v>
      </c>
      <c r="AH84" s="152">
        <f t="shared" si="29"/>
        <v>27.786832756854693</v>
      </c>
      <c r="AI84" s="152">
        <f t="shared" si="29"/>
        <v>27.75696580770385</v>
      </c>
      <c r="AJ84" s="152">
        <f t="shared" si="29"/>
        <v>26.982687257895947</v>
      </c>
      <c r="AK84" s="152">
        <f t="shared" si="29"/>
        <v>26.899827719432039</v>
      </c>
    </row>
    <row r="85" spans="1:37" x14ac:dyDescent="0.2">
      <c r="A85" s="119" t="s">
        <v>85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52">
        <f>M84+M21+M37-M53-M69</f>
        <v>-1.1108990847996836</v>
      </c>
      <c r="N85" s="152">
        <f t="shared" si="29"/>
        <v>-0.56606572324285409</v>
      </c>
      <c r="O85" s="152">
        <f t="shared" si="29"/>
        <v>0.35808868315122666</v>
      </c>
      <c r="P85" s="152">
        <f t="shared" si="29"/>
        <v>0.33313769840008334</v>
      </c>
      <c r="Q85" s="152">
        <f t="shared" si="29"/>
        <v>1.9887024297542055</v>
      </c>
      <c r="R85" s="152">
        <f t="shared" si="29"/>
        <v>2.9775469260562311</v>
      </c>
      <c r="S85" s="152">
        <f t="shared" si="29"/>
        <v>3.7928769017810637</v>
      </c>
      <c r="T85" s="152">
        <f t="shared" si="29"/>
        <v>3.92081911589041</v>
      </c>
      <c r="U85" s="152">
        <f t="shared" si="29"/>
        <v>5.0857400071437198</v>
      </c>
      <c r="V85" s="152">
        <f t="shared" si="29"/>
        <v>5.1047167408878273</v>
      </c>
      <c r="W85" s="152">
        <f t="shared" si="29"/>
        <v>6.0314447091325789</v>
      </c>
      <c r="X85" s="152">
        <f t="shared" si="29"/>
        <v>8.2791601048985832</v>
      </c>
      <c r="Y85" s="152">
        <f t="shared" si="29"/>
        <v>10.612548391193396</v>
      </c>
      <c r="Z85" s="152">
        <f t="shared" si="29"/>
        <v>13.991678850717548</v>
      </c>
      <c r="AA85" s="152">
        <f t="shared" si="29"/>
        <v>17.195600673675891</v>
      </c>
      <c r="AB85" s="152">
        <f t="shared" si="29"/>
        <v>19.242002957576492</v>
      </c>
      <c r="AC85" s="152">
        <f t="shared" si="29"/>
        <v>20.217006304056888</v>
      </c>
      <c r="AD85" s="152">
        <f t="shared" si="29"/>
        <v>20.926818323059774</v>
      </c>
      <c r="AE85" s="152">
        <f t="shared" si="29"/>
        <v>21.518171525598341</v>
      </c>
      <c r="AF85" s="152">
        <f t="shared" si="29"/>
        <v>21.387376516850221</v>
      </c>
      <c r="AG85" s="152">
        <f t="shared" si="29"/>
        <v>21.503758998835565</v>
      </c>
      <c r="AH85" s="152">
        <f t="shared" si="29"/>
        <v>22.314309610938437</v>
      </c>
      <c r="AI85" s="152">
        <f t="shared" si="29"/>
        <v>22.942089434242739</v>
      </c>
      <c r="AJ85" s="152">
        <f t="shared" si="29"/>
        <v>22.916013725242678</v>
      </c>
      <c r="AK85" s="152">
        <f t="shared" si="29"/>
        <v>23.482418863448899</v>
      </c>
    </row>
    <row r="86" spans="1:37" x14ac:dyDescent="0.2">
      <c r="A86" s="119" t="s">
        <v>86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52">
        <f t="shared" ref="L86:M94" si="30">L85+L22+L38-L54-L70</f>
        <v>0</v>
      </c>
      <c r="M86" s="152">
        <f t="shared" si="30"/>
        <v>-0.37850882279005571</v>
      </c>
      <c r="N86" s="152">
        <f t="shared" si="29"/>
        <v>0.4198862337643483</v>
      </c>
      <c r="O86" s="152">
        <f t="shared" si="29"/>
        <v>1.8455137225143403</v>
      </c>
      <c r="P86" s="152">
        <f t="shared" si="29"/>
        <v>0.98348059583682534</v>
      </c>
      <c r="Q86" s="152">
        <f t="shared" si="29"/>
        <v>2.9197215560044754</v>
      </c>
      <c r="R86" s="152">
        <f t="shared" si="29"/>
        <v>4.212485583290583</v>
      </c>
      <c r="S86" s="152">
        <f t="shared" si="29"/>
        <v>4.8552003130565495</v>
      </c>
      <c r="T86" s="152">
        <f t="shared" si="29"/>
        <v>5.1735447396962613</v>
      </c>
      <c r="U86" s="152">
        <f t="shared" si="29"/>
        <v>6.1481662994116952</v>
      </c>
      <c r="V86" s="152">
        <f t="shared" si="29"/>
        <v>6.430469697547931</v>
      </c>
      <c r="W86" s="152">
        <f t="shared" si="29"/>
        <v>7.5910123697287926</v>
      </c>
      <c r="X86" s="152">
        <f t="shared" si="29"/>
        <v>9.813010313511958</v>
      </c>
      <c r="Y86" s="152">
        <f t="shared" si="29"/>
        <v>12.298697529390568</v>
      </c>
      <c r="Z86" s="152">
        <f t="shared" si="29"/>
        <v>15.872018700326723</v>
      </c>
      <c r="AA86" s="152">
        <f t="shared" si="29"/>
        <v>19.3540230327282</v>
      </c>
      <c r="AB86" s="152">
        <f t="shared" si="29"/>
        <v>21.676156433027579</v>
      </c>
      <c r="AC86" s="152">
        <f t="shared" si="29"/>
        <v>22.968811867738559</v>
      </c>
      <c r="AD86" s="152">
        <f t="shared" si="29"/>
        <v>23.936082296051552</v>
      </c>
      <c r="AE86" s="152">
        <f t="shared" si="29"/>
        <v>24.770832832299426</v>
      </c>
      <c r="AF86" s="152">
        <f t="shared" si="29"/>
        <v>24.883667043259621</v>
      </c>
      <c r="AG86" s="152">
        <f t="shared" si="29"/>
        <v>25.366036629514831</v>
      </c>
      <c r="AH86" s="152">
        <f t="shared" si="29"/>
        <v>26.5761070554512</v>
      </c>
      <c r="AI86" s="152">
        <f t="shared" si="29"/>
        <v>27.567494738571391</v>
      </c>
      <c r="AJ86" s="152">
        <f t="shared" si="29"/>
        <v>28.000376064756189</v>
      </c>
      <c r="AK86" s="152">
        <f t="shared" si="29"/>
        <v>28.96446699810334</v>
      </c>
    </row>
    <row r="87" spans="1:37" x14ac:dyDescent="0.2">
      <c r="A87" s="119" t="s">
        <v>87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52">
        <f t="shared" si="30"/>
        <v>-0.60519766392947183</v>
      </c>
      <c r="M87" s="152">
        <f t="shared" si="30"/>
        <v>0.60210002495383108</v>
      </c>
      <c r="N87" s="152">
        <f t="shared" si="29"/>
        <v>0.96519106848750624</v>
      </c>
      <c r="O87" s="152">
        <f t="shared" si="29"/>
        <v>2.3721198060748705</v>
      </c>
      <c r="P87" s="152">
        <f t="shared" si="29"/>
        <v>2.6999637965476211</v>
      </c>
      <c r="Q87" s="152">
        <f t="shared" si="29"/>
        <v>3.710172360334159</v>
      </c>
      <c r="R87" s="152">
        <f t="shared" si="29"/>
        <v>6.1556456564529682</v>
      </c>
      <c r="S87" s="152">
        <f t="shared" si="29"/>
        <v>6.4613002652779414</v>
      </c>
      <c r="T87" s="152">
        <f t="shared" si="29"/>
        <v>6.9222101013520962</v>
      </c>
      <c r="U87" s="152">
        <f t="shared" si="29"/>
        <v>7.9837508526972556</v>
      </c>
      <c r="V87" s="152">
        <f t="shared" si="29"/>
        <v>8.0584290779953385</v>
      </c>
      <c r="W87" s="152">
        <f t="shared" si="29"/>
        <v>9.6962850489837535</v>
      </c>
      <c r="X87" s="152">
        <f t="shared" si="29"/>
        <v>12.477616967486256</v>
      </c>
      <c r="Y87" s="152">
        <f t="shared" si="29"/>
        <v>15.819638019697074</v>
      </c>
      <c r="Z87" s="152">
        <f t="shared" si="29"/>
        <v>20.342924092623438</v>
      </c>
      <c r="AA87" s="152">
        <f t="shared" si="29"/>
        <v>24.586884549963187</v>
      </c>
      <c r="AB87" s="152">
        <f t="shared" si="29"/>
        <v>27.490611520663656</v>
      </c>
      <c r="AC87" s="152">
        <f t="shared" si="29"/>
        <v>29.23653102512667</v>
      </c>
      <c r="AD87" s="152">
        <f t="shared" si="29"/>
        <v>30.582785415627022</v>
      </c>
      <c r="AE87" s="152">
        <f t="shared" si="29"/>
        <v>31.635484126634566</v>
      </c>
      <c r="AF87" s="152">
        <f t="shared" si="29"/>
        <v>31.927104381830873</v>
      </c>
      <c r="AG87" s="152">
        <f t="shared" si="29"/>
        <v>32.745229131742974</v>
      </c>
      <c r="AH87" s="152">
        <f t="shared" si="29"/>
        <v>34.345776901638594</v>
      </c>
      <c r="AI87" s="152">
        <f t="shared" si="29"/>
        <v>35.597529799609909</v>
      </c>
      <c r="AJ87" s="152">
        <f t="shared" si="29"/>
        <v>36.400944146278448</v>
      </c>
      <c r="AK87" s="152">
        <f t="shared" si="29"/>
        <v>37.730208184529054</v>
      </c>
    </row>
    <row r="88" spans="1:37" x14ac:dyDescent="0.2">
      <c r="A88" s="119" t="s">
        <v>88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52">
        <f t="shared" si="30"/>
        <v>0.73982303122569126</v>
      </c>
      <c r="M88" s="152">
        <f t="shared" si="30"/>
        <v>0.76064093712153724</v>
      </c>
      <c r="N88" s="152">
        <f t="shared" si="29"/>
        <v>0.57867833684141701</v>
      </c>
      <c r="O88" s="152">
        <f t="shared" si="29"/>
        <v>2.5206680210350179</v>
      </c>
      <c r="P88" s="152">
        <f t="shared" si="29"/>
        <v>3.8263932259464966</v>
      </c>
      <c r="Q88" s="152">
        <f t="shared" si="29"/>
        <v>4.9403459005114279</v>
      </c>
      <c r="R88" s="152">
        <f t="shared" si="29"/>
        <v>7.0287335511144633</v>
      </c>
      <c r="S88" s="152">
        <f t="shared" si="29"/>
        <v>7.2429904961220828</v>
      </c>
      <c r="T88" s="152">
        <f t="shared" si="29"/>
        <v>8.1922136995707113</v>
      </c>
      <c r="U88" s="152">
        <f t="shared" si="29"/>
        <v>9.3413528778167709</v>
      </c>
      <c r="V88" s="152">
        <f t="shared" si="29"/>
        <v>9.5650746986535324</v>
      </c>
      <c r="W88" s="152">
        <f t="shared" si="29"/>
        <v>11.488354299296528</v>
      </c>
      <c r="X88" s="152">
        <f t="shared" si="29"/>
        <v>14.522676281019958</v>
      </c>
      <c r="Y88" s="152">
        <f t="shared" si="29"/>
        <v>18.343535503383542</v>
      </c>
      <c r="Z88" s="152">
        <f t="shared" si="29"/>
        <v>23.375086299582115</v>
      </c>
      <c r="AA88" s="152">
        <f t="shared" si="29"/>
        <v>28.079516577069551</v>
      </c>
      <c r="AB88" s="152">
        <f t="shared" si="29"/>
        <v>31.404060746543948</v>
      </c>
      <c r="AC88" s="152">
        <f t="shared" si="29"/>
        <v>33.528557856128515</v>
      </c>
      <c r="AD88" s="152">
        <f t="shared" si="29"/>
        <v>35.252278929957463</v>
      </c>
      <c r="AE88" s="152">
        <f t="shared" si="29"/>
        <v>36.53371707233886</v>
      </c>
      <c r="AF88" s="152">
        <f t="shared" si="29"/>
        <v>37.078418057876874</v>
      </c>
      <c r="AG88" s="152">
        <f t="shared" si="29"/>
        <v>38.268193268118964</v>
      </c>
      <c r="AH88" s="152">
        <f t="shared" si="29"/>
        <v>40.248786992372352</v>
      </c>
      <c r="AI88" s="152">
        <f t="shared" si="29"/>
        <v>41.779133771028498</v>
      </c>
      <c r="AJ88" s="152">
        <f t="shared" si="29"/>
        <v>42.967915918248977</v>
      </c>
      <c r="AK88" s="152">
        <f t="shared" si="29"/>
        <v>44.661535879414345</v>
      </c>
    </row>
    <row r="89" spans="1:37" x14ac:dyDescent="0.2">
      <c r="A89" s="119" t="s">
        <v>89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52">
        <f t="shared" si="30"/>
        <v>2.9305797061626198</v>
      </c>
      <c r="M89" s="152">
        <f t="shared" si="30"/>
        <v>1.0857212381766725</v>
      </c>
      <c r="N89" s="152">
        <f t="shared" si="29"/>
        <v>2.0218357256956274</v>
      </c>
      <c r="O89" s="152">
        <f t="shared" si="29"/>
        <v>4.9206816480100315</v>
      </c>
      <c r="P89" s="152">
        <f t="shared" si="29"/>
        <v>5.3701068764811417</v>
      </c>
      <c r="Q89" s="152">
        <f t="shared" si="29"/>
        <v>6.86806694130021</v>
      </c>
      <c r="R89" s="152">
        <f t="shared" si="29"/>
        <v>8.7535197529712043</v>
      </c>
      <c r="S89" s="152">
        <f t="shared" si="29"/>
        <v>9.0507273739984768</v>
      </c>
      <c r="T89" s="152">
        <f t="shared" si="29"/>
        <v>10.213753561263374</v>
      </c>
      <c r="U89" s="152">
        <f t="shared" si="29"/>
        <v>10.971113744394273</v>
      </c>
      <c r="V89" s="152">
        <f t="shared" si="29"/>
        <v>11.211308769558165</v>
      </c>
      <c r="W89" s="152">
        <f t="shared" si="29"/>
        <v>13.359084380866552</v>
      </c>
      <c r="X89" s="152">
        <f t="shared" si="29"/>
        <v>16.524839647898482</v>
      </c>
      <c r="Y89" s="152">
        <f t="shared" si="29"/>
        <v>20.688602500982089</v>
      </c>
      <c r="Z89" s="152">
        <f t="shared" si="29"/>
        <v>26.096983955651755</v>
      </c>
      <c r="AA89" s="152">
        <f t="shared" si="29"/>
        <v>31.104278193089481</v>
      </c>
      <c r="AB89" s="152">
        <f t="shared" si="29"/>
        <v>34.659179701751953</v>
      </c>
      <c r="AC89" s="152">
        <f t="shared" si="29"/>
        <v>36.94377382805375</v>
      </c>
      <c r="AD89" s="152">
        <f t="shared" si="29"/>
        <v>38.895068027072469</v>
      </c>
      <c r="AE89" s="152">
        <f t="shared" si="29"/>
        <v>40.219710123106118</v>
      </c>
      <c r="AF89" s="152">
        <f t="shared" si="29"/>
        <v>40.879214588413646</v>
      </c>
      <c r="AG89" s="152">
        <f t="shared" si="29"/>
        <v>42.384212809730137</v>
      </c>
      <c r="AH89" s="152">
        <f t="shared" si="29"/>
        <v>44.697626972645224</v>
      </c>
      <c r="AI89" s="152">
        <f t="shared" si="29"/>
        <v>46.442404675916137</v>
      </c>
      <c r="AJ89" s="152">
        <f t="shared" si="29"/>
        <v>47.986554710994142</v>
      </c>
      <c r="AK89" s="152">
        <f t="shared" si="29"/>
        <v>50.027975275355118</v>
      </c>
    </row>
    <row r="90" spans="1:37" x14ac:dyDescent="0.2">
      <c r="A90" s="119" t="s">
        <v>90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52">
        <f t="shared" si="30"/>
        <v>2.2243848137309854</v>
      </c>
      <c r="M90" s="152">
        <f t="shared" si="30"/>
        <v>-2.2981776287129776</v>
      </c>
      <c r="N90" s="152">
        <f t="shared" si="29"/>
        <v>-2.2214578338039885</v>
      </c>
      <c r="O90" s="152">
        <f t="shared" si="29"/>
        <v>-1.0986417794775001</v>
      </c>
      <c r="P90" s="152">
        <f t="shared" si="29"/>
        <v>-0.14739483957380273</v>
      </c>
      <c r="Q90" s="152">
        <f t="shared" si="29"/>
        <v>1.9200654541768216</v>
      </c>
      <c r="R90" s="152">
        <f t="shared" si="29"/>
        <v>4.0290102722608232</v>
      </c>
      <c r="S90" s="152">
        <f t="shared" si="29"/>
        <v>4.2433982410552531</v>
      </c>
      <c r="T90" s="152">
        <f t="shared" si="29"/>
        <v>5.9316230398391951</v>
      </c>
      <c r="U90" s="152">
        <f t="shared" si="29"/>
        <v>6.7641647368451991</v>
      </c>
      <c r="V90" s="152">
        <f t="shared" si="29"/>
        <v>7.3525573585402171</v>
      </c>
      <c r="W90" s="152">
        <f t="shared" si="29"/>
        <v>10.043580019720238</v>
      </c>
      <c r="X90" s="152">
        <f t="shared" si="29"/>
        <v>13.445370530939954</v>
      </c>
      <c r="Y90" s="152">
        <f t="shared" si="29"/>
        <v>17.980896617420274</v>
      </c>
      <c r="Z90" s="152">
        <f t="shared" si="29"/>
        <v>23.706557619690685</v>
      </c>
      <c r="AA90" s="152">
        <f t="shared" si="29"/>
        <v>28.802925470910765</v>
      </c>
      <c r="AB90" s="152">
        <f t="shared" si="29"/>
        <v>32.253257925860254</v>
      </c>
      <c r="AC90" s="152">
        <f t="shared" si="29"/>
        <v>34.318943486929015</v>
      </c>
      <c r="AD90" s="152">
        <f t="shared" si="29"/>
        <v>36.259393168746179</v>
      </c>
      <c r="AE90" s="152">
        <f t="shared" si="29"/>
        <v>37.451440129548558</v>
      </c>
      <c r="AF90" s="152">
        <f t="shared" si="29"/>
        <v>38.151256015108316</v>
      </c>
      <c r="AG90" s="152">
        <f t="shared" si="29"/>
        <v>40.059418986120377</v>
      </c>
      <c r="AH90" s="152">
        <f t="shared" si="29"/>
        <v>42.826917762762321</v>
      </c>
      <c r="AI90" s="152">
        <f t="shared" si="29"/>
        <v>44.998781786828779</v>
      </c>
      <c r="AJ90" s="152">
        <f t="shared" si="29"/>
        <v>47.105788676321396</v>
      </c>
      <c r="AK90" s="152">
        <f t="shared" si="29"/>
        <v>49.68615540157991</v>
      </c>
    </row>
    <row r="91" spans="1:37" x14ac:dyDescent="0.2">
      <c r="A91" s="119" t="s">
        <v>91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52">
        <f t="shared" si="30"/>
        <v>-0.24494510333750164</v>
      </c>
      <c r="M91" s="152">
        <f t="shared" si="30"/>
        <v>4.1284238662318042</v>
      </c>
      <c r="N91" s="152">
        <f t="shared" si="29"/>
        <v>6.4864767990161472</v>
      </c>
      <c r="O91" s="152">
        <f t="shared" si="29"/>
        <v>10.827102938561636</v>
      </c>
      <c r="P91" s="152">
        <f t="shared" si="29"/>
        <v>13.306702226689259</v>
      </c>
      <c r="Q91" s="152">
        <f t="shared" si="29"/>
        <v>14.534691825742929</v>
      </c>
      <c r="R91" s="152">
        <f t="shared" si="29"/>
        <v>16.62430346992101</v>
      </c>
      <c r="S91" s="152">
        <f t="shared" si="29"/>
        <v>16.721465243119649</v>
      </c>
      <c r="T91" s="152">
        <f t="shared" si="29"/>
        <v>18.507929485183354</v>
      </c>
      <c r="U91" s="152">
        <f t="shared" si="29"/>
        <v>18.755575099354576</v>
      </c>
      <c r="V91" s="152">
        <f t="shared" si="29"/>
        <v>18.754544166670613</v>
      </c>
      <c r="W91" s="152">
        <f t="shared" si="29"/>
        <v>21.585028262067386</v>
      </c>
      <c r="X91" s="152">
        <f t="shared" si="29"/>
        <v>25.023961360081497</v>
      </c>
      <c r="Y91" s="152">
        <f t="shared" si="29"/>
        <v>29.916458937060714</v>
      </c>
      <c r="Z91" s="152">
        <f t="shared" si="29"/>
        <v>35.989951255905069</v>
      </c>
      <c r="AA91" s="152">
        <f t="shared" si="29"/>
        <v>41.259474387292286</v>
      </c>
      <c r="AB91" s="152">
        <f t="shared" si="29"/>
        <v>44.842006658894469</v>
      </c>
      <c r="AC91" s="152">
        <f t="shared" si="29"/>
        <v>46.922483375998056</v>
      </c>
      <c r="AD91" s="152">
        <f t="shared" si="29"/>
        <v>48.987767936354643</v>
      </c>
      <c r="AE91" s="152">
        <f t="shared" si="29"/>
        <v>49.97325837129921</v>
      </c>
      <c r="AF91" s="152">
        <f t="shared" si="29"/>
        <v>50.56642486321644</v>
      </c>
      <c r="AG91" s="152">
        <f t="shared" si="29"/>
        <v>52.579547721708089</v>
      </c>
      <c r="AH91" s="152">
        <f t="shared" si="29"/>
        <v>55.417968088451019</v>
      </c>
      <c r="AI91" s="152">
        <f t="shared" si="29"/>
        <v>57.477116825365357</v>
      </c>
      <c r="AJ91" s="152">
        <f t="shared" si="29"/>
        <v>59.684610708317365</v>
      </c>
      <c r="AK91" s="152">
        <f t="shared" si="29"/>
        <v>62.366181783059886</v>
      </c>
    </row>
    <row r="92" spans="1:37" x14ac:dyDescent="0.2">
      <c r="A92" s="119" t="s">
        <v>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52">
        <f t="shared" si="30"/>
        <v>2.6200055470634585</v>
      </c>
      <c r="M92" s="152">
        <f t="shared" si="30"/>
        <v>-0.81995650615290572</v>
      </c>
      <c r="N92" s="152">
        <f t="shared" si="29"/>
        <v>-1.0093604471979987</v>
      </c>
      <c r="O92" s="152">
        <f t="shared" si="29"/>
        <v>-1.8031056664813505</v>
      </c>
      <c r="P92" s="152">
        <f t="shared" si="29"/>
        <v>-3.7670220164542982</v>
      </c>
      <c r="Q92" s="152">
        <f t="shared" si="29"/>
        <v>-2.2334644036883162</v>
      </c>
      <c r="R92" s="152">
        <f t="shared" si="29"/>
        <v>3.3506391511535014</v>
      </c>
      <c r="S92" s="152">
        <f t="shared" si="29"/>
        <v>1.7581951282051875</v>
      </c>
      <c r="T92" s="152">
        <f t="shared" si="29"/>
        <v>3.5781466743072556</v>
      </c>
      <c r="U92" s="152">
        <f t="shared" si="29"/>
        <v>2.8057197441183206</v>
      </c>
      <c r="V92" s="152">
        <f t="shared" si="29"/>
        <v>3.1288662938907947</v>
      </c>
      <c r="W92" s="152">
        <f t="shared" si="29"/>
        <v>7.2225878389916289</v>
      </c>
      <c r="X92" s="152">
        <f t="shared" si="29"/>
        <v>11.350598451909015</v>
      </c>
      <c r="Y92" s="152">
        <f t="shared" si="29"/>
        <v>18.01137453079361</v>
      </c>
      <c r="Z92" s="152">
        <f t="shared" si="29"/>
        <v>25.832082135716995</v>
      </c>
      <c r="AA92" s="152">
        <f t="shared" si="29"/>
        <v>32.078152932420302</v>
      </c>
      <c r="AB92" s="152">
        <f t="shared" si="29"/>
        <v>36.082145987022102</v>
      </c>
      <c r="AC92" s="152">
        <f t="shared" si="29"/>
        <v>38.173843381870455</v>
      </c>
      <c r="AD92" s="152">
        <f t="shared" si="29"/>
        <v>40.507994470872426</v>
      </c>
      <c r="AE92" s="152">
        <f t="shared" si="29"/>
        <v>41.069587052021703</v>
      </c>
      <c r="AF92" s="152">
        <f t="shared" si="29"/>
        <v>41.547597778528171</v>
      </c>
      <c r="AG92" s="152">
        <f t="shared" si="29"/>
        <v>44.045705266976</v>
      </c>
      <c r="AH92" s="152">
        <f t="shared" si="29"/>
        <v>47.2530771582962</v>
      </c>
      <c r="AI92" s="152">
        <f t="shared" si="29"/>
        <v>49.228013216737324</v>
      </c>
      <c r="AJ92" s="152">
        <f t="shared" si="29"/>
        <v>51.844263624980492</v>
      </c>
      <c r="AK92" s="152">
        <f t="shared" si="29"/>
        <v>54.880042777240803</v>
      </c>
    </row>
    <row r="93" spans="1:37" x14ac:dyDescent="0.2">
      <c r="A93" s="119" t="s">
        <v>93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52">
        <f t="shared" si="30"/>
        <v>2.5630777227233352</v>
      </c>
      <c r="M93" s="152">
        <f t="shared" si="30"/>
        <v>-1.3098251385365174</v>
      </c>
      <c r="N93" s="152">
        <f t="shared" si="29"/>
        <v>-2.7823583901447577</v>
      </c>
      <c r="O93" s="152">
        <f t="shared" si="29"/>
        <v>-4.5258438155284111</v>
      </c>
      <c r="P93" s="152">
        <f t="shared" si="29"/>
        <v>-4.7153788395831135</v>
      </c>
      <c r="Q93" s="152">
        <f t="shared" si="29"/>
        <v>-5.0559103692351819</v>
      </c>
      <c r="R93" s="152">
        <f t="shared" si="29"/>
        <v>-1.4843049564982991</v>
      </c>
      <c r="S93" s="152">
        <f t="shared" si="29"/>
        <v>-2.3255064650899584</v>
      </c>
      <c r="T93" s="152">
        <f t="shared" si="29"/>
        <v>-0.88894470377362111</v>
      </c>
      <c r="U93" s="152">
        <f t="shared" si="29"/>
        <v>-1.452828150267031</v>
      </c>
      <c r="V93" s="152">
        <f t="shared" si="29"/>
        <v>-1.0857300281454805</v>
      </c>
      <c r="W93" s="152">
        <f t="shared" si="29"/>
        <v>2.068916219516538</v>
      </c>
      <c r="X93" s="152">
        <f t="shared" si="29"/>
        <v>5.1220770598055054</v>
      </c>
      <c r="Y93" s="152">
        <f t="shared" si="29"/>
        <v>10.638914946768033</v>
      </c>
      <c r="Z93" s="152">
        <f t="shared" si="29"/>
        <v>17.526945846601841</v>
      </c>
      <c r="AA93" s="152">
        <f t="shared" si="29"/>
        <v>23.023804478802134</v>
      </c>
      <c r="AB93" s="152">
        <f t="shared" si="29"/>
        <v>26.394583475772862</v>
      </c>
      <c r="AC93" s="152">
        <f t="shared" si="29"/>
        <v>27.848302224132198</v>
      </c>
      <c r="AD93" s="152">
        <f t="shared" si="29"/>
        <v>29.869755084733384</v>
      </c>
      <c r="AE93" s="152">
        <f t="shared" si="29"/>
        <v>29.875587163006649</v>
      </c>
      <c r="AF93" s="152">
        <f t="shared" si="29"/>
        <v>30.176190768777182</v>
      </c>
      <c r="AG93" s="152">
        <f t="shared" si="29"/>
        <v>32.837586070163319</v>
      </c>
      <c r="AH93" s="152">
        <f t="shared" si="29"/>
        <v>36.057530401708512</v>
      </c>
      <c r="AI93" s="152">
        <f t="shared" si="29"/>
        <v>37.973998179846802</v>
      </c>
      <c r="AJ93" s="152">
        <f t="shared" si="29"/>
        <v>40.86191097480895</v>
      </c>
      <c r="AK93" s="152">
        <f t="shared" si="29"/>
        <v>44.063652655660725</v>
      </c>
    </row>
    <row r="94" spans="1:37" ht="13.5" thickBot="1" x14ac:dyDescent="0.25">
      <c r="A94" s="119" t="s">
        <v>94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52">
        <f t="shared" si="30"/>
        <v>5.1987716053658239</v>
      </c>
      <c r="M94" s="152">
        <f t="shared" si="30"/>
        <v>8.1811171109045588</v>
      </c>
      <c r="N94" s="152">
        <f t="shared" si="29"/>
        <v>11.743373199045282</v>
      </c>
      <c r="O94" s="152">
        <f t="shared" si="29"/>
        <v>15.263867658996677</v>
      </c>
      <c r="P94" s="152">
        <f t="shared" si="29"/>
        <v>14.547856902065991</v>
      </c>
      <c r="Q94" s="152">
        <f t="shared" si="29"/>
        <v>15.138396195216924</v>
      </c>
      <c r="R94" s="152">
        <f t="shared" si="29"/>
        <v>15.111074464432548</v>
      </c>
      <c r="S94" s="152">
        <f t="shared" si="29"/>
        <v>14.495228961600766</v>
      </c>
      <c r="T94" s="152">
        <f t="shared" si="29"/>
        <v>14.882435855931622</v>
      </c>
      <c r="U94" s="152">
        <f t="shared" si="29"/>
        <v>15.277180368131166</v>
      </c>
      <c r="V94" s="152">
        <f t="shared" si="29"/>
        <v>14.693627366425087</v>
      </c>
      <c r="W94" s="152">
        <f t="shared" si="29"/>
        <v>15.415250828334873</v>
      </c>
      <c r="X94" s="152">
        <f t="shared" si="29"/>
        <v>15.470818602123515</v>
      </c>
      <c r="Y94" s="152">
        <f t="shared" si="29"/>
        <v>14.798524753878461</v>
      </c>
      <c r="Z94" s="152">
        <f t="shared" si="29"/>
        <v>14.473653617650477</v>
      </c>
      <c r="AA94" s="152">
        <f t="shared" si="29"/>
        <v>14.73109118048589</v>
      </c>
      <c r="AB94" s="152">
        <f t="shared" ref="AB94:AK94" si="31">AB93+AB30+AB46-AB62-AB78</f>
        <v>13.973391331765619</v>
      </c>
      <c r="AC94" s="152">
        <f t="shared" si="31"/>
        <v>14.304600725680572</v>
      </c>
      <c r="AD94" s="152">
        <f t="shared" si="31"/>
        <v>13.638361080193803</v>
      </c>
      <c r="AE94" s="152">
        <f t="shared" si="31"/>
        <v>13.070265345579315</v>
      </c>
      <c r="AF94" s="152">
        <f t="shared" si="31"/>
        <v>11.481592228602388</v>
      </c>
      <c r="AG94" s="152">
        <f t="shared" si="31"/>
        <v>9.7070358732662285</v>
      </c>
      <c r="AH94" s="152">
        <f t="shared" si="31"/>
        <v>7.8577026834605945</v>
      </c>
      <c r="AI94" s="152">
        <f t="shared" si="31"/>
        <v>5.1246781231372935</v>
      </c>
      <c r="AJ94" s="152">
        <f t="shared" si="31"/>
        <v>3.5259849431444934</v>
      </c>
      <c r="AK94" s="152">
        <f t="shared" si="31"/>
        <v>1.121873367021081</v>
      </c>
    </row>
    <row r="95" spans="1:37" x14ac:dyDescent="0.2">
      <c r="A95" s="150"/>
      <c r="B95" s="150"/>
      <c r="C95" s="150"/>
      <c r="D95" s="150"/>
      <c r="E95" s="150"/>
      <c r="F95" s="153">
        <f t="shared" ref="F95:N95" si="32">F10</f>
        <v>0</v>
      </c>
      <c r="G95" s="153">
        <f t="shared" si="32"/>
        <v>0</v>
      </c>
      <c r="H95" s="153">
        <f t="shared" si="32"/>
        <v>0</v>
      </c>
      <c r="I95" s="153">
        <f t="shared" si="32"/>
        <v>0</v>
      </c>
      <c r="J95" s="153">
        <f t="shared" si="32"/>
        <v>0</v>
      </c>
      <c r="K95" s="153">
        <f t="shared" si="32"/>
        <v>0</v>
      </c>
      <c r="L95" s="153">
        <f t="shared" si="32"/>
        <v>5</v>
      </c>
      <c r="M95" s="153">
        <f t="shared" si="32"/>
        <v>7.5</v>
      </c>
      <c r="N95" s="153">
        <f t="shared" si="32"/>
        <v>12</v>
      </c>
      <c r="O95" s="153">
        <f>O10</f>
        <v>15</v>
      </c>
      <c r="P95" s="153">
        <f t="shared" ref="P95:AK95" si="33">P10</f>
        <v>15</v>
      </c>
      <c r="Q95" s="153">
        <f t="shared" si="33"/>
        <v>15</v>
      </c>
      <c r="R95" s="153">
        <f t="shared" si="33"/>
        <v>15</v>
      </c>
      <c r="S95" s="153">
        <f t="shared" si="33"/>
        <v>15</v>
      </c>
      <c r="T95" s="153">
        <f t="shared" si="33"/>
        <v>15</v>
      </c>
      <c r="U95" s="153">
        <f t="shared" si="33"/>
        <v>15</v>
      </c>
      <c r="V95" s="153">
        <f t="shared" si="33"/>
        <v>15</v>
      </c>
      <c r="W95" s="153">
        <f t="shared" si="33"/>
        <v>15</v>
      </c>
      <c r="X95" s="153">
        <f t="shared" si="33"/>
        <v>15</v>
      </c>
      <c r="Y95" s="153">
        <f t="shared" si="33"/>
        <v>15</v>
      </c>
      <c r="Z95" s="153">
        <f t="shared" si="33"/>
        <v>15</v>
      </c>
      <c r="AA95" s="153">
        <f t="shared" si="33"/>
        <v>15</v>
      </c>
      <c r="AB95" s="153">
        <f t="shared" si="33"/>
        <v>15</v>
      </c>
      <c r="AC95" s="153">
        <f t="shared" si="33"/>
        <v>15</v>
      </c>
      <c r="AD95" s="153">
        <f t="shared" si="33"/>
        <v>15</v>
      </c>
      <c r="AE95" s="153">
        <f t="shared" si="33"/>
        <v>15</v>
      </c>
      <c r="AF95" s="153">
        <f t="shared" si="33"/>
        <v>15</v>
      </c>
      <c r="AG95" s="153">
        <f t="shared" si="33"/>
        <v>15</v>
      </c>
      <c r="AH95" s="153">
        <f t="shared" si="33"/>
        <v>15</v>
      </c>
      <c r="AI95" s="153">
        <f t="shared" si="33"/>
        <v>15</v>
      </c>
      <c r="AJ95" s="153">
        <f t="shared" si="33"/>
        <v>15</v>
      </c>
      <c r="AK95" s="153">
        <f t="shared" si="33"/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43D2-49A1-4ECE-AB3F-801D1B821A48}">
  <dimension ref="A1:AK128"/>
  <sheetViews>
    <sheetView zoomScaleNormal="100" workbookViewId="0">
      <pane xSplit="1" ySplit="2" topLeftCell="F71" activePane="bottomRight" state="frozen"/>
      <selection activeCell="B1" sqref="B1:D1048576"/>
      <selection pane="topRight" activeCell="B1" sqref="B1:D1048576"/>
      <selection pane="bottomLeft" activeCell="B1" sqref="B1:D1048576"/>
      <selection pane="bottomRight" activeCell="B1" sqref="B1:D1048576"/>
    </sheetView>
  </sheetViews>
  <sheetFormatPr defaultRowHeight="12.75" x14ac:dyDescent="0.2"/>
  <cols>
    <col min="1" max="1" width="18.28515625" style="112" customWidth="1"/>
    <col min="2" max="37" width="11.7109375" style="112" customWidth="1"/>
    <col min="38" max="16384" width="9.140625" style="112"/>
  </cols>
  <sheetData>
    <row r="1" spans="1:37" ht="16.5" customHeight="1" thickBot="1" x14ac:dyDescent="0.25">
      <c r="A1" s="154" t="s">
        <v>126</v>
      </c>
      <c r="B1" s="155"/>
      <c r="C1" s="155"/>
      <c r="D1" s="155"/>
      <c r="E1" s="155"/>
      <c r="F1" s="155"/>
      <c r="G1" s="155"/>
      <c r="H1" s="155"/>
      <c r="I1" s="155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</row>
    <row r="2" spans="1:37" ht="13.5" thickBot="1" x14ac:dyDescent="0.25">
      <c r="A2" s="157" t="s">
        <v>71</v>
      </c>
      <c r="B2" s="158">
        <v>2015</v>
      </c>
      <c r="C2" s="158">
        <v>2016</v>
      </c>
      <c r="D2" s="158">
        <v>2017</v>
      </c>
      <c r="E2" s="158">
        <v>2018</v>
      </c>
      <c r="F2" s="158">
        <v>2019</v>
      </c>
      <c r="G2" s="158">
        <v>2020</v>
      </c>
      <c r="H2" s="158">
        <v>2021</v>
      </c>
      <c r="I2" s="158">
        <v>2022</v>
      </c>
      <c r="J2" s="158">
        <v>2023</v>
      </c>
      <c r="K2" s="158">
        <v>2024</v>
      </c>
      <c r="L2" s="158">
        <v>2025</v>
      </c>
      <c r="M2" s="158">
        <v>2026</v>
      </c>
      <c r="N2" s="158">
        <v>2027</v>
      </c>
      <c r="O2" s="158">
        <v>2028</v>
      </c>
      <c r="P2" s="158">
        <v>2029</v>
      </c>
      <c r="Q2" s="158">
        <v>2030</v>
      </c>
      <c r="R2" s="158">
        <v>2031</v>
      </c>
      <c r="S2" s="158">
        <v>2032</v>
      </c>
      <c r="T2" s="158">
        <v>2033</v>
      </c>
      <c r="U2" s="158">
        <v>2034</v>
      </c>
      <c r="V2" s="158">
        <v>2035</v>
      </c>
      <c r="W2" s="158">
        <v>2036</v>
      </c>
      <c r="X2" s="158">
        <v>2037</v>
      </c>
      <c r="Y2" s="158">
        <v>2038</v>
      </c>
      <c r="Z2" s="158">
        <v>2039</v>
      </c>
      <c r="AA2" s="158">
        <v>2040</v>
      </c>
      <c r="AB2" s="158">
        <v>2041</v>
      </c>
      <c r="AC2" s="158">
        <v>2042</v>
      </c>
      <c r="AD2" s="158">
        <v>2043</v>
      </c>
      <c r="AE2" s="158">
        <v>2044</v>
      </c>
      <c r="AF2" s="158">
        <v>2045</v>
      </c>
      <c r="AG2" s="158">
        <v>2046</v>
      </c>
      <c r="AH2" s="158">
        <v>2047</v>
      </c>
      <c r="AI2" s="158">
        <v>2048</v>
      </c>
      <c r="AJ2" s="158">
        <v>2049</v>
      </c>
      <c r="AK2" s="158">
        <v>2050</v>
      </c>
    </row>
    <row r="3" spans="1:37" x14ac:dyDescent="0.2">
      <c r="A3" s="119" t="s">
        <v>72</v>
      </c>
      <c r="B3" s="159">
        <v>500</v>
      </c>
      <c r="C3" s="159">
        <f t="shared" ref="C3:D3" si="0">B10</f>
        <v>261.62745854989834</v>
      </c>
      <c r="D3" s="159">
        <f t="shared" si="0"/>
        <v>276.3683857666835</v>
      </c>
      <c r="E3" s="159">
        <f>D10</f>
        <v>345.78722304309281</v>
      </c>
      <c r="F3" s="159">
        <f t="shared" ref="F3:AK3" si="1">E10</f>
        <v>315.38008482973208</v>
      </c>
      <c r="G3" s="159">
        <f t="shared" si="1"/>
        <v>341.01709630489324</v>
      </c>
      <c r="H3" s="159">
        <f t="shared" si="1"/>
        <v>317.88932431983028</v>
      </c>
      <c r="I3" s="159">
        <f t="shared" si="1"/>
        <v>280.29110036692555</v>
      </c>
      <c r="J3" s="159">
        <f t="shared" si="1"/>
        <v>271.21244256409199</v>
      </c>
      <c r="K3" s="159">
        <f t="shared" si="1"/>
        <v>283.93955091582848</v>
      </c>
      <c r="L3" s="159">
        <f t="shared" si="1"/>
        <v>336.68069199803631</v>
      </c>
      <c r="M3" s="160">
        <f t="shared" si="1"/>
        <v>286.68069199803608</v>
      </c>
      <c r="N3" s="160">
        <f t="shared" si="1"/>
        <v>461.68069199803631</v>
      </c>
      <c r="O3" s="160">
        <f t="shared" si="1"/>
        <v>211.68069199803631</v>
      </c>
      <c r="P3" s="160">
        <f t="shared" si="1"/>
        <v>361.68069199803745</v>
      </c>
      <c r="Q3" s="160">
        <f t="shared" si="1"/>
        <v>411.68069199803676</v>
      </c>
      <c r="R3" s="160">
        <f t="shared" si="1"/>
        <v>361.68069199803631</v>
      </c>
      <c r="S3" s="160">
        <f t="shared" si="1"/>
        <v>411.68069199803608</v>
      </c>
      <c r="T3" s="160">
        <f t="shared" si="1"/>
        <v>311.68069199803585</v>
      </c>
      <c r="U3" s="160">
        <f t="shared" si="1"/>
        <v>311.68069199803654</v>
      </c>
      <c r="V3" s="160">
        <f t="shared" si="1"/>
        <v>411.68069199803585</v>
      </c>
      <c r="W3" s="160">
        <f t="shared" si="1"/>
        <v>511.68069199803699</v>
      </c>
      <c r="X3" s="160">
        <f t="shared" si="1"/>
        <v>561.68069199803745</v>
      </c>
      <c r="Y3" s="160">
        <f t="shared" si="1"/>
        <v>611.68069199803836</v>
      </c>
      <c r="Z3" s="160">
        <f t="shared" si="1"/>
        <v>661.68069199803972</v>
      </c>
      <c r="AA3" s="160">
        <f t="shared" si="1"/>
        <v>661.68069199804017</v>
      </c>
      <c r="AB3" s="160">
        <f t="shared" si="1"/>
        <v>661.68069199803836</v>
      </c>
      <c r="AC3" s="160">
        <f t="shared" si="1"/>
        <v>611.68069199803631</v>
      </c>
      <c r="AD3" s="160">
        <f t="shared" si="1"/>
        <v>711.68069199803585</v>
      </c>
      <c r="AE3" s="160">
        <f t="shared" si="1"/>
        <v>611.68069199803631</v>
      </c>
      <c r="AF3" s="160">
        <f t="shared" si="1"/>
        <v>661.68069199803631</v>
      </c>
      <c r="AG3" s="160">
        <f t="shared" si="1"/>
        <v>811.68069199803676</v>
      </c>
      <c r="AH3" s="160">
        <f t="shared" si="1"/>
        <v>761.68069199803767</v>
      </c>
      <c r="AI3" s="160">
        <f t="shared" si="1"/>
        <v>761.6806919980354</v>
      </c>
      <c r="AJ3" s="160">
        <f t="shared" si="1"/>
        <v>761.6806919980404</v>
      </c>
      <c r="AK3" s="160">
        <f t="shared" si="1"/>
        <v>811.68069199803767</v>
      </c>
    </row>
    <row r="4" spans="1:37" x14ac:dyDescent="0.2">
      <c r="A4" s="119" t="s">
        <v>112</v>
      </c>
      <c r="B4" s="159">
        <f>B32</f>
        <v>4525.4872000000005</v>
      </c>
      <c r="C4" s="159">
        <f t="shared" ref="C4:K4" si="2">C32</f>
        <v>4631.4223999999995</v>
      </c>
      <c r="D4" s="159">
        <f t="shared" si="2"/>
        <v>4934.88</v>
      </c>
      <c r="E4" s="159">
        <f t="shared" si="2"/>
        <v>5101.0663999999997</v>
      </c>
      <c r="F4" s="159">
        <f t="shared" si="2"/>
        <v>4853.3392000000003</v>
      </c>
      <c r="G4" s="159">
        <f t="shared" si="2"/>
        <v>2615.2840000000006</v>
      </c>
      <c r="H4" s="159">
        <f t="shared" si="2"/>
        <v>3290.4848000000002</v>
      </c>
      <c r="I4" s="159">
        <f t="shared" si="2"/>
        <v>3883.4256000000005</v>
      </c>
      <c r="J4" s="159">
        <f t="shared" si="2"/>
        <v>4350.3919999999998</v>
      </c>
      <c r="K4" s="159">
        <f t="shared" si="2"/>
        <v>4689.1720000000005</v>
      </c>
      <c r="L4" s="161">
        <f>MROUND(FORECAST(L13,F4:K4,F13:K13),100)+100</f>
        <v>4900</v>
      </c>
      <c r="M4" s="161">
        <f>MROUND(FORECAST(M13,G4:L4,G13:L13),100)+600</f>
        <v>5400</v>
      </c>
      <c r="N4" s="161">
        <f t="shared" ref="N4:AK4" si="3">MROUND(FORECAST(N13,H4:M4,H13:M13),100)+100</f>
        <v>5100</v>
      </c>
      <c r="O4" s="161">
        <f t="shared" si="3"/>
        <v>5400</v>
      </c>
      <c r="P4" s="161">
        <f t="shared" si="3"/>
        <v>5600</v>
      </c>
      <c r="Q4" s="161">
        <f t="shared" si="3"/>
        <v>6000</v>
      </c>
      <c r="R4" s="161">
        <f t="shared" si="3"/>
        <v>6300</v>
      </c>
      <c r="S4" s="161">
        <f t="shared" si="3"/>
        <v>6600</v>
      </c>
      <c r="T4" s="161">
        <f t="shared" si="3"/>
        <v>7100</v>
      </c>
      <c r="U4" s="161">
        <f t="shared" si="3"/>
        <v>7500</v>
      </c>
      <c r="V4" s="161">
        <f t="shared" si="3"/>
        <v>8000</v>
      </c>
      <c r="W4" s="161">
        <f t="shared" si="3"/>
        <v>8500</v>
      </c>
      <c r="X4" s="161">
        <f t="shared" si="3"/>
        <v>9100</v>
      </c>
      <c r="Y4" s="161">
        <f t="shared" si="3"/>
        <v>9700</v>
      </c>
      <c r="Z4" s="161">
        <f t="shared" si="3"/>
        <v>10300</v>
      </c>
      <c r="AA4" s="161">
        <f t="shared" si="3"/>
        <v>11000</v>
      </c>
      <c r="AB4" s="161">
        <f t="shared" si="3"/>
        <v>11700</v>
      </c>
      <c r="AC4" s="161">
        <f t="shared" si="3"/>
        <v>12500</v>
      </c>
      <c r="AD4" s="161">
        <f t="shared" si="3"/>
        <v>13300</v>
      </c>
      <c r="AE4" s="161">
        <f t="shared" si="3"/>
        <v>14200</v>
      </c>
      <c r="AF4" s="161">
        <f t="shared" si="3"/>
        <v>15100</v>
      </c>
      <c r="AG4" s="161">
        <f t="shared" si="3"/>
        <v>16100</v>
      </c>
      <c r="AH4" s="161">
        <f t="shared" si="3"/>
        <v>17100</v>
      </c>
      <c r="AI4" s="161">
        <f t="shared" si="3"/>
        <v>18200</v>
      </c>
      <c r="AJ4" s="161">
        <f t="shared" si="3"/>
        <v>19300</v>
      </c>
      <c r="AK4" s="161">
        <f t="shared" si="3"/>
        <v>20500</v>
      </c>
    </row>
    <row r="5" spans="1:37" x14ac:dyDescent="0.2">
      <c r="A5" s="119" t="s">
        <v>113</v>
      </c>
      <c r="B5" s="159">
        <f>B48</f>
        <v>1099.1608000000001</v>
      </c>
      <c r="C5" s="159">
        <f t="shared" ref="C5:K5" si="4">C48</f>
        <v>1019.4296000000002</v>
      </c>
      <c r="D5" s="159">
        <f t="shared" si="4"/>
        <v>460.63599999999997</v>
      </c>
      <c r="E5" s="159">
        <f t="shared" si="4"/>
        <v>686.2568</v>
      </c>
      <c r="F5" s="159">
        <f t="shared" si="4"/>
        <v>830.20400000000006</v>
      </c>
      <c r="G5" s="159">
        <f t="shared" si="4"/>
        <v>261.34879999999998</v>
      </c>
      <c r="H5" s="159">
        <f t="shared" si="4"/>
        <v>299.0752</v>
      </c>
      <c r="I5" s="159">
        <f t="shared" si="4"/>
        <v>1035.4679999999998</v>
      </c>
      <c r="J5" s="159">
        <f t="shared" si="4"/>
        <v>793.70080000000007</v>
      </c>
      <c r="K5" s="159">
        <f t="shared" si="4"/>
        <v>896.50400000000025</v>
      </c>
      <c r="L5" s="161">
        <f>MROUND(AVERAGE(B5:K5),50)+500</f>
        <v>1250</v>
      </c>
      <c r="M5" s="161">
        <f t="shared" ref="M5:V5" si="5">MROUND(AVERAGE(C5:L5),50)+500</f>
        <v>1250</v>
      </c>
      <c r="N5" s="161">
        <f t="shared" si="5"/>
        <v>1300</v>
      </c>
      <c r="O5" s="161">
        <f t="shared" si="5"/>
        <v>1350</v>
      </c>
      <c r="P5" s="161">
        <f t="shared" si="5"/>
        <v>1450</v>
      </c>
      <c r="Q5" s="161">
        <f t="shared" si="5"/>
        <v>1500</v>
      </c>
      <c r="R5" s="161">
        <f t="shared" si="5"/>
        <v>1600</v>
      </c>
      <c r="S5" s="161">
        <f t="shared" si="5"/>
        <v>1750</v>
      </c>
      <c r="T5" s="161">
        <f t="shared" si="5"/>
        <v>1800</v>
      </c>
      <c r="U5" s="161">
        <f t="shared" si="5"/>
        <v>1900</v>
      </c>
      <c r="V5" s="161">
        <f t="shared" si="5"/>
        <v>2000</v>
      </c>
      <c r="W5" s="161">
        <f>MROUND(AVERAGE(M5:V5),50)+250</f>
        <v>1850</v>
      </c>
      <c r="X5" s="161">
        <f>MROUND(AVERAGE(N5:W5),50)</f>
        <v>1650</v>
      </c>
      <c r="Y5" s="161">
        <f>MROUND(AVERAGE(O5:X5),50)-250</f>
        <v>1450</v>
      </c>
      <c r="Z5" s="161">
        <f>MROUND(AVERAGE(P5:Y5),50)-400</f>
        <v>1300</v>
      </c>
      <c r="AA5" s="161">
        <f>MROUND(AVERAGE(Q5:Z5),50)-650</f>
        <v>1050</v>
      </c>
      <c r="AB5" s="161">
        <f>MROUND(AVERAGE(R5:AA5),50)-900</f>
        <v>750</v>
      </c>
      <c r="AC5" s="161">
        <f>MROUND(AVERAGE(S5:AB5),50)-800</f>
        <v>750</v>
      </c>
      <c r="AD5" s="161">
        <f t="shared" ref="AD5:AG5" si="6">MROUND(AVERAGE(T5:AC5),50)-400</f>
        <v>1050</v>
      </c>
      <c r="AE5" s="161">
        <f t="shared" si="6"/>
        <v>1000</v>
      </c>
      <c r="AF5" s="161">
        <f t="shared" si="6"/>
        <v>900</v>
      </c>
      <c r="AG5" s="161">
        <f t="shared" si="6"/>
        <v>800</v>
      </c>
      <c r="AH5" s="161">
        <f t="shared" ref="AH5:AK5" si="7">MROUND(AVERAGE(X5:AG5),50)+500</f>
        <v>1550</v>
      </c>
      <c r="AI5" s="161">
        <f t="shared" si="7"/>
        <v>1550</v>
      </c>
      <c r="AJ5" s="161">
        <f t="shared" si="7"/>
        <v>1550</v>
      </c>
      <c r="AK5" s="161">
        <f t="shared" si="7"/>
        <v>1600</v>
      </c>
    </row>
    <row r="6" spans="1:37" x14ac:dyDescent="0.2">
      <c r="A6" s="119" t="s">
        <v>114</v>
      </c>
      <c r="B6" s="159">
        <f>SUM(B3:B5)</f>
        <v>6124.648000000001</v>
      </c>
      <c r="C6" s="159">
        <f t="shared" ref="C6:AK6" si="8">SUM(C3:C5)</f>
        <v>5912.4794585498985</v>
      </c>
      <c r="D6" s="159">
        <f t="shared" si="8"/>
        <v>5671.8843857666834</v>
      </c>
      <c r="E6" s="159">
        <f t="shared" si="8"/>
        <v>6133.1104230430929</v>
      </c>
      <c r="F6" s="159">
        <f t="shared" si="8"/>
        <v>5998.9232848297324</v>
      </c>
      <c r="G6" s="159">
        <f t="shared" si="8"/>
        <v>3217.6498963048934</v>
      </c>
      <c r="H6" s="159">
        <f t="shared" si="8"/>
        <v>3907.4493243198303</v>
      </c>
      <c r="I6" s="159">
        <f t="shared" si="8"/>
        <v>5199.1847003669254</v>
      </c>
      <c r="J6" s="159">
        <f t="shared" si="8"/>
        <v>5415.3052425640926</v>
      </c>
      <c r="K6" s="159">
        <f t="shared" si="8"/>
        <v>5869.6155509158289</v>
      </c>
      <c r="L6" s="160">
        <f t="shared" si="8"/>
        <v>6486.6806919980363</v>
      </c>
      <c r="M6" s="160">
        <f t="shared" si="8"/>
        <v>6936.6806919980363</v>
      </c>
      <c r="N6" s="160">
        <f t="shared" si="8"/>
        <v>6861.6806919980363</v>
      </c>
      <c r="O6" s="160">
        <f t="shared" si="8"/>
        <v>6961.6806919980363</v>
      </c>
      <c r="P6" s="160">
        <f t="shared" si="8"/>
        <v>7411.6806919980372</v>
      </c>
      <c r="Q6" s="160">
        <f t="shared" si="8"/>
        <v>7911.6806919980372</v>
      </c>
      <c r="R6" s="160">
        <f t="shared" si="8"/>
        <v>8261.6806919980372</v>
      </c>
      <c r="S6" s="160">
        <f t="shared" si="8"/>
        <v>8761.6806919980372</v>
      </c>
      <c r="T6" s="160">
        <f t="shared" si="8"/>
        <v>9211.6806919980354</v>
      </c>
      <c r="U6" s="160">
        <f t="shared" si="8"/>
        <v>9711.6806919980372</v>
      </c>
      <c r="V6" s="160">
        <f t="shared" si="8"/>
        <v>10411.680691998035</v>
      </c>
      <c r="W6" s="160">
        <f t="shared" si="8"/>
        <v>10861.680691998037</v>
      </c>
      <c r="X6" s="160">
        <f t="shared" si="8"/>
        <v>11311.680691998037</v>
      </c>
      <c r="Y6" s="160">
        <f t="shared" si="8"/>
        <v>11761.680691998039</v>
      </c>
      <c r="Z6" s="160">
        <f t="shared" si="8"/>
        <v>12261.680691998039</v>
      </c>
      <c r="AA6" s="160">
        <f t="shared" si="8"/>
        <v>12711.680691998041</v>
      </c>
      <c r="AB6" s="160">
        <f t="shared" si="8"/>
        <v>13111.680691998039</v>
      </c>
      <c r="AC6" s="160">
        <f t="shared" si="8"/>
        <v>13861.680691998037</v>
      </c>
      <c r="AD6" s="160">
        <f t="shared" si="8"/>
        <v>15061.680691998035</v>
      </c>
      <c r="AE6" s="160">
        <f t="shared" si="8"/>
        <v>15811.680691998037</v>
      </c>
      <c r="AF6" s="160">
        <f t="shared" si="8"/>
        <v>16661.680691998037</v>
      </c>
      <c r="AG6" s="160">
        <f t="shared" si="8"/>
        <v>17711.680691998037</v>
      </c>
      <c r="AH6" s="160">
        <f t="shared" si="8"/>
        <v>19411.680691998037</v>
      </c>
      <c r="AI6" s="160">
        <f t="shared" si="8"/>
        <v>20511.680691998037</v>
      </c>
      <c r="AJ6" s="160">
        <f t="shared" si="8"/>
        <v>21611.680691998041</v>
      </c>
      <c r="AK6" s="160">
        <f t="shared" si="8"/>
        <v>22911.680691998037</v>
      </c>
    </row>
    <row r="7" spans="1:37" x14ac:dyDescent="0.2">
      <c r="A7" s="119" t="s">
        <v>115</v>
      </c>
      <c r="B7" s="159">
        <f>B9-B8</f>
        <v>5854.6317414501027</v>
      </c>
      <c r="C7" s="159">
        <f t="shared" ref="C7:K7" si="9">C9-C8</f>
        <v>5612.6494727832151</v>
      </c>
      <c r="D7" s="159">
        <f t="shared" si="9"/>
        <v>5300.0051627235907</v>
      </c>
      <c r="E7" s="159">
        <f t="shared" si="9"/>
        <v>5531.2951382133606</v>
      </c>
      <c r="F7" s="159">
        <f t="shared" si="9"/>
        <v>4046.6797885248393</v>
      </c>
      <c r="G7" s="159">
        <f t="shared" si="9"/>
        <v>2105.1589719850631</v>
      </c>
      <c r="H7" s="159">
        <f t="shared" si="9"/>
        <v>2767.8198239529047</v>
      </c>
      <c r="I7" s="159">
        <f t="shared" si="9"/>
        <v>3540.6418578028333</v>
      </c>
      <c r="J7" s="159">
        <f t="shared" si="9"/>
        <v>3192.7432916482639</v>
      </c>
      <c r="K7" s="159">
        <f t="shared" si="9"/>
        <v>3207.234058917792</v>
      </c>
      <c r="L7" s="161">
        <f>L9-L8</f>
        <v>3250</v>
      </c>
      <c r="M7" s="161">
        <f t="shared" ref="M7:Q7" si="10">M9-M8</f>
        <v>3275</v>
      </c>
      <c r="N7" s="161">
        <f t="shared" si="10"/>
        <v>3350</v>
      </c>
      <c r="O7" s="161">
        <f t="shared" si="10"/>
        <v>3249.9999999999991</v>
      </c>
      <c r="P7" s="161">
        <f t="shared" si="10"/>
        <v>3350</v>
      </c>
      <c r="Q7" s="161">
        <f t="shared" si="10"/>
        <v>3400.0000000000009</v>
      </c>
      <c r="R7" s="161">
        <f>R9-R8</f>
        <v>3400.0000000000009</v>
      </c>
      <c r="S7" s="161">
        <f t="shared" ref="S7:U7" si="11">S9-S8</f>
        <v>3400.0000000000018</v>
      </c>
      <c r="T7" s="161">
        <f t="shared" si="11"/>
        <v>3449.9999999999982</v>
      </c>
      <c r="U7" s="161">
        <f t="shared" si="11"/>
        <v>3500.0000000000018</v>
      </c>
      <c r="V7" s="161">
        <f>V9-V8</f>
        <v>3499.9999999999982</v>
      </c>
      <c r="W7" s="161">
        <f t="shared" ref="W7:AA7" si="12">W9-W8</f>
        <v>3550</v>
      </c>
      <c r="X7" s="161">
        <f t="shared" si="12"/>
        <v>3599.9999999999982</v>
      </c>
      <c r="Y7" s="161">
        <f t="shared" si="12"/>
        <v>3650</v>
      </c>
      <c r="Z7" s="161">
        <f t="shared" si="12"/>
        <v>3699.9999999999982</v>
      </c>
      <c r="AA7" s="161">
        <f t="shared" si="12"/>
        <v>3750.0000000000018</v>
      </c>
      <c r="AB7" s="161">
        <f>AB9-AB8</f>
        <v>3800.0000000000036</v>
      </c>
      <c r="AC7" s="161">
        <f>AC9-AC8</f>
        <v>3850.0000000000018</v>
      </c>
      <c r="AD7" s="161">
        <f t="shared" ref="AD7:AH7" si="13">AD9-AD8</f>
        <v>3900</v>
      </c>
      <c r="AE7" s="161">
        <f t="shared" si="13"/>
        <v>3950</v>
      </c>
      <c r="AF7" s="161">
        <f t="shared" si="13"/>
        <v>4000</v>
      </c>
      <c r="AG7" s="161">
        <f t="shared" si="13"/>
        <v>4050</v>
      </c>
      <c r="AH7" s="161">
        <f t="shared" si="13"/>
        <v>4100</v>
      </c>
      <c r="AI7" s="161">
        <f>AI9-AI8</f>
        <v>4149.9999999999964</v>
      </c>
      <c r="AJ7" s="161">
        <f t="shared" ref="AJ7:AK7" si="14">AJ9-AJ8</f>
        <v>4200.0000000000036</v>
      </c>
      <c r="AK7" s="161">
        <f t="shared" si="14"/>
        <v>4250</v>
      </c>
    </row>
    <row r="8" spans="1:37" x14ac:dyDescent="0.2">
      <c r="A8" s="119" t="s">
        <v>77</v>
      </c>
      <c r="B8" s="159">
        <f>B64</f>
        <v>8.3887999999999998</v>
      </c>
      <c r="C8" s="159">
        <f t="shared" ref="C8:K8" si="15">C64</f>
        <v>23.461600000000008</v>
      </c>
      <c r="D8" s="159">
        <f t="shared" si="15"/>
        <v>26.091999999999999</v>
      </c>
      <c r="E8" s="159">
        <f t="shared" si="15"/>
        <v>286.43520000000001</v>
      </c>
      <c r="F8" s="159">
        <f t="shared" si="15"/>
        <v>1611.2264</v>
      </c>
      <c r="G8" s="159">
        <f t="shared" si="15"/>
        <v>794.60160000000008</v>
      </c>
      <c r="H8" s="159">
        <f t="shared" si="15"/>
        <v>859.33840000000009</v>
      </c>
      <c r="I8" s="159">
        <f t="shared" si="15"/>
        <v>1387.3303999999998</v>
      </c>
      <c r="J8" s="159">
        <f t="shared" si="15"/>
        <v>1938.6224000000002</v>
      </c>
      <c r="K8" s="159">
        <f t="shared" si="15"/>
        <v>2325.7008000000005</v>
      </c>
      <c r="L8" s="161">
        <f>MROUND(AVERAGE(B8:K8),50)+2000</f>
        <v>2950</v>
      </c>
      <c r="M8" s="161">
        <f>MROUND(AVERAGE(C8:L8),50)+2000</f>
        <v>3200</v>
      </c>
      <c r="N8" s="161">
        <f>MROUND(AVERAGE(D8:M8),50)+1750</f>
        <v>3300</v>
      </c>
      <c r="O8" s="161">
        <f t="shared" ref="O8:P8" si="16">MROUND(AVERAGE(E8:N8),50)+1500</f>
        <v>3350</v>
      </c>
      <c r="P8" s="161">
        <f t="shared" si="16"/>
        <v>3650</v>
      </c>
      <c r="Q8" s="161">
        <f>MROUND(AVERAGE(G8:P8),50)+1750</f>
        <v>4150</v>
      </c>
      <c r="R8" s="161">
        <f>MROUND(AVERAGE(H8:Q8),50)+1750</f>
        <v>4450</v>
      </c>
      <c r="S8" s="161">
        <f>MROUND(AVERAGE(I8:R8),50)+2000</f>
        <v>5050</v>
      </c>
      <c r="T8" s="161">
        <f t="shared" ref="T8:U8" si="17">MROUND(AVERAGE(J8:S8),50)+2000</f>
        <v>5450</v>
      </c>
      <c r="U8" s="161">
        <f t="shared" si="17"/>
        <v>5800</v>
      </c>
      <c r="V8" s="161">
        <f>MROUND(AVERAGE(L8:U8),50)+2250</f>
        <v>6400</v>
      </c>
      <c r="W8" s="161">
        <f t="shared" ref="W8:AB8" si="18">MROUND(AVERAGE(M8:V8),50)+2250</f>
        <v>6750</v>
      </c>
      <c r="X8" s="161">
        <f t="shared" si="18"/>
        <v>7100</v>
      </c>
      <c r="Y8" s="161">
        <f t="shared" si="18"/>
        <v>7450</v>
      </c>
      <c r="Z8" s="161">
        <f t="shared" si="18"/>
        <v>7900</v>
      </c>
      <c r="AA8" s="161">
        <f t="shared" si="18"/>
        <v>8300</v>
      </c>
      <c r="AB8" s="161">
        <f t="shared" si="18"/>
        <v>8700</v>
      </c>
      <c r="AC8" s="161">
        <f>MROUND(AVERAGE(S8:AB8),50)+2400</f>
        <v>9300</v>
      </c>
      <c r="AD8" s="161">
        <f>MROUND(AVERAGE(T8:AC8),50)+3250</f>
        <v>10550</v>
      </c>
      <c r="AE8" s="161">
        <f>MROUND(AVERAGE(U8:AD8),50)+3350</f>
        <v>11200</v>
      </c>
      <c r="AF8" s="161">
        <f>MROUND(AVERAGE(V8:AE8),50)+3500</f>
        <v>11850</v>
      </c>
      <c r="AG8" s="161">
        <f>MROUND(AVERAGE(W8:AF8),50)+4000</f>
        <v>12900</v>
      </c>
      <c r="AH8" s="161">
        <f>MROUND(AVERAGE(X8:AG8),50)+5000</f>
        <v>14550</v>
      </c>
      <c r="AI8" s="161">
        <f>MROUND(AVERAGE(Y8:AH8),50)+5350</f>
        <v>15600</v>
      </c>
      <c r="AJ8" s="161">
        <f>MROUND(AVERAGE(Z8:AI8),50)+5500</f>
        <v>16600</v>
      </c>
      <c r="AK8" s="161">
        <f>MROUND(AVERAGE(AA8:AJ8),50)+6000</f>
        <v>17950</v>
      </c>
    </row>
    <row r="9" spans="1:37" x14ac:dyDescent="0.2">
      <c r="A9" s="119" t="s">
        <v>116</v>
      </c>
      <c r="B9" s="159">
        <f>B6-B10</f>
        <v>5863.0205414501024</v>
      </c>
      <c r="C9" s="159">
        <f t="shared" ref="C9:K9" si="19">C6-C10</f>
        <v>5636.1110727832147</v>
      </c>
      <c r="D9" s="159">
        <f t="shared" si="19"/>
        <v>5326.0971627235904</v>
      </c>
      <c r="E9" s="159">
        <f t="shared" si="19"/>
        <v>5817.7303382133605</v>
      </c>
      <c r="F9" s="159">
        <f t="shared" si="19"/>
        <v>5657.9061885248393</v>
      </c>
      <c r="G9" s="159">
        <f t="shared" si="19"/>
        <v>2899.7605719850631</v>
      </c>
      <c r="H9" s="159">
        <f t="shared" si="19"/>
        <v>3627.1582239529048</v>
      </c>
      <c r="I9" s="159">
        <f t="shared" si="19"/>
        <v>4927.9722578028332</v>
      </c>
      <c r="J9" s="159">
        <f t="shared" si="19"/>
        <v>5131.3656916482641</v>
      </c>
      <c r="K9" s="159">
        <f t="shared" si="19"/>
        <v>5532.9348589177926</v>
      </c>
      <c r="L9" s="161">
        <f>L6-L10</f>
        <v>6200</v>
      </c>
      <c r="M9" s="161">
        <f t="shared" ref="M9:Q9" si="20">M6-M10</f>
        <v>6475</v>
      </c>
      <c r="N9" s="161">
        <f t="shared" si="20"/>
        <v>6650</v>
      </c>
      <c r="O9" s="161">
        <f t="shared" si="20"/>
        <v>6599.9999999999991</v>
      </c>
      <c r="P9" s="161">
        <f t="shared" si="20"/>
        <v>7000</v>
      </c>
      <c r="Q9" s="161">
        <f t="shared" si="20"/>
        <v>7550.0000000000009</v>
      </c>
      <c r="R9" s="161">
        <f>R6-R10</f>
        <v>7850.0000000000009</v>
      </c>
      <c r="S9" s="161">
        <f t="shared" ref="S9:U9" si="21">S6-S10</f>
        <v>8450.0000000000018</v>
      </c>
      <c r="T9" s="161">
        <f t="shared" si="21"/>
        <v>8899.9999999999982</v>
      </c>
      <c r="U9" s="161">
        <f t="shared" si="21"/>
        <v>9300.0000000000018</v>
      </c>
      <c r="V9" s="161">
        <f>V6-V10</f>
        <v>9899.9999999999982</v>
      </c>
      <c r="W9" s="161">
        <f t="shared" ref="W9:AA9" si="22">W6-W10</f>
        <v>10300</v>
      </c>
      <c r="X9" s="161">
        <f t="shared" si="22"/>
        <v>10699.999999999998</v>
      </c>
      <c r="Y9" s="161">
        <f t="shared" si="22"/>
        <v>11100</v>
      </c>
      <c r="Z9" s="161">
        <f t="shared" si="22"/>
        <v>11599.999999999998</v>
      </c>
      <c r="AA9" s="161">
        <f t="shared" si="22"/>
        <v>12050.000000000002</v>
      </c>
      <c r="AB9" s="161">
        <f>AB6-AB10</f>
        <v>12500.000000000004</v>
      </c>
      <c r="AC9" s="161">
        <f>AC6-AC10</f>
        <v>13150.000000000002</v>
      </c>
      <c r="AD9" s="161">
        <f t="shared" ref="AD9:AH9" si="23">AD6-AD10</f>
        <v>14450</v>
      </c>
      <c r="AE9" s="161">
        <f t="shared" si="23"/>
        <v>15150</v>
      </c>
      <c r="AF9" s="161">
        <f t="shared" si="23"/>
        <v>15850</v>
      </c>
      <c r="AG9" s="161">
        <f t="shared" si="23"/>
        <v>16950</v>
      </c>
      <c r="AH9" s="161">
        <f t="shared" si="23"/>
        <v>18650</v>
      </c>
      <c r="AI9" s="161">
        <f>AI6-AI10</f>
        <v>19749.999999999996</v>
      </c>
      <c r="AJ9" s="161">
        <f t="shared" ref="AJ9:AK9" si="24">AJ6-AJ10</f>
        <v>20800.000000000004</v>
      </c>
      <c r="AK9" s="161">
        <f t="shared" si="24"/>
        <v>22200</v>
      </c>
    </row>
    <row r="10" spans="1:37" x14ac:dyDescent="0.2">
      <c r="A10" s="119" t="s">
        <v>127</v>
      </c>
      <c r="B10" s="159">
        <f>B95</f>
        <v>261.62745854989834</v>
      </c>
      <c r="C10" s="159">
        <f t="shared" ref="C10:AK10" si="25">C95</f>
        <v>276.3683857666835</v>
      </c>
      <c r="D10" s="159">
        <f t="shared" si="25"/>
        <v>345.78722304309281</v>
      </c>
      <c r="E10" s="159">
        <f t="shared" si="25"/>
        <v>315.38008482973208</v>
      </c>
      <c r="F10" s="159">
        <f t="shared" si="25"/>
        <v>341.01709630489324</v>
      </c>
      <c r="G10" s="159">
        <f t="shared" si="25"/>
        <v>317.88932431983028</v>
      </c>
      <c r="H10" s="159">
        <f t="shared" si="25"/>
        <v>280.29110036692555</v>
      </c>
      <c r="I10" s="159">
        <f t="shared" si="25"/>
        <v>271.21244256409199</v>
      </c>
      <c r="J10" s="159">
        <f t="shared" si="25"/>
        <v>283.93955091582848</v>
      </c>
      <c r="K10" s="159">
        <f t="shared" si="25"/>
        <v>336.68069199803631</v>
      </c>
      <c r="L10" s="160">
        <f t="shared" si="25"/>
        <v>286.68069199803608</v>
      </c>
      <c r="M10" s="160">
        <f t="shared" si="25"/>
        <v>461.68069199803631</v>
      </c>
      <c r="N10" s="160">
        <f t="shared" si="25"/>
        <v>211.68069199803631</v>
      </c>
      <c r="O10" s="160">
        <f t="shared" si="25"/>
        <v>361.68069199803745</v>
      </c>
      <c r="P10" s="160">
        <f t="shared" si="25"/>
        <v>411.68069199803676</v>
      </c>
      <c r="Q10" s="160">
        <f t="shared" si="25"/>
        <v>361.68069199803631</v>
      </c>
      <c r="R10" s="160">
        <f t="shared" si="25"/>
        <v>411.68069199803608</v>
      </c>
      <c r="S10" s="160">
        <f t="shared" si="25"/>
        <v>311.68069199803585</v>
      </c>
      <c r="T10" s="160">
        <f t="shared" si="25"/>
        <v>311.68069199803654</v>
      </c>
      <c r="U10" s="160">
        <f t="shared" si="25"/>
        <v>411.68069199803585</v>
      </c>
      <c r="V10" s="160">
        <f t="shared" si="25"/>
        <v>511.68069199803699</v>
      </c>
      <c r="W10" s="160">
        <f t="shared" si="25"/>
        <v>561.68069199803745</v>
      </c>
      <c r="X10" s="160">
        <f t="shared" si="25"/>
        <v>611.68069199803836</v>
      </c>
      <c r="Y10" s="160">
        <f t="shared" si="25"/>
        <v>661.68069199803972</v>
      </c>
      <c r="Z10" s="160">
        <f t="shared" si="25"/>
        <v>661.68069199804017</v>
      </c>
      <c r="AA10" s="160">
        <f t="shared" si="25"/>
        <v>661.68069199803836</v>
      </c>
      <c r="AB10" s="160">
        <f t="shared" si="25"/>
        <v>611.68069199803631</v>
      </c>
      <c r="AC10" s="160">
        <f t="shared" si="25"/>
        <v>711.68069199803585</v>
      </c>
      <c r="AD10" s="160">
        <f t="shared" si="25"/>
        <v>611.68069199803631</v>
      </c>
      <c r="AE10" s="160">
        <f t="shared" si="25"/>
        <v>661.68069199803631</v>
      </c>
      <c r="AF10" s="160">
        <f t="shared" si="25"/>
        <v>811.68069199803676</v>
      </c>
      <c r="AG10" s="160">
        <f t="shared" si="25"/>
        <v>761.68069199803767</v>
      </c>
      <c r="AH10" s="160">
        <f t="shared" si="25"/>
        <v>761.6806919980354</v>
      </c>
      <c r="AI10" s="160">
        <f t="shared" si="25"/>
        <v>761.6806919980404</v>
      </c>
      <c r="AJ10" s="160">
        <f t="shared" si="25"/>
        <v>811.68069199803767</v>
      </c>
      <c r="AK10" s="160">
        <f t="shared" si="25"/>
        <v>711.68069199803813</v>
      </c>
    </row>
    <row r="11" spans="1:37" ht="13.5" thickBot="1" x14ac:dyDescent="0.25">
      <c r="A11" s="119"/>
      <c r="B11" s="162"/>
      <c r="C11" s="162"/>
      <c r="D11" s="162"/>
      <c r="E11" s="162"/>
      <c r="F11" s="162"/>
      <c r="G11" s="162"/>
      <c r="H11" s="162"/>
      <c r="I11" s="162"/>
      <c r="J11" s="162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</row>
    <row r="12" spans="1:37" ht="13.5" thickTop="1" x14ac:dyDescent="0.2">
      <c r="A12" s="164"/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</row>
    <row r="13" spans="1:37" x14ac:dyDescent="0.2">
      <c r="A13" s="119" t="s">
        <v>128</v>
      </c>
      <c r="B13" s="165">
        <f>B111/1000000</f>
        <v>0.22336747479500002</v>
      </c>
      <c r="C13" s="165">
        <f t="shared" ref="C13:K13" si="26">C111/1000000</f>
        <v>0.21257789268800001</v>
      </c>
      <c r="D13" s="165">
        <f t="shared" si="26"/>
        <v>0.21874854329500001</v>
      </c>
      <c r="E13" s="165">
        <f t="shared" si="26"/>
        <v>0.23652513131099998</v>
      </c>
      <c r="F13" s="165">
        <f t="shared" si="26"/>
        <v>0.23866504335000002</v>
      </c>
      <c r="G13" s="165">
        <f t="shared" si="26"/>
        <v>9.0076682727999985E-2</v>
      </c>
      <c r="H13" s="165">
        <f t="shared" si="26"/>
        <v>0.10364236974400001</v>
      </c>
      <c r="I13" s="165">
        <f t="shared" si="26"/>
        <v>0.190450274202</v>
      </c>
      <c r="J13" s="165">
        <f t="shared" si="26"/>
        <v>0.22660762537100002</v>
      </c>
      <c r="K13" s="165">
        <f t="shared" si="26"/>
        <v>0.25105928465800004</v>
      </c>
      <c r="L13" s="166">
        <f>K13*1.022</f>
        <v>0.25658258892047603</v>
      </c>
      <c r="M13" s="166">
        <f>L13*1.024</f>
        <v>0.26274057105456744</v>
      </c>
      <c r="N13" s="166">
        <f>M13*1.018</f>
        <v>0.26746990133354964</v>
      </c>
      <c r="O13" s="166">
        <f>N13*1.02</f>
        <v>0.27281929936022065</v>
      </c>
      <c r="P13" s="166">
        <f>O13*1.02</f>
        <v>0.27827568534742508</v>
      </c>
      <c r="Q13" s="166">
        <f>P13*1.03</f>
        <v>0.28662395590784784</v>
      </c>
      <c r="R13" s="166">
        <f t="shared" ref="R13:AK13" si="27">Q13*1.03</f>
        <v>0.29522267458508328</v>
      </c>
      <c r="S13" s="166">
        <f t="shared" si="27"/>
        <v>0.30407935482263576</v>
      </c>
      <c r="T13" s="166">
        <f t="shared" si="27"/>
        <v>0.31320173546731483</v>
      </c>
      <c r="U13" s="166">
        <f t="shared" si="27"/>
        <v>0.32259778753133428</v>
      </c>
      <c r="V13" s="166">
        <f t="shared" si="27"/>
        <v>0.33227572115727433</v>
      </c>
      <c r="W13" s="166">
        <f t="shared" si="27"/>
        <v>0.34224399279199258</v>
      </c>
      <c r="X13" s="166">
        <f t="shared" si="27"/>
        <v>0.35251131257575236</v>
      </c>
      <c r="Y13" s="166">
        <f t="shared" si="27"/>
        <v>0.36308665195302492</v>
      </c>
      <c r="Z13" s="166">
        <f t="shared" si="27"/>
        <v>0.37397925151161565</v>
      </c>
      <c r="AA13" s="166">
        <f t="shared" si="27"/>
        <v>0.38519862905696411</v>
      </c>
      <c r="AB13" s="166">
        <f t="shared" si="27"/>
        <v>0.39675458792867307</v>
      </c>
      <c r="AC13" s="166">
        <f t="shared" si="27"/>
        <v>0.40865722556653328</v>
      </c>
      <c r="AD13" s="166">
        <f t="shared" si="27"/>
        <v>0.42091694233352928</v>
      </c>
      <c r="AE13" s="166">
        <f t="shared" si="27"/>
        <v>0.43354445060353519</v>
      </c>
      <c r="AF13" s="166">
        <f t="shared" si="27"/>
        <v>0.44655078412164129</v>
      </c>
      <c r="AG13" s="166">
        <f t="shared" si="27"/>
        <v>0.45994730764529052</v>
      </c>
      <c r="AH13" s="166">
        <f t="shared" si="27"/>
        <v>0.47374572687464922</v>
      </c>
      <c r="AI13" s="166">
        <f t="shared" si="27"/>
        <v>0.48795809868088869</v>
      </c>
      <c r="AJ13" s="166">
        <f t="shared" si="27"/>
        <v>0.50259684164131535</v>
      </c>
      <c r="AK13" s="166">
        <f t="shared" si="27"/>
        <v>0.51767474689055482</v>
      </c>
    </row>
    <row r="14" spans="1:37" x14ac:dyDescent="0.2">
      <c r="A14" s="119" t="s">
        <v>129</v>
      </c>
      <c r="B14" s="147"/>
      <c r="C14" s="167"/>
      <c r="D14" s="167"/>
      <c r="E14" s="167"/>
      <c r="F14" s="168">
        <v>1.2</v>
      </c>
      <c r="G14" s="168">
        <v>-3.9</v>
      </c>
      <c r="H14" s="168">
        <v>4.6000059999999996</v>
      </c>
      <c r="I14" s="168">
        <v>2.9999980000000002</v>
      </c>
      <c r="J14" s="168">
        <v>2.999994</v>
      </c>
      <c r="K14" s="168">
        <v>3</v>
      </c>
      <c r="L14" s="169">
        <v>2.1999999999999997</v>
      </c>
      <c r="M14" s="169">
        <v>2.4</v>
      </c>
      <c r="N14" s="169">
        <v>1.7999999999999998</v>
      </c>
      <c r="O14" s="169">
        <v>2</v>
      </c>
      <c r="P14" s="169">
        <v>2</v>
      </c>
    </row>
    <row r="15" spans="1:37" x14ac:dyDescent="0.2">
      <c r="A15" s="119" t="s">
        <v>130</v>
      </c>
      <c r="B15" s="170">
        <f t="shared" ref="B15:K15" si="28">B7/B13/2200</f>
        <v>11.913982770123758</v>
      </c>
      <c r="C15" s="170">
        <f t="shared" si="28"/>
        <v>12.001268210683357</v>
      </c>
      <c r="D15" s="170">
        <f t="shared" si="28"/>
        <v>11.013071079219003</v>
      </c>
      <c r="E15" s="170">
        <f t="shared" si="28"/>
        <v>10.629843217456557</v>
      </c>
      <c r="F15" s="170">
        <f t="shared" si="28"/>
        <v>7.707035257683148</v>
      </c>
      <c r="G15" s="170">
        <f t="shared" si="28"/>
        <v>10.623064846880142</v>
      </c>
      <c r="H15" s="170">
        <f t="shared" si="28"/>
        <v>12.138857140049385</v>
      </c>
      <c r="I15" s="170">
        <f t="shared" si="28"/>
        <v>8.4504087451754941</v>
      </c>
      <c r="J15" s="170">
        <f t="shared" si="28"/>
        <v>6.4042282265358113</v>
      </c>
      <c r="K15" s="170">
        <f t="shared" si="28"/>
        <v>5.8067307294783088</v>
      </c>
    </row>
    <row r="16" spans="1:37" x14ac:dyDescent="0.2">
      <c r="A16" s="119"/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71">
        <f t="shared" ref="L16:AK16" si="29">L7/L13/2200</f>
        <v>5.7574940430996513</v>
      </c>
      <c r="M16" s="171">
        <f t="shared" si="29"/>
        <v>5.6658031824373074</v>
      </c>
      <c r="N16" s="171">
        <f t="shared" si="29"/>
        <v>5.6930789787384279</v>
      </c>
      <c r="O16" s="171">
        <f t="shared" si="29"/>
        <v>5.4148395320163543</v>
      </c>
      <c r="P16" s="171">
        <f t="shared" si="29"/>
        <v>5.4720097834856078</v>
      </c>
      <c r="Q16" s="171">
        <f t="shared" si="29"/>
        <v>5.3919238556299298</v>
      </c>
      <c r="R16" s="171">
        <f t="shared" si="29"/>
        <v>5.2348775297377959</v>
      </c>
      <c r="S16" s="171">
        <f t="shared" si="29"/>
        <v>5.0824053686774731</v>
      </c>
      <c r="T16" s="171">
        <f t="shared" si="29"/>
        <v>5.0069384699992181</v>
      </c>
      <c r="U16" s="171">
        <f t="shared" si="29"/>
        <v>4.931556112282899</v>
      </c>
      <c r="V16" s="171">
        <f t="shared" si="29"/>
        <v>4.7879185556144606</v>
      </c>
      <c r="W16" s="171">
        <f t="shared" si="29"/>
        <v>4.7148712544885827</v>
      </c>
      <c r="X16" s="171">
        <f t="shared" si="29"/>
        <v>4.6420173707531491</v>
      </c>
      <c r="Y16" s="171">
        <f t="shared" si="29"/>
        <v>4.5694076060542086</v>
      </c>
      <c r="Z16" s="171">
        <f t="shared" si="29"/>
        <v>4.4970895444608496</v>
      </c>
      <c r="AA16" s="171">
        <f t="shared" si="29"/>
        <v>4.4251077910596166</v>
      </c>
      <c r="AB16" s="171">
        <f t="shared" si="29"/>
        <v>4.3535041051201429</v>
      </c>
      <c r="AC16" s="171">
        <f t="shared" si="29"/>
        <v>4.2823175280307977</v>
      </c>
      <c r="AD16" s="171">
        <f t="shared" si="29"/>
        <v>4.2115845061959654</v>
      </c>
      <c r="AE16" s="171">
        <f t="shared" si="29"/>
        <v>4.1413390090799265</v>
      </c>
      <c r="AF16" s="171">
        <f t="shared" si="29"/>
        <v>4.0716126425758148</v>
      </c>
      <c r="AG16" s="171">
        <f t="shared" si="29"/>
        <v>4.0024347578718578</v>
      </c>
      <c r="AH16" s="171">
        <f t="shared" si="29"/>
        <v>3.9338325559809695</v>
      </c>
      <c r="AI16" s="171">
        <f t="shared" si="29"/>
        <v>3.8658311880940115</v>
      </c>
      <c r="AJ16" s="171">
        <f t="shared" si="29"/>
        <v>3.7984538519113054</v>
      </c>
      <c r="AK16" s="171">
        <f t="shared" si="29"/>
        <v>3.7317218841014874</v>
      </c>
    </row>
    <row r="17" spans="1:37" x14ac:dyDescent="0.2">
      <c r="A17" s="119"/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</row>
    <row r="18" spans="1:37" ht="13.5" thickBot="1" x14ac:dyDescent="0.25">
      <c r="A18" s="119" t="s">
        <v>131</v>
      </c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</row>
    <row r="19" spans="1:37" ht="13.5" thickBot="1" x14ac:dyDescent="0.25">
      <c r="A19" s="157" t="s">
        <v>71</v>
      </c>
      <c r="B19" s="146">
        <f t="shared" ref="B19:AK19" si="30">B2</f>
        <v>2015</v>
      </c>
      <c r="C19" s="146">
        <f t="shared" si="30"/>
        <v>2016</v>
      </c>
      <c r="D19" s="146">
        <f t="shared" si="30"/>
        <v>2017</v>
      </c>
      <c r="E19" s="146">
        <f t="shared" si="30"/>
        <v>2018</v>
      </c>
      <c r="F19" s="146">
        <f t="shared" si="30"/>
        <v>2019</v>
      </c>
      <c r="G19" s="146">
        <f t="shared" si="30"/>
        <v>2020</v>
      </c>
      <c r="H19" s="146">
        <f t="shared" si="30"/>
        <v>2021</v>
      </c>
      <c r="I19" s="146">
        <f t="shared" si="30"/>
        <v>2022</v>
      </c>
      <c r="J19" s="146">
        <f t="shared" si="30"/>
        <v>2023</v>
      </c>
      <c r="K19" s="146">
        <f t="shared" si="30"/>
        <v>2024</v>
      </c>
      <c r="L19" s="146">
        <f t="shared" si="30"/>
        <v>2025</v>
      </c>
      <c r="M19" s="146">
        <f t="shared" si="30"/>
        <v>2026</v>
      </c>
      <c r="N19" s="146">
        <f t="shared" si="30"/>
        <v>2027</v>
      </c>
      <c r="O19" s="146">
        <f t="shared" si="30"/>
        <v>2028</v>
      </c>
      <c r="P19" s="146">
        <f t="shared" si="30"/>
        <v>2029</v>
      </c>
      <c r="Q19" s="146">
        <f t="shared" si="30"/>
        <v>2030</v>
      </c>
      <c r="R19" s="146">
        <f t="shared" si="30"/>
        <v>2031</v>
      </c>
      <c r="S19" s="146">
        <f t="shared" si="30"/>
        <v>2032</v>
      </c>
      <c r="T19" s="146">
        <f t="shared" si="30"/>
        <v>2033</v>
      </c>
      <c r="U19" s="146">
        <f t="shared" si="30"/>
        <v>2034</v>
      </c>
      <c r="V19" s="146">
        <f t="shared" si="30"/>
        <v>2035</v>
      </c>
      <c r="W19" s="146">
        <f t="shared" si="30"/>
        <v>2036</v>
      </c>
      <c r="X19" s="146">
        <f t="shared" si="30"/>
        <v>2037</v>
      </c>
      <c r="Y19" s="146">
        <f t="shared" si="30"/>
        <v>2038</v>
      </c>
      <c r="Z19" s="146">
        <f t="shared" si="30"/>
        <v>2039</v>
      </c>
      <c r="AA19" s="146">
        <f t="shared" si="30"/>
        <v>2040</v>
      </c>
      <c r="AB19" s="146">
        <f t="shared" si="30"/>
        <v>2041</v>
      </c>
      <c r="AC19" s="146">
        <f t="shared" si="30"/>
        <v>2042</v>
      </c>
      <c r="AD19" s="146">
        <f t="shared" si="30"/>
        <v>2043</v>
      </c>
      <c r="AE19" s="146">
        <f t="shared" si="30"/>
        <v>2044</v>
      </c>
      <c r="AF19" s="146">
        <f t="shared" si="30"/>
        <v>2045</v>
      </c>
      <c r="AG19" s="146">
        <f t="shared" si="30"/>
        <v>2046</v>
      </c>
      <c r="AH19" s="146">
        <f t="shared" si="30"/>
        <v>2047</v>
      </c>
      <c r="AI19" s="146">
        <f t="shared" si="30"/>
        <v>2048</v>
      </c>
      <c r="AJ19" s="146">
        <f t="shared" si="30"/>
        <v>2049</v>
      </c>
      <c r="AK19" s="146">
        <f t="shared" si="30"/>
        <v>2050</v>
      </c>
    </row>
    <row r="20" spans="1:37" x14ac:dyDescent="0.2">
      <c r="A20" s="119" t="s">
        <v>83</v>
      </c>
      <c r="B20" s="172">
        <f>monthly_data!$K3*0.8/1000</f>
        <v>422.04880000000003</v>
      </c>
      <c r="C20" s="172">
        <f>monthly_data!$K15*0.8/1000</f>
        <v>406.93040000000002</v>
      </c>
      <c r="D20" s="172">
        <f>monthly_data!$K27*0.8/1000</f>
        <v>434.55599999999998</v>
      </c>
      <c r="E20" s="172">
        <f>monthly_data!$K39*0.8/1000</f>
        <v>545.20720000000006</v>
      </c>
      <c r="F20" s="172">
        <f>monthly_data!$K51*0.8/1000</f>
        <v>480.08960000000002</v>
      </c>
      <c r="G20" s="172">
        <f>monthly_data!$K63*0.8/1000</f>
        <v>466.75440000000003</v>
      </c>
      <c r="H20" s="172">
        <f>monthly_data!$K75*0.8/1000</f>
        <v>317.572</v>
      </c>
      <c r="I20" s="172">
        <f>monthly_data!$K87*0.8/1000</f>
        <v>377.10560000000004</v>
      </c>
      <c r="J20" s="172">
        <f>monthly_data!$K99*0.8/1000</f>
        <v>330.61920000000003</v>
      </c>
      <c r="K20" s="172">
        <f>monthly_data!$K111*0.8/1000</f>
        <v>431.48320000000001</v>
      </c>
      <c r="L20" s="172">
        <f>monthly_data!$K123*0.8/1000</f>
        <v>443.56560000000002</v>
      </c>
      <c r="M20" s="148">
        <f>M$32*(SUM(H20:L20)/SUM(H$32:L$32))</f>
        <v>486.03399163900758</v>
      </c>
      <c r="N20" s="148">
        <f t="shared" ref="N20:V20" si="31">N$32*(SUM(I20:M20)/SUM(I$32:M$32))</f>
        <v>454.33076873784319</v>
      </c>
      <c r="O20" s="148">
        <f t="shared" si="31"/>
        <v>474.17281691420499</v>
      </c>
      <c r="P20" s="148">
        <f t="shared" si="31"/>
        <v>503.02472409970454</v>
      </c>
      <c r="Q20" s="148">
        <f t="shared" si="31"/>
        <v>536.61997758880909</v>
      </c>
      <c r="R20" s="148">
        <f t="shared" si="31"/>
        <v>562.23084936622854</v>
      </c>
      <c r="S20" s="148">
        <f t="shared" si="31"/>
        <v>588.04585571354983</v>
      </c>
      <c r="T20" s="148">
        <f t="shared" si="31"/>
        <v>632.6110029480177</v>
      </c>
      <c r="U20" s="148">
        <f t="shared" si="31"/>
        <v>669.90484407823806</v>
      </c>
      <c r="V20" s="148">
        <f t="shared" si="31"/>
        <v>713.88955933011175</v>
      </c>
      <c r="W20" s="148">
        <f t="shared" ref="W20:W30" si="32">W$32*(SUM(R20:V20)/SUM(R$32:V$32))</f>
        <v>758.21966048471097</v>
      </c>
      <c r="X20" s="148">
        <f t="shared" ref="X20:AK30" si="33">X$32*(SUM(S20:W20)/SUM(S$32:W$32))</f>
        <v>811.67918820284126</v>
      </c>
      <c r="Y20" s="148">
        <f t="shared" si="33"/>
        <v>865.35202173945322</v>
      </c>
      <c r="Z20" s="148">
        <f t="shared" si="33"/>
        <v>919.06930655383542</v>
      </c>
      <c r="AA20" s="148">
        <f t="shared" si="33"/>
        <v>981.36638375922098</v>
      </c>
      <c r="AB20" s="148">
        <f t="shared" si="33"/>
        <v>1043.7763942522372</v>
      </c>
      <c r="AC20" s="148">
        <f t="shared" si="33"/>
        <v>1115.16488767075</v>
      </c>
      <c r="AD20" s="148">
        <f t="shared" si="33"/>
        <v>1186.5741960122123</v>
      </c>
      <c r="AE20" s="148">
        <f t="shared" si="33"/>
        <v>1266.8793637606329</v>
      </c>
      <c r="AF20" s="148">
        <f t="shared" si="33"/>
        <v>1347.1418581239445</v>
      </c>
      <c r="AG20" s="148">
        <f t="shared" si="33"/>
        <v>1436.3554022020719</v>
      </c>
      <c r="AH20" s="148">
        <f t="shared" si="33"/>
        <v>1525.578351163769</v>
      </c>
      <c r="AI20" s="148">
        <f t="shared" si="33"/>
        <v>1623.7207244984154</v>
      </c>
      <c r="AJ20" s="148">
        <f t="shared" si="33"/>
        <v>1721.8555267057309</v>
      </c>
      <c r="AK20" s="148">
        <f t="shared" si="33"/>
        <v>1828.9086618324664</v>
      </c>
    </row>
    <row r="21" spans="1:37" x14ac:dyDescent="0.2">
      <c r="A21" s="119" t="s">
        <v>84</v>
      </c>
      <c r="B21" s="172">
        <f>monthly_data!K4*0.8/1000</f>
        <v>358.42960000000005</v>
      </c>
      <c r="C21" s="172">
        <f>monthly_data!$K16*0.8/1000</f>
        <v>365.68080000000003</v>
      </c>
      <c r="D21" s="172">
        <f>monthly_data!$K28*0.8/1000</f>
        <v>392.45120000000003</v>
      </c>
      <c r="E21" s="172">
        <f>monthly_data!$K40*0.8/1000</f>
        <v>421.73520000000002</v>
      </c>
      <c r="F21" s="172">
        <f>monthly_data!$K52*0.8/1000</f>
        <v>413.17360000000002</v>
      </c>
      <c r="G21" s="172">
        <f>monthly_data!$K64*0.8/1000</f>
        <v>411.35760000000005</v>
      </c>
      <c r="H21" s="172">
        <f>monthly_data!$K76*0.8/1000</f>
        <v>260.46559999999999</v>
      </c>
      <c r="I21" s="172">
        <f>monthly_data!$K88*0.8/1000</f>
        <v>337.18799999999999</v>
      </c>
      <c r="J21" s="172">
        <f>monthly_data!$K100*0.8/1000</f>
        <v>353.03760000000005</v>
      </c>
      <c r="K21" s="172">
        <f>monthly_data!$K112*0.8/1000</f>
        <v>398.78640000000001</v>
      </c>
      <c r="L21" s="172">
        <f>monthly_data!$K124*0.8/1000</f>
        <v>385.11760000000004</v>
      </c>
      <c r="M21" s="148">
        <f>M$32*(SUM(H21:L21)/SUM(H$32:L$32))</f>
        <v>443.64152969536838</v>
      </c>
      <c r="N21" s="148">
        <f t="shared" ref="N21:V21" si="34">N$32*(SUM(I21:M21)/SUM(I$32:M$32))</f>
        <v>421.16165618256053</v>
      </c>
      <c r="O21" s="148">
        <f t="shared" si="34"/>
        <v>442.29192647384446</v>
      </c>
      <c r="P21" s="148">
        <f t="shared" si="34"/>
        <v>459.39487674099149</v>
      </c>
      <c r="Q21" s="148">
        <f t="shared" si="34"/>
        <v>489.00172479381018</v>
      </c>
      <c r="R21" s="148">
        <f t="shared" si="34"/>
        <v>516.71264718128816</v>
      </c>
      <c r="S21" s="148">
        <f t="shared" si="34"/>
        <v>541.14488334712905</v>
      </c>
      <c r="T21" s="148">
        <f t="shared" si="34"/>
        <v>581.42732493689471</v>
      </c>
      <c r="U21" s="148">
        <f t="shared" si="34"/>
        <v>614.16490276901436</v>
      </c>
      <c r="V21" s="148">
        <f t="shared" si="34"/>
        <v>654.91378699179393</v>
      </c>
      <c r="W21" s="148">
        <f t="shared" si="32"/>
        <v>696.36873618090215</v>
      </c>
      <c r="X21" s="148">
        <f t="shared" si="33"/>
        <v>745.38404964069446</v>
      </c>
      <c r="Y21" s="148">
        <f t="shared" si="33"/>
        <v>794.40075534918412</v>
      </c>
      <c r="Z21" s="148">
        <f t="shared" si="33"/>
        <v>843.5488780045647</v>
      </c>
      <c r="AA21" s="148">
        <f t="shared" si="33"/>
        <v>900.89426025961689</v>
      </c>
      <c r="AB21" s="148">
        <f t="shared" si="33"/>
        <v>958.29179319730576</v>
      </c>
      <c r="AC21" s="148">
        <f t="shared" si="33"/>
        <v>1023.7740676764879</v>
      </c>
      <c r="AD21" s="148">
        <f t="shared" si="33"/>
        <v>1089.2771691065075</v>
      </c>
      <c r="AE21" s="148">
        <f t="shared" si="33"/>
        <v>1162.9959794059805</v>
      </c>
      <c r="AF21" s="148">
        <f t="shared" si="33"/>
        <v>1236.7148703612929</v>
      </c>
      <c r="AG21" s="148">
        <f t="shared" si="33"/>
        <v>1318.6222674241908</v>
      </c>
      <c r="AH21" s="148">
        <f t="shared" si="33"/>
        <v>1400.5150625416188</v>
      </c>
      <c r="AI21" s="148">
        <f t="shared" si="33"/>
        <v>1490.6052948401127</v>
      </c>
      <c r="AJ21" s="148">
        <f t="shared" si="33"/>
        <v>1580.6995298545562</v>
      </c>
      <c r="AK21" s="148">
        <f t="shared" si="33"/>
        <v>1678.9827390786284</v>
      </c>
    </row>
    <row r="22" spans="1:37" x14ac:dyDescent="0.2">
      <c r="A22" s="119" t="s">
        <v>85</v>
      </c>
      <c r="B22" s="172">
        <f>monthly_data!K5*0.8/1000</f>
        <v>362.69680000000005</v>
      </c>
      <c r="C22" s="172">
        <f>monthly_data!$K17*0.8/1000</f>
        <v>372.1472</v>
      </c>
      <c r="D22" s="172">
        <f>monthly_data!$K29*0.8/1000</f>
        <v>404.72240000000005</v>
      </c>
      <c r="E22" s="172">
        <f>monthly_data!$K41*0.8/1000</f>
        <v>410.94560000000001</v>
      </c>
      <c r="F22" s="172">
        <f>monthly_data!$K53*0.8/1000</f>
        <v>395.21280000000007</v>
      </c>
      <c r="G22" s="172">
        <f>monthly_data!$K65*0.8/1000</f>
        <v>370.66080000000005</v>
      </c>
      <c r="H22" s="172">
        <f>monthly_data!$K77*0.8/1000</f>
        <v>197.40240000000003</v>
      </c>
      <c r="I22" s="172">
        <f>monthly_data!$K89*0.8/1000</f>
        <v>316.2792</v>
      </c>
      <c r="J22" s="172">
        <f>monthly_data!$K101*0.8/1000</f>
        <v>365.63120000000004</v>
      </c>
      <c r="K22" s="172">
        <f>monthly_data!$K113*0.8/1000</f>
        <v>407.40719999999999</v>
      </c>
      <c r="L22" s="148">
        <f>L$32*(SUM(G22:K22)/SUM(G$32:K$32))</f>
        <v>431.31712391614735</v>
      </c>
      <c r="M22" s="148">
        <f>M$32*(SUM(H22:L22)/SUM(H$32:L$32))</f>
        <v>439.40662220648983</v>
      </c>
      <c r="N22" s="148">
        <f t="shared" ref="N22:V30" si="35">N$32*(SUM(I22:M22)/SUM(I$32:M$32))</f>
        <v>430.44461705419053</v>
      </c>
      <c r="O22" s="148">
        <f t="shared" si="35"/>
        <v>458.30263261467638</v>
      </c>
      <c r="P22" s="148">
        <f t="shared" si="35"/>
        <v>476.06559744005898</v>
      </c>
      <c r="Q22" s="148">
        <f t="shared" si="35"/>
        <v>508.07649846171887</v>
      </c>
      <c r="R22" s="148">
        <f t="shared" si="35"/>
        <v>529.72598534530721</v>
      </c>
      <c r="S22" s="148">
        <f t="shared" si="35"/>
        <v>558.35426704384793</v>
      </c>
      <c r="T22" s="148">
        <f t="shared" si="35"/>
        <v>600.89389178695069</v>
      </c>
      <c r="U22" s="148">
        <f t="shared" si="35"/>
        <v>634.4421455881054</v>
      </c>
      <c r="V22" s="148">
        <f t="shared" si="35"/>
        <v>676.17738226290862</v>
      </c>
      <c r="W22" s="148">
        <f t="shared" si="32"/>
        <v>718.21256935860617</v>
      </c>
      <c r="X22" s="148">
        <f t="shared" si="33"/>
        <v>769.53661352699771</v>
      </c>
      <c r="Y22" s="148">
        <f t="shared" si="33"/>
        <v>820.22008070842332</v>
      </c>
      <c r="Z22" s="148">
        <f t="shared" si="33"/>
        <v>870.82861102532536</v>
      </c>
      <c r="AA22" s="148">
        <f t="shared" si="33"/>
        <v>929.92824179177342</v>
      </c>
      <c r="AB22" s="148">
        <f t="shared" si="33"/>
        <v>989.13776876564145</v>
      </c>
      <c r="AC22" s="148">
        <f t="shared" si="33"/>
        <v>1056.8656650140351</v>
      </c>
      <c r="AD22" s="148">
        <f t="shared" si="33"/>
        <v>1124.4717189340424</v>
      </c>
      <c r="AE22" s="148">
        <f t="shared" si="33"/>
        <v>1200.5356203832926</v>
      </c>
      <c r="AF22" s="148">
        <f t="shared" si="33"/>
        <v>1276.6216766319085</v>
      </c>
      <c r="AG22" s="148">
        <f t="shared" si="33"/>
        <v>1361.1808748598144</v>
      </c>
      <c r="AH22" s="148">
        <f t="shared" si="33"/>
        <v>1445.7366854575123</v>
      </c>
      <c r="AI22" s="148">
        <f t="shared" si="33"/>
        <v>1538.7275420587277</v>
      </c>
      <c r="AJ22" s="148">
        <f t="shared" si="33"/>
        <v>1631.7234982435095</v>
      </c>
      <c r="AK22" s="148">
        <f t="shared" si="33"/>
        <v>1733.179495147496</v>
      </c>
    </row>
    <row r="23" spans="1:37" x14ac:dyDescent="0.2">
      <c r="A23" s="119" t="s">
        <v>86</v>
      </c>
      <c r="B23" s="172">
        <f>monthly_data!K6*0.8/1000</f>
        <v>358.7552</v>
      </c>
      <c r="C23" s="172">
        <f>monthly_data!$K18*0.8/1000</f>
        <v>343.13920000000002</v>
      </c>
      <c r="D23" s="172">
        <f>monthly_data!$K30*0.8/1000</f>
        <v>397.28320000000002</v>
      </c>
      <c r="E23" s="172">
        <f>monthly_data!$K42*0.8/1000</f>
        <v>455.48320000000001</v>
      </c>
      <c r="F23" s="172">
        <f>monthly_data!$K54*0.8/1000</f>
        <v>374.43280000000004</v>
      </c>
      <c r="G23" s="172">
        <f>monthly_data!$K66*0.8/1000</f>
        <v>60.989600000000003</v>
      </c>
      <c r="H23" s="172">
        <f>monthly_data!$K78*0.8/1000</f>
        <v>133.89359999999999</v>
      </c>
      <c r="I23" s="172">
        <f>monthly_data!$K90*0.8/1000</f>
        <v>351.01280000000003</v>
      </c>
      <c r="J23" s="172">
        <f>monthly_data!$K102*0.8/1000</f>
        <v>394.40080000000006</v>
      </c>
      <c r="K23" s="172">
        <f>monthly_data!$K114*0.8/1000</f>
        <v>336.4504</v>
      </c>
      <c r="L23" s="148">
        <f>L$32*(SUM(G23:K23)/SUM(G$32:K$32))</f>
        <v>332.26095672883037</v>
      </c>
      <c r="M23" s="148">
        <f>M$32*(SUM(H23:L23)/SUM(H$32:L$32))</f>
        <v>395.9225302272223</v>
      </c>
      <c r="N23" s="148">
        <f t="shared" si="35"/>
        <v>397.50447046128244</v>
      </c>
      <c r="O23" s="148">
        <f t="shared" si="35"/>
        <v>410.20827744936906</v>
      </c>
      <c r="P23" s="148">
        <f t="shared" si="35"/>
        <v>411.35667942660291</v>
      </c>
      <c r="Q23" s="148">
        <f t="shared" si="35"/>
        <v>442.55748052120617</v>
      </c>
      <c r="R23" s="148">
        <f t="shared" si="35"/>
        <v>471.36587127053832</v>
      </c>
      <c r="S23" s="148">
        <f t="shared" si="35"/>
        <v>495.69550500885185</v>
      </c>
      <c r="T23" s="148">
        <f t="shared" si="35"/>
        <v>529.81287883289747</v>
      </c>
      <c r="U23" s="148">
        <f t="shared" si="35"/>
        <v>557.94028838451663</v>
      </c>
      <c r="V23" s="148">
        <f t="shared" si="35"/>
        <v>596.38734901922646</v>
      </c>
      <c r="W23" s="148">
        <f t="shared" si="32"/>
        <v>634.7948193348243</v>
      </c>
      <c r="X23" s="148">
        <f t="shared" si="33"/>
        <v>679.39365117455907</v>
      </c>
      <c r="Y23" s="148">
        <f t="shared" si="33"/>
        <v>723.47739232428933</v>
      </c>
      <c r="Z23" s="148">
        <f t="shared" si="33"/>
        <v>768.16666010386416</v>
      </c>
      <c r="AA23" s="148">
        <f t="shared" si="33"/>
        <v>820.71093402465783</v>
      </c>
      <c r="AB23" s="148">
        <f t="shared" si="33"/>
        <v>873.05675815756547</v>
      </c>
      <c r="AC23" s="148">
        <f t="shared" si="33"/>
        <v>932.62678469713705</v>
      </c>
      <c r="AD23" s="148">
        <f t="shared" si="33"/>
        <v>992.20855869184663</v>
      </c>
      <c r="AE23" s="148">
        <f t="shared" si="33"/>
        <v>1059.3899605201702</v>
      </c>
      <c r="AF23" s="148">
        <f t="shared" si="33"/>
        <v>1126.5979942739998</v>
      </c>
      <c r="AG23" s="148">
        <f t="shared" si="33"/>
        <v>1201.2046243575683</v>
      </c>
      <c r="AH23" s="148">
        <f t="shared" si="33"/>
        <v>1275.7819870146957</v>
      </c>
      <c r="AI23" s="148">
        <f t="shared" si="33"/>
        <v>1357.8408030662363</v>
      </c>
      <c r="AJ23" s="148">
        <f t="shared" si="33"/>
        <v>1439.9223869416423</v>
      </c>
      <c r="AK23" s="148">
        <f t="shared" si="33"/>
        <v>1529.4595549057101</v>
      </c>
    </row>
    <row r="24" spans="1:37" x14ac:dyDescent="0.2">
      <c r="A24" s="119" t="s">
        <v>87</v>
      </c>
      <c r="B24" s="172">
        <f>monthly_data!K7*0.8/1000</f>
        <v>379.2</v>
      </c>
      <c r="C24" s="172">
        <f>monthly_data!$K19*0.8/1000</f>
        <v>309.72000000000003</v>
      </c>
      <c r="D24" s="172">
        <f>monthly_data!$K31*0.8/1000</f>
        <v>361.03280000000007</v>
      </c>
      <c r="E24" s="172">
        <f>monthly_data!$K43*0.8/1000</f>
        <v>442.40560000000005</v>
      </c>
      <c r="F24" s="172">
        <f>monthly_data!$K55*0.8/1000</f>
        <v>451.93200000000002</v>
      </c>
      <c r="G24" s="172">
        <f>monthly_data!$K67*0.8/1000</f>
        <v>30.276</v>
      </c>
      <c r="H24" s="172">
        <f>monthly_data!$K79*0.8/1000</f>
        <v>157.2672</v>
      </c>
      <c r="I24" s="172">
        <f>monthly_data!$K91*0.8/1000</f>
        <v>336.27120000000002</v>
      </c>
      <c r="J24" s="172">
        <f>monthly_data!$K103*0.8/1000</f>
        <v>342.10080000000005</v>
      </c>
      <c r="K24" s="172">
        <f>monthly_data!$K115*0.8/1000</f>
        <v>363.86880000000002</v>
      </c>
      <c r="L24" s="148">
        <f>L$32*(SUM(G24:K24)/SUM(G$32:K$32))</f>
        <v>320.03924379846529</v>
      </c>
      <c r="M24" s="148">
        <f>M$32*(SUM(H24:L24)/SUM(H$32:L$32))</f>
        <v>388.6406832459424</v>
      </c>
      <c r="N24" s="148">
        <f t="shared" si="35"/>
        <v>384.51964461657769</v>
      </c>
      <c r="O24" s="148">
        <f t="shared" si="35"/>
        <v>397.53219521302935</v>
      </c>
      <c r="P24" s="148">
        <f t="shared" si="35"/>
        <v>407.45784815977879</v>
      </c>
      <c r="Q24" s="148">
        <f t="shared" si="35"/>
        <v>431.40673068949854</v>
      </c>
      <c r="R24" s="148">
        <f t="shared" si="35"/>
        <v>460.37126335005127</v>
      </c>
      <c r="S24" s="148">
        <f t="shared" si="35"/>
        <v>483.67953173911883</v>
      </c>
      <c r="T24" s="148">
        <f t="shared" si="35"/>
        <v>517.76514183864492</v>
      </c>
      <c r="U24" s="148">
        <f t="shared" si="35"/>
        <v>546.04759076987955</v>
      </c>
      <c r="V24" s="148">
        <f t="shared" si="35"/>
        <v>582.51230051037453</v>
      </c>
      <c r="W24" s="148">
        <f t="shared" si="32"/>
        <v>620.23083210615755</v>
      </c>
      <c r="X24" s="148">
        <f t="shared" si="33"/>
        <v>663.84992340514577</v>
      </c>
      <c r="Y24" s="148">
        <f t="shared" si="33"/>
        <v>707.08796392320801</v>
      </c>
      <c r="Z24" s="148">
        <f t="shared" si="33"/>
        <v>750.77581052247865</v>
      </c>
      <c r="AA24" s="148">
        <f t="shared" si="33"/>
        <v>801.95230559519746</v>
      </c>
      <c r="AB24" s="148">
        <f t="shared" si="33"/>
        <v>853.16034929960063</v>
      </c>
      <c r="AC24" s="148">
        <f t="shared" si="33"/>
        <v>911.39632064325053</v>
      </c>
      <c r="AD24" s="148">
        <f t="shared" si="33"/>
        <v>969.64053577506661</v>
      </c>
      <c r="AE24" s="148">
        <f t="shared" si="33"/>
        <v>1035.2778838446502</v>
      </c>
      <c r="AF24" s="148">
        <f t="shared" si="33"/>
        <v>1100.9338702852035</v>
      </c>
      <c r="AG24" s="148">
        <f t="shared" si="33"/>
        <v>1173.8560516998371</v>
      </c>
      <c r="AH24" s="148">
        <f t="shared" si="33"/>
        <v>1246.7400242196761</v>
      </c>
      <c r="AI24" s="148">
        <f t="shared" si="33"/>
        <v>1326.9308741161567</v>
      </c>
      <c r="AJ24" s="148">
        <f t="shared" si="33"/>
        <v>1407.1394918264511</v>
      </c>
      <c r="AK24" s="148">
        <f t="shared" si="33"/>
        <v>1494.6364382170182</v>
      </c>
    </row>
    <row r="25" spans="1:37" x14ac:dyDescent="0.2">
      <c r="A25" s="119" t="s">
        <v>88</v>
      </c>
      <c r="B25" s="172">
        <f>monthly_data!K8*0.8/1000</f>
        <v>382.30080000000004</v>
      </c>
      <c r="C25" s="172">
        <f>monthly_data!$K20*0.8/1000</f>
        <v>409.11200000000002</v>
      </c>
      <c r="D25" s="172">
        <f>monthly_data!$K32*0.8/1000</f>
        <v>399.86240000000004</v>
      </c>
      <c r="E25" s="172">
        <f>monthly_data!$K44*0.8/1000</f>
        <v>427.08160000000004</v>
      </c>
      <c r="F25" s="172">
        <f>monthly_data!$K56*0.8/1000</f>
        <v>389.00160000000005</v>
      </c>
      <c r="G25" s="172">
        <f>monthly_data!$K68*0.8/1000</f>
        <v>102.06960000000001</v>
      </c>
      <c r="H25" s="172">
        <f>monthly_data!$K80*0.8/1000</f>
        <v>238.39840000000001</v>
      </c>
      <c r="I25" s="172">
        <f>monthly_data!$K92*0.8/1000</f>
        <v>327.31920000000002</v>
      </c>
      <c r="J25" s="172">
        <f>monthly_data!$K104*0.8/1000</f>
        <v>316.89680000000004</v>
      </c>
      <c r="K25" s="172">
        <f>monthly_data!$K116*0.8/1000</f>
        <v>393.3184</v>
      </c>
      <c r="L25" s="148">
        <f t="shared" ref="L25:M30" si="36">L$32*(SUM(G25:K25)/SUM(G$32:K$32))</f>
        <v>358.61163102501757</v>
      </c>
      <c r="M25" s="148">
        <f t="shared" si="36"/>
        <v>418.05246073261611</v>
      </c>
      <c r="N25" s="148">
        <f t="shared" si="35"/>
        <v>398.41607249240349</v>
      </c>
      <c r="O25" s="148">
        <f t="shared" si="35"/>
        <v>416.56205351904816</v>
      </c>
      <c r="P25" s="148">
        <f t="shared" si="35"/>
        <v>436.0980992049046</v>
      </c>
      <c r="Q25" s="148">
        <f t="shared" si="35"/>
        <v>460.85007203954331</v>
      </c>
      <c r="R25" s="148">
        <f t="shared" si="35"/>
        <v>487.95877001191462</v>
      </c>
      <c r="S25" s="148">
        <f t="shared" si="35"/>
        <v>511.24089591435114</v>
      </c>
      <c r="T25" s="148">
        <f t="shared" si="35"/>
        <v>549.17191384271939</v>
      </c>
      <c r="U25" s="148">
        <f t="shared" si="35"/>
        <v>580.37652318356788</v>
      </c>
      <c r="V25" s="148">
        <f t="shared" si="35"/>
        <v>618.41150447572443</v>
      </c>
      <c r="W25" s="148">
        <f t="shared" si="32"/>
        <v>657.77061022930582</v>
      </c>
      <c r="X25" s="148">
        <f t="shared" si="33"/>
        <v>704.0965563282648</v>
      </c>
      <c r="Y25" s="148">
        <f t="shared" si="33"/>
        <v>750.38116786512307</v>
      </c>
      <c r="Z25" s="148">
        <f t="shared" si="33"/>
        <v>796.81482545430981</v>
      </c>
      <c r="AA25" s="148">
        <f t="shared" si="33"/>
        <v>850.92590587456152</v>
      </c>
      <c r="AB25" s="148">
        <f t="shared" si="33"/>
        <v>905.18255286611748</v>
      </c>
      <c r="AC25" s="148">
        <f t="shared" si="33"/>
        <v>967.03692287364311</v>
      </c>
      <c r="AD25" s="148">
        <f t="shared" si="33"/>
        <v>1028.9047153372996</v>
      </c>
      <c r="AE25" s="148">
        <f t="shared" si="33"/>
        <v>1098.5354064313647</v>
      </c>
      <c r="AF25" s="148">
        <f t="shared" si="33"/>
        <v>1168.1633349455039</v>
      </c>
      <c r="AG25" s="148">
        <f t="shared" si="33"/>
        <v>1245.538161863896</v>
      </c>
      <c r="AH25" s="148">
        <f t="shared" si="33"/>
        <v>1322.891194646407</v>
      </c>
      <c r="AI25" s="148">
        <f t="shared" si="33"/>
        <v>1407.9867704575906</v>
      </c>
      <c r="AJ25" s="148">
        <f t="shared" si="33"/>
        <v>1493.086951165476</v>
      </c>
      <c r="AK25" s="148">
        <f t="shared" si="33"/>
        <v>1585.9226278335304</v>
      </c>
    </row>
    <row r="26" spans="1:37" x14ac:dyDescent="0.2">
      <c r="A26" s="119" t="s">
        <v>89</v>
      </c>
      <c r="B26" s="172">
        <f>monthly_data!K9*0.8/1000</f>
        <v>423.87280000000004</v>
      </c>
      <c r="C26" s="172">
        <f>monthly_data!$K21*0.8/1000</f>
        <v>438.524</v>
      </c>
      <c r="D26" s="172">
        <f>monthly_data!$K33*0.8/1000</f>
        <v>404.34719999999999</v>
      </c>
      <c r="E26" s="172">
        <f>monthly_data!$K45*0.8/1000</f>
        <v>445.11920000000003</v>
      </c>
      <c r="F26" s="172">
        <f>monthly_data!$K57*0.8/1000</f>
        <v>426.22</v>
      </c>
      <c r="G26" s="172">
        <f>monthly_data!$K69*0.8/1000</f>
        <v>154.88480000000001</v>
      </c>
      <c r="H26" s="172">
        <f>monthly_data!$K81*0.8/1000</f>
        <v>283.65760000000006</v>
      </c>
      <c r="I26" s="172">
        <f>monthly_data!$K93*0.8/1000</f>
        <v>337.916</v>
      </c>
      <c r="J26" s="172">
        <f>monthly_data!$K105*0.8/1000</f>
        <v>350.71600000000001</v>
      </c>
      <c r="K26" s="172">
        <f>monthly_data!$K117*0.8/1000</f>
        <v>418.26799999999997</v>
      </c>
      <c r="L26" s="148">
        <f t="shared" si="36"/>
        <v>402.18625143121488</v>
      </c>
      <c r="M26" s="148">
        <f t="shared" si="36"/>
        <v>458.51367777387514</v>
      </c>
      <c r="N26" s="148">
        <f t="shared" si="35"/>
        <v>432.10455724210289</v>
      </c>
      <c r="O26" s="148">
        <f t="shared" si="35"/>
        <v>455.55877456794417</v>
      </c>
      <c r="P26" s="148">
        <f t="shared" si="35"/>
        <v>476.01134558960052</v>
      </c>
      <c r="Q26" s="148">
        <f t="shared" si="35"/>
        <v>505.53968331925859</v>
      </c>
      <c r="R26" s="148">
        <f t="shared" si="35"/>
        <v>533.26133245470987</v>
      </c>
      <c r="S26" s="148">
        <f t="shared" si="35"/>
        <v>558.32181601922059</v>
      </c>
      <c r="T26" s="148">
        <f t="shared" si="35"/>
        <v>600.45886150000706</v>
      </c>
      <c r="U26" s="148">
        <f t="shared" si="35"/>
        <v>634.55530986142321</v>
      </c>
      <c r="V26" s="148">
        <f t="shared" si="35"/>
        <v>676.33122463393886</v>
      </c>
      <c r="W26" s="148">
        <f t="shared" si="32"/>
        <v>719.01105994335342</v>
      </c>
      <c r="X26" s="148">
        <f t="shared" si="33"/>
        <v>769.68096219674487</v>
      </c>
      <c r="Y26" s="148">
        <f t="shared" si="33"/>
        <v>820.40703870432924</v>
      </c>
      <c r="Z26" s="148">
        <f t="shared" si="33"/>
        <v>871.16475775700542</v>
      </c>
      <c r="AA26" s="148">
        <f t="shared" si="33"/>
        <v>930.31897972783088</v>
      </c>
      <c r="AB26" s="148">
        <f t="shared" si="33"/>
        <v>989.58474774593378</v>
      </c>
      <c r="AC26" s="148">
        <f t="shared" si="33"/>
        <v>1057.2288817885724</v>
      </c>
      <c r="AD26" s="148">
        <f t="shared" si="33"/>
        <v>1124.8871122486382</v>
      </c>
      <c r="AE26" s="148">
        <f t="shared" si="33"/>
        <v>1201.0071361497505</v>
      </c>
      <c r="AF26" s="148">
        <f t="shared" si="33"/>
        <v>1277.1244904414189</v>
      </c>
      <c r="AG26" s="148">
        <f t="shared" si="33"/>
        <v>1361.7110947728511</v>
      </c>
      <c r="AH26" s="148">
        <f t="shared" si="33"/>
        <v>1446.285028558442</v>
      </c>
      <c r="AI26" s="148">
        <f t="shared" si="33"/>
        <v>1539.3201911809238</v>
      </c>
      <c r="AJ26" s="148">
        <f t="shared" si="33"/>
        <v>1632.3561990495089</v>
      </c>
      <c r="AK26" s="148">
        <f t="shared" si="33"/>
        <v>1733.8501000240615</v>
      </c>
    </row>
    <row r="27" spans="1:37" x14ac:dyDescent="0.2">
      <c r="A27" s="119" t="s">
        <v>90</v>
      </c>
      <c r="B27" s="172">
        <f>monthly_data!K10*0.8/1000</f>
        <v>399.31119999999999</v>
      </c>
      <c r="C27" s="172">
        <f>monthly_data!$K22*0.8/1000</f>
        <v>413.54320000000001</v>
      </c>
      <c r="D27" s="172">
        <f>monthly_data!$K34*0.8/1000</f>
        <v>394.82560000000001</v>
      </c>
      <c r="E27" s="172">
        <f>monthly_data!$K46*0.8/1000</f>
        <v>360.23760000000004</v>
      </c>
      <c r="F27" s="172">
        <f>monthly_data!$K58*0.8/1000</f>
        <v>400.16560000000004</v>
      </c>
      <c r="G27" s="172">
        <f>monthly_data!$K70*0.8/1000</f>
        <v>170.23040000000003</v>
      </c>
      <c r="H27" s="172">
        <f>monthly_data!$K82*0.8/1000</f>
        <v>307.96640000000002</v>
      </c>
      <c r="I27" s="172">
        <f>monthly_data!$K94*0.8/1000</f>
        <v>284.8768</v>
      </c>
      <c r="J27" s="172">
        <f>monthly_data!$K106*0.8/1000</f>
        <v>383.77680000000004</v>
      </c>
      <c r="K27" s="172">
        <f>monthly_data!$K118*0.8/1000</f>
        <v>341.73360000000002</v>
      </c>
      <c r="L27" s="148">
        <f t="shared" si="36"/>
        <v>387.38940959590843</v>
      </c>
      <c r="M27" s="148">
        <f t="shared" si="36"/>
        <v>436.26226917053054</v>
      </c>
      <c r="N27" s="148">
        <f t="shared" si="35"/>
        <v>402.77321924601989</v>
      </c>
      <c r="O27" s="148">
        <f t="shared" si="35"/>
        <v>431.28636047956007</v>
      </c>
      <c r="P27" s="148">
        <f t="shared" si="35"/>
        <v>439.28030332077117</v>
      </c>
      <c r="Q27" s="148">
        <f t="shared" si="35"/>
        <v>476.58899132108866</v>
      </c>
      <c r="R27" s="148">
        <f t="shared" si="35"/>
        <v>500.8365165196077</v>
      </c>
      <c r="S27" s="148">
        <f t="shared" si="35"/>
        <v>523.06519647375046</v>
      </c>
      <c r="T27" s="148">
        <f t="shared" si="35"/>
        <v>563.02700045534868</v>
      </c>
      <c r="U27" s="148">
        <f t="shared" si="35"/>
        <v>594.01851457845714</v>
      </c>
      <c r="V27" s="148">
        <f t="shared" si="35"/>
        <v>634.63551506823933</v>
      </c>
      <c r="W27" s="148">
        <f t="shared" si="32"/>
        <v>674.15361454396987</v>
      </c>
      <c r="X27" s="148">
        <f t="shared" si="33"/>
        <v>721.45858233925378</v>
      </c>
      <c r="Y27" s="148">
        <f t="shared" si="33"/>
        <v>769.07324133724148</v>
      </c>
      <c r="Z27" s="148">
        <f t="shared" si="33"/>
        <v>816.62141399606935</v>
      </c>
      <c r="AA27" s="148">
        <f t="shared" si="33"/>
        <v>872.26679912571308</v>
      </c>
      <c r="AB27" s="148">
        <f t="shared" si="33"/>
        <v>927.71217532313358</v>
      </c>
      <c r="AC27" s="148">
        <f t="shared" si="33"/>
        <v>991.1033330408809</v>
      </c>
      <c r="AD27" s="148">
        <f t="shared" si="33"/>
        <v>1054.5495218396088</v>
      </c>
      <c r="AE27" s="148">
        <f t="shared" si="33"/>
        <v>1125.9183002588563</v>
      </c>
      <c r="AF27" s="148">
        <f t="shared" si="33"/>
        <v>1197.2951667748277</v>
      </c>
      <c r="AG27" s="148">
        <f t="shared" si="33"/>
        <v>1276.5705659509078</v>
      </c>
      <c r="AH27" s="148">
        <f t="shared" si="33"/>
        <v>1355.8563312147878</v>
      </c>
      <c r="AI27" s="148">
        <f t="shared" si="33"/>
        <v>1443.0798934816567</v>
      </c>
      <c r="AJ27" s="148">
        <f t="shared" si="33"/>
        <v>1530.3011273016605</v>
      </c>
      <c r="AK27" s="148">
        <f t="shared" si="33"/>
        <v>1625.4500377253928</v>
      </c>
    </row>
    <row r="28" spans="1:37" x14ac:dyDescent="0.2">
      <c r="A28" s="119" t="s">
        <v>91</v>
      </c>
      <c r="B28" s="172">
        <f>monthly_data!K11*0.8/1000</f>
        <v>361.77840000000003</v>
      </c>
      <c r="C28" s="172">
        <f>monthly_data!$K23*0.8/1000</f>
        <v>348.21199999999999</v>
      </c>
      <c r="D28" s="172">
        <f>monthly_data!$K35*0.8/1000</f>
        <v>393.56720000000001</v>
      </c>
      <c r="E28" s="172">
        <f>monthly_data!$K47*0.8/1000</f>
        <v>362.5752</v>
      </c>
      <c r="F28" s="172">
        <f>monthly_data!$K59*0.8/1000</f>
        <v>356.42880000000002</v>
      </c>
      <c r="G28" s="172">
        <f>monthly_data!$K71*0.8/1000</f>
        <v>132.43680000000001</v>
      </c>
      <c r="H28" s="172">
        <f>monthly_data!$K83*0.8/1000</f>
        <v>306.3528</v>
      </c>
      <c r="I28" s="172">
        <f>monthly_data!$K95*0.8/1000</f>
        <v>287.98480000000001</v>
      </c>
      <c r="J28" s="172">
        <f>monthly_data!$K107*0.8/1000</f>
        <v>358.75840000000005</v>
      </c>
      <c r="K28" s="172">
        <f>monthly_data!$K119*0.8/1000</f>
        <v>364.02560000000005</v>
      </c>
      <c r="L28" s="148">
        <f t="shared" si="36"/>
        <v>377.23337933955327</v>
      </c>
      <c r="M28" s="148">
        <f t="shared" si="36"/>
        <v>433.34965695809819</v>
      </c>
      <c r="N28" s="148">
        <f t="shared" si="35"/>
        <v>399.98701825703023</v>
      </c>
      <c r="O28" s="148">
        <f t="shared" si="35"/>
        <v>427.18077518057538</v>
      </c>
      <c r="P28" s="148">
        <f t="shared" si="35"/>
        <v>439.79255216754166</v>
      </c>
      <c r="Q28" s="148">
        <f t="shared" si="35"/>
        <v>472.16895043245432</v>
      </c>
      <c r="R28" s="148">
        <f t="shared" si="35"/>
        <v>497.69517832265132</v>
      </c>
      <c r="S28" s="148">
        <f t="shared" si="35"/>
        <v>519.82540601329811</v>
      </c>
      <c r="T28" s="148">
        <f t="shared" si="35"/>
        <v>559.60890705776922</v>
      </c>
      <c r="U28" s="148">
        <f t="shared" si="35"/>
        <v>590.76526756179942</v>
      </c>
      <c r="V28" s="148">
        <f t="shared" si="35"/>
        <v>630.46297537623218</v>
      </c>
      <c r="W28" s="148">
        <f t="shared" si="32"/>
        <v>670.02931667098244</v>
      </c>
      <c r="X28" s="148">
        <f t="shared" si="33"/>
        <v>717.06355547450244</v>
      </c>
      <c r="Y28" s="148">
        <f t="shared" si="33"/>
        <v>764.40102524304655</v>
      </c>
      <c r="Z28" s="148">
        <f t="shared" si="33"/>
        <v>811.65976741503744</v>
      </c>
      <c r="AA28" s="148">
        <f t="shared" si="33"/>
        <v>866.88120706091695</v>
      </c>
      <c r="AB28" s="148">
        <f t="shared" si="33"/>
        <v>922.04543211552436</v>
      </c>
      <c r="AC28" s="148">
        <f t="shared" si="33"/>
        <v>985.05091392592362</v>
      </c>
      <c r="AD28" s="148">
        <f t="shared" si="33"/>
        <v>1048.1070651922819</v>
      </c>
      <c r="AE28" s="148">
        <f t="shared" si="33"/>
        <v>1119.0335081135631</v>
      </c>
      <c r="AF28" s="148">
        <f t="shared" si="33"/>
        <v>1189.9662473487076</v>
      </c>
      <c r="AG28" s="148">
        <f t="shared" si="33"/>
        <v>1268.7675296976886</v>
      </c>
      <c r="AH28" s="148">
        <f t="shared" si="33"/>
        <v>1347.5677249881546</v>
      </c>
      <c r="AI28" s="148">
        <f t="shared" si="33"/>
        <v>1434.2565405170872</v>
      </c>
      <c r="AJ28" s="148">
        <f t="shared" si="33"/>
        <v>1520.9432085234</v>
      </c>
      <c r="AK28" s="148">
        <f t="shared" si="33"/>
        <v>1615.5102056764367</v>
      </c>
    </row>
    <row r="29" spans="1:37" x14ac:dyDescent="0.2">
      <c r="A29" s="119" t="s">
        <v>92</v>
      </c>
      <c r="B29" s="172">
        <f>monthly_data!K12*0.8/1000</f>
        <v>378.452</v>
      </c>
      <c r="C29" s="172">
        <f>monthly_data!$K24*0.8/1000</f>
        <v>436.86240000000004</v>
      </c>
      <c r="D29" s="172">
        <f>monthly_data!$K36*0.8/1000</f>
        <v>446.53280000000007</v>
      </c>
      <c r="E29" s="172">
        <f>monthly_data!$K48*0.8/1000</f>
        <v>391.10720000000003</v>
      </c>
      <c r="F29" s="172">
        <f>monthly_data!$K60*0.8/1000</f>
        <v>315.80480000000006</v>
      </c>
      <c r="G29" s="172">
        <f>monthly_data!$K72*0.8/1000</f>
        <v>191.47920000000002</v>
      </c>
      <c r="H29" s="172">
        <f>monthly_data!$K84*0.8/1000</f>
        <v>367.84960000000001</v>
      </c>
      <c r="I29" s="172">
        <f>monthly_data!$K96*0.8/1000</f>
        <v>275.60320000000002</v>
      </c>
      <c r="J29" s="172">
        <f>monthly_data!$K108*0.8/1000</f>
        <v>358.89519999999999</v>
      </c>
      <c r="K29" s="172">
        <f>monthly_data!$K120*0.8/1000</f>
        <v>412.85840000000002</v>
      </c>
      <c r="L29" s="148">
        <f t="shared" si="36"/>
        <v>418.12419453000155</v>
      </c>
      <c r="M29" s="148">
        <f t="shared" si="36"/>
        <v>468.89417738190969</v>
      </c>
      <c r="N29" s="148">
        <f t="shared" si="35"/>
        <v>424.8080693603182</v>
      </c>
      <c r="O29" s="148">
        <f t="shared" si="35"/>
        <v>460.37368845328172</v>
      </c>
      <c r="P29" s="148">
        <f t="shared" si="35"/>
        <v>480.05983742676551</v>
      </c>
      <c r="Q29" s="148">
        <f t="shared" si="35"/>
        <v>511.87726526188106</v>
      </c>
      <c r="R29" s="148">
        <f t="shared" si="35"/>
        <v>537.45025958800659</v>
      </c>
      <c r="S29" s="148">
        <f t="shared" si="35"/>
        <v>561.13226030266435</v>
      </c>
      <c r="T29" s="148">
        <f t="shared" si="35"/>
        <v>605.73051867329275</v>
      </c>
      <c r="U29" s="148">
        <f t="shared" si="35"/>
        <v>639.93278668970174</v>
      </c>
      <c r="V29" s="148">
        <f t="shared" si="35"/>
        <v>682.0592454962499</v>
      </c>
      <c r="W29" s="148">
        <f t="shared" si="32"/>
        <v>724.6082563767402</v>
      </c>
      <c r="X29" s="148">
        <f t="shared" si="33"/>
        <v>775.66349906105313</v>
      </c>
      <c r="Y29" s="148">
        <f t="shared" si="33"/>
        <v>827.15285500202151</v>
      </c>
      <c r="Z29" s="148">
        <f t="shared" si="33"/>
        <v>878.24746306180839</v>
      </c>
      <c r="AA29" s="148">
        <f t="shared" si="33"/>
        <v>937.82992344246952</v>
      </c>
      <c r="AB29" s="148">
        <f t="shared" si="33"/>
        <v>997.50974000505937</v>
      </c>
      <c r="AC29" s="148">
        <f t="shared" si="33"/>
        <v>1065.7344306400607</v>
      </c>
      <c r="AD29" s="148">
        <f t="shared" si="33"/>
        <v>1133.9874942321355</v>
      </c>
      <c r="AE29" s="148">
        <f t="shared" si="33"/>
        <v>1210.6970838370371</v>
      </c>
      <c r="AF29" s="148">
        <f t="shared" si="33"/>
        <v>1287.4155653838454</v>
      </c>
      <c r="AG29" s="148">
        <f t="shared" si="33"/>
        <v>1372.680291272156</v>
      </c>
      <c r="AH29" s="148">
        <f t="shared" si="33"/>
        <v>1457.946688170583</v>
      </c>
      <c r="AI29" s="148">
        <f t="shared" si="33"/>
        <v>1551.7365915132293</v>
      </c>
      <c r="AJ29" s="148">
        <f t="shared" si="33"/>
        <v>1645.5166177126794</v>
      </c>
      <c r="AK29" s="148">
        <f t="shared" si="33"/>
        <v>1747.8270741034512</v>
      </c>
    </row>
    <row r="30" spans="1:37" x14ac:dyDescent="0.2">
      <c r="A30" s="119" t="s">
        <v>93</v>
      </c>
      <c r="B30" s="172">
        <f>monthly_data!K13*0.8/1000</f>
        <v>336.71680000000003</v>
      </c>
      <c r="C30" s="172">
        <f>monthly_data!$K25*0.8/1000</f>
        <v>405.23440000000005</v>
      </c>
      <c r="D30" s="172">
        <f>monthly_data!$K37*0.8/1000</f>
        <v>427.35120000000001</v>
      </c>
      <c r="E30" s="172">
        <f>monthly_data!$K49*0.8/1000</f>
        <v>402.88480000000004</v>
      </c>
      <c r="F30" s="172">
        <f>monthly_data!$K61*0.8/1000</f>
        <v>357.12880000000007</v>
      </c>
      <c r="G30" s="172">
        <f>monthly_data!$K73*0.8/1000</f>
        <v>237.084</v>
      </c>
      <c r="H30" s="172">
        <f>monthly_data!$K85*0.8/1000</f>
        <v>352.62960000000004</v>
      </c>
      <c r="I30" s="172">
        <f>monthly_data!$K97*0.8/1000</f>
        <v>277.18400000000003</v>
      </c>
      <c r="J30" s="172">
        <f>monthly_data!$K109*0.8/1000</f>
        <v>390.88</v>
      </c>
      <c r="K30" s="172">
        <f>monthly_data!$K121*0.8/1000</f>
        <v>383.3784</v>
      </c>
      <c r="L30" s="148">
        <f t="shared" si="36"/>
        <v>427.09477859145511</v>
      </c>
      <c r="M30" s="148">
        <f t="shared" si="36"/>
        <v>468.34075799451836</v>
      </c>
      <c r="N30" s="148">
        <f t="shared" si="35"/>
        <v>427.55380110872829</v>
      </c>
      <c r="O30" s="148">
        <f t="shared" si="35"/>
        <v>463.39360978581249</v>
      </c>
      <c r="P30" s="148">
        <f t="shared" si="35"/>
        <v>476.69902913640658</v>
      </c>
      <c r="Q30" s="148">
        <f t="shared" si="35"/>
        <v>514.33681286748197</v>
      </c>
      <c r="R30" s="148">
        <f t="shared" si="35"/>
        <v>538.43786431365709</v>
      </c>
      <c r="S30" s="148">
        <f t="shared" si="35"/>
        <v>562.49223146478062</v>
      </c>
      <c r="T30" s="148">
        <f t="shared" si="35"/>
        <v>606.79106313490922</v>
      </c>
      <c r="U30" s="148">
        <f t="shared" si="35"/>
        <v>640.52776920504004</v>
      </c>
      <c r="V30" s="148">
        <f t="shared" si="35"/>
        <v>683.60256501155072</v>
      </c>
      <c r="W30" s="148">
        <f t="shared" si="32"/>
        <v>725.9362730029427</v>
      </c>
      <c r="X30" s="148">
        <f t="shared" si="33"/>
        <v>777.0844590598125</v>
      </c>
      <c r="Y30" s="148">
        <f t="shared" si="33"/>
        <v>828.58802625169847</v>
      </c>
      <c r="Z30" s="148">
        <f t="shared" si="33"/>
        <v>879.76898722125611</v>
      </c>
      <c r="AA30" s="148">
        <f t="shared" si="33"/>
        <v>939.57858368464599</v>
      </c>
      <c r="AB30" s="148">
        <f t="shared" si="33"/>
        <v>999.30430147897459</v>
      </c>
      <c r="AC30" s="148">
        <f t="shared" si="33"/>
        <v>1067.6458392124487</v>
      </c>
      <c r="AD30" s="148">
        <f t="shared" si="33"/>
        <v>1136.0141361121744</v>
      </c>
      <c r="AE30" s="148">
        <f t="shared" si="33"/>
        <v>1212.8712285284846</v>
      </c>
      <c r="AF30" s="148">
        <f t="shared" si="33"/>
        <v>1289.7408731124815</v>
      </c>
      <c r="AG30" s="148">
        <f t="shared" si="33"/>
        <v>1375.1464025891837</v>
      </c>
      <c r="AH30" s="148">
        <f t="shared" si="33"/>
        <v>1460.565393263857</v>
      </c>
      <c r="AI30" s="148">
        <f t="shared" si="33"/>
        <v>1554.5244355096634</v>
      </c>
      <c r="AJ30" s="148">
        <f t="shared" si="33"/>
        <v>1648.4754997146326</v>
      </c>
      <c r="AK30" s="148">
        <f t="shared" si="33"/>
        <v>1750.9706105581733</v>
      </c>
    </row>
    <row r="31" spans="1:37" x14ac:dyDescent="0.2">
      <c r="A31" s="119" t="s">
        <v>94</v>
      </c>
      <c r="B31" s="172">
        <f>monthly_data!K14*0.8/1000</f>
        <v>361.92480000000006</v>
      </c>
      <c r="C31" s="172">
        <f>monthly_data!$K26*0.8/1000</f>
        <v>382.31680000000006</v>
      </c>
      <c r="D31" s="172">
        <f>monthly_data!$K38*0.8/1000</f>
        <v>478.34800000000001</v>
      </c>
      <c r="E31" s="172">
        <f>monthly_data!$K50*0.8/1000</f>
        <v>436.28399999999999</v>
      </c>
      <c r="F31" s="172">
        <f>monthly_data!$K62*0.8/1000</f>
        <v>493.74880000000007</v>
      </c>
      <c r="G31" s="172">
        <f>monthly_data!$K74*0.8/1000</f>
        <v>287.06079999999997</v>
      </c>
      <c r="H31" s="172">
        <f>monthly_data!$K86*0.8/1000</f>
        <v>367.02960000000002</v>
      </c>
      <c r="I31" s="172">
        <f>monthly_data!$K98*0.8/1000</f>
        <v>374.68480000000005</v>
      </c>
      <c r="J31" s="172">
        <f>monthly_data!$K110*0.8/1000</f>
        <v>404.67920000000004</v>
      </c>
      <c r="K31" s="172">
        <f>monthly_data!$K122*0.8/1000</f>
        <v>437.59360000000004</v>
      </c>
      <c r="L31" s="148">
        <f>L32-(SUM(L20:L30))</f>
        <v>617.05983104340612</v>
      </c>
      <c r="M31" s="148">
        <f>M32-(SUM(M20:M30))</f>
        <v>562.94164297442148</v>
      </c>
      <c r="N31" s="148">
        <f t="shared" ref="N31:AK31" si="37">N32-(SUM(N20:N30))</f>
        <v>526.39610524094223</v>
      </c>
      <c r="O31" s="148">
        <f t="shared" si="37"/>
        <v>563.13688934865422</v>
      </c>
      <c r="P31" s="148">
        <f t="shared" si="37"/>
        <v>594.75910728687359</v>
      </c>
      <c r="Q31" s="148">
        <f t="shared" si="37"/>
        <v>650.97581270324918</v>
      </c>
      <c r="R31" s="148">
        <f t="shared" si="37"/>
        <v>663.95346227603932</v>
      </c>
      <c r="S31" s="148">
        <f t="shared" si="37"/>
        <v>697.00215095943713</v>
      </c>
      <c r="T31" s="148">
        <f t="shared" si="37"/>
        <v>752.70149499254785</v>
      </c>
      <c r="U31" s="148">
        <f t="shared" si="37"/>
        <v>797.32405733025644</v>
      </c>
      <c r="V31" s="148">
        <f t="shared" si="37"/>
        <v>850.61659182364929</v>
      </c>
      <c r="W31" s="148">
        <f t="shared" si="37"/>
        <v>900.66425176750454</v>
      </c>
      <c r="X31" s="148">
        <f t="shared" si="37"/>
        <v>965.10895959013033</v>
      </c>
      <c r="Y31" s="148">
        <f t="shared" si="37"/>
        <v>1029.4584315519824</v>
      </c>
      <c r="Z31" s="148">
        <f t="shared" si="37"/>
        <v>1093.3335188844449</v>
      </c>
      <c r="AA31" s="148">
        <f t="shared" si="37"/>
        <v>1167.346475653394</v>
      </c>
      <c r="AB31" s="148">
        <f t="shared" si="37"/>
        <v>1241.2379867929048</v>
      </c>
      <c r="AC31" s="148">
        <f t="shared" si="37"/>
        <v>1326.3719528168112</v>
      </c>
      <c r="AD31" s="148">
        <f t="shared" si="37"/>
        <v>1411.3777765181876</v>
      </c>
      <c r="AE31" s="148">
        <f t="shared" si="37"/>
        <v>1506.8585287662172</v>
      </c>
      <c r="AF31" s="148">
        <f t="shared" si="37"/>
        <v>1602.2840523168634</v>
      </c>
      <c r="AG31" s="148">
        <f t="shared" si="37"/>
        <v>1708.3667333098347</v>
      </c>
      <c r="AH31" s="148">
        <f t="shared" si="37"/>
        <v>1814.5355287604943</v>
      </c>
      <c r="AI31" s="148">
        <f t="shared" si="37"/>
        <v>1931.2703387602032</v>
      </c>
      <c r="AJ31" s="148">
        <f t="shared" si="37"/>
        <v>2047.9799629607514</v>
      </c>
      <c r="AK31" s="148">
        <f t="shared" si="37"/>
        <v>2175.3024548976355</v>
      </c>
    </row>
    <row r="32" spans="1:37" s="174" customFormat="1" ht="13.5" thickBot="1" x14ac:dyDescent="0.25">
      <c r="A32" s="173" t="s">
        <v>121</v>
      </c>
      <c r="B32" s="149">
        <f>SUM(B20:B31)</f>
        <v>4525.4872000000005</v>
      </c>
      <c r="C32" s="149">
        <f t="shared" ref="C32:K32" si="38">SUM(C20:C31)</f>
        <v>4631.4223999999995</v>
      </c>
      <c r="D32" s="149">
        <f t="shared" si="38"/>
        <v>4934.88</v>
      </c>
      <c r="E32" s="149">
        <f t="shared" si="38"/>
        <v>5101.0663999999997</v>
      </c>
      <c r="F32" s="149">
        <f t="shared" si="38"/>
        <v>4853.3392000000003</v>
      </c>
      <c r="G32" s="149">
        <f t="shared" si="38"/>
        <v>2615.2840000000006</v>
      </c>
      <c r="H32" s="149">
        <f t="shared" si="38"/>
        <v>3290.4848000000002</v>
      </c>
      <c r="I32" s="149">
        <f t="shared" si="38"/>
        <v>3883.4256000000005</v>
      </c>
      <c r="J32" s="149">
        <f t="shared" si="38"/>
        <v>4350.3919999999998</v>
      </c>
      <c r="K32" s="149">
        <f t="shared" si="38"/>
        <v>4689.1720000000005</v>
      </c>
      <c r="L32" s="148">
        <f>L4</f>
        <v>4900</v>
      </c>
      <c r="M32" s="148">
        <f t="shared" ref="M32:AK32" si="39">M4</f>
        <v>5400</v>
      </c>
      <c r="N32" s="148">
        <f t="shared" si="39"/>
        <v>5100</v>
      </c>
      <c r="O32" s="148">
        <f t="shared" si="39"/>
        <v>5400</v>
      </c>
      <c r="P32" s="148">
        <f t="shared" si="39"/>
        <v>5600</v>
      </c>
      <c r="Q32" s="148">
        <f t="shared" si="39"/>
        <v>6000</v>
      </c>
      <c r="R32" s="148">
        <f t="shared" si="39"/>
        <v>6300</v>
      </c>
      <c r="S32" s="148">
        <f t="shared" si="39"/>
        <v>6600</v>
      </c>
      <c r="T32" s="148">
        <f t="shared" si="39"/>
        <v>7100</v>
      </c>
      <c r="U32" s="148">
        <f t="shared" si="39"/>
        <v>7500</v>
      </c>
      <c r="V32" s="148">
        <f t="shared" si="39"/>
        <v>8000</v>
      </c>
      <c r="W32" s="148">
        <f t="shared" si="39"/>
        <v>8500</v>
      </c>
      <c r="X32" s="148">
        <f t="shared" si="39"/>
        <v>9100</v>
      </c>
      <c r="Y32" s="148">
        <f t="shared" si="39"/>
        <v>9700</v>
      </c>
      <c r="Z32" s="148">
        <f t="shared" si="39"/>
        <v>10300</v>
      </c>
      <c r="AA32" s="148">
        <f t="shared" si="39"/>
        <v>11000</v>
      </c>
      <c r="AB32" s="148">
        <f t="shared" si="39"/>
        <v>11700</v>
      </c>
      <c r="AC32" s="148">
        <f t="shared" si="39"/>
        <v>12500</v>
      </c>
      <c r="AD32" s="148">
        <f t="shared" si="39"/>
        <v>13300</v>
      </c>
      <c r="AE32" s="148">
        <f t="shared" si="39"/>
        <v>14200</v>
      </c>
      <c r="AF32" s="148">
        <f t="shared" si="39"/>
        <v>15100</v>
      </c>
      <c r="AG32" s="148">
        <f t="shared" si="39"/>
        <v>16100</v>
      </c>
      <c r="AH32" s="148">
        <f t="shared" si="39"/>
        <v>17100</v>
      </c>
      <c r="AI32" s="148">
        <f t="shared" si="39"/>
        <v>18200</v>
      </c>
      <c r="AJ32" s="148">
        <f t="shared" si="39"/>
        <v>19300</v>
      </c>
      <c r="AK32" s="148">
        <f t="shared" si="39"/>
        <v>20500</v>
      </c>
    </row>
    <row r="33" spans="1:37" x14ac:dyDescent="0.2">
      <c r="A33" s="150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3">
        <f>L4</f>
        <v>4900</v>
      </c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</row>
    <row r="34" spans="1:37" ht="13.5" thickBot="1" x14ac:dyDescent="0.25">
      <c r="A34" s="119" t="s">
        <v>132</v>
      </c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</row>
    <row r="35" spans="1:37" ht="13.5" thickBot="1" x14ac:dyDescent="0.25">
      <c r="A35" s="157" t="s">
        <v>71</v>
      </c>
      <c r="B35" s="146">
        <f t="shared" ref="B35:AK35" si="40">B2</f>
        <v>2015</v>
      </c>
      <c r="C35" s="146">
        <f t="shared" si="40"/>
        <v>2016</v>
      </c>
      <c r="D35" s="146">
        <f t="shared" si="40"/>
        <v>2017</v>
      </c>
      <c r="E35" s="146">
        <f t="shared" si="40"/>
        <v>2018</v>
      </c>
      <c r="F35" s="146">
        <f t="shared" si="40"/>
        <v>2019</v>
      </c>
      <c r="G35" s="146">
        <f t="shared" si="40"/>
        <v>2020</v>
      </c>
      <c r="H35" s="146">
        <f t="shared" si="40"/>
        <v>2021</v>
      </c>
      <c r="I35" s="146">
        <f t="shared" si="40"/>
        <v>2022</v>
      </c>
      <c r="J35" s="146">
        <f t="shared" si="40"/>
        <v>2023</v>
      </c>
      <c r="K35" s="146">
        <f t="shared" si="40"/>
        <v>2024</v>
      </c>
      <c r="L35" s="146">
        <f t="shared" si="40"/>
        <v>2025</v>
      </c>
      <c r="M35" s="146">
        <f t="shared" si="40"/>
        <v>2026</v>
      </c>
      <c r="N35" s="146">
        <f t="shared" si="40"/>
        <v>2027</v>
      </c>
      <c r="O35" s="146">
        <f t="shared" si="40"/>
        <v>2028</v>
      </c>
      <c r="P35" s="146">
        <f t="shared" si="40"/>
        <v>2029</v>
      </c>
      <c r="Q35" s="146">
        <f t="shared" si="40"/>
        <v>2030</v>
      </c>
      <c r="R35" s="146">
        <f t="shared" si="40"/>
        <v>2031</v>
      </c>
      <c r="S35" s="146">
        <f t="shared" si="40"/>
        <v>2032</v>
      </c>
      <c r="T35" s="146">
        <f t="shared" si="40"/>
        <v>2033</v>
      </c>
      <c r="U35" s="146">
        <f t="shared" si="40"/>
        <v>2034</v>
      </c>
      <c r="V35" s="146">
        <f t="shared" si="40"/>
        <v>2035</v>
      </c>
      <c r="W35" s="146">
        <f t="shared" si="40"/>
        <v>2036</v>
      </c>
      <c r="X35" s="146">
        <f t="shared" si="40"/>
        <v>2037</v>
      </c>
      <c r="Y35" s="146">
        <f t="shared" si="40"/>
        <v>2038</v>
      </c>
      <c r="Z35" s="146">
        <f t="shared" si="40"/>
        <v>2039</v>
      </c>
      <c r="AA35" s="146">
        <f t="shared" si="40"/>
        <v>2040</v>
      </c>
      <c r="AB35" s="146">
        <f t="shared" si="40"/>
        <v>2041</v>
      </c>
      <c r="AC35" s="146">
        <f t="shared" si="40"/>
        <v>2042</v>
      </c>
      <c r="AD35" s="146">
        <f t="shared" si="40"/>
        <v>2043</v>
      </c>
      <c r="AE35" s="146">
        <f t="shared" si="40"/>
        <v>2044</v>
      </c>
      <c r="AF35" s="146">
        <f t="shared" si="40"/>
        <v>2045</v>
      </c>
      <c r="AG35" s="146">
        <f t="shared" si="40"/>
        <v>2046</v>
      </c>
      <c r="AH35" s="146">
        <f t="shared" si="40"/>
        <v>2047</v>
      </c>
      <c r="AI35" s="146">
        <f t="shared" si="40"/>
        <v>2048</v>
      </c>
      <c r="AJ35" s="146">
        <f t="shared" si="40"/>
        <v>2049</v>
      </c>
      <c r="AK35" s="146">
        <f t="shared" si="40"/>
        <v>2050</v>
      </c>
    </row>
    <row r="36" spans="1:37" x14ac:dyDescent="0.2">
      <c r="A36" s="119" t="s">
        <v>83</v>
      </c>
      <c r="B36" s="172">
        <f>monthly_data!$L3*0.8/1000</f>
        <v>41.155200000000008</v>
      </c>
      <c r="C36" s="172">
        <f>monthly_data!$L15*0.8/1000</f>
        <v>32.076000000000001</v>
      </c>
      <c r="D36" s="172">
        <f>monthly_data!$L27*0.8/1000</f>
        <v>97.194400000000002</v>
      </c>
      <c r="E36" s="172">
        <f>monthly_data!$L39*0.8/1000</f>
        <v>127.72240000000001</v>
      </c>
      <c r="F36" s="172">
        <f>monthly_data!$L51*0.8/1000</f>
        <v>157.84080000000003</v>
      </c>
      <c r="G36" s="172">
        <f>monthly_data!$L63*0.8/1000</f>
        <v>121.6024</v>
      </c>
      <c r="H36" s="172">
        <f>monthly_data!$L75*0.8/1000</f>
        <v>0</v>
      </c>
      <c r="I36" s="172">
        <f>monthly_data!$L87*0.8/1000</f>
        <v>86.135200000000012</v>
      </c>
      <c r="J36" s="172">
        <f>monthly_data!$L99*0.8/1000</f>
        <v>120.57520000000001</v>
      </c>
      <c r="K36" s="172">
        <f>monthly_data!$L111*0.8/1000</f>
        <v>62.362400000000001</v>
      </c>
      <c r="L36" s="172">
        <f>monthly_data!$L123*0.8/1000</f>
        <v>101.748</v>
      </c>
      <c r="M36" s="148">
        <f t="shared" ref="M36:V36" si="41">M$48*(SUM(H36:L36)/SUM(H$48:L$48))</f>
        <v>108.43352637395235</v>
      </c>
      <c r="N36" s="148">
        <f t="shared" si="41"/>
        <v>119.22495880073816</v>
      </c>
      <c r="O36" s="148">
        <f t="shared" si="41"/>
        <v>125.98155081315586</v>
      </c>
      <c r="P36" s="148">
        <f t="shared" si="41"/>
        <v>124.16069387903772</v>
      </c>
      <c r="Q36" s="148">
        <f t="shared" si="41"/>
        <v>131.71562042429184</v>
      </c>
      <c r="R36" s="148">
        <f t="shared" si="41"/>
        <v>142.36878254976372</v>
      </c>
      <c r="S36" s="148">
        <f t="shared" si="41"/>
        <v>156.3944876829483</v>
      </c>
      <c r="T36" s="148">
        <f t="shared" si="41"/>
        <v>160.14614949392879</v>
      </c>
      <c r="U36" s="148">
        <f t="shared" si="41"/>
        <v>167.6657894638202</v>
      </c>
      <c r="V36" s="148">
        <f t="shared" si="41"/>
        <v>177.37797183970829</v>
      </c>
      <c r="W36" s="148">
        <f t="shared" ref="W36" si="42">W$48*(SUM(R36:V36)/SUM(R$48:V$48))</f>
        <v>164.34402043158155</v>
      </c>
      <c r="X36" s="148">
        <f t="shared" ref="X36:AK46" si="43">X$48*(SUM(S36:W36)/SUM(S$48:W$48))</f>
        <v>146.53568722632031</v>
      </c>
      <c r="Y36" s="148">
        <f t="shared" si="43"/>
        <v>128.61966812611638</v>
      </c>
      <c r="Z36" s="148">
        <f t="shared" si="43"/>
        <v>115.24362465692779</v>
      </c>
      <c r="AA36" s="148">
        <f t="shared" si="43"/>
        <v>93.179032835719639</v>
      </c>
      <c r="AB36" s="148">
        <f t="shared" si="43"/>
        <v>66.567332185958804</v>
      </c>
      <c r="AC36" s="148">
        <f t="shared" si="43"/>
        <v>66.549840124722934</v>
      </c>
      <c r="AD36" s="148">
        <f t="shared" si="43"/>
        <v>93.144806193569394</v>
      </c>
      <c r="AE36" s="148">
        <f t="shared" si="43"/>
        <v>88.711150203448696</v>
      </c>
      <c r="AF36" s="148">
        <f t="shared" si="43"/>
        <v>79.855857693277741</v>
      </c>
      <c r="AG36" s="148">
        <f t="shared" si="43"/>
        <v>70.980491937254399</v>
      </c>
      <c r="AH36" s="148">
        <f t="shared" si="43"/>
        <v>137.51673923022742</v>
      </c>
      <c r="AI36" s="148">
        <f t="shared" si="43"/>
        <v>137.51396606595384</v>
      </c>
      <c r="AJ36" s="148">
        <f t="shared" si="43"/>
        <v>137.51658930202609</v>
      </c>
      <c r="AK36" s="148">
        <f t="shared" si="43"/>
        <v>141.95493397889501</v>
      </c>
    </row>
    <row r="37" spans="1:37" x14ac:dyDescent="0.2">
      <c r="A37" s="119" t="s">
        <v>84</v>
      </c>
      <c r="B37" s="172">
        <f>monthly_data!L4*0.8/1000</f>
        <v>193.54640000000003</v>
      </c>
      <c r="C37" s="172">
        <f>monthly_data!$L16*0.8/1000</f>
        <v>128.61120000000003</v>
      </c>
      <c r="D37" s="172">
        <f>monthly_data!$L28*0.8/1000</f>
        <v>21.1904</v>
      </c>
      <c r="E37" s="172">
        <f>monthly_data!$L40*0.8/1000</f>
        <v>37.857599999999998</v>
      </c>
      <c r="F37" s="172">
        <f>monthly_data!$L52*0.8/1000</f>
        <v>83.168800000000005</v>
      </c>
      <c r="G37" s="172">
        <f>monthly_data!$L64*0.8/1000</f>
        <v>74.256799999999998</v>
      </c>
      <c r="H37" s="172">
        <f>monthly_data!$L76*0.8/1000</f>
        <v>82.483999999999995</v>
      </c>
      <c r="I37" s="172">
        <f>monthly_data!$L88*0.8/1000</f>
        <v>40.231999999999999</v>
      </c>
      <c r="J37" s="172">
        <f>monthly_data!$L100*0.8/1000</f>
        <v>39.562400000000004</v>
      </c>
      <c r="K37" s="172">
        <f>monthly_data!$L112*0.8/1000</f>
        <v>65.552800000000005</v>
      </c>
      <c r="L37" s="172">
        <f>monthly_data!$L124*0.8/1000</f>
        <v>102.03840000000001</v>
      </c>
      <c r="M37" s="148">
        <f t="shared" ref="M37:W46" si="44">M$48*(SUM(H37:L37)/SUM(H$48:L$48))</f>
        <v>96.458785406765529</v>
      </c>
      <c r="N37" s="148">
        <f t="shared" si="44"/>
        <v>85.538784791270345</v>
      </c>
      <c r="O37" s="148">
        <f t="shared" si="44"/>
        <v>95.689341091128043</v>
      </c>
      <c r="P37" s="148">
        <f t="shared" si="44"/>
        <v>106.7812510120373</v>
      </c>
      <c r="Q37" s="148">
        <f t="shared" si="44"/>
        <v>110.569673250273</v>
      </c>
      <c r="R37" s="148">
        <f t="shared" si="44"/>
        <v>115.62927545727865</v>
      </c>
      <c r="S37" s="148">
        <f t="shared" si="44"/>
        <v>124.98119025048304</v>
      </c>
      <c r="T37" s="148">
        <f t="shared" si="44"/>
        <v>130.27076024969412</v>
      </c>
      <c r="U37" s="148">
        <f t="shared" si="44"/>
        <v>137.98038091574762</v>
      </c>
      <c r="V37" s="148">
        <f t="shared" si="44"/>
        <v>144.8962058768366</v>
      </c>
      <c r="W37" s="148">
        <f t="shared" si="44"/>
        <v>133.64109984393085</v>
      </c>
      <c r="X37" s="148">
        <f t="shared" si="43"/>
        <v>119.18493562102604</v>
      </c>
      <c r="Y37" s="148">
        <f t="shared" si="43"/>
        <v>104.96319615603164</v>
      </c>
      <c r="Z37" s="148">
        <f t="shared" si="43"/>
        <v>94.109103269790353</v>
      </c>
      <c r="AA37" s="148">
        <f t="shared" si="43"/>
        <v>75.955668824969237</v>
      </c>
      <c r="AB37" s="148">
        <f t="shared" si="43"/>
        <v>54.231575724220704</v>
      </c>
      <c r="AC37" s="148">
        <f t="shared" si="43"/>
        <v>54.247316080165881</v>
      </c>
      <c r="AD37" s="148">
        <f t="shared" si="43"/>
        <v>75.977774161874848</v>
      </c>
      <c r="AE37" s="148">
        <f t="shared" si="43"/>
        <v>72.351313890004292</v>
      </c>
      <c r="AF37" s="148">
        <f t="shared" si="43"/>
        <v>65.105931263719881</v>
      </c>
      <c r="AG37" s="148">
        <f t="shared" si="43"/>
        <v>57.872163796851339</v>
      </c>
      <c r="AH37" s="148">
        <f t="shared" si="43"/>
        <v>112.13543861079003</v>
      </c>
      <c r="AI37" s="148">
        <f t="shared" si="43"/>
        <v>112.13887993792878</v>
      </c>
      <c r="AJ37" s="148">
        <f t="shared" si="43"/>
        <v>112.13547890067349</v>
      </c>
      <c r="AK37" s="148">
        <f t="shared" si="43"/>
        <v>115.7512800025105</v>
      </c>
    </row>
    <row r="38" spans="1:37" x14ac:dyDescent="0.2">
      <c r="A38" s="119" t="s">
        <v>85</v>
      </c>
      <c r="B38" s="172">
        <f>monthly_data!L5*0.8/1000</f>
        <v>41.246400000000001</v>
      </c>
      <c r="C38" s="172">
        <f>monthly_data!$L17*0.8/1000</f>
        <v>96.652799999999999</v>
      </c>
      <c r="D38" s="172">
        <f>monthly_data!$L29*0.8/1000</f>
        <v>62.434400000000004</v>
      </c>
      <c r="E38" s="172">
        <f>monthly_data!$L41*0.8/1000</f>
        <v>19.458400000000001</v>
      </c>
      <c r="F38" s="172">
        <f>monthly_data!$L53*0.8/1000</f>
        <v>0</v>
      </c>
      <c r="G38" s="172">
        <f>monthly_data!$L65*0.8/1000</f>
        <v>0</v>
      </c>
      <c r="H38" s="172">
        <f>monthly_data!$L77*0.8/1000</f>
        <v>41.253600000000006</v>
      </c>
      <c r="I38" s="172">
        <f>monthly_data!$L89*0.8/1000</f>
        <v>0</v>
      </c>
      <c r="J38" s="172">
        <f>monthly_data!$L101*0.8/1000</f>
        <v>64.226399999999998</v>
      </c>
      <c r="K38" s="172">
        <f>monthly_data!$L113*0.8/1000</f>
        <v>105.2</v>
      </c>
      <c r="L38" s="148">
        <f>L$48*(SUM(G38:K38)/SUM(G$48:K$48))</f>
        <v>80.140670232234172</v>
      </c>
      <c r="M38" s="148">
        <f t="shared" si="44"/>
        <v>85.040296595329778</v>
      </c>
      <c r="N38" s="148">
        <f t="shared" si="44"/>
        <v>83.240875103361446</v>
      </c>
      <c r="O38" s="148">
        <f t="shared" si="44"/>
        <v>102.74573484157627</v>
      </c>
      <c r="P38" s="148">
        <f t="shared" si="44"/>
        <v>109.44059349338515</v>
      </c>
      <c r="Q38" s="148">
        <f t="shared" si="44"/>
        <v>104.68367506042883</v>
      </c>
      <c r="R38" s="148">
        <f t="shared" si="44"/>
        <v>113.31998250372706</v>
      </c>
      <c r="S38" s="148">
        <f t="shared" si="44"/>
        <v>124.79222316032471</v>
      </c>
      <c r="T38" s="148">
        <f t="shared" si="44"/>
        <v>130.58404919045694</v>
      </c>
      <c r="U38" s="148">
        <f t="shared" si="44"/>
        <v>136.71098697232262</v>
      </c>
      <c r="V38" s="148">
        <f t="shared" si="44"/>
        <v>142.7113255876632</v>
      </c>
      <c r="W38" s="148">
        <f t="shared" si="44"/>
        <v>132.48832593555966</v>
      </c>
      <c r="X38" s="148">
        <f t="shared" si="43"/>
        <v>118.38961321467096</v>
      </c>
      <c r="Y38" s="148">
        <f t="shared" si="43"/>
        <v>104.16111264195395</v>
      </c>
      <c r="Z38" s="148">
        <f t="shared" si="43"/>
        <v>93.197714537606956</v>
      </c>
      <c r="AA38" s="148">
        <f t="shared" si="43"/>
        <v>75.211575334948776</v>
      </c>
      <c r="AB38" s="148">
        <f t="shared" si="43"/>
        <v>53.778939212130851</v>
      </c>
      <c r="AC38" s="148">
        <f t="shared" si="43"/>
        <v>53.799067129997368</v>
      </c>
      <c r="AD38" s="148">
        <f t="shared" si="43"/>
        <v>75.312420622541481</v>
      </c>
      <c r="AE38" s="148">
        <f t="shared" si="43"/>
        <v>71.693819762699079</v>
      </c>
      <c r="AF38" s="148">
        <f t="shared" si="43"/>
        <v>64.525269533931692</v>
      </c>
      <c r="AG38" s="148">
        <f t="shared" si="43"/>
        <v>57.368002923379855</v>
      </c>
      <c r="AH38" s="148">
        <f t="shared" si="43"/>
        <v>111.15173310165592</v>
      </c>
      <c r="AI38" s="148">
        <f t="shared" si="43"/>
        <v>111.14706249311743</v>
      </c>
      <c r="AJ38" s="148">
        <f t="shared" si="43"/>
        <v>111.14191829533023</v>
      </c>
      <c r="AK38" s="148">
        <f t="shared" si="43"/>
        <v>114.72982333163215</v>
      </c>
    </row>
    <row r="39" spans="1:37" x14ac:dyDescent="0.2">
      <c r="A39" s="119" t="s">
        <v>86</v>
      </c>
      <c r="B39" s="172">
        <f>monthly_data!L6*0.8/1000</f>
        <v>93.559200000000018</v>
      </c>
      <c r="C39" s="172">
        <f>monthly_data!$L18*0.8/1000</f>
        <v>182.24240000000003</v>
      </c>
      <c r="D39" s="172">
        <f>monthly_data!$L30*0.8/1000</f>
        <v>0</v>
      </c>
      <c r="E39" s="172">
        <f>monthly_data!$L42*0.8/1000</f>
        <v>0.32800000000000001</v>
      </c>
      <c r="F39" s="172">
        <f>monthly_data!$L54*0.8/1000</f>
        <v>128.39279999999999</v>
      </c>
      <c r="G39" s="172">
        <f>monthly_data!$L66*0.8/1000</f>
        <v>0</v>
      </c>
      <c r="H39" s="172">
        <f>monthly_data!$L78*0.8/1000</f>
        <v>54.580800000000004</v>
      </c>
      <c r="I39" s="172">
        <f>monthly_data!$L90*0.8/1000</f>
        <v>42.2224</v>
      </c>
      <c r="J39" s="172">
        <f>monthly_data!$L102*0.8/1000</f>
        <v>0</v>
      </c>
      <c r="K39" s="172">
        <f>monthly_data!$L114*0.8/1000</f>
        <v>59.406400000000005</v>
      </c>
      <c r="L39" s="148">
        <f t="shared" ref="L39:L46" si="45">L$48*(SUM(G39:K39)/SUM(G$48:K$48))</f>
        <v>59.420647620605706</v>
      </c>
      <c r="M39" s="148">
        <f t="shared" si="44"/>
        <v>63.053496843733754</v>
      </c>
      <c r="N39" s="148">
        <f t="shared" si="44"/>
        <v>55.750491650307943</v>
      </c>
      <c r="O39" s="148">
        <f t="shared" si="44"/>
        <v>58.431681593148213</v>
      </c>
      <c r="P39" s="148">
        <f t="shared" si="44"/>
        <v>70.998206678818633</v>
      </c>
      <c r="Q39" s="148">
        <f t="shared" si="44"/>
        <v>69.921482815139598</v>
      </c>
      <c r="R39" s="148">
        <f t="shared" si="44"/>
        <v>74.313660632093004</v>
      </c>
      <c r="S39" s="148">
        <f t="shared" si="44"/>
        <v>80.066273041199722</v>
      </c>
      <c r="T39" s="148">
        <f t="shared" si="44"/>
        <v>83.230895237740981</v>
      </c>
      <c r="U39" s="148">
        <f t="shared" si="44"/>
        <v>88.791109255491932</v>
      </c>
      <c r="V39" s="148">
        <f t="shared" si="44"/>
        <v>92.707232978167298</v>
      </c>
      <c r="W39" s="148">
        <f t="shared" si="44"/>
        <v>85.674250454992489</v>
      </c>
      <c r="X39" s="148">
        <f t="shared" si="43"/>
        <v>76.373667268443825</v>
      </c>
      <c r="Y39" s="148">
        <f t="shared" si="43"/>
        <v>67.263790764403566</v>
      </c>
      <c r="Z39" s="148">
        <f t="shared" si="43"/>
        <v>60.344979202028121</v>
      </c>
      <c r="AA39" s="148">
        <f t="shared" si="43"/>
        <v>48.664498994113579</v>
      </c>
      <c r="AB39" s="148">
        <f t="shared" si="43"/>
        <v>34.759026029176191</v>
      </c>
      <c r="AC39" s="148">
        <f t="shared" si="43"/>
        <v>34.766850273165154</v>
      </c>
      <c r="AD39" s="148">
        <f t="shared" si="43"/>
        <v>48.696057080383191</v>
      </c>
      <c r="AE39" s="148">
        <f t="shared" si="43"/>
        <v>46.373757465074739</v>
      </c>
      <c r="AF39" s="148">
        <f t="shared" si="43"/>
        <v>41.724819751678602</v>
      </c>
      <c r="AG39" s="148">
        <f t="shared" si="43"/>
        <v>37.091327748220742</v>
      </c>
      <c r="AH39" s="148">
        <f t="shared" si="43"/>
        <v>71.869302020824392</v>
      </c>
      <c r="AI39" s="148">
        <f t="shared" si="43"/>
        <v>71.87182250992106</v>
      </c>
      <c r="AJ39" s="148">
        <f t="shared" si="43"/>
        <v>71.869499261787112</v>
      </c>
      <c r="AK39" s="148">
        <f t="shared" si="43"/>
        <v>74.186273081557644</v>
      </c>
    </row>
    <row r="40" spans="1:37" x14ac:dyDescent="0.2">
      <c r="A40" s="119" t="s">
        <v>87</v>
      </c>
      <c r="B40" s="172">
        <f>monthly_data!L7*0.8/1000</f>
        <v>169.5616</v>
      </c>
      <c r="C40" s="172">
        <f>monthly_data!$L19*0.8/1000</f>
        <v>244.86240000000004</v>
      </c>
      <c r="D40" s="172">
        <f>monthly_data!$L31*0.8/1000</f>
        <v>40.545600000000007</v>
      </c>
      <c r="E40" s="172">
        <f>monthly_data!$L43*0.8/1000</f>
        <v>0</v>
      </c>
      <c r="F40" s="172">
        <f>monthly_data!$L55*0.8/1000</f>
        <v>41.291200000000003</v>
      </c>
      <c r="G40" s="172">
        <f>monthly_data!$L67*0.8/1000</f>
        <v>0</v>
      </c>
      <c r="H40" s="172">
        <f>monthly_data!$L79*0.8/1000</f>
        <v>0</v>
      </c>
      <c r="I40" s="172">
        <f>monthly_data!$L91*0.8/1000</f>
        <v>41.239200000000004</v>
      </c>
      <c r="J40" s="172">
        <f>monthly_data!$L103*0.8/1000</f>
        <v>65.798400000000015</v>
      </c>
      <c r="K40" s="172">
        <f>monthly_data!$L115*0.8/1000</f>
        <v>40.768800000000006</v>
      </c>
      <c r="L40" s="148">
        <f t="shared" si="45"/>
        <v>56.224150183281274</v>
      </c>
      <c r="M40" s="148">
        <f t="shared" si="44"/>
        <v>59.661572501841434</v>
      </c>
      <c r="N40" s="148">
        <f t="shared" si="44"/>
        <v>65.599162559634337</v>
      </c>
      <c r="O40" s="148">
        <f t="shared" si="44"/>
        <v>70.829837728534642</v>
      </c>
      <c r="P40" s="148">
        <f t="shared" si="44"/>
        <v>70.283771963315147</v>
      </c>
      <c r="Q40" s="148">
        <f t="shared" si="44"/>
        <v>73.317839758319735</v>
      </c>
      <c r="R40" s="148">
        <f t="shared" si="44"/>
        <v>79.344159885931745</v>
      </c>
      <c r="S40" s="148">
        <f t="shared" si="44"/>
        <v>87.34803483576907</v>
      </c>
      <c r="T40" s="148">
        <f t="shared" si="44"/>
        <v>89.676151569851839</v>
      </c>
      <c r="U40" s="148">
        <f t="shared" si="44"/>
        <v>93.820113608031633</v>
      </c>
      <c r="V40" s="148">
        <f t="shared" si="44"/>
        <v>99.065801089568197</v>
      </c>
      <c r="W40" s="148">
        <f t="shared" si="44"/>
        <v>91.836506390047745</v>
      </c>
      <c r="X40" s="148">
        <f t="shared" si="43"/>
        <v>81.922785200418616</v>
      </c>
      <c r="Y40" s="148">
        <f t="shared" si="43"/>
        <v>71.920214010215346</v>
      </c>
      <c r="Z40" s="148">
        <f t="shared" si="43"/>
        <v>64.422039139860559</v>
      </c>
      <c r="AA40" s="148">
        <f t="shared" si="43"/>
        <v>52.075844014741328</v>
      </c>
      <c r="AB40" s="148">
        <f t="shared" si="43"/>
        <v>37.210005694035992</v>
      </c>
      <c r="AC40" s="148">
        <f t="shared" si="43"/>
        <v>37.203736458782885</v>
      </c>
      <c r="AD40" s="148">
        <f t="shared" si="43"/>
        <v>52.070458732739233</v>
      </c>
      <c r="AE40" s="148">
        <f t="shared" si="43"/>
        <v>49.588180416359187</v>
      </c>
      <c r="AF40" s="148">
        <f t="shared" si="43"/>
        <v>44.637696257607125</v>
      </c>
      <c r="AG40" s="148">
        <f t="shared" si="43"/>
        <v>39.678216190476306</v>
      </c>
      <c r="AH40" s="148">
        <f t="shared" si="43"/>
        <v>76.872521441498961</v>
      </c>
      <c r="AI40" s="148">
        <f t="shared" si="43"/>
        <v>76.87037041697269</v>
      </c>
      <c r="AJ40" s="148">
        <f t="shared" si="43"/>
        <v>76.871176951813283</v>
      </c>
      <c r="AK40" s="148">
        <f t="shared" si="43"/>
        <v>79.352436222581005</v>
      </c>
    </row>
    <row r="41" spans="1:37" x14ac:dyDescent="0.2">
      <c r="A41" s="119" t="s">
        <v>88</v>
      </c>
      <c r="B41" s="172">
        <f>monthly_data!L8*0.8/1000</f>
        <v>128.74720000000002</v>
      </c>
      <c r="C41" s="172">
        <f>monthly_data!$L20*0.8/1000</f>
        <v>19.990400000000001</v>
      </c>
      <c r="D41" s="172">
        <f>monthly_data!$L32*0.8/1000</f>
        <v>78.320800000000006</v>
      </c>
      <c r="E41" s="172">
        <f>monthly_data!$L44*0.8/1000</f>
        <v>44.735999999999997</v>
      </c>
      <c r="F41" s="172">
        <f>monthly_data!$L56*0.8/1000</f>
        <v>0.55759999999999998</v>
      </c>
      <c r="G41" s="172">
        <f>monthly_data!$L68*0.8/1000</f>
        <v>0</v>
      </c>
      <c r="H41" s="172">
        <f>monthly_data!$L80*0.8/1000</f>
        <v>0</v>
      </c>
      <c r="I41" s="172">
        <f>monthly_data!$L92*0.8/1000</f>
        <v>83.695999999999998</v>
      </c>
      <c r="J41" s="172">
        <f>monthly_data!$L104*0.8/1000</f>
        <v>125.70240000000001</v>
      </c>
      <c r="K41" s="172">
        <f>monthly_data!$L116*0.8/1000</f>
        <v>0</v>
      </c>
      <c r="L41" s="148">
        <f t="shared" si="45"/>
        <v>79.653161769306365</v>
      </c>
      <c r="M41" s="148">
        <f t="shared" si="44"/>
        <v>84.522982924755567</v>
      </c>
      <c r="N41" s="148">
        <f t="shared" si="44"/>
        <v>92.934809868363843</v>
      </c>
      <c r="O41" s="148">
        <f t="shared" si="44"/>
        <v>94.130919972106469</v>
      </c>
      <c r="P41" s="148">
        <f t="shared" si="44"/>
        <v>84.23060963410785</v>
      </c>
      <c r="Q41" s="148">
        <f t="shared" si="44"/>
        <v>98.971019129236396</v>
      </c>
      <c r="R41" s="148">
        <f t="shared" si="44"/>
        <v>106.2284009409799</v>
      </c>
      <c r="S41" s="148">
        <f t="shared" si="44"/>
        <v>115.81494155602644</v>
      </c>
      <c r="T41" s="148">
        <f t="shared" si="44"/>
        <v>117.5002097017546</v>
      </c>
      <c r="U41" s="148">
        <f t="shared" si="44"/>
        <v>122.61923997876544</v>
      </c>
      <c r="V41" s="148">
        <f t="shared" si="44"/>
        <v>131.25937106590939</v>
      </c>
      <c r="W41" s="148">
        <f t="shared" si="44"/>
        <v>121.30729303871338</v>
      </c>
      <c r="X41" s="148">
        <f t="shared" si="43"/>
        <v>107.95986465730422</v>
      </c>
      <c r="Y41" s="148">
        <f t="shared" si="43"/>
        <v>94.667029211037843</v>
      </c>
      <c r="Z41" s="148">
        <f t="shared" si="43"/>
        <v>84.876456196299372</v>
      </c>
      <c r="AA41" s="148">
        <f t="shared" si="43"/>
        <v>68.736183621542722</v>
      </c>
      <c r="AB41" s="148">
        <f t="shared" si="43"/>
        <v>49.063030142968927</v>
      </c>
      <c r="AC41" s="148">
        <f t="shared" si="43"/>
        <v>49.028535947074964</v>
      </c>
      <c r="AD41" s="148">
        <f t="shared" si="43"/>
        <v>68.620716391484891</v>
      </c>
      <c r="AE41" s="148">
        <f t="shared" si="43"/>
        <v>65.372433122320587</v>
      </c>
      <c r="AF41" s="148">
        <f t="shared" si="43"/>
        <v>58.85626289192453</v>
      </c>
      <c r="AG41" s="148">
        <f t="shared" si="43"/>
        <v>52.303996134071717</v>
      </c>
      <c r="AH41" s="148">
        <f t="shared" si="43"/>
        <v>101.32933643436863</v>
      </c>
      <c r="AI41" s="148">
        <f t="shared" si="43"/>
        <v>101.32985937923851</v>
      </c>
      <c r="AJ41" s="148">
        <f t="shared" si="43"/>
        <v>101.33576316223829</v>
      </c>
      <c r="AK41" s="148">
        <f t="shared" si="43"/>
        <v>104.60603918156642</v>
      </c>
    </row>
    <row r="42" spans="1:37" x14ac:dyDescent="0.2">
      <c r="A42" s="119" t="s">
        <v>89</v>
      </c>
      <c r="B42" s="172">
        <f>monthly_data!L9*0.8/1000</f>
        <v>98.006400000000014</v>
      </c>
      <c r="C42" s="172">
        <f>monthly_data!$L21*0.8/1000</f>
        <v>43.905600000000007</v>
      </c>
      <c r="D42" s="172">
        <f>monthly_data!$L33*0.8/1000</f>
        <v>0</v>
      </c>
      <c r="E42" s="172">
        <f>monthly_data!$L45*0.8/1000</f>
        <v>40.340000000000003</v>
      </c>
      <c r="F42" s="172">
        <f>monthly_data!$L57*0.8/1000</f>
        <v>9.3088000000000015</v>
      </c>
      <c r="G42" s="172">
        <f>monthly_data!$L69*0.8/1000</f>
        <v>0</v>
      </c>
      <c r="H42" s="172">
        <f>monthly_data!$L81*0.8/1000</f>
        <v>39.432000000000002</v>
      </c>
      <c r="I42" s="172">
        <f>monthly_data!$L93*0.8/1000</f>
        <v>147.7064</v>
      </c>
      <c r="J42" s="172">
        <f>monthly_data!$L105*0.8/1000</f>
        <v>60.415999999999997</v>
      </c>
      <c r="K42" s="172">
        <f>monthly_data!$L117*0.8/1000</f>
        <v>96.978400000000008</v>
      </c>
      <c r="L42" s="148">
        <f t="shared" si="45"/>
        <v>131.05700355509916</v>
      </c>
      <c r="M42" s="148">
        <f t="shared" si="44"/>
        <v>139.06954385238006</v>
      </c>
      <c r="N42" s="148">
        <f t="shared" si="44"/>
        <v>143.10033946819689</v>
      </c>
      <c r="O42" s="148">
        <f t="shared" si="44"/>
        <v>140.31147568159258</v>
      </c>
      <c r="P42" s="148">
        <f t="shared" si="44"/>
        <v>155.99912043522002</v>
      </c>
      <c r="Q42" s="148">
        <f t="shared" si="44"/>
        <v>161.25851886192925</v>
      </c>
      <c r="R42" s="148">
        <f t="shared" si="44"/>
        <v>172.78575142757813</v>
      </c>
      <c r="S42" s="148">
        <f t="shared" si="44"/>
        <v>187.99258476116728</v>
      </c>
      <c r="T42" s="148">
        <f t="shared" si="44"/>
        <v>192.55234145117345</v>
      </c>
      <c r="U42" s="148">
        <f t="shared" si="44"/>
        <v>204.21207434326288</v>
      </c>
      <c r="V42" s="148">
        <f t="shared" si="44"/>
        <v>214.92427388189731</v>
      </c>
      <c r="W42" s="148">
        <f t="shared" si="44"/>
        <v>198.79160197241947</v>
      </c>
      <c r="X42" s="148">
        <f t="shared" si="43"/>
        <v>177.14841355659877</v>
      </c>
      <c r="Y42" s="148">
        <f t="shared" si="43"/>
        <v>155.65887201606088</v>
      </c>
      <c r="Z42" s="148">
        <f t="shared" si="43"/>
        <v>139.65602333348147</v>
      </c>
      <c r="AA42" s="148">
        <f t="shared" si="43"/>
        <v>112.78644169678554</v>
      </c>
      <c r="AB42" s="148">
        <f t="shared" si="43"/>
        <v>80.552193757741051</v>
      </c>
      <c r="AC42" s="148">
        <f t="shared" si="43"/>
        <v>80.540557785564644</v>
      </c>
      <c r="AD42" s="148">
        <f t="shared" si="43"/>
        <v>112.76486660738024</v>
      </c>
      <c r="AE42" s="148">
        <f t="shared" si="43"/>
        <v>107.4081802410108</v>
      </c>
      <c r="AF42" s="148">
        <f t="shared" si="43"/>
        <v>96.662394799920435</v>
      </c>
      <c r="AG42" s="148">
        <f t="shared" si="43"/>
        <v>85.919675180515455</v>
      </c>
      <c r="AH42" s="148">
        <f t="shared" si="43"/>
        <v>166.46851014495712</v>
      </c>
      <c r="AI42" s="148">
        <f t="shared" si="43"/>
        <v>166.47106071874819</v>
      </c>
      <c r="AJ42" s="148">
        <f t="shared" si="43"/>
        <v>166.47262460034233</v>
      </c>
      <c r="AK42" s="148">
        <f t="shared" si="43"/>
        <v>171.84107475766515</v>
      </c>
    </row>
    <row r="43" spans="1:37" x14ac:dyDescent="0.2">
      <c r="A43" s="119" t="s">
        <v>90</v>
      </c>
      <c r="B43" s="172">
        <f>monthly_data!L10*0.8/1000</f>
        <v>0</v>
      </c>
      <c r="C43" s="172">
        <f>monthly_data!$L22*0.8/1000</f>
        <v>32.916800000000002</v>
      </c>
      <c r="D43" s="172">
        <f>monthly_data!$L34*0.8/1000</f>
        <v>40.141600000000004</v>
      </c>
      <c r="E43" s="172">
        <f>monthly_data!$L46*0.8/1000</f>
        <v>0</v>
      </c>
      <c r="F43" s="172">
        <f>monthly_data!$L58*0.8/1000</f>
        <v>114.4448</v>
      </c>
      <c r="G43" s="172">
        <f>monthly_data!$L70*0.8/1000</f>
        <v>0</v>
      </c>
      <c r="H43" s="172">
        <f>monthly_data!$L82*0.8/1000</f>
        <v>39.683999999999997</v>
      </c>
      <c r="I43" s="172">
        <f>monthly_data!$L94*0.8/1000</f>
        <v>103.69520000000001</v>
      </c>
      <c r="J43" s="172">
        <f>monthly_data!$L106*0.8/1000</f>
        <v>123.19040000000001</v>
      </c>
      <c r="K43" s="172">
        <f>monthly_data!$L118*0.8/1000</f>
        <v>125.8168</v>
      </c>
      <c r="L43" s="148">
        <f t="shared" si="45"/>
        <v>149.2600583159936</v>
      </c>
      <c r="M43" s="148">
        <f t="shared" si="44"/>
        <v>158.38549381039354</v>
      </c>
      <c r="N43" s="148">
        <f t="shared" si="44"/>
        <v>164.27594505425276</v>
      </c>
      <c r="O43" s="148">
        <f t="shared" si="44"/>
        <v>177.27093553848192</v>
      </c>
      <c r="P43" s="148">
        <f t="shared" si="44"/>
        <v>185.85341007675285</v>
      </c>
      <c r="Q43" s="148">
        <f t="shared" si="44"/>
        <v>189.78314608997152</v>
      </c>
      <c r="R43" s="148">
        <f t="shared" si="44"/>
        <v>204.51245093602398</v>
      </c>
      <c r="S43" s="148">
        <f t="shared" si="44"/>
        <v>224.02330603709655</v>
      </c>
      <c r="T43" s="148">
        <f t="shared" si="44"/>
        <v>230.92782321842984</v>
      </c>
      <c r="U43" s="148">
        <f t="shared" si="44"/>
        <v>242.80126655317554</v>
      </c>
      <c r="V43" s="148">
        <f t="shared" si="44"/>
        <v>255.44982288530932</v>
      </c>
      <c r="W43" s="148">
        <f t="shared" si="44"/>
        <v>236.65990484149887</v>
      </c>
      <c r="X43" s="148">
        <f t="shared" si="43"/>
        <v>211.10457030468731</v>
      </c>
      <c r="Y43" s="148">
        <f t="shared" si="43"/>
        <v>185.49651220809744</v>
      </c>
      <c r="Z43" s="148">
        <f t="shared" si="43"/>
        <v>166.21081354018065</v>
      </c>
      <c r="AA43" s="148">
        <f t="shared" si="43"/>
        <v>134.26275211742575</v>
      </c>
      <c r="AB43" s="148">
        <f t="shared" si="43"/>
        <v>95.931632158755832</v>
      </c>
      <c r="AC43" s="148">
        <f t="shared" si="43"/>
        <v>95.928179072074229</v>
      </c>
      <c r="AD43" s="148">
        <f t="shared" si="43"/>
        <v>134.28705350025672</v>
      </c>
      <c r="AE43" s="148">
        <f t="shared" si="43"/>
        <v>127.88172048748841</v>
      </c>
      <c r="AF43" s="148">
        <f t="shared" si="43"/>
        <v>115.1004790440002</v>
      </c>
      <c r="AG43" s="148">
        <f t="shared" si="43"/>
        <v>102.31533739551917</v>
      </c>
      <c r="AH43" s="148">
        <f t="shared" si="43"/>
        <v>198.23217616088331</v>
      </c>
      <c r="AI43" s="148">
        <f t="shared" si="43"/>
        <v>198.22943173804319</v>
      </c>
      <c r="AJ43" s="148">
        <f t="shared" si="43"/>
        <v>198.22873697934449</v>
      </c>
      <c r="AK43" s="148">
        <f t="shared" si="43"/>
        <v>204.62517450527002</v>
      </c>
    </row>
    <row r="44" spans="1:37" x14ac:dyDescent="0.2">
      <c r="A44" s="119" t="s">
        <v>91</v>
      </c>
      <c r="B44" s="172">
        <f>monthly_data!L11*0.8/1000</f>
        <v>2.0920000000000001</v>
      </c>
      <c r="C44" s="172">
        <f>monthly_data!$L23*0.8/1000</f>
        <v>84.945599999999999</v>
      </c>
      <c r="D44" s="172">
        <f>monthly_data!$L35*0.8/1000</f>
        <v>38.521599999999999</v>
      </c>
      <c r="E44" s="172">
        <f>monthly_data!$L47*0.8/1000</f>
        <v>80.506400000000014</v>
      </c>
      <c r="F44" s="172">
        <f>monthly_data!$L59*0.8/1000</f>
        <v>126.15520000000001</v>
      </c>
      <c r="G44" s="172">
        <f>monthly_data!$L71*0.8/1000</f>
        <v>0</v>
      </c>
      <c r="H44" s="172">
        <f>monthly_data!$L83*0.8/1000</f>
        <v>0</v>
      </c>
      <c r="I44" s="172">
        <f>monthly_data!$L95*0.8/1000</f>
        <v>127.04</v>
      </c>
      <c r="J44" s="172">
        <f>monthly_data!$L107*0.8/1000</f>
        <v>0</v>
      </c>
      <c r="K44" s="172">
        <f>monthly_data!$L119*0.8/1000</f>
        <v>42.378399999999999</v>
      </c>
      <c r="L44" s="148">
        <f t="shared" si="45"/>
        <v>64.445149637710003</v>
      </c>
      <c r="M44" s="148">
        <f t="shared" si="44"/>
        <v>68.385185991580684</v>
      </c>
      <c r="N44" s="148">
        <f t="shared" si="44"/>
        <v>75.190960352144103</v>
      </c>
      <c r="O44" s="148">
        <f t="shared" si="44"/>
        <v>61.571398862012749</v>
      </c>
      <c r="P44" s="148">
        <f t="shared" si="44"/>
        <v>74.813162700793526</v>
      </c>
      <c r="Q44" s="148">
        <f t="shared" si="44"/>
        <v>78.27405853278205</v>
      </c>
      <c r="R44" s="148">
        <f t="shared" si="44"/>
        <v>83.675273912832267</v>
      </c>
      <c r="S44" s="148">
        <f t="shared" si="44"/>
        <v>90.78729099041503</v>
      </c>
      <c r="T44" s="148">
        <f t="shared" si="44"/>
        <v>91.557925882078976</v>
      </c>
      <c r="U44" s="148">
        <f t="shared" si="44"/>
        <v>98.309216399495497</v>
      </c>
      <c r="V44" s="148">
        <f t="shared" si="44"/>
        <v>103.53304461230498</v>
      </c>
      <c r="W44" s="148">
        <f t="shared" si="44"/>
        <v>95.640452024827013</v>
      </c>
      <c r="X44" s="148">
        <f t="shared" si="43"/>
        <v>85.130761758069951</v>
      </c>
      <c r="Y44" s="148">
        <f t="shared" si="43"/>
        <v>74.733535976231067</v>
      </c>
      <c r="Z44" s="148">
        <f t="shared" si="43"/>
        <v>67.180916836407576</v>
      </c>
      <c r="AA44" s="148">
        <f t="shared" si="43"/>
        <v>54.2460177900888</v>
      </c>
      <c r="AB44" s="148">
        <f t="shared" si="43"/>
        <v>38.725857984824415</v>
      </c>
      <c r="AC44" s="148">
        <f t="shared" si="43"/>
        <v>38.711744799873607</v>
      </c>
      <c r="AD44" s="148">
        <f t="shared" si="43"/>
        <v>54.203391897508823</v>
      </c>
      <c r="AE44" s="148">
        <f t="shared" si="43"/>
        <v>51.646516185449642</v>
      </c>
      <c r="AF44" s="148">
        <f t="shared" si="43"/>
        <v>46.473951259124078</v>
      </c>
      <c r="AG44" s="148">
        <f t="shared" si="43"/>
        <v>41.305431393578523</v>
      </c>
      <c r="AH44" s="148">
        <f t="shared" si="43"/>
        <v>80.02857890668416</v>
      </c>
      <c r="AI44" s="148">
        <f t="shared" si="43"/>
        <v>80.032018480308508</v>
      </c>
      <c r="AJ44" s="148">
        <f t="shared" si="43"/>
        <v>80.035184336030113</v>
      </c>
      <c r="AK44" s="148">
        <f t="shared" si="43"/>
        <v>82.614214645852073</v>
      </c>
    </row>
    <row r="45" spans="1:37" x14ac:dyDescent="0.2">
      <c r="A45" s="119" t="s">
        <v>92</v>
      </c>
      <c r="B45" s="172">
        <f>monthly_data!L12*0.8/1000</f>
        <v>136.88</v>
      </c>
      <c r="C45" s="172">
        <f>monthly_data!$L24*0.8/1000</f>
        <v>118.78240000000001</v>
      </c>
      <c r="D45" s="172">
        <f>monthly_data!$L36*0.8/1000</f>
        <v>81.483200000000011</v>
      </c>
      <c r="E45" s="172">
        <f>monthly_data!$L48*0.8/1000</f>
        <v>155.3416</v>
      </c>
      <c r="F45" s="172">
        <f>monthly_data!$L60*0.8/1000</f>
        <v>86.504000000000005</v>
      </c>
      <c r="G45" s="172">
        <f>monthly_data!$L72*0.8/1000</f>
        <v>0</v>
      </c>
      <c r="H45" s="172">
        <f>monthly_data!$L84*0.8/1000</f>
        <v>0</v>
      </c>
      <c r="I45" s="172">
        <f>monthly_data!$L96*0.8/1000</f>
        <v>66.553600000000003</v>
      </c>
      <c r="J45" s="172">
        <f>monthly_data!$L108*0.8/1000</f>
        <v>64.620800000000003</v>
      </c>
      <c r="K45" s="172">
        <f>monthly_data!$L120*0.8/1000</f>
        <v>132.59039999999999</v>
      </c>
      <c r="L45" s="148">
        <f t="shared" si="45"/>
        <v>100.33362376908677</v>
      </c>
      <c r="M45" s="148">
        <f t="shared" si="44"/>
        <v>106.4678034146945</v>
      </c>
      <c r="N45" s="148">
        <f t="shared" si="44"/>
        <v>117.06360477428201</v>
      </c>
      <c r="O45" s="148">
        <f t="shared" si="44"/>
        <v>128.1287199237787</v>
      </c>
      <c r="P45" s="148">
        <f t="shared" si="44"/>
        <v>140.18795327492893</v>
      </c>
      <c r="Q45" s="148">
        <f t="shared" si="44"/>
        <v>134.5867511719934</v>
      </c>
      <c r="R45" s="148">
        <f t="shared" si="44"/>
        <v>146.32054483145751</v>
      </c>
      <c r="S45" s="148">
        <f t="shared" si="44"/>
        <v>161.94489645260708</v>
      </c>
      <c r="T45" s="148">
        <f t="shared" si="44"/>
        <v>167.33385074229776</v>
      </c>
      <c r="U45" s="148">
        <f t="shared" si="44"/>
        <v>176.01365349373341</v>
      </c>
      <c r="V45" s="148">
        <f t="shared" si="44"/>
        <v>183.90636179931911</v>
      </c>
      <c r="W45" s="148">
        <f t="shared" si="44"/>
        <v>170.7967644796594</v>
      </c>
      <c r="X45" s="148">
        <f t="shared" si="43"/>
        <v>152.57985155877071</v>
      </c>
      <c r="Y45" s="148">
        <f t="shared" si="43"/>
        <v>134.06676076162842</v>
      </c>
      <c r="Z45" s="148">
        <f t="shared" si="43"/>
        <v>120.06467906452478</v>
      </c>
      <c r="AA45" s="148">
        <f t="shared" si="43"/>
        <v>96.907289520860303</v>
      </c>
      <c r="AB45" s="148">
        <f t="shared" si="43"/>
        <v>69.28924781357297</v>
      </c>
      <c r="AC45" s="148">
        <f t="shared" si="43"/>
        <v>69.303366377341604</v>
      </c>
      <c r="AD45" s="148">
        <f t="shared" si="43"/>
        <v>97.002435983929146</v>
      </c>
      <c r="AE45" s="148">
        <f t="shared" si="43"/>
        <v>92.36061607351607</v>
      </c>
      <c r="AF45" s="148">
        <f t="shared" si="43"/>
        <v>83.125360911369143</v>
      </c>
      <c r="AG45" s="148">
        <f t="shared" si="43"/>
        <v>73.902207129838899</v>
      </c>
      <c r="AH45" s="148">
        <f t="shared" si="43"/>
        <v>143.18348423062045</v>
      </c>
      <c r="AI45" s="148">
        <f t="shared" si="43"/>
        <v>143.17733239818384</v>
      </c>
      <c r="AJ45" s="148">
        <f t="shared" si="43"/>
        <v>143.1743019228395</v>
      </c>
      <c r="AK45" s="148">
        <f t="shared" si="43"/>
        <v>147.79532260607292</v>
      </c>
    </row>
    <row r="46" spans="1:37" x14ac:dyDescent="0.2">
      <c r="A46" s="119" t="s">
        <v>93</v>
      </c>
      <c r="B46" s="172">
        <f>monthly_data!L13*0.8/1000</f>
        <v>161.33600000000001</v>
      </c>
      <c r="C46" s="172">
        <f>monthly_data!$L25*0.8/1000</f>
        <v>0</v>
      </c>
      <c r="D46" s="172">
        <f>monthly_data!$L37*0.8/1000</f>
        <v>0</v>
      </c>
      <c r="E46" s="172">
        <f>monthly_data!$L49*0.8/1000</f>
        <v>104.56399999999999</v>
      </c>
      <c r="F46" s="172">
        <f>monthly_data!$L61*0.8/1000</f>
        <v>41.820800000000006</v>
      </c>
      <c r="G46" s="172">
        <f>monthly_data!$L73*0.8/1000</f>
        <v>0</v>
      </c>
      <c r="H46" s="172">
        <f>monthly_data!$L85*0.8/1000</f>
        <v>41.640800000000006</v>
      </c>
      <c r="I46" s="172">
        <f>monthly_data!$L97*0.8/1000</f>
        <v>129.9272</v>
      </c>
      <c r="J46" s="172">
        <f>monthly_data!$L109*0.8/1000</f>
        <v>62.6464</v>
      </c>
      <c r="K46" s="172">
        <f>monthly_data!$L121*0.8/1000</f>
        <v>124.7616</v>
      </c>
      <c r="L46" s="148">
        <f t="shared" si="45"/>
        <v>136.55105960360024</v>
      </c>
      <c r="M46" s="148">
        <f t="shared" si="44"/>
        <v>144.89949454435686</v>
      </c>
      <c r="N46" s="148">
        <f t="shared" si="44"/>
        <v>148.96100658892078</v>
      </c>
      <c r="O46" s="148">
        <f t="shared" si="44"/>
        <v>151.91717565705113</v>
      </c>
      <c r="P46" s="148">
        <f t="shared" si="44"/>
        <v>169.56591573762242</v>
      </c>
      <c r="Q46" s="148">
        <f t="shared" si="44"/>
        <v>170.88514821171623</v>
      </c>
      <c r="R46" s="148">
        <f t="shared" si="44"/>
        <v>183.64466936984931</v>
      </c>
      <c r="S46" s="148">
        <f t="shared" si="44"/>
        <v>200.51449336653195</v>
      </c>
      <c r="T46" s="148">
        <f t="shared" si="44"/>
        <v>206.24174172771086</v>
      </c>
      <c r="U46" s="148">
        <f t="shared" si="44"/>
        <v>218.34799259080475</v>
      </c>
      <c r="V46" s="148">
        <f t="shared" si="44"/>
        <v>229.15416263546507</v>
      </c>
      <c r="W46" s="148">
        <f t="shared" si="44"/>
        <v>212.16802877648283</v>
      </c>
      <c r="X46" s="148">
        <f t="shared" si="43"/>
        <v>189.20468725914435</v>
      </c>
      <c r="Y46" s="148">
        <f t="shared" si="43"/>
        <v>166.29555313423168</v>
      </c>
      <c r="Z46" s="148">
        <f t="shared" si="43"/>
        <v>149.12107928982681</v>
      </c>
      <c r="AA46" s="148">
        <f t="shared" si="43"/>
        <v>120.39281050301916</v>
      </c>
      <c r="AB46" s="148">
        <f t="shared" si="43"/>
        <v>86.011865646853238</v>
      </c>
      <c r="AC46" s="148">
        <f t="shared" si="43"/>
        <v>86.01120917335588</v>
      </c>
      <c r="AD46" s="148">
        <f t="shared" si="43"/>
        <v>120.41964974238698</v>
      </c>
      <c r="AE46" s="148">
        <f t="shared" si="43"/>
        <v>114.68502333784532</v>
      </c>
      <c r="AF46" s="148">
        <f t="shared" si="43"/>
        <v>103.21054403545968</v>
      </c>
      <c r="AG46" s="148">
        <f t="shared" si="43"/>
        <v>91.746209786229414</v>
      </c>
      <c r="AH46" s="148">
        <f t="shared" si="43"/>
        <v>177.75835242592885</v>
      </c>
      <c r="AI46" s="148">
        <f t="shared" si="43"/>
        <v>177.75861470908828</v>
      </c>
      <c r="AJ46" s="148">
        <f t="shared" si="43"/>
        <v>177.7579402856129</v>
      </c>
      <c r="AK46" s="148">
        <f t="shared" si="43"/>
        <v>183.49144220278905</v>
      </c>
    </row>
    <row r="47" spans="1:37" x14ac:dyDescent="0.2">
      <c r="A47" s="119" t="s">
        <v>94</v>
      </c>
      <c r="B47" s="172">
        <f>monthly_data!L14*0.8/1000</f>
        <v>33.0304</v>
      </c>
      <c r="C47" s="172">
        <f>monthly_data!$L26*0.8/1000</f>
        <v>34.444000000000003</v>
      </c>
      <c r="D47" s="172">
        <f>monthly_data!$L38*0.8/1000</f>
        <v>0.80400000000000005</v>
      </c>
      <c r="E47" s="172">
        <f>monthly_data!$L50*0.8/1000</f>
        <v>75.402400000000014</v>
      </c>
      <c r="F47" s="172">
        <f>monthly_data!$L62*0.8/1000</f>
        <v>40.719200000000008</v>
      </c>
      <c r="G47" s="172">
        <f>monthly_data!$L74*0.8/1000</f>
        <v>65.48960000000001</v>
      </c>
      <c r="H47" s="172">
        <f>monthly_data!$L86*0.8/1000</f>
        <v>0</v>
      </c>
      <c r="I47" s="172">
        <f>monthly_data!$L98*0.8/1000</f>
        <v>167.02080000000001</v>
      </c>
      <c r="J47" s="172">
        <f>monthly_data!$L110*0.8/1000</f>
        <v>66.962400000000002</v>
      </c>
      <c r="K47" s="172">
        <f>monthly_data!$L122*0.8/1000</f>
        <v>40.688000000000002</v>
      </c>
      <c r="L47" s="148">
        <f t="shared" ref="L47:V47" si="46">L48-(SUM(L36:L46))</f>
        <v>189.12807531308272</v>
      </c>
      <c r="M47" s="148">
        <f t="shared" si="46"/>
        <v>135.6218177402161</v>
      </c>
      <c r="N47" s="148">
        <f t="shared" si="46"/>
        <v>149.11906098852751</v>
      </c>
      <c r="O47" s="148">
        <f t="shared" si="46"/>
        <v>142.99122829743351</v>
      </c>
      <c r="P47" s="148">
        <f t="shared" si="46"/>
        <v>157.68531111398033</v>
      </c>
      <c r="Q47" s="148">
        <f t="shared" si="46"/>
        <v>176.03306669391804</v>
      </c>
      <c r="R47" s="148">
        <f t="shared" si="46"/>
        <v>177.85704755248503</v>
      </c>
      <c r="S47" s="148">
        <f t="shared" si="46"/>
        <v>195.34027786543083</v>
      </c>
      <c r="T47" s="148">
        <f t="shared" si="46"/>
        <v>199.97810153488194</v>
      </c>
      <c r="U47" s="148">
        <f t="shared" si="46"/>
        <v>212.72817642534824</v>
      </c>
      <c r="V47" s="148">
        <f t="shared" si="46"/>
        <v>225.01442574785119</v>
      </c>
      <c r="W47" s="148">
        <f t="shared" ref="W47:AK47" si="47">W48-(SUM(W36:W46))</f>
        <v>206.65175181028667</v>
      </c>
      <c r="X47" s="148">
        <f t="shared" si="47"/>
        <v>184.46516237454512</v>
      </c>
      <c r="Y47" s="148">
        <f t="shared" si="47"/>
        <v>162.1537549939917</v>
      </c>
      <c r="Z47" s="148">
        <f t="shared" si="47"/>
        <v>145.57257093306566</v>
      </c>
      <c r="AA47" s="148">
        <f t="shared" si="47"/>
        <v>117.58188474578515</v>
      </c>
      <c r="AB47" s="148">
        <f t="shared" si="47"/>
        <v>83.879293649760939</v>
      </c>
      <c r="AC47" s="148">
        <f t="shared" si="47"/>
        <v>83.909596777880893</v>
      </c>
      <c r="AD47" s="148">
        <f t="shared" si="47"/>
        <v>117.50036908594507</v>
      </c>
      <c r="AE47" s="148">
        <f t="shared" si="47"/>
        <v>111.92728881478308</v>
      </c>
      <c r="AF47" s="148">
        <f t="shared" si="47"/>
        <v>100.72143255798687</v>
      </c>
      <c r="AG47" s="148">
        <f t="shared" si="47"/>
        <v>89.516940384064128</v>
      </c>
      <c r="AH47" s="148">
        <f t="shared" si="47"/>
        <v>173.45382729156063</v>
      </c>
      <c r="AI47" s="148">
        <f t="shared" si="47"/>
        <v>173.45958115249573</v>
      </c>
      <c r="AJ47" s="148">
        <f t="shared" si="47"/>
        <v>173.46078600196211</v>
      </c>
      <c r="AK47" s="148">
        <f t="shared" si="47"/>
        <v>179.05198548360795</v>
      </c>
    </row>
    <row r="48" spans="1:37" s="174" customFormat="1" ht="13.5" thickBot="1" x14ac:dyDescent="0.25">
      <c r="A48" s="119" t="s">
        <v>121</v>
      </c>
      <c r="B48" s="147">
        <f>SUM(B36:B47)</f>
        <v>1099.1608000000001</v>
      </c>
      <c r="C48" s="147">
        <f t="shared" ref="C48:K48" si="48">SUM(C36:C47)</f>
        <v>1019.4296000000002</v>
      </c>
      <c r="D48" s="147">
        <f t="shared" si="48"/>
        <v>460.63599999999997</v>
      </c>
      <c r="E48" s="147">
        <f t="shared" si="48"/>
        <v>686.2568</v>
      </c>
      <c r="F48" s="147">
        <f t="shared" si="48"/>
        <v>830.20400000000006</v>
      </c>
      <c r="G48" s="147">
        <f t="shared" si="48"/>
        <v>261.34879999999998</v>
      </c>
      <c r="H48" s="147">
        <f t="shared" si="48"/>
        <v>299.0752</v>
      </c>
      <c r="I48" s="147">
        <f t="shared" si="48"/>
        <v>1035.4679999999998</v>
      </c>
      <c r="J48" s="147">
        <f t="shared" si="48"/>
        <v>793.70080000000007</v>
      </c>
      <c r="K48" s="147">
        <f t="shared" si="48"/>
        <v>896.50400000000025</v>
      </c>
      <c r="L48" s="148">
        <f>L5</f>
        <v>1250</v>
      </c>
      <c r="M48" s="148">
        <f t="shared" ref="M48:AK48" si="49">M5</f>
        <v>1250</v>
      </c>
      <c r="N48" s="148">
        <f t="shared" si="49"/>
        <v>1300</v>
      </c>
      <c r="O48" s="148">
        <f t="shared" si="49"/>
        <v>1350</v>
      </c>
      <c r="P48" s="148">
        <f t="shared" si="49"/>
        <v>1450</v>
      </c>
      <c r="Q48" s="148">
        <f t="shared" si="49"/>
        <v>1500</v>
      </c>
      <c r="R48" s="148">
        <f t="shared" si="49"/>
        <v>1600</v>
      </c>
      <c r="S48" s="148">
        <f t="shared" si="49"/>
        <v>1750</v>
      </c>
      <c r="T48" s="148">
        <f t="shared" si="49"/>
        <v>1800</v>
      </c>
      <c r="U48" s="148">
        <f t="shared" si="49"/>
        <v>1900</v>
      </c>
      <c r="V48" s="148">
        <f t="shared" si="49"/>
        <v>2000</v>
      </c>
      <c r="W48" s="148">
        <f t="shared" si="49"/>
        <v>1850</v>
      </c>
      <c r="X48" s="148">
        <f t="shared" si="49"/>
        <v>1650</v>
      </c>
      <c r="Y48" s="148">
        <f t="shared" si="49"/>
        <v>1450</v>
      </c>
      <c r="Z48" s="148">
        <f t="shared" si="49"/>
        <v>1300</v>
      </c>
      <c r="AA48" s="148">
        <f t="shared" si="49"/>
        <v>1050</v>
      </c>
      <c r="AB48" s="148">
        <f t="shared" si="49"/>
        <v>750</v>
      </c>
      <c r="AC48" s="148">
        <f t="shared" si="49"/>
        <v>750</v>
      </c>
      <c r="AD48" s="148">
        <f t="shared" si="49"/>
        <v>1050</v>
      </c>
      <c r="AE48" s="148">
        <f t="shared" si="49"/>
        <v>1000</v>
      </c>
      <c r="AF48" s="148">
        <f t="shared" si="49"/>
        <v>900</v>
      </c>
      <c r="AG48" s="148">
        <f t="shared" si="49"/>
        <v>800</v>
      </c>
      <c r="AH48" s="148">
        <f t="shared" si="49"/>
        <v>1550</v>
      </c>
      <c r="AI48" s="148">
        <f t="shared" si="49"/>
        <v>1550</v>
      </c>
      <c r="AJ48" s="148">
        <f t="shared" si="49"/>
        <v>1550</v>
      </c>
      <c r="AK48" s="148">
        <f t="shared" si="49"/>
        <v>1600</v>
      </c>
    </row>
    <row r="49" spans="1:37" x14ac:dyDescent="0.2">
      <c r="A49" s="150"/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3">
        <f>L5</f>
        <v>1250</v>
      </c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  <c r="AK49" s="150"/>
    </row>
    <row r="50" spans="1:37" ht="13.5" thickBot="1" x14ac:dyDescent="0.25">
      <c r="A50" s="119" t="s">
        <v>67</v>
      </c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</row>
    <row r="51" spans="1:37" ht="13.5" thickBot="1" x14ac:dyDescent="0.25">
      <c r="A51" s="157" t="s">
        <v>71</v>
      </c>
      <c r="B51" s="146">
        <f t="shared" ref="B51:AK51" si="50">B2</f>
        <v>2015</v>
      </c>
      <c r="C51" s="146">
        <f t="shared" si="50"/>
        <v>2016</v>
      </c>
      <c r="D51" s="146">
        <f t="shared" si="50"/>
        <v>2017</v>
      </c>
      <c r="E51" s="146">
        <f t="shared" si="50"/>
        <v>2018</v>
      </c>
      <c r="F51" s="146">
        <f t="shared" si="50"/>
        <v>2019</v>
      </c>
      <c r="G51" s="146">
        <f t="shared" si="50"/>
        <v>2020</v>
      </c>
      <c r="H51" s="146">
        <f t="shared" si="50"/>
        <v>2021</v>
      </c>
      <c r="I51" s="146">
        <f t="shared" si="50"/>
        <v>2022</v>
      </c>
      <c r="J51" s="146">
        <f t="shared" si="50"/>
        <v>2023</v>
      </c>
      <c r="K51" s="146">
        <f t="shared" si="50"/>
        <v>2024</v>
      </c>
      <c r="L51" s="146">
        <f t="shared" si="50"/>
        <v>2025</v>
      </c>
      <c r="M51" s="146">
        <f t="shared" si="50"/>
        <v>2026</v>
      </c>
      <c r="N51" s="146">
        <f t="shared" si="50"/>
        <v>2027</v>
      </c>
      <c r="O51" s="146">
        <f t="shared" si="50"/>
        <v>2028</v>
      </c>
      <c r="P51" s="146">
        <f t="shared" si="50"/>
        <v>2029</v>
      </c>
      <c r="Q51" s="146">
        <f t="shared" si="50"/>
        <v>2030</v>
      </c>
      <c r="R51" s="146">
        <f t="shared" si="50"/>
        <v>2031</v>
      </c>
      <c r="S51" s="146">
        <f t="shared" si="50"/>
        <v>2032</v>
      </c>
      <c r="T51" s="146">
        <f t="shared" si="50"/>
        <v>2033</v>
      </c>
      <c r="U51" s="146">
        <f t="shared" si="50"/>
        <v>2034</v>
      </c>
      <c r="V51" s="146">
        <f t="shared" si="50"/>
        <v>2035</v>
      </c>
      <c r="W51" s="146">
        <f t="shared" si="50"/>
        <v>2036</v>
      </c>
      <c r="X51" s="146">
        <f t="shared" si="50"/>
        <v>2037</v>
      </c>
      <c r="Y51" s="146">
        <f t="shared" si="50"/>
        <v>2038</v>
      </c>
      <c r="Z51" s="146">
        <f t="shared" si="50"/>
        <v>2039</v>
      </c>
      <c r="AA51" s="146">
        <f t="shared" si="50"/>
        <v>2040</v>
      </c>
      <c r="AB51" s="146">
        <f t="shared" si="50"/>
        <v>2041</v>
      </c>
      <c r="AC51" s="146">
        <f t="shared" si="50"/>
        <v>2042</v>
      </c>
      <c r="AD51" s="146">
        <f t="shared" si="50"/>
        <v>2043</v>
      </c>
      <c r="AE51" s="146">
        <f t="shared" si="50"/>
        <v>2044</v>
      </c>
      <c r="AF51" s="146">
        <f t="shared" si="50"/>
        <v>2045</v>
      </c>
      <c r="AG51" s="146">
        <f t="shared" si="50"/>
        <v>2046</v>
      </c>
      <c r="AH51" s="146">
        <f t="shared" si="50"/>
        <v>2047</v>
      </c>
      <c r="AI51" s="146">
        <f t="shared" si="50"/>
        <v>2048</v>
      </c>
      <c r="AJ51" s="146">
        <f t="shared" si="50"/>
        <v>2049</v>
      </c>
      <c r="AK51" s="146">
        <f t="shared" si="50"/>
        <v>2050</v>
      </c>
    </row>
    <row r="52" spans="1:37" x14ac:dyDescent="0.2">
      <c r="A52" s="119" t="s">
        <v>83</v>
      </c>
      <c r="B52" s="172">
        <f>monthly_data!$N3*0.8/1000</f>
        <v>2.5696000000000003</v>
      </c>
      <c r="C52" s="172">
        <f>monthly_data!$N15*0.8/1000</f>
        <v>0</v>
      </c>
      <c r="D52" s="172">
        <f>monthly_data!$N27*0.8/1000</f>
        <v>7.1239999999999997</v>
      </c>
      <c r="E52" s="172">
        <f>monthly_data!$N39*0.8/1000</f>
        <v>3.6160000000000001</v>
      </c>
      <c r="F52" s="172">
        <f>monthly_data!$N51*0.8/1000</f>
        <v>151.304</v>
      </c>
      <c r="G52" s="172">
        <f>monthly_data!$N63*0.8/1000</f>
        <v>116.5</v>
      </c>
      <c r="H52" s="172">
        <f>monthly_data!$N75*0.8/1000</f>
        <v>76.905600000000007</v>
      </c>
      <c r="I52" s="172">
        <f>monthly_data!$N87*0.8/1000</f>
        <v>103.46720000000001</v>
      </c>
      <c r="J52" s="172">
        <f>monthly_data!$N99*0.8/1000</f>
        <v>128.39520000000002</v>
      </c>
      <c r="K52" s="172">
        <f>monthly_data!$N111*0.8/1000</f>
        <v>167.30160000000001</v>
      </c>
      <c r="L52" s="172">
        <f>monthly_data!$N123*0.8/1000</f>
        <v>193.696</v>
      </c>
      <c r="M52" s="148">
        <f>M$64*(SUM(H52:L52)/SUM(H$64:L$64))</f>
        <v>226.53543307086616</v>
      </c>
      <c r="N52" s="148">
        <f t="shared" ref="N52:V62" si="51">N$64*(SUM(I52:M52)/SUM(I$64:M$64))</f>
        <v>229.12085210956013</v>
      </c>
      <c r="O52" s="148">
        <f t="shared" si="51"/>
        <v>230.84729659531635</v>
      </c>
      <c r="P52" s="148">
        <f t="shared" si="51"/>
        <v>252.77369716856097</v>
      </c>
      <c r="Q52" s="148">
        <f t="shared" si="51"/>
        <v>285.82608556953556</v>
      </c>
      <c r="R52" s="148">
        <f t="shared" si="51"/>
        <v>308.87875195957986</v>
      </c>
      <c r="S52" s="148">
        <f t="shared" si="51"/>
        <v>349.34421963930646</v>
      </c>
      <c r="T52" s="148">
        <f t="shared" si="51"/>
        <v>376.79427494339131</v>
      </c>
      <c r="U52" s="148">
        <f t="shared" si="51"/>
        <v>401.18587999235911</v>
      </c>
      <c r="V52" s="148">
        <f t="shared" si="51"/>
        <v>442.60991797055027</v>
      </c>
      <c r="W52" s="148">
        <f t="shared" ref="W52:W62" si="52">W$64*(SUM(R52:V52)/SUM(R$64:V$64))</f>
        <v>467.108215484715</v>
      </c>
      <c r="X52" s="148">
        <f t="shared" ref="X52:AK62" si="53">X$64*(SUM(S52:W52)/SUM(S$64:W$64))</f>
        <v>491.1036267237788</v>
      </c>
      <c r="Y52" s="148">
        <f t="shared" si="53"/>
        <v>515.30394500334035</v>
      </c>
      <c r="Z52" s="148">
        <f t="shared" si="53"/>
        <v>546.47049322031262</v>
      </c>
      <c r="AA52" s="148">
        <f t="shared" si="53"/>
        <v>574.14461929051652</v>
      </c>
      <c r="AB52" s="148">
        <f t="shared" si="53"/>
        <v>601.83836873565792</v>
      </c>
      <c r="AC52" s="148">
        <f t="shared" si="53"/>
        <v>643.30564746906305</v>
      </c>
      <c r="AD52" s="148">
        <f t="shared" si="53"/>
        <v>729.77708109806224</v>
      </c>
      <c r="AE52" s="148">
        <f t="shared" si="53"/>
        <v>774.74872737234546</v>
      </c>
      <c r="AF52" s="148">
        <f t="shared" si="53"/>
        <v>819.71282332971691</v>
      </c>
      <c r="AG52" s="148">
        <f t="shared" si="53"/>
        <v>892.34566200121139</v>
      </c>
      <c r="AH52" s="148">
        <f t="shared" si="53"/>
        <v>1006.4766782344857</v>
      </c>
      <c r="AI52" s="148">
        <f t="shared" si="53"/>
        <v>1079.1114031737727</v>
      </c>
      <c r="AJ52" s="148">
        <f t="shared" si="53"/>
        <v>1148.2868665998706</v>
      </c>
      <c r="AK52" s="148">
        <f t="shared" si="53"/>
        <v>1241.6714003977072</v>
      </c>
    </row>
    <row r="53" spans="1:37" x14ac:dyDescent="0.2">
      <c r="A53" s="119" t="s">
        <v>84</v>
      </c>
      <c r="B53" s="172">
        <f>monthly_data!N4*0.8/1000</f>
        <v>2.7200000000000002E-2</v>
      </c>
      <c r="C53" s="172">
        <f>monthly_data!$N16*0.8/1000</f>
        <v>0.52480000000000004</v>
      </c>
      <c r="D53" s="172">
        <f>monthly_data!$N28*0.8/1000</f>
        <v>0</v>
      </c>
      <c r="E53" s="172">
        <f>monthly_data!$N40*0.8/1000</f>
        <v>4.7424000000000008</v>
      </c>
      <c r="F53" s="172">
        <f>monthly_data!$N52*0.8/1000</f>
        <v>195.82400000000001</v>
      </c>
      <c r="G53" s="172">
        <f>monthly_data!$N64*0.8/1000</f>
        <v>129.9032</v>
      </c>
      <c r="H53" s="172">
        <f>monthly_data!$N76*0.8/1000</f>
        <v>49.524800000000006</v>
      </c>
      <c r="I53" s="172">
        <f>monthly_data!$N88*0.8/1000</f>
        <v>68.732799999999997</v>
      </c>
      <c r="J53" s="172">
        <f>monthly_data!$N100*0.8/1000</f>
        <v>174.02160000000001</v>
      </c>
      <c r="K53" s="172">
        <f>monthly_data!$N112*0.8/1000</f>
        <v>125.93520000000001</v>
      </c>
      <c r="L53" s="172">
        <f>monthly_data!$N124*0.8/1000</f>
        <v>273.40640000000002</v>
      </c>
      <c r="M53" s="148">
        <f t="shared" ref="M53:M62" si="54">M$64*(SUM(H53:L53)/SUM(H$64:L$64))</f>
        <v>233.92753740833942</v>
      </c>
      <c r="N53" s="148">
        <f t="shared" si="51"/>
        <v>244.95530638583728</v>
      </c>
      <c r="O53" s="148">
        <f t="shared" si="51"/>
        <v>257.03231543431116</v>
      </c>
      <c r="P53" s="148">
        <f t="shared" si="51"/>
        <v>273.95009500544802</v>
      </c>
      <c r="Q53" s="148">
        <f t="shared" si="51"/>
        <v>323.74330486752791</v>
      </c>
      <c r="R53" s="148">
        <f t="shared" si="51"/>
        <v>336.23558572246532</v>
      </c>
      <c r="S53" s="148">
        <f t="shared" si="51"/>
        <v>383.67083954755174</v>
      </c>
      <c r="T53" s="148">
        <f t="shared" si="51"/>
        <v>415.58087971652822</v>
      </c>
      <c r="U53" s="148">
        <f t="shared" si="51"/>
        <v>441.8658500301197</v>
      </c>
      <c r="V53" s="148">
        <f t="shared" si="51"/>
        <v>488.6352346690295</v>
      </c>
      <c r="W53" s="148">
        <f t="shared" si="52"/>
        <v>513.64352229754843</v>
      </c>
      <c r="X53" s="148">
        <f t="shared" si="53"/>
        <v>540.85276456541669</v>
      </c>
      <c r="Y53" s="148">
        <f t="shared" si="53"/>
        <v>567.75580863574237</v>
      </c>
      <c r="Z53" s="148">
        <f t="shared" si="53"/>
        <v>601.99254100188261</v>
      </c>
      <c r="AA53" s="148">
        <f t="shared" si="53"/>
        <v>632.49727333449005</v>
      </c>
      <c r="AB53" s="148">
        <f t="shared" si="53"/>
        <v>662.7641230817386</v>
      </c>
      <c r="AC53" s="148">
        <f t="shared" si="53"/>
        <v>708.60637132469481</v>
      </c>
      <c r="AD53" s="148">
        <f t="shared" si="53"/>
        <v>803.88115338160117</v>
      </c>
      <c r="AE53" s="148">
        <f t="shared" si="53"/>
        <v>853.3878072802986</v>
      </c>
      <c r="AF53" s="148">
        <f t="shared" si="53"/>
        <v>902.90260627624252</v>
      </c>
      <c r="AG53" s="148">
        <f t="shared" si="53"/>
        <v>982.88551533614395</v>
      </c>
      <c r="AH53" s="148">
        <f t="shared" si="53"/>
        <v>1108.6326747287665</v>
      </c>
      <c r="AI53" s="148">
        <f t="shared" si="53"/>
        <v>1188.6381688656447</v>
      </c>
      <c r="AJ53" s="148">
        <f t="shared" si="53"/>
        <v>1264.8262696412376</v>
      </c>
      <c r="AK53" s="148">
        <f t="shared" si="53"/>
        <v>1367.6858736436675</v>
      </c>
    </row>
    <row r="54" spans="1:37" x14ac:dyDescent="0.2">
      <c r="A54" s="119" t="s">
        <v>85</v>
      </c>
      <c r="B54" s="172">
        <f>monthly_data!N5*0.8/1000</f>
        <v>2.5272000000000001</v>
      </c>
      <c r="C54" s="172">
        <f>monthly_data!$N17*0.8/1000</f>
        <v>3.6592000000000002</v>
      </c>
      <c r="D54" s="172">
        <f>monthly_data!$N29*0.8/1000</f>
        <v>3.5816000000000003</v>
      </c>
      <c r="E54" s="172">
        <f>monthly_data!$N41*0.8/1000</f>
        <v>4.8</v>
      </c>
      <c r="F54" s="172">
        <f>monthly_data!$N53*0.8/1000</f>
        <v>164.4616</v>
      </c>
      <c r="G54" s="172">
        <f>monthly_data!$N65*0.8/1000</f>
        <v>140.88480000000001</v>
      </c>
      <c r="H54" s="172">
        <f>monthly_data!$N77*0.8/1000</f>
        <v>76.8232</v>
      </c>
      <c r="I54" s="172">
        <f>monthly_data!$N89*0.8/1000</f>
        <v>125.4888</v>
      </c>
      <c r="J54" s="172">
        <f>monthly_data!$N101*0.8/1000</f>
        <v>152.39439999999999</v>
      </c>
      <c r="K54" s="172">
        <f>monthly_data!$N113*0.8/1000</f>
        <v>163.93840000000003</v>
      </c>
      <c r="L54" s="148">
        <f>L$64*(SUM(G54:K54)/SUM(G$64:K$64))-25</f>
        <v>241.31817023054771</v>
      </c>
      <c r="M54" s="148">
        <f t="shared" si="54"/>
        <v>257.04297231598468</v>
      </c>
      <c r="N54" s="148">
        <f t="shared" si="51"/>
        <v>262.89562086482152</v>
      </c>
      <c r="O54" s="148">
        <f t="shared" si="51"/>
        <v>263.22298116964572</v>
      </c>
      <c r="P54" s="148">
        <f t="shared" si="51"/>
        <v>286.7785291456147</v>
      </c>
      <c r="Q54" s="148">
        <f t="shared" si="51"/>
        <v>330.80375902525532</v>
      </c>
      <c r="R54" s="148">
        <f t="shared" si="51"/>
        <v>353.16205032407265</v>
      </c>
      <c r="S54" s="148">
        <f t="shared" si="51"/>
        <v>399.95544178166767</v>
      </c>
      <c r="T54" s="148">
        <f t="shared" si="51"/>
        <v>431.2290096795204</v>
      </c>
      <c r="U54" s="148">
        <f t="shared" si="51"/>
        <v>459.39283436244216</v>
      </c>
      <c r="V54" s="148">
        <f t="shared" si="51"/>
        <v>507.51308470308965</v>
      </c>
      <c r="W54" s="148">
        <f t="shared" si="52"/>
        <v>534.8417620899761</v>
      </c>
      <c r="X54" s="148">
        <f t="shared" si="53"/>
        <v>562.4386465731252</v>
      </c>
      <c r="Y54" s="148">
        <f t="shared" si="53"/>
        <v>590.18553218065847</v>
      </c>
      <c r="Z54" s="148">
        <f t="shared" si="53"/>
        <v>625.95634905323584</v>
      </c>
      <c r="AA54" s="148">
        <f t="shared" si="53"/>
        <v>657.68998902193005</v>
      </c>
      <c r="AB54" s="148">
        <f t="shared" si="53"/>
        <v>689.29804870919077</v>
      </c>
      <c r="AC54" s="148">
        <f t="shared" si="53"/>
        <v>736.82604967058842</v>
      </c>
      <c r="AD54" s="148">
        <f t="shared" si="53"/>
        <v>835.8832045403509</v>
      </c>
      <c r="AE54" s="148">
        <f t="shared" si="53"/>
        <v>887.40381629379476</v>
      </c>
      <c r="AF54" s="148">
        <f t="shared" si="53"/>
        <v>938.90006519448241</v>
      </c>
      <c r="AG54" s="148">
        <f t="shared" si="53"/>
        <v>1022.0777961021018</v>
      </c>
      <c r="AH54" s="148">
        <f t="shared" si="53"/>
        <v>1152.8113451202364</v>
      </c>
      <c r="AI54" s="148">
        <f t="shared" si="53"/>
        <v>1236.0096502066351</v>
      </c>
      <c r="AJ54" s="148">
        <f t="shared" si="53"/>
        <v>1315.2430313226378</v>
      </c>
      <c r="AK54" s="148">
        <f t="shared" si="53"/>
        <v>1422.2028236172362</v>
      </c>
    </row>
    <row r="55" spans="1:37" x14ac:dyDescent="0.2">
      <c r="A55" s="119" t="s">
        <v>86</v>
      </c>
      <c r="B55" s="172">
        <f>monthly_data!N6*0.8/1000</f>
        <v>0</v>
      </c>
      <c r="C55" s="172">
        <f>monthly_data!$N18*0.8/1000</f>
        <v>0.54880000000000007</v>
      </c>
      <c r="D55" s="172">
        <f>monthly_data!$N30*0.8/1000</f>
        <v>3.5208000000000004</v>
      </c>
      <c r="E55" s="172">
        <f>monthly_data!$N42*0.8/1000</f>
        <v>3.5432000000000001</v>
      </c>
      <c r="F55" s="172">
        <f>monthly_data!$N54*0.8/1000</f>
        <v>126.72720000000001</v>
      </c>
      <c r="G55" s="172">
        <f>monthly_data!$N66*0.8/1000</f>
        <v>48.765600000000006</v>
      </c>
      <c r="H55" s="172">
        <f>monthly_data!$N78*0.8/1000</f>
        <v>62.814399999999999</v>
      </c>
      <c r="I55" s="172">
        <f>monthly_data!$N90*0.8/1000</f>
        <v>87.822400000000002</v>
      </c>
      <c r="J55" s="172">
        <f>monthly_data!$N102*0.8/1000</f>
        <v>129.21600000000001</v>
      </c>
      <c r="K55" s="172">
        <f>monthly_data!$N114*0.8/1000</f>
        <v>108.624</v>
      </c>
      <c r="L55" s="148">
        <f t="shared" ref="L55:L62" si="55">L$64*(SUM(G55:K55)/SUM(G$64:K$64))</f>
        <v>176.55855918402031</v>
      </c>
      <c r="M55" s="148">
        <f t="shared" si="54"/>
        <v>191.11242768082511</v>
      </c>
      <c r="N55" s="148">
        <f t="shared" si="51"/>
        <v>193.87115180655613</v>
      </c>
      <c r="O55" s="148">
        <f t="shared" si="51"/>
        <v>195.26520744014513</v>
      </c>
      <c r="P55" s="148">
        <f t="shared" si="51"/>
        <v>208.8382188088201</v>
      </c>
      <c r="Q55" s="148">
        <f t="shared" si="51"/>
        <v>243.61271090696184</v>
      </c>
      <c r="R55" s="148">
        <f t="shared" si="51"/>
        <v>260.36905037182555</v>
      </c>
      <c r="S55" s="148">
        <f t="shared" si="51"/>
        <v>294.43806950466978</v>
      </c>
      <c r="T55" s="148">
        <f t="shared" si="51"/>
        <v>317.37296614172891</v>
      </c>
      <c r="U55" s="148">
        <f t="shared" si="51"/>
        <v>337.70812708823013</v>
      </c>
      <c r="V55" s="148">
        <f t="shared" si="51"/>
        <v>373.59059894320745</v>
      </c>
      <c r="W55" s="148">
        <f t="shared" si="52"/>
        <v>393.68257758140766</v>
      </c>
      <c r="X55" s="148">
        <f t="shared" si="53"/>
        <v>413.89560640885003</v>
      </c>
      <c r="Y55" s="148">
        <f t="shared" si="53"/>
        <v>434.28766912436538</v>
      </c>
      <c r="Z55" s="148">
        <f t="shared" si="53"/>
        <v>460.59702015683217</v>
      </c>
      <c r="AA55" s="148">
        <f t="shared" si="53"/>
        <v>484.02370279162079</v>
      </c>
      <c r="AB55" s="148">
        <f t="shared" si="53"/>
        <v>507.26488564663362</v>
      </c>
      <c r="AC55" s="148">
        <f t="shared" si="53"/>
        <v>542.22156203785073</v>
      </c>
      <c r="AD55" s="148">
        <f t="shared" si="53"/>
        <v>615.11561967441878</v>
      </c>
      <c r="AE55" s="148">
        <f t="shared" si="53"/>
        <v>653.03453075848904</v>
      </c>
      <c r="AF55" s="148">
        <f t="shared" si="53"/>
        <v>690.94015745622892</v>
      </c>
      <c r="AG55" s="148">
        <f t="shared" si="53"/>
        <v>752.14418889340527</v>
      </c>
      <c r="AH55" s="148">
        <f t="shared" si="53"/>
        <v>848.347413187038</v>
      </c>
      <c r="AI55" s="148">
        <f t="shared" si="53"/>
        <v>909.57375586446267</v>
      </c>
      <c r="AJ55" s="148">
        <f t="shared" si="53"/>
        <v>967.8829767965168</v>
      </c>
      <c r="AK55" s="148">
        <f t="shared" si="53"/>
        <v>1046.5950830062636</v>
      </c>
    </row>
    <row r="56" spans="1:37" x14ac:dyDescent="0.2">
      <c r="A56" s="119" t="s">
        <v>87</v>
      </c>
      <c r="B56" s="172">
        <f>monthly_data!N7*0.8/1000</f>
        <v>0</v>
      </c>
      <c r="C56" s="172">
        <f>monthly_data!$N19*0.8/1000</f>
        <v>10.430400000000002</v>
      </c>
      <c r="D56" s="172">
        <f>monthly_data!$N31*0.8/1000</f>
        <v>0</v>
      </c>
      <c r="E56" s="172">
        <f>monthly_data!$N43*0.8/1000</f>
        <v>2.4064000000000001</v>
      </c>
      <c r="F56" s="172">
        <f>monthly_data!$N55*0.8/1000</f>
        <v>129.45599999999999</v>
      </c>
      <c r="G56" s="172">
        <f>monthly_data!$N67*0.8/1000</f>
        <v>27.392800000000001</v>
      </c>
      <c r="H56" s="172">
        <f>monthly_data!$N79*0.8/1000</f>
        <v>65.102400000000003</v>
      </c>
      <c r="I56" s="172">
        <f>monthly_data!$N91*0.8/1000</f>
        <v>127.55920000000002</v>
      </c>
      <c r="J56" s="172">
        <f>monthly_data!$N103*0.8/1000</f>
        <v>153.33680000000001</v>
      </c>
      <c r="K56" s="172">
        <f>monthly_data!$N115*0.8/1000</f>
        <v>192.25840000000002</v>
      </c>
      <c r="L56" s="148">
        <f t="shared" si="55"/>
        <v>228.40940946947833</v>
      </c>
      <c r="M56" s="148">
        <f t="shared" si="54"/>
        <v>259.31021507071677</v>
      </c>
      <c r="N56" s="148">
        <f t="shared" si="51"/>
        <v>268.68135504185983</v>
      </c>
      <c r="O56" s="148">
        <f t="shared" si="51"/>
        <v>269.18478934490065</v>
      </c>
      <c r="P56" s="148">
        <f t="shared" si="51"/>
        <v>293.87935642515077</v>
      </c>
      <c r="Q56" s="148">
        <f t="shared" si="51"/>
        <v>332.87418055995386</v>
      </c>
      <c r="R56" s="148">
        <f t="shared" si="51"/>
        <v>359.00782091611836</v>
      </c>
      <c r="S56" s="148">
        <f t="shared" si="51"/>
        <v>407.10681939440821</v>
      </c>
      <c r="T56" s="148">
        <f t="shared" si="51"/>
        <v>438.65320427074568</v>
      </c>
      <c r="U56" s="148">
        <f t="shared" si="51"/>
        <v>466.93731925648279</v>
      </c>
      <c r="V56" s="148">
        <f t="shared" si="51"/>
        <v>515.2332451463991</v>
      </c>
      <c r="W56" s="148">
        <f t="shared" si="52"/>
        <v>543.7139690844582</v>
      </c>
      <c r="X56" s="148">
        <f t="shared" si="53"/>
        <v>571.77169289584754</v>
      </c>
      <c r="Y56" s="148">
        <f t="shared" si="53"/>
        <v>599.857309789581</v>
      </c>
      <c r="Z56" s="148">
        <f t="shared" si="53"/>
        <v>636.13005778402589</v>
      </c>
      <c r="AA56" s="148">
        <f t="shared" si="53"/>
        <v>668.36129438237606</v>
      </c>
      <c r="AB56" s="148">
        <f t="shared" si="53"/>
        <v>700.6015631532191</v>
      </c>
      <c r="AC56" s="148">
        <f t="shared" si="53"/>
        <v>748.88501489092425</v>
      </c>
      <c r="AD56" s="148">
        <f t="shared" si="53"/>
        <v>849.53089512608233</v>
      </c>
      <c r="AE56" s="148">
        <f t="shared" si="53"/>
        <v>901.88377304514472</v>
      </c>
      <c r="AF56" s="148">
        <f t="shared" si="53"/>
        <v>954.23019991848685</v>
      </c>
      <c r="AG56" s="148">
        <f t="shared" si="53"/>
        <v>1038.7828615334643</v>
      </c>
      <c r="AH56" s="148">
        <f t="shared" si="53"/>
        <v>1171.6433769297525</v>
      </c>
      <c r="AI56" s="148">
        <f t="shared" si="53"/>
        <v>1256.1950739103311</v>
      </c>
      <c r="AJ56" s="148">
        <f t="shared" si="53"/>
        <v>1336.7232335339966</v>
      </c>
      <c r="AK56" s="148">
        <f t="shared" si="53"/>
        <v>1445.4331005255563</v>
      </c>
    </row>
    <row r="57" spans="1:37" x14ac:dyDescent="0.2">
      <c r="A57" s="119" t="s">
        <v>88</v>
      </c>
      <c r="B57" s="172">
        <f>monthly_data!N8*0.8/1000</f>
        <v>0</v>
      </c>
      <c r="C57" s="172">
        <f>monthly_data!$N20*0.8/1000</f>
        <v>0.37280000000000002</v>
      </c>
      <c r="D57" s="172">
        <f>monthly_data!$N32*0.8/1000</f>
        <v>0.11360000000000001</v>
      </c>
      <c r="E57" s="172">
        <f>monthly_data!$N44*0.8/1000</f>
        <v>5.3144000000000009</v>
      </c>
      <c r="F57" s="172">
        <f>monthly_data!$N56*0.8/1000</f>
        <v>102.812</v>
      </c>
      <c r="G57" s="172">
        <f>monthly_data!$N68*0.8/1000</f>
        <v>31.089600000000001</v>
      </c>
      <c r="H57" s="172">
        <f>monthly_data!$N80*0.8/1000</f>
        <v>68.628</v>
      </c>
      <c r="I57" s="172">
        <f>monthly_data!$N92*0.8/1000</f>
        <v>90.492800000000003</v>
      </c>
      <c r="J57" s="172">
        <f>monthly_data!$N104*0.8/1000</f>
        <v>150.50320000000002</v>
      </c>
      <c r="K57" s="172">
        <f>monthly_data!$N116*0.8/1000</f>
        <v>127.49680000000001</v>
      </c>
      <c r="L57" s="148">
        <f t="shared" si="55"/>
        <v>189.06344311295936</v>
      </c>
      <c r="M57" s="148">
        <f t="shared" si="54"/>
        <v>211.79487076634987</v>
      </c>
      <c r="N57" s="148">
        <f t="shared" si="51"/>
        <v>215.12736789713267</v>
      </c>
      <c r="O57" s="148">
        <f t="shared" si="51"/>
        <v>218.37403058658268</v>
      </c>
      <c r="P57" s="148">
        <f t="shared" si="51"/>
        <v>232.10668494282524</v>
      </c>
      <c r="Q57" s="148">
        <f t="shared" si="51"/>
        <v>269.0477537276156</v>
      </c>
      <c r="R57" s="148">
        <f t="shared" si="51"/>
        <v>289.04847876749301</v>
      </c>
      <c r="S57" s="148">
        <f t="shared" si="51"/>
        <v>326.96861351345649</v>
      </c>
      <c r="T57" s="148">
        <f t="shared" si="51"/>
        <v>352.48054771825429</v>
      </c>
      <c r="U57" s="148">
        <f t="shared" si="51"/>
        <v>374.6805299465467</v>
      </c>
      <c r="V57" s="148">
        <f t="shared" si="51"/>
        <v>414.38738600439933</v>
      </c>
      <c r="W57" s="148">
        <f t="shared" si="52"/>
        <v>436.9638122527997</v>
      </c>
      <c r="X57" s="148">
        <f t="shared" si="53"/>
        <v>459.38588505914231</v>
      </c>
      <c r="Y57" s="148">
        <f t="shared" si="53"/>
        <v>481.9790888669686</v>
      </c>
      <c r="Z57" s="148">
        <f t="shared" si="53"/>
        <v>511.11743124853336</v>
      </c>
      <c r="AA57" s="148">
        <f t="shared" si="53"/>
        <v>537.12974462034538</v>
      </c>
      <c r="AB57" s="148">
        <f t="shared" si="53"/>
        <v>562.96562319508712</v>
      </c>
      <c r="AC57" s="148">
        <f t="shared" si="53"/>
        <v>601.74837233986602</v>
      </c>
      <c r="AD57" s="148">
        <f t="shared" si="53"/>
        <v>682.63192667123519</v>
      </c>
      <c r="AE57" s="148">
        <f t="shared" si="53"/>
        <v>724.70709940649726</v>
      </c>
      <c r="AF57" s="148">
        <f t="shared" si="53"/>
        <v>766.78076544976921</v>
      </c>
      <c r="AG57" s="148">
        <f t="shared" si="53"/>
        <v>834.70844676561364</v>
      </c>
      <c r="AH57" s="148">
        <f t="shared" si="53"/>
        <v>941.46755707365378</v>
      </c>
      <c r="AI57" s="148">
        <f t="shared" si="53"/>
        <v>1009.4121934106732</v>
      </c>
      <c r="AJ57" s="148">
        <f t="shared" si="53"/>
        <v>1074.1219762626783</v>
      </c>
      <c r="AK57" s="148">
        <f t="shared" si="53"/>
        <v>1161.4756972639841</v>
      </c>
    </row>
    <row r="58" spans="1:37" x14ac:dyDescent="0.2">
      <c r="A58" s="119" t="s">
        <v>89</v>
      </c>
      <c r="B58" s="172">
        <f>monthly_data!N9*0.8/1000</f>
        <v>0</v>
      </c>
      <c r="C58" s="172">
        <f>monthly_data!$N21*0.8/1000</f>
        <v>3.5344000000000002</v>
      </c>
      <c r="D58" s="172">
        <f>monthly_data!$N33*0.8/1000</f>
        <v>2.3424</v>
      </c>
      <c r="E58" s="172">
        <f>monthly_data!$N45*0.8/1000</f>
        <v>7.4072000000000005</v>
      </c>
      <c r="F58" s="172">
        <f>monthly_data!$N57*0.8/1000</f>
        <v>143.03120000000001</v>
      </c>
      <c r="G58" s="172">
        <f>monthly_data!$N69*0.8/1000</f>
        <v>56.806400000000004</v>
      </c>
      <c r="H58" s="172">
        <f>monthly_data!$N81*0.8/1000</f>
        <v>77.546400000000006</v>
      </c>
      <c r="I58" s="172">
        <f>monthly_data!$N93*0.8/1000</f>
        <v>109.764</v>
      </c>
      <c r="J58" s="172">
        <f>monthly_data!$N105*0.8/1000</f>
        <v>187.3536</v>
      </c>
      <c r="K58" s="172">
        <f>monthly_data!$N117*0.8/1000</f>
        <v>268.02160000000003</v>
      </c>
      <c r="L58" s="148">
        <f>L$64*(SUM(G58:K58)/SUM(G$64:K$64))-25</f>
        <v>257.45499448532149</v>
      </c>
      <c r="M58" s="148">
        <f t="shared" si="54"/>
        <v>304.45537871219307</v>
      </c>
      <c r="N58" s="148">
        <f t="shared" si="51"/>
        <v>315.14766638734409</v>
      </c>
      <c r="O58" s="148">
        <f t="shared" si="51"/>
        <v>325.47368816634543</v>
      </c>
      <c r="P58" s="148">
        <f t="shared" si="51"/>
        <v>354.86088990282656</v>
      </c>
      <c r="Q58" s="148">
        <f t="shared" si="51"/>
        <v>392.89844153581925</v>
      </c>
      <c r="R58" s="148">
        <f t="shared" si="51"/>
        <v>426.80569336743071</v>
      </c>
      <c r="S58" s="148">
        <f t="shared" si="51"/>
        <v>485.01011723633962</v>
      </c>
      <c r="T58" s="148">
        <f t="shared" si="51"/>
        <v>523.89908593887412</v>
      </c>
      <c r="U58" s="148">
        <f t="shared" si="51"/>
        <v>556.66595702380152</v>
      </c>
      <c r="V58" s="148">
        <f t="shared" si="51"/>
        <v>613.08383488572281</v>
      </c>
      <c r="W58" s="148">
        <f t="shared" si="52"/>
        <v>647.76746397982095</v>
      </c>
      <c r="X58" s="148">
        <f t="shared" si="53"/>
        <v>681.41350965563231</v>
      </c>
      <c r="Y58" s="148">
        <f t="shared" si="53"/>
        <v>714.92325058903805</v>
      </c>
      <c r="Z58" s="148">
        <f t="shared" si="53"/>
        <v>757.89393216294707</v>
      </c>
      <c r="AA58" s="148">
        <f t="shared" si="53"/>
        <v>796.21293616761909</v>
      </c>
      <c r="AB58" s="148">
        <f t="shared" si="53"/>
        <v>834.78497347277323</v>
      </c>
      <c r="AC58" s="148">
        <f t="shared" si="53"/>
        <v>892.3352597983901</v>
      </c>
      <c r="AD58" s="148">
        <f t="shared" si="53"/>
        <v>1012.2301612391981</v>
      </c>
      <c r="AE58" s="148">
        <f t="shared" si="53"/>
        <v>1074.5636054484557</v>
      </c>
      <c r="AF58" s="148">
        <f t="shared" si="53"/>
        <v>1136.9407740499121</v>
      </c>
      <c r="AG58" s="148">
        <f t="shared" si="53"/>
        <v>1237.7136935021822</v>
      </c>
      <c r="AH58" s="148">
        <f t="shared" si="53"/>
        <v>1396.0134379615574</v>
      </c>
      <c r="AI58" s="148">
        <f t="shared" si="53"/>
        <v>1496.746962921218</v>
      </c>
      <c r="AJ58" s="148">
        <f t="shared" si="53"/>
        <v>1592.6905093262208</v>
      </c>
      <c r="AK58" s="148">
        <f t="shared" si="53"/>
        <v>1722.2222591721898</v>
      </c>
    </row>
    <row r="59" spans="1:37" x14ac:dyDescent="0.2">
      <c r="A59" s="119" t="s">
        <v>90</v>
      </c>
      <c r="B59" s="172">
        <f>monthly_data!N10*0.8/1000</f>
        <v>2.3384</v>
      </c>
      <c r="C59" s="172">
        <f>monthly_data!$N22*0.8/1000</f>
        <v>0.20960000000000004</v>
      </c>
      <c r="D59" s="172">
        <f>monthly_data!$N34*0.8/1000</f>
        <v>4.1408000000000005</v>
      </c>
      <c r="E59" s="172">
        <f>monthly_data!$N46*0.8/1000</f>
        <v>6.6639999999999997</v>
      </c>
      <c r="F59" s="172">
        <f>monthly_data!$N58*0.8/1000</f>
        <v>112.884</v>
      </c>
      <c r="G59" s="172">
        <f>monthly_data!$N70*0.8/1000</f>
        <v>38.348800000000004</v>
      </c>
      <c r="H59" s="172">
        <f>monthly_data!$N82*0.8/1000</f>
        <v>55.150400000000005</v>
      </c>
      <c r="I59" s="172">
        <f>monthly_data!$N94*0.8/1000</f>
        <v>109.35520000000001</v>
      </c>
      <c r="J59" s="172">
        <f>monthly_data!$N106*0.8/1000</f>
        <v>140.60880000000003</v>
      </c>
      <c r="K59" s="172">
        <f>monthly_data!$N118*0.8/1000</f>
        <v>221.82</v>
      </c>
      <c r="L59" s="148">
        <f t="shared" si="55"/>
        <v>228.2614570840623</v>
      </c>
      <c r="M59" s="148">
        <f t="shared" si="54"/>
        <v>255.43058726495059</v>
      </c>
      <c r="N59" s="148">
        <f t="shared" si="51"/>
        <v>267.17196193182133</v>
      </c>
      <c r="O59" s="148">
        <f t="shared" si="51"/>
        <v>271.94421822002812</v>
      </c>
      <c r="P59" s="148">
        <f t="shared" si="51"/>
        <v>300.34264722651051</v>
      </c>
      <c r="Q59" s="148">
        <f t="shared" si="51"/>
        <v>333.80401931116091</v>
      </c>
      <c r="R59" s="148">
        <f t="shared" si="51"/>
        <v>360.2088261244985</v>
      </c>
      <c r="S59" s="148">
        <f t="shared" si="51"/>
        <v>409.73714009051838</v>
      </c>
      <c r="T59" s="148">
        <f t="shared" si="51"/>
        <v>442.34386623735128</v>
      </c>
      <c r="U59" s="148">
        <f t="shared" si="51"/>
        <v>470.73985468757053</v>
      </c>
      <c r="V59" s="148">
        <f t="shared" si="51"/>
        <v>518.38296069425849</v>
      </c>
      <c r="W59" s="148">
        <f t="shared" si="52"/>
        <v>547.31253675435846</v>
      </c>
      <c r="X59" s="148">
        <f t="shared" si="53"/>
        <v>575.83925789795603</v>
      </c>
      <c r="Y59" s="148">
        <f t="shared" si="53"/>
        <v>604.18754438802011</v>
      </c>
      <c r="Z59" s="148">
        <f t="shared" si="53"/>
        <v>640.59853790851025</v>
      </c>
      <c r="AA59" s="148">
        <f t="shared" si="53"/>
        <v>672.93435259656644</v>
      </c>
      <c r="AB59" s="148">
        <f t="shared" si="53"/>
        <v>705.48235725453537</v>
      </c>
      <c r="AC59" s="148">
        <f t="shared" si="53"/>
        <v>754.14679506778134</v>
      </c>
      <c r="AD59" s="148">
        <f t="shared" si="53"/>
        <v>855.48711032707354</v>
      </c>
      <c r="AE59" s="148">
        <f t="shared" si="53"/>
        <v>908.17587743754257</v>
      </c>
      <c r="AF59" s="148">
        <f t="shared" si="53"/>
        <v>960.87999871590978</v>
      </c>
      <c r="AG59" s="148">
        <f t="shared" si="53"/>
        <v>1046.0430347007107</v>
      </c>
      <c r="AH59" s="148">
        <f t="shared" si="53"/>
        <v>1179.8362450971902</v>
      </c>
      <c r="AI59" s="148">
        <f t="shared" si="53"/>
        <v>1264.9727658303593</v>
      </c>
      <c r="AJ59" s="148">
        <f t="shared" si="53"/>
        <v>1346.0585703718068</v>
      </c>
      <c r="AK59" s="148">
        <f t="shared" si="53"/>
        <v>1455.5292522258992</v>
      </c>
    </row>
    <row r="60" spans="1:37" x14ac:dyDescent="0.2">
      <c r="A60" s="119" t="s">
        <v>91</v>
      </c>
      <c r="B60" s="172">
        <f>monthly_data!N11*0.8/1000</f>
        <v>0</v>
      </c>
      <c r="C60" s="172">
        <f>monthly_data!$N23*0.8/1000</f>
        <v>2.7416000000000005</v>
      </c>
      <c r="D60" s="172">
        <f>monthly_data!$N35*0.8/1000</f>
        <v>0.47360000000000002</v>
      </c>
      <c r="E60" s="172">
        <f>monthly_data!$N47*0.8/1000</f>
        <v>8.5583999999999989</v>
      </c>
      <c r="F60" s="172">
        <f>monthly_data!$N59*0.8/1000</f>
        <v>140.70400000000001</v>
      </c>
      <c r="G60" s="172">
        <f>monthly_data!$N71*0.8/1000</f>
        <v>49.785600000000002</v>
      </c>
      <c r="H60" s="172">
        <f>monthly_data!$N83*0.8/1000</f>
        <v>77.747199999999992</v>
      </c>
      <c r="I60" s="172">
        <f>monthly_data!$N95*0.8/1000</f>
        <v>110.1576</v>
      </c>
      <c r="J60" s="172">
        <f>monthly_data!$N107*0.8/1000</f>
        <v>138.2912</v>
      </c>
      <c r="K60" s="172">
        <f>monthly_data!$N119*0.8/1000</f>
        <v>314.81760000000003</v>
      </c>
      <c r="L60" s="148">
        <f>L$64*(SUM(G60:K60)/SUM(G$64:K$64))-25</f>
        <v>253.94484029333358</v>
      </c>
      <c r="M60" s="148">
        <f t="shared" si="54"/>
        <v>302.7026139477411</v>
      </c>
      <c r="N60" s="148">
        <f t="shared" si="51"/>
        <v>313.15236358026522</v>
      </c>
      <c r="O60" s="148">
        <f t="shared" si="51"/>
        <v>323.14710723030709</v>
      </c>
      <c r="P60" s="148">
        <f t="shared" si="51"/>
        <v>363.84036608991443</v>
      </c>
      <c r="Q60" s="148">
        <f t="shared" si="51"/>
        <v>392.74572998404136</v>
      </c>
      <c r="R60" s="148">
        <f t="shared" si="51"/>
        <v>427.49956967159193</v>
      </c>
      <c r="S60" s="148">
        <f t="shared" si="51"/>
        <v>486.39920315388395</v>
      </c>
      <c r="T60" s="148">
        <f t="shared" si="51"/>
        <v>526.16437142407142</v>
      </c>
      <c r="U60" s="148">
        <f t="shared" si="51"/>
        <v>560.02486126928864</v>
      </c>
      <c r="V60" s="148">
        <f t="shared" si="51"/>
        <v>615.02553844250656</v>
      </c>
      <c r="W60" s="148">
        <f t="shared" si="52"/>
        <v>650.16635070862105</v>
      </c>
      <c r="X60" s="148">
        <f t="shared" si="53"/>
        <v>684.15077444782457</v>
      </c>
      <c r="Y60" s="148">
        <f t="shared" si="53"/>
        <v>717.92738499611823</v>
      </c>
      <c r="Z60" s="148">
        <f t="shared" si="53"/>
        <v>761.06357575905781</v>
      </c>
      <c r="AA60" s="148">
        <f t="shared" si="53"/>
        <v>799.30250230728257</v>
      </c>
      <c r="AB60" s="148">
        <f t="shared" si="53"/>
        <v>838.1256564667857</v>
      </c>
      <c r="AC60" s="148">
        <f t="shared" si="53"/>
        <v>895.95183812387154</v>
      </c>
      <c r="AD60" s="148">
        <f t="shared" si="53"/>
        <v>1016.3388620225779</v>
      </c>
      <c r="AE60" s="148">
        <f t="shared" si="53"/>
        <v>1078.899737841592</v>
      </c>
      <c r="AF60" s="148">
        <f t="shared" si="53"/>
        <v>1141.5011523752551</v>
      </c>
      <c r="AG60" s="148">
        <f t="shared" si="53"/>
        <v>1242.7043117075204</v>
      </c>
      <c r="AH60" s="148">
        <f t="shared" si="53"/>
        <v>1401.6489314539494</v>
      </c>
      <c r="AI60" s="148">
        <f t="shared" si="53"/>
        <v>1502.7854337142335</v>
      </c>
      <c r="AJ60" s="148">
        <f t="shared" si="53"/>
        <v>1599.1097853817903</v>
      </c>
      <c r="AK60" s="148">
        <f t="shared" si="53"/>
        <v>1729.1623158413684</v>
      </c>
    </row>
    <row r="61" spans="1:37" x14ac:dyDescent="0.2">
      <c r="A61" s="119" t="s">
        <v>92</v>
      </c>
      <c r="B61" s="172">
        <f>monthly_data!N12*0.8/1000</f>
        <v>0</v>
      </c>
      <c r="C61" s="172">
        <f>monthly_data!$N24*0.8/1000</f>
        <v>0.80880000000000007</v>
      </c>
      <c r="D61" s="172">
        <f>monthly_data!$N36*0.8/1000</f>
        <v>0</v>
      </c>
      <c r="E61" s="172">
        <f>monthly_data!$N48*0.8/1000</f>
        <v>34.848800000000004</v>
      </c>
      <c r="F61" s="172">
        <f>monthly_data!$N60*0.8/1000</f>
        <v>130.18559999999999</v>
      </c>
      <c r="G61" s="172">
        <f>monthly_data!$N72*0.8/1000</f>
        <v>45.910400000000003</v>
      </c>
      <c r="H61" s="172">
        <f>monthly_data!$N84*0.8/1000</f>
        <v>73.28240000000001</v>
      </c>
      <c r="I61" s="172">
        <f>monthly_data!$N96*0.8/1000</f>
        <v>101.16560000000001</v>
      </c>
      <c r="J61" s="172">
        <f>monthly_data!$N108*0.8/1000</f>
        <v>222.56320000000002</v>
      </c>
      <c r="K61" s="172">
        <f>monthly_data!$N120*0.8/1000</f>
        <v>174.20080000000002</v>
      </c>
      <c r="L61" s="148">
        <f t="shared" si="55"/>
        <v>249.19413529928624</v>
      </c>
      <c r="M61" s="148">
        <f t="shared" si="54"/>
        <v>277.4867194642714</v>
      </c>
      <c r="N61" s="148">
        <f t="shared" si="51"/>
        <v>286.50345242464499</v>
      </c>
      <c r="O61" s="148">
        <f t="shared" si="51"/>
        <v>295.55427343877091</v>
      </c>
      <c r="P61" s="148">
        <f t="shared" si="51"/>
        <v>309.58755572425798</v>
      </c>
      <c r="Q61" s="148">
        <f t="shared" si="51"/>
        <v>357.81480035608575</v>
      </c>
      <c r="R61" s="148">
        <f t="shared" si="51"/>
        <v>384.98092160145819</v>
      </c>
      <c r="S61" s="148">
        <f t="shared" si="51"/>
        <v>436.71571787848416</v>
      </c>
      <c r="T61" s="148">
        <f t="shared" si="51"/>
        <v>471.01018479636127</v>
      </c>
      <c r="U61" s="148">
        <f t="shared" si="51"/>
        <v>499.72014268433207</v>
      </c>
      <c r="V61" s="148">
        <f t="shared" si="51"/>
        <v>552.67258276413725</v>
      </c>
      <c r="W61" s="148">
        <f t="shared" si="52"/>
        <v>583.03579965533027</v>
      </c>
      <c r="X61" s="148">
        <f t="shared" si="53"/>
        <v>613.12042231675309</v>
      </c>
      <c r="Y61" s="148">
        <f t="shared" si="53"/>
        <v>643.19731857193676</v>
      </c>
      <c r="Z61" s="148">
        <f t="shared" si="53"/>
        <v>681.9341940698705</v>
      </c>
      <c r="AA61" s="148">
        <f t="shared" si="53"/>
        <v>716.68175938869751</v>
      </c>
      <c r="AB61" s="148">
        <f t="shared" si="53"/>
        <v>751.20892260860057</v>
      </c>
      <c r="AC61" s="148">
        <f t="shared" si="53"/>
        <v>802.9689819439667</v>
      </c>
      <c r="AD61" s="148">
        <f t="shared" si="53"/>
        <v>910.86931363628844</v>
      </c>
      <c r="AE61" s="148">
        <f t="shared" si="53"/>
        <v>966.99502843466246</v>
      </c>
      <c r="AF61" s="148">
        <f t="shared" si="53"/>
        <v>1023.1504572579554</v>
      </c>
      <c r="AG61" s="148">
        <f t="shared" si="53"/>
        <v>1113.7981759703684</v>
      </c>
      <c r="AH61" s="148">
        <f t="shared" si="53"/>
        <v>1256.2495963779422</v>
      </c>
      <c r="AI61" s="148">
        <f t="shared" si="53"/>
        <v>1346.9054237209598</v>
      </c>
      <c r="AJ61" s="148">
        <f t="shared" si="53"/>
        <v>1433.2501984454968</v>
      </c>
      <c r="AK61" s="148">
        <f t="shared" si="53"/>
        <v>1549.8140089415433</v>
      </c>
    </row>
    <row r="62" spans="1:37" x14ac:dyDescent="0.2">
      <c r="A62" s="119" t="s">
        <v>93</v>
      </c>
      <c r="B62" s="172">
        <f>monthly_data!N13*0.8/1000</f>
        <v>0</v>
      </c>
      <c r="C62" s="172">
        <f>monthly_data!$N25*0.8/1000</f>
        <v>0.54800000000000004</v>
      </c>
      <c r="D62" s="172">
        <f>monthly_data!$N37*0.8/1000</f>
        <v>0</v>
      </c>
      <c r="E62" s="172">
        <f>monthly_data!$N49*0.8/1000</f>
        <v>83.571200000000005</v>
      </c>
      <c r="F62" s="172">
        <f>monthly_data!$N61*0.8/1000</f>
        <v>101.23520000000001</v>
      </c>
      <c r="G62" s="172">
        <f>monthly_data!$N73*0.8/1000</f>
        <v>55.776000000000003</v>
      </c>
      <c r="H62" s="172">
        <f>monthly_data!$N85*0.8/1000</f>
        <v>87.691999999999993</v>
      </c>
      <c r="I62" s="172">
        <f>monthly_data!$N97*0.8/1000</f>
        <v>153.7456</v>
      </c>
      <c r="J62" s="172">
        <f>monthly_data!$N109*0.8/1000</f>
        <v>134.732</v>
      </c>
      <c r="K62" s="172">
        <f>monthly_data!$N121*0.8/1000</f>
        <v>200.00480000000002</v>
      </c>
      <c r="L62" s="148">
        <f t="shared" si="55"/>
        <v>255.18168434663545</v>
      </c>
      <c r="M62" s="148">
        <f t="shared" si="54"/>
        <v>281.19033077178727</v>
      </c>
      <c r="N62" s="148">
        <f t="shared" si="51"/>
        <v>286.5716690660023</v>
      </c>
      <c r="O62" s="148">
        <f t="shared" si="51"/>
        <v>282.78680365486963</v>
      </c>
      <c r="P62" s="148">
        <f t="shared" si="51"/>
        <v>315.08846192524351</v>
      </c>
      <c r="Q62" s="148">
        <f t="shared" si="51"/>
        <v>358.44368641476194</v>
      </c>
      <c r="R62" s="148">
        <f t="shared" si="51"/>
        <v>384.25837029208822</v>
      </c>
      <c r="S62" s="148">
        <f t="shared" si="51"/>
        <v>434.76732308637446</v>
      </c>
      <c r="T62" s="148">
        <f t="shared" si="51"/>
        <v>468.55342940845964</v>
      </c>
      <c r="U62" s="148">
        <f t="shared" si="51"/>
        <v>499.97562077082108</v>
      </c>
      <c r="V62" s="148">
        <f t="shared" si="51"/>
        <v>551.58192577606565</v>
      </c>
      <c r="W62" s="148">
        <f t="shared" si="52"/>
        <v>581.55331558022874</v>
      </c>
      <c r="X62" s="148">
        <f t="shared" si="53"/>
        <v>611.49964223483323</v>
      </c>
      <c r="Y62" s="148">
        <f t="shared" si="53"/>
        <v>641.68480338379493</v>
      </c>
      <c r="Z62" s="148">
        <f t="shared" si="53"/>
        <v>680.64874421466789</v>
      </c>
      <c r="AA62" s="148">
        <f t="shared" si="53"/>
        <v>715.05162862004499</v>
      </c>
      <c r="AB62" s="148">
        <f t="shared" si="53"/>
        <v>749.46164709578818</v>
      </c>
      <c r="AC62" s="148">
        <f t="shared" si="53"/>
        <v>801.13110594694297</v>
      </c>
      <c r="AD62" s="148">
        <f t="shared" si="53"/>
        <v>908.83954750794885</v>
      </c>
      <c r="AE62" s="148">
        <f t="shared" si="53"/>
        <v>964.86002104841123</v>
      </c>
      <c r="AF62" s="148">
        <f t="shared" si="53"/>
        <v>1020.8371656627838</v>
      </c>
      <c r="AG62" s="148">
        <f t="shared" si="53"/>
        <v>1111.2823718154689</v>
      </c>
      <c r="AH62" s="148">
        <f t="shared" si="53"/>
        <v>1253.4251896833628</v>
      </c>
      <c r="AI62" s="148">
        <f t="shared" si="53"/>
        <v>1343.8855202817431</v>
      </c>
      <c r="AJ62" s="148">
        <f t="shared" si="53"/>
        <v>1430.0335621325776</v>
      </c>
      <c r="AK62" s="148">
        <f t="shared" si="53"/>
        <v>1546.3269284180149</v>
      </c>
    </row>
    <row r="63" spans="1:37" x14ac:dyDescent="0.2">
      <c r="A63" s="119" t="s">
        <v>94</v>
      </c>
      <c r="B63" s="172">
        <f>monthly_data!N14*0.8/1000</f>
        <v>0.92640000000000011</v>
      </c>
      <c r="C63" s="172">
        <f>monthly_data!$N26*0.8/1000</f>
        <v>8.3199999999999996E-2</v>
      </c>
      <c r="D63" s="172">
        <f>monthly_data!$N38*0.8/1000</f>
        <v>4.7951999999999995</v>
      </c>
      <c r="E63" s="172">
        <f>monthly_data!$N50*0.8/1000</f>
        <v>120.96320000000001</v>
      </c>
      <c r="F63" s="172">
        <f>monthly_data!$N62*0.8/1000</f>
        <v>112.6016</v>
      </c>
      <c r="G63" s="172">
        <f>monthly_data!$N74*0.8/1000</f>
        <v>53.438400000000001</v>
      </c>
      <c r="H63" s="172">
        <f>monthly_data!$N86*0.8/1000</f>
        <v>88.121600000000001</v>
      </c>
      <c r="I63" s="172">
        <f>monthly_data!$N98*0.8/1000</f>
        <v>199.57920000000001</v>
      </c>
      <c r="J63" s="172">
        <f>monthly_data!$N110*0.8/1000</f>
        <v>227.20640000000003</v>
      </c>
      <c r="K63" s="172">
        <f>monthly_data!$N122*0.8/1000</f>
        <v>261.28160000000003</v>
      </c>
      <c r="L63" s="148">
        <f>L64-(SUM(L52:L62))</f>
        <v>403.51090649435537</v>
      </c>
      <c r="M63" s="148">
        <f>M64-(SUM(M52:M62))</f>
        <v>399.0109135259745</v>
      </c>
      <c r="N63" s="148">
        <f t="shared" ref="N63:AK63" si="56">N64-(SUM(N52:N62))</f>
        <v>416.80123250415454</v>
      </c>
      <c r="O63" s="148">
        <f t="shared" si="56"/>
        <v>417.16728871877694</v>
      </c>
      <c r="P63" s="148">
        <f t="shared" si="56"/>
        <v>457.95349763482773</v>
      </c>
      <c r="Q63" s="148">
        <f t="shared" si="56"/>
        <v>528.38552774128084</v>
      </c>
      <c r="R63" s="148">
        <f t="shared" si="56"/>
        <v>559.54488088137759</v>
      </c>
      <c r="S63" s="148">
        <f t="shared" si="56"/>
        <v>635.88649517333943</v>
      </c>
      <c r="T63" s="148">
        <f t="shared" si="56"/>
        <v>685.9181797247129</v>
      </c>
      <c r="U63" s="148">
        <f t="shared" si="56"/>
        <v>731.1030228880054</v>
      </c>
      <c r="V63" s="148">
        <f t="shared" si="56"/>
        <v>807.28369000063321</v>
      </c>
      <c r="W63" s="148">
        <f t="shared" si="56"/>
        <v>850.21067453073465</v>
      </c>
      <c r="X63" s="148">
        <f t="shared" si="56"/>
        <v>894.52817122083979</v>
      </c>
      <c r="Y63" s="148">
        <f t="shared" si="56"/>
        <v>938.7103444704353</v>
      </c>
      <c r="Z63" s="148">
        <f t="shared" si="56"/>
        <v>995.59712342012335</v>
      </c>
      <c r="AA63" s="148">
        <f t="shared" si="56"/>
        <v>1045.9701974785112</v>
      </c>
      <c r="AB63" s="148">
        <f t="shared" si="56"/>
        <v>1096.2038305799897</v>
      </c>
      <c r="AC63" s="148">
        <f t="shared" si="56"/>
        <v>1171.8730013860613</v>
      </c>
      <c r="AD63" s="148">
        <f t="shared" si="56"/>
        <v>1329.4151247751633</v>
      </c>
      <c r="AE63" s="148">
        <f t="shared" si="56"/>
        <v>1411.3399756327672</v>
      </c>
      <c r="AF63" s="148">
        <f t="shared" si="56"/>
        <v>1493.2238343132558</v>
      </c>
      <c r="AG63" s="148">
        <f t="shared" si="56"/>
        <v>1625.5139416718102</v>
      </c>
      <c r="AH63" s="148">
        <f t="shared" si="56"/>
        <v>1833.4475541520642</v>
      </c>
      <c r="AI63" s="148">
        <f t="shared" si="56"/>
        <v>1965.7636480999645</v>
      </c>
      <c r="AJ63" s="148">
        <f t="shared" si="56"/>
        <v>2091.77302018517</v>
      </c>
      <c r="AK63" s="148">
        <f t="shared" si="56"/>
        <v>2261.8812569465699</v>
      </c>
    </row>
    <row r="64" spans="1:37" ht="13.5" thickBot="1" x14ac:dyDescent="0.25">
      <c r="A64" s="119" t="s">
        <v>121</v>
      </c>
      <c r="B64" s="147">
        <f>SUM(B52:B63)</f>
        <v>8.3887999999999998</v>
      </c>
      <c r="C64" s="147">
        <f t="shared" ref="C64:K64" si="57">SUM(C52:C63)</f>
        <v>23.461600000000008</v>
      </c>
      <c r="D64" s="147">
        <f t="shared" si="57"/>
        <v>26.091999999999999</v>
      </c>
      <c r="E64" s="147">
        <f t="shared" si="57"/>
        <v>286.43520000000001</v>
      </c>
      <c r="F64" s="147">
        <f t="shared" si="57"/>
        <v>1611.2264</v>
      </c>
      <c r="G64" s="147">
        <f t="shared" si="57"/>
        <v>794.60160000000008</v>
      </c>
      <c r="H64" s="147">
        <f t="shared" si="57"/>
        <v>859.33840000000009</v>
      </c>
      <c r="I64" s="147">
        <f t="shared" si="57"/>
        <v>1387.3303999999998</v>
      </c>
      <c r="J64" s="147">
        <f t="shared" si="57"/>
        <v>1938.6224000000002</v>
      </c>
      <c r="K64" s="147">
        <f t="shared" si="57"/>
        <v>2325.7008000000005</v>
      </c>
      <c r="L64" s="148">
        <f>L8</f>
        <v>2950</v>
      </c>
      <c r="M64" s="148">
        <f t="shared" ref="M64:AK64" si="58">M8</f>
        <v>3200</v>
      </c>
      <c r="N64" s="148">
        <f t="shared" si="58"/>
        <v>3300</v>
      </c>
      <c r="O64" s="148">
        <f t="shared" si="58"/>
        <v>3350</v>
      </c>
      <c r="P64" s="148">
        <f t="shared" si="58"/>
        <v>3650</v>
      </c>
      <c r="Q64" s="148">
        <f t="shared" si="58"/>
        <v>4150</v>
      </c>
      <c r="R64" s="148">
        <f t="shared" si="58"/>
        <v>4450</v>
      </c>
      <c r="S64" s="148">
        <f t="shared" si="58"/>
        <v>5050</v>
      </c>
      <c r="T64" s="148">
        <f t="shared" si="58"/>
        <v>5450</v>
      </c>
      <c r="U64" s="148">
        <f t="shared" si="58"/>
        <v>5800</v>
      </c>
      <c r="V64" s="148">
        <f t="shared" si="58"/>
        <v>6400</v>
      </c>
      <c r="W64" s="148">
        <f t="shared" si="58"/>
        <v>6750</v>
      </c>
      <c r="X64" s="148">
        <f t="shared" si="58"/>
        <v>7100</v>
      </c>
      <c r="Y64" s="148">
        <f t="shared" si="58"/>
        <v>7450</v>
      </c>
      <c r="Z64" s="148">
        <f t="shared" si="58"/>
        <v>7900</v>
      </c>
      <c r="AA64" s="148">
        <f t="shared" si="58"/>
        <v>8300</v>
      </c>
      <c r="AB64" s="148">
        <f t="shared" si="58"/>
        <v>8700</v>
      </c>
      <c r="AC64" s="148">
        <f t="shared" si="58"/>
        <v>9300</v>
      </c>
      <c r="AD64" s="148">
        <f t="shared" si="58"/>
        <v>10550</v>
      </c>
      <c r="AE64" s="148">
        <f t="shared" si="58"/>
        <v>11200</v>
      </c>
      <c r="AF64" s="148">
        <f t="shared" si="58"/>
        <v>11850</v>
      </c>
      <c r="AG64" s="148">
        <f t="shared" si="58"/>
        <v>12900</v>
      </c>
      <c r="AH64" s="148">
        <f t="shared" si="58"/>
        <v>14550</v>
      </c>
      <c r="AI64" s="148">
        <f t="shared" si="58"/>
        <v>15600</v>
      </c>
      <c r="AJ64" s="148">
        <f t="shared" si="58"/>
        <v>16600</v>
      </c>
      <c r="AK64" s="148">
        <f t="shared" si="58"/>
        <v>17950</v>
      </c>
    </row>
    <row r="65" spans="1:37" x14ac:dyDescent="0.2">
      <c r="A65" s="150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3">
        <f>L8</f>
        <v>2950</v>
      </c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150"/>
      <c r="AG65" s="150"/>
      <c r="AH65" s="150"/>
      <c r="AI65" s="150"/>
      <c r="AJ65" s="150"/>
      <c r="AK65" s="150"/>
    </row>
    <row r="66" spans="1:37" ht="13.5" thickBot="1" x14ac:dyDescent="0.25">
      <c r="A66" s="119" t="s">
        <v>133</v>
      </c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</row>
    <row r="67" spans="1:37" ht="13.5" thickBot="1" x14ac:dyDescent="0.25">
      <c r="A67" s="157" t="s">
        <v>71</v>
      </c>
      <c r="B67" s="146">
        <f t="shared" ref="B67:AK67" si="59">B2</f>
        <v>2015</v>
      </c>
      <c r="C67" s="146">
        <f t="shared" si="59"/>
        <v>2016</v>
      </c>
      <c r="D67" s="146">
        <f t="shared" si="59"/>
        <v>2017</v>
      </c>
      <c r="E67" s="146">
        <f t="shared" si="59"/>
        <v>2018</v>
      </c>
      <c r="F67" s="146">
        <f t="shared" si="59"/>
        <v>2019</v>
      </c>
      <c r="G67" s="146">
        <f t="shared" si="59"/>
        <v>2020</v>
      </c>
      <c r="H67" s="146">
        <f t="shared" si="59"/>
        <v>2021</v>
      </c>
      <c r="I67" s="146">
        <f t="shared" si="59"/>
        <v>2022</v>
      </c>
      <c r="J67" s="146">
        <f t="shared" si="59"/>
        <v>2023</v>
      </c>
      <c r="K67" s="146">
        <f t="shared" si="59"/>
        <v>2024</v>
      </c>
      <c r="L67" s="146">
        <f t="shared" si="59"/>
        <v>2025</v>
      </c>
      <c r="M67" s="146">
        <f t="shared" si="59"/>
        <v>2026</v>
      </c>
      <c r="N67" s="146">
        <f t="shared" si="59"/>
        <v>2027</v>
      </c>
      <c r="O67" s="146">
        <f t="shared" si="59"/>
        <v>2028</v>
      </c>
      <c r="P67" s="146">
        <f t="shared" si="59"/>
        <v>2029</v>
      </c>
      <c r="Q67" s="146">
        <f t="shared" si="59"/>
        <v>2030</v>
      </c>
      <c r="R67" s="146">
        <f t="shared" si="59"/>
        <v>2031</v>
      </c>
      <c r="S67" s="146">
        <f t="shared" si="59"/>
        <v>2032</v>
      </c>
      <c r="T67" s="146">
        <f t="shared" si="59"/>
        <v>2033</v>
      </c>
      <c r="U67" s="146">
        <f t="shared" si="59"/>
        <v>2034</v>
      </c>
      <c r="V67" s="146">
        <f t="shared" si="59"/>
        <v>2035</v>
      </c>
      <c r="W67" s="146">
        <f t="shared" si="59"/>
        <v>2036</v>
      </c>
      <c r="X67" s="146">
        <f t="shared" si="59"/>
        <v>2037</v>
      </c>
      <c r="Y67" s="146">
        <f t="shared" si="59"/>
        <v>2038</v>
      </c>
      <c r="Z67" s="146">
        <f t="shared" si="59"/>
        <v>2039</v>
      </c>
      <c r="AA67" s="146">
        <f t="shared" si="59"/>
        <v>2040</v>
      </c>
      <c r="AB67" s="146">
        <f t="shared" si="59"/>
        <v>2041</v>
      </c>
      <c r="AC67" s="146">
        <f t="shared" si="59"/>
        <v>2042</v>
      </c>
      <c r="AD67" s="146">
        <f t="shared" si="59"/>
        <v>2043</v>
      </c>
      <c r="AE67" s="146">
        <f t="shared" si="59"/>
        <v>2044</v>
      </c>
      <c r="AF67" s="146">
        <f t="shared" si="59"/>
        <v>2045</v>
      </c>
      <c r="AG67" s="146">
        <f t="shared" si="59"/>
        <v>2046</v>
      </c>
      <c r="AH67" s="146">
        <f t="shared" si="59"/>
        <v>2047</v>
      </c>
      <c r="AI67" s="146">
        <f t="shared" si="59"/>
        <v>2048</v>
      </c>
      <c r="AJ67" s="146">
        <f t="shared" si="59"/>
        <v>2049</v>
      </c>
      <c r="AK67" s="146">
        <f t="shared" si="59"/>
        <v>2050</v>
      </c>
    </row>
    <row r="68" spans="1:37" x14ac:dyDescent="0.2">
      <c r="A68" s="119" t="s">
        <v>83</v>
      </c>
      <c r="B68" s="147">
        <f>B3+B20+B36-B52-B84</f>
        <v>616.49857667463425</v>
      </c>
      <c r="C68" s="147">
        <f>B95+C20+C36-C52-C84</f>
        <v>368.82547942378682</v>
      </c>
      <c r="D68" s="147">
        <f t="shared" ref="D68:I68" si="60">C95+D20+D36-D52-D84</f>
        <v>446.6606735953477</v>
      </c>
      <c r="E68" s="147">
        <f t="shared" si="60"/>
        <v>570.54244814683125</v>
      </c>
      <c r="F68" s="147">
        <f t="shared" si="60"/>
        <v>442.10105776332301</v>
      </c>
      <c r="G68" s="147">
        <f t="shared" si="60"/>
        <v>458.59620761701603</v>
      </c>
      <c r="H68" s="147">
        <f t="shared" si="60"/>
        <v>202.77517740660721</v>
      </c>
      <c r="I68" s="147">
        <f t="shared" si="60"/>
        <v>330.57869937145625</v>
      </c>
      <c r="J68" s="147">
        <f>I95+J20+J36-J52-J84</f>
        <v>358.35445620587586</v>
      </c>
      <c r="K68" s="147">
        <f t="shared" ref="K68:L68" si="61">J95+K20+K36-K52-K84</f>
        <v>268.437025416658</v>
      </c>
      <c r="L68" s="147">
        <f t="shared" si="61"/>
        <v>312.54685577931491</v>
      </c>
      <c r="M68" s="148">
        <f>M$80*(SUM(H68:L68)/SUM(H$80:L$80))</f>
        <v>302.2267398252863</v>
      </c>
      <c r="N68" s="148">
        <f t="shared" ref="N68:V78" si="62">N$80*(SUM(I68:M68)/SUM(I$80:M$80))</f>
        <v>319.85931321237001</v>
      </c>
      <c r="O68" s="148">
        <f t="shared" si="62"/>
        <v>311.80561174494613</v>
      </c>
      <c r="P68" s="148">
        <f t="shared" si="62"/>
        <v>310.72497863556191</v>
      </c>
      <c r="Q68" s="148">
        <f t="shared" si="62"/>
        <v>321.3569588632127</v>
      </c>
      <c r="R68" s="148">
        <f t="shared" si="62"/>
        <v>320.25926302295829</v>
      </c>
      <c r="S68" s="148">
        <f t="shared" si="62"/>
        <v>321.52960158977709</v>
      </c>
      <c r="T68" s="148">
        <f t="shared" si="62"/>
        <v>325.62997784552226</v>
      </c>
      <c r="U68" s="148">
        <f t="shared" si="62"/>
        <v>329.3089841088007</v>
      </c>
      <c r="V68" s="148">
        <f t="shared" si="62"/>
        <v>330.22138478168796</v>
      </c>
      <c r="W68" s="148">
        <f t="shared" ref="W68:W78" si="63">W$80*(SUM(R68:V68)/SUM(R$80:V$80))</f>
        <v>334.82143190075652</v>
      </c>
      <c r="X68" s="148">
        <f t="shared" ref="X68:AK78" si="64">X$80*(SUM(S68:W68)/SUM(S$80:W$80))</f>
        <v>339.62304418480232</v>
      </c>
      <c r="Y68" s="148">
        <f t="shared" si="64"/>
        <v>344.179409278337</v>
      </c>
      <c r="Z68" s="148">
        <f t="shared" si="64"/>
        <v>348.82981689557437</v>
      </c>
      <c r="AA68" s="148">
        <f t="shared" si="64"/>
        <v>353.68230980024128</v>
      </c>
      <c r="AB68" s="148">
        <f t="shared" si="64"/>
        <v>358.37352579873442</v>
      </c>
      <c r="AC68" s="148">
        <f t="shared" si="64"/>
        <v>363.08374096957317</v>
      </c>
      <c r="AD68" s="148">
        <f t="shared" si="64"/>
        <v>367.77495097043175</v>
      </c>
      <c r="AE68" s="148">
        <f t="shared" si="64"/>
        <v>372.49421897455221</v>
      </c>
      <c r="AF68" s="148">
        <f t="shared" si="64"/>
        <v>377.22779148333154</v>
      </c>
      <c r="AG68" s="148">
        <f t="shared" si="64"/>
        <v>381.93664739468329</v>
      </c>
      <c r="AH68" s="148">
        <f t="shared" si="64"/>
        <v>386.64917134934404</v>
      </c>
      <c r="AI68" s="148">
        <f t="shared" si="64"/>
        <v>391.36217688576113</v>
      </c>
      <c r="AJ68" s="148">
        <f t="shared" si="64"/>
        <v>396.07970496633203</v>
      </c>
      <c r="AK68" s="148">
        <f t="shared" si="64"/>
        <v>400.79687030915466</v>
      </c>
    </row>
    <row r="69" spans="1:37" x14ac:dyDescent="0.2">
      <c r="A69" s="119" t="s">
        <v>84</v>
      </c>
      <c r="B69" s="147">
        <f>B84+B21+B37-B53-B85</f>
        <v>569.61704338121763</v>
      </c>
      <c r="C69" s="147">
        <f>C84+C21+C37-C53-C85</f>
        <v>492.50340593494627</v>
      </c>
      <c r="D69" s="147">
        <f t="shared" ref="D69:J79" si="65">D84+D21+D37-D53-D85</f>
        <v>410.52031922896458</v>
      </c>
      <c r="E69" s="147">
        <f t="shared" si="65"/>
        <v>515.2807058939768</v>
      </c>
      <c r="F69" s="147">
        <f t="shared" si="65"/>
        <v>293.40394464034756</v>
      </c>
      <c r="G69" s="147">
        <f t="shared" si="65"/>
        <v>347.09289817384695</v>
      </c>
      <c r="H69" s="147">
        <f t="shared" si="65"/>
        <v>257.20344281930369</v>
      </c>
      <c r="I69" s="147">
        <f t="shared" si="65"/>
        <v>298.9646100637068</v>
      </c>
      <c r="J69" s="147">
        <f>J84+J21+J37-J53-J85</f>
        <v>152.02541406666819</v>
      </c>
      <c r="K69" s="147">
        <f t="shared" ref="K69:L79" si="66">K84+K21+K37-K53-K85</f>
        <v>347.13614507724367</v>
      </c>
      <c r="L69" s="147">
        <f t="shared" si="66"/>
        <v>179.80379800395502</v>
      </c>
      <c r="M69" s="148">
        <f t="shared" ref="M69:M78" si="67">M$80*(SUM(H69:L69)/SUM(H$80:L$80))</f>
        <v>253.47478595233306</v>
      </c>
      <c r="N69" s="148">
        <f t="shared" si="62"/>
        <v>250.53451503374939</v>
      </c>
      <c r="O69" s="148">
        <f t="shared" si="62"/>
        <v>236.2318273089096</v>
      </c>
      <c r="P69" s="148">
        <f t="shared" si="62"/>
        <v>259.91891701994899</v>
      </c>
      <c r="Q69" s="148">
        <f t="shared" si="62"/>
        <v>243.51302381087996</v>
      </c>
      <c r="R69" s="148">
        <f t="shared" si="62"/>
        <v>254.34516902422808</v>
      </c>
      <c r="S69" s="148">
        <f t="shared" si="62"/>
        <v>252.62374552073038</v>
      </c>
      <c r="T69" s="148">
        <f t="shared" si="62"/>
        <v>256.00492590846454</v>
      </c>
      <c r="U69" s="148">
        <f t="shared" si="62"/>
        <v>260.73060202911068</v>
      </c>
      <c r="V69" s="148">
        <f t="shared" si="62"/>
        <v>258.61580944763546</v>
      </c>
      <c r="W69" s="148">
        <f t="shared" si="63"/>
        <v>263.89779097693338</v>
      </c>
      <c r="X69" s="148">
        <f t="shared" si="64"/>
        <v>267.28404287231888</v>
      </c>
      <c r="Y69" s="148">
        <f t="shared" si="64"/>
        <v>270.95716335260164</v>
      </c>
      <c r="Z69" s="148">
        <f t="shared" si="64"/>
        <v>274.69078719723706</v>
      </c>
      <c r="AA69" s="148">
        <f t="shared" si="64"/>
        <v>278.21783205140139</v>
      </c>
      <c r="AB69" s="148">
        <f t="shared" si="64"/>
        <v>282.14690095955461</v>
      </c>
      <c r="AC69" s="148">
        <f t="shared" si="64"/>
        <v>285.79418360905339</v>
      </c>
      <c r="AD69" s="148">
        <f t="shared" si="64"/>
        <v>289.4958283713284</v>
      </c>
      <c r="AE69" s="148">
        <f t="shared" si="64"/>
        <v>293.20341327078262</v>
      </c>
      <c r="AF69" s="148">
        <f t="shared" si="64"/>
        <v>296.90559132719386</v>
      </c>
      <c r="AG69" s="148">
        <f t="shared" si="64"/>
        <v>300.64415210402802</v>
      </c>
      <c r="AH69" s="148">
        <f t="shared" si="64"/>
        <v>304.34313881507762</v>
      </c>
      <c r="AI69" s="148">
        <f t="shared" si="64"/>
        <v>308.05286570684524</v>
      </c>
      <c r="AJ69" s="148">
        <f t="shared" si="64"/>
        <v>311.76427047607382</v>
      </c>
      <c r="AK69" s="148">
        <f t="shared" si="64"/>
        <v>315.4764672353258</v>
      </c>
    </row>
    <row r="70" spans="1:37" x14ac:dyDescent="0.2">
      <c r="A70" s="119" t="s">
        <v>85</v>
      </c>
      <c r="B70" s="147">
        <f t="shared" ref="B70:C79" si="68">B85+B22+B38-B54-B86</f>
        <v>462.78638623400337</v>
      </c>
      <c r="C70" s="147">
        <f t="shared" si="68"/>
        <v>526.20842733609288</v>
      </c>
      <c r="D70" s="147">
        <f t="shared" si="65"/>
        <v>525.2166445655597</v>
      </c>
      <c r="E70" s="147">
        <f t="shared" si="65"/>
        <v>509.36954766895172</v>
      </c>
      <c r="F70" s="147">
        <f t="shared" si="65"/>
        <v>290.5104131931385</v>
      </c>
      <c r="G70" s="147">
        <f t="shared" si="65"/>
        <v>241.92661048222925</v>
      </c>
      <c r="H70" s="147">
        <f t="shared" si="65"/>
        <v>327.58336409216133</v>
      </c>
      <c r="I70" s="147">
        <f t="shared" si="65"/>
        <v>257.00547261393012</v>
      </c>
      <c r="J70" s="147">
        <f t="shared" si="65"/>
        <v>314.53684562270411</v>
      </c>
      <c r="K70" s="147">
        <f t="shared" si="66"/>
        <v>366.71826393417564</v>
      </c>
      <c r="L70" s="148">
        <f>L$80*(SUM(G70:K70)/SUM(G$80:K$80))</f>
        <v>330.79433558256522</v>
      </c>
      <c r="M70" s="148">
        <f t="shared" si="67"/>
        <v>327.66302283409271</v>
      </c>
      <c r="N70" s="148">
        <f t="shared" si="62"/>
        <v>324.85903100742837</v>
      </c>
      <c r="O70" s="148">
        <f t="shared" si="62"/>
        <v>332.40337329870272</v>
      </c>
      <c r="P70" s="148">
        <f t="shared" si="62"/>
        <v>345.09469855554443</v>
      </c>
      <c r="Q70" s="148">
        <f t="shared" si="62"/>
        <v>342.74774921677295</v>
      </c>
      <c r="R70" s="148">
        <f t="shared" si="62"/>
        <v>342.09989622271519</v>
      </c>
      <c r="S70" s="148">
        <f t="shared" si="62"/>
        <v>342.4773817447138</v>
      </c>
      <c r="T70" s="148">
        <f t="shared" si="62"/>
        <v>350.09760069539578</v>
      </c>
      <c r="U70" s="148">
        <f t="shared" si="62"/>
        <v>354.63592014841163</v>
      </c>
      <c r="V70" s="148">
        <f t="shared" si="62"/>
        <v>353.48133633224677</v>
      </c>
      <c r="W70" s="148">
        <f t="shared" si="63"/>
        <v>358.66156984112263</v>
      </c>
      <c r="X70" s="148">
        <f t="shared" si="64"/>
        <v>364.0042362955636</v>
      </c>
      <c r="Y70" s="148">
        <f t="shared" si="64"/>
        <v>369.33036483474439</v>
      </c>
      <c r="Z70" s="148">
        <f t="shared" si="64"/>
        <v>374.18088098723194</v>
      </c>
      <c r="AA70" s="148">
        <f t="shared" si="64"/>
        <v>379.09549756060613</v>
      </c>
      <c r="AB70" s="148">
        <f t="shared" si="64"/>
        <v>384.22113359853267</v>
      </c>
      <c r="AC70" s="148">
        <f t="shared" si="64"/>
        <v>389.33533168190343</v>
      </c>
      <c r="AD70" s="148">
        <f t="shared" si="64"/>
        <v>394.40194740190782</v>
      </c>
      <c r="AE70" s="148">
        <f t="shared" si="64"/>
        <v>399.41460133469576</v>
      </c>
      <c r="AF70" s="148">
        <f t="shared" si="64"/>
        <v>404.46098941873157</v>
      </c>
      <c r="AG70" s="148">
        <f t="shared" si="64"/>
        <v>409.53475455973705</v>
      </c>
      <c r="AH70" s="148">
        <f t="shared" si="64"/>
        <v>414.59773468494171</v>
      </c>
      <c r="AI70" s="148">
        <f t="shared" si="64"/>
        <v>419.65008068550287</v>
      </c>
      <c r="AJ70" s="148">
        <f t="shared" si="64"/>
        <v>424.69947036400777</v>
      </c>
      <c r="AK70" s="148">
        <f t="shared" si="64"/>
        <v>429.75648176975193</v>
      </c>
    </row>
    <row r="71" spans="1:37" x14ac:dyDescent="0.2">
      <c r="A71" s="119" t="s">
        <v>86</v>
      </c>
      <c r="B71" s="147">
        <f t="shared" si="68"/>
        <v>443.07016552063067</v>
      </c>
      <c r="C71" s="147">
        <f t="shared" si="68"/>
        <v>534.4375306166944</v>
      </c>
      <c r="D71" s="147">
        <f t="shared" si="65"/>
        <v>385.77241610293669</v>
      </c>
      <c r="E71" s="147">
        <f t="shared" si="65"/>
        <v>404.32083382405074</v>
      </c>
      <c r="F71" s="147">
        <f t="shared" si="65"/>
        <v>388.08541466782339</v>
      </c>
      <c r="G71" s="147">
        <f t="shared" si="65"/>
        <v>231.62712205969399</v>
      </c>
      <c r="H71" s="147">
        <f t="shared" si="65"/>
        <v>208.63999188802742</v>
      </c>
      <c r="I71" s="147">
        <f t="shared" si="65"/>
        <v>298.75310853302773</v>
      </c>
      <c r="J71" s="147">
        <f t="shared" si="65"/>
        <v>212.23871939725632</v>
      </c>
      <c r="K71" s="147">
        <f t="shared" si="66"/>
        <v>336.6676262338359</v>
      </c>
      <c r="L71" s="148">
        <f t="shared" ref="L71:L76" si="69">L$80*(SUM(G71:K71)/SUM(G$80:K$80))</f>
        <v>282.56209903539502</v>
      </c>
      <c r="M71" s="148">
        <f t="shared" si="67"/>
        <v>274.76193324929221</v>
      </c>
      <c r="N71" s="148">
        <f t="shared" si="62"/>
        <v>285.84984384986006</v>
      </c>
      <c r="O71" s="148">
        <f t="shared" si="62"/>
        <v>277.98875680653225</v>
      </c>
      <c r="P71" s="148">
        <f t="shared" si="62"/>
        <v>299.02408639370014</v>
      </c>
      <c r="Q71" s="148">
        <f t="shared" si="62"/>
        <v>293.08860975649475</v>
      </c>
      <c r="R71" s="148">
        <f t="shared" si="62"/>
        <v>292.59699140992427</v>
      </c>
      <c r="S71" s="148">
        <f t="shared" si="62"/>
        <v>294.03368238424707</v>
      </c>
      <c r="T71" s="148">
        <f t="shared" si="62"/>
        <v>299.15034745777382</v>
      </c>
      <c r="U71" s="148">
        <f t="shared" si="62"/>
        <v>304.27223593573478</v>
      </c>
      <c r="V71" s="148">
        <f t="shared" si="62"/>
        <v>302.68201366207643</v>
      </c>
      <c r="W71" s="148">
        <f t="shared" si="63"/>
        <v>307.20059197197884</v>
      </c>
      <c r="X71" s="148">
        <f t="shared" si="64"/>
        <v>311.8632147748574</v>
      </c>
      <c r="Y71" s="148">
        <f t="shared" si="64"/>
        <v>316.29912919766116</v>
      </c>
      <c r="Z71" s="148">
        <f t="shared" si="64"/>
        <v>320.59402171385068</v>
      </c>
      <c r="AA71" s="148">
        <f t="shared" si="64"/>
        <v>324.7164523584218</v>
      </c>
      <c r="AB71" s="148">
        <f t="shared" si="64"/>
        <v>329.12651825006714</v>
      </c>
      <c r="AC71" s="148">
        <f t="shared" si="64"/>
        <v>333.51391593163265</v>
      </c>
      <c r="AD71" s="148">
        <f t="shared" si="64"/>
        <v>337.84400778993978</v>
      </c>
      <c r="AE71" s="148">
        <f t="shared" si="64"/>
        <v>342.15210096702378</v>
      </c>
      <c r="AF71" s="148">
        <f t="shared" si="64"/>
        <v>346.46296006173202</v>
      </c>
      <c r="AG71" s="148">
        <f t="shared" si="64"/>
        <v>350.81297370008213</v>
      </c>
      <c r="AH71" s="148">
        <f t="shared" si="64"/>
        <v>355.15050276692062</v>
      </c>
      <c r="AI71" s="148">
        <f t="shared" si="64"/>
        <v>359.47767814678241</v>
      </c>
      <c r="AJ71" s="148">
        <f t="shared" si="64"/>
        <v>363.80425213326777</v>
      </c>
      <c r="AK71" s="148">
        <f t="shared" si="64"/>
        <v>368.13466141157738</v>
      </c>
    </row>
    <row r="72" spans="1:37" x14ac:dyDescent="0.2">
      <c r="A72" s="119" t="s">
        <v>87</v>
      </c>
      <c r="B72" s="147">
        <f t="shared" si="68"/>
        <v>540.77141648624524</v>
      </c>
      <c r="C72" s="147">
        <f t="shared" si="68"/>
        <v>575.95121719846111</v>
      </c>
      <c r="D72" s="147">
        <f t="shared" si="65"/>
        <v>436.57702557096349</v>
      </c>
      <c r="E72" s="147">
        <f t="shared" si="65"/>
        <v>458.91783773462072</v>
      </c>
      <c r="F72" s="147">
        <f t="shared" si="65"/>
        <v>327.65272938314951</v>
      </c>
      <c r="G72" s="147">
        <f t="shared" si="65"/>
        <v>56.245627744892374</v>
      </c>
      <c r="H72" s="147">
        <f t="shared" si="65"/>
        <v>66.948873894248464</v>
      </c>
      <c r="I72" s="147">
        <f t="shared" si="65"/>
        <v>251.97160182349955</v>
      </c>
      <c r="J72" s="147">
        <f t="shared" si="65"/>
        <v>295.24869014759412</v>
      </c>
      <c r="K72" s="147">
        <f t="shared" si="66"/>
        <v>207.37708930458143</v>
      </c>
      <c r="L72" s="148">
        <f>L$80*(SUM(G72:K72)/SUM(G$80:K$80))+50</f>
        <v>242.58141193272093</v>
      </c>
      <c r="M72" s="148">
        <f t="shared" si="67"/>
        <v>218.38088942801349</v>
      </c>
      <c r="N72" s="148">
        <f t="shared" si="62"/>
        <v>247.3107682924099</v>
      </c>
      <c r="O72" s="148">
        <f t="shared" si="62"/>
        <v>241.80809440299547</v>
      </c>
      <c r="P72" s="148">
        <f t="shared" si="62"/>
        <v>237.41302841794723</v>
      </c>
      <c r="Q72" s="148">
        <f t="shared" si="62"/>
        <v>245.06708676248232</v>
      </c>
      <c r="R72" s="148">
        <f t="shared" si="62"/>
        <v>243.36430368920807</v>
      </c>
      <c r="S72" s="148">
        <f t="shared" si="62"/>
        <v>246.61941237738188</v>
      </c>
      <c r="T72" s="148">
        <f t="shared" si="62"/>
        <v>249.35941330312806</v>
      </c>
      <c r="U72" s="148">
        <f t="shared" si="62"/>
        <v>251.55184446620689</v>
      </c>
      <c r="V72" s="148">
        <f t="shared" si="62"/>
        <v>252.2371552241647</v>
      </c>
      <c r="W72" s="148">
        <f t="shared" si="63"/>
        <v>255.83298887903294</v>
      </c>
      <c r="X72" s="148">
        <f t="shared" si="64"/>
        <v>259.77947881032713</v>
      </c>
      <c r="Y72" s="148">
        <f t="shared" si="64"/>
        <v>263.12370536888858</v>
      </c>
      <c r="Z72" s="148">
        <f t="shared" si="64"/>
        <v>266.5923111893199</v>
      </c>
      <c r="AA72" s="148">
        <f t="shared" si="64"/>
        <v>270.32617488994441</v>
      </c>
      <c r="AB72" s="148">
        <f t="shared" si="64"/>
        <v>273.94453176561916</v>
      </c>
      <c r="AC72" s="148">
        <f t="shared" si="64"/>
        <v>277.56756096177196</v>
      </c>
      <c r="AD72" s="148">
        <f t="shared" si="64"/>
        <v>281.12329110851311</v>
      </c>
      <c r="AE72" s="148">
        <f t="shared" si="64"/>
        <v>284.7230413771008</v>
      </c>
      <c r="AF72" s="148">
        <f t="shared" si="64"/>
        <v>288.35004677463883</v>
      </c>
      <c r="AG72" s="148">
        <f t="shared" si="64"/>
        <v>291.95483648974141</v>
      </c>
      <c r="AH72" s="148">
        <f t="shared" si="64"/>
        <v>295.55680934269577</v>
      </c>
      <c r="AI72" s="148">
        <f t="shared" si="64"/>
        <v>299.15441520673318</v>
      </c>
      <c r="AJ72" s="148">
        <f t="shared" si="64"/>
        <v>302.76071242478133</v>
      </c>
      <c r="AK72" s="148">
        <f t="shared" si="64"/>
        <v>306.36836517141506</v>
      </c>
    </row>
    <row r="73" spans="1:37" x14ac:dyDescent="0.2">
      <c r="A73" s="119" t="s">
        <v>88</v>
      </c>
      <c r="B73" s="147">
        <f t="shared" si="68"/>
        <v>518.11226571858742</v>
      </c>
      <c r="C73" s="147">
        <f t="shared" si="68"/>
        <v>364.75803274367627</v>
      </c>
      <c r="D73" s="147">
        <f t="shared" si="65"/>
        <v>458.96271398172121</v>
      </c>
      <c r="E73" s="147">
        <f t="shared" si="65"/>
        <v>488.38346624794309</v>
      </c>
      <c r="F73" s="147">
        <f t="shared" si="65"/>
        <v>338.85618721074098</v>
      </c>
      <c r="G73" s="147">
        <f t="shared" si="65"/>
        <v>-44.148204946014346</v>
      </c>
      <c r="H73" s="147">
        <f t="shared" si="65"/>
        <v>81.267255556542921</v>
      </c>
      <c r="I73" s="147">
        <f t="shared" si="65"/>
        <v>323.37590064519657</v>
      </c>
      <c r="J73" s="147">
        <f t="shared" si="65"/>
        <v>315.79326076829147</v>
      </c>
      <c r="K73" s="147">
        <f t="shared" si="66"/>
        <v>229.34515310140284</v>
      </c>
      <c r="L73" s="148">
        <f>L$80*(SUM(G73:K73)/SUM(G$80:K$80))+25</f>
        <v>223.68963879010929</v>
      </c>
      <c r="M73" s="148">
        <f t="shared" si="67"/>
        <v>240.82043370518917</v>
      </c>
      <c r="N73" s="148">
        <f t="shared" si="62"/>
        <v>271.2094601467773</v>
      </c>
      <c r="O73" s="148">
        <f t="shared" si="62"/>
        <v>255.77844051613795</v>
      </c>
      <c r="P73" s="148">
        <f t="shared" si="62"/>
        <v>250.41427022266879</v>
      </c>
      <c r="Q73" s="148">
        <f t="shared" si="62"/>
        <v>256.2975191195751</v>
      </c>
      <c r="R73" s="148">
        <f t="shared" si="62"/>
        <v>260.65373958587571</v>
      </c>
      <c r="S73" s="148">
        <f t="shared" si="62"/>
        <v>262.73442749907576</v>
      </c>
      <c r="T73" s="148">
        <f t="shared" si="62"/>
        <v>264.06431365800591</v>
      </c>
      <c r="U73" s="148">
        <f t="shared" si="62"/>
        <v>266.44558501754142</v>
      </c>
      <c r="V73" s="148">
        <f t="shared" si="62"/>
        <v>267.3868540571579</v>
      </c>
      <c r="W73" s="148">
        <f t="shared" si="63"/>
        <v>271.91660668711194</v>
      </c>
      <c r="X73" s="148">
        <f t="shared" si="64"/>
        <v>275.69954212115022</v>
      </c>
      <c r="Y73" s="148">
        <f t="shared" si="64"/>
        <v>279.04102787639374</v>
      </c>
      <c r="Z73" s="148">
        <f t="shared" si="64"/>
        <v>282.79840327582104</v>
      </c>
      <c r="AA73" s="148">
        <f t="shared" si="64"/>
        <v>286.84217375367399</v>
      </c>
      <c r="AB73" s="148">
        <f t="shared" si="64"/>
        <v>290.73597063637112</v>
      </c>
      <c r="AC73" s="148">
        <f t="shared" si="64"/>
        <v>294.49734610833127</v>
      </c>
      <c r="AD73" s="148">
        <f t="shared" si="64"/>
        <v>298.25430370332293</v>
      </c>
      <c r="AE73" s="148">
        <f t="shared" si="64"/>
        <v>302.09770421243184</v>
      </c>
      <c r="AF73" s="148">
        <f t="shared" si="64"/>
        <v>305.95896070942985</v>
      </c>
      <c r="AG73" s="148">
        <f t="shared" si="64"/>
        <v>309.78227465374579</v>
      </c>
      <c r="AH73" s="148">
        <f t="shared" si="64"/>
        <v>313.5909577968493</v>
      </c>
      <c r="AI73" s="148">
        <f t="shared" si="64"/>
        <v>317.40947172322427</v>
      </c>
      <c r="AJ73" s="148">
        <f t="shared" si="64"/>
        <v>321.24075803465979</v>
      </c>
      <c r="AK73" s="148">
        <f t="shared" si="64"/>
        <v>325.06952670249331</v>
      </c>
    </row>
    <row r="74" spans="1:37" x14ac:dyDescent="0.2">
      <c r="A74" s="119" t="s">
        <v>89</v>
      </c>
      <c r="B74" s="147">
        <f t="shared" si="68"/>
        <v>501.28737396833293</v>
      </c>
      <c r="C74" s="147">
        <f t="shared" si="68"/>
        <v>467.38179540523271</v>
      </c>
      <c r="D74" s="147">
        <f t="shared" si="65"/>
        <v>407.68650329339744</v>
      </c>
      <c r="E74" s="147">
        <f t="shared" si="65"/>
        <v>474.87382693271354</v>
      </c>
      <c r="F74" s="147">
        <f t="shared" si="65"/>
        <v>264.02032133810451</v>
      </c>
      <c r="G74" s="147">
        <f t="shared" si="65"/>
        <v>46.110100344804323</v>
      </c>
      <c r="H74" s="147">
        <f t="shared" si="65"/>
        <v>220.84313992299593</v>
      </c>
      <c r="I74" s="147">
        <f t="shared" si="65"/>
        <v>369.88014265206255</v>
      </c>
      <c r="J74" s="147">
        <f t="shared" si="65"/>
        <v>206.13706928231466</v>
      </c>
      <c r="K74" s="147">
        <f t="shared" si="66"/>
        <v>235.95666649253894</v>
      </c>
      <c r="L74" s="148">
        <f t="shared" si="69"/>
        <v>236.70907869501764</v>
      </c>
      <c r="M74" s="148">
        <f t="shared" si="67"/>
        <v>260.53287288319706</v>
      </c>
      <c r="N74" s="148">
        <f t="shared" si="62"/>
        <v>266.36550833678967</v>
      </c>
      <c r="O74" s="148">
        <f t="shared" si="62"/>
        <v>240.77015909676513</v>
      </c>
      <c r="P74" s="148">
        <f t="shared" si="62"/>
        <v>254.41221583342653</v>
      </c>
      <c r="Q74" s="148">
        <f t="shared" si="62"/>
        <v>259.78060324574608</v>
      </c>
      <c r="R74" s="148">
        <f t="shared" si="62"/>
        <v>262.15510507946721</v>
      </c>
      <c r="S74" s="148">
        <f t="shared" si="62"/>
        <v>260.52801262169919</v>
      </c>
      <c r="T74" s="148">
        <f t="shared" si="62"/>
        <v>262.37375183190528</v>
      </c>
      <c r="U74" s="148">
        <f t="shared" si="62"/>
        <v>267.49258294957974</v>
      </c>
      <c r="V74" s="148">
        <f t="shared" si="62"/>
        <v>267.82246035273414</v>
      </c>
      <c r="W74" s="148">
        <f t="shared" si="63"/>
        <v>271.72871249655759</v>
      </c>
      <c r="X74" s="148">
        <f t="shared" si="64"/>
        <v>275.16114212120192</v>
      </c>
      <c r="Y74" s="148">
        <f t="shared" si="64"/>
        <v>278.84727679515464</v>
      </c>
      <c r="Z74" s="148">
        <f t="shared" si="64"/>
        <v>282.91533968799683</v>
      </c>
      <c r="AA74" s="148">
        <f t="shared" si="64"/>
        <v>286.76561071950943</v>
      </c>
      <c r="AB74" s="148">
        <f t="shared" si="64"/>
        <v>290.55280607767656</v>
      </c>
      <c r="AC74" s="148">
        <f t="shared" si="64"/>
        <v>294.31526352950959</v>
      </c>
      <c r="AD74" s="148">
        <f t="shared" si="64"/>
        <v>298.14642973644817</v>
      </c>
      <c r="AE74" s="148">
        <f t="shared" si="64"/>
        <v>302.0077382377371</v>
      </c>
      <c r="AF74" s="148">
        <f t="shared" si="64"/>
        <v>305.82604640018309</v>
      </c>
      <c r="AG74" s="148">
        <f t="shared" si="64"/>
        <v>309.63772051924593</v>
      </c>
      <c r="AH74" s="148">
        <f t="shared" si="64"/>
        <v>313.45448676125613</v>
      </c>
      <c r="AI74" s="148">
        <f t="shared" si="64"/>
        <v>317.28252749338566</v>
      </c>
      <c r="AJ74" s="148">
        <f t="shared" si="64"/>
        <v>321.1099151372639</v>
      </c>
      <c r="AK74" s="148">
        <f t="shared" si="64"/>
        <v>324.93026630844741</v>
      </c>
    </row>
    <row r="75" spans="1:37" x14ac:dyDescent="0.2">
      <c r="A75" s="119" t="s">
        <v>90</v>
      </c>
      <c r="B75" s="147">
        <f t="shared" si="68"/>
        <v>417.52628659816958</v>
      </c>
      <c r="C75" s="147">
        <f t="shared" si="68"/>
        <v>467.21801145150727</v>
      </c>
      <c r="D75" s="147">
        <f t="shared" si="65"/>
        <v>440.84380742898117</v>
      </c>
      <c r="E75" s="147">
        <f t="shared" si="65"/>
        <v>415.89622131114862</v>
      </c>
      <c r="F75" s="147">
        <f t="shared" si="65"/>
        <v>420.01816096355503</v>
      </c>
      <c r="G75" s="147">
        <f t="shared" si="65"/>
        <v>118.26657604748397</v>
      </c>
      <c r="H75" s="147">
        <f t="shared" si="65"/>
        <v>280.17818977763466</v>
      </c>
      <c r="I75" s="147">
        <f t="shared" si="65"/>
        <v>330.29241822171849</v>
      </c>
      <c r="J75" s="147">
        <f t="shared" si="65"/>
        <v>348.33372731217747</v>
      </c>
      <c r="K75" s="147">
        <f t="shared" si="66"/>
        <v>298.38218763560155</v>
      </c>
      <c r="L75" s="148">
        <f t="shared" si="69"/>
        <v>301.76480895680066</v>
      </c>
      <c r="M75" s="148">
        <f t="shared" si="67"/>
        <v>319.92888537811905</v>
      </c>
      <c r="N75" s="148">
        <f t="shared" si="62"/>
        <v>325.26270189812902</v>
      </c>
      <c r="O75" s="148">
        <f t="shared" si="62"/>
        <v>318.24529765981799</v>
      </c>
      <c r="P75" s="148">
        <f t="shared" si="62"/>
        <v>320.71583007104232</v>
      </c>
      <c r="Q75" s="148">
        <f t="shared" si="62"/>
        <v>327.29102163746836</v>
      </c>
      <c r="R75" s="148">
        <f t="shared" si="62"/>
        <v>329.55841832129693</v>
      </c>
      <c r="S75" s="148">
        <f t="shared" si="62"/>
        <v>329.05367860288749</v>
      </c>
      <c r="T75" s="148">
        <f t="shared" si="62"/>
        <v>333.67747914935541</v>
      </c>
      <c r="U75" s="148">
        <f t="shared" si="62"/>
        <v>337.70808807277513</v>
      </c>
      <c r="V75" s="148">
        <f t="shared" si="62"/>
        <v>338.22218077220066</v>
      </c>
      <c r="W75" s="148">
        <f t="shared" si="63"/>
        <v>343.31480866439017</v>
      </c>
      <c r="X75" s="148">
        <f t="shared" si="64"/>
        <v>347.9950831575743</v>
      </c>
      <c r="Y75" s="148">
        <f t="shared" si="64"/>
        <v>352.74712416644769</v>
      </c>
      <c r="Z75" s="148">
        <f t="shared" si="64"/>
        <v>357.52544684738967</v>
      </c>
      <c r="AA75" s="148">
        <f t="shared" si="64"/>
        <v>362.45930075166717</v>
      </c>
      <c r="AB75" s="148">
        <f t="shared" si="64"/>
        <v>367.30732611684283</v>
      </c>
      <c r="AC75" s="148">
        <f t="shared" si="64"/>
        <v>372.10443145965939</v>
      </c>
      <c r="AD75" s="148">
        <f t="shared" si="64"/>
        <v>376.92587490313741</v>
      </c>
      <c r="AE75" s="148">
        <f t="shared" si="64"/>
        <v>381.761757963729</v>
      </c>
      <c r="AF75" s="148">
        <f t="shared" si="64"/>
        <v>386.60959817039708</v>
      </c>
      <c r="AG75" s="148">
        <f t="shared" si="64"/>
        <v>391.43955917362825</v>
      </c>
      <c r="AH75" s="148">
        <f t="shared" si="64"/>
        <v>396.26577259996247</v>
      </c>
      <c r="AI75" s="148">
        <f t="shared" si="64"/>
        <v>401.09803178325222</v>
      </c>
      <c r="AJ75" s="148">
        <f t="shared" si="64"/>
        <v>405.93253445442326</v>
      </c>
      <c r="AK75" s="148">
        <f t="shared" si="64"/>
        <v>410.76674920839361</v>
      </c>
    </row>
    <row r="76" spans="1:37" x14ac:dyDescent="0.2">
      <c r="A76" s="119" t="s">
        <v>91</v>
      </c>
      <c r="B76" s="147">
        <f t="shared" si="68"/>
        <v>335.15226860991703</v>
      </c>
      <c r="C76" s="147">
        <f t="shared" si="68"/>
        <v>422.91079105737248</v>
      </c>
      <c r="D76" s="147">
        <f t="shared" si="65"/>
        <v>373.09045377429447</v>
      </c>
      <c r="E76" s="147">
        <f t="shared" si="65"/>
        <v>378.19612024199466</v>
      </c>
      <c r="F76" s="147">
        <f t="shared" si="65"/>
        <v>338.5249315576915</v>
      </c>
      <c r="G76" s="147">
        <f t="shared" si="65"/>
        <v>119.73109461583766</v>
      </c>
      <c r="H76" s="147">
        <f t="shared" si="65"/>
        <v>206.33705870905078</v>
      </c>
      <c r="I76" s="147">
        <f t="shared" si="65"/>
        <v>295.60491927936681</v>
      </c>
      <c r="J76" s="147">
        <f t="shared" si="65"/>
        <v>212.66903409536872</v>
      </c>
      <c r="K76" s="147">
        <f t="shared" si="66"/>
        <v>47.917689972748406</v>
      </c>
      <c r="L76" s="148">
        <f t="shared" si="69"/>
        <v>193.56164102411634</v>
      </c>
      <c r="M76" s="148">
        <f t="shared" si="67"/>
        <v>196.20940790307199</v>
      </c>
      <c r="N76" s="148">
        <f t="shared" si="62"/>
        <v>192.46011820250737</v>
      </c>
      <c r="O76" s="148">
        <f t="shared" si="62"/>
        <v>168.30488223675604</v>
      </c>
      <c r="P76" s="148">
        <f t="shared" si="62"/>
        <v>163.77551393991959</v>
      </c>
      <c r="Q76" s="148">
        <f t="shared" si="62"/>
        <v>188.68948802680805</v>
      </c>
      <c r="R76" s="148">
        <f t="shared" si="62"/>
        <v>185.990616243658</v>
      </c>
      <c r="S76" s="148">
        <f t="shared" si="62"/>
        <v>182.52836438261531</v>
      </c>
      <c r="T76" s="148">
        <f t="shared" si="62"/>
        <v>182.62182045611081</v>
      </c>
      <c r="U76" s="148">
        <f t="shared" si="62"/>
        <v>186.03648886305243</v>
      </c>
      <c r="V76" s="148">
        <f t="shared" si="62"/>
        <v>188.95240366780502</v>
      </c>
      <c r="W76" s="148">
        <f t="shared" si="63"/>
        <v>190.59480651171057</v>
      </c>
      <c r="X76" s="148">
        <f t="shared" si="64"/>
        <v>192.56563114785394</v>
      </c>
      <c r="Y76" s="148">
        <f t="shared" si="64"/>
        <v>195.10310794658207</v>
      </c>
      <c r="Z76" s="148">
        <f t="shared" si="64"/>
        <v>198.14797871387162</v>
      </c>
      <c r="AA76" s="148">
        <f t="shared" si="64"/>
        <v>201.11748499746318</v>
      </c>
      <c r="AB76" s="148">
        <f t="shared" si="64"/>
        <v>203.54028687158518</v>
      </c>
      <c r="AC76" s="148">
        <f t="shared" si="64"/>
        <v>206.12577217609842</v>
      </c>
      <c r="AD76" s="148">
        <f t="shared" si="64"/>
        <v>208.83920318676488</v>
      </c>
      <c r="AE76" s="148">
        <f t="shared" si="64"/>
        <v>211.58917723609704</v>
      </c>
      <c r="AF76" s="148">
        <f t="shared" si="64"/>
        <v>214.27780248685895</v>
      </c>
      <c r="AG76" s="148">
        <f t="shared" si="64"/>
        <v>216.90808102192247</v>
      </c>
      <c r="AH76" s="148">
        <f t="shared" si="64"/>
        <v>219.58147585021476</v>
      </c>
      <c r="AI76" s="148">
        <f t="shared" si="64"/>
        <v>222.27311600473556</v>
      </c>
      <c r="AJ76" s="148">
        <f t="shared" si="64"/>
        <v>224.96022424292747</v>
      </c>
      <c r="AK76" s="148">
        <f t="shared" si="64"/>
        <v>227.63429138186837</v>
      </c>
    </row>
    <row r="77" spans="1:37" x14ac:dyDescent="0.2">
      <c r="A77" s="119" t="s">
        <v>92</v>
      </c>
      <c r="B77" s="147">
        <f t="shared" si="68"/>
        <v>514.02100024111814</v>
      </c>
      <c r="C77" s="147">
        <f t="shared" si="68"/>
        <v>494.99887976551554</v>
      </c>
      <c r="D77" s="147">
        <f t="shared" si="65"/>
        <v>498.49146845574006</v>
      </c>
      <c r="E77" s="147">
        <f t="shared" si="65"/>
        <v>500.74839170873713</v>
      </c>
      <c r="F77" s="147">
        <f t="shared" si="65"/>
        <v>319.82836838851449</v>
      </c>
      <c r="G77" s="147">
        <f t="shared" si="65"/>
        <v>84.116861392017086</v>
      </c>
      <c r="H77" s="147">
        <f t="shared" si="65"/>
        <v>248.3876415635084</v>
      </c>
      <c r="I77" s="147">
        <f t="shared" si="65"/>
        <v>253.18908080574036</v>
      </c>
      <c r="J77" s="147">
        <f t="shared" si="65"/>
        <v>214.1217553804243</v>
      </c>
      <c r="K77" s="147">
        <f t="shared" si="66"/>
        <v>351.17164148316749</v>
      </c>
      <c r="L77" s="148">
        <f>L$80*(SUM(G77:K77)/SUM(G$80:K$80))+100</f>
        <v>352.51850940893803</v>
      </c>
      <c r="M77" s="148">
        <f t="shared" si="67"/>
        <v>291.2877474662078</v>
      </c>
      <c r="N77" s="148">
        <f t="shared" si="62"/>
        <v>297.50883940241869</v>
      </c>
      <c r="O77" s="148">
        <f t="shared" si="62"/>
        <v>300.85925757300396</v>
      </c>
      <c r="P77" s="148">
        <f t="shared" si="62"/>
        <v>326.82051121190602</v>
      </c>
      <c r="Q77" s="148">
        <f t="shared" si="62"/>
        <v>323.79863679589766</v>
      </c>
      <c r="R77" s="148">
        <f t="shared" si="62"/>
        <v>315.00360747838056</v>
      </c>
      <c r="S77" s="148">
        <f t="shared" si="62"/>
        <v>317.4667999026546</v>
      </c>
      <c r="T77" s="148">
        <f t="shared" si="62"/>
        <v>325.27520266180704</v>
      </c>
      <c r="U77" s="148">
        <f t="shared" si="62"/>
        <v>331.13392077513299</v>
      </c>
      <c r="V77" s="148">
        <f t="shared" si="62"/>
        <v>329.11799339058632</v>
      </c>
      <c r="W77" s="148">
        <f t="shared" si="63"/>
        <v>332.97920063422566</v>
      </c>
      <c r="X77" s="148">
        <f t="shared" si="64"/>
        <v>338.47719669608415</v>
      </c>
      <c r="Y77" s="148">
        <f t="shared" si="64"/>
        <v>343.6357856065967</v>
      </c>
      <c r="Z77" s="148">
        <f t="shared" si="64"/>
        <v>348.24568310560204</v>
      </c>
      <c r="AA77" s="148">
        <f t="shared" si="64"/>
        <v>352.5949707152281</v>
      </c>
      <c r="AB77" s="148">
        <f t="shared" si="64"/>
        <v>357.29012491393968</v>
      </c>
      <c r="AC77" s="148">
        <f t="shared" si="64"/>
        <v>362.15883675644244</v>
      </c>
      <c r="AD77" s="148">
        <f t="shared" si="64"/>
        <v>366.89648342834425</v>
      </c>
      <c r="AE77" s="148">
        <f t="shared" si="64"/>
        <v>371.54658372274992</v>
      </c>
      <c r="AF77" s="148">
        <f t="shared" si="64"/>
        <v>376.20509081282171</v>
      </c>
      <c r="AG77" s="148">
        <f t="shared" si="64"/>
        <v>380.92786330866187</v>
      </c>
      <c r="AH77" s="148">
        <f t="shared" si="64"/>
        <v>385.65635027437895</v>
      </c>
      <c r="AI77" s="148">
        <f t="shared" si="64"/>
        <v>390.35571709599344</v>
      </c>
      <c r="AJ77" s="148">
        <f t="shared" si="64"/>
        <v>395.04714774821451</v>
      </c>
      <c r="AK77" s="148">
        <f t="shared" si="64"/>
        <v>399.74715703757556</v>
      </c>
    </row>
    <row r="78" spans="1:37" x14ac:dyDescent="0.2">
      <c r="A78" s="119" t="s">
        <v>93</v>
      </c>
      <c r="B78" s="147">
        <f t="shared" si="68"/>
        <v>553.89607883627355</v>
      </c>
      <c r="C78" s="147">
        <f t="shared" si="68"/>
        <v>456.88678494039738</v>
      </c>
      <c r="D78" s="147">
        <f t="shared" si="65"/>
        <v>470.9661336850985</v>
      </c>
      <c r="E78" s="147">
        <f t="shared" si="65"/>
        <v>440.90366532232485</v>
      </c>
      <c r="F78" s="147">
        <f t="shared" si="65"/>
        <v>279.07929908746308</v>
      </c>
      <c r="G78" s="147">
        <f t="shared" si="65"/>
        <v>184.02558342675485</v>
      </c>
      <c r="H78" s="147">
        <f t="shared" si="65"/>
        <v>365.38116418791145</v>
      </c>
      <c r="I78" s="147">
        <f t="shared" si="65"/>
        <v>249.50023090026389</v>
      </c>
      <c r="J78" s="147">
        <f t="shared" si="65"/>
        <v>304.54461639566745</v>
      </c>
      <c r="K78" s="147">
        <f t="shared" si="66"/>
        <v>330.80086285679255</v>
      </c>
      <c r="L78" s="148">
        <f>L$80*(SUM(G78:K78)/SUM(G$80:K$80))+50</f>
        <v>364.66497783919885</v>
      </c>
      <c r="M78" s="148">
        <f t="shared" si="67"/>
        <v>331.40903099464941</v>
      </c>
      <c r="N78" s="148">
        <f t="shared" si="62"/>
        <v>321.64481587872535</v>
      </c>
      <c r="O78" s="148">
        <f t="shared" si="62"/>
        <v>330.10546633415134</v>
      </c>
      <c r="P78" s="148">
        <f t="shared" si="62"/>
        <v>344.3126179364466</v>
      </c>
      <c r="Q78" s="148">
        <f t="shared" si="62"/>
        <v>349.21186589030549</v>
      </c>
      <c r="R78" s="148">
        <f t="shared" si="62"/>
        <v>342.90074646114562</v>
      </c>
      <c r="S78" s="148">
        <f t="shared" si="62"/>
        <v>342.67443238821693</v>
      </c>
      <c r="T78" s="148">
        <f t="shared" si="62"/>
        <v>350.99748185032252</v>
      </c>
      <c r="U78" s="148">
        <f t="shared" si="62"/>
        <v>356.19647093191355</v>
      </c>
      <c r="V78" s="148">
        <f t="shared" si="62"/>
        <v>355.50632602487843</v>
      </c>
      <c r="W78" s="148">
        <f t="shared" si="63"/>
        <v>359.79002172060831</v>
      </c>
      <c r="X78" s="148">
        <f t="shared" si="64"/>
        <v>365.20649646536685</v>
      </c>
      <c r="Y78" s="148">
        <f t="shared" si="64"/>
        <v>370.74393801277142</v>
      </c>
      <c r="Z78" s="148">
        <f t="shared" si="64"/>
        <v>375.70449644244337</v>
      </c>
      <c r="AA78" s="148">
        <f t="shared" si="64"/>
        <v>380.61484972209757</v>
      </c>
      <c r="AB78" s="148">
        <f t="shared" si="64"/>
        <v>385.63436980715022</v>
      </c>
      <c r="AC78" s="148">
        <f t="shared" si="64"/>
        <v>390.80707995847803</v>
      </c>
      <c r="AD78" s="148">
        <f t="shared" si="64"/>
        <v>395.92898466013162</v>
      </c>
      <c r="AE78" s="148">
        <f t="shared" si="64"/>
        <v>400.96445438587835</v>
      </c>
      <c r="AF78" s="148">
        <f t="shared" si="64"/>
        <v>406.0155300849321</v>
      </c>
      <c r="AG78" s="148">
        <f t="shared" si="64"/>
        <v>411.09585623236461</v>
      </c>
      <c r="AH78" s="148">
        <f t="shared" si="64"/>
        <v>416.18880059844645</v>
      </c>
      <c r="AI78" s="148">
        <f t="shared" si="64"/>
        <v>421.26517738706377</v>
      </c>
      <c r="AJ78" s="148">
        <f t="shared" si="64"/>
        <v>426.33211054283845</v>
      </c>
      <c r="AK78" s="148">
        <f t="shared" si="64"/>
        <v>431.40557405336551</v>
      </c>
    </row>
    <row r="79" spans="1:37" x14ac:dyDescent="0.2">
      <c r="A79" s="119" t="s">
        <v>94</v>
      </c>
      <c r="B79" s="147">
        <f t="shared" si="68"/>
        <v>381.89287918097244</v>
      </c>
      <c r="C79" s="147">
        <f t="shared" si="68"/>
        <v>440.56911690953217</v>
      </c>
      <c r="D79" s="147">
        <f t="shared" si="65"/>
        <v>445.21700304058606</v>
      </c>
      <c r="E79" s="147">
        <f t="shared" si="65"/>
        <v>373.86207318006819</v>
      </c>
      <c r="F79" s="147">
        <f t="shared" si="65"/>
        <v>344.59896033098801</v>
      </c>
      <c r="G79" s="147">
        <f t="shared" si="65"/>
        <v>261.56849502650107</v>
      </c>
      <c r="H79" s="147">
        <f t="shared" si="65"/>
        <v>302.27452413491255</v>
      </c>
      <c r="I79" s="147">
        <f t="shared" si="65"/>
        <v>281.52567289286497</v>
      </c>
      <c r="J79" s="147">
        <f t="shared" si="65"/>
        <v>258.739702973921</v>
      </c>
      <c r="K79" s="147">
        <f t="shared" si="66"/>
        <v>187.32370740904582</v>
      </c>
      <c r="L79" s="148">
        <f>L80-(SUM(L68:L78))</f>
        <v>228.80284495186834</v>
      </c>
      <c r="M79" s="148">
        <f>M80-(SUM(M68:M78))</f>
        <v>258.30425038054773</v>
      </c>
      <c r="N79" s="148">
        <f t="shared" ref="N79:AK79" si="70">N80-(SUM(N68:N78))</f>
        <v>247.13508473883485</v>
      </c>
      <c r="O79" s="148">
        <f t="shared" si="70"/>
        <v>235.69883302128119</v>
      </c>
      <c r="P79" s="148">
        <f t="shared" si="70"/>
        <v>237.37333176188758</v>
      </c>
      <c r="Q79" s="148">
        <f t="shared" si="70"/>
        <v>249.15743687435679</v>
      </c>
      <c r="R79" s="148">
        <f t="shared" si="70"/>
        <v>251.07214346114233</v>
      </c>
      <c r="S79" s="148">
        <f t="shared" si="70"/>
        <v>247.73046098600025</v>
      </c>
      <c r="T79" s="148">
        <f t="shared" si="70"/>
        <v>250.74768518220844</v>
      </c>
      <c r="U79" s="148">
        <f t="shared" si="70"/>
        <v>254.48727670174048</v>
      </c>
      <c r="V79" s="148">
        <f t="shared" si="70"/>
        <v>255.75408228682591</v>
      </c>
      <c r="W79" s="148">
        <f t="shared" si="70"/>
        <v>259.26146971557182</v>
      </c>
      <c r="X79" s="148">
        <f t="shared" si="70"/>
        <v>262.34089135289923</v>
      </c>
      <c r="Y79" s="148">
        <f t="shared" si="70"/>
        <v>265.99196756382116</v>
      </c>
      <c r="Z79" s="148">
        <f t="shared" si="70"/>
        <v>269.77483394366163</v>
      </c>
      <c r="AA79" s="148">
        <f t="shared" si="70"/>
        <v>273.56734267974525</v>
      </c>
      <c r="AB79" s="148">
        <f t="shared" si="70"/>
        <v>277.12650520392708</v>
      </c>
      <c r="AC79" s="148">
        <f t="shared" si="70"/>
        <v>280.69653685754656</v>
      </c>
      <c r="AD79" s="148">
        <f t="shared" si="70"/>
        <v>284.36869473973002</v>
      </c>
      <c r="AE79" s="148">
        <f t="shared" si="70"/>
        <v>288.04520831722175</v>
      </c>
      <c r="AF79" s="148">
        <f t="shared" si="70"/>
        <v>291.69959226974925</v>
      </c>
      <c r="AG79" s="148">
        <f t="shared" si="70"/>
        <v>295.32528084215892</v>
      </c>
      <c r="AH79" s="148">
        <f t="shared" si="70"/>
        <v>298.96479915991222</v>
      </c>
      <c r="AI79" s="148">
        <f t="shared" si="70"/>
        <v>302.61874188071988</v>
      </c>
      <c r="AJ79" s="148">
        <f t="shared" si="70"/>
        <v>306.26889947521022</v>
      </c>
      <c r="AK79" s="148">
        <f t="shared" si="70"/>
        <v>309.91358941063163</v>
      </c>
    </row>
    <row r="80" spans="1:37" s="174" customFormat="1" ht="13.5" thickBot="1" x14ac:dyDescent="0.25">
      <c r="A80" s="173" t="s">
        <v>121</v>
      </c>
      <c r="B80" s="149">
        <f>SUM(B68:B79)</f>
        <v>5854.6317414501018</v>
      </c>
      <c r="C80" s="149">
        <f t="shared" ref="C80:K80" si="71">SUM(C68:C79)</f>
        <v>5612.6494727832169</v>
      </c>
      <c r="D80" s="149">
        <f t="shared" si="71"/>
        <v>5300.0051627235907</v>
      </c>
      <c r="E80" s="149">
        <f t="shared" si="71"/>
        <v>5531.2951382133615</v>
      </c>
      <c r="F80" s="149">
        <f t="shared" si="71"/>
        <v>4046.6797885248402</v>
      </c>
      <c r="G80" s="149">
        <f t="shared" si="71"/>
        <v>2105.1589719850631</v>
      </c>
      <c r="H80" s="149">
        <f t="shared" si="71"/>
        <v>2767.8198239529047</v>
      </c>
      <c r="I80" s="149">
        <f t="shared" si="71"/>
        <v>3540.6418578028338</v>
      </c>
      <c r="J80" s="149">
        <f t="shared" si="71"/>
        <v>3192.7432916482639</v>
      </c>
      <c r="K80" s="149">
        <f t="shared" si="71"/>
        <v>3207.2340589177925</v>
      </c>
      <c r="L80" s="148">
        <v>3250</v>
      </c>
      <c r="M80" s="148">
        <v>3275</v>
      </c>
      <c r="N80" s="148">
        <v>3350</v>
      </c>
      <c r="O80" s="148">
        <v>3250</v>
      </c>
      <c r="P80" s="148">
        <v>3350</v>
      </c>
      <c r="Q80" s="148">
        <v>3400</v>
      </c>
      <c r="R80" s="148">
        <v>3400</v>
      </c>
      <c r="S80" s="148">
        <v>3400</v>
      </c>
      <c r="T80" s="148">
        <v>3450</v>
      </c>
      <c r="U80" s="148">
        <v>3500</v>
      </c>
      <c r="V80" s="148">
        <v>3500</v>
      </c>
      <c r="W80" s="148">
        <v>3550</v>
      </c>
      <c r="X80" s="148">
        <v>3600</v>
      </c>
      <c r="Y80" s="148">
        <v>3650</v>
      </c>
      <c r="Z80" s="148">
        <v>3700</v>
      </c>
      <c r="AA80" s="148">
        <v>3750</v>
      </c>
      <c r="AB80" s="148">
        <v>3800</v>
      </c>
      <c r="AC80" s="148">
        <v>3850</v>
      </c>
      <c r="AD80" s="148">
        <v>3900</v>
      </c>
      <c r="AE80" s="148">
        <v>3950</v>
      </c>
      <c r="AF80" s="148">
        <v>4000</v>
      </c>
      <c r="AG80" s="148">
        <v>4050</v>
      </c>
      <c r="AH80" s="148">
        <v>4100</v>
      </c>
      <c r="AI80" s="148">
        <v>4150</v>
      </c>
      <c r="AJ80" s="148">
        <v>4200</v>
      </c>
      <c r="AK80" s="148">
        <v>4250</v>
      </c>
    </row>
    <row r="81" spans="1:37" x14ac:dyDescent="0.2">
      <c r="A81" s="150"/>
      <c r="B81" s="153">
        <f>B7</f>
        <v>5854.6317414501027</v>
      </c>
      <c r="C81" s="153">
        <f t="shared" ref="C81:U81" si="72">C7</f>
        <v>5612.6494727832151</v>
      </c>
      <c r="D81" s="153">
        <f t="shared" si="72"/>
        <v>5300.0051627235907</v>
      </c>
      <c r="E81" s="153">
        <f t="shared" si="72"/>
        <v>5531.2951382133606</v>
      </c>
      <c r="F81" s="153">
        <f t="shared" si="72"/>
        <v>4046.6797885248393</v>
      </c>
      <c r="G81" s="153">
        <f t="shared" si="72"/>
        <v>2105.1589719850631</v>
      </c>
      <c r="H81" s="153">
        <f t="shared" si="72"/>
        <v>2767.8198239529047</v>
      </c>
      <c r="I81" s="153">
        <f t="shared" si="72"/>
        <v>3540.6418578028333</v>
      </c>
      <c r="J81" s="153">
        <f t="shared" si="72"/>
        <v>3192.7432916482639</v>
      </c>
      <c r="K81" s="153">
        <f t="shared" si="72"/>
        <v>3207.234058917792</v>
      </c>
      <c r="L81" s="153">
        <f t="shared" si="72"/>
        <v>3250</v>
      </c>
      <c r="M81" s="153">
        <f t="shared" si="72"/>
        <v>3275</v>
      </c>
      <c r="N81" s="153">
        <f t="shared" si="72"/>
        <v>3350</v>
      </c>
      <c r="O81" s="153">
        <f t="shared" si="72"/>
        <v>3249.9999999999991</v>
      </c>
      <c r="P81" s="153">
        <f t="shared" si="72"/>
        <v>3350</v>
      </c>
      <c r="Q81" s="153">
        <f t="shared" si="72"/>
        <v>3400.0000000000009</v>
      </c>
      <c r="R81" s="153">
        <f t="shared" si="72"/>
        <v>3400.0000000000009</v>
      </c>
      <c r="S81" s="153">
        <f t="shared" si="72"/>
        <v>3400.0000000000018</v>
      </c>
      <c r="T81" s="153">
        <f t="shared" si="72"/>
        <v>3449.9999999999982</v>
      </c>
      <c r="U81" s="153">
        <f t="shared" si="72"/>
        <v>3500.0000000000018</v>
      </c>
      <c r="V81" s="150"/>
      <c r="W81" s="150"/>
      <c r="X81" s="150"/>
      <c r="Y81" s="150"/>
      <c r="Z81" s="150"/>
      <c r="AA81" s="150"/>
      <c r="AB81" s="150"/>
      <c r="AC81" s="150"/>
      <c r="AD81" s="150"/>
      <c r="AE81" s="150"/>
      <c r="AF81" s="150"/>
      <c r="AG81" s="150"/>
      <c r="AH81" s="150"/>
      <c r="AI81" s="150"/>
      <c r="AJ81" s="150"/>
      <c r="AK81" s="150"/>
    </row>
    <row r="82" spans="1:37" ht="13.5" thickBot="1" x14ac:dyDescent="0.25">
      <c r="A82" s="119" t="s">
        <v>134</v>
      </c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</row>
    <row r="83" spans="1:37" ht="13.5" thickBot="1" x14ac:dyDescent="0.25">
      <c r="A83" s="157" t="s">
        <v>71</v>
      </c>
      <c r="B83" s="158">
        <f>B2</f>
        <v>2015</v>
      </c>
      <c r="C83" s="158">
        <f t="shared" ref="C83:J83" si="73">C2</f>
        <v>2016</v>
      </c>
      <c r="D83" s="158">
        <f t="shared" si="73"/>
        <v>2017</v>
      </c>
      <c r="E83" s="158">
        <f t="shared" si="73"/>
        <v>2018</v>
      </c>
      <c r="F83" s="158">
        <f t="shared" si="73"/>
        <v>2019</v>
      </c>
      <c r="G83" s="158">
        <f t="shared" si="73"/>
        <v>2020</v>
      </c>
      <c r="H83" s="158">
        <f t="shared" si="73"/>
        <v>2021</v>
      </c>
      <c r="I83" s="158">
        <f t="shared" si="73"/>
        <v>2022</v>
      </c>
      <c r="J83" s="158">
        <f t="shared" si="73"/>
        <v>2023</v>
      </c>
      <c r="K83" s="158">
        <f>K2</f>
        <v>2024</v>
      </c>
      <c r="L83" s="158">
        <f>L2</f>
        <v>2025</v>
      </c>
      <c r="M83" s="158">
        <f>M2</f>
        <v>2026</v>
      </c>
      <c r="N83" s="158">
        <f t="shared" ref="N83:AK83" si="74">N2</f>
        <v>2027</v>
      </c>
      <c r="O83" s="158">
        <f t="shared" si="74"/>
        <v>2028</v>
      </c>
      <c r="P83" s="158">
        <f t="shared" si="74"/>
        <v>2029</v>
      </c>
      <c r="Q83" s="158">
        <f t="shared" si="74"/>
        <v>2030</v>
      </c>
      <c r="R83" s="158">
        <f t="shared" si="74"/>
        <v>2031</v>
      </c>
      <c r="S83" s="158">
        <f t="shared" si="74"/>
        <v>2032</v>
      </c>
      <c r="T83" s="158">
        <f t="shared" si="74"/>
        <v>2033</v>
      </c>
      <c r="U83" s="158">
        <f t="shared" si="74"/>
        <v>2034</v>
      </c>
      <c r="V83" s="158">
        <f t="shared" si="74"/>
        <v>2035</v>
      </c>
      <c r="W83" s="158">
        <f t="shared" si="74"/>
        <v>2036</v>
      </c>
      <c r="X83" s="158">
        <f t="shared" si="74"/>
        <v>2037</v>
      </c>
      <c r="Y83" s="158">
        <f t="shared" si="74"/>
        <v>2038</v>
      </c>
      <c r="Z83" s="158">
        <f t="shared" si="74"/>
        <v>2039</v>
      </c>
      <c r="AA83" s="158">
        <f t="shared" si="74"/>
        <v>2040</v>
      </c>
      <c r="AB83" s="158">
        <f t="shared" si="74"/>
        <v>2041</v>
      </c>
      <c r="AC83" s="158">
        <f t="shared" si="74"/>
        <v>2042</v>
      </c>
      <c r="AD83" s="158">
        <f t="shared" si="74"/>
        <v>2043</v>
      </c>
      <c r="AE83" s="158">
        <f t="shared" si="74"/>
        <v>2044</v>
      </c>
      <c r="AF83" s="158">
        <f t="shared" si="74"/>
        <v>2045</v>
      </c>
      <c r="AG83" s="158">
        <f t="shared" si="74"/>
        <v>2046</v>
      </c>
      <c r="AH83" s="158">
        <f t="shared" si="74"/>
        <v>2047</v>
      </c>
      <c r="AI83" s="158">
        <f t="shared" si="74"/>
        <v>2048</v>
      </c>
      <c r="AJ83" s="158">
        <f t="shared" si="74"/>
        <v>2049</v>
      </c>
      <c r="AK83" s="158">
        <f t="shared" si="74"/>
        <v>2050</v>
      </c>
    </row>
    <row r="84" spans="1:37" x14ac:dyDescent="0.2">
      <c r="A84" s="119" t="s">
        <v>83</v>
      </c>
      <c r="B84" s="147">
        <f>B20*('[1]Jet Fuel'!$B85/'[1]Jet Fuel'!$B21)</f>
        <v>344.13582332536578</v>
      </c>
      <c r="C84" s="147">
        <f>C20*('[1]Jet Fuel'!$B85/'[1]Jet Fuel'!$B21)</f>
        <v>331.80837912611156</v>
      </c>
      <c r="D84" s="147">
        <f>D20*('[1]Jet Fuel'!$B85/'[1]Jet Fuel'!$B21)</f>
        <v>354.33411217133573</v>
      </c>
      <c r="E84" s="147">
        <f>E20*('[1]Jet Fuel'!B85/'[1]Jet Fuel'!B21)</f>
        <v>444.55837489626168</v>
      </c>
      <c r="F84" s="147">
        <f>F20*('[1]Jet Fuel'!C85/'[1]Jet Fuel'!C21)</f>
        <v>359.90542706640923</v>
      </c>
      <c r="G84" s="147">
        <f>G20*('[1]Jet Fuel'!D85/'[1]Jet Fuel'!D21)</f>
        <v>354.27768868787723</v>
      </c>
      <c r="H84" s="147">
        <f>H20*('[1]Jet Fuel'!E85/'[1]Jet Fuel'!E21)</f>
        <v>355.78054691322302</v>
      </c>
      <c r="I84" s="147">
        <f>I20*('[1]Jet Fuel'!F85/'[1]Jet Fuel'!F21)</f>
        <v>309.4860009954694</v>
      </c>
      <c r="J84" s="147">
        <f>J20*('[1]Jet Fuel'!G85/'[1]Jet Fuel'!G21)</f>
        <v>235.65718635821611</v>
      </c>
      <c r="K84" s="147">
        <f>K20*('[1]Jet Fuel'!H85/'[1]Jet Fuel'!H21)</f>
        <v>342.04652549917046</v>
      </c>
      <c r="L84" s="147">
        <f>L20*('[1]Jet Fuel'!I85/'[1]Jet Fuel'!I21)</f>
        <v>375.75143621872144</v>
      </c>
      <c r="M84" s="151">
        <f>L95+M20+M36-M52-M68</f>
        <v>352.38603711484353</v>
      </c>
      <c r="N84" s="151">
        <f t="shared" ref="N84:AK84" si="75">M95+N20+N36-N52-N68</f>
        <v>486.25625421468749</v>
      </c>
      <c r="O84" s="151">
        <f t="shared" si="75"/>
        <v>269.18215138513466</v>
      </c>
      <c r="P84" s="151">
        <f t="shared" si="75"/>
        <v>425.36743417265689</v>
      </c>
      <c r="Q84" s="151">
        <f t="shared" si="75"/>
        <v>472.83324557838949</v>
      </c>
      <c r="R84" s="151">
        <f t="shared" si="75"/>
        <v>437.14230893149033</v>
      </c>
      <c r="S84" s="151">
        <f t="shared" si="75"/>
        <v>485.24721416545066</v>
      </c>
      <c r="T84" s="151">
        <f t="shared" si="75"/>
        <v>402.01359165106885</v>
      </c>
      <c r="U84" s="151">
        <f t="shared" si="75"/>
        <v>418.75646143893493</v>
      </c>
      <c r="V84" s="151">
        <f t="shared" si="75"/>
        <v>530.11692041561787</v>
      </c>
      <c r="W84" s="151">
        <f t="shared" si="75"/>
        <v>632.31472552885816</v>
      </c>
      <c r="X84" s="151">
        <f t="shared" si="75"/>
        <v>689.16889651861777</v>
      </c>
      <c r="Y84" s="151">
        <f t="shared" si="75"/>
        <v>746.16902758193055</v>
      </c>
      <c r="Z84" s="151">
        <f t="shared" si="75"/>
        <v>800.69331309291601</v>
      </c>
      <c r="AA84" s="151">
        <f t="shared" si="75"/>
        <v>808.39917950222321</v>
      </c>
      <c r="AB84" s="151">
        <f t="shared" si="75"/>
        <v>811.81252390184204</v>
      </c>
      <c r="AC84" s="151">
        <f t="shared" si="75"/>
        <v>787.0060313548729</v>
      </c>
      <c r="AD84" s="151">
        <f t="shared" si="75"/>
        <v>893.84766213532339</v>
      </c>
      <c r="AE84" s="151">
        <f t="shared" si="75"/>
        <v>820.02825961522012</v>
      </c>
      <c r="AF84" s="151">
        <f t="shared" si="75"/>
        <v>891.7377930022102</v>
      </c>
      <c r="AG84" s="151">
        <f t="shared" si="75"/>
        <v>1044.7342767414689</v>
      </c>
      <c r="AH84" s="151">
        <f t="shared" si="75"/>
        <v>1031.6499328082041</v>
      </c>
      <c r="AI84" s="151">
        <f t="shared" si="75"/>
        <v>1052.441802502871</v>
      </c>
      <c r="AJ84" s="151">
        <f t="shared" si="75"/>
        <v>1076.6862364395949</v>
      </c>
      <c r="AK84" s="151">
        <f t="shared" si="75"/>
        <v>1140.0760171025372</v>
      </c>
    </row>
    <row r="85" spans="1:37" x14ac:dyDescent="0.2">
      <c r="A85" s="119" t="s">
        <v>84</v>
      </c>
      <c r="B85" s="147">
        <f>B21*('[1]Jet Fuel'!$B86/'[1]Jet Fuel'!$B22)</f>
        <v>326.46757994414833</v>
      </c>
      <c r="C85" s="147">
        <f>C21*('[1]Jet Fuel'!$B86/'[1]Jet Fuel'!$B22)</f>
        <v>333.07217319116535</v>
      </c>
      <c r="D85" s="147">
        <f>D21*('[1]Jet Fuel'!$B86/'[1]Jet Fuel'!$B22)</f>
        <v>357.45539294237119</v>
      </c>
      <c r="E85" s="147">
        <f>E21*('[1]Jet Fuel'!B86/'[1]Jet Fuel'!B22)</f>
        <v>384.12806900228492</v>
      </c>
      <c r="F85" s="147">
        <f>F21*('[1]Jet Fuel'!C86/'[1]Jet Fuel'!C22)</f>
        <v>367.01988242606177</v>
      </c>
      <c r="G85" s="147">
        <f>G21*('[1]Jet Fuel'!D86/'[1]Jet Fuel'!D22)</f>
        <v>362.89599051403036</v>
      </c>
      <c r="H85" s="147">
        <f>H21*('[1]Jet Fuel'!E86/'[1]Jet Fuel'!E22)</f>
        <v>392.00190409391934</v>
      </c>
      <c r="I85" s="147">
        <f>I21*('[1]Jet Fuel'!F86/'[1]Jet Fuel'!F22)</f>
        <v>319.20859093176261</v>
      </c>
      <c r="J85" s="147">
        <f>J21*('[1]Jet Fuel'!G86/'[1]Jet Fuel'!G22)</f>
        <v>302.21017229154791</v>
      </c>
      <c r="K85" s="147">
        <f>K21*('[1]Jet Fuel'!H86/'[1]Jet Fuel'!H22)</f>
        <v>333.31438042192678</v>
      </c>
      <c r="L85" s="147">
        <f>L21*('[1]Jet Fuel'!I86/'[1]Jet Fuel'!I22)</f>
        <v>409.69723821476651</v>
      </c>
      <c r="M85" s="151">
        <f t="shared" ref="M85:AK95" si="76">M84+M21+M37-M53-M69</f>
        <v>405.08402885630505</v>
      </c>
      <c r="N85" s="151">
        <f t="shared" si="76"/>
        <v>497.4668737689318</v>
      </c>
      <c r="O85" s="151">
        <f t="shared" si="76"/>
        <v>313.8992762068865</v>
      </c>
      <c r="P85" s="151">
        <f t="shared" si="76"/>
        <v>457.6745499002887</v>
      </c>
      <c r="Q85" s="151">
        <f t="shared" si="76"/>
        <v>505.14831494406462</v>
      </c>
      <c r="R85" s="151">
        <f t="shared" si="76"/>
        <v>478.90347682336369</v>
      </c>
      <c r="S85" s="151">
        <f t="shared" si="76"/>
        <v>515.07870269478065</v>
      </c>
      <c r="T85" s="151">
        <f t="shared" si="76"/>
        <v>442.12587121266495</v>
      </c>
      <c r="U85" s="151">
        <f t="shared" si="76"/>
        <v>468.30529306446675</v>
      </c>
      <c r="V85" s="151">
        <f t="shared" si="76"/>
        <v>582.6758691675833</v>
      </c>
      <c r="W85" s="151">
        <f t="shared" si="76"/>
        <v>684.78324827920915</v>
      </c>
      <c r="X85" s="151">
        <f t="shared" si="76"/>
        <v>745.60107434260271</v>
      </c>
      <c r="Y85" s="151">
        <f t="shared" si="76"/>
        <v>806.82000709880253</v>
      </c>
      <c r="Z85" s="151">
        <f t="shared" si="76"/>
        <v>861.66796616815145</v>
      </c>
      <c r="AA85" s="151">
        <f t="shared" si="76"/>
        <v>874.53400320091794</v>
      </c>
      <c r="AB85" s="151">
        <f t="shared" si="76"/>
        <v>879.42486878207524</v>
      </c>
      <c r="AC85" s="151">
        <f t="shared" si="76"/>
        <v>870.62686017777855</v>
      </c>
      <c r="AD85" s="151">
        <f t="shared" si="76"/>
        <v>965.72562365077624</v>
      </c>
      <c r="AE85" s="151">
        <f t="shared" si="76"/>
        <v>908.7843323601237</v>
      </c>
      <c r="AF85" s="151">
        <f t="shared" si="76"/>
        <v>993.75039702378672</v>
      </c>
      <c r="AG85" s="151">
        <f t="shared" si="76"/>
        <v>1137.6990405223391</v>
      </c>
      <c r="AH85" s="151">
        <f t="shared" si="76"/>
        <v>1131.3246204167685</v>
      </c>
      <c r="AI85" s="151">
        <f t="shared" si="76"/>
        <v>1158.4949427084225</v>
      </c>
      <c r="AJ85" s="151">
        <f t="shared" si="76"/>
        <v>1192.9307050775133</v>
      </c>
      <c r="AK85" s="151">
        <f t="shared" si="76"/>
        <v>1251.6476953046827</v>
      </c>
    </row>
    <row r="86" spans="1:37" x14ac:dyDescent="0.2">
      <c r="A86" s="119" t="s">
        <v>85</v>
      </c>
      <c r="B86" s="147">
        <f>B22*('[1]Jet Fuel'!$B87/'[1]Jet Fuel'!$B23)</f>
        <v>265.09719371014495</v>
      </c>
      <c r="C86" s="147">
        <f>C22*('[1]Jet Fuel'!$B87/'[1]Jet Fuel'!$B23)</f>
        <v>272.00454585507242</v>
      </c>
      <c r="D86" s="147">
        <f>D22*('[1]Jet Fuel'!$B87/'[1]Jet Fuel'!$B23)</f>
        <v>295.8139483768116</v>
      </c>
      <c r="E86" s="147">
        <f>E22*('[1]Jet Fuel'!B87/'[1]Jet Fuel'!B23)</f>
        <v>300.36252133333329</v>
      </c>
      <c r="F86" s="147">
        <f>F22*('[1]Jet Fuel'!C87/'[1]Jet Fuel'!C23)</f>
        <v>307.26066923292336</v>
      </c>
      <c r="G86" s="147">
        <f>G22*('[1]Jet Fuel'!D87/'[1]Jet Fuel'!D23)</f>
        <v>350.74538003180106</v>
      </c>
      <c r="H86" s="147">
        <f>H22*('[1]Jet Fuel'!E87/'[1]Jet Fuel'!E23)</f>
        <v>226.251340001758</v>
      </c>
      <c r="I86" s="147">
        <f>I22*('[1]Jet Fuel'!F87/'[1]Jet Fuel'!F23)</f>
        <v>252.99351831783258</v>
      </c>
      <c r="J86" s="147">
        <f>J22*('[1]Jet Fuel'!G87/'[1]Jet Fuel'!G23)</f>
        <v>265.13652666884383</v>
      </c>
      <c r="K86" s="147">
        <f>K22*('[1]Jet Fuel'!H87/'[1]Jet Fuel'!H23)</f>
        <v>315.26491648775118</v>
      </c>
      <c r="L86" s="151">
        <f>L85+L22+L38-L54-L70</f>
        <v>349.04252655003512</v>
      </c>
      <c r="M86" s="151">
        <f>M85+M22+M38-M54-M70</f>
        <v>344.82495250804726</v>
      </c>
      <c r="N86" s="151">
        <f t="shared" si="76"/>
        <v>423.39771405423392</v>
      </c>
      <c r="O86" s="151">
        <f t="shared" si="76"/>
        <v>279.32128919479078</v>
      </c>
      <c r="P86" s="151">
        <f t="shared" si="76"/>
        <v>411.30751313257377</v>
      </c>
      <c r="Q86" s="151">
        <f t="shared" si="76"/>
        <v>444.35698022418399</v>
      </c>
      <c r="R86" s="151">
        <f t="shared" si="76"/>
        <v>426.68749812561009</v>
      </c>
      <c r="S86" s="151">
        <f t="shared" si="76"/>
        <v>455.79236937257184</v>
      </c>
      <c r="T86" s="151">
        <f t="shared" si="76"/>
        <v>392.27720181515616</v>
      </c>
      <c r="U86" s="151">
        <f t="shared" si="76"/>
        <v>425.42967111404096</v>
      </c>
      <c r="V86" s="151">
        <f t="shared" si="76"/>
        <v>540.57015598281885</v>
      </c>
      <c r="W86" s="151">
        <f t="shared" si="76"/>
        <v>641.98081164227642</v>
      </c>
      <c r="X86" s="151">
        <f t="shared" si="76"/>
        <v>707.08441821558279</v>
      </c>
      <c r="Y86" s="151">
        <f t="shared" si="76"/>
        <v>771.68530343377711</v>
      </c>
      <c r="Z86" s="151">
        <f t="shared" si="76"/>
        <v>825.55706169061602</v>
      </c>
      <c r="AA86" s="151">
        <f t="shared" si="76"/>
        <v>842.88833374510409</v>
      </c>
      <c r="AB86" s="151">
        <f t="shared" si="76"/>
        <v>848.82239445212406</v>
      </c>
      <c r="AC86" s="151">
        <f t="shared" si="76"/>
        <v>855.13021096931925</v>
      </c>
      <c r="AD86" s="151">
        <f t="shared" si="76"/>
        <v>935.22461126510143</v>
      </c>
      <c r="AE86" s="151">
        <f t="shared" si="76"/>
        <v>894.19535487762482</v>
      </c>
      <c r="AF86" s="151">
        <f t="shared" si="76"/>
        <v>991.53628857641297</v>
      </c>
      <c r="AG86" s="151">
        <f t="shared" si="76"/>
        <v>1124.6353676436947</v>
      </c>
      <c r="AH86" s="151">
        <f t="shared" si="76"/>
        <v>1120.8039591707586</v>
      </c>
      <c r="AI86" s="151">
        <f t="shared" si="76"/>
        <v>1152.7098163681301</v>
      </c>
      <c r="AJ86" s="151">
        <f t="shared" si="76"/>
        <v>1195.8536199297071</v>
      </c>
      <c r="AK86" s="151">
        <f t="shared" si="76"/>
        <v>1247.5977083968232</v>
      </c>
    </row>
    <row r="87" spans="1:37" x14ac:dyDescent="0.2">
      <c r="A87" s="119" t="s">
        <v>86</v>
      </c>
      <c r="B87" s="147">
        <f>B23*('[1]Jet Fuel'!$B88/'[1]Jet Fuel'!$B24)</f>
        <v>274.34142818951432</v>
      </c>
      <c r="C87" s="147">
        <f>C23*('[1]Jet Fuel'!$B88/'[1]Jet Fuel'!$B24)</f>
        <v>262.39981523837815</v>
      </c>
      <c r="D87" s="147">
        <f>D23*('[1]Jet Fuel'!$B88/'[1]Jet Fuel'!$B24)</f>
        <v>303.80393227387498</v>
      </c>
      <c r="E87" s="147">
        <f>E23*('[1]Jet Fuel'!B88/'[1]Jet Fuel'!B24)</f>
        <v>348.30968750928264</v>
      </c>
      <c r="F87" s="147">
        <f>F23*('[1]Jet Fuel'!C88/'[1]Jet Fuel'!C24)</f>
        <v>295.2736545651</v>
      </c>
      <c r="G87" s="147">
        <f>G23*('[1]Jet Fuel'!D88/'[1]Jet Fuel'!D24)</f>
        <v>131.34225797210706</v>
      </c>
      <c r="H87" s="147">
        <f>H23*('[1]Jet Fuel'!E88/'[1]Jet Fuel'!E24)</f>
        <v>143.27134811373057</v>
      </c>
      <c r="I87" s="147">
        <f>I23*('[1]Jet Fuel'!F88/'[1]Jet Fuel'!F24)</f>
        <v>259.65320978480491</v>
      </c>
      <c r="J87" s="147">
        <f>J23*('[1]Jet Fuel'!G88/'[1]Jet Fuel'!G24)</f>
        <v>318.08260727158756</v>
      </c>
      <c r="K87" s="147">
        <f>K23*('[1]Jet Fuel'!H88/'[1]Jet Fuel'!H24)</f>
        <v>265.83009025391516</v>
      </c>
      <c r="L87" s="151">
        <f t="shared" ref="L87:M94" si="77">L86+L23+L39-L55-L71</f>
        <v>281.60347268005592</v>
      </c>
      <c r="M87" s="151">
        <f t="shared" si="77"/>
        <v>337.92661864888606</v>
      </c>
      <c r="N87" s="151">
        <f t="shared" si="76"/>
        <v>396.93168050940818</v>
      </c>
      <c r="O87" s="151">
        <f t="shared" si="76"/>
        <v>274.70728399063069</v>
      </c>
      <c r="P87" s="151">
        <f t="shared" si="76"/>
        <v>385.80009403547501</v>
      </c>
      <c r="Q87" s="151">
        <f t="shared" si="76"/>
        <v>420.1346228970732</v>
      </c>
      <c r="R87" s="151">
        <f t="shared" si="76"/>
        <v>419.40098824649158</v>
      </c>
      <c r="S87" s="151">
        <f t="shared" si="76"/>
        <v>443.08239553370652</v>
      </c>
      <c r="T87" s="151">
        <f t="shared" si="76"/>
        <v>388.79766228629171</v>
      </c>
      <c r="U87" s="151">
        <f t="shared" si="76"/>
        <v>430.18070573008447</v>
      </c>
      <c r="V87" s="151">
        <f t="shared" si="76"/>
        <v>553.3921253749287</v>
      </c>
      <c r="W87" s="151">
        <f t="shared" si="76"/>
        <v>661.56671187870666</v>
      </c>
      <c r="X87" s="151">
        <f t="shared" si="76"/>
        <v>737.09291547487828</v>
      </c>
      <c r="Y87" s="151">
        <f t="shared" si="76"/>
        <v>811.83968820044379</v>
      </c>
      <c r="Z87" s="151">
        <f t="shared" si="76"/>
        <v>872.8776591258254</v>
      </c>
      <c r="AA87" s="151">
        <f t="shared" si="76"/>
        <v>903.52361161383283</v>
      </c>
      <c r="AB87" s="151">
        <f t="shared" si="76"/>
        <v>920.24677474216492</v>
      </c>
      <c r="AC87" s="151">
        <f t="shared" si="76"/>
        <v>946.7883679701381</v>
      </c>
      <c r="AD87" s="151">
        <f t="shared" si="76"/>
        <v>1023.1695995729726</v>
      </c>
      <c r="AE87" s="151">
        <f t="shared" si="76"/>
        <v>1004.7724411373569</v>
      </c>
      <c r="AF87" s="151">
        <f t="shared" si="76"/>
        <v>1122.4559850841308</v>
      </c>
      <c r="AG87" s="151">
        <f t="shared" si="76"/>
        <v>1259.9741571559966</v>
      </c>
      <c r="AH87" s="151">
        <f t="shared" si="76"/>
        <v>1264.9573322523199</v>
      </c>
      <c r="AI87" s="151">
        <f t="shared" si="76"/>
        <v>1313.3710079330419</v>
      </c>
      <c r="AJ87" s="151">
        <f t="shared" si="76"/>
        <v>1375.9582772033523</v>
      </c>
      <c r="AK87" s="151">
        <f t="shared" si="76"/>
        <v>1436.51379196625</v>
      </c>
    </row>
    <row r="88" spans="1:37" x14ac:dyDescent="0.2">
      <c r="A88" s="119" t="s">
        <v>87</v>
      </c>
      <c r="B88" s="147">
        <f>B24*('[1]Jet Fuel'!$B89/'[1]Jet Fuel'!$B25)</f>
        <v>282.33161170326917</v>
      </c>
      <c r="C88" s="147">
        <f>C24*('[1]Jet Fuel'!$B89/'[1]Jet Fuel'!$B25)</f>
        <v>230.60059803991703</v>
      </c>
      <c r="D88" s="147">
        <f>D24*('[1]Jet Fuel'!$B89/'[1]Jet Fuel'!$B25)</f>
        <v>268.80530670291154</v>
      </c>
      <c r="E88" s="147">
        <f>E24*('[1]Jet Fuel'!B89/'[1]Jet Fuel'!B25)</f>
        <v>329.39104977466201</v>
      </c>
      <c r="F88" s="147">
        <f>F24*('[1]Jet Fuel'!C89/'[1]Jet Fuel'!C25)</f>
        <v>331.38812518195056</v>
      </c>
      <c r="G88" s="147">
        <f>G24*('[1]Jet Fuel'!D89/'[1]Jet Fuel'!D25)</f>
        <v>77.979830227214705</v>
      </c>
      <c r="H88" s="147">
        <f>H24*('[1]Jet Fuel'!E89/'[1]Jet Fuel'!E25)</f>
        <v>168.48727421948215</v>
      </c>
      <c r="I88" s="147">
        <f>I24*('[1]Jet Fuel'!F89/'[1]Jet Fuel'!F25)</f>
        <v>257.63280796130539</v>
      </c>
      <c r="J88" s="147">
        <f>J24*('[1]Jet Fuel'!G89/'[1]Jet Fuel'!G25)</f>
        <v>277.39631712399347</v>
      </c>
      <c r="K88" s="147">
        <f>K24*('[1]Jet Fuel'!H89/'[1]Jet Fuel'!H25)</f>
        <v>270.8322009493337</v>
      </c>
      <c r="L88" s="151">
        <f t="shared" si="77"/>
        <v>186.87604525960319</v>
      </c>
      <c r="M88" s="151">
        <f t="shared" si="77"/>
        <v>308.5377698979396</v>
      </c>
      <c r="N88" s="151">
        <f t="shared" si="76"/>
        <v>331.05836435135052</v>
      </c>
      <c r="O88" s="151">
        <f t="shared" si="76"/>
        <v>232.07643318429851</v>
      </c>
      <c r="P88" s="151">
        <f t="shared" si="76"/>
        <v>332.24932931547107</v>
      </c>
      <c r="Q88" s="151">
        <f t="shared" si="76"/>
        <v>346.91792602245539</v>
      </c>
      <c r="R88" s="151">
        <f t="shared" si="76"/>
        <v>356.74428687714817</v>
      </c>
      <c r="S88" s="151">
        <f t="shared" si="76"/>
        <v>360.38373033680432</v>
      </c>
      <c r="T88" s="151">
        <f t="shared" si="76"/>
        <v>308.22633812091482</v>
      </c>
      <c r="U88" s="151">
        <f t="shared" si="76"/>
        <v>351.55924638530581</v>
      </c>
      <c r="V88" s="151">
        <f t="shared" si="76"/>
        <v>467.4998266043076</v>
      </c>
      <c r="W88" s="151">
        <f t="shared" si="76"/>
        <v>574.08709241142083</v>
      </c>
      <c r="X88" s="151">
        <f t="shared" si="76"/>
        <v>651.31445237426783</v>
      </c>
      <c r="Y88" s="151">
        <f t="shared" si="76"/>
        <v>727.86685097539771</v>
      </c>
      <c r="Z88" s="151">
        <f t="shared" si="76"/>
        <v>785.35313981481886</v>
      </c>
      <c r="AA88" s="151">
        <f t="shared" si="76"/>
        <v>818.86429195145092</v>
      </c>
      <c r="AB88" s="151">
        <f t="shared" si="76"/>
        <v>836.07103481696345</v>
      </c>
      <c r="AC88" s="151">
        <f t="shared" si="76"/>
        <v>868.93584921947513</v>
      </c>
      <c r="AD88" s="151">
        <f t="shared" si="76"/>
        <v>914.22640784618306</v>
      </c>
      <c r="AE88" s="151">
        <f t="shared" si="76"/>
        <v>903.0316909761209</v>
      </c>
      <c r="AF88" s="151">
        <f t="shared" si="76"/>
        <v>1025.4473049338158</v>
      </c>
      <c r="AG88" s="151">
        <f t="shared" si="76"/>
        <v>1142.7707270231044</v>
      </c>
      <c r="AH88" s="151">
        <f t="shared" si="76"/>
        <v>1121.3696916410468</v>
      </c>
      <c r="AI88" s="151">
        <f t="shared" si="76"/>
        <v>1161.8227633491072</v>
      </c>
      <c r="AJ88" s="151">
        <f t="shared" si="76"/>
        <v>1220.4850000228384</v>
      </c>
      <c r="AK88" s="151">
        <f t="shared" si="76"/>
        <v>1258.7012007088779</v>
      </c>
    </row>
    <row r="89" spans="1:37" x14ac:dyDescent="0.2">
      <c r="A89" s="119" t="s">
        <v>88</v>
      </c>
      <c r="B89" s="147">
        <f>B25*('[1]Jet Fuel'!$B90/'[1]Jet Fuel'!$B26)</f>
        <v>275.26734598468181</v>
      </c>
      <c r="C89" s="147">
        <f>C25*('[1]Jet Fuel'!$B90/'[1]Jet Fuel'!$B26)</f>
        <v>294.57216529624088</v>
      </c>
      <c r="D89" s="147">
        <f>D25*('[1]Jet Fuel'!$B90/'[1]Jet Fuel'!$B26)</f>
        <v>287.91219272119031</v>
      </c>
      <c r="E89" s="147">
        <f>E25*('[1]Jet Fuel'!B90/'[1]Jet Fuel'!B26)</f>
        <v>307.51078352671897</v>
      </c>
      <c r="F89" s="147">
        <f>F25*('[1]Jet Fuel'!C90/'[1]Jet Fuel'!C26)</f>
        <v>279.27913797120954</v>
      </c>
      <c r="G89" s="147">
        <f>G25*('[1]Jet Fuel'!D90/'[1]Jet Fuel'!D26)</f>
        <v>193.10803517322907</v>
      </c>
      <c r="H89" s="147">
        <f>H25*('[1]Jet Fuel'!E90/'[1]Jet Fuel'!E26)</f>
        <v>256.99041866293925</v>
      </c>
      <c r="I89" s="147">
        <f>I25*('[1]Jet Fuel'!F90/'[1]Jet Fuel'!F26)</f>
        <v>254.77930731610891</v>
      </c>
      <c r="J89" s="147">
        <f>J25*('[1]Jet Fuel'!G90/'[1]Jet Fuel'!G26)</f>
        <v>253.69905635570208</v>
      </c>
      <c r="K89" s="147">
        <f>K25*('[1]Jet Fuel'!H90/'[1]Jet Fuel'!H26)</f>
        <v>307.30864784793084</v>
      </c>
      <c r="L89" s="151">
        <f t="shared" si="77"/>
        <v>212.38775615085851</v>
      </c>
      <c r="M89" s="151">
        <f t="shared" si="77"/>
        <v>358.49790908377213</v>
      </c>
      <c r="N89" s="151">
        <f t="shared" si="76"/>
        <v>336.07241866820783</v>
      </c>
      <c r="O89" s="151">
        <f t="shared" si="76"/>
        <v>268.61693557273247</v>
      </c>
      <c r="P89" s="151">
        <f t="shared" si="76"/>
        <v>370.05708298898941</v>
      </c>
      <c r="Q89" s="151">
        <f t="shared" si="76"/>
        <v>381.39374434404442</v>
      </c>
      <c r="R89" s="151">
        <f t="shared" si="76"/>
        <v>401.22923947667385</v>
      </c>
      <c r="S89" s="151">
        <f t="shared" si="76"/>
        <v>397.73652679464965</v>
      </c>
      <c r="T89" s="151">
        <f t="shared" si="76"/>
        <v>358.35360028912868</v>
      </c>
      <c r="U89" s="151">
        <f t="shared" si="76"/>
        <v>413.42889458355086</v>
      </c>
      <c r="V89" s="151">
        <f t="shared" si="76"/>
        <v>535.39646208438421</v>
      </c>
      <c r="W89" s="151">
        <f t="shared" si="76"/>
        <v>644.28457673952835</v>
      </c>
      <c r="X89" s="151">
        <f t="shared" si="76"/>
        <v>728.28544617954435</v>
      </c>
      <c r="Y89" s="151">
        <f t="shared" si="76"/>
        <v>811.89493130819608</v>
      </c>
      <c r="Z89" s="151">
        <f t="shared" si="76"/>
        <v>873.12858694107354</v>
      </c>
      <c r="AA89" s="151">
        <f t="shared" si="76"/>
        <v>914.554463073536</v>
      </c>
      <c r="AB89" s="151">
        <f t="shared" si="76"/>
        <v>936.61502399459164</v>
      </c>
      <c r="AC89" s="151">
        <f t="shared" si="76"/>
        <v>988.755589591996</v>
      </c>
      <c r="AD89" s="151">
        <f t="shared" si="76"/>
        <v>1030.8656092004094</v>
      </c>
      <c r="AE89" s="151">
        <f t="shared" si="76"/>
        <v>1040.1347269108771</v>
      </c>
      <c r="AF89" s="151">
        <f t="shared" si="76"/>
        <v>1179.7271766120452</v>
      </c>
      <c r="AG89" s="151">
        <f t="shared" si="76"/>
        <v>1296.1221636017131</v>
      </c>
      <c r="AH89" s="151">
        <f t="shared" si="76"/>
        <v>1290.5317078513194</v>
      </c>
      <c r="AI89" s="151">
        <f t="shared" si="76"/>
        <v>1344.3177280520385</v>
      </c>
      <c r="AJ89" s="151">
        <f t="shared" si="76"/>
        <v>1419.5449800532147</v>
      </c>
      <c r="AK89" s="151">
        <f t="shared" si="76"/>
        <v>1462.6846437574973</v>
      </c>
    </row>
    <row r="90" spans="1:37" x14ac:dyDescent="0.2">
      <c r="A90" s="119" t="s">
        <v>89</v>
      </c>
      <c r="B90" s="147">
        <f>B26*('[1]Jet Fuel'!$B91/'[1]Jet Fuel'!$B27)</f>
        <v>295.85917201634885</v>
      </c>
      <c r="C90" s="147">
        <f>C26*('[1]Jet Fuel'!$B91/'[1]Jet Fuel'!$B27)</f>
        <v>306.08556989100822</v>
      </c>
      <c r="D90" s="147">
        <f>D26*('[1]Jet Fuel'!$B91/'[1]Jet Fuel'!$B27)</f>
        <v>282.23048942779292</v>
      </c>
      <c r="E90" s="147">
        <f>E26*('[1]Jet Fuel'!B91/'[1]Jet Fuel'!B27)</f>
        <v>310.6889565940055</v>
      </c>
      <c r="F90" s="147">
        <f>F26*('[1]Jet Fuel'!C91/'[1]Jet Fuel'!C27)</f>
        <v>307.75641663310512</v>
      </c>
      <c r="G90" s="147">
        <f>G26*('[1]Jet Fuel'!D91/'[1]Jet Fuel'!D27)</f>
        <v>245.07633482842476</v>
      </c>
      <c r="H90" s="147">
        <f>H26*('[1]Jet Fuel'!E91/'[1]Jet Fuel'!E27)</f>
        <v>281.69047873994339</v>
      </c>
      <c r="I90" s="147">
        <f>I26*('[1]Jet Fuel'!F91/'[1]Jet Fuel'!F27)</f>
        <v>260.75756466404641</v>
      </c>
      <c r="J90" s="147">
        <f>J26*('[1]Jet Fuel'!G91/'[1]Jet Fuel'!G27)</f>
        <v>271.34038707338732</v>
      </c>
      <c r="K90" s="147">
        <f>K26*('[1]Jet Fuel'!H91/'[1]Jet Fuel'!H27)</f>
        <v>318.57678135539186</v>
      </c>
      <c r="L90" s="151">
        <f t="shared" si="77"/>
        <v>251.46693795683342</v>
      </c>
      <c r="M90" s="151">
        <f t="shared" si="77"/>
        <v>391.09287911463713</v>
      </c>
      <c r="N90" s="151">
        <f t="shared" si="76"/>
        <v>329.76414065437388</v>
      </c>
      <c r="O90" s="151">
        <f t="shared" si="76"/>
        <v>298.2433385591587</v>
      </c>
      <c r="P90" s="151">
        <f t="shared" si="76"/>
        <v>392.79444327755675</v>
      </c>
      <c r="Q90" s="151">
        <f t="shared" si="76"/>
        <v>395.51290174366682</v>
      </c>
      <c r="R90" s="151">
        <f t="shared" si="76"/>
        <v>418.31552491206406</v>
      </c>
      <c r="S90" s="151">
        <f t="shared" si="76"/>
        <v>398.51279771699876</v>
      </c>
      <c r="T90" s="151">
        <f t="shared" si="76"/>
        <v>365.09196546952995</v>
      </c>
      <c r="U90" s="151">
        <f t="shared" si="76"/>
        <v>428.03773881485563</v>
      </c>
      <c r="V90" s="151">
        <f t="shared" si="76"/>
        <v>545.74566536176349</v>
      </c>
      <c r="W90" s="151">
        <f t="shared" si="76"/>
        <v>642.59106217892247</v>
      </c>
      <c r="X90" s="151">
        <f t="shared" si="76"/>
        <v>718.5401701560537</v>
      </c>
      <c r="Y90" s="151">
        <f t="shared" si="76"/>
        <v>794.19031464439354</v>
      </c>
      <c r="Z90" s="151">
        <f t="shared" si="76"/>
        <v>843.14009618061652</v>
      </c>
      <c r="AA90" s="151">
        <f t="shared" si="76"/>
        <v>874.68133761102376</v>
      </c>
      <c r="AB90" s="151">
        <f t="shared" si="76"/>
        <v>881.41418594781669</v>
      </c>
      <c r="AC90" s="151">
        <f t="shared" si="76"/>
        <v>939.87450583823306</v>
      </c>
      <c r="AD90" s="151">
        <f t="shared" si="76"/>
        <v>958.14099708078129</v>
      </c>
      <c r="AE90" s="151">
        <f t="shared" si="76"/>
        <v>971.97869961544575</v>
      </c>
      <c r="AF90" s="151">
        <f t="shared" si="76"/>
        <v>1110.7472414032895</v>
      </c>
      <c r="AG90" s="151">
        <f t="shared" si="76"/>
        <v>1196.4015195336513</v>
      </c>
      <c r="AH90" s="151">
        <f t="shared" si="76"/>
        <v>1193.8173218319052</v>
      </c>
      <c r="AI90" s="151">
        <f t="shared" si="76"/>
        <v>1236.0794895371066</v>
      </c>
      <c r="AJ90" s="151">
        <f t="shared" si="76"/>
        <v>1304.5733792395811</v>
      </c>
      <c r="AK90" s="151">
        <f t="shared" si="76"/>
        <v>1321.2232930585867</v>
      </c>
    </row>
    <row r="91" spans="1:37" x14ac:dyDescent="0.2">
      <c r="A91" s="119" t="s">
        <v>90</v>
      </c>
      <c r="B91" s="147">
        <f>B27*('[1]Jet Fuel'!$B92/'[1]Jet Fuel'!$B28)</f>
        <v>275.30568541817934</v>
      </c>
      <c r="C91" s="147">
        <f>C27*('[1]Jet Fuel'!$B92/'[1]Jet Fuel'!$B28)</f>
        <v>285.11795843950091</v>
      </c>
      <c r="D91" s="147">
        <f>D27*('[1]Jet Fuel'!$B92/'[1]Jet Fuel'!$B28)</f>
        <v>272.21308199881179</v>
      </c>
      <c r="E91" s="147">
        <f>E27*('[1]Jet Fuel'!B92/'[1]Jet Fuel'!B28)</f>
        <v>248.36633528285694</v>
      </c>
      <c r="F91" s="147">
        <f>F27*('[1]Jet Fuel'!C92/'[1]Jet Fuel'!C28)</f>
        <v>289.4646556695501</v>
      </c>
      <c r="G91" s="147">
        <f>G27*('[1]Jet Fuel'!D92/'[1]Jet Fuel'!D28)</f>
        <v>258.69135878094085</v>
      </c>
      <c r="H91" s="147">
        <f>H27*('[1]Jet Fuel'!E92/'[1]Jet Fuel'!E28)</f>
        <v>294.01228896230873</v>
      </c>
      <c r="I91" s="147">
        <f>I27*('[1]Jet Fuel'!F92/'[1]Jet Fuel'!F28)</f>
        <v>209.68194644232796</v>
      </c>
      <c r="J91" s="147">
        <f>J27*('[1]Jet Fuel'!G92/'[1]Jet Fuel'!G28)</f>
        <v>289.36505976120992</v>
      </c>
      <c r="K91" s="147">
        <f>K27*('[1]Jet Fuel'!H92/'[1]Jet Fuel'!H28)</f>
        <v>265.92499371979045</v>
      </c>
      <c r="L91" s="151">
        <f t="shared" si="77"/>
        <v>258.09013982787252</v>
      </c>
      <c r="M91" s="151">
        <f t="shared" si="77"/>
        <v>410.38116945249158</v>
      </c>
      <c r="N91" s="151">
        <f t="shared" si="76"/>
        <v>304.37864112469623</v>
      </c>
      <c r="O91" s="151">
        <f t="shared" si="76"/>
        <v>316.61111869735453</v>
      </c>
      <c r="P91" s="151">
        <f t="shared" si="76"/>
        <v>396.86967937752797</v>
      </c>
      <c r="Q91" s="151">
        <f t="shared" si="76"/>
        <v>400.78999820609783</v>
      </c>
      <c r="R91" s="151">
        <f t="shared" si="76"/>
        <v>433.8972479219002</v>
      </c>
      <c r="S91" s="151">
        <f t="shared" si="76"/>
        <v>406.81048153443993</v>
      </c>
      <c r="T91" s="151">
        <f t="shared" si="76"/>
        <v>383.02544375660199</v>
      </c>
      <c r="U91" s="151">
        <f t="shared" si="76"/>
        <v>456.40957718614266</v>
      </c>
      <c r="V91" s="151">
        <f t="shared" si="76"/>
        <v>579.2258618488529</v>
      </c>
      <c r="W91" s="151">
        <f t="shared" si="76"/>
        <v>662.77723614564263</v>
      </c>
      <c r="X91" s="151">
        <f t="shared" si="76"/>
        <v>727.26898174446455</v>
      </c>
      <c r="Y91" s="151">
        <f t="shared" si="76"/>
        <v>791.8253996352646</v>
      </c>
      <c r="Z91" s="151">
        <f t="shared" si="76"/>
        <v>827.84833896096666</v>
      </c>
      <c r="AA91" s="151">
        <f t="shared" si="76"/>
        <v>845.81723550592892</v>
      </c>
      <c r="AB91" s="151">
        <f t="shared" si="76"/>
        <v>832.26831005832787</v>
      </c>
      <c r="AC91" s="151">
        <f t="shared" si="76"/>
        <v>900.6547914237475</v>
      </c>
      <c r="AD91" s="151">
        <f t="shared" si="76"/>
        <v>914.56458719043621</v>
      </c>
      <c r="AE91" s="151">
        <f t="shared" si="76"/>
        <v>935.84108496051931</v>
      </c>
      <c r="AF91" s="151">
        <f t="shared" si="76"/>
        <v>1075.6532903358109</v>
      </c>
      <c r="AG91" s="151">
        <f t="shared" si="76"/>
        <v>1137.8048290057395</v>
      </c>
      <c r="AH91" s="151">
        <f t="shared" si="76"/>
        <v>1171.8038115104239</v>
      </c>
      <c r="AI91" s="151">
        <f t="shared" si="76"/>
        <v>1211.3180171431948</v>
      </c>
      <c r="AJ91" s="151">
        <f t="shared" si="76"/>
        <v>1281.1121386943555</v>
      </c>
      <c r="AK91" s="151">
        <f t="shared" si="76"/>
        <v>1285.0025038549568</v>
      </c>
    </row>
    <row r="92" spans="1:37" x14ac:dyDescent="0.2">
      <c r="A92" s="119" t="s">
        <v>91</v>
      </c>
      <c r="B92" s="147">
        <f>B28*('[1]Jet Fuel'!$B93/'[1]Jet Fuel'!$B29)</f>
        <v>304.02381680826232</v>
      </c>
      <c r="C92" s="147">
        <f>C28*('[1]Jet Fuel'!$B93/'[1]Jet Fuel'!$B29)</f>
        <v>292.62316738212843</v>
      </c>
      <c r="D92" s="147">
        <f>D28*('[1]Jet Fuel'!$B93/'[1]Jet Fuel'!$B29)</f>
        <v>330.73782822451733</v>
      </c>
      <c r="E92" s="147">
        <f>E28*('[1]Jet Fuel'!B93/'[1]Jet Fuel'!B29)</f>
        <v>304.69341504086219</v>
      </c>
      <c r="F92" s="147">
        <f>F28*('[1]Jet Fuel'!C93/'[1]Jet Fuel'!C29)</f>
        <v>292.81972411185859</v>
      </c>
      <c r="G92" s="147">
        <f>G28*('[1]Jet Fuel'!D93/'[1]Jet Fuel'!D29)</f>
        <v>221.6114641651032</v>
      </c>
      <c r="H92" s="147">
        <f>H28*('[1]Jet Fuel'!E93/'[1]Jet Fuel'!E29)</f>
        <v>316.28083025325793</v>
      </c>
      <c r="I92" s="147">
        <f>I28*('[1]Jet Fuel'!F93/'[1]Jet Fuel'!F29)</f>
        <v>218.94422716296111</v>
      </c>
      <c r="J92" s="147">
        <f>J28*('[1]Jet Fuel'!G93/'[1]Jet Fuel'!G29)</f>
        <v>297.1632256658412</v>
      </c>
      <c r="K92" s="147">
        <f>K28*('[1]Jet Fuel'!H93/'[1]Jet Fuel'!H29)</f>
        <v>309.59370374704213</v>
      </c>
      <c r="L92" s="151">
        <f t="shared" si="77"/>
        <v>252.26218748768576</v>
      </c>
      <c r="M92" s="151">
        <f t="shared" si="77"/>
        <v>413.20399055135738</v>
      </c>
      <c r="N92" s="151">
        <f t="shared" si="76"/>
        <v>273.94413795109796</v>
      </c>
      <c r="O92" s="151">
        <f t="shared" si="76"/>
        <v>313.91130327287948</v>
      </c>
      <c r="P92" s="151">
        <f t="shared" si="76"/>
        <v>383.85951421602908</v>
      </c>
      <c r="Q92" s="151">
        <f t="shared" si="76"/>
        <v>369.79778916048485</v>
      </c>
      <c r="R92" s="151">
        <f t="shared" si="76"/>
        <v>401.77751424213375</v>
      </c>
      <c r="S92" s="151">
        <f t="shared" si="76"/>
        <v>348.49561100165386</v>
      </c>
      <c r="T92" s="151">
        <f t="shared" si="76"/>
        <v>325.40608481626788</v>
      </c>
      <c r="U92" s="151">
        <f t="shared" si="76"/>
        <v>399.42271101509652</v>
      </c>
      <c r="V92" s="151">
        <f t="shared" si="76"/>
        <v>509.24393972707855</v>
      </c>
      <c r="W92" s="151">
        <f t="shared" si="76"/>
        <v>587.6858476211205</v>
      </c>
      <c r="X92" s="151">
        <f t="shared" si="76"/>
        <v>652.7468933813584</v>
      </c>
      <c r="Y92" s="151">
        <f t="shared" si="76"/>
        <v>717.92946791184193</v>
      </c>
      <c r="Z92" s="151">
        <f t="shared" si="76"/>
        <v>747.47746873948199</v>
      </c>
      <c r="AA92" s="151">
        <f t="shared" si="76"/>
        <v>766.52447305218902</v>
      </c>
      <c r="AB92" s="151">
        <f t="shared" si="76"/>
        <v>751.37365682030577</v>
      </c>
      <c r="AC92" s="151">
        <f t="shared" si="76"/>
        <v>822.33983984957479</v>
      </c>
      <c r="AD92" s="151">
        <f t="shared" si="76"/>
        <v>791.69697907088425</v>
      </c>
      <c r="AE92" s="151">
        <f t="shared" si="76"/>
        <v>816.03219418184324</v>
      </c>
      <c r="AF92" s="151">
        <f t="shared" si="76"/>
        <v>956.31453408152856</v>
      </c>
      <c r="AG92" s="151">
        <f t="shared" si="76"/>
        <v>988.26539736756376</v>
      </c>
      <c r="AH92" s="151">
        <f t="shared" si="76"/>
        <v>978.16970810109842</v>
      </c>
      <c r="AI92" s="151">
        <f t="shared" si="76"/>
        <v>1000.5480264216217</v>
      </c>
      <c r="AJ92" s="151">
        <f t="shared" si="76"/>
        <v>1058.0205219290674</v>
      </c>
      <c r="AK92" s="151">
        <f t="shared" si="76"/>
        <v>1026.330316954009</v>
      </c>
    </row>
    <row r="93" spans="1:37" x14ac:dyDescent="0.2">
      <c r="A93" s="119" t="s">
        <v>92</v>
      </c>
      <c r="B93" s="147">
        <f>B29*('[1]Jet Fuel'!$B94/'[1]Jet Fuel'!$B30)</f>
        <v>305.33481656714423</v>
      </c>
      <c r="C93" s="147">
        <f>C29*('[1]Jet Fuel'!$B94/'[1]Jet Fuel'!$B30)</f>
        <v>352.46028761661296</v>
      </c>
      <c r="D93" s="147">
        <f>D29*('[1]Jet Fuel'!$B94/'[1]Jet Fuel'!$B30)</f>
        <v>360.26235976877734</v>
      </c>
      <c r="E93" s="147">
        <f>E29*('[1]Jet Fuel'!B94/'[1]Jet Fuel'!B30)</f>
        <v>315.54502333212508</v>
      </c>
      <c r="F93" s="147">
        <f>F29*('[1]Jet Fuel'!C94/'[1]Jet Fuel'!C30)</f>
        <v>245.1145557233441</v>
      </c>
      <c r="G93" s="147">
        <f>G29*('[1]Jet Fuel'!D94/'[1]Jet Fuel'!D30)</f>
        <v>283.06340277308618</v>
      </c>
      <c r="H93" s="147">
        <f>H29*('[1]Jet Fuel'!E94/'[1]Jet Fuel'!E30)</f>
        <v>362.46038868974949</v>
      </c>
      <c r="I93" s="147">
        <f>I29*('[1]Jet Fuel'!F94/'[1]Jet Fuel'!F30)</f>
        <v>206.74634635722074</v>
      </c>
      <c r="J93" s="147">
        <f>J29*('[1]Jet Fuel'!G94/'[1]Jet Fuel'!G30)</f>
        <v>283.99427028541692</v>
      </c>
      <c r="K93" s="147">
        <f>K29*('[1]Jet Fuel'!H94/'[1]Jet Fuel'!H30)</f>
        <v>329.67006226387468</v>
      </c>
      <c r="L93" s="151">
        <f t="shared" si="77"/>
        <v>169.00736107854982</v>
      </c>
      <c r="M93" s="151">
        <f t="shared" si="77"/>
        <v>419.79150441748237</v>
      </c>
      <c r="N93" s="151">
        <f t="shared" si="76"/>
        <v>231.80352025863459</v>
      </c>
      <c r="O93" s="151">
        <f t="shared" si="76"/>
        <v>306.00018063816509</v>
      </c>
      <c r="P93" s="151">
        <f t="shared" si="76"/>
        <v>367.69923798155946</v>
      </c>
      <c r="Q93" s="151">
        <f t="shared" si="76"/>
        <v>334.64836844237607</v>
      </c>
      <c r="R93" s="151">
        <f t="shared" si="76"/>
        <v>385.56378958175912</v>
      </c>
      <c r="S93" s="151">
        <f t="shared" si="76"/>
        <v>317.3902499757865</v>
      </c>
      <c r="T93" s="151">
        <f t="shared" si="76"/>
        <v>302.1850667736901</v>
      </c>
      <c r="U93" s="151">
        <f t="shared" si="76"/>
        <v>384.51508773906676</v>
      </c>
      <c r="V93" s="151">
        <f t="shared" si="76"/>
        <v>493.41897086792392</v>
      </c>
      <c r="W93" s="151">
        <f t="shared" si="76"/>
        <v>567.07586818796426</v>
      </c>
      <c r="X93" s="151">
        <f t="shared" si="76"/>
        <v>629.39262498834523</v>
      </c>
      <c r="Y93" s="151">
        <f t="shared" si="76"/>
        <v>692.31597949695856</v>
      </c>
      <c r="Z93" s="151">
        <f t="shared" si="76"/>
        <v>715.60973369034286</v>
      </c>
      <c r="AA93" s="151">
        <f t="shared" si="76"/>
        <v>731.98495591159326</v>
      </c>
      <c r="AB93" s="151">
        <f t="shared" si="76"/>
        <v>709.67359711639779</v>
      </c>
      <c r="AC93" s="151">
        <f t="shared" si="76"/>
        <v>792.24981816656805</v>
      </c>
      <c r="AD93" s="151">
        <f t="shared" si="76"/>
        <v>744.92111222231642</v>
      </c>
      <c r="AE93" s="151">
        <f t="shared" si="76"/>
        <v>780.5482819349844</v>
      </c>
      <c r="AF93" s="151">
        <f t="shared" si="76"/>
        <v>927.49991230596629</v>
      </c>
      <c r="AG93" s="151">
        <f t="shared" si="76"/>
        <v>940.12185649052844</v>
      </c>
      <c r="AH93" s="151">
        <f t="shared" si="76"/>
        <v>937.3939338499805</v>
      </c>
      <c r="AI93" s="151">
        <f t="shared" si="76"/>
        <v>958.20080951608134</v>
      </c>
      <c r="AJ93" s="151">
        <f t="shared" si="76"/>
        <v>1018.4140953708752</v>
      </c>
      <c r="AK93" s="151">
        <f t="shared" si="76"/>
        <v>972.39154768441449</v>
      </c>
    </row>
    <row r="94" spans="1:37" x14ac:dyDescent="0.2">
      <c r="A94" s="119" t="s">
        <v>93</v>
      </c>
      <c r="B94" s="147">
        <f>B30*('[1]Jet Fuel'!$B95/'[1]Jet Fuel'!$B31)</f>
        <v>249.49153773087073</v>
      </c>
      <c r="C94" s="147">
        <f>C30*('[1]Jet Fuel'!$B95/'[1]Jet Fuel'!$B31)</f>
        <v>300.25990267621563</v>
      </c>
      <c r="D94" s="147">
        <f>D30*('[1]Jet Fuel'!$B95/'[1]Jet Fuel'!$B31)</f>
        <v>316.64742608367885</v>
      </c>
      <c r="E94" s="147">
        <f>E30*('[1]Jet Fuel'!B95/'[1]Jet Fuel'!B31)</f>
        <v>298.51895800980026</v>
      </c>
      <c r="F94" s="147">
        <f>F30*('[1]Jet Fuel'!C95/'[1]Jet Fuel'!C31)</f>
        <v>263.74965663588108</v>
      </c>
      <c r="G94" s="147">
        <f>G30*('[1]Jet Fuel'!D95/'[1]Jet Fuel'!D31)</f>
        <v>280.34581934633138</v>
      </c>
      <c r="H94" s="147">
        <f>H30*('[1]Jet Fuel'!E95/'[1]Jet Fuel'!E31)</f>
        <v>303.65762450183814</v>
      </c>
      <c r="I94" s="147">
        <f>I30*('[1]Jet Fuel'!F95/'[1]Jet Fuel'!F31)</f>
        <v>210.61171545695686</v>
      </c>
      <c r="J94" s="147">
        <f>J30*('[1]Jet Fuel'!G95/'[1]Jet Fuel'!G31)</f>
        <v>298.24405388974952</v>
      </c>
      <c r="K94" s="147">
        <f>K30*('[1]Jet Fuel'!H95/'[1]Jet Fuel'!H31)</f>
        <v>307.00439940708208</v>
      </c>
      <c r="L94" s="151">
        <f t="shared" si="77"/>
        <v>112.80653708777089</v>
      </c>
      <c r="M94" s="151">
        <f t="shared" si="77"/>
        <v>420.4323951899209</v>
      </c>
      <c r="N94" s="151">
        <f t="shared" si="76"/>
        <v>200.10184301155596</v>
      </c>
      <c r="O94" s="151">
        <f t="shared" si="76"/>
        <v>308.41869609200779</v>
      </c>
      <c r="P94" s="151">
        <f t="shared" si="76"/>
        <v>354.56310299389827</v>
      </c>
      <c r="Q94" s="151">
        <f t="shared" si="76"/>
        <v>312.21477721650683</v>
      </c>
      <c r="R94" s="151">
        <f t="shared" si="76"/>
        <v>380.48720651203161</v>
      </c>
      <c r="S94" s="151">
        <f t="shared" si="76"/>
        <v>302.95521933250757</v>
      </c>
      <c r="T94" s="151">
        <f t="shared" si="76"/>
        <v>295.66696037752797</v>
      </c>
      <c r="U94" s="151">
        <f t="shared" si="76"/>
        <v>387.21875783217712</v>
      </c>
      <c r="V94" s="151">
        <f t="shared" si="76"/>
        <v>499.08744671399569</v>
      </c>
      <c r="W94" s="151">
        <f t="shared" si="76"/>
        <v>563.83683266655271</v>
      </c>
      <c r="X94" s="151">
        <f t="shared" si="76"/>
        <v>618.97563260710206</v>
      </c>
      <c r="Y94" s="151">
        <f t="shared" si="76"/>
        <v>674.77081748632213</v>
      </c>
      <c r="Z94" s="151">
        <f t="shared" si="76"/>
        <v>688.14655954431464</v>
      </c>
      <c r="AA94" s="151">
        <f t="shared" si="76"/>
        <v>696.28987175711575</v>
      </c>
      <c r="AB94" s="151">
        <f t="shared" si="76"/>
        <v>659.8937473392873</v>
      </c>
      <c r="AC94" s="151">
        <f t="shared" si="76"/>
        <v>753.96868064695173</v>
      </c>
      <c r="AD94" s="151">
        <f t="shared" si="76"/>
        <v>696.58636590879746</v>
      </c>
      <c r="AE94" s="151">
        <f t="shared" si="76"/>
        <v>742.28005836702505</v>
      </c>
      <c r="AF94" s="151">
        <f t="shared" si="76"/>
        <v>893.59863370619155</v>
      </c>
      <c r="AG94" s="151">
        <f t="shared" si="76"/>
        <v>884.63624081810804</v>
      </c>
      <c r="AH94" s="151">
        <f t="shared" si="76"/>
        <v>906.10368925795706</v>
      </c>
      <c r="AI94" s="151">
        <f t="shared" si="76"/>
        <v>925.33316206602615</v>
      </c>
      <c r="AJ94" s="151">
        <f t="shared" si="76"/>
        <v>988.28186269570426</v>
      </c>
      <c r="AK94" s="151">
        <f t="shared" si="76"/>
        <v>929.12109797399637</v>
      </c>
    </row>
    <row r="95" spans="1:37" ht="13.5" thickBot="1" x14ac:dyDescent="0.25">
      <c r="A95" s="119" t="s">
        <v>94</v>
      </c>
      <c r="B95" s="147">
        <f>B31*('[1]Jet Fuel'!$B96/'[1]Jet Fuel'!$B32)</f>
        <v>261.62745854989834</v>
      </c>
      <c r="C95" s="147">
        <f>C31*('[1]Jet Fuel'!$B96/'[1]Jet Fuel'!$B32)</f>
        <v>276.3683857666835</v>
      </c>
      <c r="D95" s="147">
        <f>D31*('[1]Jet Fuel'!$B96/'[1]Jet Fuel'!$B32)</f>
        <v>345.78722304309281</v>
      </c>
      <c r="E95" s="147">
        <f>E31*('[1]Jet Fuel'!B96/'[1]Jet Fuel'!B32)</f>
        <v>315.38008482973208</v>
      </c>
      <c r="F95" s="147">
        <f>F31*('[1]Jet Fuel'!C96/'[1]Jet Fuel'!C32)</f>
        <v>341.01709630489324</v>
      </c>
      <c r="G95" s="147">
        <f>G31*('[1]Jet Fuel'!D96/'[1]Jet Fuel'!D32)</f>
        <v>317.88932431983028</v>
      </c>
      <c r="H95" s="147">
        <f>H31*('[1]Jet Fuel'!E96/'[1]Jet Fuel'!E32)</f>
        <v>280.29110036692555</v>
      </c>
      <c r="I95" s="147">
        <f>I31*('[1]Jet Fuel'!F96/'[1]Jet Fuel'!F32)</f>
        <v>271.21244256409199</v>
      </c>
      <c r="J95" s="147">
        <f>J31*('[1]Jet Fuel'!G96/'[1]Jet Fuel'!G32)</f>
        <v>283.93955091582848</v>
      </c>
      <c r="K95" s="147">
        <f>K31*('[1]Jet Fuel'!H96/'[1]Jet Fuel'!H32)</f>
        <v>336.68069199803631</v>
      </c>
      <c r="L95" s="151">
        <f>L94+L31+L47-L63-L79</f>
        <v>286.68069199803608</v>
      </c>
      <c r="M95" s="151">
        <f>M94+M31+M47-M63-M79</f>
        <v>461.68069199803631</v>
      </c>
      <c r="N95" s="151">
        <f t="shared" si="76"/>
        <v>211.68069199803631</v>
      </c>
      <c r="O95" s="151">
        <f t="shared" si="76"/>
        <v>361.68069199803745</v>
      </c>
      <c r="P95" s="151">
        <f t="shared" si="76"/>
        <v>411.68069199803676</v>
      </c>
      <c r="Q95" s="151">
        <f t="shared" si="76"/>
        <v>361.68069199803631</v>
      </c>
      <c r="R95" s="151">
        <f t="shared" si="76"/>
        <v>411.68069199803608</v>
      </c>
      <c r="S95" s="151">
        <f t="shared" si="76"/>
        <v>311.68069199803585</v>
      </c>
      <c r="T95" s="151">
        <f t="shared" si="76"/>
        <v>311.68069199803654</v>
      </c>
      <c r="U95" s="151">
        <f t="shared" si="76"/>
        <v>411.68069199803585</v>
      </c>
      <c r="V95" s="151">
        <f t="shared" si="76"/>
        <v>511.68069199803699</v>
      </c>
      <c r="W95" s="151">
        <f t="shared" si="76"/>
        <v>561.68069199803745</v>
      </c>
      <c r="X95" s="151">
        <f t="shared" si="76"/>
        <v>611.68069199803836</v>
      </c>
      <c r="Y95" s="151">
        <f t="shared" si="76"/>
        <v>661.68069199803972</v>
      </c>
      <c r="Z95" s="151">
        <f t="shared" si="76"/>
        <v>661.68069199804017</v>
      </c>
      <c r="AA95" s="151">
        <f t="shared" si="76"/>
        <v>661.68069199803836</v>
      </c>
      <c r="AB95" s="151">
        <f t="shared" ref="AB95:AK95" si="78">AB94+AB31+AB47-AB63-AB79</f>
        <v>611.68069199803631</v>
      </c>
      <c r="AC95" s="151">
        <f t="shared" si="78"/>
        <v>711.68069199803585</v>
      </c>
      <c r="AD95" s="151">
        <f t="shared" si="78"/>
        <v>611.68069199803631</v>
      </c>
      <c r="AE95" s="151">
        <f t="shared" si="78"/>
        <v>661.68069199803631</v>
      </c>
      <c r="AF95" s="151">
        <f t="shared" si="78"/>
        <v>811.68069199803676</v>
      </c>
      <c r="AG95" s="151">
        <f t="shared" si="78"/>
        <v>761.68069199803767</v>
      </c>
      <c r="AH95" s="151">
        <f t="shared" si="78"/>
        <v>761.6806919980354</v>
      </c>
      <c r="AI95" s="151">
        <f t="shared" si="78"/>
        <v>761.6806919980404</v>
      </c>
      <c r="AJ95" s="151">
        <f t="shared" si="78"/>
        <v>811.68069199803767</v>
      </c>
      <c r="AK95" s="151">
        <f t="shared" si="78"/>
        <v>711.68069199803813</v>
      </c>
    </row>
    <row r="96" spans="1:37" x14ac:dyDescent="0.2">
      <c r="A96" s="150"/>
      <c r="B96" s="153">
        <f>B10-B95</f>
        <v>0</v>
      </c>
      <c r="C96" s="153">
        <f t="shared" ref="C96:AK96" si="79">C10-C95</f>
        <v>0</v>
      </c>
      <c r="D96" s="153">
        <f t="shared" si="79"/>
        <v>0</v>
      </c>
      <c r="E96" s="153">
        <f t="shared" si="79"/>
        <v>0</v>
      </c>
      <c r="F96" s="153">
        <f t="shared" si="79"/>
        <v>0</v>
      </c>
      <c r="G96" s="153">
        <f t="shared" si="79"/>
        <v>0</v>
      </c>
      <c r="H96" s="153">
        <f t="shared" si="79"/>
        <v>0</v>
      </c>
      <c r="I96" s="153">
        <f t="shared" si="79"/>
        <v>0</v>
      </c>
      <c r="J96" s="153">
        <f t="shared" si="79"/>
        <v>0</v>
      </c>
      <c r="K96" s="153">
        <f t="shared" si="79"/>
        <v>0</v>
      </c>
      <c r="L96" s="153">
        <f t="shared" si="79"/>
        <v>0</v>
      </c>
      <c r="M96" s="153">
        <f t="shared" si="79"/>
        <v>0</v>
      </c>
      <c r="N96" s="153">
        <f t="shared" si="79"/>
        <v>0</v>
      </c>
      <c r="O96" s="153">
        <f t="shared" si="79"/>
        <v>0</v>
      </c>
      <c r="P96" s="153">
        <f t="shared" si="79"/>
        <v>0</v>
      </c>
      <c r="Q96" s="153">
        <f t="shared" si="79"/>
        <v>0</v>
      </c>
      <c r="R96" s="153">
        <f t="shared" si="79"/>
        <v>0</v>
      </c>
      <c r="S96" s="153">
        <f t="shared" si="79"/>
        <v>0</v>
      </c>
      <c r="T96" s="153">
        <f t="shared" si="79"/>
        <v>0</v>
      </c>
      <c r="U96" s="153">
        <f t="shared" si="79"/>
        <v>0</v>
      </c>
      <c r="V96" s="153">
        <f t="shared" si="79"/>
        <v>0</v>
      </c>
      <c r="W96" s="153">
        <f t="shared" si="79"/>
        <v>0</v>
      </c>
      <c r="X96" s="153">
        <f t="shared" si="79"/>
        <v>0</v>
      </c>
      <c r="Y96" s="153">
        <f t="shared" si="79"/>
        <v>0</v>
      </c>
      <c r="Z96" s="153">
        <f t="shared" si="79"/>
        <v>0</v>
      </c>
      <c r="AA96" s="153">
        <f t="shared" si="79"/>
        <v>0</v>
      </c>
      <c r="AB96" s="153">
        <f t="shared" si="79"/>
        <v>0</v>
      </c>
      <c r="AC96" s="153">
        <f t="shared" si="79"/>
        <v>0</v>
      </c>
      <c r="AD96" s="153">
        <f t="shared" si="79"/>
        <v>0</v>
      </c>
      <c r="AE96" s="153">
        <f t="shared" si="79"/>
        <v>0</v>
      </c>
      <c r="AF96" s="153">
        <f t="shared" si="79"/>
        <v>0</v>
      </c>
      <c r="AG96" s="153">
        <f t="shared" si="79"/>
        <v>0</v>
      </c>
      <c r="AH96" s="153">
        <f t="shared" si="79"/>
        <v>0</v>
      </c>
      <c r="AI96" s="153">
        <f t="shared" si="79"/>
        <v>0</v>
      </c>
      <c r="AJ96" s="153">
        <f t="shared" si="79"/>
        <v>0</v>
      </c>
      <c r="AK96" s="153">
        <f t="shared" si="79"/>
        <v>0</v>
      </c>
    </row>
    <row r="97" spans="1:37" ht="13.5" thickBot="1" x14ac:dyDescent="0.25">
      <c r="A97" s="119" t="s">
        <v>135</v>
      </c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</row>
    <row r="98" spans="1:37" ht="13.5" thickBot="1" x14ac:dyDescent="0.25">
      <c r="A98" s="157"/>
      <c r="B98" s="146">
        <f t="shared" ref="B98:AK98" si="80">B2</f>
        <v>2015</v>
      </c>
      <c r="C98" s="146">
        <f t="shared" si="80"/>
        <v>2016</v>
      </c>
      <c r="D98" s="146">
        <f t="shared" si="80"/>
        <v>2017</v>
      </c>
      <c r="E98" s="146">
        <f t="shared" si="80"/>
        <v>2018</v>
      </c>
      <c r="F98" s="146">
        <f t="shared" si="80"/>
        <v>2019</v>
      </c>
      <c r="G98" s="146">
        <f t="shared" si="80"/>
        <v>2020</v>
      </c>
      <c r="H98" s="146">
        <f t="shared" si="80"/>
        <v>2021</v>
      </c>
      <c r="I98" s="146">
        <f t="shared" si="80"/>
        <v>2022</v>
      </c>
      <c r="J98" s="146">
        <f t="shared" si="80"/>
        <v>2023</v>
      </c>
      <c r="K98" s="146">
        <f t="shared" si="80"/>
        <v>2024</v>
      </c>
      <c r="L98" s="146">
        <f t="shared" si="80"/>
        <v>2025</v>
      </c>
      <c r="M98" s="146">
        <f t="shared" si="80"/>
        <v>2026</v>
      </c>
      <c r="N98" s="146">
        <f t="shared" si="80"/>
        <v>2027</v>
      </c>
      <c r="O98" s="146">
        <f t="shared" si="80"/>
        <v>2028</v>
      </c>
      <c r="P98" s="146">
        <f t="shared" si="80"/>
        <v>2029</v>
      </c>
      <c r="Q98" s="146">
        <f t="shared" si="80"/>
        <v>2030</v>
      </c>
      <c r="R98" s="146">
        <f t="shared" si="80"/>
        <v>2031</v>
      </c>
      <c r="S98" s="146">
        <f t="shared" si="80"/>
        <v>2032</v>
      </c>
      <c r="T98" s="146">
        <f t="shared" si="80"/>
        <v>2033</v>
      </c>
      <c r="U98" s="146">
        <f t="shared" si="80"/>
        <v>2034</v>
      </c>
      <c r="V98" s="146">
        <f t="shared" si="80"/>
        <v>2035</v>
      </c>
      <c r="W98" s="146">
        <f t="shared" si="80"/>
        <v>2036</v>
      </c>
      <c r="X98" s="146">
        <f t="shared" si="80"/>
        <v>2037</v>
      </c>
      <c r="Y98" s="146">
        <f t="shared" si="80"/>
        <v>2038</v>
      </c>
      <c r="Z98" s="146">
        <f t="shared" si="80"/>
        <v>2039</v>
      </c>
      <c r="AA98" s="146">
        <f t="shared" si="80"/>
        <v>2040</v>
      </c>
      <c r="AB98" s="146">
        <f t="shared" si="80"/>
        <v>2041</v>
      </c>
      <c r="AC98" s="146">
        <f t="shared" si="80"/>
        <v>2042</v>
      </c>
      <c r="AD98" s="146">
        <f t="shared" si="80"/>
        <v>2043</v>
      </c>
      <c r="AE98" s="146">
        <f t="shared" si="80"/>
        <v>2044</v>
      </c>
      <c r="AF98" s="146">
        <f t="shared" si="80"/>
        <v>2045</v>
      </c>
      <c r="AG98" s="146">
        <f t="shared" si="80"/>
        <v>2046</v>
      </c>
      <c r="AH98" s="146">
        <f t="shared" si="80"/>
        <v>2047</v>
      </c>
      <c r="AI98" s="146">
        <f t="shared" si="80"/>
        <v>2048</v>
      </c>
      <c r="AJ98" s="146">
        <f t="shared" si="80"/>
        <v>2049</v>
      </c>
      <c r="AK98" s="146">
        <f t="shared" si="80"/>
        <v>2050</v>
      </c>
    </row>
    <row r="99" spans="1:37" x14ac:dyDescent="0.2">
      <c r="A99" s="119" t="s">
        <v>83</v>
      </c>
      <c r="B99" s="175">
        <v>21876.580028</v>
      </c>
      <c r="C99" s="175">
        <v>21268.434449</v>
      </c>
      <c r="D99" s="175">
        <v>20470.614538999998</v>
      </c>
      <c r="E99" s="176">
        <v>22346.205531</v>
      </c>
      <c r="F99" s="176">
        <v>23253.030116999998</v>
      </c>
      <c r="G99" s="176">
        <v>23087.953517999998</v>
      </c>
      <c r="H99" s="176">
        <v>9709.1604709999992</v>
      </c>
      <c r="I99" s="176">
        <v>15670.021937</v>
      </c>
      <c r="J99" s="176">
        <v>20616.154117999999</v>
      </c>
      <c r="K99" s="176">
        <v>22612.728085999999</v>
      </c>
      <c r="L99" s="176">
        <v>25064.545011999999</v>
      </c>
      <c r="M99" s="177">
        <f t="shared" ref="M99:M100" si="81">M$111*(SUM(H99:L99)/SUM(H$111:L$111))</f>
        <v>23676.727765469303</v>
      </c>
      <c r="N99" s="177">
        <f t="shared" ref="N99:N109" si="82">N$111*(SUM(I99:M99)/SUM(I$111:M$111))</f>
        <v>24020.789457042316</v>
      </c>
      <c r="O99" s="177">
        <f t="shared" ref="O99:AD109" si="83">O$111*(SUM(J99:N99)/SUM(J$111:N$111))</f>
        <v>24784.648022461148</v>
      </c>
      <c r="P99" s="177">
        <f t="shared" si="83"/>
        <v>25272.677394816521</v>
      </c>
      <c r="Q99" s="177">
        <f t="shared" si="83"/>
        <v>25828.810261947659</v>
      </c>
      <c r="R99" s="177">
        <f t="shared" si="83"/>
        <v>25988.549839489548</v>
      </c>
      <c r="S99" s="177">
        <f t="shared" si="83"/>
        <v>26475.199833812305</v>
      </c>
      <c r="T99" s="177">
        <f t="shared" si="83"/>
        <v>26993.305141819557</v>
      </c>
      <c r="U99" s="177">
        <f t="shared" si="83"/>
        <v>27461.19856169714</v>
      </c>
      <c r="V99" s="177">
        <f t="shared" si="83"/>
        <v>27926.322750877232</v>
      </c>
      <c r="W99" s="177">
        <f t="shared" si="83"/>
        <v>28362.586067105341</v>
      </c>
      <c r="X99" s="177">
        <f t="shared" si="83"/>
        <v>28858.480625233773</v>
      </c>
      <c r="Y99" s="177">
        <f t="shared" si="83"/>
        <v>29357.782981757391</v>
      </c>
      <c r="Z99" s="177">
        <f t="shared" si="83"/>
        <v>29854.597633477795</v>
      </c>
      <c r="AA99" s="177">
        <f t="shared" si="83"/>
        <v>30358.961240059514</v>
      </c>
      <c r="AB99" s="177">
        <f t="shared" si="83"/>
        <v>30873.043206966966</v>
      </c>
      <c r="AC99" s="177">
        <f t="shared" si="83"/>
        <v>31403.015362665297</v>
      </c>
      <c r="AD99" s="177">
        <f t="shared" si="83"/>
        <v>31939.678264561891</v>
      </c>
      <c r="AE99" s="177">
        <f t="shared" ref="AE99:AK109" si="84">AE$111*(SUM(Z99:AD99)/SUM(Z$111:AD$111))</f>
        <v>32483.722069622705</v>
      </c>
      <c r="AF99" s="177">
        <f t="shared" si="84"/>
        <v>33037.222514239686</v>
      </c>
      <c r="AG99" s="177">
        <f t="shared" si="84"/>
        <v>33600.580919276654</v>
      </c>
      <c r="AH99" s="177">
        <f t="shared" si="84"/>
        <v>34173.826650503412</v>
      </c>
      <c r="AI99" s="177">
        <f t="shared" si="84"/>
        <v>34755.697007473616</v>
      </c>
      <c r="AJ99" s="177">
        <f t="shared" si="84"/>
        <v>35346.59879854857</v>
      </c>
      <c r="AK99" s="177">
        <f t="shared" si="84"/>
        <v>35946.879198273069</v>
      </c>
    </row>
    <row r="100" spans="1:37" x14ac:dyDescent="0.2">
      <c r="A100" s="119" t="s">
        <v>84</v>
      </c>
      <c r="B100" s="175">
        <v>17239.454398000002</v>
      </c>
      <c r="C100" s="175">
        <v>17101.060495000002</v>
      </c>
      <c r="D100" s="175">
        <v>16278.012113000001</v>
      </c>
      <c r="E100" s="176">
        <v>18167.338506</v>
      </c>
      <c r="F100" s="176">
        <v>18851.591842999998</v>
      </c>
      <c r="G100" s="176">
        <v>19242.626265999999</v>
      </c>
      <c r="H100" s="176">
        <v>6144.2873589999999</v>
      </c>
      <c r="I100" s="176">
        <v>12357.486867</v>
      </c>
      <c r="J100" s="176">
        <v>16773.003146999999</v>
      </c>
      <c r="K100" s="176">
        <v>19296.622874000001</v>
      </c>
      <c r="L100" s="176">
        <v>20886.661746000002</v>
      </c>
      <c r="M100" s="177">
        <f t="shared" si="81"/>
        <v>19072.811131125141</v>
      </c>
      <c r="N100" s="177">
        <f t="shared" si="82"/>
        <v>19724.19247414478</v>
      </c>
      <c r="O100" s="177">
        <f t="shared" si="83"/>
        <v>20460.318132093038</v>
      </c>
      <c r="P100" s="177">
        <f t="shared" si="83"/>
        <v>20914.964309680876</v>
      </c>
      <c r="Q100" s="177">
        <f t="shared" si="83"/>
        <v>21252.608710434135</v>
      </c>
      <c r="R100" s="177">
        <f t="shared" si="83"/>
        <v>21328.758864779044</v>
      </c>
      <c r="S100" s="177">
        <f t="shared" si="83"/>
        <v>21803.571767923462</v>
      </c>
      <c r="T100" s="177">
        <f t="shared" si="83"/>
        <v>22242.465824301515</v>
      </c>
      <c r="U100" s="177">
        <f t="shared" si="83"/>
        <v>22620.062280815622</v>
      </c>
      <c r="V100" s="177">
        <f t="shared" si="83"/>
        <v>22982.65552583522</v>
      </c>
      <c r="W100" s="177">
        <f t="shared" si="83"/>
        <v>23342.498380028159</v>
      </c>
      <c r="X100" s="177">
        <f t="shared" si="83"/>
        <v>23763.218793934651</v>
      </c>
      <c r="Y100" s="177">
        <f t="shared" si="83"/>
        <v>24173.766725649839</v>
      </c>
      <c r="Z100" s="177">
        <f t="shared" si="83"/>
        <v>24579.561189058728</v>
      </c>
      <c r="AA100" s="177">
        <f t="shared" si="83"/>
        <v>24992.493277023874</v>
      </c>
      <c r="AB100" s="177">
        <f t="shared" si="83"/>
        <v>25417.218795628763</v>
      </c>
      <c r="AC100" s="177">
        <f t="shared" si="83"/>
        <v>25855.198258979643</v>
      </c>
      <c r="AD100" s="177">
        <f t="shared" si="83"/>
        <v>26296.415319698703</v>
      </c>
      <c r="AE100" s="177">
        <f t="shared" si="84"/>
        <v>26743.690132634609</v>
      </c>
      <c r="AF100" s="177">
        <f t="shared" si="84"/>
        <v>27199.296763260507</v>
      </c>
      <c r="AG100" s="177">
        <f t="shared" si="84"/>
        <v>27663.486470366908</v>
      </c>
      <c r="AH100" s="177">
        <f t="shared" si="84"/>
        <v>28135.583950897064</v>
      </c>
      <c r="AI100" s="177">
        <f t="shared" si="84"/>
        <v>28614.464646869532</v>
      </c>
      <c r="AJ100" s="177">
        <f t="shared" si="84"/>
        <v>29100.874391664609</v>
      </c>
      <c r="AK100" s="177">
        <f t="shared" si="84"/>
        <v>29595.12264902157</v>
      </c>
    </row>
    <row r="101" spans="1:37" x14ac:dyDescent="0.2">
      <c r="A101" s="119" t="s">
        <v>85</v>
      </c>
      <c r="B101" s="175">
        <v>17464.857381000002</v>
      </c>
      <c r="C101" s="175">
        <v>16540.657971000001</v>
      </c>
      <c r="D101" s="175">
        <v>17529.537683999999</v>
      </c>
      <c r="E101" s="176">
        <v>18775.725043999999</v>
      </c>
      <c r="F101" s="176">
        <v>19876.166197999999</v>
      </c>
      <c r="G101" s="176">
        <v>12223.438294</v>
      </c>
      <c r="H101" s="176">
        <v>4866.7173860000003</v>
      </c>
      <c r="I101" s="176">
        <v>14192.898182000001</v>
      </c>
      <c r="J101" s="176">
        <v>18014.171124</v>
      </c>
      <c r="K101" s="176">
        <v>19788.145333</v>
      </c>
      <c r="L101" s="177">
        <f>L$111*(SUM(G101:K101)/SUM(G$111:K$111))</f>
        <v>20465.019096799489</v>
      </c>
      <c r="M101" s="177">
        <f>M$111*(SUM(H101:L101)/SUM(H$111:L$111))</f>
        <v>19545.192324560936</v>
      </c>
      <c r="N101" s="177">
        <f t="shared" si="82"/>
        <v>20531.76640517194</v>
      </c>
      <c r="O101" s="177">
        <f t="shared" si="83"/>
        <v>21013.957000124276</v>
      </c>
      <c r="P101" s="177">
        <f t="shared" si="83"/>
        <v>21315.314710766666</v>
      </c>
      <c r="Q101" s="177">
        <f t="shared" si="83"/>
        <v>21633.734188975734</v>
      </c>
      <c r="R101" s="177">
        <f t="shared" si="83"/>
        <v>21878.684944075449</v>
      </c>
      <c r="S101" s="177">
        <f t="shared" si="83"/>
        <v>22369.815422087981</v>
      </c>
      <c r="T101" s="177">
        <f t="shared" si="83"/>
        <v>22757.996241851386</v>
      </c>
      <c r="U101" s="177">
        <f t="shared" si="83"/>
        <v>23127.640757773217</v>
      </c>
      <c r="V101" s="177">
        <f t="shared" si="83"/>
        <v>23512.879069857023</v>
      </c>
      <c r="W101" s="177">
        <f t="shared" si="83"/>
        <v>23903.989151727397</v>
      </c>
      <c r="X101" s="177">
        <f t="shared" si="83"/>
        <v>24327.074635594799</v>
      </c>
      <c r="Y101" s="177">
        <f t="shared" si="83"/>
        <v>24737.083429388735</v>
      </c>
      <c r="Z101" s="177">
        <f t="shared" si="83"/>
        <v>25152.91898544542</v>
      </c>
      <c r="AA101" s="177">
        <f t="shared" si="83"/>
        <v>25579.704293608949</v>
      </c>
      <c r="AB101" s="177">
        <f t="shared" si="83"/>
        <v>26016.462772402854</v>
      </c>
      <c r="AC101" s="177">
        <f t="shared" si="83"/>
        <v>26462.420661670189</v>
      </c>
      <c r="AD101" s="177">
        <f t="shared" si="83"/>
        <v>26912.787391290803</v>
      </c>
      <c r="AE101" s="177">
        <f t="shared" si="84"/>
        <v>27371.240572083669</v>
      </c>
      <c r="AF101" s="177">
        <f t="shared" si="84"/>
        <v>27838.255591114907</v>
      </c>
      <c r="AG101" s="177">
        <f t="shared" si="84"/>
        <v>28313.330182387403</v>
      </c>
      <c r="AH101" s="177">
        <f t="shared" si="84"/>
        <v>28796.061812087763</v>
      </c>
      <c r="AI101" s="177">
        <f t="shared" si="84"/>
        <v>29286.126053144413</v>
      </c>
      <c r="AJ101" s="177">
        <f t="shared" si="84"/>
        <v>29784.137916174837</v>
      </c>
      <c r="AK101" s="177">
        <f t="shared" si="84"/>
        <v>30290.068185447566</v>
      </c>
    </row>
    <row r="102" spans="1:37" x14ac:dyDescent="0.2">
      <c r="A102" s="119" t="s">
        <v>86</v>
      </c>
      <c r="B102" s="175">
        <v>17451.520592000001</v>
      </c>
      <c r="C102" s="175">
        <v>16193.950967999999</v>
      </c>
      <c r="D102" s="175">
        <v>16552.925916</v>
      </c>
      <c r="E102" s="176">
        <v>18063.678581</v>
      </c>
      <c r="F102" s="176">
        <v>18418.422036</v>
      </c>
      <c r="G102" s="176">
        <v>817.25778200000002</v>
      </c>
      <c r="H102" s="176">
        <v>4061.4684999999999</v>
      </c>
      <c r="I102" s="176">
        <v>14169.678345</v>
      </c>
      <c r="J102" s="176">
        <v>16958.008178</v>
      </c>
      <c r="K102" s="176">
        <v>18694.765646</v>
      </c>
      <c r="L102" s="177">
        <f t="shared" ref="L102:M109" si="85">L$111*(SUM(G102:K102)/SUM(G$111:K$111))</f>
        <v>16204.019120807625</v>
      </c>
      <c r="M102" s="177">
        <f t="shared" si="85"/>
        <v>17715.456809700197</v>
      </c>
      <c r="N102" s="177">
        <f t="shared" si="82"/>
        <v>18687.698972556263</v>
      </c>
      <c r="O102" s="177">
        <f t="shared" si="83"/>
        <v>18859.159861745673</v>
      </c>
      <c r="P102" s="177">
        <f t="shared" si="83"/>
        <v>18963.241137497494</v>
      </c>
      <c r="Q102" s="177">
        <f t="shared" si="83"/>
        <v>19017.261058743446</v>
      </c>
      <c r="R102" s="177">
        <f t="shared" si="83"/>
        <v>19608.140411113742</v>
      </c>
      <c r="S102" s="177">
        <f t="shared" si="83"/>
        <v>20006.528530456013</v>
      </c>
      <c r="T102" s="177">
        <f t="shared" si="83"/>
        <v>20285.340978450869</v>
      </c>
      <c r="U102" s="177">
        <f t="shared" si="83"/>
        <v>20587.823114861101</v>
      </c>
      <c r="V102" s="177">
        <f t="shared" si="83"/>
        <v>20933.128740058142</v>
      </c>
      <c r="W102" s="177">
        <f t="shared" si="83"/>
        <v>21332.417216590708</v>
      </c>
      <c r="X102" s="177">
        <f t="shared" si="83"/>
        <v>21692.50087918451</v>
      </c>
      <c r="Y102" s="177">
        <f t="shared" si="83"/>
        <v>22045.631837799356</v>
      </c>
      <c r="Z102" s="177">
        <f t="shared" si="83"/>
        <v>22415.494422565687</v>
      </c>
      <c r="AA102" s="177">
        <f t="shared" si="83"/>
        <v>22800.628404811527</v>
      </c>
      <c r="AB102" s="177">
        <f t="shared" si="83"/>
        <v>23195.240455480449</v>
      </c>
      <c r="AC102" s="177">
        <f t="shared" si="83"/>
        <v>23588.511376397226</v>
      </c>
      <c r="AD102" s="177">
        <f t="shared" si="83"/>
        <v>23988.403982166274</v>
      </c>
      <c r="AE102" s="177">
        <f t="shared" si="84"/>
        <v>24397.773683126688</v>
      </c>
      <c r="AF102" s="177">
        <f t="shared" si="84"/>
        <v>24815.094714224651</v>
      </c>
      <c r="AG102" s="177">
        <f t="shared" si="84"/>
        <v>25238.827295811283</v>
      </c>
      <c r="AH102" s="177">
        <f t="shared" si="84"/>
        <v>25668.326372449494</v>
      </c>
      <c r="AI102" s="177">
        <f t="shared" si="84"/>
        <v>26105.087044035219</v>
      </c>
      <c r="AJ102" s="177">
        <f t="shared" si="84"/>
        <v>26549.2438891245</v>
      </c>
      <c r="AK102" s="177">
        <f t="shared" si="84"/>
        <v>27000.359183814693</v>
      </c>
    </row>
    <row r="103" spans="1:37" x14ac:dyDescent="0.2">
      <c r="A103" s="119" t="s">
        <v>87</v>
      </c>
      <c r="B103" s="175">
        <v>18107.156236999999</v>
      </c>
      <c r="C103" s="175">
        <v>16846.917192000001</v>
      </c>
      <c r="D103" s="175">
        <v>17114.135795999999</v>
      </c>
      <c r="E103" s="176">
        <v>18618.138459999998</v>
      </c>
      <c r="F103" s="176">
        <v>18525.057193000001</v>
      </c>
      <c r="G103" s="176">
        <v>1029.5188920000001</v>
      </c>
      <c r="H103" s="176">
        <v>5386.2049809999999</v>
      </c>
      <c r="I103" s="176">
        <v>14867.798688999999</v>
      </c>
      <c r="J103" s="176">
        <v>17671.013676999999</v>
      </c>
      <c r="K103" s="176">
        <v>19328.261793999998</v>
      </c>
      <c r="L103" s="177">
        <f t="shared" si="85"/>
        <v>17264.995023587759</v>
      </c>
      <c r="M103" s="177">
        <f t="shared" si="85"/>
        <v>18835.269968773264</v>
      </c>
      <c r="N103" s="177">
        <f t="shared" si="82"/>
        <v>19630.634149510912</v>
      </c>
      <c r="O103" s="177">
        <f t="shared" si="83"/>
        <v>19814.346283383744</v>
      </c>
      <c r="P103" s="177">
        <f t="shared" si="83"/>
        <v>19954.383728253077</v>
      </c>
      <c r="Q103" s="177">
        <f t="shared" si="83"/>
        <v>20083.488842051785</v>
      </c>
      <c r="R103" s="177">
        <f t="shared" si="83"/>
        <v>20675.432219290426</v>
      </c>
      <c r="S103" s="177">
        <f t="shared" si="83"/>
        <v>21062.79528146673</v>
      </c>
      <c r="T103" s="177">
        <f t="shared" si="83"/>
        <v>21365.519029543964</v>
      </c>
      <c r="U103" s="177">
        <f t="shared" si="83"/>
        <v>21694.424803391175</v>
      </c>
      <c r="V103" s="177">
        <f t="shared" si="83"/>
        <v>22064.210027921938</v>
      </c>
      <c r="W103" s="177">
        <f t="shared" si="83"/>
        <v>22476.940309667389</v>
      </c>
      <c r="X103" s="177">
        <f t="shared" si="83"/>
        <v>22853.129721883874</v>
      </c>
      <c r="Y103" s="177">
        <f t="shared" si="83"/>
        <v>23228.131519988994</v>
      </c>
      <c r="Z103" s="177">
        <f t="shared" si="83"/>
        <v>23619.494774505962</v>
      </c>
      <c r="AA103" s="177">
        <f t="shared" si="83"/>
        <v>24025.153306813394</v>
      </c>
      <c r="AB103" s="177">
        <f t="shared" si="83"/>
        <v>24439.517226967579</v>
      </c>
      <c r="AC103" s="177">
        <f t="shared" si="83"/>
        <v>24853.847836099187</v>
      </c>
      <c r="AD103" s="177">
        <f t="shared" si="83"/>
        <v>25275.822886217102</v>
      </c>
      <c r="AE103" s="177">
        <f t="shared" si="84"/>
        <v>25707.300318159778</v>
      </c>
      <c r="AF103" s="177">
        <f t="shared" si="84"/>
        <v>26146.837513150094</v>
      </c>
      <c r="AG103" s="177">
        <f t="shared" si="84"/>
        <v>26593.12282103498</v>
      </c>
      <c r="AH103" s="177">
        <f t="shared" si="84"/>
        <v>27045.744518831511</v>
      </c>
      <c r="AI103" s="177">
        <f t="shared" si="84"/>
        <v>27506.042480713895</v>
      </c>
      <c r="AJ103" s="177">
        <f t="shared" si="84"/>
        <v>27974.023378059028</v>
      </c>
      <c r="AK103" s="177">
        <f t="shared" si="84"/>
        <v>28449.304491233979</v>
      </c>
    </row>
    <row r="104" spans="1:37" x14ac:dyDescent="0.2">
      <c r="A104" s="119" t="s">
        <v>88</v>
      </c>
      <c r="B104" s="175">
        <v>17736.202686000001</v>
      </c>
      <c r="C104" s="175">
        <v>16617.556331</v>
      </c>
      <c r="D104" s="175">
        <v>17034.924209000001</v>
      </c>
      <c r="E104" s="176">
        <v>18577.255334000001</v>
      </c>
      <c r="F104" s="176">
        <v>18506.252994999999</v>
      </c>
      <c r="G104" s="176">
        <v>1581.8256249999999</v>
      </c>
      <c r="H104" s="176">
        <v>6504.2930710000001</v>
      </c>
      <c r="I104" s="176">
        <v>14760.688928</v>
      </c>
      <c r="J104" s="176">
        <v>17895.206968999999</v>
      </c>
      <c r="K104" s="176">
        <v>19707.144887999999</v>
      </c>
      <c r="L104" s="177">
        <f t="shared" si="85"/>
        <v>17906.731880453059</v>
      </c>
      <c r="M104" s="177">
        <f t="shared" si="85"/>
        <v>19405.444784624771</v>
      </c>
      <c r="N104" s="177">
        <f t="shared" si="82"/>
        <v>20011.761217322965</v>
      </c>
      <c r="O104" s="177">
        <f t="shared" si="83"/>
        <v>20283.60654065042</v>
      </c>
      <c r="P104" s="177">
        <f t="shared" si="83"/>
        <v>20467.828267598001</v>
      </c>
      <c r="Q104" s="177">
        <f t="shared" si="83"/>
        <v>20625.165464743117</v>
      </c>
      <c r="R104" s="177">
        <f t="shared" si="83"/>
        <v>21196.046535142494</v>
      </c>
      <c r="S104" s="177">
        <f t="shared" si="83"/>
        <v>21572.996986828181</v>
      </c>
      <c r="T104" s="177">
        <f t="shared" si="83"/>
        <v>21902.903414578774</v>
      </c>
      <c r="U104" s="177">
        <f t="shared" si="83"/>
        <v>22246.204511665404</v>
      </c>
      <c r="V104" s="177">
        <f t="shared" si="83"/>
        <v>22624.149231532123</v>
      </c>
      <c r="W104" s="177">
        <f t="shared" si="83"/>
        <v>23040.622175829052</v>
      </c>
      <c r="X104" s="177">
        <f t="shared" si="83"/>
        <v>23425.801770062237</v>
      </c>
      <c r="Y104" s="177">
        <f t="shared" si="83"/>
        <v>23813.903291917388</v>
      </c>
      <c r="Z104" s="177">
        <f t="shared" si="83"/>
        <v>24215.433725721388</v>
      </c>
      <c r="AA104" s="177">
        <f t="shared" si="83"/>
        <v>24630.399540062022</v>
      </c>
      <c r="AB104" s="177">
        <f t="shared" si="83"/>
        <v>25054.341274835384</v>
      </c>
      <c r="AC104" s="177">
        <f t="shared" si="83"/>
        <v>25479.467407908109</v>
      </c>
      <c r="AD104" s="177">
        <f t="shared" si="83"/>
        <v>25912.608238531415</v>
      </c>
      <c r="AE104" s="177">
        <f t="shared" si="84"/>
        <v>26354.835161954794</v>
      </c>
      <c r="AF104" s="177">
        <f t="shared" si="84"/>
        <v>26805.234804852367</v>
      </c>
      <c r="AG104" s="177">
        <f t="shared" si="84"/>
        <v>27262.700161829576</v>
      </c>
      <c r="AH104" s="177">
        <f t="shared" si="84"/>
        <v>27726.829412608418</v>
      </c>
      <c r="AI104" s="177">
        <f t="shared" si="84"/>
        <v>28198.775174695314</v>
      </c>
      <c r="AJ104" s="177">
        <f t="shared" si="84"/>
        <v>28678.495742671294</v>
      </c>
      <c r="AK104" s="177">
        <f t="shared" si="84"/>
        <v>29165.715286386865</v>
      </c>
    </row>
    <row r="105" spans="1:37" x14ac:dyDescent="0.2">
      <c r="A105" s="119" t="s">
        <v>89</v>
      </c>
      <c r="B105" s="175">
        <v>20858.101145000001</v>
      </c>
      <c r="C105" s="175">
        <v>19400.082283</v>
      </c>
      <c r="D105" s="175">
        <v>20349.773177999999</v>
      </c>
      <c r="E105" s="176">
        <v>22083.059012999998</v>
      </c>
      <c r="F105" s="176">
        <v>21703.978564000001</v>
      </c>
      <c r="G105" s="176">
        <v>2587.917203</v>
      </c>
      <c r="H105" s="176">
        <v>9323.2741490000008</v>
      </c>
      <c r="I105" s="176">
        <v>17981.260573</v>
      </c>
      <c r="J105" s="176">
        <v>20374.54636</v>
      </c>
      <c r="K105" s="176">
        <v>22607.876701000001</v>
      </c>
      <c r="L105" s="177">
        <f t="shared" si="85"/>
        <v>21587.576376574791</v>
      </c>
      <c r="M105" s="177">
        <f t="shared" si="85"/>
        <v>23222.245463290998</v>
      </c>
      <c r="N105" s="177">
        <f t="shared" si="82"/>
        <v>23604.226394439247</v>
      </c>
      <c r="O105" s="177">
        <f t="shared" si="83"/>
        <v>23802.912764986875</v>
      </c>
      <c r="P105" s="177">
        <f t="shared" si="83"/>
        <v>24150.671142691433</v>
      </c>
      <c r="Q105" s="177">
        <f t="shared" si="83"/>
        <v>24472.011696954767</v>
      </c>
      <c r="R105" s="177">
        <f t="shared" si="83"/>
        <v>25077.655708817787</v>
      </c>
      <c r="S105" s="177">
        <f t="shared" si="83"/>
        <v>25468.307532917945</v>
      </c>
      <c r="T105" s="177">
        <f t="shared" si="83"/>
        <v>25862.187586596821</v>
      </c>
      <c r="U105" s="177">
        <f t="shared" si="83"/>
        <v>26298.520837349723</v>
      </c>
      <c r="V105" s="177">
        <f t="shared" si="83"/>
        <v>26754.889044336174</v>
      </c>
      <c r="W105" s="177">
        <f t="shared" si="83"/>
        <v>27230.347437500801</v>
      </c>
      <c r="X105" s="177">
        <f t="shared" si="83"/>
        <v>27679.826291873076</v>
      </c>
      <c r="Y105" s="177">
        <f t="shared" si="83"/>
        <v>28143.085022905809</v>
      </c>
      <c r="Z105" s="177">
        <f t="shared" si="83"/>
        <v>28622.340622355179</v>
      </c>
      <c r="AA105" s="177">
        <f t="shared" si="83"/>
        <v>29112.029138397815</v>
      </c>
      <c r="AB105" s="177">
        <f t="shared" si="83"/>
        <v>29610.131621205925</v>
      </c>
      <c r="AC105" s="177">
        <f t="shared" si="83"/>
        <v>30112.539633090542</v>
      </c>
      <c r="AD105" s="177">
        <f t="shared" si="83"/>
        <v>30625.622617959209</v>
      </c>
      <c r="AE105" s="177">
        <f t="shared" si="84"/>
        <v>31148.727751034185</v>
      </c>
      <c r="AF105" s="177">
        <f t="shared" si="84"/>
        <v>31680.598328406748</v>
      </c>
      <c r="AG105" s="177">
        <f t="shared" si="84"/>
        <v>32220.883572377694</v>
      </c>
      <c r="AH105" s="177">
        <f t="shared" si="84"/>
        <v>32769.583629369699</v>
      </c>
      <c r="AI105" s="177">
        <f t="shared" si="84"/>
        <v>33327.562885885534</v>
      </c>
      <c r="AJ105" s="177">
        <f t="shared" si="84"/>
        <v>33894.527730222129</v>
      </c>
      <c r="AK105" s="177">
        <f t="shared" si="84"/>
        <v>34470.260130843068</v>
      </c>
    </row>
    <row r="106" spans="1:37" x14ac:dyDescent="0.2">
      <c r="A106" s="119" t="s">
        <v>90</v>
      </c>
      <c r="B106" s="175">
        <v>19305.929410000001</v>
      </c>
      <c r="C106" s="175">
        <v>18275.346706</v>
      </c>
      <c r="D106" s="175">
        <v>18434.532190999998</v>
      </c>
      <c r="E106" s="176">
        <v>20066.775341</v>
      </c>
      <c r="F106" s="176">
        <v>19986.158931000002</v>
      </c>
      <c r="G106" s="176">
        <v>3542.6899210000001</v>
      </c>
      <c r="H106" s="176">
        <v>9096.6739969999999</v>
      </c>
      <c r="I106" s="176">
        <v>16947.542389999999</v>
      </c>
      <c r="J106" s="176">
        <v>19733.817864000001</v>
      </c>
      <c r="K106" s="176">
        <v>21332.420741000002</v>
      </c>
      <c r="L106" s="177">
        <f t="shared" si="85"/>
        <v>20929.437784251513</v>
      </c>
      <c r="M106" s="177">
        <f t="shared" si="85"/>
        <v>22252.999912477539</v>
      </c>
      <c r="N106" s="177">
        <f t="shared" si="82"/>
        <v>22582.767258772001</v>
      </c>
      <c r="O106" s="177">
        <f t="shared" si="83"/>
        <v>22827.469326987557</v>
      </c>
      <c r="P106" s="177">
        <f t="shared" si="83"/>
        <v>23120.126911658866</v>
      </c>
      <c r="Q106" s="177">
        <f t="shared" si="83"/>
        <v>23493.104802434493</v>
      </c>
      <c r="R106" s="177">
        <f t="shared" si="83"/>
        <v>24031.33116625372</v>
      </c>
      <c r="S106" s="177">
        <f t="shared" si="83"/>
        <v>24405.754123647817</v>
      </c>
      <c r="T106" s="177">
        <f t="shared" si="83"/>
        <v>24790.91467152421</v>
      </c>
      <c r="U106" s="177">
        <f t="shared" si="83"/>
        <v>25206.959243041925</v>
      </c>
      <c r="V106" s="177">
        <f t="shared" si="83"/>
        <v>25650.303475729783</v>
      </c>
      <c r="W106" s="177">
        <f t="shared" si="83"/>
        <v>26099.521712268779</v>
      </c>
      <c r="X106" s="177">
        <f t="shared" si="83"/>
        <v>26531.364246040386</v>
      </c>
      <c r="Y106" s="177">
        <f t="shared" si="83"/>
        <v>26976.632035592047</v>
      </c>
      <c r="Z106" s="177">
        <f t="shared" si="83"/>
        <v>27435.888559005718</v>
      </c>
      <c r="AA106" s="177">
        <f t="shared" si="83"/>
        <v>27905.580605510484</v>
      </c>
      <c r="AB106" s="177">
        <f t="shared" si="83"/>
        <v>28382.161942157243</v>
      </c>
      <c r="AC106" s="177">
        <f t="shared" si="83"/>
        <v>28864.060199210639</v>
      </c>
      <c r="AD106" s="177">
        <f t="shared" si="83"/>
        <v>29356.048060512436</v>
      </c>
      <c r="AE106" s="177">
        <f t="shared" si="84"/>
        <v>29857.424123900517</v>
      </c>
      <c r="AF106" s="177">
        <f t="shared" si="84"/>
        <v>30367.220725035524</v>
      </c>
      <c r="AG106" s="177">
        <f t="shared" si="84"/>
        <v>30885.013989873947</v>
      </c>
      <c r="AH106" s="177">
        <f t="shared" si="84"/>
        <v>31411.036854154201</v>
      </c>
      <c r="AI106" s="177">
        <f t="shared" si="84"/>
        <v>31945.901998006288</v>
      </c>
      <c r="AJ106" s="177">
        <f t="shared" si="84"/>
        <v>32489.347038381089</v>
      </c>
      <c r="AK106" s="177">
        <f t="shared" si="84"/>
        <v>33041.20195603434</v>
      </c>
    </row>
    <row r="107" spans="1:37" x14ac:dyDescent="0.2">
      <c r="A107" s="119" t="s">
        <v>91</v>
      </c>
      <c r="B107" s="175">
        <v>18197.852321999999</v>
      </c>
      <c r="C107" s="175">
        <v>17338.775162000002</v>
      </c>
      <c r="D107" s="175">
        <v>18141.376686</v>
      </c>
      <c r="E107" s="176">
        <v>19370.186437</v>
      </c>
      <c r="F107" s="176">
        <v>19325.181611</v>
      </c>
      <c r="G107" s="176">
        <v>4630.2187819999999</v>
      </c>
      <c r="H107" s="176">
        <v>9547.3285980000001</v>
      </c>
      <c r="I107" s="176">
        <v>16380.575326</v>
      </c>
      <c r="J107" s="176">
        <v>19016.474267000001</v>
      </c>
      <c r="K107" s="176">
        <v>20919.98589</v>
      </c>
      <c r="L107" s="177">
        <f t="shared" si="85"/>
        <v>20882.467269853252</v>
      </c>
      <c r="M107" s="177">
        <f t="shared" si="85"/>
        <v>21926.165168830761</v>
      </c>
      <c r="N107" s="177">
        <f t="shared" si="82"/>
        <v>22120.706850370396</v>
      </c>
      <c r="O107" s="177">
        <f t="shared" si="83"/>
        <v>22407.455525480764</v>
      </c>
      <c r="P107" s="177">
        <f t="shared" si="83"/>
        <v>22769.23670979459</v>
      </c>
      <c r="Q107" s="177">
        <f t="shared" si="83"/>
        <v>23155.202540179005</v>
      </c>
      <c r="R107" s="177">
        <f t="shared" si="83"/>
        <v>23632.261332050577</v>
      </c>
      <c r="S107" s="177">
        <f t="shared" si="83"/>
        <v>23991.486154720504</v>
      </c>
      <c r="T107" s="177">
        <f t="shared" si="83"/>
        <v>24386.66794210962</v>
      </c>
      <c r="U107" s="177">
        <f t="shared" si="83"/>
        <v>24805.978991212472</v>
      </c>
      <c r="V107" s="177">
        <f t="shared" si="83"/>
        <v>25238.716743052035</v>
      </c>
      <c r="W107" s="177">
        <f t="shared" si="83"/>
        <v>25672.509007826506</v>
      </c>
      <c r="X107" s="177">
        <f t="shared" si="83"/>
        <v>26098.525901583456</v>
      </c>
      <c r="Y107" s="177">
        <f t="shared" si="83"/>
        <v>26539.916801589588</v>
      </c>
      <c r="Z107" s="177">
        <f t="shared" si="83"/>
        <v>26992.351652228084</v>
      </c>
      <c r="AA107" s="177">
        <f t="shared" si="83"/>
        <v>27453.078700533672</v>
      </c>
      <c r="AB107" s="177">
        <f t="shared" si="83"/>
        <v>27921.018259776913</v>
      </c>
      <c r="AC107" s="177">
        <f t="shared" si="83"/>
        <v>28395.708659042364</v>
      </c>
      <c r="AD107" s="177">
        <f t="shared" si="83"/>
        <v>28880.205118310467</v>
      </c>
      <c r="AE107" s="177">
        <f t="shared" si="84"/>
        <v>29373.336634285191</v>
      </c>
      <c r="AF107" s="177">
        <f t="shared" si="84"/>
        <v>29874.596503937672</v>
      </c>
      <c r="AG107" s="177">
        <f t="shared" si="84"/>
        <v>30383.950246194436</v>
      </c>
      <c r="AH107" s="177">
        <f t="shared" si="84"/>
        <v>30901.583257450231</v>
      </c>
      <c r="AI107" s="177">
        <f t="shared" si="84"/>
        <v>31427.817039326426</v>
      </c>
      <c r="AJ107" s="177">
        <f t="shared" si="84"/>
        <v>31962.398057044749</v>
      </c>
      <c r="AK107" s="177">
        <f t="shared" si="84"/>
        <v>32505.265773822593</v>
      </c>
    </row>
    <row r="108" spans="1:37" x14ac:dyDescent="0.2">
      <c r="A108" s="119" t="s">
        <v>92</v>
      </c>
      <c r="B108" s="175">
        <v>18639.108474000001</v>
      </c>
      <c r="C108" s="175">
        <v>17695.812634999998</v>
      </c>
      <c r="D108" s="175">
        <v>18728.394686</v>
      </c>
      <c r="E108" s="176">
        <v>19472.541568000001</v>
      </c>
      <c r="F108" s="176">
        <v>19736.49091</v>
      </c>
      <c r="G108" s="176">
        <v>6082.1451100000004</v>
      </c>
      <c r="H108" s="176">
        <v>11015.257885999999</v>
      </c>
      <c r="I108" s="176">
        <v>17165.066662000001</v>
      </c>
      <c r="J108" s="176">
        <v>19621.662572000001</v>
      </c>
      <c r="K108" s="176">
        <v>21932.671339</v>
      </c>
      <c r="L108" s="177">
        <f t="shared" si="85"/>
        <v>22459.057912455872</v>
      </c>
      <c r="M108" s="177">
        <f t="shared" si="85"/>
        <v>23302.92209190872</v>
      </c>
      <c r="N108" s="177">
        <f t="shared" si="82"/>
        <v>23315.878112416569</v>
      </c>
      <c r="O108" s="177">
        <f t="shared" si="83"/>
        <v>23639.603527975833</v>
      </c>
      <c r="P108" s="177">
        <f t="shared" si="83"/>
        <v>24113.926164508885</v>
      </c>
      <c r="Q108" s="177">
        <f t="shared" si="83"/>
        <v>24569.539109907713</v>
      </c>
      <c r="R108" s="177">
        <f t="shared" si="83"/>
        <v>25012.423715464356</v>
      </c>
      <c r="S108" s="177">
        <f t="shared" si="83"/>
        <v>25372.390455454719</v>
      </c>
      <c r="T108" s="177">
        <f t="shared" si="83"/>
        <v>25806.73383001245</v>
      </c>
      <c r="U108" s="177">
        <f t="shared" si="83"/>
        <v>26265.746155119239</v>
      </c>
      <c r="V108" s="177">
        <f t="shared" si="83"/>
        <v>26722.943970047098</v>
      </c>
      <c r="W108" s="177">
        <f t="shared" si="83"/>
        <v>27171.175343018393</v>
      </c>
      <c r="X108" s="177">
        <f t="shared" si="83"/>
        <v>27621.935727852629</v>
      </c>
      <c r="Y108" s="177">
        <f t="shared" si="83"/>
        <v>28093.195097458069</v>
      </c>
      <c r="Z108" s="177">
        <f t="shared" si="83"/>
        <v>28573.621447106329</v>
      </c>
      <c r="AA108" s="177">
        <f t="shared" si="83"/>
        <v>29059.955144048687</v>
      </c>
      <c r="AB108" s="177">
        <f t="shared" si="83"/>
        <v>29553.819947464952</v>
      </c>
      <c r="AC108" s="177">
        <f t="shared" si="83"/>
        <v>30056.82604623348</v>
      </c>
      <c r="AD108" s="177">
        <f t="shared" si="83"/>
        <v>30570.364376242895</v>
      </c>
      <c r="AE108" s="177">
        <f t="shared" si="84"/>
        <v>31092.338656828695</v>
      </c>
      <c r="AF108" s="177">
        <f t="shared" si="84"/>
        <v>31622.595061394797</v>
      </c>
      <c r="AG108" s="177">
        <f t="shared" si="84"/>
        <v>32161.633107415069</v>
      </c>
      <c r="AH108" s="177">
        <f t="shared" si="84"/>
        <v>32709.715850939469</v>
      </c>
      <c r="AI108" s="177">
        <f t="shared" si="84"/>
        <v>33266.822965889609</v>
      </c>
      <c r="AJ108" s="177">
        <f t="shared" si="84"/>
        <v>33832.637279127426</v>
      </c>
      <c r="AK108" s="177">
        <f t="shared" si="84"/>
        <v>34407.215855091636</v>
      </c>
    </row>
    <row r="109" spans="1:37" x14ac:dyDescent="0.2">
      <c r="A109" s="119" t="s">
        <v>93</v>
      </c>
      <c r="B109" s="175">
        <v>16931.620923999999</v>
      </c>
      <c r="C109" s="175">
        <v>16617.317085999999</v>
      </c>
      <c r="D109" s="175">
        <v>17761.376574999998</v>
      </c>
      <c r="E109" s="176">
        <v>19188.111161000001</v>
      </c>
      <c r="F109" s="176">
        <v>19005.343381999999</v>
      </c>
      <c r="G109" s="176">
        <v>6499.1247130000002</v>
      </c>
      <c r="H109" s="176">
        <v>12481.540577</v>
      </c>
      <c r="I109" s="176">
        <v>17246.020372999999</v>
      </c>
      <c r="J109" s="176">
        <v>19046.381458</v>
      </c>
      <c r="K109" s="176">
        <v>21460.152709000002</v>
      </c>
      <c r="L109" s="177">
        <f t="shared" si="85"/>
        <v>22730.526042327419</v>
      </c>
      <c r="M109" s="177">
        <f t="shared" si="85"/>
        <v>23497.77630669783</v>
      </c>
      <c r="N109" s="177">
        <f t="shared" si="82"/>
        <v>23204.182140893146</v>
      </c>
      <c r="O109" s="177">
        <f t="shared" si="83"/>
        <v>23491.4880169026</v>
      </c>
      <c r="P109" s="177">
        <f t="shared" si="83"/>
        <v>24057.977762982799</v>
      </c>
      <c r="Q109" s="177">
        <f t="shared" si="83"/>
        <v>24601.202264236661</v>
      </c>
      <c r="R109" s="177">
        <f t="shared" si="83"/>
        <v>24993.656803380567</v>
      </c>
      <c r="S109" s="177">
        <f t="shared" si="83"/>
        <v>25308.69971960699</v>
      </c>
      <c r="T109" s="177">
        <f t="shared" si="83"/>
        <v>25753.134477682135</v>
      </c>
      <c r="U109" s="177">
        <f t="shared" si="83"/>
        <v>26232.020362751053</v>
      </c>
      <c r="V109" s="177">
        <f t="shared" si="83"/>
        <v>26693.887405693051</v>
      </c>
      <c r="W109" s="177">
        <f t="shared" si="83"/>
        <v>27129.352389971707</v>
      </c>
      <c r="X109" s="177">
        <f t="shared" si="83"/>
        <v>27575.268851307483</v>
      </c>
      <c r="Y109" s="177">
        <f t="shared" si="83"/>
        <v>28050.111339529809</v>
      </c>
      <c r="Z109" s="177">
        <f t="shared" si="83"/>
        <v>28532.749665481559</v>
      </c>
      <c r="AA109" s="177">
        <f t="shared" si="83"/>
        <v>29017.579145621887</v>
      </c>
      <c r="AB109" s="177">
        <f t="shared" si="83"/>
        <v>29508.639209384295</v>
      </c>
      <c r="AC109" s="177">
        <f t="shared" si="83"/>
        <v>30010.936215187448</v>
      </c>
      <c r="AD109" s="177">
        <f t="shared" si="83"/>
        <v>30524.6358795048</v>
      </c>
      <c r="AE109" s="177">
        <f t="shared" si="84"/>
        <v>31046.052487146419</v>
      </c>
      <c r="AF109" s="177">
        <f t="shared" si="84"/>
        <v>31575.169314030816</v>
      </c>
      <c r="AG109" s="177">
        <f t="shared" si="84"/>
        <v>32113.145165476333</v>
      </c>
      <c r="AH109" s="177">
        <f t="shared" si="84"/>
        <v>32660.53294638883</v>
      </c>
      <c r="AI109" s="177">
        <f t="shared" si="84"/>
        <v>33216.94875278676</v>
      </c>
      <c r="AJ109" s="177">
        <f t="shared" si="84"/>
        <v>33781.893093933948</v>
      </c>
      <c r="AK109" s="177">
        <f t="shared" si="84"/>
        <v>34355.536700838915</v>
      </c>
    </row>
    <row r="110" spans="1:37" x14ac:dyDescent="0.2">
      <c r="A110" s="119" t="s">
        <v>94</v>
      </c>
      <c r="B110" s="175">
        <v>19559.091197999998</v>
      </c>
      <c r="C110" s="175">
        <v>18681.98141</v>
      </c>
      <c r="D110" s="175">
        <v>20352.939721999999</v>
      </c>
      <c r="E110" s="176">
        <v>21796.116334999999</v>
      </c>
      <c r="F110" s="176">
        <v>21477.369569999999</v>
      </c>
      <c r="G110" s="176">
        <v>8751.9666219999999</v>
      </c>
      <c r="H110" s="176">
        <v>15506.162769</v>
      </c>
      <c r="I110" s="176">
        <v>18711.235929999999</v>
      </c>
      <c r="J110" s="176">
        <v>20887.185636999999</v>
      </c>
      <c r="K110" s="176">
        <v>23378.508656999998</v>
      </c>
      <c r="L110" s="177">
        <f>L111-SUM(L99:L109)</f>
        <v>28918.96273488921</v>
      </c>
      <c r="M110" s="177">
        <f>M111-SUM(M99:M109)</f>
        <v>27146.988272540504</v>
      </c>
      <c r="N110" s="177">
        <f t="shared" ref="N110:AK110" si="86">N111-SUM(N99:N109)</f>
        <v>26565.39656735945</v>
      </c>
      <c r="O110" s="177">
        <f t="shared" si="86"/>
        <v>27115.034997208102</v>
      </c>
      <c r="P110" s="177">
        <f t="shared" si="86"/>
        <v>27999.651759750821</v>
      </c>
      <c r="Q110" s="177">
        <f t="shared" si="86"/>
        <v>28967.871059391473</v>
      </c>
      <c r="R110" s="177">
        <f t="shared" si="86"/>
        <v>28977.058460142289</v>
      </c>
      <c r="S110" s="177">
        <f t="shared" si="86"/>
        <v>29362.454191077355</v>
      </c>
      <c r="T110" s="177">
        <f t="shared" si="86"/>
        <v>29952.830861528695</v>
      </c>
      <c r="U110" s="177">
        <f t="shared" si="86"/>
        <v>30553.420380321913</v>
      </c>
      <c r="V110" s="177">
        <f t="shared" si="86"/>
        <v>31095.914015060174</v>
      </c>
      <c r="W110" s="177">
        <f t="shared" si="86"/>
        <v>31538.040808465739</v>
      </c>
      <c r="X110" s="177">
        <f t="shared" si="86"/>
        <v>32072.872555449139</v>
      </c>
      <c r="Y110" s="177">
        <f t="shared" si="86"/>
        <v>32640.759916422947</v>
      </c>
      <c r="Z110" s="177">
        <f t="shared" si="86"/>
        <v>33205.547323048173</v>
      </c>
      <c r="AA110" s="177">
        <f t="shared" si="86"/>
        <v>33764.43720350822</v>
      </c>
      <c r="AB110" s="177">
        <f t="shared" si="86"/>
        <v>34328.405287728703</v>
      </c>
      <c r="AC110" s="177">
        <f t="shared" si="86"/>
        <v>34917.46834351588</v>
      </c>
      <c r="AD110" s="177">
        <f t="shared" si="86"/>
        <v>35517.407865003974</v>
      </c>
      <c r="AE110" s="177">
        <f t="shared" si="86"/>
        <v>36123.558409222751</v>
      </c>
      <c r="AF110" s="177">
        <f t="shared" si="86"/>
        <v>36737.878166352224</v>
      </c>
      <c r="AG110" s="177">
        <f t="shared" si="86"/>
        <v>37363.326067955757</v>
      </c>
      <c r="AH110" s="177">
        <f t="shared" si="86"/>
        <v>38001.174744319927</v>
      </c>
      <c r="AI110" s="177">
        <f t="shared" si="86"/>
        <v>38648.753951173392</v>
      </c>
      <c r="AJ110" s="177">
        <f t="shared" si="86"/>
        <v>39305.822685047868</v>
      </c>
      <c r="AK110" s="177">
        <f t="shared" si="86"/>
        <v>39973.070589191746</v>
      </c>
    </row>
    <row r="111" spans="1:37" ht="13.5" thickBot="1" x14ac:dyDescent="0.25">
      <c r="A111" s="119" t="s">
        <v>121</v>
      </c>
      <c r="B111" s="147">
        <f>SUM(B99:B110)</f>
        <v>223367.47479500002</v>
      </c>
      <c r="C111" s="147">
        <f t="shared" ref="C111:K111" si="87">SUM(C99:C110)</f>
        <v>212577.89268800002</v>
      </c>
      <c r="D111" s="147">
        <f t="shared" si="87"/>
        <v>218748.54329500001</v>
      </c>
      <c r="E111" s="147">
        <f t="shared" si="87"/>
        <v>236525.13131099998</v>
      </c>
      <c r="F111" s="147">
        <f t="shared" si="87"/>
        <v>238665.04335000002</v>
      </c>
      <c r="G111" s="147">
        <f t="shared" si="87"/>
        <v>90076.682727999985</v>
      </c>
      <c r="H111" s="147">
        <f t="shared" si="87"/>
        <v>103642.36974400001</v>
      </c>
      <c r="I111" s="147">
        <f t="shared" si="87"/>
        <v>190450.274202</v>
      </c>
      <c r="J111" s="147">
        <f t="shared" si="87"/>
        <v>226607.625371</v>
      </c>
      <c r="K111" s="147">
        <f t="shared" si="87"/>
        <v>251059.28465800002</v>
      </c>
      <c r="L111" s="151">
        <f>MROUND(K111*1.017,100)</f>
        <v>255300</v>
      </c>
      <c r="M111" s="151">
        <f t="shared" ref="M111:AK111" si="88">MROUND(L111*1.017,100)</f>
        <v>259600</v>
      </c>
      <c r="N111" s="151">
        <f t="shared" si="88"/>
        <v>264000</v>
      </c>
      <c r="O111" s="151">
        <f t="shared" si="88"/>
        <v>268500</v>
      </c>
      <c r="P111" s="151">
        <f t="shared" si="88"/>
        <v>273100</v>
      </c>
      <c r="Q111" s="151">
        <f t="shared" si="88"/>
        <v>277700</v>
      </c>
      <c r="R111" s="151">
        <f t="shared" si="88"/>
        <v>282400</v>
      </c>
      <c r="S111" s="151">
        <f t="shared" si="88"/>
        <v>287200</v>
      </c>
      <c r="T111" s="151">
        <f t="shared" si="88"/>
        <v>292100</v>
      </c>
      <c r="U111" s="151">
        <f t="shared" si="88"/>
        <v>297100</v>
      </c>
      <c r="V111" s="151">
        <f t="shared" si="88"/>
        <v>302200</v>
      </c>
      <c r="W111" s="151">
        <f t="shared" si="88"/>
        <v>307300</v>
      </c>
      <c r="X111" s="151">
        <f t="shared" si="88"/>
        <v>312500</v>
      </c>
      <c r="Y111" s="151">
        <f t="shared" si="88"/>
        <v>317800</v>
      </c>
      <c r="Z111" s="151">
        <f t="shared" si="88"/>
        <v>323200</v>
      </c>
      <c r="AA111" s="151">
        <f t="shared" si="88"/>
        <v>328700</v>
      </c>
      <c r="AB111" s="151">
        <f t="shared" si="88"/>
        <v>334300</v>
      </c>
      <c r="AC111" s="151">
        <f t="shared" si="88"/>
        <v>340000</v>
      </c>
      <c r="AD111" s="151">
        <f t="shared" si="88"/>
        <v>345800</v>
      </c>
      <c r="AE111" s="151">
        <f t="shared" si="88"/>
        <v>351700</v>
      </c>
      <c r="AF111" s="151">
        <f t="shared" si="88"/>
        <v>357700</v>
      </c>
      <c r="AG111" s="151">
        <f t="shared" si="88"/>
        <v>363800</v>
      </c>
      <c r="AH111" s="151">
        <f t="shared" si="88"/>
        <v>370000</v>
      </c>
      <c r="AI111" s="151">
        <f t="shared" si="88"/>
        <v>376300</v>
      </c>
      <c r="AJ111" s="151">
        <f t="shared" si="88"/>
        <v>382700</v>
      </c>
      <c r="AK111" s="151">
        <f t="shared" si="88"/>
        <v>389200</v>
      </c>
    </row>
    <row r="112" spans="1:37" x14ac:dyDescent="0.2">
      <c r="A112" s="112" t="s">
        <v>136</v>
      </c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  <c r="AA112" s="150"/>
      <c r="AB112" s="150"/>
      <c r="AC112" s="150"/>
      <c r="AD112" s="150"/>
      <c r="AE112" s="150"/>
      <c r="AF112" s="150"/>
      <c r="AG112" s="150"/>
      <c r="AH112" s="150"/>
      <c r="AI112" s="150"/>
      <c r="AJ112" s="150"/>
      <c r="AK112" s="150"/>
    </row>
    <row r="113" spans="2:12" x14ac:dyDescent="0.2">
      <c r="C113" s="178">
        <f>C111/B111-1</f>
        <v>-4.8304177306487173E-2</v>
      </c>
      <c r="D113" s="178">
        <f t="shared" ref="D113:J113" si="89">D111/C111-1</f>
        <v>2.9027715577445434E-2</v>
      </c>
      <c r="E113" s="178">
        <f t="shared" si="89"/>
        <v>8.1264943520226396E-2</v>
      </c>
      <c r="F113" s="178">
        <f t="shared" si="89"/>
        <v>9.0472924679887434E-3</v>
      </c>
      <c r="G113" s="178">
        <f t="shared" si="89"/>
        <v>-0.6225811645323216</v>
      </c>
      <c r="H113" s="178">
        <f t="shared" si="89"/>
        <v>0.15060153865749748</v>
      </c>
      <c r="I113" s="178">
        <f t="shared" si="89"/>
        <v>0.83757159038738993</v>
      </c>
      <c r="J113" s="178">
        <f t="shared" si="89"/>
        <v>0.18985192497360193</v>
      </c>
      <c r="K113" s="178">
        <f>K111/J111-1</f>
        <v>0.10790307363650253</v>
      </c>
    </row>
    <row r="114" spans="2:12" x14ac:dyDescent="0.2">
      <c r="K114" s="178">
        <f>(K111/B111)^(1/10)-1</f>
        <v>1.1755642860246329E-2</v>
      </c>
    </row>
    <row r="116" spans="2:12" x14ac:dyDescent="0.2">
      <c r="B116" s="179">
        <f t="shared" ref="B116:L128" si="90">B99/1000000</f>
        <v>2.1876580028000001E-2</v>
      </c>
      <c r="C116" s="179">
        <f t="shared" si="90"/>
        <v>2.1268434449E-2</v>
      </c>
      <c r="D116" s="179">
        <f t="shared" si="90"/>
        <v>2.0470614538999999E-2</v>
      </c>
      <c r="E116" s="179">
        <f>E99/1000000</f>
        <v>2.2346205530999998E-2</v>
      </c>
      <c r="F116" s="179">
        <f t="shared" ref="F116:J116" si="91">F99/1000000</f>
        <v>2.3253030116999997E-2</v>
      </c>
      <c r="G116" s="179">
        <f t="shared" si="91"/>
        <v>2.3087953517999998E-2</v>
      </c>
      <c r="H116" s="179">
        <f t="shared" si="91"/>
        <v>9.7091604709999991E-3</v>
      </c>
      <c r="I116" s="179">
        <f t="shared" si="91"/>
        <v>1.5670021937000001E-2</v>
      </c>
      <c r="J116" s="179">
        <f t="shared" si="91"/>
        <v>2.0616154118E-2</v>
      </c>
      <c r="K116" s="179">
        <f>K99/1000000</f>
        <v>2.2612728086000001E-2</v>
      </c>
      <c r="L116" s="179">
        <f>L99/1000000</f>
        <v>2.5064545011999999E-2</v>
      </c>
    </row>
    <row r="117" spans="2:12" x14ac:dyDescent="0.2">
      <c r="B117" s="179">
        <f t="shared" si="90"/>
        <v>1.7239454398000002E-2</v>
      </c>
      <c r="C117" s="179">
        <f t="shared" si="90"/>
        <v>1.7101060495000001E-2</v>
      </c>
      <c r="D117" s="179">
        <f t="shared" si="90"/>
        <v>1.6278012113E-2</v>
      </c>
      <c r="E117" s="179">
        <f t="shared" si="90"/>
        <v>1.8167338506E-2</v>
      </c>
      <c r="F117" s="179">
        <f t="shared" si="90"/>
        <v>1.8851591842999997E-2</v>
      </c>
      <c r="G117" s="179">
        <f t="shared" si="90"/>
        <v>1.9242626265999999E-2</v>
      </c>
      <c r="H117" s="179">
        <f t="shared" si="90"/>
        <v>6.1442873589999999E-3</v>
      </c>
      <c r="I117" s="179">
        <f t="shared" si="90"/>
        <v>1.2357486867E-2</v>
      </c>
      <c r="J117" s="179">
        <f t="shared" si="90"/>
        <v>1.6773003147000001E-2</v>
      </c>
      <c r="K117" s="179">
        <f t="shared" si="90"/>
        <v>1.9296622874E-2</v>
      </c>
      <c r="L117" s="179">
        <f t="shared" si="90"/>
        <v>2.0886661746000002E-2</v>
      </c>
    </row>
    <row r="118" spans="2:12" x14ac:dyDescent="0.2">
      <c r="B118" s="179">
        <f t="shared" si="90"/>
        <v>1.7464857381000003E-2</v>
      </c>
      <c r="C118" s="179">
        <f t="shared" si="90"/>
        <v>1.6540657970999999E-2</v>
      </c>
      <c r="D118" s="179">
        <f t="shared" si="90"/>
        <v>1.7529537684E-2</v>
      </c>
      <c r="E118" s="179">
        <f t="shared" si="90"/>
        <v>1.8775725043999998E-2</v>
      </c>
      <c r="F118" s="179">
        <f t="shared" si="90"/>
        <v>1.9876166197999999E-2</v>
      </c>
      <c r="G118" s="179">
        <f t="shared" si="90"/>
        <v>1.2223438293999999E-2</v>
      </c>
      <c r="H118" s="179">
        <f t="shared" si="90"/>
        <v>4.8667173860000006E-3</v>
      </c>
      <c r="I118" s="179">
        <f t="shared" si="90"/>
        <v>1.4192898182000001E-2</v>
      </c>
      <c r="J118" s="179">
        <f t="shared" si="90"/>
        <v>1.8014171124E-2</v>
      </c>
      <c r="K118" s="179">
        <f t="shared" si="90"/>
        <v>1.9788145332999999E-2</v>
      </c>
    </row>
    <row r="119" spans="2:12" x14ac:dyDescent="0.2">
      <c r="B119" s="179">
        <f t="shared" si="90"/>
        <v>1.7451520591999999E-2</v>
      </c>
      <c r="C119" s="179">
        <f t="shared" si="90"/>
        <v>1.6193950967999998E-2</v>
      </c>
      <c r="D119" s="179">
        <f t="shared" si="90"/>
        <v>1.6552925916000001E-2</v>
      </c>
      <c r="E119" s="179">
        <f t="shared" si="90"/>
        <v>1.8063678581000001E-2</v>
      </c>
      <c r="F119" s="179">
        <f t="shared" si="90"/>
        <v>1.8418422035999998E-2</v>
      </c>
      <c r="G119" s="179">
        <f t="shared" si="90"/>
        <v>8.1725778200000007E-4</v>
      </c>
      <c r="H119" s="179">
        <f t="shared" si="90"/>
        <v>4.0614685000000001E-3</v>
      </c>
      <c r="I119" s="179">
        <f t="shared" si="90"/>
        <v>1.4169678345000001E-2</v>
      </c>
      <c r="J119" s="179">
        <f t="shared" si="90"/>
        <v>1.6958008178E-2</v>
      </c>
      <c r="K119" s="179">
        <f t="shared" si="90"/>
        <v>1.8694765645999999E-2</v>
      </c>
    </row>
    <row r="120" spans="2:12" x14ac:dyDescent="0.2">
      <c r="B120" s="179">
        <f t="shared" si="90"/>
        <v>1.8107156236999999E-2</v>
      </c>
      <c r="C120" s="179">
        <f t="shared" si="90"/>
        <v>1.6846917192000002E-2</v>
      </c>
      <c r="D120" s="179">
        <f t="shared" si="90"/>
        <v>1.7114135795999998E-2</v>
      </c>
      <c r="E120" s="179">
        <f t="shared" si="90"/>
        <v>1.8618138459999999E-2</v>
      </c>
      <c r="F120" s="179">
        <f t="shared" si="90"/>
        <v>1.8525057192999999E-2</v>
      </c>
      <c r="G120" s="179">
        <f t="shared" si="90"/>
        <v>1.029518892E-3</v>
      </c>
      <c r="H120" s="179">
        <f t="shared" si="90"/>
        <v>5.3862049809999995E-3</v>
      </c>
      <c r="I120" s="179">
        <f t="shared" si="90"/>
        <v>1.4867798688999999E-2</v>
      </c>
      <c r="J120" s="179">
        <f t="shared" si="90"/>
        <v>1.7671013677000001E-2</v>
      </c>
      <c r="K120" s="179">
        <f t="shared" si="90"/>
        <v>1.9328261793999997E-2</v>
      </c>
    </row>
    <row r="121" spans="2:12" x14ac:dyDescent="0.2">
      <c r="B121" s="179">
        <f t="shared" si="90"/>
        <v>1.7736202685999999E-2</v>
      </c>
      <c r="C121" s="179">
        <f t="shared" si="90"/>
        <v>1.6617556331E-2</v>
      </c>
      <c r="D121" s="179">
        <f t="shared" si="90"/>
        <v>1.7034924209000001E-2</v>
      </c>
      <c r="E121" s="179">
        <f t="shared" si="90"/>
        <v>1.8577255334000002E-2</v>
      </c>
      <c r="F121" s="179">
        <f t="shared" si="90"/>
        <v>1.8506252995E-2</v>
      </c>
      <c r="G121" s="179">
        <f t="shared" si="90"/>
        <v>1.5818256249999999E-3</v>
      </c>
      <c r="H121" s="179">
        <f t="shared" si="90"/>
        <v>6.5042930709999997E-3</v>
      </c>
      <c r="I121" s="179">
        <f t="shared" si="90"/>
        <v>1.4760688927999999E-2</v>
      </c>
      <c r="J121" s="179">
        <f t="shared" si="90"/>
        <v>1.7895206968999999E-2</v>
      </c>
      <c r="K121" s="179">
        <f t="shared" si="90"/>
        <v>1.9707144887999999E-2</v>
      </c>
    </row>
    <row r="122" spans="2:12" x14ac:dyDescent="0.2">
      <c r="B122" s="179">
        <f t="shared" si="90"/>
        <v>2.0858101145000002E-2</v>
      </c>
      <c r="C122" s="179">
        <f t="shared" si="90"/>
        <v>1.9400082283000001E-2</v>
      </c>
      <c r="D122" s="179">
        <f t="shared" si="90"/>
        <v>2.0349773177999998E-2</v>
      </c>
      <c r="E122" s="179">
        <f t="shared" si="90"/>
        <v>2.2083059012999999E-2</v>
      </c>
      <c r="F122" s="179">
        <f t="shared" si="90"/>
        <v>2.1703978564000002E-2</v>
      </c>
      <c r="G122" s="179">
        <f t="shared" si="90"/>
        <v>2.587917203E-3</v>
      </c>
      <c r="H122" s="179">
        <f t="shared" si="90"/>
        <v>9.323274149000001E-3</v>
      </c>
      <c r="I122" s="179">
        <f t="shared" si="90"/>
        <v>1.7981260573000001E-2</v>
      </c>
      <c r="J122" s="179">
        <f t="shared" si="90"/>
        <v>2.0374546359999999E-2</v>
      </c>
      <c r="K122" s="179">
        <f t="shared" si="90"/>
        <v>2.2607876701E-2</v>
      </c>
    </row>
    <row r="123" spans="2:12" x14ac:dyDescent="0.2">
      <c r="B123" s="179">
        <f t="shared" si="90"/>
        <v>1.9305929410000002E-2</v>
      </c>
      <c r="C123" s="179">
        <f t="shared" si="90"/>
        <v>1.8275346705999999E-2</v>
      </c>
      <c r="D123" s="179">
        <f t="shared" si="90"/>
        <v>1.8434532190999997E-2</v>
      </c>
      <c r="E123" s="179">
        <f t="shared" si="90"/>
        <v>2.0066775341000001E-2</v>
      </c>
      <c r="F123" s="179">
        <f t="shared" si="90"/>
        <v>1.9986158931000003E-2</v>
      </c>
      <c r="G123" s="179">
        <f t="shared" si="90"/>
        <v>3.5426899210000001E-3</v>
      </c>
      <c r="H123" s="179">
        <f t="shared" si="90"/>
        <v>9.0966739969999995E-3</v>
      </c>
      <c r="I123" s="179">
        <f t="shared" si="90"/>
        <v>1.6947542389999997E-2</v>
      </c>
      <c r="J123" s="179">
        <f t="shared" si="90"/>
        <v>1.9733817864000001E-2</v>
      </c>
      <c r="K123" s="179">
        <f t="shared" si="90"/>
        <v>2.1332420741000002E-2</v>
      </c>
    </row>
    <row r="124" spans="2:12" x14ac:dyDescent="0.2">
      <c r="B124" s="179">
        <f t="shared" si="90"/>
        <v>1.8197852322E-2</v>
      </c>
      <c r="C124" s="179">
        <f t="shared" si="90"/>
        <v>1.7338775162000001E-2</v>
      </c>
      <c r="D124" s="179">
        <f t="shared" si="90"/>
        <v>1.8141376686000001E-2</v>
      </c>
      <c r="E124" s="179">
        <f t="shared" si="90"/>
        <v>1.9370186437E-2</v>
      </c>
      <c r="F124" s="179">
        <f t="shared" si="90"/>
        <v>1.9325181611000001E-2</v>
      </c>
      <c r="G124" s="179">
        <f t="shared" si="90"/>
        <v>4.6302187819999997E-3</v>
      </c>
      <c r="H124" s="179">
        <f t="shared" si="90"/>
        <v>9.5473285979999992E-3</v>
      </c>
      <c r="I124" s="179">
        <f t="shared" si="90"/>
        <v>1.6380575325999999E-2</v>
      </c>
      <c r="J124" s="179">
        <f t="shared" si="90"/>
        <v>1.9016474267E-2</v>
      </c>
      <c r="K124" s="179">
        <f t="shared" si="90"/>
        <v>2.0919985889999999E-2</v>
      </c>
    </row>
    <row r="125" spans="2:12" x14ac:dyDescent="0.2">
      <c r="B125" s="179">
        <f t="shared" si="90"/>
        <v>1.8639108474E-2</v>
      </c>
      <c r="C125" s="179">
        <f t="shared" si="90"/>
        <v>1.7695812634999999E-2</v>
      </c>
      <c r="D125" s="179">
        <f t="shared" si="90"/>
        <v>1.8728394685999999E-2</v>
      </c>
      <c r="E125" s="179">
        <f t="shared" si="90"/>
        <v>1.9472541568000001E-2</v>
      </c>
      <c r="F125" s="179">
        <f t="shared" si="90"/>
        <v>1.9736490910000001E-2</v>
      </c>
      <c r="G125" s="179">
        <f t="shared" si="90"/>
        <v>6.0821451100000002E-3</v>
      </c>
      <c r="H125" s="179">
        <f t="shared" si="90"/>
        <v>1.1015257886E-2</v>
      </c>
      <c r="I125" s="179">
        <f t="shared" si="90"/>
        <v>1.7165066662E-2</v>
      </c>
      <c r="J125" s="179">
        <f t="shared" si="90"/>
        <v>1.9621662572000001E-2</v>
      </c>
      <c r="K125" s="179">
        <f t="shared" si="90"/>
        <v>2.1932671338999999E-2</v>
      </c>
    </row>
    <row r="126" spans="2:12" x14ac:dyDescent="0.2">
      <c r="B126" s="179">
        <f t="shared" si="90"/>
        <v>1.6931620923999999E-2</v>
      </c>
      <c r="C126" s="179">
        <f t="shared" si="90"/>
        <v>1.6617317085999998E-2</v>
      </c>
      <c r="D126" s="179">
        <f t="shared" si="90"/>
        <v>1.7761376574999998E-2</v>
      </c>
      <c r="E126" s="179">
        <f t="shared" si="90"/>
        <v>1.9188111161000002E-2</v>
      </c>
      <c r="F126" s="179">
        <f t="shared" si="90"/>
        <v>1.9005343381999999E-2</v>
      </c>
      <c r="G126" s="179">
        <f t="shared" si="90"/>
        <v>6.4991247130000004E-3</v>
      </c>
      <c r="H126" s="179">
        <f t="shared" si="90"/>
        <v>1.2481540576999999E-2</v>
      </c>
      <c r="I126" s="179">
        <f t="shared" si="90"/>
        <v>1.7246020373E-2</v>
      </c>
      <c r="J126" s="179">
        <f t="shared" si="90"/>
        <v>1.9046381458E-2</v>
      </c>
      <c r="K126" s="179">
        <f t="shared" si="90"/>
        <v>2.1460152709000001E-2</v>
      </c>
    </row>
    <row r="127" spans="2:12" x14ac:dyDescent="0.2">
      <c r="B127" s="179">
        <f t="shared" si="90"/>
        <v>1.9559091197999999E-2</v>
      </c>
      <c r="C127" s="179">
        <f t="shared" si="90"/>
        <v>1.868198141E-2</v>
      </c>
      <c r="D127" s="179">
        <f t="shared" si="90"/>
        <v>2.0352939721999998E-2</v>
      </c>
      <c r="E127" s="179">
        <f t="shared" si="90"/>
        <v>2.1796116334999997E-2</v>
      </c>
      <c r="F127" s="179">
        <f t="shared" si="90"/>
        <v>2.1477369569999998E-2</v>
      </c>
      <c r="G127" s="179">
        <f t="shared" si="90"/>
        <v>8.751966622E-3</v>
      </c>
      <c r="H127" s="179">
        <f t="shared" si="90"/>
        <v>1.5506162769000001E-2</v>
      </c>
      <c r="I127" s="179">
        <f t="shared" si="90"/>
        <v>1.871123593E-2</v>
      </c>
      <c r="J127" s="179">
        <f t="shared" si="90"/>
        <v>2.0887185636999997E-2</v>
      </c>
      <c r="K127" s="179">
        <f t="shared" si="90"/>
        <v>2.3378508656999999E-2</v>
      </c>
    </row>
    <row r="128" spans="2:12" x14ac:dyDescent="0.2">
      <c r="B128" s="179">
        <f t="shared" si="90"/>
        <v>0.22336747479500002</v>
      </c>
      <c r="C128" s="179">
        <f t="shared" si="90"/>
        <v>0.21257789268800001</v>
      </c>
      <c r="D128" s="179">
        <f t="shared" si="90"/>
        <v>0.21874854329500001</v>
      </c>
      <c r="E128" s="179">
        <f t="shared" si="90"/>
        <v>0.23652513131099998</v>
      </c>
      <c r="F128" s="179">
        <f t="shared" si="90"/>
        <v>0.23866504335000002</v>
      </c>
      <c r="G128" s="179">
        <f t="shared" si="90"/>
        <v>9.0076682727999985E-2</v>
      </c>
      <c r="H128" s="179">
        <f t="shared" si="90"/>
        <v>0.10364236974400001</v>
      </c>
      <c r="I128" s="179">
        <f t="shared" si="90"/>
        <v>0.190450274202</v>
      </c>
      <c r="J128" s="179">
        <f t="shared" si="90"/>
        <v>0.22660762537100002</v>
      </c>
      <c r="K128" s="179">
        <f t="shared" si="90"/>
        <v>0.25105928465800004</v>
      </c>
      <c r="L128" s="179">
        <f t="shared" si="90"/>
        <v>0.25530000000000003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0DA5-A3EB-41A3-93DA-F8281C1BCDD0}">
  <dimension ref="A1:V83"/>
  <sheetViews>
    <sheetView zoomScaleNormal="100" workbookViewId="0">
      <pane xSplit="1" ySplit="2" topLeftCell="B3" activePane="bottomRight" state="frozen"/>
      <selection activeCell="B1" sqref="B1:D1048576"/>
      <selection pane="topRight" activeCell="B1" sqref="B1:D1048576"/>
      <selection pane="bottomLeft" activeCell="B1" sqref="B1:D1048576"/>
      <selection pane="bottomRight" activeCell="B1" sqref="B1:D1048576"/>
    </sheetView>
  </sheetViews>
  <sheetFormatPr defaultColWidth="8.85546875" defaultRowHeight="15" x14ac:dyDescent="0.25"/>
  <cols>
    <col min="1" max="1" width="57.85546875" style="5" customWidth="1"/>
    <col min="2" max="4" width="9.5703125" style="58" hidden="1" customWidth="1"/>
    <col min="5" max="9" width="9.5703125" style="58" bestFit="1" customWidth="1"/>
    <col min="10" max="10" width="11" style="72" bestFit="1" customWidth="1"/>
    <col min="11" max="12" width="9.5703125" style="72" bestFit="1" customWidth="1"/>
    <col min="13" max="22" width="9.5703125" style="72" customWidth="1"/>
    <col min="23" max="16384" width="8.85546875" style="5"/>
  </cols>
  <sheetData>
    <row r="1" spans="1:22" ht="16.5" customHeight="1" thickBot="1" x14ac:dyDescent="0.3">
      <c r="A1" s="29" t="s">
        <v>137</v>
      </c>
      <c r="B1" s="79"/>
      <c r="C1" s="79"/>
      <c r="D1" s="79"/>
      <c r="E1" s="79"/>
      <c r="F1" s="79"/>
      <c r="G1" s="79"/>
      <c r="H1" s="79"/>
      <c r="I1" s="79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2" ht="15.75" thickTop="1" x14ac:dyDescent="0.25">
      <c r="A2" s="180" t="s">
        <v>71</v>
      </c>
      <c r="B2" s="81">
        <v>2015</v>
      </c>
      <c r="C2" s="81">
        <v>2016</v>
      </c>
      <c r="D2" s="81">
        <v>2017</v>
      </c>
      <c r="E2" s="81">
        <v>2018</v>
      </c>
      <c r="F2" s="81">
        <v>2019</v>
      </c>
      <c r="G2" s="81">
        <v>2020</v>
      </c>
      <c r="H2" s="81">
        <v>2021</v>
      </c>
      <c r="I2" s="81">
        <v>2022</v>
      </c>
      <c r="J2" s="81">
        <v>2023</v>
      </c>
      <c r="K2" s="81">
        <v>2024</v>
      </c>
      <c r="L2" s="81">
        <v>2025</v>
      </c>
      <c r="M2" s="81">
        <v>2026</v>
      </c>
      <c r="N2" s="81">
        <v>2027</v>
      </c>
      <c r="O2" s="81">
        <v>2028</v>
      </c>
      <c r="P2" s="81">
        <v>2029</v>
      </c>
      <c r="Q2" s="81">
        <v>2030</v>
      </c>
      <c r="R2" s="81">
        <v>2031</v>
      </c>
      <c r="S2" s="81">
        <v>2032</v>
      </c>
      <c r="T2" s="81">
        <v>2033</v>
      </c>
      <c r="U2" s="81">
        <v>2034</v>
      </c>
      <c r="V2" s="81">
        <v>2035</v>
      </c>
    </row>
    <row r="3" spans="1:22" s="35" customFormat="1" x14ac:dyDescent="0.25">
      <c r="A3" s="35" t="s">
        <v>72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</row>
    <row r="4" spans="1:22" s="35" customFormat="1" x14ac:dyDescent="0.25">
      <c r="A4" s="35" t="s">
        <v>73</v>
      </c>
      <c r="B4" s="36">
        <f>B32</f>
        <v>42038.966800000002</v>
      </c>
      <c r="C4" s="36">
        <f t="shared" ref="C4:K4" si="0">C32</f>
        <v>38564.335949999993</v>
      </c>
      <c r="D4" s="36">
        <f t="shared" si="0"/>
        <v>34531.95465</v>
      </c>
      <c r="E4" s="36">
        <f t="shared" si="0"/>
        <v>35663.780649999993</v>
      </c>
      <c r="F4" s="36">
        <f t="shared" si="0"/>
        <v>34848.729250000004</v>
      </c>
      <c r="G4" s="36">
        <f t="shared" si="0"/>
        <v>35897.079299999998</v>
      </c>
      <c r="H4" s="36">
        <f t="shared" si="0"/>
        <v>36425.035550000001</v>
      </c>
      <c r="I4" s="36">
        <f t="shared" si="0"/>
        <v>38700.017199999995</v>
      </c>
      <c r="J4" s="36">
        <f t="shared" si="0"/>
        <v>40252.455499999996</v>
      </c>
      <c r="K4" s="36">
        <f t="shared" si="0"/>
        <v>41580.520150000004</v>
      </c>
      <c r="L4" s="181">
        <f>K4*1.01</f>
        <v>41996.325351500003</v>
      </c>
      <c r="M4" s="181">
        <f t="shared" ref="M4:P4" si="1">L4*1.01</f>
        <v>42416.288605015005</v>
      </c>
      <c r="N4" s="181">
        <f t="shared" si="1"/>
        <v>42840.451491065156</v>
      </c>
      <c r="O4" s="181">
        <f t="shared" si="1"/>
        <v>43268.856005975809</v>
      </c>
      <c r="P4" s="181">
        <f t="shared" si="1"/>
        <v>43701.544566035569</v>
      </c>
      <c r="Q4" s="181">
        <f>P4*1.015</f>
        <v>44357.067734526099</v>
      </c>
      <c r="R4" s="181">
        <f>Q4*1.015</f>
        <v>45022.423750543989</v>
      </c>
      <c r="S4" s="181">
        <f>R4*1.025</f>
        <v>46147.984344307588</v>
      </c>
      <c r="T4" s="181">
        <f>S4*1.02</f>
        <v>47070.944031193743</v>
      </c>
      <c r="U4" s="181">
        <f>T4*1.03</f>
        <v>48483.072352129559</v>
      </c>
      <c r="V4" s="181">
        <f>U4</f>
        <v>48483.072352129559</v>
      </c>
    </row>
    <row r="5" spans="1:22" s="35" customFormat="1" x14ac:dyDescent="0.25">
      <c r="A5" s="51" t="s">
        <v>74</v>
      </c>
      <c r="B5" s="82">
        <f>B48</f>
        <v>5899.0841499999997</v>
      </c>
      <c r="C5" s="82">
        <f t="shared" ref="C5:K5" si="2">C48</f>
        <v>6730.5745499999994</v>
      </c>
      <c r="D5" s="82">
        <f t="shared" si="2"/>
        <v>11011.944649999999</v>
      </c>
      <c r="E5" s="82">
        <f t="shared" si="2"/>
        <v>9902.4634499999975</v>
      </c>
      <c r="F5" s="82">
        <f t="shared" si="2"/>
        <v>11056.60025</v>
      </c>
      <c r="G5" s="82">
        <f t="shared" si="2"/>
        <v>10195.373449999999</v>
      </c>
      <c r="H5" s="82">
        <f t="shared" si="2"/>
        <v>12271.1559</v>
      </c>
      <c r="I5" s="82">
        <f t="shared" si="2"/>
        <v>13542.075049999998</v>
      </c>
      <c r="J5" s="82">
        <f t="shared" si="2"/>
        <v>12321.5218</v>
      </c>
      <c r="K5" s="82">
        <f t="shared" si="2"/>
        <v>12171.318299999999</v>
      </c>
      <c r="L5" s="181">
        <f>AVERAGE(B5:K5)</f>
        <v>10510.211154999999</v>
      </c>
      <c r="M5" s="181">
        <f t="shared" ref="M5:V5" si="3">AVERAGE(C5:L5)</f>
        <v>10971.323855499999</v>
      </c>
      <c r="N5" s="181">
        <f t="shared" si="3"/>
        <v>11395.398786049998</v>
      </c>
      <c r="O5" s="181">
        <f t="shared" si="3"/>
        <v>11433.744199654999</v>
      </c>
      <c r="P5" s="181">
        <f t="shared" si="3"/>
        <v>11586.8722746205</v>
      </c>
      <c r="Q5" s="181">
        <f t="shared" si="3"/>
        <v>11639.899477082548</v>
      </c>
      <c r="R5" s="181">
        <f t="shared" si="3"/>
        <v>11784.352079790806</v>
      </c>
      <c r="S5" s="181">
        <f t="shared" si="3"/>
        <v>11735.671697769885</v>
      </c>
      <c r="T5" s="181">
        <f t="shared" si="3"/>
        <v>11555.031362546873</v>
      </c>
      <c r="U5" s="181">
        <f t="shared" si="3"/>
        <v>11478.382318801559</v>
      </c>
      <c r="V5" s="181">
        <f t="shared" si="3"/>
        <v>11409.088720681717</v>
      </c>
    </row>
    <row r="6" spans="1:22" s="183" customFormat="1" x14ac:dyDescent="0.25">
      <c r="A6" s="182" t="s">
        <v>138</v>
      </c>
      <c r="B6" s="44">
        <f t="shared" ref="B6:J6" si="4">B5+B4+B3</f>
        <v>47938.050950000004</v>
      </c>
      <c r="C6" s="44">
        <f t="shared" si="4"/>
        <v>45294.910499999991</v>
      </c>
      <c r="D6" s="44">
        <f t="shared" si="4"/>
        <v>45543.899299999997</v>
      </c>
      <c r="E6" s="44">
        <f t="shared" si="4"/>
        <v>45566.244099999989</v>
      </c>
      <c r="F6" s="44">
        <f t="shared" si="4"/>
        <v>45905.329500000007</v>
      </c>
      <c r="G6" s="44">
        <f t="shared" si="4"/>
        <v>46092.452749999997</v>
      </c>
      <c r="H6" s="44">
        <f t="shared" si="4"/>
        <v>48696.191449999998</v>
      </c>
      <c r="I6" s="44">
        <f t="shared" si="4"/>
        <v>52242.092249999994</v>
      </c>
      <c r="J6" s="44">
        <f t="shared" si="4"/>
        <v>52573.977299999999</v>
      </c>
      <c r="K6" s="44">
        <f>K5+K4+K3</f>
        <v>53751.838450000003</v>
      </c>
      <c r="L6" s="44">
        <f t="shared" ref="L6:V6" si="5">L5+L4+L3</f>
        <v>52506.536506500001</v>
      </c>
      <c r="M6" s="44">
        <f t="shared" si="5"/>
        <v>53387.612460515003</v>
      </c>
      <c r="N6" s="44">
        <f t="shared" si="5"/>
        <v>54235.850277115154</v>
      </c>
      <c r="O6" s="44">
        <f t="shared" si="5"/>
        <v>54702.600205630806</v>
      </c>
      <c r="P6" s="44">
        <f t="shared" si="5"/>
        <v>55288.416840656071</v>
      </c>
      <c r="Q6" s="44">
        <f t="shared" si="5"/>
        <v>55996.967211608644</v>
      </c>
      <c r="R6" s="44">
        <f t="shared" si="5"/>
        <v>56806.775830334795</v>
      </c>
      <c r="S6" s="44">
        <f t="shared" si="5"/>
        <v>57883.656042077477</v>
      </c>
      <c r="T6" s="44">
        <f t="shared" si="5"/>
        <v>58625.97539374062</v>
      </c>
      <c r="U6" s="44">
        <f t="shared" si="5"/>
        <v>59961.454670931118</v>
      </c>
      <c r="V6" s="44">
        <f t="shared" si="5"/>
        <v>59892.161072811272</v>
      </c>
    </row>
    <row r="7" spans="1:22" s="35" customFormat="1" x14ac:dyDescent="0.25">
      <c r="A7" s="42" t="s">
        <v>139</v>
      </c>
      <c r="B7" s="43">
        <f t="shared" ref="B7:J7" si="6">B80</f>
        <v>48629.24035</v>
      </c>
      <c r="C7" s="43">
        <f t="shared" si="6"/>
        <v>46136.784500000002</v>
      </c>
      <c r="D7" s="43">
        <f t="shared" si="6"/>
        <v>46556.447350000002</v>
      </c>
      <c r="E7" s="43">
        <f t="shared" si="6"/>
        <v>47285.0461</v>
      </c>
      <c r="F7" s="43">
        <f t="shared" si="6"/>
        <v>48703.680800000002</v>
      </c>
      <c r="G7" s="43">
        <f t="shared" si="6"/>
        <v>48851.246750000006</v>
      </c>
      <c r="H7" s="43">
        <f t="shared" si="6"/>
        <v>52794.831099999996</v>
      </c>
      <c r="I7" s="43">
        <f t="shared" si="6"/>
        <v>53742.900699999998</v>
      </c>
      <c r="J7" s="43">
        <f t="shared" si="6"/>
        <v>55690.640849999996</v>
      </c>
      <c r="K7" s="43">
        <f>K80</f>
        <v>57172.38465</v>
      </c>
      <c r="L7" s="44">
        <f>K7*(1+(L14/100))</f>
        <v>58430.1771123</v>
      </c>
      <c r="M7" s="44">
        <f t="shared" ref="M7:P7" si="7">L7*(1+(M14/100))</f>
        <v>59832.501362995201</v>
      </c>
      <c r="N7" s="44">
        <f t="shared" si="7"/>
        <v>60909.486387529112</v>
      </c>
      <c r="O7" s="44">
        <f t="shared" si="7"/>
        <v>62127.676115279697</v>
      </c>
      <c r="P7" s="44">
        <f t="shared" si="7"/>
        <v>63370.229637585289</v>
      </c>
      <c r="Q7" s="44">
        <f>P7*1.025</f>
        <v>64954.485378524914</v>
      </c>
      <c r="R7" s="44">
        <f t="shared" ref="R7:U7" si="8">Q7*1.025</f>
        <v>66578.347512988024</v>
      </c>
      <c r="S7" s="44">
        <f t="shared" si="8"/>
        <v>68242.806200812716</v>
      </c>
      <c r="T7" s="44">
        <f t="shared" si="8"/>
        <v>69948.876355833025</v>
      </c>
      <c r="U7" s="44">
        <f t="shared" si="8"/>
        <v>71697.598264728847</v>
      </c>
      <c r="V7" s="44">
        <f>U7*1.05</f>
        <v>75282.478177965299</v>
      </c>
    </row>
    <row r="8" spans="1:22" s="35" customFormat="1" x14ac:dyDescent="0.25">
      <c r="A8" s="35" t="s">
        <v>77</v>
      </c>
      <c r="B8" s="36">
        <f t="shared" ref="B8:J8" si="9">B64</f>
        <v>69.092249999999993</v>
      </c>
      <c r="C8" s="36">
        <f t="shared" si="9"/>
        <v>404.95869999999996</v>
      </c>
      <c r="D8" s="36">
        <f t="shared" si="9"/>
        <v>425.82279999999997</v>
      </c>
      <c r="E8" s="36">
        <f t="shared" si="9"/>
        <v>803.41489999999988</v>
      </c>
      <c r="F8" s="36">
        <f t="shared" si="9"/>
        <v>38.085099999999997</v>
      </c>
      <c r="G8" s="36">
        <f t="shared" si="9"/>
        <v>268.25404999999995</v>
      </c>
      <c r="H8" s="36">
        <f t="shared" si="9"/>
        <v>31.216249999999999</v>
      </c>
      <c r="I8" s="36">
        <f t="shared" si="9"/>
        <v>78.463499999999982</v>
      </c>
      <c r="J8" s="36">
        <f t="shared" si="9"/>
        <v>262.35334999999998</v>
      </c>
      <c r="K8" s="36">
        <f>K64</f>
        <v>873.87140000000011</v>
      </c>
      <c r="L8" s="181">
        <f>AVERAGE(B8:K8)+300</f>
        <v>625.55322999999999</v>
      </c>
      <c r="M8" s="181">
        <f t="shared" ref="M8:V8" si="10">AVERAGE(C8:L8)</f>
        <v>381.19932799999998</v>
      </c>
      <c r="N8" s="181">
        <f t="shared" si="10"/>
        <v>378.82339080000003</v>
      </c>
      <c r="O8" s="181">
        <f t="shared" si="10"/>
        <v>374.12344988000001</v>
      </c>
      <c r="P8" s="181">
        <f t="shared" si="10"/>
        <v>331.19430486800002</v>
      </c>
      <c r="Q8" s="181">
        <f t="shared" si="10"/>
        <v>360.50522535480002</v>
      </c>
      <c r="R8" s="181">
        <f t="shared" si="10"/>
        <v>369.73034289028004</v>
      </c>
      <c r="S8" s="181">
        <f t="shared" si="10"/>
        <v>403.58175217930807</v>
      </c>
      <c r="T8" s="181">
        <f t="shared" si="10"/>
        <v>436.09357739723885</v>
      </c>
      <c r="U8" s="181">
        <f t="shared" si="10"/>
        <v>453.46760013696269</v>
      </c>
      <c r="V8" s="181">
        <f t="shared" si="10"/>
        <v>411.42722015065891</v>
      </c>
    </row>
    <row r="9" spans="1:22" s="35" customFormat="1" x14ac:dyDescent="0.25">
      <c r="A9" s="35" t="s">
        <v>140</v>
      </c>
      <c r="B9" s="37">
        <f>BD!B7+RD!B7</f>
        <v>3422.8992900000003</v>
      </c>
      <c r="C9" s="37">
        <f>BD!C7+RD!C7</f>
        <v>3289.8188700000001</v>
      </c>
      <c r="D9" s="37">
        <f>BD!D7+RD!D7</f>
        <v>3705.5083499999996</v>
      </c>
      <c r="E9" s="37">
        <f>BD!E7+RD!E7</f>
        <v>4636.0942800000003</v>
      </c>
      <c r="F9" s="37">
        <f>BD!F7+RD!F7</f>
        <v>5087.3389200000001</v>
      </c>
      <c r="G9" s="37">
        <f>BD!G7+RD!G7</f>
        <v>5562.0178791300004</v>
      </c>
      <c r="H9" s="37">
        <f>BD!H7+RD!H7</f>
        <v>5930.8249957500002</v>
      </c>
      <c r="I9" s="37">
        <f>BD!I7+RD!I7</f>
        <v>5388.8385605699996</v>
      </c>
      <c r="J9" s="37">
        <f>BD!J7+RD!J7</f>
        <v>6441.16501737</v>
      </c>
      <c r="K9" s="37">
        <f>BD!K7+RD!K7</f>
        <v>7883.2640065199994</v>
      </c>
      <c r="L9" s="37">
        <f>BD!L7+RD!L7</f>
        <v>8764.5265668449993</v>
      </c>
      <c r="M9" s="37">
        <f>BD!M7+RD!M7</f>
        <v>9690.1852180792321</v>
      </c>
      <c r="N9" s="37">
        <f>BD!N7+RD!N7</f>
        <v>10341.720253942305</v>
      </c>
      <c r="O9" s="37">
        <f>BD!O7+RD!O7</f>
        <v>11135.494939597549</v>
      </c>
      <c r="P9" s="37">
        <f>BD!P7+RD!P7</f>
        <v>12072.831334765353</v>
      </c>
      <c r="Q9" s="37">
        <f>BD!Q7+RD!Q7</f>
        <v>13007.542221919733</v>
      </c>
      <c r="R9" s="37">
        <f>BD!R7+RD!R7</f>
        <v>13316.076027467725</v>
      </c>
      <c r="S9" s="37">
        <f>BD!S7+RD!S7</f>
        <v>13651.357178154416</v>
      </c>
      <c r="T9" s="37">
        <f>BD!T7+RD!T7</f>
        <v>13994.544507608274</v>
      </c>
      <c r="U9" s="37">
        <f>BD!U7+RD!U7</f>
        <v>14364.869670298482</v>
      </c>
      <c r="V9" s="37">
        <f>BD!V7+RD!V7</f>
        <v>18876.73976271167</v>
      </c>
    </row>
    <row r="10" spans="1:22" s="183" customFormat="1" x14ac:dyDescent="0.25">
      <c r="A10" s="182" t="s">
        <v>141</v>
      </c>
      <c r="B10" s="44">
        <f>B7-B9+B8</f>
        <v>45275.43331</v>
      </c>
      <c r="C10" s="44">
        <f t="shared" ref="C10:V10" si="11">C7-C9+C8</f>
        <v>43251.924330000002</v>
      </c>
      <c r="D10" s="44">
        <f t="shared" si="11"/>
        <v>43276.761800000007</v>
      </c>
      <c r="E10" s="44">
        <f t="shared" si="11"/>
        <v>43452.366720000005</v>
      </c>
      <c r="F10" s="44">
        <f t="shared" si="11"/>
        <v>43654.426979999997</v>
      </c>
      <c r="G10" s="44">
        <f t="shared" si="11"/>
        <v>43557.48292087001</v>
      </c>
      <c r="H10" s="44">
        <f t="shared" si="11"/>
        <v>46895.222354249992</v>
      </c>
      <c r="I10" s="44">
        <f t="shared" si="11"/>
        <v>48432.525639429994</v>
      </c>
      <c r="J10" s="44">
        <f t="shared" si="11"/>
        <v>49511.82918262999</v>
      </c>
      <c r="K10" s="44">
        <f t="shared" si="11"/>
        <v>50162.992043480001</v>
      </c>
      <c r="L10" s="44">
        <f>L7-L9+L8</f>
        <v>50291.203775454997</v>
      </c>
      <c r="M10" s="44">
        <f>M7-M9+M8</f>
        <v>50523.515472915969</v>
      </c>
      <c r="N10" s="44">
        <f t="shared" si="11"/>
        <v>50946.5895243868</v>
      </c>
      <c r="O10" s="44">
        <f t="shared" si="11"/>
        <v>51366.304625562145</v>
      </c>
      <c r="P10" s="44">
        <f t="shared" si="11"/>
        <v>51628.592607687933</v>
      </c>
      <c r="Q10" s="44">
        <f t="shared" si="11"/>
        <v>52307.448381959977</v>
      </c>
      <c r="R10" s="44">
        <f t="shared" si="11"/>
        <v>53632.001828410583</v>
      </c>
      <c r="S10" s="44">
        <f t="shared" si="11"/>
        <v>54995.030774837607</v>
      </c>
      <c r="T10" s="44">
        <f t="shared" si="11"/>
        <v>56390.425425621987</v>
      </c>
      <c r="U10" s="44">
        <f t="shared" si="11"/>
        <v>57786.196194567332</v>
      </c>
      <c r="V10" s="44">
        <f t="shared" si="11"/>
        <v>56817.165635404286</v>
      </c>
    </row>
    <row r="11" spans="1:22" s="35" customFormat="1" x14ac:dyDescent="0.25">
      <c r="A11" s="88" t="s">
        <v>102</v>
      </c>
      <c r="B11" s="43">
        <f>B6-B10</f>
        <v>2662.617640000004</v>
      </c>
      <c r="C11" s="43">
        <f t="shared" ref="C11:V11" si="12">C6-C10</f>
        <v>2042.9861699999892</v>
      </c>
      <c r="D11" s="43">
        <f t="shared" si="12"/>
        <v>2267.1374999999898</v>
      </c>
      <c r="E11" s="43">
        <f t="shared" si="12"/>
        <v>2113.8773799999835</v>
      </c>
      <c r="F11" s="43">
        <f t="shared" si="12"/>
        <v>2250.9025200000106</v>
      </c>
      <c r="G11" s="43">
        <f t="shared" si="12"/>
        <v>2534.9698291299865</v>
      </c>
      <c r="H11" s="43">
        <f t="shared" si="12"/>
        <v>1800.9690957500061</v>
      </c>
      <c r="I11" s="43">
        <f t="shared" si="12"/>
        <v>3809.5666105700002</v>
      </c>
      <c r="J11" s="43">
        <f t="shared" si="12"/>
        <v>3062.1481173700085</v>
      </c>
      <c r="K11" s="43">
        <f t="shared" si="12"/>
        <v>3588.8464065200023</v>
      </c>
      <c r="L11" s="43">
        <f t="shared" si="12"/>
        <v>2215.332731045004</v>
      </c>
      <c r="M11" s="43">
        <f t="shared" si="12"/>
        <v>2864.096987599034</v>
      </c>
      <c r="N11" s="43">
        <f t="shared" si="12"/>
        <v>3289.2607527283544</v>
      </c>
      <c r="O11" s="43">
        <f t="shared" si="12"/>
        <v>3336.2955800686614</v>
      </c>
      <c r="P11" s="43">
        <f t="shared" si="12"/>
        <v>3659.8242329681379</v>
      </c>
      <c r="Q11" s="43">
        <f t="shared" si="12"/>
        <v>3689.5188296486667</v>
      </c>
      <c r="R11" s="43">
        <f t="shared" si="12"/>
        <v>3174.7740019242119</v>
      </c>
      <c r="S11" s="43">
        <f t="shared" si="12"/>
        <v>2888.6252672398696</v>
      </c>
      <c r="T11" s="43">
        <f t="shared" si="12"/>
        <v>2235.5499681186338</v>
      </c>
      <c r="U11" s="43">
        <f t="shared" si="12"/>
        <v>2175.258476363786</v>
      </c>
      <c r="V11" s="43">
        <f t="shared" si="12"/>
        <v>3074.9954374069857</v>
      </c>
    </row>
    <row r="12" spans="1:22" s="35" customFormat="1" x14ac:dyDescent="0.25">
      <c r="A12" s="45"/>
      <c r="B12" s="36"/>
      <c r="C12" s="36"/>
      <c r="D12" s="36"/>
      <c r="E12" s="36"/>
      <c r="F12" s="36"/>
      <c r="G12" s="36"/>
      <c r="H12" s="36"/>
      <c r="I12" s="36"/>
      <c r="J12" s="36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</row>
    <row r="13" spans="1:22" s="35" customFormat="1" x14ac:dyDescent="0.25">
      <c r="A13" s="51" t="s">
        <v>142</v>
      </c>
      <c r="B13" s="184">
        <f>B9/B7</f>
        <v>7.0387677565273754E-2</v>
      </c>
      <c r="C13" s="184">
        <f t="shared" ref="C13:V13" si="13">C9/C7</f>
        <v>7.1305768393980729E-2</v>
      </c>
      <c r="D13" s="184">
        <f t="shared" si="13"/>
        <v>7.9591733495962283E-2</v>
      </c>
      <c r="E13" s="184">
        <f t="shared" si="13"/>
        <v>9.804567537473545E-2</v>
      </c>
      <c r="F13" s="184">
        <f t="shared" si="13"/>
        <v>0.10445491668054789</v>
      </c>
      <c r="G13" s="184">
        <f t="shared" si="13"/>
        <v>0.11385621144111331</v>
      </c>
      <c r="H13" s="184">
        <f t="shared" si="13"/>
        <v>0.11233722832669504</v>
      </c>
      <c r="I13" s="184">
        <f t="shared" si="13"/>
        <v>0.10027070534676219</v>
      </c>
      <c r="J13" s="184">
        <f t="shared" si="13"/>
        <v>0.1156597395730992</v>
      </c>
      <c r="K13" s="184">
        <f t="shared" si="13"/>
        <v>0.13788587015881976</v>
      </c>
      <c r="L13" s="184">
        <f t="shared" si="13"/>
        <v>0.15</v>
      </c>
      <c r="M13" s="184">
        <f t="shared" si="13"/>
        <v>0.16195520824526904</v>
      </c>
      <c r="N13" s="184">
        <f t="shared" si="13"/>
        <v>0.16978833458132256</v>
      </c>
      <c r="O13" s="184">
        <f t="shared" si="13"/>
        <v>0.1792356585000108</v>
      </c>
      <c r="P13" s="184">
        <f t="shared" si="13"/>
        <v>0.19051266507648695</v>
      </c>
      <c r="Q13" s="184">
        <f t="shared" si="13"/>
        <v>0.20025625861120677</v>
      </c>
      <c r="R13" s="184">
        <f t="shared" si="13"/>
        <v>0.20000610596215296</v>
      </c>
      <c r="S13" s="184">
        <f t="shared" si="13"/>
        <v>0.20004097044285732</v>
      </c>
      <c r="T13" s="184">
        <f t="shared" si="13"/>
        <v>0.20006818174487045</v>
      </c>
      <c r="U13" s="184">
        <f t="shared" si="13"/>
        <v>0.2003535685708622</v>
      </c>
      <c r="V13" s="184">
        <f t="shared" si="13"/>
        <v>0.25074546188673119</v>
      </c>
    </row>
    <row r="14" spans="1:22" s="191" customFormat="1" x14ac:dyDescent="0.25">
      <c r="A14" s="185" t="s">
        <v>129</v>
      </c>
      <c r="B14" s="186"/>
      <c r="C14" s="187"/>
      <c r="D14" s="187"/>
      <c r="E14" s="187"/>
      <c r="F14" s="188">
        <v>1.2</v>
      </c>
      <c r="G14" s="188">
        <v>-3.9</v>
      </c>
      <c r="H14" s="188">
        <v>4.6000059999999996</v>
      </c>
      <c r="I14" s="188">
        <v>2.9999980000000002</v>
      </c>
      <c r="J14" s="188">
        <v>2.999994</v>
      </c>
      <c r="K14" s="188">
        <v>3</v>
      </c>
      <c r="L14" s="189">
        <v>2.1999999999999997</v>
      </c>
      <c r="M14" s="189">
        <v>2.4</v>
      </c>
      <c r="N14" s="189">
        <v>1.7999999999999998</v>
      </c>
      <c r="O14" s="189">
        <v>2</v>
      </c>
      <c r="P14" s="189">
        <v>2</v>
      </c>
      <c r="Q14" s="190"/>
      <c r="R14" s="190"/>
      <c r="S14" s="190"/>
      <c r="T14" s="190"/>
      <c r="U14" s="190"/>
      <c r="V14" s="190"/>
    </row>
    <row r="15" spans="1:22" s="35" customFormat="1" x14ac:dyDescent="0.25">
      <c r="A15" s="45" t="s">
        <v>143</v>
      </c>
      <c r="B15" s="36"/>
      <c r="C15" s="192">
        <f t="shared" ref="C15:V15" si="14">C4/B4-1</f>
        <v>-8.2652622423632138E-2</v>
      </c>
      <c r="D15" s="192">
        <f t="shared" si="14"/>
        <v>-0.10456244612193288</v>
      </c>
      <c r="E15" s="192">
        <f t="shared" si="14"/>
        <v>3.2776192702430595E-2</v>
      </c>
      <c r="F15" s="192">
        <f t="shared" si="14"/>
        <v>-2.2853757653985229E-2</v>
      </c>
      <c r="G15" s="192">
        <f t="shared" si="14"/>
        <v>3.0082877412237252E-2</v>
      </c>
      <c r="H15" s="192">
        <f t="shared" si="14"/>
        <v>1.4707498779712891E-2</v>
      </c>
      <c r="I15" s="192">
        <f t="shared" si="14"/>
        <v>6.2456538906521253E-2</v>
      </c>
      <c r="J15" s="192">
        <f t="shared" si="14"/>
        <v>4.011466692578125E-2</v>
      </c>
      <c r="K15" s="192">
        <f t="shared" si="14"/>
        <v>3.2993382229812296E-2</v>
      </c>
      <c r="L15" s="192">
        <f t="shared" si="14"/>
        <v>1.0000000000000009E-2</v>
      </c>
      <c r="M15" s="192">
        <f t="shared" si="14"/>
        <v>1.0000000000000009E-2</v>
      </c>
      <c r="N15" s="192">
        <f t="shared" si="14"/>
        <v>1.0000000000000009E-2</v>
      </c>
      <c r="O15" s="192">
        <f t="shared" si="14"/>
        <v>1.0000000000000009E-2</v>
      </c>
      <c r="P15" s="192">
        <f t="shared" si="14"/>
        <v>1.0000000000000009E-2</v>
      </c>
      <c r="Q15" s="192">
        <f t="shared" si="14"/>
        <v>1.4999999999999902E-2</v>
      </c>
      <c r="R15" s="192">
        <f t="shared" si="14"/>
        <v>1.4999999999999902E-2</v>
      </c>
      <c r="S15" s="192">
        <f t="shared" si="14"/>
        <v>2.4999999999999911E-2</v>
      </c>
      <c r="T15" s="192">
        <f t="shared" si="14"/>
        <v>2.0000000000000018E-2</v>
      </c>
      <c r="U15" s="192">
        <f t="shared" si="14"/>
        <v>3.0000000000000027E-2</v>
      </c>
      <c r="V15" s="192">
        <f t="shared" si="14"/>
        <v>0</v>
      </c>
    </row>
    <row r="16" spans="1:22" s="35" customFormat="1" x14ac:dyDescent="0.25">
      <c r="A16" s="45" t="s">
        <v>144</v>
      </c>
      <c r="B16" s="193"/>
      <c r="C16" s="192">
        <f t="shared" ref="C16:V16" si="15">C7/B7-1</f>
        <v>-5.1254262498468095E-2</v>
      </c>
      <c r="D16" s="192">
        <f t="shared" si="15"/>
        <v>9.0960576153720218E-3</v>
      </c>
      <c r="E16" s="192">
        <f>E7/D7-1</f>
        <v>1.56497927026642E-2</v>
      </c>
      <c r="F16" s="192">
        <f t="shared" si="15"/>
        <v>3.0001762015835265E-2</v>
      </c>
      <c r="G16" s="192">
        <f t="shared" si="15"/>
        <v>3.0298726415767252E-3</v>
      </c>
      <c r="H16" s="192">
        <f t="shared" si="15"/>
        <v>8.0726380847178536E-2</v>
      </c>
      <c r="I16" s="192">
        <f t="shared" si="15"/>
        <v>1.7957621612696206E-2</v>
      </c>
      <c r="J16" s="192">
        <f t="shared" si="15"/>
        <v>3.624181286515471E-2</v>
      </c>
      <c r="K16" s="192">
        <f t="shared" si="15"/>
        <v>2.6606693286058691E-2</v>
      </c>
      <c r="L16" s="192">
        <f t="shared" si="15"/>
        <v>2.200000000000002E-2</v>
      </c>
      <c r="M16" s="192">
        <f t="shared" si="15"/>
        <v>2.4000000000000021E-2</v>
      </c>
      <c r="N16" s="192">
        <f t="shared" si="15"/>
        <v>1.8000000000000016E-2</v>
      </c>
      <c r="O16" s="192">
        <f t="shared" si="15"/>
        <v>2.0000000000000018E-2</v>
      </c>
      <c r="P16" s="192">
        <f t="shared" si="15"/>
        <v>2.0000000000000018E-2</v>
      </c>
      <c r="Q16" s="192">
        <f t="shared" si="15"/>
        <v>2.4999999999999911E-2</v>
      </c>
      <c r="R16" s="192">
        <f t="shared" si="15"/>
        <v>2.4999999999999911E-2</v>
      </c>
      <c r="S16" s="192">
        <f t="shared" si="15"/>
        <v>2.4999999999999911E-2</v>
      </c>
      <c r="T16" s="192">
        <f t="shared" si="15"/>
        <v>2.4999999999999911E-2</v>
      </c>
      <c r="U16" s="192">
        <f t="shared" si="15"/>
        <v>2.4999999999999911E-2</v>
      </c>
      <c r="V16" s="192">
        <f t="shared" si="15"/>
        <v>5.0000000000000044E-2</v>
      </c>
    </row>
    <row r="17" spans="1:22" x14ac:dyDescent="0.25">
      <c r="A17" s="45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</row>
    <row r="18" spans="1:22" ht="15.75" thickBot="1" x14ac:dyDescent="0.3">
      <c r="A18" s="4" t="s">
        <v>145</v>
      </c>
      <c r="E18" s="195"/>
    </row>
    <row r="19" spans="1:22" s="4" customFormat="1" ht="15.75" thickBot="1" x14ac:dyDescent="0.3">
      <c r="A19" s="196" t="s">
        <v>71</v>
      </c>
      <c r="B19" s="67">
        <f t="shared" ref="B19:V19" si="16">B2</f>
        <v>2015</v>
      </c>
      <c r="C19" s="67">
        <f t="shared" si="16"/>
        <v>2016</v>
      </c>
      <c r="D19" s="67">
        <f t="shared" si="16"/>
        <v>2017</v>
      </c>
      <c r="E19" s="67">
        <f t="shared" si="16"/>
        <v>2018</v>
      </c>
      <c r="F19" s="67">
        <f t="shared" si="16"/>
        <v>2019</v>
      </c>
      <c r="G19" s="67">
        <f t="shared" si="16"/>
        <v>2020</v>
      </c>
      <c r="H19" s="67">
        <f t="shared" si="16"/>
        <v>2021</v>
      </c>
      <c r="I19" s="67">
        <f t="shared" si="16"/>
        <v>2022</v>
      </c>
      <c r="J19" s="67">
        <f t="shared" si="16"/>
        <v>2023</v>
      </c>
      <c r="K19" s="67">
        <f t="shared" si="16"/>
        <v>2024</v>
      </c>
      <c r="L19" s="67">
        <f t="shared" si="16"/>
        <v>2025</v>
      </c>
      <c r="M19" s="67">
        <f t="shared" si="16"/>
        <v>2026</v>
      </c>
      <c r="N19" s="67">
        <f t="shared" si="16"/>
        <v>2027</v>
      </c>
      <c r="O19" s="67">
        <f t="shared" si="16"/>
        <v>2028</v>
      </c>
      <c r="P19" s="67">
        <f t="shared" si="16"/>
        <v>2029</v>
      </c>
      <c r="Q19" s="67">
        <f t="shared" si="16"/>
        <v>2030</v>
      </c>
      <c r="R19" s="67">
        <f t="shared" si="16"/>
        <v>2031</v>
      </c>
      <c r="S19" s="67">
        <f t="shared" si="16"/>
        <v>2032</v>
      </c>
      <c r="T19" s="67">
        <f t="shared" si="16"/>
        <v>2033</v>
      </c>
      <c r="U19" s="67">
        <f t="shared" si="16"/>
        <v>2034</v>
      </c>
      <c r="V19" s="67">
        <f t="shared" si="16"/>
        <v>2035</v>
      </c>
    </row>
    <row r="20" spans="1:22" x14ac:dyDescent="0.25">
      <c r="A20" s="5" t="s">
        <v>83</v>
      </c>
      <c r="B20" s="197">
        <f>monthly_data!$G3*0.85/1000</f>
        <v>3281.1563999999998</v>
      </c>
      <c r="C20" s="198">
        <f>monthly_data!$G15*0.85/1000</f>
        <v>3689.0492999999997</v>
      </c>
      <c r="D20" s="198">
        <f>monthly_data!$G27*0.85/1000</f>
        <v>2817.5086000000001</v>
      </c>
      <c r="E20" s="198">
        <f>monthly_data!$G39*0.85/1000</f>
        <v>2500.6489999999999</v>
      </c>
      <c r="F20" s="198">
        <f>monthly_data!$G51*0.85/1000</f>
        <v>2704.8649</v>
      </c>
      <c r="G20" s="198">
        <f>monthly_data!$G63*0.85/1000</f>
        <v>2895.1917999999996</v>
      </c>
      <c r="H20" s="198">
        <f>monthly_data!$G75*0.85/1000</f>
        <v>2977.2728999999999</v>
      </c>
      <c r="I20" s="198">
        <f>monthly_data!$G87*0.85/1000</f>
        <v>3199.2112999999999</v>
      </c>
      <c r="J20" s="198">
        <f>monthly_data!$G99*0.85/1000</f>
        <v>3148.6558500000001</v>
      </c>
      <c r="K20" s="198">
        <f>monthly_data!$G111*0.85/1000</f>
        <v>3393.7711999999997</v>
      </c>
      <c r="L20" s="198">
        <f>monthly_data!$G123*0.85/1000</f>
        <v>3246.6021999999998</v>
      </c>
      <c r="M20" s="199">
        <f t="shared" ref="M20:M30" si="17">M$32*(SUM(H20:L20)/SUM(H$32:L$32))</f>
        <v>3403.7849056989685</v>
      </c>
      <c r="N20" s="199">
        <f t="shared" ref="N20:N30" si="18">N$32*(SUM(I20:M20)/SUM(I$32:M$32))</f>
        <v>3426.4787731612573</v>
      </c>
      <c r="O20" s="199">
        <f t="shared" ref="O20:V30" si="19">O$32*(SUM(J20:N20)/SUM(J$32:N$32))</f>
        <v>3439.2434276584872</v>
      </c>
      <c r="P20" s="199">
        <f t="shared" si="19"/>
        <v>3484.1083910915918</v>
      </c>
      <c r="Q20" s="199">
        <f t="shared" si="19"/>
        <v>3520.0616530293005</v>
      </c>
      <c r="R20" s="199">
        <f t="shared" si="19"/>
        <v>3590.764156546818</v>
      </c>
      <c r="S20" s="199">
        <f t="shared" si="19"/>
        <v>3676.1386711371401</v>
      </c>
      <c r="T20" s="199">
        <f t="shared" si="19"/>
        <v>3746.7382646065225</v>
      </c>
      <c r="U20" s="199">
        <f t="shared" si="19"/>
        <v>3860.1810794227877</v>
      </c>
      <c r="V20" s="199">
        <f t="shared" si="19"/>
        <v>3859.2099772784991</v>
      </c>
    </row>
    <row r="21" spans="1:22" x14ac:dyDescent="0.25">
      <c r="A21" s="5" t="s">
        <v>84</v>
      </c>
      <c r="B21" s="197">
        <f>monthly_data!$G4*0.85/1000</f>
        <v>2993.8912500000001</v>
      </c>
      <c r="C21" s="198">
        <f>monthly_data!$G16*0.85/1000</f>
        <v>3176.87925</v>
      </c>
      <c r="D21" s="198">
        <f>monthly_data!$G28*0.85/1000</f>
        <v>2627.2369499999995</v>
      </c>
      <c r="E21" s="198">
        <f>monthly_data!$G40*0.85/1000</f>
        <v>2360.9574499999999</v>
      </c>
      <c r="F21" s="198">
        <f>monthly_data!$G52*0.85/1000</f>
        <v>2620.3162499999999</v>
      </c>
      <c r="G21" s="198">
        <f>monthly_data!$G64*0.85/1000</f>
        <v>2722.6528499999999</v>
      </c>
      <c r="H21" s="198">
        <f>monthly_data!$G76*0.85/1000</f>
        <v>2788.2031499999998</v>
      </c>
      <c r="I21" s="198">
        <f>monthly_data!$G88*0.85/1000</f>
        <v>2951.1532499999998</v>
      </c>
      <c r="J21" s="198">
        <f>monthly_data!$G100*0.85/1000</f>
        <v>2791.4985999999999</v>
      </c>
      <c r="K21" s="198">
        <f>monthly_data!$G112*0.85/1000</f>
        <v>3209.6068</v>
      </c>
      <c r="L21" s="198">
        <f>monthly_data!$G124*0.85/1000</f>
        <v>3026.4079999999999</v>
      </c>
      <c r="M21" s="199">
        <f t="shared" si="17"/>
        <v>3148.2387764774294</v>
      </c>
      <c r="N21" s="199">
        <f t="shared" si="18"/>
        <v>3162.0265895464704</v>
      </c>
      <c r="O21" s="199">
        <f t="shared" si="19"/>
        <v>3174.0432665654507</v>
      </c>
      <c r="P21" s="199">
        <f t="shared" si="19"/>
        <v>3239.0122899475332</v>
      </c>
      <c r="Q21" s="199">
        <f t="shared" si="19"/>
        <v>3261.1356990811769</v>
      </c>
      <c r="R21" s="199">
        <f t="shared" si="19"/>
        <v>3322.7675496214952</v>
      </c>
      <c r="S21" s="199">
        <f t="shared" si="19"/>
        <v>3402.0869393526841</v>
      </c>
      <c r="T21" s="199">
        <f t="shared" si="19"/>
        <v>3469.3300308853777</v>
      </c>
      <c r="U21" s="199">
        <f t="shared" si="19"/>
        <v>3576.6356965621117</v>
      </c>
      <c r="V21" s="199">
        <f t="shared" si="19"/>
        <v>3573.4646814099942</v>
      </c>
    </row>
    <row r="22" spans="1:22" x14ac:dyDescent="0.25">
      <c r="A22" s="5" t="s">
        <v>85</v>
      </c>
      <c r="B22" s="197">
        <f>monthly_data!$G5*0.85/1000</f>
        <v>3458.1884499999996</v>
      </c>
      <c r="C22" s="198">
        <f>monthly_data!$G17*0.85/1000</f>
        <v>3329.4933500000002</v>
      </c>
      <c r="D22" s="198">
        <f>monthly_data!$G29*0.85/1000</f>
        <v>2984.1272999999997</v>
      </c>
      <c r="E22" s="198">
        <f>monthly_data!$G41*0.85/1000</f>
        <v>2808.0226000000002</v>
      </c>
      <c r="F22" s="198">
        <f>monthly_data!$G53*0.85/1000</f>
        <v>3032.68525</v>
      </c>
      <c r="G22" s="198">
        <f>monthly_data!$G65*0.85/1000</f>
        <v>2710.1603999999998</v>
      </c>
      <c r="H22" s="198">
        <f>monthly_data!$G77*0.85/1000</f>
        <v>3030.3868499999999</v>
      </c>
      <c r="I22" s="198">
        <f>monthly_data!$G89*0.85/1000</f>
        <v>3287.3494999999998</v>
      </c>
      <c r="J22" s="198">
        <f>monthly_data!$G101*0.85/1000</f>
        <v>3153.1396</v>
      </c>
      <c r="K22" s="198">
        <f>monthly_data!$G113*0.85/1000</f>
        <v>3335.5147499999998</v>
      </c>
      <c r="L22" s="199">
        <f t="shared" ref="L22:L30" si="20">L$32*(SUM(G22:K22)/SUM(G$32:K$32))</f>
        <v>3378.9000255178371</v>
      </c>
      <c r="M22" s="199">
        <f t="shared" si="17"/>
        <v>3450.6405596286741</v>
      </c>
      <c r="N22" s="199">
        <f t="shared" si="18"/>
        <v>3471.1113448175988</v>
      </c>
      <c r="O22" s="199">
        <f t="shared" si="19"/>
        <v>3474.4264708180945</v>
      </c>
      <c r="P22" s="199">
        <f t="shared" si="19"/>
        <v>3525.4631840960146</v>
      </c>
      <c r="Q22" s="199">
        <f t="shared" si="19"/>
        <v>3582.2466566489356</v>
      </c>
      <c r="R22" s="199">
        <f t="shared" si="19"/>
        <v>3638.6192620209536</v>
      </c>
      <c r="S22" s="199">
        <f t="shared" si="19"/>
        <v>3724.8173635561316</v>
      </c>
      <c r="T22" s="199">
        <f t="shared" si="19"/>
        <v>3796.5084116486173</v>
      </c>
      <c r="U22" s="199">
        <f t="shared" si="19"/>
        <v>3913.7082296785889</v>
      </c>
      <c r="V22" s="199">
        <f t="shared" si="19"/>
        <v>3914.183421297837</v>
      </c>
    </row>
    <row r="23" spans="1:22" x14ac:dyDescent="0.25">
      <c r="A23" s="5" t="s">
        <v>86</v>
      </c>
      <c r="B23" s="197">
        <f>monthly_data!$G6*0.85/1000</f>
        <v>3382.2451999999998</v>
      </c>
      <c r="C23" s="198">
        <f>monthly_data!$G18*0.85/1000</f>
        <v>3335.3915000000002</v>
      </c>
      <c r="D23" s="198">
        <f>monthly_data!$G30*0.85/1000</f>
        <v>2948.8531499999999</v>
      </c>
      <c r="E23" s="198">
        <f>monthly_data!$G42*0.85/1000</f>
        <v>2873.5831000000003</v>
      </c>
      <c r="F23" s="198">
        <f>monthly_data!$G54*0.85/1000</f>
        <v>2978.3430499999999</v>
      </c>
      <c r="G23" s="198">
        <f>monthly_data!$G66*0.85/1000</f>
        <v>2214.2202499999999</v>
      </c>
      <c r="H23" s="198">
        <f>monthly_data!$G78*0.85/1000</f>
        <v>2863.8131999999996</v>
      </c>
      <c r="I23" s="198">
        <f>monthly_data!$G90*0.85/1000</f>
        <v>3236.6656999999996</v>
      </c>
      <c r="J23" s="198">
        <f>monthly_data!$G102*0.85/1000</f>
        <v>3196.6145499999998</v>
      </c>
      <c r="K23" s="198">
        <f>monthly_data!$G114*0.85/1000</f>
        <v>3264.5669499999999</v>
      </c>
      <c r="L23" s="199">
        <f t="shared" si="20"/>
        <v>3217.6108713574577</v>
      </c>
      <c r="M23" s="199">
        <f t="shared" si="17"/>
        <v>3364.0788030137478</v>
      </c>
      <c r="N23" s="199">
        <f t="shared" si="18"/>
        <v>3402.9649165494375</v>
      </c>
      <c r="O23" s="199">
        <f t="shared" si="19"/>
        <v>3403.3477796053639</v>
      </c>
      <c r="P23" s="199">
        <f t="shared" si="19"/>
        <v>3431.0920458907299</v>
      </c>
      <c r="Q23" s="199">
        <f t="shared" si="19"/>
        <v>3482.5583028992646</v>
      </c>
      <c r="R23" s="199">
        <f t="shared" si="19"/>
        <v>3551.3437342623911</v>
      </c>
      <c r="S23" s="199">
        <f t="shared" si="19"/>
        <v>3636.273304519515</v>
      </c>
      <c r="T23" s="199">
        <f t="shared" si="19"/>
        <v>3703.2207864103552</v>
      </c>
      <c r="U23" s="199">
        <f t="shared" si="19"/>
        <v>3814.4782325486085</v>
      </c>
      <c r="V23" s="199">
        <f t="shared" si="19"/>
        <v>3815.9872524394705</v>
      </c>
    </row>
    <row r="24" spans="1:22" x14ac:dyDescent="0.25">
      <c r="A24" s="5" t="s">
        <v>87</v>
      </c>
      <c r="B24" s="197">
        <f>monthly_data!$G7*0.85/1000</f>
        <v>3763.54585</v>
      </c>
      <c r="C24" s="198">
        <f>monthly_data!$G19*0.85/1000</f>
        <v>3311.7674499999998</v>
      </c>
      <c r="D24" s="198">
        <f>monthly_data!$G31*0.85/1000</f>
        <v>2977.9121</v>
      </c>
      <c r="E24" s="198">
        <f>monthly_data!$G43*0.85/1000</f>
        <v>3275.5191999999997</v>
      </c>
      <c r="F24" s="198">
        <f>monthly_data!$G55*0.85/1000</f>
        <v>3018.3516999999997</v>
      </c>
      <c r="G24" s="198">
        <f>monthly_data!$G67*0.85/1000</f>
        <v>2880.8752500000001</v>
      </c>
      <c r="H24" s="198">
        <f>monthly_data!$G79*0.85/1000</f>
        <v>3018.6789499999995</v>
      </c>
      <c r="I24" s="198">
        <f>monthly_data!$G91*0.85/1000</f>
        <v>3268.3571000000002</v>
      </c>
      <c r="J24" s="198">
        <f>monthly_data!$G103*0.85/1000</f>
        <v>3449.1801499999997</v>
      </c>
      <c r="K24" s="198">
        <f>monthly_data!$G115*0.85/1000</f>
        <v>3357.44985</v>
      </c>
      <c r="L24" s="199">
        <f t="shared" si="20"/>
        <v>3478.6324395377878</v>
      </c>
      <c r="M24" s="199">
        <f t="shared" si="17"/>
        <v>3533.149098404132</v>
      </c>
      <c r="N24" s="199">
        <f t="shared" si="18"/>
        <v>3571.7032161800626</v>
      </c>
      <c r="O24" s="199">
        <f t="shared" si="19"/>
        <v>3598.7594737246559</v>
      </c>
      <c r="P24" s="199">
        <f t="shared" si="19"/>
        <v>3613.8750531233591</v>
      </c>
      <c r="Q24" s="199">
        <f t="shared" si="19"/>
        <v>3684.8608746041855</v>
      </c>
      <c r="R24" s="199">
        <f t="shared" si="19"/>
        <v>3742.2364878483568</v>
      </c>
      <c r="S24" s="199">
        <f t="shared" si="19"/>
        <v>3834.206418634903</v>
      </c>
      <c r="T24" s="199">
        <f t="shared" si="19"/>
        <v>3908.2877112939809</v>
      </c>
      <c r="U24" s="199">
        <f t="shared" si="19"/>
        <v>4024.2170159282682</v>
      </c>
      <c r="V24" s="199">
        <f t="shared" si="19"/>
        <v>4027.0417059828533</v>
      </c>
    </row>
    <row r="25" spans="1:22" x14ac:dyDescent="0.25">
      <c r="A25" s="5" t="s">
        <v>88</v>
      </c>
      <c r="B25" s="197">
        <f>monthly_data!$G8*0.85/1000</f>
        <v>3616.4133999999999</v>
      </c>
      <c r="C25" s="198">
        <f>monthly_data!$G20*0.85/1000</f>
        <v>3336.0153999999998</v>
      </c>
      <c r="D25" s="198">
        <f>monthly_data!$G32*0.85/1000</f>
        <v>2821.4432499999998</v>
      </c>
      <c r="E25" s="198">
        <f>monthly_data!$G44*0.85/1000</f>
        <v>3184.9117500000002</v>
      </c>
      <c r="F25" s="198">
        <f>monthly_data!$G56*0.85/1000</f>
        <v>2957.2494499999998</v>
      </c>
      <c r="G25" s="198">
        <f>monthly_data!$G68*0.85/1000</f>
        <v>3049.1140499999997</v>
      </c>
      <c r="H25" s="198">
        <f>monthly_data!$G80*0.85/1000</f>
        <v>2976.6183999999998</v>
      </c>
      <c r="I25" s="198">
        <f>monthly_data!$G92*0.85/1000</f>
        <v>3286.2521499999998</v>
      </c>
      <c r="J25" s="198">
        <f>monthly_data!$G104*0.85/1000</f>
        <v>3449.6357499999999</v>
      </c>
      <c r="K25" s="198">
        <f>monthly_data!$G116*0.85/1000</f>
        <v>3475.3440000000001</v>
      </c>
      <c r="L25" s="199">
        <f t="shared" si="20"/>
        <v>3535.7779511032713</v>
      </c>
      <c r="M25" s="199">
        <f t="shared" si="17"/>
        <v>3565.4120105749657</v>
      </c>
      <c r="N25" s="199">
        <f t="shared" si="18"/>
        <v>3618.8722486658612</v>
      </c>
      <c r="O25" s="199">
        <f t="shared" si="19"/>
        <v>3651.5148299412995</v>
      </c>
      <c r="P25" s="199">
        <f t="shared" si="19"/>
        <v>3677.1760349008368</v>
      </c>
      <c r="Q25" s="199">
        <f t="shared" si="19"/>
        <v>3737.1711771601867</v>
      </c>
      <c r="R25" s="199">
        <f t="shared" si="19"/>
        <v>3793.7475975005636</v>
      </c>
      <c r="S25" s="199">
        <f t="shared" si="19"/>
        <v>3890.4300211312525</v>
      </c>
      <c r="T25" s="199">
        <f t="shared" si="19"/>
        <v>3966.6988365146594</v>
      </c>
      <c r="U25" s="199">
        <f t="shared" si="19"/>
        <v>4084.5813688430067</v>
      </c>
      <c r="V25" s="199">
        <f t="shared" si="19"/>
        <v>4085.540870057725</v>
      </c>
    </row>
    <row r="26" spans="1:22" x14ac:dyDescent="0.25">
      <c r="A26" s="5" t="s">
        <v>89</v>
      </c>
      <c r="B26" s="197">
        <f>monthly_data!$G9*0.85/1000</f>
        <v>3629.1642499999998</v>
      </c>
      <c r="C26" s="198">
        <f>monthly_data!$G21*0.85/1000</f>
        <v>3149.65715</v>
      </c>
      <c r="D26" s="198">
        <f>monthly_data!$G33*0.85/1000</f>
        <v>2889.7815499999997</v>
      </c>
      <c r="E26" s="198">
        <f>monthly_data!$G45*0.85/1000</f>
        <v>3351.9911499999998</v>
      </c>
      <c r="F26" s="198">
        <f>monthly_data!$G57*0.85/1000</f>
        <v>2984.8327999999997</v>
      </c>
      <c r="G26" s="198">
        <f>monthly_data!$G69*0.85/1000</f>
        <v>3275.3560000000002</v>
      </c>
      <c r="H26" s="198">
        <f>monthly_data!$G81*0.85/1000</f>
        <v>3248.0998999999997</v>
      </c>
      <c r="I26" s="198">
        <f>monthly_data!$G93*0.85/1000</f>
        <v>3518.5868999999998</v>
      </c>
      <c r="J26" s="198">
        <f>monthly_data!$G105*0.85/1000</f>
        <v>3540.8492500000002</v>
      </c>
      <c r="K26" s="198">
        <f>monthly_data!$G117*0.85/1000</f>
        <v>3468.5074499999996</v>
      </c>
      <c r="L26" s="199">
        <f t="shared" si="20"/>
        <v>3713.1301817234912</v>
      </c>
      <c r="M26" s="199">
        <f t="shared" si="17"/>
        <v>3728.6232965465997</v>
      </c>
      <c r="N26" s="199">
        <f t="shared" si="18"/>
        <v>3756.2646400981207</v>
      </c>
      <c r="O26" s="199">
        <f t="shared" si="19"/>
        <v>3767.8855801527811</v>
      </c>
      <c r="P26" s="199">
        <f t="shared" si="19"/>
        <v>3798.2223790780113</v>
      </c>
      <c r="Q26" s="199">
        <f t="shared" si="19"/>
        <v>3885.2961669807346</v>
      </c>
      <c r="R26" s="199">
        <f t="shared" si="19"/>
        <v>3936.3800888618839</v>
      </c>
      <c r="S26" s="199">
        <f t="shared" si="19"/>
        <v>4030.5574258158763</v>
      </c>
      <c r="T26" s="199">
        <f t="shared" si="19"/>
        <v>4108.0826807890926</v>
      </c>
      <c r="U26" s="199">
        <f t="shared" si="19"/>
        <v>4233.1189304646214</v>
      </c>
      <c r="V26" s="199">
        <f t="shared" si="19"/>
        <v>4236.7728153803992</v>
      </c>
    </row>
    <row r="27" spans="1:22" x14ac:dyDescent="0.25">
      <c r="A27" s="5" t="s">
        <v>90</v>
      </c>
      <c r="B27" s="197">
        <f>monthly_data!$G10*0.85/1000</f>
        <v>3669.87925</v>
      </c>
      <c r="C27" s="198">
        <f>monthly_data!$G22*0.85/1000</f>
        <v>3283.9962500000001</v>
      </c>
      <c r="D27" s="198">
        <f>monthly_data!$G34*0.85/1000</f>
        <v>2862.5764499999996</v>
      </c>
      <c r="E27" s="198">
        <f>monthly_data!$G46*0.85/1000</f>
        <v>3115.42085</v>
      </c>
      <c r="F27" s="198">
        <f>monthly_data!$G58*0.85/1000</f>
        <v>3067.5930499999999</v>
      </c>
      <c r="G27" s="198">
        <f>monthly_data!$G70*0.85/1000</f>
        <v>3413.0874499999995</v>
      </c>
      <c r="H27" s="198">
        <f>monthly_data!$G82*0.85/1000</f>
        <v>3073.0219999999999</v>
      </c>
      <c r="I27" s="198">
        <f>monthly_data!$G94*0.85/1000</f>
        <v>3325.45415</v>
      </c>
      <c r="J27" s="198">
        <f>monthly_data!$G106*0.85/1000</f>
        <v>3651.8975</v>
      </c>
      <c r="K27" s="198">
        <f>monthly_data!$G118*0.85/1000</f>
        <v>3553.4377500000001</v>
      </c>
      <c r="L27" s="199">
        <f t="shared" si="20"/>
        <v>3705.6172849196796</v>
      </c>
      <c r="M27" s="199">
        <f t="shared" si="17"/>
        <v>3690.3023675697928</v>
      </c>
      <c r="N27" s="199">
        <f t="shared" si="18"/>
        <v>3747.2787122617183</v>
      </c>
      <c r="O27" s="199">
        <f t="shared" si="19"/>
        <v>3797.0973802452681</v>
      </c>
      <c r="P27" s="199">
        <f t="shared" si="19"/>
        <v>3810.4451434585599</v>
      </c>
      <c r="Q27" s="199">
        <f t="shared" si="19"/>
        <v>3882.524632412039</v>
      </c>
      <c r="R27" s="199">
        <f t="shared" si="19"/>
        <v>3934.5832540843726</v>
      </c>
      <c r="S27" s="199">
        <f t="shared" si="19"/>
        <v>4036.4272926978138</v>
      </c>
      <c r="T27" s="199">
        <f t="shared" si="19"/>
        <v>4117.1237863289007</v>
      </c>
      <c r="U27" s="199">
        <f t="shared" si="19"/>
        <v>4237.9533914235444</v>
      </c>
      <c r="V27" s="199">
        <f t="shared" si="19"/>
        <v>4239.9571062841405</v>
      </c>
    </row>
    <row r="28" spans="1:22" x14ac:dyDescent="0.25">
      <c r="A28" s="5" t="s">
        <v>91</v>
      </c>
      <c r="B28" s="197">
        <f>monthly_data!$G11*0.85/1000</f>
        <v>3800.33725</v>
      </c>
      <c r="C28" s="198">
        <f>monthly_data!$G23*0.85/1000</f>
        <v>3055.9446499999999</v>
      </c>
      <c r="D28" s="198">
        <f>monthly_data!$G35*0.85/1000</f>
        <v>2918.9306000000001</v>
      </c>
      <c r="E28" s="198">
        <f>monthly_data!$G47*0.85/1000</f>
        <v>2946.1561000000002</v>
      </c>
      <c r="F28" s="198">
        <f>monthly_data!$G59*0.85/1000</f>
        <v>2867.3764000000001</v>
      </c>
      <c r="G28" s="198">
        <f>monthly_data!$G71*0.85/1000</f>
        <v>3283.2431499999998</v>
      </c>
      <c r="H28" s="198">
        <f>monthly_data!$G83*0.85/1000</f>
        <v>2977.3715000000002</v>
      </c>
      <c r="I28" s="198">
        <f>monthly_data!$G95*0.85/1000</f>
        <v>3027.1338999999998</v>
      </c>
      <c r="J28" s="198">
        <f>monthly_data!$G107*0.85/1000</f>
        <v>3373.1884499999996</v>
      </c>
      <c r="K28" s="198">
        <f>monthly_data!$G119*0.85/1000</f>
        <v>3569.0191</v>
      </c>
      <c r="L28" s="199">
        <f t="shared" si="20"/>
        <v>3534.2518274208101</v>
      </c>
      <c r="M28" s="199">
        <f t="shared" si="17"/>
        <v>3513.6771088775299</v>
      </c>
      <c r="N28" s="199">
        <f t="shared" si="18"/>
        <v>3557.1757689971555</v>
      </c>
      <c r="O28" s="199">
        <f t="shared" si="19"/>
        <v>3631.2903686953141</v>
      </c>
      <c r="P28" s="199">
        <f t="shared" si="19"/>
        <v>3668.6239684868169</v>
      </c>
      <c r="Q28" s="199">
        <f t="shared" si="19"/>
        <v>3707.4096372921435</v>
      </c>
      <c r="R28" s="199">
        <f t="shared" si="19"/>
        <v>3757.9994630573146</v>
      </c>
      <c r="S28" s="199">
        <f t="shared" si="19"/>
        <v>3857.5896768269208</v>
      </c>
      <c r="T28" s="199">
        <f t="shared" si="19"/>
        <v>3939.804348165369</v>
      </c>
      <c r="U28" s="199">
        <f t="shared" si="19"/>
        <v>4055.9164551562803</v>
      </c>
      <c r="V28" s="199">
        <f t="shared" si="19"/>
        <v>4053.2492247784944</v>
      </c>
    </row>
    <row r="29" spans="1:22" x14ac:dyDescent="0.25">
      <c r="A29" s="5" t="s">
        <v>92</v>
      </c>
      <c r="B29" s="197">
        <f>monthly_data!$G12*0.85/1000</f>
        <v>3749.6704499999996</v>
      </c>
      <c r="C29" s="198">
        <f>monthly_data!$G24*0.85/1000</f>
        <v>3375.4434999999999</v>
      </c>
      <c r="D29" s="198">
        <f>monthly_data!$G36*0.85/1000</f>
        <v>2992.8449000000001</v>
      </c>
      <c r="E29" s="198">
        <f>monthly_data!$G48*0.85/1000</f>
        <v>3266.26865</v>
      </c>
      <c r="F29" s="198">
        <f>monthly_data!$G60*0.85/1000</f>
        <v>2802.0496499999999</v>
      </c>
      <c r="G29" s="198">
        <f>monthly_data!$G72*0.85/1000</f>
        <v>3389.8892500000002</v>
      </c>
      <c r="H29" s="198">
        <f>monthly_data!$G84*0.85/1000</f>
        <v>3325.2688499999999</v>
      </c>
      <c r="I29" s="198">
        <f>monthly_data!$G96*0.85/1000</f>
        <v>3198.4267500000001</v>
      </c>
      <c r="J29" s="198">
        <f>monthly_data!$G108*0.85/1000</f>
        <v>3663.5492999999997</v>
      </c>
      <c r="K29" s="198">
        <f>monthly_data!$G120*0.85/1000</f>
        <v>3822.0241499999997</v>
      </c>
      <c r="L29" s="199">
        <f t="shared" si="20"/>
        <v>3788.8584934224782</v>
      </c>
      <c r="M29" s="199">
        <f t="shared" si="17"/>
        <v>3794.4910492062186</v>
      </c>
      <c r="N29" s="199">
        <f t="shared" si="18"/>
        <v>3818.483951491703</v>
      </c>
      <c r="O29" s="199">
        <f t="shared" si="19"/>
        <v>3908.6133493245015</v>
      </c>
      <c r="P29" s="199">
        <f t="shared" si="19"/>
        <v>3942.0504896460243</v>
      </c>
      <c r="Q29" s="199">
        <f t="shared" si="19"/>
        <v>3986.4182207965832</v>
      </c>
      <c r="R29" s="199">
        <f t="shared" si="19"/>
        <v>4043.1789436867043</v>
      </c>
      <c r="S29" s="199">
        <f t="shared" si="19"/>
        <v>4147.3422554477329</v>
      </c>
      <c r="T29" s="199">
        <f t="shared" si="19"/>
        <v>4236.9761335520889</v>
      </c>
      <c r="U29" s="199">
        <f t="shared" si="19"/>
        <v>4361.1132549983122</v>
      </c>
      <c r="V29" s="199">
        <f t="shared" si="19"/>
        <v>4358.7966097780791</v>
      </c>
    </row>
    <row r="30" spans="1:22" x14ac:dyDescent="0.25">
      <c r="A30" s="5" t="s">
        <v>93</v>
      </c>
      <c r="B30" s="197">
        <f>monthly_data!$G13*0.85/1000</f>
        <v>3330.06115</v>
      </c>
      <c r="C30" s="198">
        <f>monthly_data!$G25*0.85/1000</f>
        <v>2904.7509</v>
      </c>
      <c r="D30" s="198">
        <f>monthly_data!$G37*0.85/1000</f>
        <v>2885.21875</v>
      </c>
      <c r="E30" s="198">
        <f>monthly_data!$G49*0.85/1000</f>
        <v>3052.4681499999997</v>
      </c>
      <c r="F30" s="198">
        <f>monthly_data!$G61*0.85/1000</f>
        <v>2830.3946000000001</v>
      </c>
      <c r="G30" s="198">
        <f>monthly_data!$G73*0.85/1000</f>
        <v>3031.66185</v>
      </c>
      <c r="H30" s="198">
        <f>monthly_data!$G85*0.85/1000</f>
        <v>3069.1952999999999</v>
      </c>
      <c r="I30" s="198">
        <f>monthly_data!$G97*0.85/1000</f>
        <v>3217.2321499999998</v>
      </c>
      <c r="J30" s="198">
        <f>monthly_data!$G109*0.85/1000</f>
        <v>3304.3741500000001</v>
      </c>
      <c r="K30" s="198">
        <f>monthly_data!$G121*0.85/1000</f>
        <v>3500.5141999999996</v>
      </c>
      <c r="L30" s="199">
        <f t="shared" si="20"/>
        <v>3510.9560908163744</v>
      </c>
      <c r="M30" s="199">
        <f t="shared" si="17"/>
        <v>3539.53931010412</v>
      </c>
      <c r="N30" s="199">
        <f t="shared" si="18"/>
        <v>3568.7448232031179</v>
      </c>
      <c r="O30" s="199">
        <f t="shared" si="19"/>
        <v>3605.7983897237245</v>
      </c>
      <c r="P30" s="199">
        <f t="shared" si="19"/>
        <v>3652.1693498458044</v>
      </c>
      <c r="Q30" s="199">
        <f t="shared" si="19"/>
        <v>3701.6510809195156</v>
      </c>
      <c r="R30" s="199">
        <f t="shared" si="19"/>
        <v>3755.8637772766174</v>
      </c>
      <c r="S30" s="199">
        <f t="shared" si="19"/>
        <v>3849.5319963093389</v>
      </c>
      <c r="T30" s="199">
        <f t="shared" si="19"/>
        <v>3927.5555211121277</v>
      </c>
      <c r="U30" s="199">
        <f t="shared" si="19"/>
        <v>4046.3493769605557</v>
      </c>
      <c r="V30" s="199">
        <f t="shared" si="19"/>
        <v>4045.325178953412</v>
      </c>
    </row>
    <row r="31" spans="1:22" x14ac:dyDescent="0.25">
      <c r="A31" s="5" t="s">
        <v>94</v>
      </c>
      <c r="B31" s="197">
        <f>monthly_data!$G14*0.85/1000</f>
        <v>3364.4139</v>
      </c>
      <c r="C31" s="198">
        <f>monthly_data!$G26*0.85/1000</f>
        <v>2615.9472500000002</v>
      </c>
      <c r="D31" s="198">
        <f>monthly_data!$G38*0.85/1000</f>
        <v>2805.5210499999998</v>
      </c>
      <c r="E31" s="198">
        <f>monthly_data!$G50*0.85/1000</f>
        <v>2927.8326499999998</v>
      </c>
      <c r="F31" s="198">
        <f>monthly_data!$G62*0.85/1000</f>
        <v>2984.6721499999999</v>
      </c>
      <c r="G31" s="198">
        <f>monthly_data!$G74*0.85/1000</f>
        <v>3031.627</v>
      </c>
      <c r="H31" s="198">
        <f>monthly_data!$G86*0.85/1000</f>
        <v>3077.10455</v>
      </c>
      <c r="I31" s="198">
        <f>monthly_data!$G98*0.85/1000</f>
        <v>3184.1943500000002</v>
      </c>
      <c r="J31" s="198">
        <f>monthly_data!$G110*0.85/1000</f>
        <v>3529.8723500000001</v>
      </c>
      <c r="K31" s="198">
        <f>monthly_data!$G122*0.85/1000</f>
        <v>3630.7639499999996</v>
      </c>
      <c r="L31" s="199">
        <f t="shared" ref="L31" si="21">L32-SUM(L20:L30)</f>
        <v>3859.5799856808153</v>
      </c>
      <c r="M31" s="199">
        <f t="shared" ref="M31:V31" si="22">M32-SUM(M20:M30)</f>
        <v>3684.351318912828</v>
      </c>
      <c r="N31" s="199">
        <f t="shared" si="22"/>
        <v>3739.3465060926537</v>
      </c>
      <c r="O31" s="199">
        <f t="shared" si="22"/>
        <v>3816.8356895208635</v>
      </c>
      <c r="P31" s="199">
        <f t="shared" si="22"/>
        <v>3859.3062364702855</v>
      </c>
      <c r="Q31" s="199">
        <f t="shared" si="22"/>
        <v>3925.7336327020312</v>
      </c>
      <c r="R31" s="199">
        <f t="shared" si="22"/>
        <v>3954.9394357765195</v>
      </c>
      <c r="S31" s="199">
        <f t="shared" si="22"/>
        <v>4062.5829788782794</v>
      </c>
      <c r="T31" s="199">
        <f t="shared" si="22"/>
        <v>4150.6175198866549</v>
      </c>
      <c r="U31" s="199">
        <f t="shared" si="22"/>
        <v>4274.8193201428803</v>
      </c>
      <c r="V31" s="199">
        <f t="shared" si="22"/>
        <v>4273.5435084886485</v>
      </c>
    </row>
    <row r="32" spans="1:22" s="4" customFormat="1" x14ac:dyDescent="0.25">
      <c r="A32" s="200" t="s">
        <v>95</v>
      </c>
      <c r="B32" s="201">
        <f>SUM(B20:B31)</f>
        <v>42038.966800000002</v>
      </c>
      <c r="C32" s="201">
        <f t="shared" ref="C32:K32" si="23">SUM(C20:C31)</f>
        <v>38564.335949999993</v>
      </c>
      <c r="D32" s="201">
        <f t="shared" si="23"/>
        <v>34531.95465</v>
      </c>
      <c r="E32" s="201">
        <f t="shared" si="23"/>
        <v>35663.780649999993</v>
      </c>
      <c r="F32" s="201">
        <f t="shared" si="23"/>
        <v>34848.729250000004</v>
      </c>
      <c r="G32" s="201">
        <f t="shared" si="23"/>
        <v>35897.079299999998</v>
      </c>
      <c r="H32" s="201">
        <f t="shared" si="23"/>
        <v>36425.035550000001</v>
      </c>
      <c r="I32" s="201">
        <f t="shared" si="23"/>
        <v>38700.017199999995</v>
      </c>
      <c r="J32" s="201">
        <f t="shared" si="23"/>
        <v>40252.455499999996</v>
      </c>
      <c r="K32" s="201">
        <f t="shared" si="23"/>
        <v>41580.520150000004</v>
      </c>
      <c r="L32" s="201">
        <f t="shared" ref="L32:V32" si="24">L4</f>
        <v>41996.325351500003</v>
      </c>
      <c r="M32" s="201">
        <f t="shared" si="24"/>
        <v>42416.288605015005</v>
      </c>
      <c r="N32" s="201">
        <f t="shared" si="24"/>
        <v>42840.451491065156</v>
      </c>
      <c r="O32" s="201">
        <f t="shared" si="24"/>
        <v>43268.856005975809</v>
      </c>
      <c r="P32" s="201">
        <f t="shared" si="24"/>
        <v>43701.544566035569</v>
      </c>
      <c r="Q32" s="201">
        <f t="shared" si="24"/>
        <v>44357.067734526099</v>
      </c>
      <c r="R32" s="201">
        <f t="shared" si="24"/>
        <v>45022.423750543989</v>
      </c>
      <c r="S32" s="201">
        <f t="shared" si="24"/>
        <v>46147.984344307588</v>
      </c>
      <c r="T32" s="201">
        <f t="shared" si="24"/>
        <v>47070.944031193743</v>
      </c>
      <c r="U32" s="201">
        <f t="shared" si="24"/>
        <v>48483.072352129559</v>
      </c>
      <c r="V32" s="201">
        <f t="shared" si="24"/>
        <v>48483.072352129559</v>
      </c>
    </row>
    <row r="33" spans="1:22" x14ac:dyDescent="0.25">
      <c r="J33" s="202"/>
      <c r="K33" s="202"/>
      <c r="L33" s="202"/>
    </row>
    <row r="34" spans="1:22" ht="15.75" thickBot="1" x14ac:dyDescent="0.3">
      <c r="A34" s="4" t="s">
        <v>146</v>
      </c>
    </row>
    <row r="35" spans="1:22" s="4" customFormat="1" ht="15.75" thickBot="1" x14ac:dyDescent="0.3">
      <c r="A35" s="196" t="s">
        <v>71</v>
      </c>
      <c r="B35" s="67">
        <f t="shared" ref="B35:V35" si="25">B2</f>
        <v>2015</v>
      </c>
      <c r="C35" s="67">
        <f t="shared" si="25"/>
        <v>2016</v>
      </c>
      <c r="D35" s="67">
        <f t="shared" si="25"/>
        <v>2017</v>
      </c>
      <c r="E35" s="67">
        <f t="shared" si="25"/>
        <v>2018</v>
      </c>
      <c r="F35" s="67">
        <f t="shared" si="25"/>
        <v>2019</v>
      </c>
      <c r="G35" s="67">
        <f t="shared" si="25"/>
        <v>2020</v>
      </c>
      <c r="H35" s="67">
        <f t="shared" si="25"/>
        <v>2021</v>
      </c>
      <c r="I35" s="67">
        <f t="shared" si="25"/>
        <v>2022</v>
      </c>
      <c r="J35" s="67">
        <f t="shared" si="25"/>
        <v>2023</v>
      </c>
      <c r="K35" s="67">
        <f t="shared" si="25"/>
        <v>2024</v>
      </c>
      <c r="L35" s="67">
        <f t="shared" si="25"/>
        <v>2025</v>
      </c>
      <c r="M35" s="67">
        <f t="shared" si="25"/>
        <v>2026</v>
      </c>
      <c r="N35" s="67">
        <f t="shared" si="25"/>
        <v>2027</v>
      </c>
      <c r="O35" s="67">
        <f t="shared" si="25"/>
        <v>2028</v>
      </c>
      <c r="P35" s="67">
        <f t="shared" si="25"/>
        <v>2029</v>
      </c>
      <c r="Q35" s="67">
        <f t="shared" si="25"/>
        <v>2030</v>
      </c>
      <c r="R35" s="67">
        <f t="shared" si="25"/>
        <v>2031</v>
      </c>
      <c r="S35" s="67">
        <f t="shared" si="25"/>
        <v>2032</v>
      </c>
      <c r="T35" s="67">
        <f t="shared" si="25"/>
        <v>2033</v>
      </c>
      <c r="U35" s="67">
        <f t="shared" si="25"/>
        <v>2034</v>
      </c>
      <c r="V35" s="67">
        <f t="shared" si="25"/>
        <v>2035</v>
      </c>
    </row>
    <row r="36" spans="1:22" x14ac:dyDescent="0.25">
      <c r="A36" s="5" t="s">
        <v>83</v>
      </c>
      <c r="B36" s="86">
        <f>monthly_data!$H3*0.85/1000</f>
        <v>642.11804999999993</v>
      </c>
      <c r="C36" s="86">
        <f>monthly_data!$H15*0.85/1000</f>
        <v>135.89714999999998</v>
      </c>
      <c r="D36" s="86">
        <f>monthly_data!$H27*0.85/1000</f>
        <v>707.78054999999995</v>
      </c>
      <c r="E36" s="86">
        <f>monthly_data!$H39*0.85/1000</f>
        <v>1392.2200999999998</v>
      </c>
      <c r="F36" s="86">
        <f>monthly_data!$H51*0.85/1000</f>
        <v>732.52065000000005</v>
      </c>
      <c r="G36" s="86">
        <f>monthly_data!$H63*0.85/1000</f>
        <v>1009.85525</v>
      </c>
      <c r="H36" s="86">
        <f>monthly_data!$H75*0.85/1000</f>
        <v>672.28115000000003</v>
      </c>
      <c r="I36" s="86">
        <f>monthly_data!$H87*0.85/1000</f>
        <v>1185.8341499999999</v>
      </c>
      <c r="J36" s="86">
        <f>monthly_data!$H99*0.85/1000</f>
        <v>630.51979999999992</v>
      </c>
      <c r="K36" s="86">
        <f>monthly_data!$H111*0.85/1000</f>
        <v>889.77660000000003</v>
      </c>
      <c r="L36" s="198">
        <f>monthly_data!$H123*0.85/1000</f>
        <v>1058.2993000000001</v>
      </c>
      <c r="M36" s="203">
        <f>M$48*(SUM(H36:L36)/SUM(H$48:L$48))</f>
        <v>800.38751908871734</v>
      </c>
      <c r="N36" s="203">
        <f t="shared" ref="N36:V36" si="26">N$48*(SUM(I36:M36)/SUM(I$48:M$48))</f>
        <v>874.00902046367128</v>
      </c>
      <c r="O36" s="203">
        <f t="shared" si="26"/>
        <v>847.61751785610795</v>
      </c>
      <c r="P36" s="203">
        <f t="shared" si="26"/>
        <v>917.00656472788478</v>
      </c>
      <c r="Q36" s="203">
        <f t="shared" si="26"/>
        <v>936.50529506782823</v>
      </c>
      <c r="R36" s="203">
        <f t="shared" si="26"/>
        <v>904.1773583088484</v>
      </c>
      <c r="S36" s="203">
        <f t="shared" si="26"/>
        <v>908.84399468940148</v>
      </c>
      <c r="T36" s="203">
        <f t="shared" si="26"/>
        <v>896.53952182225385</v>
      </c>
      <c r="U36" s="203">
        <f t="shared" si="26"/>
        <v>898.37139226560635</v>
      </c>
      <c r="V36" s="203">
        <f t="shared" si="26"/>
        <v>890.95924142039883</v>
      </c>
    </row>
    <row r="37" spans="1:22" x14ac:dyDescent="0.25">
      <c r="A37" s="5" t="s">
        <v>84</v>
      </c>
      <c r="B37" s="86">
        <f>monthly_data!$H4*0.85/1000</f>
        <v>659.92640000000006</v>
      </c>
      <c r="C37" s="86">
        <f>monthly_data!$H16*0.85/1000</f>
        <v>352.63864999999998</v>
      </c>
      <c r="D37" s="86">
        <f>monthly_data!$H28*0.85/1000</f>
        <v>989.40679999999998</v>
      </c>
      <c r="E37" s="86">
        <f>monthly_data!$H40*0.85/1000</f>
        <v>823.55479999999989</v>
      </c>
      <c r="F37" s="86">
        <f>monthly_data!$H52*0.85/1000</f>
        <v>550.43959999999993</v>
      </c>
      <c r="G37" s="86">
        <f>monthly_data!$H64*0.85/1000</f>
        <v>954.45225000000005</v>
      </c>
      <c r="H37" s="86">
        <f>monthly_data!$H76*0.85/1000</f>
        <v>605.91314999999997</v>
      </c>
      <c r="I37" s="86">
        <f>monthly_data!$H88*0.85/1000</f>
        <v>477.72975000000002</v>
      </c>
      <c r="J37" s="86">
        <f>monthly_data!$H100*0.85/1000</f>
        <v>875.60794999999996</v>
      </c>
      <c r="K37" s="86">
        <f>monthly_data!$H112*0.85/1000</f>
        <v>728.64210000000003</v>
      </c>
      <c r="L37" s="198">
        <f>monthly_data!$H124*0.85/1000</f>
        <v>912.36790000000008</v>
      </c>
      <c r="M37" s="203">
        <f>M$48*(SUM(H37:L37)/SUM(H$48:L$48))</f>
        <v>649.4909967775086</v>
      </c>
      <c r="N37" s="203">
        <f t="shared" ref="N37" si="27">N$48*(SUM(I37:M37)/SUM(I$48:M$48))</f>
        <v>697.6725753946007</v>
      </c>
      <c r="O37" s="203">
        <f t="shared" ref="O37" si="28">O$48*(SUM(J37:N37)/SUM(J$48:N$48))</f>
        <v>770.04817288509821</v>
      </c>
      <c r="P37" s="203">
        <f t="shared" ref="P37:V37" si="29">P$48*(SUM(K37:O37)/SUM(K$48:O$48))</f>
        <v>770.97195912328402</v>
      </c>
      <c r="Q37" s="203">
        <f t="shared" si="29"/>
        <v>791.4128332241927</v>
      </c>
      <c r="R37" s="203">
        <f t="shared" si="29"/>
        <v>760.36753976280443</v>
      </c>
      <c r="S37" s="203">
        <f t="shared" si="29"/>
        <v>769.07922626428888</v>
      </c>
      <c r="T37" s="203">
        <f t="shared" si="29"/>
        <v>766.99428401674061</v>
      </c>
      <c r="U37" s="203">
        <f t="shared" si="29"/>
        <v>759.72024689436637</v>
      </c>
      <c r="V37" s="203">
        <f t="shared" si="29"/>
        <v>754.33575253995639</v>
      </c>
    </row>
    <row r="38" spans="1:22" x14ac:dyDescent="0.25">
      <c r="A38" s="5" t="s">
        <v>85</v>
      </c>
      <c r="B38" s="86">
        <f>monthly_data!$H5*0.85/1000</f>
        <v>731.78539999999998</v>
      </c>
      <c r="C38" s="86">
        <f>monthly_data!$H17*0.85/1000</f>
        <v>802.09654999999998</v>
      </c>
      <c r="D38" s="86">
        <f>monthly_data!$H29*0.85/1000</f>
        <v>708.91444999999999</v>
      </c>
      <c r="E38" s="86">
        <f>monthly_data!$H41*0.85/1000</f>
        <v>904.81224999999995</v>
      </c>
      <c r="F38" s="86">
        <f>monthly_data!$H53*0.85/1000</f>
        <v>668.4374499999999</v>
      </c>
      <c r="G38" s="86">
        <f>monthly_data!$H65*0.85/1000</f>
        <v>803.94444999999996</v>
      </c>
      <c r="H38" s="86">
        <f>monthly_data!$H77*0.85/1000</f>
        <v>758.45754999999997</v>
      </c>
      <c r="I38" s="86">
        <f>monthly_data!$H89*0.85/1000</f>
        <v>1013.4830499999999</v>
      </c>
      <c r="J38" s="86">
        <f>monthly_data!$H101*0.85/1000</f>
        <v>1460.6459499999999</v>
      </c>
      <c r="K38" s="86">
        <f>monthly_data!$H113*0.85/1000</f>
        <v>1053.24775</v>
      </c>
      <c r="L38" s="199">
        <f>L$48*(SUM(G38:K38)/SUM(G$48:K$48))</f>
        <v>884.1879700034591</v>
      </c>
      <c r="M38" s="199">
        <f>M$48*(SUM(H38:L38)/SUM(H$48:L$48))</f>
        <v>932.67767459306856</v>
      </c>
      <c r="N38" s="199">
        <f t="shared" ref="N38:V38" si="30">N$48*(SUM(I38:M38)/SUM(I$48:M$48))</f>
        <v>1023.2427023371145</v>
      </c>
      <c r="O38" s="199">
        <f t="shared" si="30"/>
        <v>1067.0477795407494</v>
      </c>
      <c r="P38" s="199">
        <f t="shared" si="30"/>
        <v>1017.5909124356314</v>
      </c>
      <c r="Q38" s="199">
        <f t="shared" si="30"/>
        <v>1025.5111396695927</v>
      </c>
      <c r="R38" s="199">
        <f t="shared" si="30"/>
        <v>1046.8743791887734</v>
      </c>
      <c r="S38" s="199">
        <f t="shared" si="30"/>
        <v>1051.0655490566937</v>
      </c>
      <c r="T38" s="199">
        <f t="shared" si="30"/>
        <v>1034.3602997651881</v>
      </c>
      <c r="U38" s="199">
        <f t="shared" si="30"/>
        <v>1018.9259786833846</v>
      </c>
      <c r="V38" s="199">
        <f t="shared" si="30"/>
        <v>1014.9247109388615</v>
      </c>
    </row>
    <row r="39" spans="1:22" x14ac:dyDescent="0.25">
      <c r="A39" s="5" t="s">
        <v>86</v>
      </c>
      <c r="B39" s="86">
        <f>monthly_data!$H6*0.85/1000</f>
        <v>413.58195000000001</v>
      </c>
      <c r="C39" s="86">
        <f>monthly_data!$H18*0.85/1000</f>
        <v>502.60159999999996</v>
      </c>
      <c r="D39" s="86">
        <f>monthly_data!$H30*0.85/1000</f>
        <v>682.24229999999989</v>
      </c>
      <c r="E39" s="86">
        <f>monthly_data!$H42*0.85/1000</f>
        <v>984.80404999999996</v>
      </c>
      <c r="F39" s="86">
        <f>monthly_data!$H54*0.85/1000</f>
        <v>873.36649999999997</v>
      </c>
      <c r="G39" s="86">
        <f>monthly_data!$H66*0.85/1000</f>
        <v>847.57409999999993</v>
      </c>
      <c r="H39" s="86">
        <f>monthly_data!$H78*0.85/1000</f>
        <v>1192.0773999999999</v>
      </c>
      <c r="I39" s="86">
        <f>monthly_data!$H90*0.85/1000</f>
        <v>1323.9565999999998</v>
      </c>
      <c r="J39" s="86">
        <f>monthly_data!$H102*0.85/1000</f>
        <v>792.53575000000001</v>
      </c>
      <c r="K39" s="86">
        <f>monthly_data!$H114*0.85/1000</f>
        <v>1006.40425</v>
      </c>
      <c r="L39" s="199">
        <f t="shared" ref="L39:V46" si="31">L$48*(SUM(G39:K39)/SUM(G$48:K$48))</f>
        <v>896.82934146876528</v>
      </c>
      <c r="M39" s="199">
        <f t="shared" si="31"/>
        <v>940.21502560263048</v>
      </c>
      <c r="N39" s="199">
        <f t="shared" si="31"/>
        <v>949.66190225768344</v>
      </c>
      <c r="O39" s="199">
        <f t="shared" si="31"/>
        <v>913.91516599238253</v>
      </c>
      <c r="P39" s="199">
        <f t="shared" si="31"/>
        <v>965.61221248552636</v>
      </c>
      <c r="Q39" s="199">
        <f t="shared" si="31"/>
        <v>971.67926561894103</v>
      </c>
      <c r="R39" s="199">
        <f t="shared" si="31"/>
        <v>979.71775295820737</v>
      </c>
      <c r="S39" s="199">
        <f t="shared" si="31"/>
        <v>969.97117093015584</v>
      </c>
      <c r="T39" s="199">
        <f t="shared" si="31"/>
        <v>953.48890049584259</v>
      </c>
      <c r="U39" s="199">
        <f t="shared" si="31"/>
        <v>952.98484144400061</v>
      </c>
      <c r="V39" s="199">
        <f t="shared" si="31"/>
        <v>946.52205605416952</v>
      </c>
    </row>
    <row r="40" spans="1:22" x14ac:dyDescent="0.25">
      <c r="A40" s="5" t="s">
        <v>87</v>
      </c>
      <c r="B40" s="86">
        <f>monthly_data!$H7*0.85/1000</f>
        <v>566.29379999999992</v>
      </c>
      <c r="C40" s="86">
        <f>monthly_data!$H19*0.85/1000</f>
        <v>565.54835000000003</v>
      </c>
      <c r="D40" s="86">
        <f>monthly_data!$H31*0.85/1000</f>
        <v>682.94269999999995</v>
      </c>
      <c r="E40" s="86">
        <f>monthly_data!$H43*0.85/1000</f>
        <v>626.11085000000003</v>
      </c>
      <c r="F40" s="86">
        <f>monthly_data!$H55*0.85/1000</f>
        <v>932.91835000000003</v>
      </c>
      <c r="G40" s="86">
        <f>monthly_data!$H67*0.85/1000</f>
        <v>599.39874999999995</v>
      </c>
      <c r="H40" s="86">
        <f>monthly_data!$H79*0.85/1000</f>
        <v>1160.8985500000001</v>
      </c>
      <c r="I40" s="86">
        <f>monthly_data!$H91*0.85/1000</f>
        <v>1230.94705</v>
      </c>
      <c r="J40" s="86">
        <f>monthly_data!$H103*0.85/1000</f>
        <v>1158.6460500000001</v>
      </c>
      <c r="K40" s="86">
        <f>monthly_data!$H115*0.85/1000</f>
        <v>908.62704999999994</v>
      </c>
      <c r="L40" s="199">
        <f t="shared" si="31"/>
        <v>878.75730852595029</v>
      </c>
      <c r="M40" s="199">
        <f t="shared" si="31"/>
        <v>962.9586726895825</v>
      </c>
      <c r="N40" s="199">
        <f t="shared" si="31"/>
        <v>984.12492331239446</v>
      </c>
      <c r="O40" s="199">
        <f t="shared" si="31"/>
        <v>975.19320833311235</v>
      </c>
      <c r="P40" s="199">
        <f t="shared" si="31"/>
        <v>966.15286160624032</v>
      </c>
      <c r="Q40" s="199">
        <f t="shared" si="31"/>
        <v>992.70141361128685</v>
      </c>
      <c r="R40" s="199">
        <f t="shared" si="31"/>
        <v>1008.6577679076112</v>
      </c>
      <c r="S40" s="199">
        <f t="shared" si="31"/>
        <v>999.64375379716932</v>
      </c>
      <c r="T40" s="199">
        <f t="shared" si="31"/>
        <v>981.58246771974495</v>
      </c>
      <c r="U40" s="199">
        <f t="shared" si="31"/>
        <v>974.3006836244266</v>
      </c>
      <c r="V40" s="199">
        <f t="shared" si="31"/>
        <v>971.82179470519372</v>
      </c>
    </row>
    <row r="41" spans="1:22" x14ac:dyDescent="0.25">
      <c r="A41" s="5" t="s">
        <v>88</v>
      </c>
      <c r="B41" s="86">
        <f>monthly_data!$H8*0.85/1000</f>
        <v>535.55525</v>
      </c>
      <c r="C41" s="86">
        <f>monthly_data!$H20*0.85/1000</f>
        <v>522.46864999999991</v>
      </c>
      <c r="D41" s="86">
        <f>monthly_data!$H32*0.85/1000</f>
        <v>1042.4841999999999</v>
      </c>
      <c r="E41" s="86">
        <f>monthly_data!$H44*0.85/1000</f>
        <v>569.57054999999991</v>
      </c>
      <c r="F41" s="86">
        <f>monthly_data!$H56*0.85/1000</f>
        <v>745.84269999999992</v>
      </c>
      <c r="G41" s="86">
        <f>monthly_data!$H68*0.85/1000</f>
        <v>709.29184999999995</v>
      </c>
      <c r="H41" s="86">
        <f>monthly_data!$H80*0.85/1000</f>
        <v>1062.0495000000001</v>
      </c>
      <c r="I41" s="86">
        <f>monthly_data!$H92*0.85/1000</f>
        <v>815.85974999999996</v>
      </c>
      <c r="J41" s="86">
        <f>monthly_data!$H104*0.85/1000</f>
        <v>918.03399999999999</v>
      </c>
      <c r="K41" s="86">
        <f>monthly_data!$H116*0.85/1000</f>
        <v>1287.0903999999998</v>
      </c>
      <c r="L41" s="199">
        <f t="shared" si="31"/>
        <v>832.51488199576704</v>
      </c>
      <c r="M41" s="199">
        <f t="shared" si="31"/>
        <v>886.77033380904868</v>
      </c>
      <c r="N41" s="199">
        <f t="shared" si="31"/>
        <v>907.60217773358534</v>
      </c>
      <c r="O41" s="199">
        <f t="shared" si="31"/>
        <v>963.01559278686011</v>
      </c>
      <c r="P41" s="199">
        <f t="shared" si="31"/>
        <v>1000.4798547695196</v>
      </c>
      <c r="Q41" s="199">
        <f t="shared" si="31"/>
        <v>955.88437369419557</v>
      </c>
      <c r="R41" s="199">
        <f t="shared" si="31"/>
        <v>974.06990899746063</v>
      </c>
      <c r="S41" s="199">
        <f t="shared" si="31"/>
        <v>974.12360102167099</v>
      </c>
      <c r="T41" s="199">
        <f t="shared" si="31"/>
        <v>966.73153539621705</v>
      </c>
      <c r="U41" s="199">
        <f t="shared" si="31"/>
        <v>959.05263440235683</v>
      </c>
      <c r="V41" s="199">
        <f t="shared" si="31"/>
        <v>946.91811087894666</v>
      </c>
    </row>
    <row r="42" spans="1:22" x14ac:dyDescent="0.25">
      <c r="A42" s="5" t="s">
        <v>89</v>
      </c>
      <c r="B42" s="86">
        <f>monthly_data!$H9*0.85/1000</f>
        <v>760.91065000000003</v>
      </c>
      <c r="C42" s="86">
        <f>monthly_data!$H21*0.85/1000</f>
        <v>732.32769999999994</v>
      </c>
      <c r="D42" s="86">
        <f>monthly_data!$H33*0.85/1000</f>
        <v>994.61304999999993</v>
      </c>
      <c r="E42" s="86">
        <f>monthly_data!$H45*0.85/1000</f>
        <v>607.30459999999994</v>
      </c>
      <c r="F42" s="86">
        <f>monthly_data!$H57*0.85/1000</f>
        <v>933.61365000000001</v>
      </c>
      <c r="G42" s="86">
        <f>monthly_data!$H69*0.85/1000</f>
        <v>961.79115000000002</v>
      </c>
      <c r="H42" s="86">
        <f>monthly_data!$H81*0.85/1000</f>
        <v>1051.6693</v>
      </c>
      <c r="I42" s="86">
        <f>monthly_data!$H93*0.85/1000</f>
        <v>1136.58005</v>
      </c>
      <c r="J42" s="86">
        <f>monthly_data!$H105*0.85/1000</f>
        <v>901.80154999999991</v>
      </c>
      <c r="K42" s="86">
        <f>monthly_data!$H117*0.85/1000</f>
        <v>1060.8127500000001</v>
      </c>
      <c r="L42" s="199">
        <f t="shared" si="31"/>
        <v>888.16195968055422</v>
      </c>
      <c r="M42" s="199">
        <f t="shared" si="31"/>
        <v>909.04573373310325</v>
      </c>
      <c r="N42" s="199">
        <f t="shared" si="31"/>
        <v>937.4963350646849</v>
      </c>
      <c r="O42" s="199">
        <f t="shared" si="31"/>
        <v>936.17130667133688</v>
      </c>
      <c r="P42" s="199">
        <f t="shared" si="31"/>
        <v>970.67152510784547</v>
      </c>
      <c r="Q42" s="199">
        <f t="shared" si="31"/>
        <v>966.53858013101501</v>
      </c>
      <c r="R42" s="199">
        <f t="shared" si="31"/>
        <v>975.34514135235918</v>
      </c>
      <c r="S42" s="199">
        <f t="shared" si="31"/>
        <v>971.11482329916169</v>
      </c>
      <c r="T42" s="199">
        <f t="shared" si="31"/>
        <v>957.2516605752495</v>
      </c>
      <c r="U42" s="199">
        <f t="shared" si="31"/>
        <v>953.07391483274512</v>
      </c>
      <c r="V42" s="199">
        <f t="shared" si="31"/>
        <v>945.63631703035765</v>
      </c>
    </row>
    <row r="43" spans="1:22" x14ac:dyDescent="0.25">
      <c r="A43" s="5" t="s">
        <v>90</v>
      </c>
      <c r="B43" s="86">
        <f>monthly_data!$H10*0.85/1000</f>
        <v>24.326149999999998</v>
      </c>
      <c r="C43" s="86">
        <f>monthly_data!$H22*0.85/1000</f>
        <v>663.27710000000002</v>
      </c>
      <c r="D43" s="86">
        <f>monthly_data!$H34*0.85/1000</f>
        <v>1068.7500500000001</v>
      </c>
      <c r="E43" s="86">
        <f>monthly_data!$H46*0.85/1000</f>
        <v>626.56475</v>
      </c>
      <c r="F43" s="86">
        <f>monthly_data!$H58*0.85/1000</f>
        <v>868.14750000000004</v>
      </c>
      <c r="G43" s="86">
        <f>monthly_data!$H70*0.85/1000</f>
        <v>958.73709999999994</v>
      </c>
      <c r="H43" s="86">
        <f>monthly_data!$H82*0.85/1000</f>
        <v>1421.4541499999998</v>
      </c>
      <c r="I43" s="86">
        <f>monthly_data!$H94*0.85/1000</f>
        <v>1569.7817</v>
      </c>
      <c r="J43" s="86">
        <f>monthly_data!$H106*0.85/1000</f>
        <v>1115.9700999999998</v>
      </c>
      <c r="K43" s="86">
        <f>monthly_data!$H118*0.85/1000</f>
        <v>1076.2615000000001</v>
      </c>
      <c r="L43" s="199">
        <f t="shared" si="31"/>
        <v>1067.0136442395478</v>
      </c>
      <c r="M43" s="199">
        <f t="shared" si="31"/>
        <v>1127.5936287329337</v>
      </c>
      <c r="N43" s="199">
        <f t="shared" si="31"/>
        <v>1140.4925304375849</v>
      </c>
      <c r="O43" s="199">
        <f t="shared" si="31"/>
        <v>1101.5921639724513</v>
      </c>
      <c r="P43" s="199">
        <f t="shared" si="31"/>
        <v>1130.9424572654382</v>
      </c>
      <c r="Q43" s="199">
        <f t="shared" si="31"/>
        <v>1159.3836351334878</v>
      </c>
      <c r="R43" s="199">
        <f t="shared" si="31"/>
        <v>1169.6074797177901</v>
      </c>
      <c r="S43" s="199">
        <f t="shared" si="31"/>
        <v>1156.9278302628277</v>
      </c>
      <c r="T43" s="199">
        <f t="shared" si="31"/>
        <v>1135.7218515389893</v>
      </c>
      <c r="U43" s="199">
        <f t="shared" si="31"/>
        <v>1132.560563354961</v>
      </c>
      <c r="V43" s="199">
        <f t="shared" si="31"/>
        <v>1128.1393590680254</v>
      </c>
    </row>
    <row r="44" spans="1:22" x14ac:dyDescent="0.25">
      <c r="A44" s="5" t="s">
        <v>91</v>
      </c>
      <c r="B44" s="86">
        <f>monthly_data!$H11*0.85/1000</f>
        <v>444.44459999999998</v>
      </c>
      <c r="C44" s="86">
        <f>monthly_data!$H23*0.85/1000</f>
        <v>654.32745</v>
      </c>
      <c r="D44" s="86">
        <f>monthly_data!$H35*0.85/1000</f>
        <v>838.87179999999989</v>
      </c>
      <c r="E44" s="86">
        <f>monthly_data!$H47*0.85/1000</f>
        <v>402.09249999999997</v>
      </c>
      <c r="F44" s="86">
        <f>monthly_data!$H59*0.85/1000</f>
        <v>1056.1606999999999</v>
      </c>
      <c r="G44" s="86">
        <f>monthly_data!$H71*0.85/1000</f>
        <v>837.55769999999995</v>
      </c>
      <c r="H44" s="86">
        <f>monthly_data!$H83*0.85/1000</f>
        <v>828.45844999999997</v>
      </c>
      <c r="I44" s="86">
        <f>monthly_data!$H95*0.85/1000</f>
        <v>1698.72415</v>
      </c>
      <c r="J44" s="86">
        <f>monthly_data!$H107*0.85/1000</f>
        <v>965.02965000000006</v>
      </c>
      <c r="K44" s="86">
        <f>monthly_data!$H119*0.85/1000</f>
        <v>1356.33565</v>
      </c>
      <c r="L44" s="199">
        <f t="shared" si="31"/>
        <v>987.78088687829541</v>
      </c>
      <c r="M44" s="199">
        <f t="shared" si="31"/>
        <v>1052.8800993158181</v>
      </c>
      <c r="N44" s="199">
        <f t="shared" si="31"/>
        <v>1160.4298975646129</v>
      </c>
      <c r="O44" s="199">
        <f t="shared" si="31"/>
        <v>1100.6205370925709</v>
      </c>
      <c r="P44" s="199">
        <f t="shared" si="31"/>
        <v>1160.7073586765118</v>
      </c>
      <c r="Q44" s="199">
        <f t="shared" si="31"/>
        <v>1137.4739176828807</v>
      </c>
      <c r="R44" s="199">
        <f t="shared" si="31"/>
        <v>1159.7107472837322</v>
      </c>
      <c r="S44" s="199">
        <f t="shared" si="31"/>
        <v>1160.3617141180368</v>
      </c>
      <c r="T44" s="199">
        <f t="shared" si="31"/>
        <v>1135.8054069675693</v>
      </c>
      <c r="U44" s="199">
        <f t="shared" si="31"/>
        <v>1132.8511346780808</v>
      </c>
      <c r="V44" s="199">
        <f t="shared" si="31"/>
        <v>1122.6501279192446</v>
      </c>
    </row>
    <row r="45" spans="1:22" x14ac:dyDescent="0.25">
      <c r="A45" s="5" t="s">
        <v>92</v>
      </c>
      <c r="B45" s="86">
        <f>monthly_data!$H12*0.85/1000</f>
        <v>292.26825000000002</v>
      </c>
      <c r="C45" s="86">
        <f>monthly_data!$H24*0.85/1000</f>
        <v>560.17039999999997</v>
      </c>
      <c r="D45" s="86">
        <f>monthly_data!$H36*0.85/1000</f>
        <v>1143.71325</v>
      </c>
      <c r="E45" s="86">
        <f>monthly_data!$H48*0.85/1000</f>
        <v>949.14485000000002</v>
      </c>
      <c r="F45" s="86">
        <f>monthly_data!$H60*0.85/1000</f>
        <v>1318.8506499999999</v>
      </c>
      <c r="G45" s="86">
        <f>monthly_data!$H72*0.85/1000</f>
        <v>999.57960000000003</v>
      </c>
      <c r="H45" s="86">
        <f>monthly_data!$H84*0.85/1000</f>
        <v>1575.1163000000001</v>
      </c>
      <c r="I45" s="86">
        <f>monthly_data!$H96*0.85/1000</f>
        <v>1240.3463499999998</v>
      </c>
      <c r="J45" s="86">
        <f>monthly_data!$H108*0.85/1000</f>
        <v>1034.0751500000001</v>
      </c>
      <c r="K45" s="86">
        <f>monthly_data!$H120*0.85/1000</f>
        <v>1266.0435500000001</v>
      </c>
      <c r="L45" s="199">
        <f t="shared" si="31"/>
        <v>1062.3156746498903</v>
      </c>
      <c r="M45" s="199">
        <f t="shared" si="31"/>
        <v>1114.4993831568236</v>
      </c>
      <c r="N45" s="199">
        <f t="shared" si="31"/>
        <v>1094.6668799015129</v>
      </c>
      <c r="O45" s="199">
        <f t="shared" si="31"/>
        <v>1110.4149824446399</v>
      </c>
      <c r="P45" s="199">
        <f t="shared" si="31"/>
        <v>1158.6340627751208</v>
      </c>
      <c r="Q45" s="199">
        <f t="shared" si="31"/>
        <v>1153.7397145041421</v>
      </c>
      <c r="R45" s="199">
        <f t="shared" si="31"/>
        <v>1163.8112334316299</v>
      </c>
      <c r="S45" s="199">
        <f t="shared" si="31"/>
        <v>1152.717415020426</v>
      </c>
      <c r="T45" s="199">
        <f t="shared" si="31"/>
        <v>1139.8655454225868</v>
      </c>
      <c r="U45" s="199">
        <f t="shared" si="31"/>
        <v>1135.7469878986385</v>
      </c>
      <c r="V45" s="199">
        <f t="shared" si="31"/>
        <v>1126.5080914023747</v>
      </c>
    </row>
    <row r="46" spans="1:22" x14ac:dyDescent="0.25">
      <c r="A46" s="5" t="s">
        <v>93</v>
      </c>
      <c r="B46" s="86">
        <f>monthly_data!$H13*0.85/1000</f>
        <v>657.57529999999997</v>
      </c>
      <c r="C46" s="86">
        <f>monthly_data!$H25*0.85/1000</f>
        <v>617.95254999999997</v>
      </c>
      <c r="D46" s="86">
        <f>monthly_data!$H37*0.85/1000</f>
        <v>1084.1155000000001</v>
      </c>
      <c r="E46" s="86">
        <f>monthly_data!$H49*0.85/1000</f>
        <v>776.18174999999997</v>
      </c>
      <c r="F46" s="86">
        <f>monthly_data!$H61*0.85/1000</f>
        <v>1623.8162</v>
      </c>
      <c r="G46" s="86">
        <f>monthly_data!$H73*0.85/1000</f>
        <v>724.30284999999992</v>
      </c>
      <c r="H46" s="86">
        <f>monthly_data!$H85*0.85/1000</f>
        <v>965.02284999999995</v>
      </c>
      <c r="I46" s="86">
        <f>monthly_data!$H97*0.85/1000</f>
        <v>577.46450000000004</v>
      </c>
      <c r="J46" s="86">
        <f>monthly_data!$H109*0.85/1000</f>
        <v>872.04475000000002</v>
      </c>
      <c r="K46" s="86">
        <f>monthly_data!$H121*0.85/1000</f>
        <v>709.27909999999997</v>
      </c>
      <c r="L46" s="199">
        <f t="shared" si="31"/>
        <v>668.48802616642035</v>
      </c>
      <c r="M46" s="199">
        <f t="shared" si="31"/>
        <v>684.13492996803348</v>
      </c>
      <c r="N46" s="199">
        <f t="shared" si="31"/>
        <v>672.31718335586015</v>
      </c>
      <c r="O46" s="199">
        <f t="shared" si="31"/>
        <v>718.7251608593001</v>
      </c>
      <c r="P46" s="199">
        <f t="shared" si="31"/>
        <v>708.34652387995061</v>
      </c>
      <c r="Q46" s="199">
        <f t="shared" si="31"/>
        <v>718.83419636556266</v>
      </c>
      <c r="R46" s="199">
        <f t="shared" si="31"/>
        <v>723.74221046274954</v>
      </c>
      <c r="S46" s="199">
        <f t="shared" si="31"/>
        <v>718.65750140423722</v>
      </c>
      <c r="T46" s="199">
        <f t="shared" si="31"/>
        <v>712.66069133047688</v>
      </c>
      <c r="U46" s="199">
        <f t="shared" si="31"/>
        <v>705.2666333992255</v>
      </c>
      <c r="V46" s="199">
        <f t="shared" si="31"/>
        <v>701.71208943398983</v>
      </c>
    </row>
    <row r="47" spans="1:22" x14ac:dyDescent="0.25">
      <c r="A47" s="5" t="s">
        <v>94</v>
      </c>
      <c r="B47" s="86">
        <f>monthly_data!$H14*0.85/1000</f>
        <v>170.29835</v>
      </c>
      <c r="C47" s="86">
        <f>monthly_data!$H26*0.85/1000</f>
        <v>621.26840000000004</v>
      </c>
      <c r="D47" s="86">
        <f>monthly_data!$H38*0.85/1000</f>
        <v>1068.1099999999999</v>
      </c>
      <c r="E47" s="86">
        <f>monthly_data!$H50*0.85/1000</f>
        <v>1240.1024</v>
      </c>
      <c r="F47" s="86">
        <f>monthly_data!$H62*0.85/1000</f>
        <v>752.48629999999991</v>
      </c>
      <c r="G47" s="86">
        <f>monthly_data!$H74*0.85/1000</f>
        <v>788.88840000000005</v>
      </c>
      <c r="H47" s="86">
        <f>monthly_data!$H86*0.85/1000</f>
        <v>977.75754999999992</v>
      </c>
      <c r="I47" s="86">
        <f>monthly_data!$H98*0.85/1000</f>
        <v>1271.3679500000001</v>
      </c>
      <c r="J47" s="86">
        <f>monthly_data!$H110*0.85/1000</f>
        <v>1596.6110999999999</v>
      </c>
      <c r="K47" s="86">
        <f>monthly_data!$H122*0.85/1000</f>
        <v>828.79759999999999</v>
      </c>
      <c r="L47" s="199">
        <f t="shared" ref="L47:M47" si="32">L48-SUM(L36:L46)</f>
        <v>373.49426139134994</v>
      </c>
      <c r="M47" s="199">
        <f t="shared" si="32"/>
        <v>910.66985803273201</v>
      </c>
      <c r="N47" s="199">
        <f t="shared" ref="N47:V47" si="33">N48-SUM(N36:N46)</f>
        <v>953.68265822669127</v>
      </c>
      <c r="O47" s="199">
        <f t="shared" si="33"/>
        <v>929.38261122038966</v>
      </c>
      <c r="P47" s="199">
        <f t="shared" si="33"/>
        <v>819.75598176754647</v>
      </c>
      <c r="Q47" s="199">
        <f t="shared" si="33"/>
        <v>830.23511237942512</v>
      </c>
      <c r="R47" s="199">
        <f t="shared" si="33"/>
        <v>918.27056041883952</v>
      </c>
      <c r="S47" s="199">
        <f t="shared" si="33"/>
        <v>903.16511790581535</v>
      </c>
      <c r="T47" s="199">
        <f t="shared" si="33"/>
        <v>874.0291974960146</v>
      </c>
      <c r="U47" s="199">
        <f t="shared" si="33"/>
        <v>855.52730732376767</v>
      </c>
      <c r="V47" s="199">
        <f t="shared" si="33"/>
        <v>858.96106929019879</v>
      </c>
    </row>
    <row r="48" spans="1:22" x14ac:dyDescent="0.25">
      <c r="A48" s="61" t="s">
        <v>95</v>
      </c>
      <c r="B48" s="201">
        <f t="shared" ref="B48:J48" si="34">SUM(B36:B47)</f>
        <v>5899.0841499999997</v>
      </c>
      <c r="C48" s="201">
        <f t="shared" si="34"/>
        <v>6730.5745499999994</v>
      </c>
      <c r="D48" s="201">
        <f t="shared" si="34"/>
        <v>11011.944649999999</v>
      </c>
      <c r="E48" s="201">
        <f t="shared" si="34"/>
        <v>9902.4634499999975</v>
      </c>
      <c r="F48" s="201">
        <f t="shared" si="34"/>
        <v>11056.60025</v>
      </c>
      <c r="G48" s="201">
        <f t="shared" si="34"/>
        <v>10195.373449999999</v>
      </c>
      <c r="H48" s="201">
        <f t="shared" si="34"/>
        <v>12271.1559</v>
      </c>
      <c r="I48" s="201">
        <f t="shared" si="34"/>
        <v>13542.075049999998</v>
      </c>
      <c r="J48" s="201">
        <f t="shared" si="34"/>
        <v>12321.5218</v>
      </c>
      <c r="K48" s="201">
        <f>SUM(K36:K47)</f>
        <v>12171.318299999999</v>
      </c>
      <c r="L48" s="201">
        <f t="shared" ref="L48:V48" si="35">L5</f>
        <v>10510.211154999999</v>
      </c>
      <c r="M48" s="201">
        <f t="shared" si="35"/>
        <v>10971.323855499999</v>
      </c>
      <c r="N48" s="201">
        <f t="shared" si="35"/>
        <v>11395.398786049998</v>
      </c>
      <c r="O48" s="201">
        <f t="shared" si="35"/>
        <v>11433.744199654999</v>
      </c>
      <c r="P48" s="201">
        <f t="shared" si="35"/>
        <v>11586.8722746205</v>
      </c>
      <c r="Q48" s="201">
        <f t="shared" si="35"/>
        <v>11639.899477082548</v>
      </c>
      <c r="R48" s="201">
        <f t="shared" si="35"/>
        <v>11784.352079790806</v>
      </c>
      <c r="S48" s="201">
        <f t="shared" si="35"/>
        <v>11735.671697769885</v>
      </c>
      <c r="T48" s="201">
        <f t="shared" si="35"/>
        <v>11555.031362546873</v>
      </c>
      <c r="U48" s="201">
        <f t="shared" si="35"/>
        <v>11478.382318801559</v>
      </c>
      <c r="V48" s="201">
        <f t="shared" si="35"/>
        <v>11409.088720681717</v>
      </c>
    </row>
    <row r="50" spans="1:22" ht="15.75" thickBot="1" x14ac:dyDescent="0.3">
      <c r="A50" s="4" t="s">
        <v>147</v>
      </c>
    </row>
    <row r="51" spans="1:22" ht="15.75" thickBot="1" x14ac:dyDescent="0.3">
      <c r="A51" s="196" t="s">
        <v>71</v>
      </c>
      <c r="B51" s="67">
        <f t="shared" ref="B51:V51" si="36">B35</f>
        <v>2015</v>
      </c>
      <c r="C51" s="67">
        <f t="shared" si="36"/>
        <v>2016</v>
      </c>
      <c r="D51" s="67">
        <f t="shared" si="36"/>
        <v>2017</v>
      </c>
      <c r="E51" s="67">
        <f t="shared" si="36"/>
        <v>2018</v>
      </c>
      <c r="F51" s="67">
        <f t="shared" si="36"/>
        <v>2019</v>
      </c>
      <c r="G51" s="67">
        <f t="shared" si="36"/>
        <v>2020</v>
      </c>
      <c r="H51" s="67">
        <f t="shared" si="36"/>
        <v>2021</v>
      </c>
      <c r="I51" s="67">
        <f t="shared" si="36"/>
        <v>2022</v>
      </c>
      <c r="J51" s="67">
        <f t="shared" si="36"/>
        <v>2023</v>
      </c>
      <c r="K51" s="67">
        <f t="shared" si="36"/>
        <v>2024</v>
      </c>
      <c r="L51" s="67">
        <f t="shared" si="36"/>
        <v>2025</v>
      </c>
      <c r="M51" s="67">
        <f t="shared" si="36"/>
        <v>2026</v>
      </c>
      <c r="N51" s="67">
        <f t="shared" si="36"/>
        <v>2027</v>
      </c>
      <c r="O51" s="67">
        <f t="shared" si="36"/>
        <v>2028</v>
      </c>
      <c r="P51" s="67">
        <f t="shared" si="36"/>
        <v>2029</v>
      </c>
      <c r="Q51" s="67">
        <f t="shared" si="36"/>
        <v>2030</v>
      </c>
      <c r="R51" s="67">
        <f t="shared" si="36"/>
        <v>2031</v>
      </c>
      <c r="S51" s="67">
        <f t="shared" si="36"/>
        <v>2032</v>
      </c>
      <c r="T51" s="67">
        <f t="shared" si="36"/>
        <v>2033</v>
      </c>
      <c r="U51" s="67">
        <f t="shared" si="36"/>
        <v>2034</v>
      </c>
      <c r="V51" s="67">
        <f t="shared" si="36"/>
        <v>2035</v>
      </c>
    </row>
    <row r="52" spans="1:22" x14ac:dyDescent="0.25">
      <c r="A52" s="5" t="s">
        <v>83</v>
      </c>
      <c r="B52" s="86">
        <f>monthly_data!$J3*0.85/1000</f>
        <v>11.081449999999998</v>
      </c>
      <c r="C52" s="86">
        <f>monthly_data!$J15*0.85/1000</f>
        <v>2.1309499999999999</v>
      </c>
      <c r="D52" s="86">
        <f>monthly_data!$J27*0.85/1000</f>
        <v>78.347049999999996</v>
      </c>
      <c r="E52" s="86">
        <f>monthly_data!$J39*0.85/1000</f>
        <v>68.083300000000008</v>
      </c>
      <c r="F52" s="86">
        <f>monthly_data!$J51*0.85/1000</f>
        <v>2.7599499999999999</v>
      </c>
      <c r="G52" s="86">
        <f>monthly_data!$J63*0.85/1000</f>
        <v>29.856249999999999</v>
      </c>
      <c r="H52" s="86">
        <f>monthly_data!$J75*0.85/1000</f>
        <v>0.96304999999999996</v>
      </c>
      <c r="I52" s="86">
        <f>monthly_data!$J87*0.85/1000</f>
        <v>4.45655</v>
      </c>
      <c r="J52" s="86">
        <f>monthly_data!$J99*0.85/1000</f>
        <v>2.1539000000000001</v>
      </c>
      <c r="K52" s="86">
        <f>monthly_data!$J111*0.85/1000</f>
        <v>57.240699999999997</v>
      </c>
      <c r="L52" s="198">
        <f>monthly_data!$J123*0.85/1000</f>
        <v>54.190049999999992</v>
      </c>
      <c r="M52" s="203">
        <f>M$64*(SUM(H52:L52)/SUM(H$64:L$64))</f>
        <v>24.240109408799736</v>
      </c>
      <c r="N52" s="203">
        <f t="shared" ref="N52:V52" si="37">N$64*(SUM(I52:M52)/SUM(I$64:M$64))</f>
        <v>24.263301494957254</v>
      </c>
      <c r="O52" s="203">
        <f t="shared" si="37"/>
        <v>24.046684005809471</v>
      </c>
      <c r="P52" s="203">
        <f t="shared" si="37"/>
        <v>23.137182440431168</v>
      </c>
      <c r="Q52" s="203">
        <f t="shared" si="37"/>
        <v>25.84137088375217</v>
      </c>
      <c r="R52" s="203">
        <f t="shared" si="37"/>
        <v>24.609324221350082</v>
      </c>
      <c r="S52" s="203">
        <f t="shared" si="37"/>
        <v>27.114409472491523</v>
      </c>
      <c r="T52" s="203">
        <f t="shared" si="37"/>
        <v>29.580331420360274</v>
      </c>
      <c r="U52" s="203">
        <f t="shared" si="37"/>
        <v>31.07610575113414</v>
      </c>
      <c r="V52" s="203">
        <f t="shared" si="37"/>
        <v>28.105519923306741</v>
      </c>
    </row>
    <row r="53" spans="1:22" x14ac:dyDescent="0.25">
      <c r="A53" s="5" t="s">
        <v>84</v>
      </c>
      <c r="B53" s="86">
        <f>monthly_data!$J4*0.85/1000</f>
        <v>3.3753500000000001</v>
      </c>
      <c r="C53" s="86">
        <f>monthly_data!$J16*0.85/1000</f>
        <v>0.42584999999999995</v>
      </c>
      <c r="D53" s="86">
        <f>monthly_data!$J28*0.85/1000</f>
        <v>39.887949999999996</v>
      </c>
      <c r="E53" s="86">
        <f>monthly_data!$J40*0.85/1000</f>
        <v>161.85869999999997</v>
      </c>
      <c r="F53" s="86">
        <f>monthly_data!$J52*0.85/1000</f>
        <v>1.5742</v>
      </c>
      <c r="G53" s="86">
        <f>monthly_data!$J64*0.85/1000</f>
        <v>8.1013500000000001</v>
      </c>
      <c r="H53" s="86">
        <f>monthly_data!$J76*0.85/1000</f>
        <v>3.077</v>
      </c>
      <c r="I53" s="86">
        <f>monthly_data!$J88*0.85/1000</f>
        <v>3.17645</v>
      </c>
      <c r="J53" s="86">
        <f>monthly_data!$J100*0.85/1000</f>
        <v>4.1012500000000003</v>
      </c>
      <c r="K53" s="86">
        <f>monthly_data!$J112*0.85/1000</f>
        <v>65.627649999999988</v>
      </c>
      <c r="L53" s="198">
        <f>monthly_data!$J124*0.85/1000</f>
        <v>90.1374</v>
      </c>
      <c r="M53" s="107">
        <f>M$64*(SUM(H53:L53)/SUM(H$64:L$64))</f>
        <v>33.837118547971691</v>
      </c>
      <c r="N53" s="107">
        <f t="shared" ref="N53" si="38">N$64*(SUM(I53:M53)/SUM(I$64:M$64))</f>
        <v>33.574020570347287</v>
      </c>
      <c r="O53" s="107">
        <f t="shared" ref="O53" si="39">O$64*(SUM(J53:N53)/SUM(J$64:N$64))</f>
        <v>33.717898342759057</v>
      </c>
      <c r="P53" s="107">
        <f t="shared" ref="P53:V53" si="40">P$64*(SUM(K53:O53)/SUM(K$64:O$64))</f>
        <v>32.306653295220208</v>
      </c>
      <c r="Q53" s="107">
        <f t="shared" si="40"/>
        <v>38.547759424403544</v>
      </c>
      <c r="R53" s="107">
        <f t="shared" si="40"/>
        <v>34.826327353387924</v>
      </c>
      <c r="S53" s="107">
        <f t="shared" si="40"/>
        <v>38.475256137294494</v>
      </c>
      <c r="T53" s="107">
        <f t="shared" si="40"/>
        <v>42.177251713800622</v>
      </c>
      <c r="U53" s="107">
        <f t="shared" si="40"/>
        <v>44.445773249332987</v>
      </c>
      <c r="V53" s="107">
        <f t="shared" si="40"/>
        <v>40.356727461144544</v>
      </c>
    </row>
    <row r="54" spans="1:22" x14ac:dyDescent="0.25">
      <c r="A54" s="5" t="s">
        <v>85</v>
      </c>
      <c r="B54" s="86">
        <f>monthly_data!$J5*0.85/1000</f>
        <v>17.84235</v>
      </c>
      <c r="C54" s="86">
        <f>monthly_data!$J17*0.85/1000</f>
        <v>58.708649999999999</v>
      </c>
      <c r="D54" s="86">
        <f>monthly_data!$J29*0.85/1000</f>
        <v>51.718249999999998</v>
      </c>
      <c r="E54" s="86">
        <f>monthly_data!$J41*0.85/1000</f>
        <v>363.26789999999994</v>
      </c>
      <c r="F54" s="86">
        <f>monthly_data!$J53*0.85/1000</f>
        <v>1.6430499999999999</v>
      </c>
      <c r="G54" s="86">
        <f>monthly_data!$J65*0.85/1000</f>
        <v>45.150299999999994</v>
      </c>
      <c r="H54" s="86">
        <f>monthly_data!$J77*0.85/1000</f>
        <v>1.2257</v>
      </c>
      <c r="I54" s="86">
        <f>monthly_data!$J89*0.85/1000</f>
        <v>28.708749999999998</v>
      </c>
      <c r="J54" s="86">
        <f>monthly_data!$J101*0.85/1000</f>
        <v>2.9104000000000001</v>
      </c>
      <c r="K54" s="86">
        <f>monthly_data!$J113*0.85/1000</f>
        <v>57.675049999999999</v>
      </c>
      <c r="L54" s="199">
        <f>L$64*(SUM(B54:K54)/SUM(B$64:K$64))-20</f>
        <v>100.83412562264914</v>
      </c>
      <c r="M54" s="199">
        <f t="shared" ref="M54:V62" si="41">M$64*(SUM(C54:L54)/SUM(C$64:L$64))</f>
        <v>71.184217562264905</v>
      </c>
      <c r="N54" s="199">
        <f t="shared" si="41"/>
        <v>72.431774318491392</v>
      </c>
      <c r="O54" s="199">
        <f t="shared" si="41"/>
        <v>74.503126750340556</v>
      </c>
      <c r="P54" s="199">
        <f t="shared" si="41"/>
        <v>45.626649425374602</v>
      </c>
      <c r="Q54" s="199">
        <f t="shared" si="41"/>
        <v>50.025009367912055</v>
      </c>
      <c r="R54" s="199">
        <f t="shared" si="41"/>
        <v>50.512480304703253</v>
      </c>
      <c r="S54" s="199">
        <f t="shared" si="41"/>
        <v>55.44115833517359</v>
      </c>
      <c r="T54" s="199">
        <f t="shared" si="41"/>
        <v>58.114399168690952</v>
      </c>
      <c r="U54" s="199">
        <f t="shared" si="41"/>
        <v>63.634799085560047</v>
      </c>
      <c r="V54" s="199">
        <f t="shared" si="41"/>
        <v>64.230773994116049</v>
      </c>
    </row>
    <row r="55" spans="1:22" x14ac:dyDescent="0.25">
      <c r="A55" s="5" t="s">
        <v>86</v>
      </c>
      <c r="B55" s="86">
        <f>monthly_data!$J6*0.85/1000</f>
        <v>0</v>
      </c>
      <c r="C55" s="86">
        <f>monthly_data!$J18*0.85/1000</f>
        <v>33.179749999999999</v>
      </c>
      <c r="D55" s="86">
        <f>monthly_data!$J30*0.85/1000</f>
        <v>0</v>
      </c>
      <c r="E55" s="86">
        <f>monthly_data!$J42*0.85/1000</f>
        <v>126.02184999999999</v>
      </c>
      <c r="F55" s="86">
        <f>monthly_data!$J54*0.85/1000</f>
        <v>3.1296999999999997</v>
      </c>
      <c r="G55" s="86">
        <f>monthly_data!$J66*0.85/1000</f>
        <v>77.808149999999998</v>
      </c>
      <c r="H55" s="86">
        <f>monthly_data!$J78*0.85/1000</f>
        <v>1.7798999999999998</v>
      </c>
      <c r="I55" s="86">
        <f>monthly_data!$J90*0.85/1000</f>
        <v>9.1995499999999986</v>
      </c>
      <c r="J55" s="86">
        <f>monthly_data!$J102*0.85/1000</f>
        <v>5.2249499999999998</v>
      </c>
      <c r="K55" s="86">
        <f>monthly_data!$J114*0.85/1000</f>
        <v>101.20525000000001</v>
      </c>
      <c r="L55" s="199">
        <f t="shared" ref="L55:L62" si="42">L$64*(SUM(B55:K55)/SUM(B$64:K$64))</f>
        <v>68.703355942311788</v>
      </c>
      <c r="M55" s="199">
        <f t="shared" si="41"/>
        <v>42.625245594231174</v>
      </c>
      <c r="N55" s="199">
        <f t="shared" si="41"/>
        <v>43.569795153654297</v>
      </c>
      <c r="O55" s="199">
        <f t="shared" si="41"/>
        <v>47.926774669019728</v>
      </c>
      <c r="P55" s="199">
        <f t="shared" si="41"/>
        <v>40.117267135921701</v>
      </c>
      <c r="Q55" s="199">
        <f t="shared" si="41"/>
        <v>43.816023849513861</v>
      </c>
      <c r="R55" s="199">
        <f t="shared" si="41"/>
        <v>40.41681123446525</v>
      </c>
      <c r="S55" s="199">
        <f t="shared" si="41"/>
        <v>44.280502357911779</v>
      </c>
      <c r="T55" s="199">
        <f t="shared" si="41"/>
        <v>47.78859759370296</v>
      </c>
      <c r="U55" s="199">
        <f t="shared" si="41"/>
        <v>52.044962353073245</v>
      </c>
      <c r="V55" s="199">
        <f t="shared" si="41"/>
        <v>47.128933588380569</v>
      </c>
    </row>
    <row r="56" spans="1:22" x14ac:dyDescent="0.25">
      <c r="A56" s="5" t="s">
        <v>87</v>
      </c>
      <c r="B56" s="86">
        <f>monthly_data!$J7*0.85/1000</f>
        <v>0</v>
      </c>
      <c r="C56" s="86">
        <f>monthly_data!$J19*0.85/1000</f>
        <v>88.852199999999996</v>
      </c>
      <c r="D56" s="86">
        <f>monthly_data!$J31*0.85/1000</f>
        <v>41.955150000000003</v>
      </c>
      <c r="E56" s="86">
        <f>monthly_data!$J43*0.85/1000</f>
        <v>53.906150000000004</v>
      </c>
      <c r="F56" s="86">
        <f>monthly_data!$J55*0.85/1000</f>
        <v>3.5291999999999999</v>
      </c>
      <c r="G56" s="86">
        <f>monthly_data!$J67*0.85/1000</f>
        <v>88.148399999999995</v>
      </c>
      <c r="H56" s="86">
        <f>monthly_data!$J79*0.85/1000</f>
        <v>2.2117</v>
      </c>
      <c r="I56" s="86">
        <f>monthly_data!$J91*0.85/1000</f>
        <v>4.0137</v>
      </c>
      <c r="J56" s="86">
        <f>monthly_data!$J103*0.85/1000</f>
        <v>4.2125999999999992</v>
      </c>
      <c r="K56" s="86">
        <f>monthly_data!$J115*0.85/1000</f>
        <v>69.376999999999995</v>
      </c>
      <c r="L56" s="199">
        <f t="shared" si="42"/>
        <v>68.445297379080827</v>
      </c>
      <c r="M56" s="199">
        <f t="shared" si="41"/>
        <v>42.465139737908089</v>
      </c>
      <c r="N56" s="199">
        <f t="shared" si="41"/>
        <v>37.82643371169889</v>
      </c>
      <c r="O56" s="199">
        <f t="shared" si="41"/>
        <v>37.413562082868786</v>
      </c>
      <c r="P56" s="199">
        <f t="shared" si="41"/>
        <v>35.764303291155656</v>
      </c>
      <c r="Q56" s="199">
        <f t="shared" si="41"/>
        <v>38.987813620271218</v>
      </c>
      <c r="R56" s="199">
        <f t="shared" si="41"/>
        <v>34.071754982298344</v>
      </c>
      <c r="S56" s="199">
        <f t="shared" si="41"/>
        <v>37.257760480528177</v>
      </c>
      <c r="T56" s="199">
        <f t="shared" si="41"/>
        <v>40.582166528580998</v>
      </c>
      <c r="U56" s="199">
        <f t="shared" si="41"/>
        <v>44.219123181439095</v>
      </c>
      <c r="V56" s="199">
        <f t="shared" si="41"/>
        <v>41.703335499583012</v>
      </c>
    </row>
    <row r="57" spans="1:22" x14ac:dyDescent="0.25">
      <c r="A57" s="5" t="s">
        <v>88</v>
      </c>
      <c r="B57" s="86">
        <f>monthly_data!$J8*0.85/1000</f>
        <v>14.852049999999998</v>
      </c>
      <c r="C57" s="86">
        <f>monthly_data!$J20*0.85/1000</f>
        <v>125.10980000000001</v>
      </c>
      <c r="D57" s="86">
        <f>monthly_data!$J32*0.85/1000</f>
        <v>40.993799999999993</v>
      </c>
      <c r="E57" s="86">
        <f>monthly_data!$J44*0.85/1000</f>
        <v>17.333200000000001</v>
      </c>
      <c r="F57" s="86">
        <f>monthly_data!$J56*0.85/1000</f>
        <v>3.0557500000000002</v>
      </c>
      <c r="G57" s="86">
        <f>monthly_data!$J68*0.85/1000</f>
        <v>5.6754499999999997</v>
      </c>
      <c r="H57" s="86">
        <f>monthly_data!$J80*0.85/1000</f>
        <v>2.125</v>
      </c>
      <c r="I57" s="86">
        <f>monthly_data!$J92*0.85/1000</f>
        <v>1.2682</v>
      </c>
      <c r="J57" s="86">
        <f>monthly_data!$J104*0.85/1000</f>
        <v>8.9131</v>
      </c>
      <c r="K57" s="86">
        <f>monthly_data!$J116*0.85/1000</f>
        <v>81.948499999999996</v>
      </c>
      <c r="L57" s="199">
        <f t="shared" si="42"/>
        <v>57.890212158320629</v>
      </c>
      <c r="M57" s="199">
        <f t="shared" si="41"/>
        <v>34.431301215832072</v>
      </c>
      <c r="N57" s="199">
        <f t="shared" si="41"/>
        <v>25.36345133741527</v>
      </c>
      <c r="O57" s="199">
        <f t="shared" si="41"/>
        <v>23.800416471156797</v>
      </c>
      <c r="P57" s="199">
        <f t="shared" si="41"/>
        <v>24.447138118272477</v>
      </c>
      <c r="Q57" s="199">
        <f t="shared" si="41"/>
        <v>26.586276930099721</v>
      </c>
      <c r="R57" s="199">
        <f t="shared" si="41"/>
        <v>28.677359623109691</v>
      </c>
      <c r="S57" s="199">
        <f t="shared" si="41"/>
        <v>31.332595585420663</v>
      </c>
      <c r="T57" s="199">
        <f t="shared" si="41"/>
        <v>34.339035143962732</v>
      </c>
      <c r="U57" s="199">
        <f t="shared" si="41"/>
        <v>36.881628658359006</v>
      </c>
      <c r="V57" s="199">
        <f t="shared" si="41"/>
        <v>32.374941524194909</v>
      </c>
    </row>
    <row r="58" spans="1:22" x14ac:dyDescent="0.25">
      <c r="A58" s="5" t="s">
        <v>89</v>
      </c>
      <c r="B58" s="86">
        <f>monthly_data!$J9*0.85/1000</f>
        <v>0</v>
      </c>
      <c r="C58" s="86">
        <f>monthly_data!$J21*0.85/1000</f>
        <v>0</v>
      </c>
      <c r="D58" s="86">
        <f>monthly_data!$J33*0.85/1000</f>
        <v>40.007799999999996</v>
      </c>
      <c r="E58" s="86">
        <f>monthly_data!$J45*0.85/1000</f>
        <v>1.68045</v>
      </c>
      <c r="F58" s="86">
        <f>monthly_data!$J57*0.85/1000</f>
        <v>1.1738499999999998</v>
      </c>
      <c r="G58" s="86">
        <f>monthly_data!$J69*0.85/1000</f>
        <v>2.7718499999999997</v>
      </c>
      <c r="H58" s="86">
        <f>monthly_data!$J81*0.85/1000</f>
        <v>2.7913999999999999</v>
      </c>
      <c r="I58" s="86">
        <f>monthly_data!$J93*0.85/1000</f>
        <v>2.67665</v>
      </c>
      <c r="J58" s="86">
        <f>monthly_data!$J105*0.85/1000</f>
        <v>39.951699999999995</v>
      </c>
      <c r="K58" s="86">
        <f>monthly_data!$J117*0.85/1000</f>
        <v>87.021299999999997</v>
      </c>
      <c r="L58" s="199">
        <f t="shared" si="42"/>
        <v>34.217258858789386</v>
      </c>
      <c r="M58" s="199">
        <f t="shared" si="41"/>
        <v>21.22922588587894</v>
      </c>
      <c r="N58" s="199">
        <f t="shared" si="41"/>
        <v>23.352148474466834</v>
      </c>
      <c r="O58" s="199">
        <f t="shared" si="41"/>
        <v>21.686583321913517</v>
      </c>
      <c r="P58" s="199">
        <f t="shared" si="41"/>
        <v>23.687196654104874</v>
      </c>
      <c r="Q58" s="199">
        <f t="shared" si="41"/>
        <v>25.938531319515356</v>
      </c>
      <c r="R58" s="199">
        <f t="shared" si="41"/>
        <v>28.255199451466886</v>
      </c>
      <c r="S58" s="199">
        <f t="shared" si="41"/>
        <v>30.80157939661358</v>
      </c>
      <c r="T58" s="199">
        <f t="shared" si="41"/>
        <v>33.614072336274937</v>
      </c>
      <c r="U58" s="199">
        <f t="shared" si="41"/>
        <v>32.980309569902438</v>
      </c>
      <c r="V58" s="199">
        <f t="shared" si="41"/>
        <v>27.57621052689268</v>
      </c>
    </row>
    <row r="59" spans="1:22" x14ac:dyDescent="0.25">
      <c r="A59" s="5" t="s">
        <v>90</v>
      </c>
      <c r="B59" s="86">
        <f>monthly_data!$J10*0.85/1000</f>
        <v>19.808399999999999</v>
      </c>
      <c r="C59" s="86">
        <f>monthly_data!$J22*0.85/1000</f>
        <v>19.334099999999999</v>
      </c>
      <c r="D59" s="86">
        <f>monthly_data!$J34*0.85/1000</f>
        <v>47.464849999999998</v>
      </c>
      <c r="E59" s="86">
        <f>monthly_data!$J46*0.85/1000</f>
        <v>3.1262999999999996</v>
      </c>
      <c r="F59" s="86">
        <f>monthly_data!$J58*0.85/1000</f>
        <v>2.4326999999999996</v>
      </c>
      <c r="G59" s="86">
        <f>monthly_data!$J70*0.85/1000</f>
        <v>2.5567999999999995</v>
      </c>
      <c r="H59" s="86">
        <f>monthly_data!$J82*0.85/1000</f>
        <v>2.85175</v>
      </c>
      <c r="I59" s="86">
        <f>monthly_data!$J94*0.85/1000</f>
        <v>3.9899</v>
      </c>
      <c r="J59" s="86">
        <f>monthly_data!$J106*0.85/1000</f>
        <v>41.521650000000001</v>
      </c>
      <c r="K59" s="86">
        <f>monthly_data!$J118*0.85/1000</f>
        <v>124.23005000000001</v>
      </c>
      <c r="L59" s="199">
        <f t="shared" si="42"/>
        <v>51.365087057282459</v>
      </c>
      <c r="M59" s="199">
        <f t="shared" si="41"/>
        <v>29.887318705728244</v>
      </c>
      <c r="N59" s="199">
        <f t="shared" si="41"/>
        <v>30.942640576301077</v>
      </c>
      <c r="O59" s="199">
        <f t="shared" si="41"/>
        <v>29.290419633931183</v>
      </c>
      <c r="P59" s="199">
        <f t="shared" si="41"/>
        <v>31.906831597324299</v>
      </c>
      <c r="Q59" s="199">
        <f t="shared" si="41"/>
        <v>34.854244757056726</v>
      </c>
      <c r="R59" s="199">
        <f t="shared" si="41"/>
        <v>38.083989232762406</v>
      </c>
      <c r="S59" s="199">
        <f t="shared" si="41"/>
        <v>41.60721315603864</v>
      </c>
      <c r="T59" s="199">
        <f t="shared" si="41"/>
        <v>45.368944471642514</v>
      </c>
      <c r="U59" s="199">
        <f t="shared" si="41"/>
        <v>45.753673918806761</v>
      </c>
      <c r="V59" s="199">
        <f t="shared" si="41"/>
        <v>37.906036310687433</v>
      </c>
    </row>
    <row r="60" spans="1:22" x14ac:dyDescent="0.25">
      <c r="A60" s="5" t="s">
        <v>91</v>
      </c>
      <c r="B60" s="86">
        <f>monthly_data!$J11*0.85/1000</f>
        <v>0</v>
      </c>
      <c r="C60" s="86">
        <f>monthly_data!$J23*0.85/1000</f>
        <v>0</v>
      </c>
      <c r="D60" s="86">
        <f>monthly_data!$J35*0.85/1000</f>
        <v>0</v>
      </c>
      <c r="E60" s="86">
        <f>monthly_data!$J47*0.85/1000</f>
        <v>2.4581999999999997</v>
      </c>
      <c r="F60" s="86">
        <f>monthly_data!$J59*0.85/1000</f>
        <v>1.77565</v>
      </c>
      <c r="G60" s="86">
        <f>monthly_data!$J71*0.85/1000</f>
        <v>3.9397500000000001</v>
      </c>
      <c r="H60" s="86">
        <f>monthly_data!$J83*0.85/1000</f>
        <v>1.59545</v>
      </c>
      <c r="I60" s="86">
        <f>monthly_data!$J95*0.85/1000</f>
        <v>5.9984500000000001</v>
      </c>
      <c r="J60" s="86">
        <f>monthly_data!$J107*0.85/1000</f>
        <v>29.427</v>
      </c>
      <c r="K60" s="86">
        <f>monthly_data!$J119*0.85/1000</f>
        <v>56.325249999999997</v>
      </c>
      <c r="L60" s="199">
        <f t="shared" si="42"/>
        <v>19.507104113601482</v>
      </c>
      <c r="M60" s="199">
        <f t="shared" si="41"/>
        <v>12.102685411360147</v>
      </c>
      <c r="N60" s="199">
        <f t="shared" si="41"/>
        <v>13.312953952496162</v>
      </c>
      <c r="O60" s="199">
        <f t="shared" si="41"/>
        <v>14.644249347745779</v>
      </c>
      <c r="P60" s="199">
        <f t="shared" si="41"/>
        <v>15.86285428252036</v>
      </c>
      <c r="Q60" s="199">
        <f t="shared" si="41"/>
        <v>17.271574710772391</v>
      </c>
      <c r="R60" s="199">
        <f t="shared" si="41"/>
        <v>18.604757181849632</v>
      </c>
      <c r="S60" s="199">
        <f t="shared" si="41"/>
        <v>20.305687900034599</v>
      </c>
      <c r="T60" s="199">
        <f t="shared" si="41"/>
        <v>21.736411690038061</v>
      </c>
      <c r="U60" s="199">
        <f t="shared" si="41"/>
        <v>20.967352859041867</v>
      </c>
      <c r="V60" s="199">
        <f t="shared" si="41"/>
        <v>17.43156314494605</v>
      </c>
    </row>
    <row r="61" spans="1:22" x14ac:dyDescent="0.25">
      <c r="A61" s="5" t="s">
        <v>92</v>
      </c>
      <c r="B61" s="86">
        <f>monthly_data!$J12*0.85/1000</f>
        <v>0</v>
      </c>
      <c r="C61" s="86">
        <f>monthly_data!$J24*0.85/1000</f>
        <v>0</v>
      </c>
      <c r="D61" s="86">
        <f>monthly_data!$J36*0.85/1000</f>
        <v>0</v>
      </c>
      <c r="E61" s="86">
        <f>monthly_data!$J48*0.85/1000</f>
        <v>2.6809000000000003</v>
      </c>
      <c r="F61" s="86">
        <f>monthly_data!$J60*0.85/1000</f>
        <v>1.8011499999999998</v>
      </c>
      <c r="G61" s="86">
        <f>monthly_data!$J72*0.85/1000</f>
        <v>0.93754999999999999</v>
      </c>
      <c r="H61" s="86">
        <f>monthly_data!$J84*0.85/1000</f>
        <v>2.5219499999999999</v>
      </c>
      <c r="I61" s="86">
        <f>monthly_data!$J96*0.85/1000</f>
        <v>5.6244499999999995</v>
      </c>
      <c r="J61" s="86">
        <f>monthly_data!$J108*0.85/1000</f>
        <v>56.100850000000001</v>
      </c>
      <c r="K61" s="86">
        <f>monthly_data!$J120*0.85/1000</f>
        <v>111.2684</v>
      </c>
      <c r="L61" s="199">
        <f t="shared" si="42"/>
        <v>34.766858267189519</v>
      </c>
      <c r="M61" s="199">
        <f t="shared" si="41"/>
        <v>21.570210826718952</v>
      </c>
      <c r="N61" s="199">
        <f t="shared" si="41"/>
        <v>23.727231909390845</v>
      </c>
      <c r="O61" s="199">
        <f t="shared" si="41"/>
        <v>26.099955100329929</v>
      </c>
      <c r="P61" s="199">
        <f t="shared" si="41"/>
        <v>28.441860610362923</v>
      </c>
      <c r="Q61" s="199">
        <f t="shared" si="41"/>
        <v>31.105931671399212</v>
      </c>
      <c r="R61" s="199">
        <f t="shared" si="41"/>
        <v>34.122769838539135</v>
      </c>
      <c r="S61" s="199">
        <f t="shared" si="41"/>
        <v>37.282851822393049</v>
      </c>
      <c r="T61" s="199">
        <f t="shared" si="41"/>
        <v>40.448692004632363</v>
      </c>
      <c r="U61" s="199">
        <f t="shared" si="41"/>
        <v>38.883476205095604</v>
      </c>
      <c r="V61" s="199">
        <f t="shared" si="41"/>
        <v>31.644983825605152</v>
      </c>
    </row>
    <row r="62" spans="1:22" x14ac:dyDescent="0.25">
      <c r="A62" s="5" t="s">
        <v>93</v>
      </c>
      <c r="B62" s="86">
        <f>monthly_data!$J13*0.85/1000</f>
        <v>0</v>
      </c>
      <c r="C62" s="86">
        <f>monthly_data!$J25*0.85/1000</f>
        <v>0</v>
      </c>
      <c r="D62" s="86">
        <f>monthly_data!$J37*0.85/1000</f>
        <v>0.24479999999999999</v>
      </c>
      <c r="E62" s="86">
        <f>monthly_data!$J49*0.85/1000</f>
        <v>1.6473</v>
      </c>
      <c r="F62" s="86">
        <f>monthly_data!$J61*0.85/1000</f>
        <v>5.9908000000000001</v>
      </c>
      <c r="G62" s="86">
        <f>monthly_data!$J73*0.85/1000</f>
        <v>2.4922</v>
      </c>
      <c r="H62" s="86">
        <f>monthly_data!$J85*0.85/1000</f>
        <v>5.8071999999999999</v>
      </c>
      <c r="I62" s="86">
        <f>monthly_data!$J97*0.85/1000</f>
        <v>4.4395500000000006</v>
      </c>
      <c r="J62" s="86">
        <f>monthly_data!$J109*0.85/1000</f>
        <v>11.95185</v>
      </c>
      <c r="K62" s="86">
        <f>monthly_data!$J121*0.85/1000</f>
        <v>9.8557500000000005</v>
      </c>
      <c r="L62" s="199">
        <f t="shared" si="42"/>
        <v>8.1528539878481627</v>
      </c>
      <c r="M62" s="199">
        <f t="shared" si="41"/>
        <v>5.0582303987848167</v>
      </c>
      <c r="N62" s="199">
        <f t="shared" si="41"/>
        <v>5.564053438663298</v>
      </c>
      <c r="O62" s="199">
        <f t="shared" si="41"/>
        <v>6.0959787825296283</v>
      </c>
      <c r="P62" s="199">
        <f t="shared" si="41"/>
        <v>6.5408466607825924</v>
      </c>
      <c r="Q62" s="199">
        <f t="shared" si="41"/>
        <v>6.5958513268608492</v>
      </c>
      <c r="R62" s="199">
        <f t="shared" si="41"/>
        <v>7.0062164595469341</v>
      </c>
      <c r="S62" s="199">
        <f t="shared" si="41"/>
        <v>7.1261181055016287</v>
      </c>
      <c r="T62" s="199">
        <f t="shared" si="41"/>
        <v>7.3947749160517917</v>
      </c>
      <c r="U62" s="199">
        <f t="shared" si="41"/>
        <v>6.9390674076569692</v>
      </c>
      <c r="V62" s="199">
        <f t="shared" si="41"/>
        <v>6.6473991484226671</v>
      </c>
    </row>
    <row r="63" spans="1:22" x14ac:dyDescent="0.25">
      <c r="A63" s="5" t="s">
        <v>94</v>
      </c>
      <c r="B63" s="86">
        <f>monthly_data!$J14*0.85/1000</f>
        <v>2.1326499999999999</v>
      </c>
      <c r="C63" s="86">
        <f>monthly_data!$J26*0.85/1000</f>
        <v>77.217399999999998</v>
      </c>
      <c r="D63" s="86">
        <f>monthly_data!$J38*0.85/1000</f>
        <v>85.203149999999994</v>
      </c>
      <c r="E63" s="86">
        <f>monthly_data!$J50*0.85/1000</f>
        <v>1.3506499999999999</v>
      </c>
      <c r="F63" s="86">
        <f>monthly_data!$J62*0.85/1000</f>
        <v>9.219100000000001</v>
      </c>
      <c r="G63" s="86">
        <f>monthly_data!$J74*0.85/1000</f>
        <v>0.81599999999999995</v>
      </c>
      <c r="H63" s="86">
        <f>monthly_data!$J86*0.85/1000</f>
        <v>4.2661499999999997</v>
      </c>
      <c r="I63" s="86">
        <f>monthly_data!$J98*0.85/1000</f>
        <v>4.9112999999999998</v>
      </c>
      <c r="J63" s="86">
        <f>monthly_data!$J110*0.85/1000</f>
        <v>55.884099999999997</v>
      </c>
      <c r="K63" s="86">
        <f>monthly_data!$J122*0.85/1000</f>
        <v>52.096499999999999</v>
      </c>
      <c r="L63" s="199">
        <f>L64-SUM(L52:L62)</f>
        <v>37.343626612926641</v>
      </c>
      <c r="M63" s="199">
        <f t="shared" ref="M63:V63" si="43">M64-SUM(M52:M62)</f>
        <v>42.568524704521224</v>
      </c>
      <c r="N63" s="199">
        <f t="shared" si="43"/>
        <v>44.8955858621174</v>
      </c>
      <c r="O63" s="199">
        <f t="shared" si="43"/>
        <v>34.897801371595563</v>
      </c>
      <c r="P63" s="199">
        <f t="shared" si="43"/>
        <v>23.355521356529152</v>
      </c>
      <c r="Q63" s="199">
        <f t="shared" si="43"/>
        <v>20.934837493242924</v>
      </c>
      <c r="R63" s="199">
        <f t="shared" si="43"/>
        <v>30.543353006800544</v>
      </c>
      <c r="S63" s="199">
        <f t="shared" si="43"/>
        <v>32.556619429906334</v>
      </c>
      <c r="T63" s="199">
        <f t="shared" si="43"/>
        <v>34.948900409500652</v>
      </c>
      <c r="U63" s="199">
        <f t="shared" si="43"/>
        <v>35.641327897560529</v>
      </c>
      <c r="V63" s="199">
        <f t="shared" si="43"/>
        <v>36.320795203379134</v>
      </c>
    </row>
    <row r="64" spans="1:22" s="4" customFormat="1" x14ac:dyDescent="0.25">
      <c r="A64" s="200" t="s">
        <v>95</v>
      </c>
      <c r="B64" s="201">
        <f>SUM(B52:B63)</f>
        <v>69.092249999999993</v>
      </c>
      <c r="C64" s="201">
        <f t="shared" ref="C64:K64" si="44">SUM(C52:C63)</f>
        <v>404.95869999999996</v>
      </c>
      <c r="D64" s="201">
        <f t="shared" si="44"/>
        <v>425.82279999999997</v>
      </c>
      <c r="E64" s="201">
        <f t="shared" si="44"/>
        <v>803.41489999999988</v>
      </c>
      <c r="F64" s="201">
        <f t="shared" si="44"/>
        <v>38.085099999999997</v>
      </c>
      <c r="G64" s="201">
        <f t="shared" si="44"/>
        <v>268.25404999999995</v>
      </c>
      <c r="H64" s="201">
        <f t="shared" si="44"/>
        <v>31.216249999999999</v>
      </c>
      <c r="I64" s="201">
        <f t="shared" si="44"/>
        <v>78.463499999999982</v>
      </c>
      <c r="J64" s="201">
        <f t="shared" si="44"/>
        <v>262.35334999999998</v>
      </c>
      <c r="K64" s="201">
        <f t="shared" si="44"/>
        <v>873.87140000000011</v>
      </c>
      <c r="L64" s="201">
        <f>L8</f>
        <v>625.55322999999999</v>
      </c>
      <c r="M64" s="201">
        <f t="shared" ref="M64:V64" si="45">M8</f>
        <v>381.19932799999998</v>
      </c>
      <c r="N64" s="201">
        <f t="shared" si="45"/>
        <v>378.82339080000003</v>
      </c>
      <c r="O64" s="201">
        <f t="shared" si="45"/>
        <v>374.12344988000001</v>
      </c>
      <c r="P64" s="201">
        <f t="shared" si="45"/>
        <v>331.19430486800002</v>
      </c>
      <c r="Q64" s="201">
        <f t="shared" si="45"/>
        <v>360.50522535480002</v>
      </c>
      <c r="R64" s="201">
        <f t="shared" si="45"/>
        <v>369.73034289028004</v>
      </c>
      <c r="S64" s="201">
        <f t="shared" si="45"/>
        <v>403.58175217930807</v>
      </c>
      <c r="T64" s="201">
        <f t="shared" si="45"/>
        <v>436.09357739723885</v>
      </c>
      <c r="U64" s="201">
        <f t="shared" si="45"/>
        <v>453.46760013696269</v>
      </c>
      <c r="V64" s="201">
        <f t="shared" si="45"/>
        <v>411.42722015065891</v>
      </c>
    </row>
    <row r="65" spans="1:22" x14ac:dyDescent="0.25">
      <c r="B65" s="86"/>
      <c r="C65" s="86"/>
      <c r="D65" s="86"/>
      <c r="E65" s="86"/>
      <c r="F65" s="86"/>
      <c r="G65" s="86"/>
      <c r="H65" s="86"/>
      <c r="I65" s="86"/>
      <c r="J65" s="86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spans="1:22" ht="15.75" thickBot="1" x14ac:dyDescent="0.3">
      <c r="A66" s="4" t="s">
        <v>148</v>
      </c>
    </row>
    <row r="67" spans="1:22" s="4" customFormat="1" ht="15.75" thickBot="1" x14ac:dyDescent="0.3">
      <c r="A67" s="196" t="s">
        <v>71</v>
      </c>
      <c r="B67" s="67">
        <f t="shared" ref="B67:V67" si="46">B$2</f>
        <v>2015</v>
      </c>
      <c r="C67" s="67">
        <f t="shared" si="46"/>
        <v>2016</v>
      </c>
      <c r="D67" s="67">
        <f t="shared" si="46"/>
        <v>2017</v>
      </c>
      <c r="E67" s="67">
        <f t="shared" si="46"/>
        <v>2018</v>
      </c>
      <c r="F67" s="67">
        <f t="shared" si="46"/>
        <v>2019</v>
      </c>
      <c r="G67" s="67">
        <f t="shared" si="46"/>
        <v>2020</v>
      </c>
      <c r="H67" s="67">
        <f t="shared" si="46"/>
        <v>2021</v>
      </c>
      <c r="I67" s="67">
        <f t="shared" si="46"/>
        <v>2022</v>
      </c>
      <c r="J67" s="67">
        <f t="shared" si="46"/>
        <v>2023</v>
      </c>
      <c r="K67" s="67">
        <f t="shared" si="46"/>
        <v>2024</v>
      </c>
      <c r="L67" s="67">
        <f t="shared" si="46"/>
        <v>2025</v>
      </c>
      <c r="M67" s="67">
        <f t="shared" si="46"/>
        <v>2026</v>
      </c>
      <c r="N67" s="67">
        <f t="shared" si="46"/>
        <v>2027</v>
      </c>
      <c r="O67" s="67">
        <f t="shared" si="46"/>
        <v>2028</v>
      </c>
      <c r="P67" s="67">
        <f t="shared" si="46"/>
        <v>2029</v>
      </c>
      <c r="Q67" s="67">
        <f t="shared" si="46"/>
        <v>2030</v>
      </c>
      <c r="R67" s="67">
        <f t="shared" si="46"/>
        <v>2031</v>
      </c>
      <c r="S67" s="67">
        <f t="shared" si="46"/>
        <v>2032</v>
      </c>
      <c r="T67" s="67">
        <f t="shared" si="46"/>
        <v>2033</v>
      </c>
      <c r="U67" s="67">
        <f t="shared" si="46"/>
        <v>2034</v>
      </c>
      <c r="V67" s="67">
        <f t="shared" si="46"/>
        <v>2035</v>
      </c>
    </row>
    <row r="68" spans="1:22" x14ac:dyDescent="0.25">
      <c r="A68" s="5" t="s">
        <v>83</v>
      </c>
      <c r="B68" s="86">
        <f>monthly_data!$I3*0.85/1000</f>
        <v>4023.0491499999998</v>
      </c>
      <c r="C68" s="86">
        <f>monthly_data!$I15*0.85/1000</f>
        <v>3351.4395</v>
      </c>
      <c r="D68" s="86">
        <f>monthly_data!$I27*0.85/1000</f>
        <v>3365.2919499999998</v>
      </c>
      <c r="E68" s="86">
        <f>monthly_data!$I39*0.85/1000</f>
        <v>3515.3806999999997</v>
      </c>
      <c r="F68" s="86">
        <f>monthly_data!$I51*0.85/1000</f>
        <v>3732.7775499999998</v>
      </c>
      <c r="G68" s="86">
        <f>monthly_data!$I63*0.85/1000</f>
        <v>3768.0253499999999</v>
      </c>
      <c r="H68" s="86">
        <f>monthly_data!$I75*0.85/1000</f>
        <v>3845.2427499999999</v>
      </c>
      <c r="I68" s="86">
        <f>monthly_data!$I87*0.85/1000</f>
        <v>3941.4168500000001</v>
      </c>
      <c r="J68" s="86">
        <f>monthly_data!$I99*0.85/1000</f>
        <v>3861.0246999999999</v>
      </c>
      <c r="K68" s="86">
        <f>monthly_data!$I111*0.85/1000</f>
        <v>4333.5379999999996</v>
      </c>
      <c r="L68" s="198">
        <f>monthly_data!$I123*0.85/1000</f>
        <v>4516.2276499999998</v>
      </c>
      <c r="M68" s="199">
        <f t="shared" ref="M68" si="47">M$80*(SUM(C68:L68)/SUM(C$80:L$80))</f>
        <v>4438.4507745524479</v>
      </c>
      <c r="N68" s="199">
        <f t="shared" ref="N68" si="48">N$80*(SUM(D68:M68)/SUM(D$80:M$80))</f>
        <v>4526.5222154349613</v>
      </c>
      <c r="O68" s="199">
        <f t="shared" ref="O68:V69" si="49">O$80*(SUM(E68:N68)/SUM(E$80:N$80))</f>
        <v>4627.8654336175423</v>
      </c>
      <c r="P68" s="199">
        <f t="shared" si="49"/>
        <v>4721.2018205757468</v>
      </c>
      <c r="Q68" s="199">
        <f t="shared" si="49"/>
        <v>4827.4113394094902</v>
      </c>
      <c r="R68" s="199">
        <f t="shared" si="49"/>
        <v>4932.5655210631039</v>
      </c>
      <c r="S68" s="199">
        <f t="shared" si="49"/>
        <v>5063.3681971763363</v>
      </c>
      <c r="T68" s="199">
        <f t="shared" si="49"/>
        <v>5195.1773673341431</v>
      </c>
      <c r="U68" s="199">
        <f t="shared" si="49"/>
        <v>5356.2959715869265</v>
      </c>
      <c r="V68" s="199">
        <f t="shared" si="49"/>
        <v>5616.8429904807663</v>
      </c>
    </row>
    <row r="69" spans="1:22" x14ac:dyDescent="0.25">
      <c r="A69" s="5" t="s">
        <v>84</v>
      </c>
      <c r="B69" s="86">
        <f>monthly_data!$I4*0.85/1000</f>
        <v>3460.8778500000003</v>
      </c>
      <c r="C69" s="86">
        <f>monthly_data!$I16*0.85/1000</f>
        <v>3641.8819499999995</v>
      </c>
      <c r="D69" s="86">
        <f>monthly_data!$I28*0.85/1000</f>
        <v>3429.7040999999999</v>
      </c>
      <c r="E69" s="86">
        <f>monthly_data!$I40*0.85/1000</f>
        <v>3502.4096999999997</v>
      </c>
      <c r="F69" s="86">
        <f>monthly_data!$I52*0.85/1000</f>
        <v>3718.93615</v>
      </c>
      <c r="G69" s="86">
        <f>monthly_data!$I64*0.85/1000</f>
        <v>3837.0971999999997</v>
      </c>
      <c r="H69" s="86">
        <f>monthly_data!$I76*0.85/1000</f>
        <v>3774.3791000000001</v>
      </c>
      <c r="I69" s="86">
        <f>monthly_data!$I88*0.85/1000</f>
        <v>4189.9270999999999</v>
      </c>
      <c r="J69" s="86">
        <f>monthly_data!$I100*0.85/1000</f>
        <v>4084.46335</v>
      </c>
      <c r="K69" s="86">
        <f>monthly_data!$I112*0.85/1000</f>
        <v>4309.3980000000001</v>
      </c>
      <c r="L69" s="198">
        <f>monthly_data!$I124*0.85/1000</f>
        <v>4454.9094999999998</v>
      </c>
      <c r="M69" s="199">
        <f t="shared" ref="M69:N69" si="50">M$80*(SUM(C69:L69)/SUM(C$80:L$80))</f>
        <v>4521.1982583725176</v>
      </c>
      <c r="N69" s="199">
        <f t="shared" si="50"/>
        <v>4584.6670609841249</v>
      </c>
      <c r="O69" s="199">
        <f t="shared" si="49"/>
        <v>4684.8901617926858</v>
      </c>
      <c r="P69" s="199">
        <f t="shared" si="49"/>
        <v>4785.7661210162114</v>
      </c>
      <c r="Q69" s="199">
        <f t="shared" si="49"/>
        <v>4900.784780076443</v>
      </c>
      <c r="R69" s="199">
        <f t="shared" si="49"/>
        <v>5006.2034229798846</v>
      </c>
      <c r="S69" s="199">
        <f t="shared" si="49"/>
        <v>5153.479923613042</v>
      </c>
      <c r="T69" s="199">
        <f t="shared" si="49"/>
        <v>5267.4237923104674</v>
      </c>
      <c r="U69" s="199">
        <f t="shared" si="49"/>
        <v>5411.5129005313847</v>
      </c>
      <c r="V69" s="199">
        <f t="shared" si="49"/>
        <v>5682.7639771100103</v>
      </c>
    </row>
    <row r="70" spans="1:22" x14ac:dyDescent="0.25">
      <c r="A70" s="5" t="s">
        <v>85</v>
      </c>
      <c r="B70" s="86">
        <f>monthly_data!$I5*0.85/1000</f>
        <v>4261.7317000000003</v>
      </c>
      <c r="C70" s="86">
        <f>monthly_data!$I17*0.85/1000</f>
        <v>4038.65515</v>
      </c>
      <c r="D70" s="86">
        <f>monthly_data!$I29*0.85/1000</f>
        <v>4124.2824499999997</v>
      </c>
      <c r="E70" s="86">
        <f>monthly_data!$I41*0.85/1000</f>
        <v>4101.9070499999998</v>
      </c>
      <c r="F70" s="86">
        <f>monthly_data!$I53*0.85/1000</f>
        <v>3871.5400499999996</v>
      </c>
      <c r="G70" s="86">
        <f>monthly_data!$I65*0.85/1000</f>
        <v>4003.9793999999997</v>
      </c>
      <c r="H70" s="86">
        <f>monthly_data!$I77*0.85/1000</f>
        <v>4672.1066000000001</v>
      </c>
      <c r="I70" s="86">
        <f>monthly_data!$I89*0.85/1000</f>
        <v>4642.5121499999996</v>
      </c>
      <c r="J70" s="86">
        <f>monthly_data!$I101*0.85/1000</f>
        <v>4971.9967999999999</v>
      </c>
      <c r="K70" s="86">
        <f>monthly_data!$I113*0.85/1000</f>
        <v>4587.3802999999998</v>
      </c>
      <c r="L70" s="199">
        <f>L$80*(SUM(B70:K70)/SUM(B$80:K$80))</f>
        <v>5001.6094606620045</v>
      </c>
      <c r="M70" s="199">
        <f t="shared" ref="M70:V78" si="51">M$80*(SUM(C70:L70)/SUM(C$80:L$80))</f>
        <v>5110.1451300145718</v>
      </c>
      <c r="N70" s="199">
        <f t="shared" si="51"/>
        <v>5190.8190705368306</v>
      </c>
      <c r="O70" s="199">
        <f t="shared" si="51"/>
        <v>5276.7251894556666</v>
      </c>
      <c r="P70" s="199">
        <f t="shared" si="51"/>
        <v>5372.5179285122022</v>
      </c>
      <c r="Q70" s="199">
        <f t="shared" si="51"/>
        <v>5536.0303829218337</v>
      </c>
      <c r="R70" s="199">
        <f t="shared" si="51"/>
        <v>5692.4689139455422</v>
      </c>
      <c r="S70" s="199">
        <f t="shared" si="51"/>
        <v>5816.8787639342872</v>
      </c>
      <c r="T70" s="199">
        <f t="shared" si="51"/>
        <v>5955.323394342563</v>
      </c>
      <c r="U70" s="199">
        <f t="shared" si="51"/>
        <v>6078.0286402717138</v>
      </c>
      <c r="V70" s="199">
        <f t="shared" si="51"/>
        <v>6412.1437229791345</v>
      </c>
    </row>
    <row r="71" spans="1:22" x14ac:dyDescent="0.25">
      <c r="A71" s="5" t="s">
        <v>86</v>
      </c>
      <c r="B71" s="86">
        <f>monthly_data!$I6*0.85/1000</f>
        <v>4028.08455</v>
      </c>
      <c r="C71" s="86">
        <f>monthly_data!$I18*0.85/1000</f>
        <v>3887.0023999999999</v>
      </c>
      <c r="D71" s="86">
        <f>monthly_data!$I30*0.85/1000</f>
        <v>3524.6304</v>
      </c>
      <c r="E71" s="86">
        <f>monthly_data!$I42*0.85/1000</f>
        <v>3925.6995000000002</v>
      </c>
      <c r="F71" s="86">
        <f>monthly_data!$I54*0.85/1000</f>
        <v>3955.6059</v>
      </c>
      <c r="G71" s="86">
        <f>monthly_data!$I66*0.85/1000</f>
        <v>3404.0944499999996</v>
      </c>
      <c r="H71" s="86">
        <f>monthly_data!$I78*0.85/1000</f>
        <v>4322.9733499999993</v>
      </c>
      <c r="I71" s="86">
        <f>monthly_data!$I90*0.85/1000</f>
        <v>4241.3588999999993</v>
      </c>
      <c r="J71" s="86">
        <f>monthly_data!$I102*0.85/1000</f>
        <v>4168.2444500000001</v>
      </c>
      <c r="K71" s="86">
        <f>monthly_data!$I114*0.85/1000</f>
        <v>4792.2345500000001</v>
      </c>
      <c r="L71" s="199">
        <f t="shared" ref="L71:L78" si="52">L$80*(SUM(B71:K71)/SUM(B$80:K$80))</f>
        <v>4651.8623852320261</v>
      </c>
      <c r="M71" s="199">
        <f t="shared" si="51"/>
        <v>4745.3361567569991</v>
      </c>
      <c r="N71" s="199">
        <f t="shared" si="51"/>
        <v>4804.5170925545162</v>
      </c>
      <c r="O71" s="199">
        <f t="shared" si="51"/>
        <v>4917.4965736887798</v>
      </c>
      <c r="P71" s="199">
        <f t="shared" si="51"/>
        <v>4995.0711701422442</v>
      </c>
      <c r="Q71" s="199">
        <f t="shared" si="51"/>
        <v>5106.7279404457358</v>
      </c>
      <c r="R71" s="199">
        <f t="shared" si="51"/>
        <v>5283.7451116686461</v>
      </c>
      <c r="S71" s="199">
        <f t="shared" si="51"/>
        <v>5400.7700467454688</v>
      </c>
      <c r="T71" s="199">
        <f t="shared" si="51"/>
        <v>5537.1356019751165</v>
      </c>
      <c r="U71" s="199">
        <f t="shared" si="51"/>
        <v>5702.8337522468764</v>
      </c>
      <c r="V71" s="199">
        <f t="shared" si="51"/>
        <v>5959.4586766811799</v>
      </c>
    </row>
    <row r="72" spans="1:22" x14ac:dyDescent="0.25">
      <c r="A72" s="5" t="s">
        <v>87</v>
      </c>
      <c r="B72" s="86">
        <f>monthly_data!$I7*0.85/1000</f>
        <v>3941.0734499999999</v>
      </c>
      <c r="C72" s="86">
        <f>monthly_data!$I19*0.85/1000</f>
        <v>3824.7730499999998</v>
      </c>
      <c r="D72" s="86">
        <f>monthly_data!$I31*0.85/1000</f>
        <v>3922.4839499999998</v>
      </c>
      <c r="E72" s="86">
        <f>monthly_data!$I43*0.85/1000</f>
        <v>3206.7125499999997</v>
      </c>
      <c r="F72" s="86">
        <f>monthly_data!$I55*0.85/1000</f>
        <v>4077.2102999999997</v>
      </c>
      <c r="G72" s="86">
        <f>monthly_data!$I67*0.85/1000</f>
        <v>3706.2975000000001</v>
      </c>
      <c r="H72" s="86">
        <f>monthly_data!$I79*0.85/1000</f>
        <v>4268.8292000000001</v>
      </c>
      <c r="I72" s="86">
        <f>monthly_data!$I91*0.85/1000</f>
        <v>4543.3689999999997</v>
      </c>
      <c r="J72" s="86">
        <f>monthly_data!$I103*0.85/1000</f>
        <v>4798.3324499999999</v>
      </c>
      <c r="K72" s="86">
        <f>monthly_data!$I115*0.85/1000</f>
        <v>4799.8454499999998</v>
      </c>
      <c r="L72" s="199">
        <f t="shared" si="52"/>
        <v>4748.8291496741367</v>
      </c>
      <c r="M72" s="199">
        <f t="shared" si="51"/>
        <v>4864.1011754845058</v>
      </c>
      <c r="N72" s="199">
        <f t="shared" si="51"/>
        <v>4943.1275635595966</v>
      </c>
      <c r="O72" s="199">
        <f t="shared" si="51"/>
        <v>5025.506028491166</v>
      </c>
      <c r="P72" s="199">
        <f t="shared" si="51"/>
        <v>5196.1879564682822</v>
      </c>
      <c r="Q72" s="199">
        <f t="shared" si="51"/>
        <v>5316.6100739646372</v>
      </c>
      <c r="R72" s="199">
        <f t="shared" si="51"/>
        <v>5482.557765984051</v>
      </c>
      <c r="S72" s="199">
        <f t="shared" si="51"/>
        <v>5628.5301649667317</v>
      </c>
      <c r="T72" s="199">
        <f t="shared" si="51"/>
        <v>5756.6926810376253</v>
      </c>
      <c r="U72" s="199">
        <f t="shared" si="51"/>
        <v>5876.1942815082712</v>
      </c>
      <c r="V72" s="199">
        <f t="shared" si="51"/>
        <v>6156.7080312800617</v>
      </c>
    </row>
    <row r="73" spans="1:22" x14ac:dyDescent="0.25">
      <c r="A73" s="5" t="s">
        <v>88</v>
      </c>
      <c r="B73" s="86">
        <f>monthly_data!$I8*0.85/1000</f>
        <v>4133.8126499999998</v>
      </c>
      <c r="C73" s="86">
        <f>monthly_data!$I20*0.85/1000</f>
        <v>3924.0216</v>
      </c>
      <c r="D73" s="86">
        <f>monthly_data!$I32*0.85/1000</f>
        <v>3975.8359</v>
      </c>
      <c r="E73" s="86">
        <f>monthly_data!$I44*0.85/1000</f>
        <v>4259.9892</v>
      </c>
      <c r="F73" s="86">
        <f>monthly_data!$I56*0.85/1000</f>
        <v>3955.2293500000001</v>
      </c>
      <c r="G73" s="86">
        <f>monthly_data!$I68*0.85/1000</f>
        <v>3991.6365499999997</v>
      </c>
      <c r="H73" s="86">
        <f>monthly_data!$I80*0.85/1000</f>
        <v>4348.6671499999993</v>
      </c>
      <c r="I73" s="86">
        <f>monthly_data!$I92*0.85/1000</f>
        <v>4368.4492</v>
      </c>
      <c r="J73" s="86">
        <f>monthly_data!$I104*0.85/1000</f>
        <v>4639.9817000000003</v>
      </c>
      <c r="K73" s="86">
        <f>monthly_data!$I116*0.85/1000</f>
        <v>4815.6333500000001</v>
      </c>
      <c r="L73" s="199">
        <f t="shared" si="52"/>
        <v>4901.8878006310379</v>
      </c>
      <c r="M73" s="199">
        <f t="shared" si="51"/>
        <v>5013.2457688205977</v>
      </c>
      <c r="N73" s="199">
        <f t="shared" si="51"/>
        <v>5096.770793810063</v>
      </c>
      <c r="O73" s="199">
        <f t="shared" si="51"/>
        <v>5189.5489865477139</v>
      </c>
      <c r="P73" s="199">
        <f t="shared" si="51"/>
        <v>5258.121918951666</v>
      </c>
      <c r="Q73" s="199">
        <f t="shared" si="51"/>
        <v>5399.3184418243382</v>
      </c>
      <c r="R73" s="199">
        <f t="shared" si="51"/>
        <v>5542.1125409402193</v>
      </c>
      <c r="S73" s="199">
        <f t="shared" si="51"/>
        <v>5685.8817982519977</v>
      </c>
      <c r="T73" s="199">
        <f t="shared" si="51"/>
        <v>5840.4165869799199</v>
      </c>
      <c r="U73" s="199">
        <f t="shared" si="51"/>
        <v>5987.5550090940387</v>
      </c>
      <c r="V73" s="199">
        <f t="shared" si="51"/>
        <v>6282.1441633361674</v>
      </c>
    </row>
    <row r="74" spans="1:22" x14ac:dyDescent="0.25">
      <c r="A74" s="5" t="s">
        <v>89</v>
      </c>
      <c r="B74" s="86">
        <f>monthly_data!$I9*0.85/1000</f>
        <v>4218.8917000000001</v>
      </c>
      <c r="C74" s="86">
        <f>monthly_data!$I21*0.85/1000</f>
        <v>3992.4984499999996</v>
      </c>
      <c r="D74" s="86">
        <f>monthly_data!$I33*0.85/1000</f>
        <v>4098.2443999999996</v>
      </c>
      <c r="E74" s="86">
        <f>monthly_data!$I45*0.85/1000</f>
        <v>4234.8300499999996</v>
      </c>
      <c r="F74" s="86">
        <f>monthly_data!$I57*0.85/1000</f>
        <v>4408.9772000000003</v>
      </c>
      <c r="G74" s="86">
        <f>monthly_data!$I69*0.85/1000</f>
        <v>4446.4740999999995</v>
      </c>
      <c r="H74" s="86">
        <f>monthly_data!$I81*0.85/1000</f>
        <v>4774.8834999999999</v>
      </c>
      <c r="I74" s="86">
        <f>monthly_data!$I93*0.85/1000</f>
        <v>4701.7716</v>
      </c>
      <c r="J74" s="86">
        <f>monthly_data!$I105*0.85/1000</f>
        <v>4859.8053</v>
      </c>
      <c r="K74" s="86">
        <f>monthly_data!$I117*0.85/1000</f>
        <v>5159.2534999999998</v>
      </c>
      <c r="L74" s="199">
        <f t="shared" si="52"/>
        <v>5188.7866530585598</v>
      </c>
      <c r="M74" s="199">
        <f t="shared" si="51"/>
        <v>5324.8739284981239</v>
      </c>
      <c r="N74" s="199">
        <f t="shared" si="51"/>
        <v>5433.789437732672</v>
      </c>
      <c r="O74" s="199">
        <f t="shared" si="51"/>
        <v>5548.7644693063321</v>
      </c>
      <c r="P74" s="199">
        <f t="shared" si="51"/>
        <v>5658.4122351721653</v>
      </c>
      <c r="Q74" s="199">
        <f t="shared" si="51"/>
        <v>5793.0518854607835</v>
      </c>
      <c r="R74" s="199">
        <f t="shared" si="51"/>
        <v>5927.7493384998706</v>
      </c>
      <c r="S74" s="199">
        <f t="shared" si="51"/>
        <v>6067.5273673235433</v>
      </c>
      <c r="T74" s="199">
        <f t="shared" si="51"/>
        <v>6227.890373697418</v>
      </c>
      <c r="U74" s="199">
        <f t="shared" si="51"/>
        <v>6394.7815657338533</v>
      </c>
      <c r="V74" s="199">
        <f t="shared" si="51"/>
        <v>6707.5305702546402</v>
      </c>
    </row>
    <row r="75" spans="1:22" x14ac:dyDescent="0.25">
      <c r="A75" s="5" t="s">
        <v>90</v>
      </c>
      <c r="B75" s="86">
        <f>monthly_data!$I10*0.85/1000</f>
        <v>4264.9684999999999</v>
      </c>
      <c r="C75" s="86">
        <f>monthly_data!$I22*0.85/1000</f>
        <v>4167.8772499999995</v>
      </c>
      <c r="D75" s="86">
        <f>monthly_data!$I34*0.85/1000</f>
        <v>4251.3447000000006</v>
      </c>
      <c r="E75" s="86">
        <f>monthly_data!$I46*0.85/1000</f>
        <v>4418.0024999999996</v>
      </c>
      <c r="F75" s="86">
        <f>monthly_data!$I58*0.85/1000</f>
        <v>4491.4688499999993</v>
      </c>
      <c r="G75" s="86">
        <f>monthly_data!$I70*0.85/1000</f>
        <v>4389.7587000000003</v>
      </c>
      <c r="H75" s="86">
        <f>monthly_data!$I82*0.85/1000</f>
        <v>4868.2262499999997</v>
      </c>
      <c r="I75" s="86">
        <f>monthly_data!$I94*0.85/1000</f>
        <v>4939.4647500000001</v>
      </c>
      <c r="J75" s="86">
        <f>monthly_data!$I106*0.85/1000</f>
        <v>5284.1457</v>
      </c>
      <c r="K75" s="86">
        <f>monthly_data!$I118*0.85/1000</f>
        <v>5197.4983999999995</v>
      </c>
      <c r="L75" s="199">
        <f t="shared" si="52"/>
        <v>5347.9471771998778</v>
      </c>
      <c r="M75" s="199">
        <f t="shared" si="51"/>
        <v>5497.8835666920168</v>
      </c>
      <c r="N75" s="199">
        <f t="shared" si="51"/>
        <v>5605.0811944893421</v>
      </c>
      <c r="O75" s="199">
        <f t="shared" si="51"/>
        <v>5720.9470910232703</v>
      </c>
      <c r="P75" s="199">
        <f t="shared" si="51"/>
        <v>5828.1215347529433</v>
      </c>
      <c r="Q75" s="199">
        <f t="shared" si="51"/>
        <v>5972.4390398773558</v>
      </c>
      <c r="R75" s="199">
        <f t="shared" si="51"/>
        <v>6133.2813375123042</v>
      </c>
      <c r="S75" s="199">
        <f t="shared" si="51"/>
        <v>6286.0813127015563</v>
      </c>
      <c r="T75" s="199">
        <f t="shared" si="51"/>
        <v>6444.4775216818662</v>
      </c>
      <c r="U75" s="199">
        <f t="shared" si="51"/>
        <v>6588.1866412160953</v>
      </c>
      <c r="V75" s="199">
        <f t="shared" si="51"/>
        <v>6924.1196521910015</v>
      </c>
    </row>
    <row r="76" spans="1:22" x14ac:dyDescent="0.25">
      <c r="A76" s="5" t="s">
        <v>91</v>
      </c>
      <c r="B76" s="86">
        <f>monthly_data!$I11*0.85/1000</f>
        <v>4192.2688500000004</v>
      </c>
      <c r="C76" s="86">
        <f>monthly_data!$I23*0.85/1000</f>
        <v>4059.2583</v>
      </c>
      <c r="D76" s="86">
        <f>monthly_data!$I35*0.85/1000</f>
        <v>4128.0964000000004</v>
      </c>
      <c r="E76" s="86">
        <f>monthly_data!$I47*0.85/1000</f>
        <v>4045.7458500000002</v>
      </c>
      <c r="F76" s="86">
        <f>monthly_data!$I59*0.85/1000</f>
        <v>4157.4443499999998</v>
      </c>
      <c r="G76" s="86">
        <f>monthly_data!$I71*0.85/1000</f>
        <v>4451.5995999999996</v>
      </c>
      <c r="H76" s="86">
        <f>monthly_data!$I83*0.85/1000</f>
        <v>4605.07305</v>
      </c>
      <c r="I76" s="86">
        <f>monthly_data!$I95*0.85/1000</f>
        <v>4668.8153999999995</v>
      </c>
      <c r="J76" s="86">
        <f>monthly_data!$I107*0.85/1000</f>
        <v>4897.5682500000003</v>
      </c>
      <c r="K76" s="86">
        <f>monthly_data!$I119*0.85/1000</f>
        <v>4917.7727500000001</v>
      </c>
      <c r="L76" s="199">
        <f t="shared" si="52"/>
        <v>5099.5646984990826</v>
      </c>
      <c r="M76" s="199">
        <f t="shared" si="51"/>
        <v>5227.9805469619369</v>
      </c>
      <c r="N76" s="199">
        <f t="shared" si="51"/>
        <v>5318.864359833141</v>
      </c>
      <c r="O76" s="199">
        <f t="shared" si="51"/>
        <v>5418.084917697749</v>
      </c>
      <c r="P76" s="199">
        <f t="shared" si="51"/>
        <v>5535.2928149891159</v>
      </c>
      <c r="Q76" s="199">
        <f t="shared" si="51"/>
        <v>5684.6438251550653</v>
      </c>
      <c r="R76" s="199">
        <f t="shared" si="51"/>
        <v>5806.836059704664</v>
      </c>
      <c r="S76" s="199">
        <f t="shared" si="51"/>
        <v>5951.9606687942396</v>
      </c>
      <c r="T76" s="199">
        <f t="shared" si="51"/>
        <v>6102.8560932862965</v>
      </c>
      <c r="U76" s="199">
        <f t="shared" si="51"/>
        <v>6251.0334804631766</v>
      </c>
      <c r="V76" s="199">
        <f t="shared" si="51"/>
        <v>6571.3761408522942</v>
      </c>
    </row>
    <row r="77" spans="1:22" x14ac:dyDescent="0.25">
      <c r="A77" s="5" t="s">
        <v>92</v>
      </c>
      <c r="B77" s="86">
        <f>monthly_data!$I12*0.85/1000</f>
        <v>4404.241</v>
      </c>
      <c r="C77" s="86">
        <f>monthly_data!$I24*0.85/1000</f>
        <v>3936.7511999999997</v>
      </c>
      <c r="D77" s="86">
        <f>monthly_data!$I36*0.85/1000</f>
        <v>4178.4112999999998</v>
      </c>
      <c r="E77" s="86">
        <f>monthly_data!$I48*0.85/1000</f>
        <v>4299.9978499999997</v>
      </c>
      <c r="F77" s="86">
        <f>monthly_data!$I60*0.85/1000</f>
        <v>4603.4070499999998</v>
      </c>
      <c r="G77" s="86">
        <f>monthly_data!$I72*0.85/1000</f>
        <v>4706.8460999999998</v>
      </c>
      <c r="H77" s="86">
        <f>monthly_data!$I84*0.85/1000</f>
        <v>4779.6112000000003</v>
      </c>
      <c r="I77" s="86">
        <f>monthly_data!$I96*0.85/1000</f>
        <v>4773.7410999999993</v>
      </c>
      <c r="J77" s="86">
        <f>monthly_data!$I108*0.85/1000</f>
        <v>4896.8253500000001</v>
      </c>
      <c r="K77" s="86">
        <f>monthly_data!$I120*0.85/1000</f>
        <v>5293.0324500000006</v>
      </c>
      <c r="L77" s="199">
        <f t="shared" si="52"/>
        <v>5301.7300043320147</v>
      </c>
      <c r="M77" s="199">
        <f t="shared" si="51"/>
        <v>5429.9223191104566</v>
      </c>
      <c r="N77" s="199">
        <f t="shared" si="51"/>
        <v>5556.4724189710341</v>
      </c>
      <c r="O77" s="199">
        <f t="shared" si="51"/>
        <v>5675.4567122540793</v>
      </c>
      <c r="P77" s="199">
        <f t="shared" si="51"/>
        <v>5791.186452780802</v>
      </c>
      <c r="Q77" s="199">
        <f t="shared" si="51"/>
        <v>5918.6713763026064</v>
      </c>
      <c r="R77" s="199">
        <f t="shared" si="51"/>
        <v>6037.7579118987996</v>
      </c>
      <c r="S77" s="199">
        <f t="shared" si="51"/>
        <v>6189.6265120016387</v>
      </c>
      <c r="T77" s="199">
        <f t="shared" si="51"/>
        <v>6355.7826444348339</v>
      </c>
      <c r="U77" s="199">
        <f t="shared" si="51"/>
        <v>6533.227788097437</v>
      </c>
      <c r="V77" s="199">
        <f t="shared" si="51"/>
        <v>6850.1748095652101</v>
      </c>
    </row>
    <row r="78" spans="1:22" x14ac:dyDescent="0.25">
      <c r="A78" s="5" t="s">
        <v>93</v>
      </c>
      <c r="B78" s="86">
        <f>monthly_data!$I13*0.85/1000</f>
        <v>3874.3271999999997</v>
      </c>
      <c r="C78" s="86">
        <f>monthly_data!$I25*0.85/1000</f>
        <v>3740.0391</v>
      </c>
      <c r="D78" s="86">
        <f>monthly_data!$I37*0.85/1000</f>
        <v>3944.5796999999998</v>
      </c>
      <c r="E78" s="86">
        <f>monthly_data!$I49*0.85/1000</f>
        <v>4027.5167499999998</v>
      </c>
      <c r="F78" s="86">
        <f>monthly_data!$I61*0.85/1000</f>
        <v>4087.4663999999998</v>
      </c>
      <c r="G78" s="86">
        <f>monthly_data!$I73*0.85/1000</f>
        <v>4165.8058000000001</v>
      </c>
      <c r="H78" s="86">
        <f>monthly_data!$I85*0.85/1000</f>
        <v>4340.5088499999993</v>
      </c>
      <c r="I78" s="86">
        <f>monthly_data!$I97*0.85/1000</f>
        <v>4449.9548500000001</v>
      </c>
      <c r="J78" s="86">
        <f>monthly_data!$I109*0.85/1000</f>
        <v>4688.2302499999996</v>
      </c>
      <c r="K78" s="86">
        <f>monthly_data!$I121*0.85/1000</f>
        <v>4705.1817999999994</v>
      </c>
      <c r="L78" s="199">
        <f t="shared" si="52"/>
        <v>4856.8546935383201</v>
      </c>
      <c r="M78" s="199">
        <f t="shared" si="51"/>
        <v>4992.9062245578807</v>
      </c>
      <c r="N78" s="199">
        <f t="shared" si="51"/>
        <v>5095.4409929709118</v>
      </c>
      <c r="O78" s="199">
        <f t="shared" si="51"/>
        <v>5191.6498614382945</v>
      </c>
      <c r="P78" s="199">
        <f t="shared" si="51"/>
        <v>5286.8353666145122</v>
      </c>
      <c r="Q78" s="199">
        <f t="shared" si="51"/>
        <v>5416.2594098177015</v>
      </c>
      <c r="R78" s="199">
        <f t="shared" si="51"/>
        <v>5541.2305783254706</v>
      </c>
      <c r="S78" s="199">
        <f t="shared" si="51"/>
        <v>5685.8221971325411</v>
      </c>
      <c r="T78" s="199">
        <f t="shared" si="51"/>
        <v>5831.1145576693398</v>
      </c>
      <c r="U78" s="199">
        <f t="shared" si="51"/>
        <v>5971.7023468636307</v>
      </c>
      <c r="V78" s="199">
        <f t="shared" si="51"/>
        <v>6276.8957171642187</v>
      </c>
    </row>
    <row r="79" spans="1:22" x14ac:dyDescent="0.25">
      <c r="A79" s="5" t="s">
        <v>94</v>
      </c>
      <c r="B79" s="86">
        <f>monthly_data!$I14*0.85/1000</f>
        <v>3825.9137500000002</v>
      </c>
      <c r="C79" s="86">
        <f>monthly_data!$I26*0.85/1000</f>
        <v>3572.58655</v>
      </c>
      <c r="D79" s="86">
        <f>monthly_data!$I38*0.85/1000</f>
        <v>3613.5421000000001</v>
      </c>
      <c r="E79" s="86">
        <f>monthly_data!$I50*0.85/1000</f>
        <v>3746.8543999999997</v>
      </c>
      <c r="F79" s="86">
        <f>monthly_data!$I62*0.85/1000</f>
        <v>3643.6176499999997</v>
      </c>
      <c r="G79" s="86">
        <f>monthly_data!$I74*0.85/1000</f>
        <v>3979.6320000000001</v>
      </c>
      <c r="H79" s="86">
        <f>monthly_data!$I86*0.85/1000</f>
        <v>4194.3300999999992</v>
      </c>
      <c r="I79" s="86">
        <f>monthly_data!$I98*0.85/1000</f>
        <v>4282.1197999999995</v>
      </c>
      <c r="J79" s="86">
        <f>monthly_data!$I110*0.85/1000</f>
        <v>4540.0225499999997</v>
      </c>
      <c r="K79" s="86">
        <f>monthly_data!$I122*0.85/1000</f>
        <v>4261.6160999999993</v>
      </c>
      <c r="L79" s="199">
        <f>L80-SUM(L68:L78)</f>
        <v>4359.9679394729465</v>
      </c>
      <c r="M79" s="199">
        <f t="shared" ref="M79:V79" si="53">M80-SUM(M68:M78)</f>
        <v>4666.4575131731472</v>
      </c>
      <c r="N79" s="199">
        <f t="shared" si="53"/>
        <v>4753.4141866519203</v>
      </c>
      <c r="O79" s="199">
        <f t="shared" si="53"/>
        <v>4850.7406899664129</v>
      </c>
      <c r="P79" s="199">
        <f t="shared" si="53"/>
        <v>4941.5143176093989</v>
      </c>
      <c r="Q79" s="199">
        <f t="shared" si="53"/>
        <v>5082.5368832689273</v>
      </c>
      <c r="R79" s="199">
        <f t="shared" si="53"/>
        <v>5191.8390104654682</v>
      </c>
      <c r="S79" s="199">
        <f t="shared" si="53"/>
        <v>5312.879248171339</v>
      </c>
      <c r="T79" s="199">
        <f t="shared" si="53"/>
        <v>5434.5857410834433</v>
      </c>
      <c r="U79" s="199">
        <f t="shared" si="53"/>
        <v>5546.2458871154522</v>
      </c>
      <c r="V79" s="199">
        <f t="shared" si="53"/>
        <v>5842.319726070622</v>
      </c>
    </row>
    <row r="80" spans="1:22" x14ac:dyDescent="0.25">
      <c r="A80" s="61" t="s">
        <v>95</v>
      </c>
      <c r="B80" s="201">
        <f>SUM(B68:B79)</f>
        <v>48629.24035</v>
      </c>
      <c r="C80" s="201">
        <f t="shared" ref="C80:K80" si="54">SUM(C68:C79)</f>
        <v>46136.784500000002</v>
      </c>
      <c r="D80" s="201">
        <f t="shared" si="54"/>
        <v>46556.447350000002</v>
      </c>
      <c r="E80" s="201">
        <f t="shared" si="54"/>
        <v>47285.0461</v>
      </c>
      <c r="F80" s="201">
        <f t="shared" si="54"/>
        <v>48703.680800000002</v>
      </c>
      <c r="G80" s="201">
        <f t="shared" si="54"/>
        <v>48851.246750000006</v>
      </c>
      <c r="H80" s="201">
        <f t="shared" si="54"/>
        <v>52794.831099999996</v>
      </c>
      <c r="I80" s="201">
        <f t="shared" si="54"/>
        <v>53742.900699999998</v>
      </c>
      <c r="J80" s="201">
        <f t="shared" si="54"/>
        <v>55690.640849999996</v>
      </c>
      <c r="K80" s="201">
        <f t="shared" si="54"/>
        <v>57172.38465</v>
      </c>
      <c r="L80" s="201">
        <f t="shared" ref="L80:V80" si="55">L7</f>
        <v>58430.1771123</v>
      </c>
      <c r="M80" s="201">
        <f t="shared" si="55"/>
        <v>59832.501362995201</v>
      </c>
      <c r="N80" s="201">
        <f t="shared" si="55"/>
        <v>60909.486387529112</v>
      </c>
      <c r="O80" s="201">
        <f t="shared" si="55"/>
        <v>62127.676115279697</v>
      </c>
      <c r="P80" s="201">
        <f t="shared" si="55"/>
        <v>63370.229637585289</v>
      </c>
      <c r="Q80" s="201">
        <f t="shared" si="55"/>
        <v>64954.485378524914</v>
      </c>
      <c r="R80" s="201">
        <f t="shared" si="55"/>
        <v>66578.347512988024</v>
      </c>
      <c r="S80" s="201">
        <f t="shared" si="55"/>
        <v>68242.806200812716</v>
      </c>
      <c r="T80" s="201">
        <f t="shared" si="55"/>
        <v>69948.876355833025</v>
      </c>
      <c r="U80" s="201">
        <f t="shared" si="55"/>
        <v>71697.598264728847</v>
      </c>
      <c r="V80" s="201">
        <f t="shared" si="55"/>
        <v>75282.478177965299</v>
      </c>
    </row>
    <row r="81" spans="1:22" x14ac:dyDescent="0.25">
      <c r="A81" s="68"/>
      <c r="B81" s="68"/>
      <c r="C81" s="68"/>
      <c r="D81" s="68"/>
      <c r="E81" s="68"/>
      <c r="F81" s="68"/>
      <c r="G81" s="68"/>
      <c r="H81" s="68"/>
      <c r="I81" s="6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</row>
    <row r="82" spans="1:22" x14ac:dyDescent="0.25">
      <c r="P82" s="204"/>
    </row>
    <row r="83" spans="1:22" x14ac:dyDescent="0.25">
      <c r="A8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Data Sources</vt:lpstr>
      <vt:lpstr>Capacity</vt:lpstr>
      <vt:lpstr>annual_data</vt:lpstr>
      <vt:lpstr>monthly_data</vt:lpstr>
      <vt:lpstr>BD</vt:lpstr>
      <vt:lpstr>RD</vt:lpstr>
      <vt:lpstr>SAF</vt:lpstr>
      <vt:lpstr>Jet Fuel</vt:lpstr>
      <vt:lpstr>Diesel</vt:lpstr>
      <vt:lpstr>BD!Print_Area</vt:lpstr>
      <vt:lpstr>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2025-07-09T11:13:36Z</dcterms:created>
  <dcterms:modified xsi:type="dcterms:W3CDTF">2025-07-09T11:14:14Z</dcterms:modified>
</cp:coreProperties>
</file>