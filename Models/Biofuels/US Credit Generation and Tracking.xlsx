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8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0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1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2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3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4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5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A09FEFDB-C17E-4E31-880D-7B9F1B987C81}" xr6:coauthVersionLast="47" xr6:coauthVersionMax="47" xr10:uidLastSave="{00000000-0000-0000-0000-000000000000}"/>
  <bookViews>
    <workbookView xWindow="-28365" yWindow="630" windowWidth="27375" windowHeight="15420" firstSheet="10" activeTab="12" xr2:uid="{841F8268-A841-434D-B709-6A128C19B567}"/>
  </bookViews>
  <sheets>
    <sheet name="Domestic BBD Production Chart" sheetId="1" r:id="rId1"/>
    <sheet name="Chart1" sheetId="2" r:id="rId2"/>
    <sheet name="Chart2" sheetId="3" r:id="rId3"/>
    <sheet name="Chart3" sheetId="4" r:id="rId4"/>
    <sheet name="Chart4" sheetId="5" r:id="rId5"/>
    <sheet name="Chart5" sheetId="6" r:id="rId6"/>
    <sheet name="Graph Dashboard" sheetId="7" r:id="rId7"/>
    <sheet name="Dom Production" sheetId="8" r:id="rId8"/>
    <sheet name="Feedstock Yields" sheetId="9" r:id="rId9"/>
    <sheet name="Feedstock Use" sheetId="10" r:id="rId10"/>
    <sheet name="Feedstock Use - chart data" sheetId="11" r:id="rId11"/>
    <sheet name="BBD Prod and Profit - data" sheetId="12" r:id="rId12"/>
    <sheet name="Biodiesel" sheetId="13" r:id="rId13"/>
    <sheet name="Renewable Diesel" sheetId="14" r:id="rId14"/>
    <sheet name="SAF" sheetId="15" r:id="rId15"/>
    <sheet name="Renewable Fuel - EIA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2" hidden="1">Biodiesel!$AW$2:$AX$15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1" i="10" l="1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A46" i="10"/>
  <c r="AA48" i="10" s="1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A43" i="10"/>
  <c r="Z43" i="10"/>
  <c r="Y43" i="10"/>
  <c r="X43" i="10"/>
  <c r="W43" i="10"/>
  <c r="V43" i="10"/>
  <c r="U43" i="10"/>
  <c r="T43" i="10"/>
  <c r="S43" i="10"/>
  <c r="R43" i="10"/>
  <c r="Q43" i="10"/>
  <c r="Q48" i="10" s="1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A37" i="10"/>
  <c r="Z37" i="10"/>
  <c r="Y37" i="10"/>
  <c r="X37" i="10"/>
  <c r="W37" i="10"/>
  <c r="V37" i="10"/>
  <c r="U37" i="10"/>
  <c r="T37" i="10"/>
  <c r="S37" i="10"/>
  <c r="R37" i="10"/>
  <c r="R48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O20" i="10"/>
  <c r="P20" i="10"/>
  <c r="O21" i="10"/>
  <c r="O22" i="10"/>
  <c r="O23" i="10"/>
  <c r="O24" i="10"/>
  <c r="O25" i="10"/>
  <c r="O26" i="10"/>
  <c r="O27" i="10"/>
  <c r="O28" i="10"/>
  <c r="O29" i="10"/>
  <c r="O30" i="10"/>
  <c r="O31" i="10"/>
  <c r="D20" i="10"/>
  <c r="E20" i="10"/>
  <c r="F20" i="10"/>
  <c r="G20" i="10"/>
  <c r="H20" i="10"/>
  <c r="I20" i="10"/>
  <c r="J20" i="10"/>
  <c r="K20" i="10"/>
  <c r="L20" i="10"/>
  <c r="M20" i="10"/>
  <c r="N20" i="10"/>
  <c r="D21" i="10"/>
  <c r="E21" i="10"/>
  <c r="F21" i="10"/>
  <c r="G21" i="10"/>
  <c r="H21" i="10"/>
  <c r="I21" i="10"/>
  <c r="J21" i="10"/>
  <c r="K21" i="10"/>
  <c r="L21" i="10"/>
  <c r="M21" i="10"/>
  <c r="N21" i="10"/>
  <c r="D22" i="10"/>
  <c r="E22" i="10"/>
  <c r="F22" i="10"/>
  <c r="G22" i="10"/>
  <c r="H22" i="10"/>
  <c r="I22" i="10"/>
  <c r="J22" i="10"/>
  <c r="K22" i="10"/>
  <c r="L22" i="10"/>
  <c r="M22" i="10"/>
  <c r="N22" i="10"/>
  <c r="D23" i="10"/>
  <c r="E23" i="10"/>
  <c r="F23" i="10"/>
  <c r="G23" i="10"/>
  <c r="H23" i="10"/>
  <c r="I23" i="10"/>
  <c r="J23" i="10"/>
  <c r="K23" i="10"/>
  <c r="L23" i="10"/>
  <c r="M23" i="10"/>
  <c r="N23" i="10"/>
  <c r="D24" i="10"/>
  <c r="E24" i="10"/>
  <c r="F24" i="10"/>
  <c r="G24" i="10"/>
  <c r="H24" i="10"/>
  <c r="I24" i="10"/>
  <c r="J24" i="10"/>
  <c r="K24" i="10"/>
  <c r="L24" i="10"/>
  <c r="M24" i="10"/>
  <c r="N24" i="10"/>
  <c r="D25" i="10"/>
  <c r="E25" i="10"/>
  <c r="F25" i="10"/>
  <c r="G25" i="10"/>
  <c r="H25" i="10"/>
  <c r="I25" i="10"/>
  <c r="J25" i="10"/>
  <c r="K25" i="10"/>
  <c r="L25" i="10"/>
  <c r="M25" i="10"/>
  <c r="N25" i="10"/>
  <c r="D26" i="10"/>
  <c r="E26" i="10"/>
  <c r="F26" i="10"/>
  <c r="G26" i="10"/>
  <c r="H26" i="10"/>
  <c r="I26" i="10"/>
  <c r="J26" i="10"/>
  <c r="K26" i="10"/>
  <c r="L26" i="10"/>
  <c r="M26" i="10"/>
  <c r="N26" i="10"/>
  <c r="D27" i="10"/>
  <c r="E27" i="10"/>
  <c r="F27" i="10"/>
  <c r="G27" i="10"/>
  <c r="H27" i="10"/>
  <c r="I27" i="10"/>
  <c r="J27" i="10"/>
  <c r="K27" i="10"/>
  <c r="L27" i="10"/>
  <c r="M27" i="10"/>
  <c r="N27" i="10"/>
  <c r="D28" i="10"/>
  <c r="E28" i="10"/>
  <c r="F28" i="10"/>
  <c r="G28" i="10"/>
  <c r="H28" i="10"/>
  <c r="I28" i="10"/>
  <c r="J28" i="10"/>
  <c r="K28" i="10"/>
  <c r="L28" i="10"/>
  <c r="M28" i="10"/>
  <c r="N28" i="10"/>
  <c r="D29" i="10"/>
  <c r="E29" i="10"/>
  <c r="F29" i="10"/>
  <c r="G29" i="10"/>
  <c r="H29" i="10"/>
  <c r="I29" i="10"/>
  <c r="J29" i="10"/>
  <c r="K29" i="10"/>
  <c r="L29" i="10"/>
  <c r="M29" i="10"/>
  <c r="N29" i="10"/>
  <c r="D30" i="10"/>
  <c r="E30" i="10"/>
  <c r="F30" i="10"/>
  <c r="G30" i="10"/>
  <c r="H30" i="10"/>
  <c r="I30" i="10"/>
  <c r="J30" i="10"/>
  <c r="K30" i="10"/>
  <c r="L30" i="10"/>
  <c r="M30" i="10"/>
  <c r="N30" i="10"/>
  <c r="D31" i="10"/>
  <c r="E31" i="10"/>
  <c r="F31" i="10"/>
  <c r="G31" i="10"/>
  <c r="H31" i="10"/>
  <c r="I31" i="10"/>
  <c r="J31" i="10"/>
  <c r="K31" i="10"/>
  <c r="L31" i="10"/>
  <c r="M31" i="10"/>
  <c r="N31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B30" i="10"/>
  <c r="B31" i="10"/>
  <c r="B29" i="10"/>
  <c r="B21" i="10"/>
  <c r="B22" i="10"/>
  <c r="B23" i="10"/>
  <c r="B24" i="10"/>
  <c r="B25" i="10"/>
  <c r="B26" i="10"/>
  <c r="B27" i="10"/>
  <c r="B28" i="10"/>
  <c r="B20" i="10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B66" i="9"/>
  <c r="B67" i="9"/>
  <c r="B65" i="9"/>
  <c r="B57" i="9"/>
  <c r="B58" i="9"/>
  <c r="B59" i="9"/>
  <c r="B60" i="9"/>
  <c r="B61" i="9"/>
  <c r="B62" i="9"/>
  <c r="B63" i="9"/>
  <c r="B64" i="9"/>
  <c r="B56" i="9"/>
  <c r="BU18" i="13"/>
  <c r="BV18" i="13"/>
  <c r="BW18" i="13"/>
  <c r="BX18" i="13"/>
  <c r="BS18" i="13"/>
  <c r="BT18" i="13"/>
  <c r="V48" i="10" l="1"/>
  <c r="U48" i="10"/>
  <c r="T48" i="10"/>
  <c r="X48" i="10"/>
  <c r="W48" i="10"/>
  <c r="S48" i="10"/>
  <c r="P48" i="10"/>
  <c r="Y48" i="10"/>
  <c r="Z48" i="10"/>
  <c r="L31" i="14" l="1"/>
  <c r="K31" i="14"/>
  <c r="J31" i="14"/>
  <c r="I31" i="14"/>
  <c r="H31" i="14"/>
  <c r="G31" i="14"/>
  <c r="F31" i="14"/>
  <c r="E31" i="14"/>
  <c r="D31" i="14"/>
  <c r="C31" i="14"/>
  <c r="M30" i="14"/>
  <c r="L30" i="14"/>
  <c r="K30" i="14"/>
  <c r="J30" i="14"/>
  <c r="I30" i="14"/>
  <c r="H30" i="14"/>
  <c r="G30" i="14"/>
  <c r="F30" i="14"/>
  <c r="E30" i="14"/>
  <c r="D30" i="14"/>
  <c r="C30" i="14"/>
  <c r="M29" i="14"/>
  <c r="L29" i="14"/>
  <c r="K29" i="14"/>
  <c r="J29" i="14"/>
  <c r="I29" i="14"/>
  <c r="H29" i="14"/>
  <c r="G29" i="14"/>
  <c r="F29" i="14"/>
  <c r="E29" i="14"/>
  <c r="D29" i="14"/>
  <c r="C29" i="14"/>
  <c r="M28" i="14"/>
  <c r="L28" i="14"/>
  <c r="K28" i="14"/>
  <c r="J28" i="14"/>
  <c r="I28" i="14"/>
  <c r="H28" i="14"/>
  <c r="G28" i="14"/>
  <c r="F28" i="14"/>
  <c r="E28" i="14"/>
  <c r="D28" i="14"/>
  <c r="C28" i="14"/>
  <c r="C63" i="13"/>
  <c r="C62" i="13"/>
  <c r="C61" i="13"/>
  <c r="N63" i="13"/>
  <c r="M63" i="13"/>
  <c r="L63" i="13"/>
  <c r="K63" i="13"/>
  <c r="J63" i="13"/>
  <c r="I63" i="13"/>
  <c r="H63" i="13"/>
  <c r="G63" i="13"/>
  <c r="F63" i="13"/>
  <c r="E63" i="13"/>
  <c r="D63" i="13"/>
  <c r="N62" i="13"/>
  <c r="M62" i="13"/>
  <c r="L62" i="13"/>
  <c r="K62" i="13"/>
  <c r="J62" i="13"/>
  <c r="I62" i="13"/>
  <c r="H62" i="13"/>
  <c r="G62" i="13"/>
  <c r="F62" i="13"/>
  <c r="E62" i="13"/>
  <c r="D62" i="13"/>
  <c r="N61" i="13"/>
  <c r="M61" i="13"/>
  <c r="L61" i="13"/>
  <c r="K61" i="13"/>
  <c r="J61" i="13"/>
  <c r="I61" i="13"/>
  <c r="H61" i="13"/>
  <c r="G61" i="13"/>
  <c r="F61" i="13"/>
  <c r="E61" i="13"/>
  <c r="D61" i="13"/>
  <c r="N60" i="13"/>
  <c r="M60" i="13"/>
  <c r="L60" i="13"/>
  <c r="K60" i="13"/>
  <c r="J60" i="13"/>
  <c r="I60" i="13"/>
  <c r="H60" i="13"/>
  <c r="G60" i="13"/>
  <c r="F60" i="13"/>
  <c r="E60" i="13"/>
  <c r="D60" i="13"/>
  <c r="B137" i="9"/>
  <c r="B136" i="9"/>
  <c r="B135" i="9"/>
  <c r="B134" i="9"/>
  <c r="B133" i="9"/>
  <c r="B132" i="9"/>
  <c r="B131" i="9"/>
  <c r="B130" i="9"/>
  <c r="B129" i="9"/>
  <c r="B128" i="9"/>
  <c r="B12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C60" i="13"/>
  <c r="B126" i="9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D7" i="12"/>
  <c r="D6" i="12"/>
  <c r="D5" i="12"/>
  <c r="D4" i="12"/>
  <c r="D3" i="12"/>
  <c r="D2" i="12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X95" i="14"/>
  <c r="AX94" i="14"/>
  <c r="AX93" i="14"/>
  <c r="AX92" i="14"/>
  <c r="AX91" i="14"/>
  <c r="AX90" i="14"/>
  <c r="AX89" i="14"/>
  <c r="AX88" i="14"/>
  <c r="AX87" i="14"/>
  <c r="AX86" i="14"/>
  <c r="AX85" i="14"/>
  <c r="AX84" i="14"/>
  <c r="AX83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P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I75" i="14"/>
  <c r="H73" i="14"/>
  <c r="G73" i="14"/>
  <c r="AX61" i="14"/>
  <c r="AX60" i="14"/>
  <c r="AX59" i="14"/>
  <c r="AX58" i="14"/>
  <c r="AX57" i="14"/>
  <c r="AX56" i="14"/>
  <c r="AX55" i="14"/>
  <c r="AX54" i="14"/>
  <c r="AX53" i="14"/>
  <c r="AX52" i="14"/>
  <c r="AX51" i="14"/>
  <c r="AX50" i="14"/>
  <c r="AX49" i="14"/>
  <c r="O61" i="14"/>
  <c r="N61" i="14"/>
  <c r="M61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67" i="14" s="1"/>
  <c r="AX15" i="14"/>
  <c r="AX14" i="14"/>
  <c r="AX13" i="14"/>
  <c r="AX12" i="14"/>
  <c r="AX11" i="14"/>
  <c r="AX10" i="14"/>
  <c r="AX9" i="14"/>
  <c r="AX8" i="14"/>
  <c r="AX7" i="14"/>
  <c r="AX6" i="14"/>
  <c r="AX5" i="14"/>
  <c r="AX4" i="14"/>
  <c r="AX3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P92" i="13"/>
  <c r="AO92" i="13"/>
  <c r="AN92" i="13"/>
  <c r="AM92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AP91" i="13"/>
  <c r="AO91" i="13"/>
  <c r="AN91" i="13"/>
  <c r="AM91" i="13"/>
  <c r="AL91" i="13"/>
  <c r="AK91" i="13"/>
  <c r="AJ91" i="13"/>
  <c r="AI91" i="13"/>
  <c r="AH91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AP90" i="13"/>
  <c r="AO90" i="13"/>
  <c r="AN90" i="13"/>
  <c r="AM90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AP81" i="13"/>
  <c r="AO81" i="13"/>
  <c r="AN81" i="13"/>
  <c r="AM81" i="13"/>
  <c r="AL81" i="13"/>
  <c r="AK81" i="13"/>
  <c r="AJ81" i="13"/>
  <c r="AI81" i="13"/>
  <c r="AH81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BB47" i="13"/>
  <c r="BB46" i="13"/>
  <c r="BB45" i="13"/>
  <c r="BB44" i="13"/>
  <c r="BB43" i="13"/>
  <c r="BB42" i="13"/>
  <c r="BB41" i="13"/>
  <c r="BB40" i="13"/>
  <c r="BB39" i="13"/>
  <c r="BB38" i="13"/>
  <c r="BB37" i="13"/>
  <c r="BB36" i="13"/>
  <c r="BB35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BA14" i="13"/>
  <c r="BA13" i="13"/>
  <c r="BA12" i="13"/>
  <c r="BA11" i="13"/>
  <c r="BA10" i="13"/>
  <c r="BA9" i="13"/>
  <c r="BA8" i="13"/>
  <c r="BA7" i="13"/>
  <c r="BA6" i="13"/>
  <c r="BA5" i="13"/>
  <c r="BA4" i="13"/>
  <c r="BA3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BX29" i="13" s="1"/>
  <c r="T13" i="13"/>
  <c r="BW29" i="13" s="1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BX28" i="13" s="1"/>
  <c r="T12" i="13"/>
  <c r="BW28" i="13" s="1"/>
  <c r="S12" i="13"/>
  <c r="BV28" i="13" s="1"/>
  <c r="R12" i="13"/>
  <c r="BU28" i="13" s="1"/>
  <c r="Q12" i="13"/>
  <c r="BT28" i="13" s="1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BU27" i="13" s="1"/>
  <c r="Q11" i="13"/>
  <c r="BT27" i="13" s="1"/>
  <c r="P11" i="13"/>
  <c r="BS27" i="13" s="1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BX26" i="13" s="1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BV25" i="13" s="1"/>
  <c r="R9" i="13"/>
  <c r="BU25" i="13" s="1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BS24" i="13" s="1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BX22" i="13" s="1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BX21" i="13" s="1"/>
  <c r="T5" i="13"/>
  <c r="BW21" i="13" s="1"/>
  <c r="S5" i="13"/>
  <c r="BV21" i="13" s="1"/>
  <c r="R5" i="13"/>
  <c r="BU21" i="13" s="1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BV20" i="13" s="1"/>
  <c r="R4" i="13"/>
  <c r="BU20" i="13" s="1"/>
  <c r="Q4" i="13"/>
  <c r="BT20" i="13" s="1"/>
  <c r="P4" i="13"/>
  <c r="BS20" i="13" s="1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BS19" i="13" s="1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AP63" i="13"/>
  <c r="AO63" i="13"/>
  <c r="AN63" i="13"/>
  <c r="AM63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AP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E70" i="14" l="1"/>
  <c r="AP75" i="14"/>
  <c r="G78" i="14"/>
  <c r="N72" i="14"/>
  <c r="D68" i="14"/>
  <c r="Z68" i="14"/>
  <c r="G69" i="14"/>
  <c r="AC69" i="14"/>
  <c r="J70" i="14"/>
  <c r="AF70" i="14"/>
  <c r="M71" i="14"/>
  <c r="AI71" i="14"/>
  <c r="AL72" i="14"/>
  <c r="S73" i="14"/>
  <c r="AO73" i="14"/>
  <c r="C75" i="14"/>
  <c r="Y75" i="14"/>
  <c r="F76" i="14"/>
  <c r="AB76" i="14"/>
  <c r="I77" i="14"/>
  <c r="AE77" i="14"/>
  <c r="L78" i="14"/>
  <c r="AH78" i="14"/>
  <c r="X67" i="14"/>
  <c r="E68" i="14"/>
  <c r="AA68" i="14"/>
  <c r="H69" i="14"/>
  <c r="AD69" i="14"/>
  <c r="K70" i="14"/>
  <c r="AG70" i="14"/>
  <c r="N71" i="14"/>
  <c r="AJ71" i="14"/>
  <c r="AM72" i="14"/>
  <c r="AP73" i="14"/>
  <c r="D75" i="14"/>
  <c r="Z75" i="14"/>
  <c r="G76" i="14"/>
  <c r="AC76" i="14"/>
  <c r="J77" i="14"/>
  <c r="AF77" i="14"/>
  <c r="M78" i="14"/>
  <c r="AI78" i="14"/>
  <c r="C67" i="14"/>
  <c r="F68" i="14"/>
  <c r="AB68" i="14"/>
  <c r="I69" i="14"/>
  <c r="AE69" i="14"/>
  <c r="L70" i="14"/>
  <c r="AH70" i="14"/>
  <c r="O71" i="14"/>
  <c r="AK71" i="14"/>
  <c r="AN72" i="14"/>
  <c r="B74" i="14"/>
  <c r="E75" i="14"/>
  <c r="AA75" i="14"/>
  <c r="H76" i="14"/>
  <c r="AD76" i="14"/>
  <c r="K77" i="14"/>
  <c r="AG77" i="14"/>
  <c r="N78" i="14"/>
  <c r="AJ78" i="14"/>
  <c r="X76" i="14"/>
  <c r="D69" i="14"/>
  <c r="AI72" i="14"/>
  <c r="AE78" i="14"/>
  <c r="AA69" i="14"/>
  <c r="Z76" i="14"/>
  <c r="AC68" i="14"/>
  <c r="AA67" i="14"/>
  <c r="N70" i="14"/>
  <c r="AP72" i="14"/>
  <c r="J76" i="14"/>
  <c r="H67" i="14"/>
  <c r="AD67" i="14"/>
  <c r="K68" i="14"/>
  <c r="AG68" i="14"/>
  <c r="N69" i="14"/>
  <c r="AJ69" i="14"/>
  <c r="AM70" i="14"/>
  <c r="T71" i="14"/>
  <c r="AP71" i="14"/>
  <c r="D73" i="14"/>
  <c r="Z73" i="14"/>
  <c r="G74" i="14"/>
  <c r="AC74" i="14"/>
  <c r="J75" i="14"/>
  <c r="AF75" i="14"/>
  <c r="M76" i="14"/>
  <c r="AI76" i="14"/>
  <c r="AL77" i="14"/>
  <c r="AO78" i="14"/>
  <c r="L72" i="14"/>
  <c r="AA77" i="14"/>
  <c r="AP67" i="14"/>
  <c r="Z69" i="14"/>
  <c r="AC70" i="14"/>
  <c r="M72" i="14"/>
  <c r="AL73" i="14"/>
  <c r="V75" i="14"/>
  <c r="F77" i="14"/>
  <c r="AP74" i="14"/>
  <c r="C68" i="14"/>
  <c r="AB69" i="14"/>
  <c r="L71" i="14"/>
  <c r="AK72" i="14"/>
  <c r="AN73" i="14"/>
  <c r="E76" i="14"/>
  <c r="AD77" i="14"/>
  <c r="AG78" i="14"/>
  <c r="H68" i="14"/>
  <c r="Q71" i="14"/>
  <c r="AL78" i="14"/>
  <c r="AB67" i="14"/>
  <c r="AH69" i="14"/>
  <c r="X73" i="14"/>
  <c r="AJ77" i="14"/>
  <c r="P70" i="14"/>
  <c r="C73" i="14"/>
  <c r="O77" i="14"/>
  <c r="I67" i="14"/>
  <c r="AE67" i="14"/>
  <c r="L68" i="14"/>
  <c r="AH68" i="14"/>
  <c r="O69" i="14"/>
  <c r="AK69" i="14"/>
  <c r="AN70" i="14"/>
  <c r="U71" i="14"/>
  <c r="B72" i="14"/>
  <c r="X72" i="14"/>
  <c r="E73" i="14"/>
  <c r="AA73" i="14"/>
  <c r="H74" i="14"/>
  <c r="AD74" i="14"/>
  <c r="K75" i="14"/>
  <c r="AG75" i="14"/>
  <c r="N76" i="14"/>
  <c r="AJ76" i="14"/>
  <c r="AM77" i="14"/>
  <c r="AP78" i="14"/>
  <c r="R67" i="14"/>
  <c r="AA70" i="14"/>
  <c r="AG72" i="14"/>
  <c r="T75" i="14"/>
  <c r="Z77" i="14"/>
  <c r="AE71" i="14"/>
  <c r="U75" i="14"/>
  <c r="R73" i="14"/>
  <c r="Z74" i="14"/>
  <c r="I68" i="14"/>
  <c r="R71" i="14"/>
  <c r="AA74" i="14"/>
  <c r="K76" i="14"/>
  <c r="Q78" i="14"/>
  <c r="J68" i="14"/>
  <c r="F74" i="14"/>
  <c r="AE75" i="14"/>
  <c r="AK77" i="14"/>
  <c r="J67" i="14"/>
  <c r="AF67" i="14"/>
  <c r="M68" i="14"/>
  <c r="AI68" i="14"/>
  <c r="P69" i="14"/>
  <c r="AL69" i="14"/>
  <c r="AO70" i="14"/>
  <c r="V71" i="14"/>
  <c r="C72" i="14"/>
  <c r="Y72" i="14"/>
  <c r="F73" i="14"/>
  <c r="AB73" i="14"/>
  <c r="I74" i="14"/>
  <c r="AE74" i="14"/>
  <c r="L75" i="14"/>
  <c r="AH75" i="14"/>
  <c r="O76" i="14"/>
  <c r="AK76" i="14"/>
  <c r="R77" i="14"/>
  <c r="AN77" i="14"/>
  <c r="U78" i="14"/>
  <c r="S67" i="14"/>
  <c r="B68" i="14"/>
  <c r="Q73" i="14"/>
  <c r="P71" i="14"/>
  <c r="K69" i="14"/>
  <c r="AM71" i="14"/>
  <c r="D74" i="14"/>
  <c r="G75" i="14"/>
  <c r="M77" i="14"/>
  <c r="K67" i="14"/>
  <c r="AG67" i="14"/>
  <c r="N68" i="14"/>
  <c r="AJ68" i="14"/>
  <c r="Q69" i="14"/>
  <c r="AM69" i="14"/>
  <c r="T70" i="14"/>
  <c r="AP70" i="14"/>
  <c r="W71" i="14"/>
  <c r="D72" i="14"/>
  <c r="Z72" i="14"/>
  <c r="AC73" i="14"/>
  <c r="J74" i="14"/>
  <c r="AF74" i="14"/>
  <c r="M75" i="14"/>
  <c r="AI75" i="14"/>
  <c r="P76" i="14"/>
  <c r="AL76" i="14"/>
  <c r="S77" i="14"/>
  <c r="AO77" i="14"/>
  <c r="V78" i="14"/>
  <c r="AN67" i="14"/>
  <c r="AD71" i="14"/>
  <c r="E69" i="14"/>
  <c r="AG71" i="14"/>
  <c r="AM73" i="14"/>
  <c r="D76" i="14"/>
  <c r="J78" i="14"/>
  <c r="O72" i="14"/>
  <c r="D67" i="14"/>
  <c r="G68" i="14"/>
  <c r="J69" i="14"/>
  <c r="M70" i="14"/>
  <c r="AL71" i="14"/>
  <c r="C74" i="14"/>
  <c r="AB75" i="14"/>
  <c r="AE76" i="14"/>
  <c r="O78" i="14"/>
  <c r="L67" i="14"/>
  <c r="AH67" i="14"/>
  <c r="O68" i="14"/>
  <c r="AK68" i="14"/>
  <c r="R69" i="14"/>
  <c r="AN69" i="14"/>
  <c r="U70" i="14"/>
  <c r="B71" i="14"/>
  <c r="X71" i="14"/>
  <c r="E72" i="14"/>
  <c r="AA72" i="14"/>
  <c r="AD73" i="14"/>
  <c r="K74" i="14"/>
  <c r="AG74" i="14"/>
  <c r="N75" i="14"/>
  <c r="AJ75" i="14"/>
  <c r="Q76" i="14"/>
  <c r="AM76" i="14"/>
  <c r="T77" i="14"/>
  <c r="AP77" i="14"/>
  <c r="W78" i="14"/>
  <c r="K72" i="14"/>
  <c r="N73" i="14"/>
  <c r="AM74" i="14"/>
  <c r="W76" i="14"/>
  <c r="AC78" i="14"/>
  <c r="AO67" i="14"/>
  <c r="F70" i="14"/>
  <c r="O73" i="14"/>
  <c r="H78" i="14"/>
  <c r="G70" i="14"/>
  <c r="I78" i="14"/>
  <c r="K71" i="14"/>
  <c r="AE70" i="14"/>
  <c r="AA76" i="14"/>
  <c r="E67" i="14"/>
  <c r="AF76" i="14"/>
  <c r="AE68" i="14"/>
  <c r="AG76" i="14"/>
  <c r="AF68" i="14"/>
  <c r="M67" i="14"/>
  <c r="AI67" i="14"/>
  <c r="P68" i="14"/>
  <c r="AL68" i="14"/>
  <c r="S69" i="14"/>
  <c r="AO69" i="14"/>
  <c r="V70" i="14"/>
  <c r="C71" i="14"/>
  <c r="Y71" i="14"/>
  <c r="F72" i="14"/>
  <c r="AB72" i="14"/>
  <c r="I73" i="14"/>
  <c r="AE73" i="14"/>
  <c r="L74" i="14"/>
  <c r="AH74" i="14"/>
  <c r="O75" i="14"/>
  <c r="AK75" i="14"/>
  <c r="R76" i="14"/>
  <c r="AN76" i="14"/>
  <c r="U77" i="14"/>
  <c r="B78" i="14"/>
  <c r="X78" i="14"/>
  <c r="B69" i="14"/>
  <c r="AJ73" i="14"/>
  <c r="AB70" i="14"/>
  <c r="AN74" i="14"/>
  <c r="T67" i="14"/>
  <c r="J71" i="14"/>
  <c r="C76" i="14"/>
  <c r="F69" i="14"/>
  <c r="B75" i="14"/>
  <c r="Z67" i="14"/>
  <c r="AI70" i="14"/>
  <c r="L77" i="14"/>
  <c r="L69" i="14"/>
  <c r="AN71" i="14"/>
  <c r="H75" i="14"/>
  <c r="AM78" i="14"/>
  <c r="S71" i="14"/>
  <c r="N67" i="14"/>
  <c r="AJ67" i="14"/>
  <c r="Q68" i="14"/>
  <c r="AM68" i="14"/>
  <c r="T69" i="14"/>
  <c r="AP69" i="14"/>
  <c r="W70" i="14"/>
  <c r="D71" i="14"/>
  <c r="Z71" i="14"/>
  <c r="G72" i="14"/>
  <c r="AC72" i="14"/>
  <c r="J73" i="14"/>
  <c r="AF73" i="14"/>
  <c r="M74" i="14"/>
  <c r="AI74" i="14"/>
  <c r="P75" i="14"/>
  <c r="AL75" i="14"/>
  <c r="S76" i="14"/>
  <c r="AO76" i="14"/>
  <c r="V77" i="14"/>
  <c r="C78" i="14"/>
  <c r="Y78" i="14"/>
  <c r="H71" i="14"/>
  <c r="I71" i="14"/>
  <c r="B76" i="14"/>
  <c r="AF71" i="14"/>
  <c r="AO74" i="14"/>
  <c r="U67" i="14"/>
  <c r="H70" i="14"/>
  <c r="AJ72" i="14"/>
  <c r="G77" i="14"/>
  <c r="F67" i="14"/>
  <c r="AK70" i="14"/>
  <c r="AD75" i="14"/>
  <c r="AC67" i="14"/>
  <c r="AL70" i="14"/>
  <c r="AB74" i="14"/>
  <c r="AN78" i="14"/>
  <c r="O67" i="14"/>
  <c r="AK67" i="14"/>
  <c r="R68" i="14"/>
  <c r="AN68" i="14"/>
  <c r="U69" i="14"/>
  <c r="B70" i="14"/>
  <c r="X70" i="14"/>
  <c r="E71" i="14"/>
  <c r="AA71" i="14"/>
  <c r="H72" i="14"/>
  <c r="AD72" i="14"/>
  <c r="K73" i="14"/>
  <c r="AG73" i="14"/>
  <c r="N74" i="14"/>
  <c r="AJ74" i="14"/>
  <c r="Q75" i="14"/>
  <c r="AM75" i="14"/>
  <c r="T76" i="14"/>
  <c r="AP76" i="14"/>
  <c r="W77" i="14"/>
  <c r="D78" i="14"/>
  <c r="Z78" i="14"/>
  <c r="C69" i="14"/>
  <c r="AB77" i="14"/>
  <c r="X68" i="14"/>
  <c r="AC77" i="14"/>
  <c r="AH71" i="14"/>
  <c r="H77" i="14"/>
  <c r="K78" i="14"/>
  <c r="AO72" i="14"/>
  <c r="AD68" i="14"/>
  <c r="AJ70" i="14"/>
  <c r="W73" i="14"/>
  <c r="AC75" i="14"/>
  <c r="AI77" i="14"/>
  <c r="O70" i="14"/>
  <c r="E74" i="14"/>
  <c r="N77" i="14"/>
  <c r="M69" i="14"/>
  <c r="AH76" i="14"/>
  <c r="P67" i="14"/>
  <c r="AL67" i="14"/>
  <c r="S68" i="14"/>
  <c r="AO68" i="14"/>
  <c r="V69" i="14"/>
  <c r="C70" i="14"/>
  <c r="Y70" i="14"/>
  <c r="F71" i="14"/>
  <c r="AB71" i="14"/>
  <c r="I72" i="14"/>
  <c r="AE72" i="14"/>
  <c r="L73" i="14"/>
  <c r="AH73" i="14"/>
  <c r="O74" i="14"/>
  <c r="AK74" i="14"/>
  <c r="R75" i="14"/>
  <c r="AN75" i="14"/>
  <c r="U76" i="14"/>
  <c r="B77" i="14"/>
  <c r="X77" i="14"/>
  <c r="E78" i="14"/>
  <c r="AA78" i="14"/>
  <c r="D77" i="14"/>
  <c r="AH72" i="14"/>
  <c r="AK73" i="14"/>
  <c r="E77" i="14"/>
  <c r="AD78" i="14"/>
  <c r="AD70" i="14"/>
  <c r="T74" i="14"/>
  <c r="AF78" i="14"/>
  <c r="I70" i="14"/>
  <c r="AF69" i="14"/>
  <c r="V73" i="14"/>
  <c r="F75" i="14"/>
  <c r="I76" i="14"/>
  <c r="AH77" i="14"/>
  <c r="AK78" i="14"/>
  <c r="AG69" i="14"/>
  <c r="B73" i="14"/>
  <c r="G67" i="14"/>
  <c r="AI69" i="14"/>
  <c r="AO71" i="14"/>
  <c r="Y73" i="14"/>
  <c r="L76" i="14"/>
  <c r="R78" i="14"/>
  <c r="Q67" i="14"/>
  <c r="AM67" i="14"/>
  <c r="T68" i="14"/>
  <c r="AP68" i="14"/>
  <c r="W69" i="14"/>
  <c r="D70" i="14"/>
  <c r="Z70" i="14"/>
  <c r="G71" i="14"/>
  <c r="AC71" i="14"/>
  <c r="J72" i="14"/>
  <c r="AF72" i="14"/>
  <c r="M73" i="14"/>
  <c r="AI73" i="14"/>
  <c r="P74" i="14"/>
  <c r="AL74" i="14"/>
  <c r="S75" i="14"/>
  <c r="AO75" i="14"/>
  <c r="V76" i="14"/>
  <c r="C77" i="14"/>
  <c r="Y77" i="14"/>
  <c r="F78" i="14"/>
  <c r="AB78" i="14"/>
  <c r="BS22" i="13"/>
  <c r="BV23" i="13"/>
  <c r="BU30" i="13"/>
  <c r="BU24" i="13"/>
  <c r="BX25" i="13"/>
  <c r="BS23" i="13"/>
  <c r="BT23" i="13"/>
  <c r="BW24" i="13"/>
  <c r="BS30" i="13"/>
  <c r="BV24" i="13"/>
  <c r="BU23" i="13"/>
  <c r="BX24" i="13"/>
  <c r="BT30" i="13"/>
  <c r="BV19" i="13"/>
  <c r="BU26" i="13"/>
  <c r="BX27" i="13"/>
  <c r="BW19" i="13"/>
  <c r="BS25" i="13"/>
  <c r="BV26" i="13"/>
  <c r="BX19" i="13"/>
  <c r="BT25" i="13"/>
  <c r="BW26" i="13"/>
  <c r="BT19" i="13"/>
  <c r="BW20" i="13"/>
  <c r="BS26" i="13"/>
  <c r="BV27" i="13"/>
  <c r="BU19" i="13"/>
  <c r="BX20" i="13"/>
  <c r="BT26" i="13"/>
  <c r="BW27" i="13"/>
  <c r="BT24" i="13"/>
  <c r="BW25" i="13"/>
  <c r="BT22" i="13"/>
  <c r="BW23" i="13"/>
  <c r="BS29" i="13"/>
  <c r="BV30" i="13"/>
  <c r="BU22" i="13"/>
  <c r="BW30" i="13"/>
  <c r="BX23" i="13"/>
  <c r="BT29" i="13"/>
  <c r="BS21" i="13"/>
  <c r="BV22" i="13"/>
  <c r="BU29" i="13"/>
  <c r="BX30" i="13"/>
  <c r="BT21" i="13"/>
  <c r="BW22" i="13"/>
  <c r="BS28" i="13"/>
  <c r="BV29" i="13"/>
  <c r="U68" i="14"/>
  <c r="V68" i="14"/>
  <c r="X69" i="14"/>
  <c r="Y69" i="14"/>
  <c r="Q74" i="14"/>
  <c r="R74" i="14"/>
  <c r="V72" i="14"/>
  <c r="Y76" i="14"/>
  <c r="U73" i="14"/>
  <c r="T72" i="14"/>
  <c r="P78" i="14"/>
  <c r="S74" i="14"/>
  <c r="Q70" i="14"/>
  <c r="W72" i="14"/>
  <c r="P77" i="14"/>
  <c r="S78" i="14"/>
  <c r="P73" i="14"/>
  <c r="V74" i="14"/>
  <c r="R72" i="14"/>
  <c r="R70" i="14"/>
  <c r="Q77" i="14"/>
  <c r="T78" i="14"/>
  <c r="W75" i="14"/>
  <c r="V67" i="14"/>
  <c r="U74" i="14"/>
  <c r="P72" i="14"/>
  <c r="X74" i="14"/>
  <c r="S70" i="14"/>
  <c r="Y68" i="14"/>
  <c r="T73" i="14"/>
  <c r="U72" i="14"/>
  <c r="X75" i="14"/>
  <c r="W74" i="14"/>
  <c r="Y67" i="14"/>
  <c r="S72" i="14"/>
  <c r="Y74" i="14"/>
  <c r="W68" i="14"/>
  <c r="W67" i="14"/>
  <c r="Q72" i="14"/>
  <c r="BV31" i="13" l="1"/>
  <c r="BW31" i="13"/>
  <c r="BU31" i="13"/>
  <c r="BS31" i="13"/>
  <c r="BX31" i="13"/>
  <c r="BT31" i="13"/>
  <c r="Q30" i="13"/>
  <c r="P30" i="13"/>
  <c r="O30" i="13"/>
  <c r="N30" i="13"/>
  <c r="M30" i="13"/>
  <c r="L30" i="13"/>
  <c r="L78" i="16" s="1"/>
  <c r="L62" i="16" s="1"/>
  <c r="K30" i="13"/>
  <c r="K78" i="16" s="1"/>
  <c r="K62" i="16" s="1"/>
  <c r="J30" i="13"/>
  <c r="I30" i="13"/>
  <c r="I78" i="16" s="1"/>
  <c r="I62" i="16" s="1"/>
  <c r="H30" i="13"/>
  <c r="H78" i="16" s="1"/>
  <c r="H62" i="16" s="1"/>
  <c r="G30" i="13"/>
  <c r="G78" i="16" s="1"/>
  <c r="G62" i="16" s="1"/>
  <c r="F30" i="13"/>
  <c r="F78" i="16" s="1"/>
  <c r="F62" i="16" s="1"/>
  <c r="E30" i="13"/>
  <c r="E78" i="16" s="1"/>
  <c r="E62" i="16" s="1"/>
  <c r="D30" i="13"/>
  <c r="D78" i="16" s="1"/>
  <c r="D62" i="16" s="1"/>
  <c r="C30" i="13"/>
  <c r="C78" i="16" s="1"/>
  <c r="C62" i="16" s="1"/>
  <c r="B30" i="13"/>
  <c r="Q29" i="13"/>
  <c r="P29" i="13"/>
  <c r="P77" i="16" s="1"/>
  <c r="O29" i="13"/>
  <c r="BC29" i="13" s="1"/>
  <c r="N29" i="13"/>
  <c r="M29" i="13"/>
  <c r="L29" i="13"/>
  <c r="L77" i="16" s="1"/>
  <c r="L61" i="16" s="1"/>
  <c r="K29" i="13"/>
  <c r="J29" i="13"/>
  <c r="I29" i="13"/>
  <c r="H29" i="13"/>
  <c r="H77" i="16" s="1"/>
  <c r="H61" i="16" s="1"/>
  <c r="G29" i="13"/>
  <c r="G77" i="16" s="1"/>
  <c r="G61" i="16" s="1"/>
  <c r="F29" i="13"/>
  <c r="F77" i="16" s="1"/>
  <c r="F61" i="16" s="1"/>
  <c r="E29" i="13"/>
  <c r="E77" i="16" s="1"/>
  <c r="E61" i="16" s="1"/>
  <c r="D29" i="13"/>
  <c r="C29" i="13"/>
  <c r="C77" i="16" s="1"/>
  <c r="C61" i="16" s="1"/>
  <c r="B29" i="13"/>
  <c r="Q28" i="13"/>
  <c r="P28" i="13"/>
  <c r="P76" i="16" s="1"/>
  <c r="O28" i="13"/>
  <c r="AT28" i="13" s="1"/>
  <c r="N28" i="13"/>
  <c r="CM28" i="13" s="1"/>
  <c r="M28" i="13"/>
  <c r="CL28" i="13" s="1"/>
  <c r="L28" i="13"/>
  <c r="L76" i="16" s="1"/>
  <c r="L60" i="16" s="1"/>
  <c r="K28" i="13"/>
  <c r="K76" i="16" s="1"/>
  <c r="K60" i="16" s="1"/>
  <c r="J28" i="13"/>
  <c r="I28" i="13"/>
  <c r="I76" i="16" s="1"/>
  <c r="I60" i="16" s="1"/>
  <c r="H28" i="13"/>
  <c r="H76" i="16" s="1"/>
  <c r="H60" i="16" s="1"/>
  <c r="G28" i="13"/>
  <c r="G76" i="16" s="1"/>
  <c r="G60" i="16" s="1"/>
  <c r="F28" i="13"/>
  <c r="F76" i="16" s="1"/>
  <c r="F60" i="16" s="1"/>
  <c r="E28" i="13"/>
  <c r="D28" i="13"/>
  <c r="C28" i="13"/>
  <c r="C76" i="16" s="1"/>
  <c r="C60" i="16" s="1"/>
  <c r="B28" i="13"/>
  <c r="Q27" i="13"/>
  <c r="P27" i="13"/>
  <c r="P75" i="16" s="1"/>
  <c r="O27" i="13"/>
  <c r="N27" i="13"/>
  <c r="M27" i="13"/>
  <c r="L27" i="13"/>
  <c r="L75" i="16" s="1"/>
  <c r="L59" i="16" s="1"/>
  <c r="K27" i="13"/>
  <c r="K75" i="16" s="1"/>
  <c r="K59" i="16" s="1"/>
  <c r="J27" i="13"/>
  <c r="J75" i="16" s="1"/>
  <c r="J59" i="16" s="1"/>
  <c r="I27" i="13"/>
  <c r="I75" i="16" s="1"/>
  <c r="I59" i="16" s="1"/>
  <c r="H27" i="13"/>
  <c r="H75" i="16" s="1"/>
  <c r="H59" i="16" s="1"/>
  <c r="G27" i="13"/>
  <c r="G75" i="16" s="1"/>
  <c r="G59" i="16" s="1"/>
  <c r="F27" i="13"/>
  <c r="F75" i="16" s="1"/>
  <c r="F59" i="16" s="1"/>
  <c r="E27" i="13"/>
  <c r="E75" i="16" s="1"/>
  <c r="E59" i="16" s="1"/>
  <c r="D27" i="13"/>
  <c r="D75" i="16" s="1"/>
  <c r="D59" i="16" s="1"/>
  <c r="C27" i="13"/>
  <c r="C75" i="16" s="1"/>
  <c r="C59" i="16" s="1"/>
  <c r="B27" i="13"/>
  <c r="Q26" i="13"/>
  <c r="P26" i="13"/>
  <c r="O26" i="13"/>
  <c r="N26" i="13"/>
  <c r="M26" i="13"/>
  <c r="AR26" i="13" s="1"/>
  <c r="L26" i="13"/>
  <c r="L74" i="16" s="1"/>
  <c r="L58" i="16" s="1"/>
  <c r="K26" i="13"/>
  <c r="K74" i="16" s="1"/>
  <c r="K58" i="16" s="1"/>
  <c r="J26" i="13"/>
  <c r="I26" i="13"/>
  <c r="I74" i="16" s="1"/>
  <c r="I58" i="16" s="1"/>
  <c r="H26" i="13"/>
  <c r="H74" i="16" s="1"/>
  <c r="H58" i="16" s="1"/>
  <c r="G26" i="13"/>
  <c r="G74" i="16" s="1"/>
  <c r="G58" i="16" s="1"/>
  <c r="F26" i="13"/>
  <c r="F74" i="16" s="1"/>
  <c r="F58" i="16" s="1"/>
  <c r="E26" i="13"/>
  <c r="E74" i="16" s="1"/>
  <c r="E58" i="16" s="1"/>
  <c r="D26" i="13"/>
  <c r="D74" i="16" s="1"/>
  <c r="D58" i="16" s="1"/>
  <c r="C26" i="13"/>
  <c r="B26" i="13"/>
  <c r="Q25" i="13"/>
  <c r="P25" i="13"/>
  <c r="P73" i="16" s="1"/>
  <c r="O25" i="13"/>
  <c r="N25" i="13"/>
  <c r="N73" i="16" s="1"/>
  <c r="N57" i="16" s="1"/>
  <c r="M25" i="13"/>
  <c r="L25" i="13"/>
  <c r="L73" i="16" s="1"/>
  <c r="L57" i="16" s="1"/>
  <c r="K25" i="13"/>
  <c r="K73" i="16" s="1"/>
  <c r="K57" i="16" s="1"/>
  <c r="J25" i="13"/>
  <c r="J73" i="16" s="1"/>
  <c r="J57" i="16" s="1"/>
  <c r="I25" i="13"/>
  <c r="H25" i="13"/>
  <c r="G25" i="13"/>
  <c r="G73" i="16" s="1"/>
  <c r="G57" i="16" s="1"/>
  <c r="F25" i="13"/>
  <c r="E25" i="13"/>
  <c r="E73" i="16" s="1"/>
  <c r="E57" i="16" s="1"/>
  <c r="D25" i="13"/>
  <c r="C25" i="13"/>
  <c r="C73" i="16" s="1"/>
  <c r="C57" i="16" s="1"/>
  <c r="B25" i="13"/>
  <c r="Q24" i="13"/>
  <c r="P24" i="13"/>
  <c r="P72" i="16" s="1"/>
  <c r="O24" i="13"/>
  <c r="N24" i="13"/>
  <c r="CM24" i="13" s="1"/>
  <c r="M24" i="13"/>
  <c r="L24" i="13"/>
  <c r="L72" i="16" s="1"/>
  <c r="L56" i="16" s="1"/>
  <c r="K24" i="13"/>
  <c r="K72" i="16" s="1"/>
  <c r="K56" i="16" s="1"/>
  <c r="J24" i="13"/>
  <c r="I24" i="13"/>
  <c r="I72" i="16" s="1"/>
  <c r="I56" i="16" s="1"/>
  <c r="H24" i="13"/>
  <c r="H72" i="16" s="1"/>
  <c r="H56" i="16" s="1"/>
  <c r="G24" i="13"/>
  <c r="G72" i="16" s="1"/>
  <c r="G56" i="16" s="1"/>
  <c r="F24" i="13"/>
  <c r="F72" i="16" s="1"/>
  <c r="F56" i="16" s="1"/>
  <c r="E24" i="13"/>
  <c r="E72" i="16" s="1"/>
  <c r="E56" i="16" s="1"/>
  <c r="D24" i="13"/>
  <c r="D72" i="16" s="1"/>
  <c r="D56" i="16" s="1"/>
  <c r="C24" i="13"/>
  <c r="B24" i="13"/>
  <c r="Q23" i="13"/>
  <c r="P23" i="13"/>
  <c r="P71" i="16" s="1"/>
  <c r="O23" i="13"/>
  <c r="N23" i="13"/>
  <c r="AS23" i="13" s="1"/>
  <c r="M23" i="13"/>
  <c r="AR23" i="13" s="1"/>
  <c r="L23" i="13"/>
  <c r="L71" i="16" s="1"/>
  <c r="L55" i="16" s="1"/>
  <c r="K23" i="13"/>
  <c r="K71" i="16" s="1"/>
  <c r="K55" i="16" s="1"/>
  <c r="J23" i="13"/>
  <c r="I23" i="13"/>
  <c r="I71" i="16" s="1"/>
  <c r="I55" i="16" s="1"/>
  <c r="H23" i="13"/>
  <c r="H71" i="16" s="1"/>
  <c r="H55" i="16" s="1"/>
  <c r="G23" i="13"/>
  <c r="G71" i="16" s="1"/>
  <c r="G55" i="16" s="1"/>
  <c r="F23" i="13"/>
  <c r="F71" i="16" s="1"/>
  <c r="F55" i="16" s="1"/>
  <c r="E23" i="13"/>
  <c r="E71" i="16" s="1"/>
  <c r="E55" i="16" s="1"/>
  <c r="D23" i="13"/>
  <c r="D71" i="16" s="1"/>
  <c r="D55" i="16" s="1"/>
  <c r="C23" i="13"/>
  <c r="B23" i="13"/>
  <c r="Q22" i="13"/>
  <c r="P22" i="13"/>
  <c r="P70" i="16" s="1"/>
  <c r="O22" i="13"/>
  <c r="N22" i="13"/>
  <c r="N70" i="16" s="1"/>
  <c r="N54" i="16" s="1"/>
  <c r="M22" i="13"/>
  <c r="L22" i="13"/>
  <c r="K22" i="13"/>
  <c r="J22" i="13"/>
  <c r="J70" i="16" s="1"/>
  <c r="J54" i="16" s="1"/>
  <c r="I22" i="13"/>
  <c r="I70" i="16" s="1"/>
  <c r="I54" i="16" s="1"/>
  <c r="H22" i="13"/>
  <c r="G22" i="13"/>
  <c r="G70" i="16" s="1"/>
  <c r="G54" i="16" s="1"/>
  <c r="F22" i="13"/>
  <c r="E22" i="13"/>
  <c r="E70" i="16" s="1"/>
  <c r="E54" i="16" s="1"/>
  <c r="D22" i="13"/>
  <c r="D70" i="16" s="1"/>
  <c r="D54" i="16" s="1"/>
  <c r="C22" i="13"/>
  <c r="B22" i="13"/>
  <c r="Q21" i="13"/>
  <c r="P21" i="13"/>
  <c r="P69" i="16" s="1"/>
  <c r="O21" i="13"/>
  <c r="N21" i="13"/>
  <c r="M21" i="13"/>
  <c r="CL21" i="13" s="1"/>
  <c r="L21" i="13"/>
  <c r="L69" i="16" s="1"/>
  <c r="L53" i="16" s="1"/>
  <c r="K21" i="13"/>
  <c r="K69" i="16" s="1"/>
  <c r="K53" i="16" s="1"/>
  <c r="J21" i="13"/>
  <c r="J69" i="16" s="1"/>
  <c r="J53" i="16" s="1"/>
  <c r="I21" i="13"/>
  <c r="I69" i="16" s="1"/>
  <c r="I53" i="16" s="1"/>
  <c r="H21" i="13"/>
  <c r="H69" i="16" s="1"/>
  <c r="H53" i="16" s="1"/>
  <c r="G21" i="13"/>
  <c r="F21" i="13"/>
  <c r="E21" i="13"/>
  <c r="D21" i="13"/>
  <c r="D69" i="16" s="1"/>
  <c r="D53" i="16" s="1"/>
  <c r="C21" i="13"/>
  <c r="C69" i="16" s="1"/>
  <c r="C53" i="16" s="1"/>
  <c r="B21" i="13"/>
  <c r="Q20" i="13"/>
  <c r="P20" i="13"/>
  <c r="P68" i="16" s="1"/>
  <c r="O20" i="13"/>
  <c r="AT20" i="13" s="1"/>
  <c r="N20" i="13"/>
  <c r="M20" i="13"/>
  <c r="AR20" i="13" s="1"/>
  <c r="L20" i="13"/>
  <c r="L68" i="16" s="1"/>
  <c r="L52" i="16" s="1"/>
  <c r="K20" i="13"/>
  <c r="J20" i="13"/>
  <c r="I20" i="13"/>
  <c r="I68" i="16" s="1"/>
  <c r="I52" i="16" s="1"/>
  <c r="H20" i="13"/>
  <c r="H68" i="16" s="1"/>
  <c r="H52" i="16" s="1"/>
  <c r="G20" i="13"/>
  <c r="G68" i="16" s="1"/>
  <c r="G52" i="16" s="1"/>
  <c r="F20" i="13"/>
  <c r="F68" i="16" s="1"/>
  <c r="F52" i="16" s="1"/>
  <c r="E20" i="13"/>
  <c r="E68" i="16" s="1"/>
  <c r="E52" i="16" s="1"/>
  <c r="D20" i="13"/>
  <c r="D68" i="16" s="1"/>
  <c r="D52" i="16" s="1"/>
  <c r="C20" i="13"/>
  <c r="C68" i="16" s="1"/>
  <c r="C52" i="16" s="1"/>
  <c r="B20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F67" i="16" s="1"/>
  <c r="E19" i="13"/>
  <c r="E67" i="16" s="1"/>
  <c r="D19" i="13"/>
  <c r="C19" i="13"/>
  <c r="B19" i="13"/>
  <c r="P50" i="16"/>
  <c r="O50" i="16"/>
  <c r="N50" i="16"/>
  <c r="M50" i="16"/>
  <c r="L50" i="16"/>
  <c r="K50" i="16"/>
  <c r="P34" i="16"/>
  <c r="O34" i="16"/>
  <c r="N34" i="16"/>
  <c r="M34" i="16"/>
  <c r="L34" i="16"/>
  <c r="K34" i="16"/>
  <c r="J34" i="16"/>
  <c r="I34" i="16"/>
  <c r="H34" i="16"/>
  <c r="T23" i="16"/>
  <c r="T19" i="16"/>
  <c r="T18" i="16"/>
  <c r="P18" i="16"/>
  <c r="O18" i="16"/>
  <c r="N18" i="16"/>
  <c r="M18" i="16"/>
  <c r="L18" i="16"/>
  <c r="K18" i="16"/>
  <c r="J18" i="16"/>
  <c r="I18" i="16"/>
  <c r="H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O15" i="16"/>
  <c r="O16" i="16" s="1"/>
  <c r="N15" i="16"/>
  <c r="N16" i="16" s="1"/>
  <c r="M15" i="16"/>
  <c r="M16" i="16" s="1"/>
  <c r="L15" i="16"/>
  <c r="K15" i="16"/>
  <c r="J15" i="16"/>
  <c r="I15" i="16"/>
  <c r="H15" i="16"/>
  <c r="G15" i="16"/>
  <c r="F15" i="16"/>
  <c r="E15" i="16"/>
  <c r="D15" i="16"/>
  <c r="C15" i="16"/>
  <c r="U14" i="16"/>
  <c r="T14" i="16"/>
  <c r="S14" i="16"/>
  <c r="R14" i="16"/>
  <c r="U13" i="16"/>
  <c r="T13" i="16"/>
  <c r="S13" i="16"/>
  <c r="R13" i="16"/>
  <c r="U12" i="16"/>
  <c r="T12" i="16"/>
  <c r="S12" i="16"/>
  <c r="R12" i="16"/>
  <c r="U11" i="16"/>
  <c r="T11" i="16"/>
  <c r="S11" i="16"/>
  <c r="R11" i="16"/>
  <c r="U10" i="16"/>
  <c r="T10" i="16"/>
  <c r="S10" i="16"/>
  <c r="R10" i="16"/>
  <c r="U9" i="16"/>
  <c r="T9" i="16"/>
  <c r="S9" i="16"/>
  <c r="R9" i="16"/>
  <c r="U8" i="16"/>
  <c r="T8" i="16"/>
  <c r="S8" i="16"/>
  <c r="R8" i="16"/>
  <c r="U7" i="16"/>
  <c r="T7" i="16"/>
  <c r="S7" i="16"/>
  <c r="R7" i="16"/>
  <c r="U6" i="16"/>
  <c r="T6" i="16"/>
  <c r="S6" i="16"/>
  <c r="R6" i="16"/>
  <c r="U5" i="16"/>
  <c r="T5" i="16"/>
  <c r="S5" i="16"/>
  <c r="R5" i="16"/>
  <c r="U4" i="16"/>
  <c r="T4" i="16"/>
  <c r="S4" i="16"/>
  <c r="R4" i="16"/>
  <c r="W3" i="16"/>
  <c r="U3" i="16"/>
  <c r="T3" i="16"/>
  <c r="S3" i="16"/>
  <c r="R3" i="16"/>
  <c r="AK14" i="15"/>
  <c r="O14" i="15"/>
  <c r="K14" i="15"/>
  <c r="AH13" i="15"/>
  <c r="AG13" i="15"/>
  <c r="AF13" i="15"/>
  <c r="L13" i="15"/>
  <c r="AE12" i="15"/>
  <c r="AB11" i="15"/>
  <c r="AA11" i="15"/>
  <c r="Z11" i="15"/>
  <c r="X11" i="15"/>
  <c r="AP9" i="15"/>
  <c r="V9" i="15"/>
  <c r="T9" i="15"/>
  <c r="AN8" i="15"/>
  <c r="AM8" i="15"/>
  <c r="AK8" i="15"/>
  <c r="R8" i="15"/>
  <c r="Q8" i="15"/>
  <c r="O8" i="15"/>
  <c r="AL7" i="15"/>
  <c r="AK7" i="15"/>
  <c r="P7" i="15"/>
  <c r="AI6" i="15"/>
  <c r="AH6" i="15"/>
  <c r="AG6" i="15"/>
  <c r="AE6" i="15"/>
  <c r="Y6" i="15"/>
  <c r="M6" i="15"/>
  <c r="L6" i="15"/>
  <c r="AE5" i="15"/>
  <c r="AD5" i="15"/>
  <c r="AB4" i="15"/>
  <c r="AA4" i="15"/>
  <c r="Y4" i="15"/>
  <c r="Z3" i="15"/>
  <c r="Y34" i="15"/>
  <c r="V34" i="15"/>
  <c r="E34" i="15"/>
  <c r="B34" i="15"/>
  <c r="AF14" i="15"/>
  <c r="AE14" i="15"/>
  <c r="V14" i="15"/>
  <c r="J14" i="15"/>
  <c r="I14" i="15"/>
  <c r="H14" i="15"/>
  <c r="G14" i="15"/>
  <c r="F14" i="15"/>
  <c r="E14" i="15"/>
  <c r="D14" i="15"/>
  <c r="C14" i="15"/>
  <c r="B14" i="15"/>
  <c r="AP13" i="15"/>
  <c r="AO13" i="15"/>
  <c r="AN13" i="15"/>
  <c r="AM13" i="15"/>
  <c r="AL13" i="15"/>
  <c r="W13" i="15"/>
  <c r="T13" i="15"/>
  <c r="S13" i="15"/>
  <c r="R13" i="15"/>
  <c r="Q13" i="15"/>
  <c r="I13" i="15"/>
  <c r="H13" i="15"/>
  <c r="G13" i="15"/>
  <c r="F13" i="15"/>
  <c r="E13" i="15"/>
  <c r="D13" i="15"/>
  <c r="C13" i="15"/>
  <c r="B13" i="15"/>
  <c r="AP12" i="15"/>
  <c r="AN12" i="15"/>
  <c r="AK12" i="15"/>
  <c r="AJ12" i="15"/>
  <c r="AF12" i="15"/>
  <c r="AD12" i="15"/>
  <c r="T12" i="15"/>
  <c r="R12" i="15"/>
  <c r="O12" i="15"/>
  <c r="N12" i="15"/>
  <c r="J12" i="15"/>
  <c r="F12" i="15"/>
  <c r="D12" i="15"/>
  <c r="C12" i="15"/>
  <c r="B12" i="15"/>
  <c r="AN11" i="15"/>
  <c r="AM11" i="15"/>
  <c r="AL11" i="15"/>
  <c r="AK11" i="15"/>
  <c r="AJ11" i="15"/>
  <c r="AI11" i="15"/>
  <c r="AH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C11" i="15"/>
  <c r="AD10" i="15"/>
  <c r="AC10" i="15"/>
  <c r="AA10" i="15"/>
  <c r="K10" i="15"/>
  <c r="J10" i="15"/>
  <c r="I10" i="15"/>
  <c r="H10" i="15"/>
  <c r="G10" i="15"/>
  <c r="F10" i="15"/>
  <c r="E10" i="15"/>
  <c r="D10" i="15"/>
  <c r="B10" i="15"/>
  <c r="AJ9" i="15"/>
  <c r="AI9" i="15"/>
  <c r="AF9" i="15"/>
  <c r="AE9" i="15"/>
  <c r="AD9" i="15"/>
  <c r="N9" i="15"/>
  <c r="M9" i="15"/>
  <c r="L9" i="15"/>
  <c r="K9" i="15"/>
  <c r="J9" i="15"/>
  <c r="I9" i="15"/>
  <c r="H9" i="15"/>
  <c r="G9" i="15"/>
  <c r="F9" i="15"/>
  <c r="E9" i="15"/>
  <c r="D9" i="15"/>
  <c r="B9" i="15"/>
  <c r="Y8" i="15"/>
  <c r="W8" i="15"/>
  <c r="K8" i="15"/>
  <c r="J8" i="15"/>
  <c r="I8" i="15"/>
  <c r="H8" i="15"/>
  <c r="G8" i="15"/>
  <c r="F8" i="15"/>
  <c r="E8" i="15"/>
  <c r="D8" i="15"/>
  <c r="C8" i="15"/>
  <c r="B8" i="15"/>
  <c r="AF7" i="15"/>
  <c r="AE7" i="15"/>
  <c r="AA7" i="15"/>
  <c r="V7" i="15"/>
  <c r="K7" i="15"/>
  <c r="J7" i="15"/>
  <c r="I7" i="15"/>
  <c r="H7" i="15"/>
  <c r="G7" i="15"/>
  <c r="F7" i="15"/>
  <c r="E7" i="15"/>
  <c r="D7" i="15"/>
  <c r="C7" i="15"/>
  <c r="AO6" i="15"/>
  <c r="AN6" i="15"/>
  <c r="S6" i="15"/>
  <c r="R6" i="15"/>
  <c r="J6" i="15"/>
  <c r="H6" i="15"/>
  <c r="G6" i="15"/>
  <c r="F6" i="15"/>
  <c r="E6" i="15"/>
  <c r="D6" i="15"/>
  <c r="C6" i="15"/>
  <c r="B6" i="15"/>
  <c r="AN5" i="15"/>
  <c r="AA5" i="15"/>
  <c r="X5" i="15"/>
  <c r="W5" i="15"/>
  <c r="R5" i="15"/>
  <c r="K5" i="15"/>
  <c r="I5" i="15"/>
  <c r="H5" i="15"/>
  <c r="G5" i="15"/>
  <c r="F5" i="15"/>
  <c r="E5" i="15"/>
  <c r="D5" i="15"/>
  <c r="C5" i="15"/>
  <c r="B5" i="15"/>
  <c r="AN4" i="15"/>
  <c r="AK4" i="15"/>
  <c r="AJ4" i="15"/>
  <c r="AI4" i="15"/>
  <c r="AH4" i="15"/>
  <c r="R4" i="15"/>
  <c r="O4" i="15"/>
  <c r="N4" i="15"/>
  <c r="M4" i="15"/>
  <c r="L4" i="15"/>
  <c r="K4" i="15"/>
  <c r="J4" i="15"/>
  <c r="I4" i="15"/>
  <c r="H4" i="15"/>
  <c r="D4" i="15"/>
  <c r="B4" i="15"/>
  <c r="V3" i="15"/>
  <c r="U3" i="15"/>
  <c r="R3" i="15"/>
  <c r="N3" i="15"/>
  <c r="C3" i="15"/>
  <c r="B3" i="15"/>
  <c r="AP18" i="15"/>
  <c r="AP34" i="15" s="1"/>
  <c r="AM18" i="15"/>
  <c r="AM34" i="15" s="1"/>
  <c r="AL18" i="15"/>
  <c r="AL34" i="15" s="1"/>
  <c r="AA18" i="15"/>
  <c r="AA34" i="15" s="1"/>
  <c r="Z18" i="15"/>
  <c r="Z34" i="15" s="1"/>
  <c r="Y18" i="15"/>
  <c r="X18" i="15"/>
  <c r="X34" i="15" s="1"/>
  <c r="T18" i="15"/>
  <c r="T34" i="15" s="1"/>
  <c r="Q18" i="15"/>
  <c r="Q34" i="15" s="1"/>
  <c r="P18" i="15"/>
  <c r="P34" i="15" s="1"/>
  <c r="E18" i="15"/>
  <c r="D18" i="15"/>
  <c r="D34" i="15" s="1"/>
  <c r="C18" i="15"/>
  <c r="C34" i="15" s="1"/>
  <c r="B18" i="15"/>
  <c r="J13" i="15"/>
  <c r="I12" i="15"/>
  <c r="H12" i="15"/>
  <c r="G12" i="15"/>
  <c r="E12" i="15"/>
  <c r="F11" i="15"/>
  <c r="E11" i="15"/>
  <c r="D11" i="15"/>
  <c r="B11" i="15"/>
  <c r="C10" i="15"/>
  <c r="AN9" i="15"/>
  <c r="K6" i="15"/>
  <c r="I6" i="15"/>
  <c r="AB5" i="15"/>
  <c r="J5" i="15"/>
  <c r="G4" i="15"/>
  <c r="F4" i="15"/>
  <c r="E4" i="15"/>
  <c r="C4" i="15"/>
  <c r="D3" i="15"/>
  <c r="AP2" i="15"/>
  <c r="AO2" i="15"/>
  <c r="AO18" i="15" s="1"/>
  <c r="AO34" i="15" s="1"/>
  <c r="AN2" i="15"/>
  <c r="AN18" i="15" s="1"/>
  <c r="AN34" i="15" s="1"/>
  <c r="AM2" i="15"/>
  <c r="AL2" i="15"/>
  <c r="AK2" i="15"/>
  <c r="AK18" i="15" s="1"/>
  <c r="AK34" i="15" s="1"/>
  <c r="AJ2" i="15"/>
  <c r="AJ18" i="15" s="1"/>
  <c r="AJ34" i="15" s="1"/>
  <c r="AI2" i="15"/>
  <c r="AI18" i="15" s="1"/>
  <c r="AI34" i="15" s="1"/>
  <c r="AH2" i="15"/>
  <c r="AH18" i="15" s="1"/>
  <c r="AH34" i="15" s="1"/>
  <c r="AG2" i="15"/>
  <c r="AG18" i="15" s="1"/>
  <c r="AG34" i="15" s="1"/>
  <c r="AF2" i="15"/>
  <c r="AF18" i="15" s="1"/>
  <c r="AF34" i="15" s="1"/>
  <c r="AE2" i="15"/>
  <c r="AE18" i="15" s="1"/>
  <c r="AE34" i="15" s="1"/>
  <c r="AD2" i="15"/>
  <c r="AD18" i="15" s="1"/>
  <c r="AD34" i="15" s="1"/>
  <c r="AC2" i="15"/>
  <c r="AC18" i="15" s="1"/>
  <c r="AC34" i="15" s="1"/>
  <c r="AB2" i="15"/>
  <c r="AB18" i="15" s="1"/>
  <c r="AB34" i="15" s="1"/>
  <c r="AA2" i="15"/>
  <c r="Z2" i="15"/>
  <c r="Y2" i="15"/>
  <c r="X2" i="15"/>
  <c r="W2" i="15"/>
  <c r="W18" i="15" s="1"/>
  <c r="W34" i="15" s="1"/>
  <c r="V2" i="15"/>
  <c r="V18" i="15" s="1"/>
  <c r="U2" i="15"/>
  <c r="U18" i="15" s="1"/>
  <c r="U34" i="15" s="1"/>
  <c r="T2" i="15"/>
  <c r="S2" i="15"/>
  <c r="S18" i="15" s="1"/>
  <c r="S34" i="15" s="1"/>
  <c r="R2" i="15"/>
  <c r="R18" i="15" s="1"/>
  <c r="R34" i="15" s="1"/>
  <c r="Q2" i="15"/>
  <c r="P2" i="15"/>
  <c r="O2" i="15"/>
  <c r="O18" i="15" s="1"/>
  <c r="O34" i="15" s="1"/>
  <c r="N2" i="15"/>
  <c r="N18" i="15" s="1"/>
  <c r="N34" i="15" s="1"/>
  <c r="M2" i="15"/>
  <c r="M18" i="15" s="1"/>
  <c r="M34" i="15" s="1"/>
  <c r="L2" i="15"/>
  <c r="L18" i="15" s="1"/>
  <c r="L34" i="15" s="1"/>
  <c r="K2" i="15"/>
  <c r="K18" i="15" s="1"/>
  <c r="K34" i="15" s="1"/>
  <c r="J2" i="15"/>
  <c r="J18" i="15" s="1"/>
  <c r="J34" i="15" s="1"/>
  <c r="I2" i="15"/>
  <c r="I18" i="15" s="1"/>
  <c r="I34" i="15" s="1"/>
  <c r="H2" i="15"/>
  <c r="H18" i="15" s="1"/>
  <c r="H34" i="15" s="1"/>
  <c r="G2" i="15"/>
  <c r="G18" i="15" s="1"/>
  <c r="G34" i="15" s="1"/>
  <c r="F2" i="15"/>
  <c r="F18" i="15" s="1"/>
  <c r="F34" i="15" s="1"/>
  <c r="E2" i="15"/>
  <c r="D2" i="15"/>
  <c r="C2" i="15"/>
  <c r="B2" i="15"/>
  <c r="AV94" i="14"/>
  <c r="AW94" i="14" s="1"/>
  <c r="AY93" i="14"/>
  <c r="L82" i="8"/>
  <c r="L70" i="8"/>
  <c r="L81" i="8"/>
  <c r="L69" i="8"/>
  <c r="L57" i="8"/>
  <c r="L80" i="8"/>
  <c r="L20" i="8"/>
  <c r="L79" i="8"/>
  <c r="L55" i="8"/>
  <c r="L43" i="8"/>
  <c r="L7" i="8"/>
  <c r="L54" i="8"/>
  <c r="L18" i="8"/>
  <c r="L6" i="8"/>
  <c r="L53" i="8"/>
  <c r="L17" i="8"/>
  <c r="L5" i="8"/>
  <c r="L40" i="8"/>
  <c r="L28" i="8"/>
  <c r="L16" i="8"/>
  <c r="BA85" i="14"/>
  <c r="L15" i="8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N65" i="14"/>
  <c r="M46" i="14"/>
  <c r="C109" i="8"/>
  <c r="C97" i="8"/>
  <c r="C85" i="8"/>
  <c r="C61" i="8"/>
  <c r="BA59" i="14"/>
  <c r="AQ234" i="13"/>
  <c r="C72" i="12"/>
  <c r="BB59" i="14"/>
  <c r="AQ233" i="13"/>
  <c r="C47" i="8"/>
  <c r="C47" i="12"/>
  <c r="C35" i="12"/>
  <c r="AQ232" i="13"/>
  <c r="C106" i="8"/>
  <c r="C94" i="8"/>
  <c r="BD57" i="14"/>
  <c r="AQ231" i="13"/>
  <c r="C57" i="8"/>
  <c r="C57" i="12"/>
  <c r="AQ230" i="13"/>
  <c r="C44" i="8"/>
  <c r="C32" i="8"/>
  <c r="C20" i="8"/>
  <c r="C8" i="12"/>
  <c r="AQ229" i="13"/>
  <c r="BA54" i="14"/>
  <c r="C43" i="12"/>
  <c r="C7" i="12"/>
  <c r="AQ228" i="13"/>
  <c r="C66" i="12"/>
  <c r="C54" i="12"/>
  <c r="C6" i="12"/>
  <c r="AQ227" i="13"/>
  <c r="C53" i="8"/>
  <c r="BD52" i="14"/>
  <c r="C5" i="12"/>
  <c r="AQ226" i="13"/>
  <c r="C64" i="12"/>
  <c r="C28" i="12"/>
  <c r="C4" i="12"/>
  <c r="AQ225" i="13"/>
  <c r="C159" i="8"/>
  <c r="BC50" i="14"/>
  <c r="C3" i="12"/>
  <c r="AQ224" i="13"/>
  <c r="C86" i="8"/>
  <c r="C26" i="12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BG32" i="14"/>
  <c r="BF32" i="14"/>
  <c r="BE32" i="14"/>
  <c r="BC32" i="14"/>
  <c r="BA32" i="14"/>
  <c r="AY32" i="14"/>
  <c r="AW32" i="14"/>
  <c r="BE31" i="14"/>
  <c r="BD31" i="14"/>
  <c r="AX31" i="14"/>
  <c r="BE30" i="14"/>
  <c r="BE29" i="14"/>
  <c r="BI29" i="14"/>
  <c r="AX29" i="14"/>
  <c r="BE28" i="14"/>
  <c r="BC36" i="14"/>
  <c r="BI28" i="14"/>
  <c r="AX28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K22" i="14"/>
  <c r="AH22" i="14"/>
  <c r="AG22" i="14"/>
  <c r="N22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F22" i="14"/>
  <c r="AV14" i="14"/>
  <c r="AW14" i="14" s="1"/>
  <c r="BA14" i="14"/>
  <c r="C186" i="13"/>
  <c r="C203" i="13" s="1"/>
  <c r="AY13" i="14"/>
  <c r="AO185" i="13" s="1"/>
  <c r="AO202" i="13" s="1"/>
  <c r="AY12" i="14"/>
  <c r="U22" i="14"/>
  <c r="AV13" i="14"/>
  <c r="AW13" i="14" s="1"/>
  <c r="L22" i="14"/>
  <c r="K22" i="14"/>
  <c r="AY11" i="14"/>
  <c r="AT11" i="14"/>
  <c r="AQ183" i="13"/>
  <c r="AQ200" i="13" s="1"/>
  <c r="BA11" i="14"/>
  <c r="AY10" i="14"/>
  <c r="AO182" i="13" s="1"/>
  <c r="AO199" i="13" s="1"/>
  <c r="AU10" i="14"/>
  <c r="AT10" i="14"/>
  <c r="AQ182" i="13"/>
  <c r="AQ199" i="13" s="1"/>
  <c r="BA10" i="14"/>
  <c r="BA9" i="14"/>
  <c r="AC21" i="14"/>
  <c r="Y21" i="14"/>
  <c r="X21" i="14"/>
  <c r="J21" i="14"/>
  <c r="G21" i="14"/>
  <c r="B21" i="14"/>
  <c r="AQ180" i="13"/>
  <c r="AQ197" i="13" s="1"/>
  <c r="BA8" i="14"/>
  <c r="AQ179" i="13"/>
  <c r="AQ196" i="13" s="1"/>
  <c r="BA7" i="14"/>
  <c r="AM20" i="14"/>
  <c r="AQ178" i="13"/>
  <c r="AQ195" i="13" s="1"/>
  <c r="Q20" i="14"/>
  <c r="AU6" i="14"/>
  <c r="AQ177" i="13"/>
  <c r="AQ194" i="13" s="1"/>
  <c r="V19" i="14"/>
  <c r="BA5" i="14"/>
  <c r="AQ176" i="13"/>
  <c r="AQ193" i="13" s="1"/>
  <c r="BA4" i="14"/>
  <c r="G19" i="14"/>
  <c r="AO19" i="14"/>
  <c r="AQ235" i="13"/>
  <c r="AQ208" i="13"/>
  <c r="AP208" i="13"/>
  <c r="AO208" i="13"/>
  <c r="AN208" i="13"/>
  <c r="AM208" i="13"/>
  <c r="AL208" i="13"/>
  <c r="AK208" i="13"/>
  <c r="AJ208" i="13"/>
  <c r="AI208" i="13"/>
  <c r="AH208" i="13"/>
  <c r="AG208" i="13"/>
  <c r="AF208" i="13"/>
  <c r="AE208" i="13"/>
  <c r="AD208" i="13"/>
  <c r="AC208" i="13"/>
  <c r="AB208" i="13"/>
  <c r="AA208" i="13"/>
  <c r="Z208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AQ191" i="13"/>
  <c r="AP191" i="13"/>
  <c r="AO191" i="13"/>
  <c r="AN191" i="13"/>
  <c r="AM191" i="13"/>
  <c r="AL191" i="13"/>
  <c r="AK191" i="13"/>
  <c r="AJ191" i="13"/>
  <c r="AI191" i="13"/>
  <c r="AH191" i="13"/>
  <c r="AG191" i="13"/>
  <c r="AF191" i="13"/>
  <c r="AE191" i="13"/>
  <c r="AD191" i="13"/>
  <c r="AC191" i="13"/>
  <c r="AB191" i="13"/>
  <c r="AA191" i="13"/>
  <c r="Z191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AQ186" i="13"/>
  <c r="AQ203" i="13" s="1"/>
  <c r="AQ185" i="13"/>
  <c r="AQ202" i="13" s="1"/>
  <c r="AQ184" i="13"/>
  <c r="AQ201" i="13" s="1"/>
  <c r="AO174" i="13"/>
  <c r="AN174" i="13"/>
  <c r="AM174" i="13"/>
  <c r="AJ174" i="13"/>
  <c r="AI174" i="13"/>
  <c r="AH174" i="13"/>
  <c r="AG174" i="13"/>
  <c r="AF174" i="13"/>
  <c r="W174" i="13"/>
  <c r="V174" i="13"/>
  <c r="U174" i="13"/>
  <c r="T174" i="13"/>
  <c r="R174" i="13"/>
  <c r="Q174" i="13"/>
  <c r="N174" i="13"/>
  <c r="M174" i="13"/>
  <c r="E174" i="13"/>
  <c r="AP168" i="13"/>
  <c r="AP174" i="13" s="1"/>
  <c r="AO168" i="13"/>
  <c r="AN168" i="13"/>
  <c r="AM168" i="13"/>
  <c r="AL168" i="13"/>
  <c r="AL174" i="13" s="1"/>
  <c r="AK168" i="13"/>
  <c r="AK174" i="13" s="1"/>
  <c r="AJ168" i="13"/>
  <c r="AI168" i="13"/>
  <c r="AH168" i="13"/>
  <c r="AG168" i="13"/>
  <c r="AF168" i="13"/>
  <c r="AE168" i="13"/>
  <c r="AE174" i="13" s="1"/>
  <c r="AD168" i="13"/>
  <c r="AD174" i="13" s="1"/>
  <c r="AC168" i="13"/>
  <c r="AC174" i="13" s="1"/>
  <c r="AB168" i="13"/>
  <c r="AB174" i="13" s="1"/>
  <c r="AA168" i="13"/>
  <c r="AA174" i="13" s="1"/>
  <c r="Z168" i="13"/>
  <c r="Z174" i="13" s="1"/>
  <c r="Y168" i="13"/>
  <c r="Y174" i="13" s="1"/>
  <c r="X168" i="13"/>
  <c r="X174" i="13" s="1"/>
  <c r="W168" i="13"/>
  <c r="V168" i="13"/>
  <c r="U168" i="13"/>
  <c r="T168" i="13"/>
  <c r="S168" i="13"/>
  <c r="S174" i="13" s="1"/>
  <c r="R168" i="13"/>
  <c r="Q168" i="13"/>
  <c r="P168" i="13"/>
  <c r="P174" i="13" s="1"/>
  <c r="O168" i="13"/>
  <c r="O174" i="13" s="1"/>
  <c r="N168" i="13"/>
  <c r="M168" i="13"/>
  <c r="L168" i="13"/>
  <c r="L174" i="13" s="1"/>
  <c r="K168" i="13"/>
  <c r="K174" i="13" s="1"/>
  <c r="J168" i="13"/>
  <c r="J174" i="13" s="1"/>
  <c r="I168" i="13"/>
  <c r="I174" i="13" s="1"/>
  <c r="H168" i="13"/>
  <c r="H174" i="13" s="1"/>
  <c r="G168" i="13"/>
  <c r="G174" i="13" s="1"/>
  <c r="F168" i="13"/>
  <c r="F174" i="13" s="1"/>
  <c r="E168" i="13"/>
  <c r="D168" i="13"/>
  <c r="D174" i="13" s="1"/>
  <c r="C168" i="13"/>
  <c r="C174" i="13" s="1"/>
  <c r="B168" i="13"/>
  <c r="B174" i="13" s="1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B152" i="13"/>
  <c r="AP151" i="13"/>
  <c r="AO151" i="13"/>
  <c r="AN151" i="13"/>
  <c r="AM151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Z151" i="13"/>
  <c r="Y151" i="13"/>
  <c r="X151" i="13"/>
  <c r="W151" i="13"/>
  <c r="V151" i="13"/>
  <c r="U151" i="13"/>
  <c r="T151" i="13"/>
  <c r="S151" i="13"/>
  <c r="R151" i="13"/>
  <c r="Q151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B135" i="13"/>
  <c r="W130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AP106" i="13"/>
  <c r="AO106" i="13"/>
  <c r="AN106" i="13"/>
  <c r="AK106" i="13"/>
  <c r="AJ106" i="13"/>
  <c r="AI106" i="13"/>
  <c r="AH106" i="13"/>
  <c r="AC106" i="13"/>
  <c r="AB106" i="13"/>
  <c r="X106" i="13"/>
  <c r="W106" i="13"/>
  <c r="V106" i="13"/>
  <c r="T106" i="13"/>
  <c r="S106" i="13"/>
  <c r="R106" i="13"/>
  <c r="P106" i="13"/>
  <c r="N106" i="13"/>
  <c r="M106" i="13"/>
  <c r="L106" i="13"/>
  <c r="K106" i="13"/>
  <c r="J106" i="13"/>
  <c r="B106" i="13"/>
  <c r="AP97" i="13"/>
  <c r="AO97" i="13"/>
  <c r="AN97" i="13"/>
  <c r="AM97" i="13"/>
  <c r="AM106" i="13" s="1"/>
  <c r="AL97" i="13"/>
  <c r="AL106" i="13" s="1"/>
  <c r="AK97" i="13"/>
  <c r="AJ97" i="13"/>
  <c r="AI97" i="13"/>
  <c r="AH97" i="13"/>
  <c r="AG97" i="13"/>
  <c r="AG106" i="13" s="1"/>
  <c r="AF97" i="13"/>
  <c r="AF106" i="13" s="1"/>
  <c r="AE97" i="13"/>
  <c r="AE106" i="13" s="1"/>
  <c r="AD97" i="13"/>
  <c r="AD106" i="13" s="1"/>
  <c r="AC97" i="13"/>
  <c r="AB97" i="13"/>
  <c r="AA97" i="13"/>
  <c r="AA106" i="13" s="1"/>
  <c r="Z97" i="13"/>
  <c r="Z106" i="13" s="1"/>
  <c r="Y97" i="13"/>
  <c r="Y106" i="13" s="1"/>
  <c r="X97" i="13"/>
  <c r="W97" i="13"/>
  <c r="V97" i="13"/>
  <c r="U97" i="13"/>
  <c r="U106" i="13" s="1"/>
  <c r="T97" i="13"/>
  <c r="S97" i="13"/>
  <c r="R97" i="13"/>
  <c r="Q97" i="13"/>
  <c r="Q106" i="13" s="1"/>
  <c r="P97" i="13"/>
  <c r="O97" i="13"/>
  <c r="O106" i="13" s="1"/>
  <c r="N97" i="13"/>
  <c r="M97" i="13"/>
  <c r="L97" i="13"/>
  <c r="K97" i="13"/>
  <c r="J97" i="13"/>
  <c r="I97" i="13"/>
  <c r="I106" i="13" s="1"/>
  <c r="H97" i="13"/>
  <c r="H106" i="13" s="1"/>
  <c r="G97" i="13"/>
  <c r="G106" i="13" s="1"/>
  <c r="F97" i="13"/>
  <c r="F106" i="13" s="1"/>
  <c r="E97" i="13"/>
  <c r="E106" i="13" s="1"/>
  <c r="D97" i="13"/>
  <c r="D106" i="13" s="1"/>
  <c r="C97" i="13"/>
  <c r="C106" i="13" s="1"/>
  <c r="B97" i="13"/>
  <c r="T100" i="13"/>
  <c r="AB125" i="13"/>
  <c r="AB159" i="13" s="1"/>
  <c r="F125" i="13"/>
  <c r="F159" i="13" s="1"/>
  <c r="AF124" i="13"/>
  <c r="AF158" i="13" s="1"/>
  <c r="BC64" i="13"/>
  <c r="AW64" i="13"/>
  <c r="AU64" i="13"/>
  <c r="BC63" i="13"/>
  <c r="AY63" i="13"/>
  <c r="BD63" i="13"/>
  <c r="AZ63" i="13"/>
  <c r="M110" i="13"/>
  <c r="L110" i="13"/>
  <c r="J110" i="13"/>
  <c r="I110" i="13"/>
  <c r="G110" i="13"/>
  <c r="F110" i="13"/>
  <c r="E110" i="13"/>
  <c r="D110" i="13"/>
  <c r="C110" i="13"/>
  <c r="BC62" i="13"/>
  <c r="AY62" i="13"/>
  <c r="BD62" i="13"/>
  <c r="L109" i="13"/>
  <c r="AX62" i="13"/>
  <c r="J109" i="13"/>
  <c r="H109" i="13"/>
  <c r="G109" i="13"/>
  <c r="F109" i="13"/>
  <c r="E109" i="13"/>
  <c r="D109" i="13"/>
  <c r="C109" i="13"/>
  <c r="BC61" i="13"/>
  <c r="AY61" i="13"/>
  <c r="AZ61" i="13"/>
  <c r="M108" i="13"/>
  <c r="L108" i="13"/>
  <c r="K108" i="13"/>
  <c r="J108" i="13"/>
  <c r="I108" i="13"/>
  <c r="H108" i="13"/>
  <c r="G108" i="13"/>
  <c r="E108" i="13"/>
  <c r="C108" i="13"/>
  <c r="BC60" i="13"/>
  <c r="AY60" i="13"/>
  <c r="L107" i="13"/>
  <c r="AX60" i="13"/>
  <c r="J107" i="13"/>
  <c r="F107" i="13"/>
  <c r="E107" i="13"/>
  <c r="D107" i="13"/>
  <c r="AP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BG50" i="13"/>
  <c r="BF50" i="13"/>
  <c r="BD50" i="13"/>
  <c r="BA50" i="13"/>
  <c r="AZ50" i="13"/>
  <c r="AY50" i="13"/>
  <c r="AX50" i="13"/>
  <c r="AW50" i="13"/>
  <c r="AV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BE50" i="13" s="1"/>
  <c r="N50" i="13"/>
  <c r="M50" i="13"/>
  <c r="BC50" i="13" s="1"/>
  <c r="L50" i="13"/>
  <c r="BB50" i="13" s="1"/>
  <c r="K50" i="13"/>
  <c r="J50" i="13"/>
  <c r="I50" i="13"/>
  <c r="H50" i="13"/>
  <c r="G50" i="13"/>
  <c r="F50" i="13"/>
  <c r="E50" i="13"/>
  <c r="AU50" i="13" s="1"/>
  <c r="D50" i="13"/>
  <c r="AT50" i="13" s="1"/>
  <c r="C50" i="13"/>
  <c r="AS50" i="13" s="1"/>
  <c r="B50" i="13"/>
  <c r="BR46" i="13"/>
  <c r="AP186" i="13"/>
  <c r="AP203" i="13" s="1"/>
  <c r="AN186" i="13"/>
  <c r="AN203" i="13" s="1"/>
  <c r="AI186" i="13"/>
  <c r="AI203" i="13" s="1"/>
  <c r="AG186" i="13"/>
  <c r="AG203" i="13" s="1"/>
  <c r="R186" i="13"/>
  <c r="R203" i="13" s="1"/>
  <c r="Q186" i="13"/>
  <c r="Q203" i="13" s="1"/>
  <c r="CC46" i="13"/>
  <c r="CB46" i="13"/>
  <c r="AT46" i="13"/>
  <c r="BU46" i="13"/>
  <c r="BQ46" i="13"/>
  <c r="BR45" i="13"/>
  <c r="BQ45" i="13"/>
  <c r="AP185" i="13"/>
  <c r="AP202" i="13" s="1"/>
  <c r="AN185" i="13"/>
  <c r="AN202" i="13" s="1"/>
  <c r="AI185" i="13"/>
  <c r="AI202" i="13" s="1"/>
  <c r="AG185" i="13"/>
  <c r="AG202" i="13" s="1"/>
  <c r="AF185" i="13"/>
  <c r="AF202" i="13" s="1"/>
  <c r="V185" i="13"/>
  <c r="V202" i="13" s="1"/>
  <c r="Q185" i="13"/>
  <c r="Q202" i="13" s="1"/>
  <c r="P185" i="13"/>
  <c r="P202" i="13" s="1"/>
  <c r="BZ45" i="13"/>
  <c r="BX45" i="13"/>
  <c r="BW45" i="13"/>
  <c r="BU45" i="13"/>
  <c r="BS45" i="13"/>
  <c r="BS44" i="13"/>
  <c r="BR44" i="13"/>
  <c r="AP184" i="13"/>
  <c r="AP201" i="13" s="1"/>
  <c r="AI184" i="13"/>
  <c r="AI201" i="13" s="1"/>
  <c r="AE184" i="13"/>
  <c r="AE201" i="13" s="1"/>
  <c r="AD184" i="13"/>
  <c r="AD201" i="13" s="1"/>
  <c r="U184" i="13"/>
  <c r="U201" i="13" s="1"/>
  <c r="T184" i="13"/>
  <c r="T201" i="13" s="1"/>
  <c r="Q184" i="13"/>
  <c r="Q201" i="13" s="1"/>
  <c r="P184" i="13"/>
  <c r="P201" i="13" s="1"/>
  <c r="AU44" i="13"/>
  <c r="AU43" i="13"/>
  <c r="AP183" i="13"/>
  <c r="AP200" i="13" s="1"/>
  <c r="AI183" i="13"/>
  <c r="AI200" i="13" s="1"/>
  <c r="AG183" i="13"/>
  <c r="AG200" i="13" s="1"/>
  <c r="AF183" i="13"/>
  <c r="AF200" i="13" s="1"/>
  <c r="AE183" i="13"/>
  <c r="AE200" i="13" s="1"/>
  <c r="AC183" i="13"/>
  <c r="AC200" i="13" s="1"/>
  <c r="Q183" i="13"/>
  <c r="Q200" i="13" s="1"/>
  <c r="P183" i="13"/>
  <c r="P200" i="13" s="1"/>
  <c r="AT43" i="13"/>
  <c r="J183" i="13"/>
  <c r="J200" i="13" s="1"/>
  <c r="I183" i="13"/>
  <c r="I200" i="13" s="1"/>
  <c r="AP182" i="13"/>
  <c r="AP199" i="13" s="1"/>
  <c r="AI182" i="13"/>
  <c r="AI199" i="13" s="1"/>
  <c r="AH182" i="13"/>
  <c r="AH199" i="13" s="1"/>
  <c r="AE182" i="13"/>
  <c r="AE199" i="13" s="1"/>
  <c r="T182" i="13"/>
  <c r="T199" i="13" s="1"/>
  <c r="S182" i="13"/>
  <c r="S199" i="13" s="1"/>
  <c r="R182" i="13"/>
  <c r="R199" i="13" s="1"/>
  <c r="P182" i="13"/>
  <c r="P199" i="13" s="1"/>
  <c r="CA42" i="13"/>
  <c r="BZ42" i="13"/>
  <c r="I182" i="13"/>
  <c r="I199" i="13" s="1"/>
  <c r="BP42" i="13"/>
  <c r="AP181" i="13"/>
  <c r="AP198" i="13" s="1"/>
  <c r="AI181" i="13"/>
  <c r="AI198" i="13" s="1"/>
  <c r="AG181" i="13"/>
  <c r="AG198" i="13" s="1"/>
  <c r="AC181" i="13"/>
  <c r="AC198" i="13" s="1"/>
  <c r="R181" i="13"/>
  <c r="R198" i="13" s="1"/>
  <c r="Q181" i="13"/>
  <c r="Q198" i="13" s="1"/>
  <c r="P181" i="13"/>
  <c r="P198" i="13" s="1"/>
  <c r="BC41" i="13"/>
  <c r="BZ41" i="13"/>
  <c r="G181" i="13"/>
  <c r="G198" i="13" s="1"/>
  <c r="BR41" i="13"/>
  <c r="BQ41" i="13"/>
  <c r="BP41" i="13"/>
  <c r="AP180" i="13"/>
  <c r="AP197" i="13" s="1"/>
  <c r="AI180" i="13"/>
  <c r="AI197" i="13" s="1"/>
  <c r="AF180" i="13"/>
  <c r="AF197" i="13" s="1"/>
  <c r="P180" i="13"/>
  <c r="P197" i="13" s="1"/>
  <c r="AU40" i="13"/>
  <c r="AP179" i="13"/>
  <c r="AP196" i="13" s="1"/>
  <c r="AI179" i="13"/>
  <c r="AI196" i="13" s="1"/>
  <c r="AD179" i="13"/>
  <c r="AD196" i="13" s="1"/>
  <c r="AC179" i="13"/>
  <c r="AC196" i="13" s="1"/>
  <c r="AB179" i="13"/>
  <c r="AB196" i="13" s="1"/>
  <c r="Y179" i="13"/>
  <c r="Y196" i="13" s="1"/>
  <c r="X179" i="13"/>
  <c r="X196" i="13" s="1"/>
  <c r="V179" i="13"/>
  <c r="V196" i="13" s="1"/>
  <c r="U179" i="13"/>
  <c r="U196" i="13" s="1"/>
  <c r="R179" i="13"/>
  <c r="R196" i="13" s="1"/>
  <c r="CA39" i="13"/>
  <c r="BZ39" i="13"/>
  <c r="AW39" i="13"/>
  <c r="BW39" i="13"/>
  <c r="BV39" i="13"/>
  <c r="G179" i="13"/>
  <c r="G196" i="13" s="1"/>
  <c r="F179" i="13"/>
  <c r="F196" i="13" s="1"/>
  <c r="BS39" i="13"/>
  <c r="BR39" i="13"/>
  <c r="AP178" i="13"/>
  <c r="AP195" i="13" s="1"/>
  <c r="AI178" i="13"/>
  <c r="AI195" i="13" s="1"/>
  <c r="AD178" i="13"/>
  <c r="AD195" i="13" s="1"/>
  <c r="AC178" i="13"/>
  <c r="AC195" i="13" s="1"/>
  <c r="AB178" i="13"/>
  <c r="AB195" i="13" s="1"/>
  <c r="AA178" i="13"/>
  <c r="AA195" i="13" s="1"/>
  <c r="Z178" i="13"/>
  <c r="Z195" i="13" s="1"/>
  <c r="Y178" i="13"/>
  <c r="Y195" i="13" s="1"/>
  <c r="V178" i="13"/>
  <c r="V195" i="13" s="1"/>
  <c r="CB38" i="13"/>
  <c r="CA38" i="13"/>
  <c r="H178" i="13"/>
  <c r="H195" i="13" s="1"/>
  <c r="G178" i="13"/>
  <c r="G195" i="13" s="1"/>
  <c r="C178" i="13"/>
  <c r="C195" i="13" s="1"/>
  <c r="BP38" i="13"/>
  <c r="AP177" i="13"/>
  <c r="AP194" i="13" s="1"/>
  <c r="AI177" i="13"/>
  <c r="AI194" i="13" s="1"/>
  <c r="AE177" i="13"/>
  <c r="AE194" i="13" s="1"/>
  <c r="AD177" i="13"/>
  <c r="AD194" i="13" s="1"/>
  <c r="AC177" i="13"/>
  <c r="AC194" i="13" s="1"/>
  <c r="AB177" i="13"/>
  <c r="AB194" i="13" s="1"/>
  <c r="AA177" i="13"/>
  <c r="AA194" i="13" s="1"/>
  <c r="Z177" i="13"/>
  <c r="Z194" i="13" s="1"/>
  <c r="Y177" i="13"/>
  <c r="Y194" i="13" s="1"/>
  <c r="G177" i="13"/>
  <c r="G194" i="13" s="1"/>
  <c r="F177" i="13"/>
  <c r="F194" i="13" s="1"/>
  <c r="E177" i="13"/>
  <c r="E194" i="13" s="1"/>
  <c r="D177" i="13"/>
  <c r="D194" i="13" s="1"/>
  <c r="C177" i="13"/>
  <c r="C194" i="13" s="1"/>
  <c r="AP176" i="13"/>
  <c r="AP193" i="13" s="1"/>
  <c r="AI176" i="13"/>
  <c r="AI193" i="13" s="1"/>
  <c r="AH176" i="13"/>
  <c r="AH193" i="13" s="1"/>
  <c r="Y176" i="13"/>
  <c r="Y193" i="13" s="1"/>
  <c r="X176" i="13"/>
  <c r="X193" i="13" s="1"/>
  <c r="P176" i="13"/>
  <c r="P193" i="13" s="1"/>
  <c r="O176" i="13"/>
  <c r="O193" i="13" s="1"/>
  <c r="AS36" i="13"/>
  <c r="BA36" i="13"/>
  <c r="BX36" i="13"/>
  <c r="BR36" i="13"/>
  <c r="C176" i="13"/>
  <c r="C193" i="13" s="1"/>
  <c r="B176" i="13"/>
  <c r="B193" i="13" s="1"/>
  <c r="BY35" i="13"/>
  <c r="AI175" i="13"/>
  <c r="AC175" i="13"/>
  <c r="Y175" i="13"/>
  <c r="CB35" i="13"/>
  <c r="AT35" i="13"/>
  <c r="AU35" i="13"/>
  <c r="G175" i="13"/>
  <c r="F175" i="13"/>
  <c r="F192" i="13" s="1"/>
  <c r="BR35" i="13"/>
  <c r="BQ35" i="13"/>
  <c r="CC34" i="13"/>
  <c r="CB34" i="13"/>
  <c r="CA34" i="13"/>
  <c r="BZ34" i="13"/>
  <c r="BY34" i="13"/>
  <c r="BX34" i="13"/>
  <c r="BW34" i="13"/>
  <c r="BV34" i="13"/>
  <c r="BU34" i="13"/>
  <c r="BT34" i="13"/>
  <c r="BS34" i="13"/>
  <c r="BR34" i="13"/>
  <c r="BQ34" i="13"/>
  <c r="BP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P78" i="16"/>
  <c r="BO29" i="13"/>
  <c r="AS29" i="13"/>
  <c r="K77" i="16"/>
  <c r="K61" i="16" s="1"/>
  <c r="I77" i="16"/>
  <c r="I61" i="16" s="1"/>
  <c r="BR28" i="13"/>
  <c r="BN28" i="13"/>
  <c r="BF28" i="13"/>
  <c r="D76" i="16"/>
  <c r="D60" i="16" s="1"/>
  <c r="I73" i="16"/>
  <c r="I57" i="16" s="1"/>
  <c r="H73" i="16"/>
  <c r="H57" i="16" s="1"/>
  <c r="F73" i="16"/>
  <c r="F57" i="16" s="1"/>
  <c r="O70" i="16"/>
  <c r="O54" i="16" s="1"/>
  <c r="L70" i="16"/>
  <c r="L54" i="16" s="1"/>
  <c r="K70" i="16"/>
  <c r="K54" i="16" s="1"/>
  <c r="H70" i="16"/>
  <c r="H54" i="16" s="1"/>
  <c r="F70" i="16"/>
  <c r="F54" i="16" s="1"/>
  <c r="G69" i="16"/>
  <c r="G53" i="16" s="1"/>
  <c r="F69" i="16"/>
  <c r="F53" i="16" s="1"/>
  <c r="E69" i="16"/>
  <c r="E53" i="16" s="1"/>
  <c r="BC19" i="13"/>
  <c r="CH18" i="13"/>
  <c r="CL18" i="13" s="1"/>
  <c r="BP18" i="13"/>
  <c r="BO18" i="13"/>
  <c r="BL18" i="13"/>
  <c r="BK18" i="13"/>
  <c r="BG18" i="13"/>
  <c r="BF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BN18" i="13" s="1"/>
  <c r="CA18" i="13" s="1"/>
  <c r="J18" i="13"/>
  <c r="BM18" i="13" s="1"/>
  <c r="I18" i="13"/>
  <c r="H18" i="13"/>
  <c r="G18" i="13"/>
  <c r="BJ18" i="13" s="1"/>
  <c r="F18" i="13"/>
  <c r="BI18" i="13" s="1"/>
  <c r="E18" i="13"/>
  <c r="BH18" i="13" s="1"/>
  <c r="D18" i="13"/>
  <c r="C18" i="13"/>
  <c r="B18" i="13"/>
  <c r="AN235" i="13"/>
  <c r="B133" i="8"/>
  <c r="B97" i="8"/>
  <c r="B85" i="8"/>
  <c r="O14" i="9"/>
  <c r="M14" i="9"/>
  <c r="BH30" i="13"/>
  <c r="AO234" i="13"/>
  <c r="AN234" i="13"/>
  <c r="AI234" i="13"/>
  <c r="B144" i="8"/>
  <c r="B132" i="8"/>
  <c r="B120" i="8"/>
  <c r="B108" i="8"/>
  <c r="B96" i="8"/>
  <c r="B72" i="8"/>
  <c r="AS13" i="13"/>
  <c r="AT13" i="13"/>
  <c r="BH29" i="13"/>
  <c r="BG29" i="13"/>
  <c r="AA54" i="13"/>
  <c r="B143" i="8"/>
  <c r="B131" i="8"/>
  <c r="B119" i="8"/>
  <c r="B107" i="8"/>
  <c r="B95" i="8"/>
  <c r="Q12" i="9"/>
  <c r="B47" i="12"/>
  <c r="L12" i="9"/>
  <c r="B11" i="12"/>
  <c r="AN232" i="13"/>
  <c r="AG232" i="13"/>
  <c r="B142" i="8"/>
  <c r="B130" i="8"/>
  <c r="B118" i="8"/>
  <c r="B106" i="8"/>
  <c r="B70" i="8"/>
  <c r="B58" i="8"/>
  <c r="N11" i="9"/>
  <c r="AS11" i="13"/>
  <c r="B34" i="12"/>
  <c r="B22" i="12"/>
  <c r="I11" i="9"/>
  <c r="BG27" i="13"/>
  <c r="AO231" i="13"/>
  <c r="AE231" i="13"/>
  <c r="AB53" i="13"/>
  <c r="B141" i="8"/>
  <c r="B129" i="8"/>
  <c r="B117" i="8"/>
  <c r="B33" i="12"/>
  <c r="B21" i="12"/>
  <c r="B9" i="12"/>
  <c r="H10" i="9"/>
  <c r="E126" i="13"/>
  <c r="E160" i="13" s="1"/>
  <c r="BF26" i="13"/>
  <c r="X142" i="13"/>
  <c r="Q9" i="9"/>
  <c r="B8" i="8"/>
  <c r="H9" i="9"/>
  <c r="G9" i="9"/>
  <c r="BI25" i="13"/>
  <c r="AP229" i="13"/>
  <c r="B79" i="8"/>
  <c r="F8" i="9"/>
  <c r="BH24" i="13"/>
  <c r="AP228" i="13"/>
  <c r="AA228" i="13"/>
  <c r="P7" i="9"/>
  <c r="O7" i="9"/>
  <c r="M7" i="9"/>
  <c r="B18" i="8"/>
  <c r="BI23" i="13"/>
  <c r="D7" i="9"/>
  <c r="C7" i="9"/>
  <c r="BF23" i="13"/>
  <c r="AR6" i="13"/>
  <c r="BQ22" i="13"/>
  <c r="B5" i="12"/>
  <c r="BM22" i="13"/>
  <c r="G6" i="9"/>
  <c r="BF22" i="13"/>
  <c r="AP226" i="13"/>
  <c r="AN226" i="13"/>
  <c r="AI226" i="13"/>
  <c r="AG121" i="13"/>
  <c r="AG155" i="13" s="1"/>
  <c r="AC138" i="13"/>
  <c r="B136" i="8"/>
  <c r="B124" i="8"/>
  <c r="R138" i="13"/>
  <c r="B76" i="12"/>
  <c r="B64" i="12"/>
  <c r="N138" i="13"/>
  <c r="H5" i="9"/>
  <c r="BK21" i="13"/>
  <c r="BJ21" i="13"/>
  <c r="BF21" i="13"/>
  <c r="AO225" i="13"/>
  <c r="AG225" i="13"/>
  <c r="AE225" i="13"/>
  <c r="B159" i="8"/>
  <c r="AR4" i="13"/>
  <c r="I4" i="9"/>
  <c r="H4" i="9"/>
  <c r="G4" i="9"/>
  <c r="D4" i="9"/>
  <c r="C4" i="9"/>
  <c r="B158" i="8"/>
  <c r="T136" i="13"/>
  <c r="B86" i="8"/>
  <c r="B74" i="8"/>
  <c r="B62" i="12"/>
  <c r="BL19" i="13"/>
  <c r="D3" i="9"/>
  <c r="C3" i="9"/>
  <c r="B3" i="9"/>
  <c r="C84" i="12"/>
  <c r="B80" i="12"/>
  <c r="B75" i="12"/>
  <c r="C73" i="12"/>
  <c r="C71" i="12"/>
  <c r="C67" i="12"/>
  <c r="C63" i="12"/>
  <c r="C61" i="12"/>
  <c r="C58" i="12"/>
  <c r="C55" i="12"/>
  <c r="C50" i="12"/>
  <c r="C49" i="12"/>
  <c r="C48" i="12"/>
  <c r="B48" i="12"/>
  <c r="B43" i="12"/>
  <c r="C42" i="12"/>
  <c r="C37" i="12"/>
  <c r="C36" i="12"/>
  <c r="B36" i="12"/>
  <c r="C27" i="12"/>
  <c r="C25" i="12"/>
  <c r="C24" i="12"/>
  <c r="C21" i="12"/>
  <c r="C20" i="12"/>
  <c r="C19" i="12"/>
  <c r="C13" i="12"/>
  <c r="C11" i="12"/>
  <c r="C10" i="12"/>
  <c r="B10" i="12"/>
  <c r="B6" i="12"/>
  <c r="K174" i="11"/>
  <c r="J1" i="11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H301" i="11"/>
  <c r="H289" i="11"/>
  <c r="H277" i="11"/>
  <c r="H253" i="11"/>
  <c r="H241" i="11"/>
  <c r="H229" i="11"/>
  <c r="H193" i="11"/>
  <c r="H181" i="11"/>
  <c r="H133" i="11"/>
  <c r="H121" i="11"/>
  <c r="H109" i="11"/>
  <c r="H97" i="11"/>
  <c r="H73" i="11"/>
  <c r="H61" i="11"/>
  <c r="H49" i="11"/>
  <c r="H37" i="11"/>
  <c r="H25" i="11"/>
  <c r="H13" i="11"/>
  <c r="H300" i="11"/>
  <c r="H288" i="11"/>
  <c r="H276" i="11"/>
  <c r="H264" i="11"/>
  <c r="H240" i="11"/>
  <c r="H228" i="11"/>
  <c r="H204" i="11"/>
  <c r="H192" i="11"/>
  <c r="H168" i="11"/>
  <c r="H144" i="11"/>
  <c r="H120" i="11"/>
  <c r="H84" i="11"/>
  <c r="H72" i="11"/>
  <c r="H48" i="11"/>
  <c r="H24" i="11"/>
  <c r="H287" i="11"/>
  <c r="H275" i="11"/>
  <c r="H251" i="11"/>
  <c r="H227" i="11"/>
  <c r="H215" i="11"/>
  <c r="H179" i="11"/>
  <c r="H167" i="11"/>
  <c r="H143" i="11"/>
  <c r="H131" i="11"/>
  <c r="H119" i="11"/>
  <c r="H107" i="11"/>
  <c r="H95" i="11"/>
  <c r="H83" i="11"/>
  <c r="H71" i="11"/>
  <c r="H59" i="11"/>
  <c r="H11" i="11"/>
  <c r="H262" i="11"/>
  <c r="H214" i="11"/>
  <c r="H166" i="11"/>
  <c r="H142" i="11"/>
  <c r="H130" i="11"/>
  <c r="H118" i="11"/>
  <c r="H106" i="11"/>
  <c r="H94" i="11"/>
  <c r="H70" i="11"/>
  <c r="H58" i="11"/>
  <c r="H34" i="11"/>
  <c r="H10" i="11"/>
  <c r="H285" i="11"/>
  <c r="H273" i="11"/>
  <c r="H261" i="11"/>
  <c r="H225" i="11"/>
  <c r="H213" i="11"/>
  <c r="H189" i="11"/>
  <c r="H165" i="11"/>
  <c r="H105" i="11"/>
  <c r="H57" i="11"/>
  <c r="H45" i="11"/>
  <c r="H21" i="11"/>
  <c r="H9" i="11"/>
  <c r="H272" i="11"/>
  <c r="H260" i="11"/>
  <c r="H248" i="11"/>
  <c r="H236" i="11"/>
  <c r="H224" i="11"/>
  <c r="H212" i="11"/>
  <c r="H164" i="11"/>
  <c r="H152" i="11"/>
  <c r="H104" i="11"/>
  <c r="H44" i="11"/>
  <c r="H8" i="11"/>
  <c r="H283" i="11"/>
  <c r="H271" i="11"/>
  <c r="H259" i="11"/>
  <c r="H247" i="11"/>
  <c r="H211" i="11"/>
  <c r="H199" i="11"/>
  <c r="H151" i="11"/>
  <c r="H103" i="11"/>
  <c r="H91" i="11"/>
  <c r="H55" i="11"/>
  <c r="H43" i="11"/>
  <c r="H19" i="11"/>
  <c r="H7" i="11"/>
  <c r="H258" i="11"/>
  <c r="H246" i="11"/>
  <c r="H210" i="11"/>
  <c r="H198" i="11"/>
  <c r="H186" i="11"/>
  <c r="H174" i="11"/>
  <c r="H162" i="11"/>
  <c r="H150" i="11"/>
  <c r="H138" i="11"/>
  <c r="H114" i="11"/>
  <c r="H90" i="11"/>
  <c r="H54" i="11"/>
  <c r="H42" i="11"/>
  <c r="H18" i="11"/>
  <c r="H293" i="11"/>
  <c r="H233" i="11"/>
  <c r="H209" i="11"/>
  <c r="H185" i="11"/>
  <c r="H161" i="11"/>
  <c r="H149" i="11"/>
  <c r="H137" i="11"/>
  <c r="H125" i="11"/>
  <c r="H113" i="11"/>
  <c r="H101" i="11"/>
  <c r="H89" i="11"/>
  <c r="H77" i="11"/>
  <c r="H29" i="11"/>
  <c r="H280" i="11"/>
  <c r="H256" i="11"/>
  <c r="H232" i="11"/>
  <c r="H184" i="11"/>
  <c r="H160" i="11"/>
  <c r="H148" i="11"/>
  <c r="H136" i="11"/>
  <c r="H124" i="11"/>
  <c r="H112" i="11"/>
  <c r="H88" i="11"/>
  <c r="H76" i="11"/>
  <c r="H16" i="11"/>
  <c r="H279" i="11"/>
  <c r="H255" i="11"/>
  <c r="H243" i="11"/>
  <c r="H231" i="11"/>
  <c r="H207" i="11"/>
  <c r="H195" i="11"/>
  <c r="H183" i="11"/>
  <c r="H135" i="11"/>
  <c r="H123" i="11"/>
  <c r="H99" i="11"/>
  <c r="H63" i="11"/>
  <c r="H39" i="11"/>
  <c r="H15" i="11"/>
  <c r="H290" i="11"/>
  <c r="H254" i="11"/>
  <c r="H242" i="11"/>
  <c r="H194" i="11"/>
  <c r="H182" i="11"/>
  <c r="H74" i="11"/>
  <c r="H38" i="11"/>
  <c r="H26" i="11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G301" i="11"/>
  <c r="G289" i="11"/>
  <c r="G277" i="11"/>
  <c r="G265" i="11"/>
  <c r="G253" i="11"/>
  <c r="G229" i="11"/>
  <c r="G217" i="11"/>
  <c r="G205" i="11"/>
  <c r="G181" i="11"/>
  <c r="G169" i="11"/>
  <c r="G157" i="11"/>
  <c r="G145" i="11"/>
  <c r="G133" i="11"/>
  <c r="G121" i="11"/>
  <c r="G109" i="11"/>
  <c r="G97" i="11"/>
  <c r="G85" i="11"/>
  <c r="G61" i="11"/>
  <c r="G49" i="11"/>
  <c r="G37" i="11"/>
  <c r="G25" i="11"/>
  <c r="G13" i="11"/>
  <c r="G300" i="11"/>
  <c r="G288" i="11"/>
  <c r="G276" i="11"/>
  <c r="G264" i="11"/>
  <c r="G252" i="11"/>
  <c r="G240" i="11"/>
  <c r="G228" i="11"/>
  <c r="G216" i="11"/>
  <c r="G204" i="11"/>
  <c r="G192" i="11"/>
  <c r="G180" i="11"/>
  <c r="G168" i="11"/>
  <c r="G156" i="11"/>
  <c r="G144" i="11"/>
  <c r="G132" i="11"/>
  <c r="G108" i="11"/>
  <c r="G96" i="11"/>
  <c r="G84" i="11"/>
  <c r="G72" i="11"/>
  <c r="G60" i="11"/>
  <c r="G48" i="11"/>
  <c r="G36" i="11"/>
  <c r="G12" i="11"/>
  <c r="G299" i="11"/>
  <c r="G275" i="11"/>
  <c r="G263" i="11"/>
  <c r="G251" i="11"/>
  <c r="G239" i="11"/>
  <c r="G227" i="11"/>
  <c r="G215" i="11"/>
  <c r="G203" i="11"/>
  <c r="G191" i="11"/>
  <c r="G179" i="11"/>
  <c r="G155" i="11"/>
  <c r="G143" i="11"/>
  <c r="G131" i="11"/>
  <c r="G107" i="11"/>
  <c r="G95" i="11"/>
  <c r="G59" i="11"/>
  <c r="G47" i="11"/>
  <c r="G35" i="11"/>
  <c r="G23" i="11"/>
  <c r="G11" i="11"/>
  <c r="G298" i="11"/>
  <c r="G286" i="11"/>
  <c r="G274" i="11"/>
  <c r="G262" i="11"/>
  <c r="G250" i="11"/>
  <c r="G238" i="11"/>
  <c r="G226" i="11"/>
  <c r="G202" i="11"/>
  <c r="G190" i="11"/>
  <c r="G178" i="11"/>
  <c r="G166" i="11"/>
  <c r="G154" i="11"/>
  <c r="G142" i="11"/>
  <c r="G106" i="11"/>
  <c r="G94" i="11"/>
  <c r="G82" i="11"/>
  <c r="G70" i="11"/>
  <c r="G58" i="11"/>
  <c r="G46" i="11"/>
  <c r="G34" i="11"/>
  <c r="G22" i="11"/>
  <c r="G10" i="11"/>
  <c r="G297" i="11"/>
  <c r="G285" i="11"/>
  <c r="G273" i="11"/>
  <c r="G249" i="11"/>
  <c r="G237" i="11"/>
  <c r="G225" i="11"/>
  <c r="G213" i="11"/>
  <c r="G201" i="11"/>
  <c r="G177" i="11"/>
  <c r="G153" i="11"/>
  <c r="G141" i="11"/>
  <c r="G129" i="11"/>
  <c r="G117" i="11"/>
  <c r="G93" i="11"/>
  <c r="G81" i="11"/>
  <c r="G69" i="11"/>
  <c r="G57" i="11"/>
  <c r="G45" i="11"/>
  <c r="G33" i="11"/>
  <c r="G21" i="11"/>
  <c r="G9" i="11"/>
  <c r="G296" i="11"/>
  <c r="G284" i="11"/>
  <c r="G272" i="11"/>
  <c r="G260" i="11"/>
  <c r="G248" i="11"/>
  <c r="G236" i="11"/>
  <c r="G224" i="11"/>
  <c r="G212" i="11"/>
  <c r="G200" i="11"/>
  <c r="G188" i="11"/>
  <c r="G176" i="11"/>
  <c r="G164" i="11"/>
  <c r="G152" i="11"/>
  <c r="G140" i="11"/>
  <c r="G128" i="11"/>
  <c r="G116" i="11"/>
  <c r="G104" i="11"/>
  <c r="G92" i="11"/>
  <c r="G80" i="11"/>
  <c r="G68" i="11"/>
  <c r="G56" i="11"/>
  <c r="G32" i="11"/>
  <c r="G20" i="11"/>
  <c r="G8" i="11"/>
  <c r="G295" i="11"/>
  <c r="G283" i="11"/>
  <c r="G271" i="11"/>
  <c r="G259" i="11"/>
  <c r="G247" i="11"/>
  <c r="G235" i="11"/>
  <c r="G223" i="11"/>
  <c r="G211" i="11"/>
  <c r="G187" i="11"/>
  <c r="G175" i="11"/>
  <c r="G163" i="11"/>
  <c r="G151" i="11"/>
  <c r="G139" i="11"/>
  <c r="G127" i="11"/>
  <c r="G115" i="11"/>
  <c r="G103" i="11"/>
  <c r="G79" i="11"/>
  <c r="G67" i="11"/>
  <c r="G55" i="11"/>
  <c r="G43" i="11"/>
  <c r="G31" i="11"/>
  <c r="G19" i="11"/>
  <c r="G294" i="11"/>
  <c r="G282" i="11"/>
  <c r="G270" i="11"/>
  <c r="G234" i="11"/>
  <c r="G222" i="11"/>
  <c r="G210" i="11"/>
  <c r="G198" i="11"/>
  <c r="G186" i="11"/>
  <c r="G174" i="11"/>
  <c r="G162" i="11"/>
  <c r="G150" i="11"/>
  <c r="G138" i="11"/>
  <c r="G126" i="11"/>
  <c r="G114" i="11"/>
  <c r="G102" i="11"/>
  <c r="G90" i="11"/>
  <c r="G78" i="11"/>
  <c r="G66" i="11"/>
  <c r="G42" i="11"/>
  <c r="G30" i="11"/>
  <c r="G18" i="11"/>
  <c r="G6" i="11"/>
  <c r="G293" i="11"/>
  <c r="G281" i="11"/>
  <c r="G269" i="11"/>
  <c r="G257" i="11"/>
  <c r="G245" i="11"/>
  <c r="G233" i="11"/>
  <c r="G221" i="11"/>
  <c r="G209" i="11"/>
  <c r="G197" i="11"/>
  <c r="G173" i="11"/>
  <c r="G161" i="11"/>
  <c r="G149" i="11"/>
  <c r="G137" i="11"/>
  <c r="G125" i="11"/>
  <c r="G101" i="11"/>
  <c r="G77" i="11"/>
  <c r="G65" i="11"/>
  <c r="G53" i="11"/>
  <c r="G41" i="11"/>
  <c r="G17" i="11"/>
  <c r="G5" i="11"/>
  <c r="G292" i="11"/>
  <c r="G280" i="11"/>
  <c r="G256" i="11"/>
  <c r="G244" i="11"/>
  <c r="G232" i="11"/>
  <c r="G220" i="11"/>
  <c r="G208" i="11"/>
  <c r="G196" i="11"/>
  <c r="G184" i="11"/>
  <c r="G172" i="11"/>
  <c r="G160" i="11"/>
  <c r="G124" i="11"/>
  <c r="G112" i="11"/>
  <c r="G100" i="11"/>
  <c r="G88" i="11"/>
  <c r="G64" i="11"/>
  <c r="G52" i="11"/>
  <c r="G40" i="11"/>
  <c r="G28" i="11"/>
  <c r="G16" i="11"/>
  <c r="G4" i="11"/>
  <c r="G291" i="11"/>
  <c r="G279" i="11"/>
  <c r="G267" i="11"/>
  <c r="G255" i="11"/>
  <c r="G243" i="11"/>
  <c r="G231" i="11"/>
  <c r="G219" i="11"/>
  <c r="G207" i="11"/>
  <c r="G171" i="11"/>
  <c r="G147" i="11"/>
  <c r="G135" i="11"/>
  <c r="G111" i="11"/>
  <c r="G99" i="11"/>
  <c r="G87" i="11"/>
  <c r="G75" i="11"/>
  <c r="G63" i="11"/>
  <c r="G51" i="11"/>
  <c r="G39" i="11"/>
  <c r="G27" i="11"/>
  <c r="G15" i="11"/>
  <c r="G3" i="11"/>
  <c r="G290" i="11"/>
  <c r="G266" i="11"/>
  <c r="G254" i="11"/>
  <c r="G218" i="11"/>
  <c r="G194" i="11"/>
  <c r="G158" i="11"/>
  <c r="G146" i="11"/>
  <c r="G134" i="11"/>
  <c r="G98" i="11"/>
  <c r="G86" i="11"/>
  <c r="G38" i="11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F289" i="11"/>
  <c r="F277" i="11"/>
  <c r="F265" i="11"/>
  <c r="F253" i="11"/>
  <c r="F241" i="11"/>
  <c r="F229" i="11"/>
  <c r="F217" i="11"/>
  <c r="F205" i="11"/>
  <c r="F193" i="11"/>
  <c r="F181" i="11"/>
  <c r="F169" i="11"/>
  <c r="F157" i="11"/>
  <c r="F145" i="11"/>
  <c r="F133" i="11"/>
  <c r="F109" i="11"/>
  <c r="F97" i="11"/>
  <c r="F85" i="11"/>
  <c r="F73" i="11"/>
  <c r="F61" i="11"/>
  <c r="F49" i="11"/>
  <c r="F37" i="11"/>
  <c r="F25" i="11"/>
  <c r="F13" i="11"/>
  <c r="F288" i="11"/>
  <c r="F276" i="11"/>
  <c r="F264" i="11"/>
  <c r="F252" i="11"/>
  <c r="F240" i="11"/>
  <c r="F228" i="11"/>
  <c r="F216" i="11"/>
  <c r="F204" i="11"/>
  <c r="F192" i="11"/>
  <c r="F180" i="11"/>
  <c r="F156" i="11"/>
  <c r="F132" i="11"/>
  <c r="F120" i="11"/>
  <c r="F108" i="11"/>
  <c r="F96" i="11"/>
  <c r="F84" i="11"/>
  <c r="F60" i="11"/>
  <c r="F48" i="11"/>
  <c r="F36" i="11"/>
  <c r="F24" i="11"/>
  <c r="F12" i="11"/>
  <c r="F299" i="11"/>
  <c r="F287" i="11"/>
  <c r="F263" i="11"/>
  <c r="F251" i="11"/>
  <c r="F239" i="11"/>
  <c r="F227" i="11"/>
  <c r="F203" i="11"/>
  <c r="F191" i="11"/>
  <c r="F167" i="11"/>
  <c r="F155" i="11"/>
  <c r="F143" i="11"/>
  <c r="F131" i="11"/>
  <c r="F119" i="11"/>
  <c r="F107" i="11"/>
  <c r="F95" i="11"/>
  <c r="F83" i="11"/>
  <c r="F71" i="11"/>
  <c r="F59" i="11"/>
  <c r="F47" i="11"/>
  <c r="F35" i="11"/>
  <c r="F23" i="11"/>
  <c r="F11" i="11"/>
  <c r="F298" i="11"/>
  <c r="F286" i="11"/>
  <c r="F274" i="11"/>
  <c r="F250" i="11"/>
  <c r="F238" i="11"/>
  <c r="F226" i="11"/>
  <c r="F214" i="11"/>
  <c r="F202" i="11"/>
  <c r="F190" i="11"/>
  <c r="F178" i="11"/>
  <c r="F166" i="11"/>
  <c r="F154" i="11"/>
  <c r="F142" i="11"/>
  <c r="F130" i="11"/>
  <c r="F118" i="11"/>
  <c r="F106" i="11"/>
  <c r="F94" i="11"/>
  <c r="F82" i="11"/>
  <c r="F70" i="11"/>
  <c r="F58" i="11"/>
  <c r="F46" i="11"/>
  <c r="F34" i="11"/>
  <c r="F22" i="11"/>
  <c r="F297" i="11"/>
  <c r="F285" i="11"/>
  <c r="F273" i="11"/>
  <c r="F261" i="11"/>
  <c r="F249" i="11"/>
  <c r="F237" i="11"/>
  <c r="F225" i="11"/>
  <c r="F213" i="11"/>
  <c r="F201" i="11"/>
  <c r="F189" i="11"/>
  <c r="F177" i="11"/>
  <c r="F165" i="11"/>
  <c r="F153" i="11"/>
  <c r="F141" i="11"/>
  <c r="F129" i="11"/>
  <c r="F117" i="11"/>
  <c r="F105" i="11"/>
  <c r="F93" i="11"/>
  <c r="F81" i="11"/>
  <c r="F69" i="11"/>
  <c r="F57" i="11"/>
  <c r="F45" i="11"/>
  <c r="F33" i="11"/>
  <c r="F21" i="11"/>
  <c r="F296" i="11"/>
  <c r="F284" i="11"/>
  <c r="F272" i="11"/>
  <c r="F260" i="11"/>
  <c r="F248" i="11"/>
  <c r="F236" i="11"/>
  <c r="F224" i="11"/>
  <c r="F212" i="11"/>
  <c r="F200" i="11"/>
  <c r="F188" i="11"/>
  <c r="F176" i="11"/>
  <c r="F164" i="11"/>
  <c r="F152" i="11"/>
  <c r="F140" i="11"/>
  <c r="F128" i="11"/>
  <c r="F116" i="11"/>
  <c r="F92" i="11"/>
  <c r="F80" i="11"/>
  <c r="F68" i="11"/>
  <c r="F56" i="11"/>
  <c r="F44" i="11"/>
  <c r="F32" i="11"/>
  <c r="F20" i="11"/>
  <c r="F295" i="11"/>
  <c r="F283" i="11"/>
  <c r="F271" i="11"/>
  <c r="F259" i="11"/>
  <c r="F247" i="11"/>
  <c r="F235" i="11"/>
  <c r="F223" i="11"/>
  <c r="F211" i="11"/>
  <c r="F199" i="11"/>
  <c r="F187" i="11"/>
  <c r="F175" i="11"/>
  <c r="F163" i="11"/>
  <c r="F151" i="11"/>
  <c r="F139" i="11"/>
  <c r="F127" i="11"/>
  <c r="F115" i="11"/>
  <c r="F103" i="11"/>
  <c r="F91" i="11"/>
  <c r="F79" i="11"/>
  <c r="F67" i="11"/>
  <c r="F43" i="11"/>
  <c r="F31" i="11"/>
  <c r="F19" i="11"/>
  <c r="F7" i="11"/>
  <c r="F294" i="11"/>
  <c r="F282" i="11"/>
  <c r="F270" i="11"/>
  <c r="F258" i="11"/>
  <c r="F246" i="11"/>
  <c r="F234" i="11"/>
  <c r="F222" i="11"/>
  <c r="F210" i="11"/>
  <c r="F198" i="11"/>
  <c r="F174" i="11"/>
  <c r="F138" i="11"/>
  <c r="F126" i="11"/>
  <c r="F114" i="11"/>
  <c r="F102" i="11"/>
  <c r="F90" i="11"/>
  <c r="F78" i="11"/>
  <c r="F66" i="11"/>
  <c r="F54" i="11"/>
  <c r="F42" i="11"/>
  <c r="F30" i="11"/>
  <c r="F18" i="11"/>
  <c r="F6" i="11"/>
  <c r="F293" i="11"/>
  <c r="F281" i="11"/>
  <c r="F269" i="11"/>
  <c r="F257" i="11"/>
  <c r="F245" i="11"/>
  <c r="F233" i="11"/>
  <c r="F221" i="11"/>
  <c r="F209" i="11"/>
  <c r="F197" i="11"/>
  <c r="F185" i="11"/>
  <c r="F173" i="11"/>
  <c r="F149" i="11"/>
  <c r="F137" i="11"/>
  <c r="F125" i="11"/>
  <c r="F113" i="11"/>
  <c r="F101" i="11"/>
  <c r="F89" i="11"/>
  <c r="F77" i="11"/>
  <c r="F65" i="11"/>
  <c r="F53" i="11"/>
  <c r="F41" i="11"/>
  <c r="F29" i="11"/>
  <c r="F17" i="11"/>
  <c r="F5" i="11"/>
  <c r="F292" i="11"/>
  <c r="F280" i="11"/>
  <c r="F268" i="11"/>
  <c r="F244" i="11"/>
  <c r="F220" i="11"/>
  <c r="F196" i="11"/>
  <c r="F184" i="11"/>
  <c r="F172" i="11"/>
  <c r="F160" i="11"/>
  <c r="F148" i="11"/>
  <c r="F136" i="11"/>
  <c r="F124" i="11"/>
  <c r="F112" i="11"/>
  <c r="F100" i="11"/>
  <c r="F88" i="11"/>
  <c r="F76" i="11"/>
  <c r="F64" i="11"/>
  <c r="F52" i="11"/>
  <c r="F40" i="11"/>
  <c r="F28" i="11"/>
  <c r="F4" i="11"/>
  <c r="F267" i="11"/>
  <c r="F255" i="11"/>
  <c r="F231" i="11"/>
  <c r="F219" i="11"/>
  <c r="F207" i="11"/>
  <c r="F183" i="11"/>
  <c r="F171" i="11"/>
  <c r="F159" i="11"/>
  <c r="F147" i="11"/>
  <c r="F135" i="11"/>
  <c r="F123" i="11"/>
  <c r="F111" i="11"/>
  <c r="F99" i="11"/>
  <c r="F87" i="11"/>
  <c r="F75" i="11"/>
  <c r="F63" i="11"/>
  <c r="F51" i="11"/>
  <c r="F39" i="11"/>
  <c r="F27" i="11"/>
  <c r="F15" i="11"/>
  <c r="F3" i="11"/>
  <c r="F290" i="11"/>
  <c r="F278" i="11"/>
  <c r="F266" i="11"/>
  <c r="F230" i="11"/>
  <c r="F206" i="11"/>
  <c r="F194" i="11"/>
  <c r="F182" i="11"/>
  <c r="F170" i="11"/>
  <c r="F74" i="11"/>
  <c r="F62" i="11"/>
  <c r="F50" i="11"/>
  <c r="F38" i="11"/>
  <c r="F26" i="11"/>
  <c r="F14" i="11"/>
  <c r="F2" i="11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E289" i="11"/>
  <c r="E277" i="11"/>
  <c r="E265" i="11"/>
  <c r="E253" i="11"/>
  <c r="E241" i="11"/>
  <c r="E229" i="11"/>
  <c r="E217" i="11"/>
  <c r="E205" i="11"/>
  <c r="E193" i="11"/>
  <c r="E181" i="11"/>
  <c r="E169" i="11"/>
  <c r="E157" i="11"/>
  <c r="E145" i="11"/>
  <c r="E133" i="11"/>
  <c r="E121" i="11"/>
  <c r="E109" i="11"/>
  <c r="E97" i="11"/>
  <c r="E85" i="11"/>
  <c r="E73" i="11"/>
  <c r="E61" i="11"/>
  <c r="E49" i="11"/>
  <c r="E37" i="11"/>
  <c r="E25" i="11"/>
  <c r="E13" i="11"/>
  <c r="E300" i="11"/>
  <c r="E288" i="11"/>
  <c r="E276" i="11"/>
  <c r="E264" i="11"/>
  <c r="E252" i="11"/>
  <c r="E240" i="11"/>
  <c r="E228" i="11"/>
  <c r="E216" i="11"/>
  <c r="E204" i="11"/>
  <c r="E192" i="11"/>
  <c r="E180" i="11"/>
  <c r="E168" i="11"/>
  <c r="E156" i="11"/>
  <c r="E144" i="11"/>
  <c r="E132" i="11"/>
  <c r="E120" i="11"/>
  <c r="E108" i="11"/>
  <c r="E96" i="11"/>
  <c r="E84" i="11"/>
  <c r="E72" i="11"/>
  <c r="E60" i="11"/>
  <c r="E48" i="11"/>
  <c r="E36" i="11"/>
  <c r="E24" i="11"/>
  <c r="E12" i="11"/>
  <c r="E299" i="11"/>
  <c r="E287" i="11"/>
  <c r="E275" i="11"/>
  <c r="E263" i="11"/>
  <c r="E251" i="11"/>
  <c r="E239" i="11"/>
  <c r="E227" i="11"/>
  <c r="E215" i="11"/>
  <c r="E203" i="11"/>
  <c r="E191" i="11"/>
  <c r="E179" i="11"/>
  <c r="E167" i="11"/>
  <c r="E155" i="11"/>
  <c r="E143" i="11"/>
  <c r="E131" i="11"/>
  <c r="E119" i="11"/>
  <c r="E107" i="11"/>
  <c r="E95" i="11"/>
  <c r="E83" i="11"/>
  <c r="E71" i="11"/>
  <c r="E59" i="11"/>
  <c r="E47" i="11"/>
  <c r="E35" i="11"/>
  <c r="E23" i="11"/>
  <c r="E11" i="11"/>
  <c r="E298" i="11"/>
  <c r="E286" i="11"/>
  <c r="E274" i="11"/>
  <c r="E262" i="11"/>
  <c r="E250" i="11"/>
  <c r="E238" i="11"/>
  <c r="E226" i="11"/>
  <c r="E214" i="11"/>
  <c r="E202" i="11"/>
  <c r="E190" i="11"/>
  <c r="E178" i="11"/>
  <c r="E154" i="11"/>
  <c r="E142" i="11"/>
  <c r="E130" i="11"/>
  <c r="E118" i="11"/>
  <c r="E106" i="11"/>
  <c r="E94" i="11"/>
  <c r="E82" i="11"/>
  <c r="E70" i="11"/>
  <c r="E58" i="11"/>
  <c r="E46" i="11"/>
  <c r="E34" i="11"/>
  <c r="E22" i="11"/>
  <c r="E10" i="11"/>
  <c r="E297" i="11"/>
  <c r="E285" i="11"/>
  <c r="E273" i="11"/>
  <c r="E261" i="11"/>
  <c r="E249" i="11"/>
  <c r="E237" i="11"/>
  <c r="E225" i="11"/>
  <c r="E201" i="11"/>
  <c r="E189" i="11"/>
  <c r="E177" i="11"/>
  <c r="E165" i="11"/>
  <c r="E153" i="11"/>
  <c r="E141" i="11"/>
  <c r="E129" i="11"/>
  <c r="E117" i="11"/>
  <c r="E105" i="11"/>
  <c r="E93" i="11"/>
  <c r="E81" i="11"/>
  <c r="E69" i="11"/>
  <c r="E57" i="11"/>
  <c r="E45" i="11"/>
  <c r="E33" i="11"/>
  <c r="E21" i="11"/>
  <c r="E9" i="11"/>
  <c r="E296" i="11"/>
  <c r="E284" i="11"/>
  <c r="E272" i="11"/>
  <c r="E260" i="11"/>
  <c r="E248" i="11"/>
  <c r="E236" i="11"/>
  <c r="E224" i="11"/>
  <c r="E212" i="11"/>
  <c r="E200" i="11"/>
  <c r="E188" i="11"/>
  <c r="E176" i="11"/>
  <c r="E164" i="11"/>
  <c r="E152" i="11"/>
  <c r="E140" i="11"/>
  <c r="E128" i="11"/>
  <c r="E116" i="11"/>
  <c r="E104" i="11"/>
  <c r="E92" i="11"/>
  <c r="E80" i="11"/>
  <c r="E68" i="11"/>
  <c r="E56" i="11"/>
  <c r="E44" i="11"/>
  <c r="E32" i="11"/>
  <c r="E20" i="11"/>
  <c r="E8" i="11"/>
  <c r="E295" i="11"/>
  <c r="E283" i="11"/>
  <c r="E271" i="11"/>
  <c r="E259" i="11"/>
  <c r="E247" i="11"/>
  <c r="E235" i="11"/>
  <c r="E223" i="11"/>
  <c r="E211" i="11"/>
  <c r="E199" i="11"/>
  <c r="E187" i="11"/>
  <c r="E175" i="11"/>
  <c r="E163" i="11"/>
  <c r="E151" i="11"/>
  <c r="E139" i="11"/>
  <c r="E127" i="11"/>
  <c r="E115" i="11"/>
  <c r="E103" i="11"/>
  <c r="E91" i="11"/>
  <c r="E79" i="11"/>
  <c r="E67" i="11"/>
  <c r="E55" i="11"/>
  <c r="E43" i="11"/>
  <c r="E31" i="11"/>
  <c r="E19" i="11"/>
  <c r="E7" i="11"/>
  <c r="E294" i="11"/>
  <c r="E282" i="11"/>
  <c r="E270" i="11"/>
  <c r="E258" i="11"/>
  <c r="E246" i="11"/>
  <c r="E234" i="11"/>
  <c r="E222" i="11"/>
  <c r="E210" i="11"/>
  <c r="E198" i="11"/>
  <c r="E186" i="11"/>
  <c r="E174" i="11"/>
  <c r="E162" i="11"/>
  <c r="E150" i="11"/>
  <c r="E138" i="11"/>
  <c r="E126" i="11"/>
  <c r="E114" i="11"/>
  <c r="E102" i="11"/>
  <c r="E78" i="11"/>
  <c r="E66" i="11"/>
  <c r="E54" i="11"/>
  <c r="E42" i="11"/>
  <c r="E30" i="11"/>
  <c r="E18" i="11"/>
  <c r="E6" i="11"/>
  <c r="E293" i="11"/>
  <c r="E281" i="11"/>
  <c r="E269" i="11"/>
  <c r="E257" i="11"/>
  <c r="E245" i="11"/>
  <c r="E233" i="11"/>
  <c r="E221" i="11"/>
  <c r="E209" i="11"/>
  <c r="E197" i="11"/>
  <c r="E185" i="11"/>
  <c r="E173" i="11"/>
  <c r="E161" i="11"/>
  <c r="E149" i="11"/>
  <c r="E137" i="11"/>
  <c r="E125" i="11"/>
  <c r="E113" i="11"/>
  <c r="E101" i="11"/>
  <c r="E89" i="11"/>
  <c r="E77" i="11"/>
  <c r="E65" i="11"/>
  <c r="E53" i="11"/>
  <c r="E41" i="11"/>
  <c r="E29" i="11"/>
  <c r="E17" i="11"/>
  <c r="E5" i="11"/>
  <c r="E292" i="11"/>
  <c r="E280" i="11"/>
  <c r="E268" i="11"/>
  <c r="E256" i="11"/>
  <c r="E244" i="11"/>
  <c r="E232" i="11"/>
  <c r="E220" i="11"/>
  <c r="E208" i="11"/>
  <c r="E196" i="11"/>
  <c r="E172" i="11"/>
  <c r="E160" i="11"/>
  <c r="E148" i="11"/>
  <c r="E136" i="11"/>
  <c r="E124" i="11"/>
  <c r="E112" i="11"/>
  <c r="E100" i="11"/>
  <c r="E88" i="11"/>
  <c r="E76" i="11"/>
  <c r="E64" i="11"/>
  <c r="E52" i="11"/>
  <c r="E40" i="11"/>
  <c r="E28" i="11"/>
  <c r="E16" i="11"/>
  <c r="E4" i="11"/>
  <c r="E291" i="11"/>
  <c r="E279" i="11"/>
  <c r="E267" i="11"/>
  <c r="E255" i="11"/>
  <c r="E243" i="11"/>
  <c r="E231" i="11"/>
  <c r="E219" i="11"/>
  <c r="E207" i="11"/>
  <c r="E195" i="11"/>
  <c r="E183" i="11"/>
  <c r="E171" i="11"/>
  <c r="E159" i="11"/>
  <c r="E147" i="11"/>
  <c r="E135" i="11"/>
  <c r="E123" i="11"/>
  <c r="E111" i="11"/>
  <c r="E87" i="11"/>
  <c r="E75" i="11"/>
  <c r="E63" i="11"/>
  <c r="E51" i="11"/>
  <c r="E39" i="11"/>
  <c r="E27" i="11"/>
  <c r="E15" i="11"/>
  <c r="E3" i="11"/>
  <c r="E218" i="11"/>
  <c r="E194" i="11"/>
  <c r="E182" i="11"/>
  <c r="E170" i="11"/>
  <c r="E146" i="11"/>
  <c r="E134" i="11"/>
  <c r="E122" i="11"/>
  <c r="E110" i="11"/>
  <c r="E98" i="11"/>
  <c r="E86" i="11"/>
  <c r="E74" i="11"/>
  <c r="E62" i="11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D301" i="11"/>
  <c r="D289" i="11"/>
  <c r="D277" i="11"/>
  <c r="D265" i="11"/>
  <c r="D253" i="11"/>
  <c r="D241" i="11"/>
  <c r="D229" i="11"/>
  <c r="D217" i="11"/>
  <c r="D205" i="11"/>
  <c r="D193" i="11"/>
  <c r="D181" i="11"/>
  <c r="D169" i="11"/>
  <c r="D157" i="11"/>
  <c r="D145" i="11"/>
  <c r="D133" i="11"/>
  <c r="D121" i="11"/>
  <c r="D109" i="11"/>
  <c r="D97" i="11"/>
  <c r="D85" i="11"/>
  <c r="D73" i="11"/>
  <c r="D61" i="11"/>
  <c r="D49" i="11"/>
  <c r="D37" i="11"/>
  <c r="D25" i="11"/>
  <c r="D13" i="11"/>
  <c r="D300" i="11"/>
  <c r="D288" i="11"/>
  <c r="D276" i="11"/>
  <c r="D264" i="11"/>
  <c r="D252" i="11"/>
  <c r="D240" i="11"/>
  <c r="D228" i="11"/>
  <c r="D216" i="11"/>
  <c r="D204" i="11"/>
  <c r="D192" i="11"/>
  <c r="D180" i="11"/>
  <c r="D168" i="11"/>
  <c r="D156" i="11"/>
  <c r="D144" i="11"/>
  <c r="D132" i="11"/>
  <c r="D120" i="11"/>
  <c r="D108" i="11"/>
  <c r="D96" i="11"/>
  <c r="D84" i="11"/>
  <c r="D72" i="11"/>
  <c r="D60" i="11"/>
  <c r="D48" i="11"/>
  <c r="D36" i="11"/>
  <c r="D24" i="11"/>
  <c r="D12" i="11"/>
  <c r="D299" i="11"/>
  <c r="D287" i="11"/>
  <c r="D275" i="11"/>
  <c r="D263" i="11"/>
  <c r="D251" i="11"/>
  <c r="D239" i="11"/>
  <c r="D227" i="11"/>
  <c r="D215" i="11"/>
  <c r="D203" i="11"/>
  <c r="D191" i="11"/>
  <c r="D179" i="11"/>
  <c r="D167" i="11"/>
  <c r="D155" i="11"/>
  <c r="D143" i="11"/>
  <c r="D131" i="11"/>
  <c r="D119" i="11"/>
  <c r="D107" i="11"/>
  <c r="D95" i="11"/>
  <c r="D83" i="11"/>
  <c r="D71" i="11"/>
  <c r="D59" i="11"/>
  <c r="D47" i="11"/>
  <c r="D35" i="11"/>
  <c r="D23" i="11"/>
  <c r="D11" i="11"/>
  <c r="D298" i="11"/>
  <c r="D286" i="11"/>
  <c r="D274" i="11"/>
  <c r="D262" i="11"/>
  <c r="D250" i="11"/>
  <c r="D238" i="11"/>
  <c r="D226" i="11"/>
  <c r="D214" i="11"/>
  <c r="D202" i="11"/>
  <c r="D190" i="11"/>
  <c r="D178" i="11"/>
  <c r="D166" i="11"/>
  <c r="D154" i="11"/>
  <c r="D142" i="11"/>
  <c r="D130" i="11"/>
  <c r="D118" i="11"/>
  <c r="D106" i="11"/>
  <c r="D94" i="11"/>
  <c r="D82" i="11"/>
  <c r="D70" i="11"/>
  <c r="D46" i="11"/>
  <c r="D34" i="11"/>
  <c r="D22" i="11"/>
  <c r="D10" i="11"/>
  <c r="D297" i="11"/>
  <c r="D285" i="11"/>
  <c r="D273" i="11"/>
  <c r="D261" i="11"/>
  <c r="D249" i="11"/>
  <c r="D237" i="11"/>
  <c r="D225" i="11"/>
  <c r="D213" i="11"/>
  <c r="D201" i="11"/>
  <c r="D189" i="11"/>
  <c r="D177" i="11"/>
  <c r="D165" i="11"/>
  <c r="D153" i="11"/>
  <c r="D141" i="11"/>
  <c r="D129" i="11"/>
  <c r="D117" i="11"/>
  <c r="D105" i="11"/>
  <c r="D93" i="11"/>
  <c r="D81" i="11"/>
  <c r="D69" i="11"/>
  <c r="D57" i="11"/>
  <c r="D45" i="11"/>
  <c r="D33" i="11"/>
  <c r="D21" i="11"/>
  <c r="D9" i="11"/>
  <c r="D296" i="11"/>
  <c r="D284" i="11"/>
  <c r="D272" i="11"/>
  <c r="D260" i="11"/>
  <c r="D248" i="11"/>
  <c r="D236" i="11"/>
  <c r="D224" i="11"/>
  <c r="D212" i="11"/>
  <c r="D200" i="11"/>
  <c r="D188" i="11"/>
  <c r="D176" i="11"/>
  <c r="D164" i="11"/>
  <c r="D152" i="11"/>
  <c r="D140" i="11"/>
  <c r="D128" i="11"/>
  <c r="D116" i="11"/>
  <c r="D104" i="11"/>
  <c r="D92" i="11"/>
  <c r="D80" i="11"/>
  <c r="D68" i="11"/>
  <c r="D56" i="11"/>
  <c r="D44" i="11"/>
  <c r="D32" i="11"/>
  <c r="D20" i="11"/>
  <c r="D8" i="11"/>
  <c r="D295" i="11"/>
  <c r="D283" i="11"/>
  <c r="D271" i="11"/>
  <c r="D259" i="11"/>
  <c r="D247" i="11"/>
  <c r="D235" i="11"/>
  <c r="D223" i="11"/>
  <c r="D211" i="11"/>
  <c r="D199" i="11"/>
  <c r="D187" i="11"/>
  <c r="D175" i="11"/>
  <c r="D163" i="11"/>
  <c r="D151" i="11"/>
  <c r="D139" i="11"/>
  <c r="D127" i="11"/>
  <c r="D115" i="11"/>
  <c r="D103" i="11"/>
  <c r="D91" i="11"/>
  <c r="D79" i="11"/>
  <c r="D67" i="11"/>
  <c r="D55" i="11"/>
  <c r="D43" i="11"/>
  <c r="D31" i="11"/>
  <c r="D19" i="11"/>
  <c r="D7" i="11"/>
  <c r="D294" i="11"/>
  <c r="D282" i="11"/>
  <c r="D270" i="11"/>
  <c r="D258" i="11"/>
  <c r="D246" i="11"/>
  <c r="D234" i="11"/>
  <c r="D222" i="11"/>
  <c r="D210" i="11"/>
  <c r="D198" i="11"/>
  <c r="D186" i="11"/>
  <c r="D174" i="11"/>
  <c r="D162" i="11"/>
  <c r="D150" i="11"/>
  <c r="D138" i="11"/>
  <c r="D126" i="11"/>
  <c r="D114" i="11"/>
  <c r="D102" i="11"/>
  <c r="D90" i="11"/>
  <c r="D78" i="11"/>
  <c r="D66" i="11"/>
  <c r="D54" i="11"/>
  <c r="D42" i="11"/>
  <c r="D30" i="11"/>
  <c r="D18" i="11"/>
  <c r="D6" i="11"/>
  <c r="D293" i="11"/>
  <c r="D281" i="11"/>
  <c r="D269" i="11"/>
  <c r="D257" i="11"/>
  <c r="D245" i="11"/>
  <c r="D233" i="11"/>
  <c r="D221" i="11"/>
  <c r="D209" i="11"/>
  <c r="D197" i="11"/>
  <c r="D185" i="11"/>
  <c r="D173" i="11"/>
  <c r="D161" i="11"/>
  <c r="D149" i="11"/>
  <c r="D137" i="11"/>
  <c r="D125" i="11"/>
  <c r="D113" i="11"/>
  <c r="D101" i="11"/>
  <c r="D89" i="11"/>
  <c r="D77" i="11"/>
  <c r="D65" i="11"/>
  <c r="D53" i="11"/>
  <c r="D41" i="11"/>
  <c r="D29" i="11"/>
  <c r="D17" i="11"/>
  <c r="D5" i="11"/>
  <c r="D292" i="11"/>
  <c r="D280" i="11"/>
  <c r="D268" i="11"/>
  <c r="D256" i="11"/>
  <c r="D244" i="11"/>
  <c r="D232" i="11"/>
  <c r="D220" i="11"/>
  <c r="D208" i="11"/>
  <c r="D196" i="11"/>
  <c r="D184" i="11"/>
  <c r="D172" i="11"/>
  <c r="D160" i="11"/>
  <c r="D148" i="11"/>
  <c r="D136" i="11"/>
  <c r="D124" i="11"/>
  <c r="D112" i="11"/>
  <c r="D100" i="11"/>
  <c r="D88" i="11"/>
  <c r="D76" i="11"/>
  <c r="D64" i="11"/>
  <c r="D52" i="11"/>
  <c r="D40" i="11"/>
  <c r="D28" i="11"/>
  <c r="D16" i="11"/>
  <c r="D4" i="11"/>
  <c r="D291" i="11"/>
  <c r="D279" i="11"/>
  <c r="D255" i="11"/>
  <c r="D243" i="11"/>
  <c r="D231" i="11"/>
  <c r="D219" i="11"/>
  <c r="D207" i="11"/>
  <c r="D195" i="11"/>
  <c r="D183" i="11"/>
  <c r="D171" i="11"/>
  <c r="D159" i="11"/>
  <c r="D147" i="11"/>
  <c r="D135" i="11"/>
  <c r="D123" i="11"/>
  <c r="D111" i="11"/>
  <c r="D99" i="11"/>
  <c r="D87" i="11"/>
  <c r="D75" i="11"/>
  <c r="D63" i="11"/>
  <c r="D51" i="11"/>
  <c r="D39" i="11"/>
  <c r="D27" i="11"/>
  <c r="D15" i="11"/>
  <c r="D3" i="11"/>
  <c r="D290" i="11"/>
  <c r="D278" i="11"/>
  <c r="D266" i="11"/>
  <c r="D242" i="11"/>
  <c r="D230" i="11"/>
  <c r="D218" i="11"/>
  <c r="D122" i="11"/>
  <c r="D74" i="11"/>
  <c r="D62" i="11"/>
  <c r="D50" i="11"/>
  <c r="D38" i="11"/>
  <c r="D26" i="11"/>
  <c r="D14" i="11"/>
  <c r="D2" i="11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C169" i="11"/>
  <c r="C157" i="11"/>
  <c r="C145" i="11"/>
  <c r="C133" i="11"/>
  <c r="C121" i="11"/>
  <c r="C109" i="11"/>
  <c r="C97" i="11"/>
  <c r="C85" i="11"/>
  <c r="C73" i="11"/>
  <c r="C61" i="11"/>
  <c r="C49" i="11"/>
  <c r="C37" i="11"/>
  <c r="C25" i="11"/>
  <c r="C13" i="11"/>
  <c r="C168" i="11"/>
  <c r="C156" i="11"/>
  <c r="C144" i="11"/>
  <c r="C132" i="11"/>
  <c r="C120" i="11"/>
  <c r="C108" i="11"/>
  <c r="C96" i="11"/>
  <c r="C84" i="11"/>
  <c r="C72" i="11"/>
  <c r="C60" i="11"/>
  <c r="C48" i="11"/>
  <c r="C36" i="11"/>
  <c r="C24" i="11"/>
  <c r="C12" i="11"/>
  <c r="C167" i="11"/>
  <c r="C155" i="11"/>
  <c r="C143" i="11"/>
  <c r="C131" i="11"/>
  <c r="C119" i="11"/>
  <c r="C107" i="11"/>
  <c r="C95" i="11"/>
  <c r="C83" i="11"/>
  <c r="C71" i="11"/>
  <c r="C59" i="11"/>
  <c r="C47" i="11"/>
  <c r="C35" i="11"/>
  <c r="C23" i="11"/>
  <c r="C11" i="11"/>
  <c r="C166" i="11"/>
  <c r="C154" i="11"/>
  <c r="C142" i="11"/>
  <c r="C130" i="11"/>
  <c r="C118" i="11"/>
  <c r="C106" i="11"/>
  <c r="C94" i="11"/>
  <c r="C82" i="11"/>
  <c r="C70" i="11"/>
  <c r="C58" i="11"/>
  <c r="C46" i="11"/>
  <c r="C34" i="11"/>
  <c r="C22" i="11"/>
  <c r="C10" i="11"/>
  <c r="C165" i="11"/>
  <c r="C153" i="11"/>
  <c r="C141" i="11"/>
  <c r="C129" i="11"/>
  <c r="C117" i="11"/>
  <c r="C105" i="11"/>
  <c r="C93" i="11"/>
  <c r="C81" i="11"/>
  <c r="C69" i="11"/>
  <c r="C57" i="11"/>
  <c r="C45" i="11"/>
  <c r="C33" i="11"/>
  <c r="C21" i="11"/>
  <c r="C9" i="11"/>
  <c r="C164" i="11"/>
  <c r="C152" i="11"/>
  <c r="C140" i="11"/>
  <c r="C128" i="11"/>
  <c r="C116" i="11"/>
  <c r="C104" i="11"/>
  <c r="C92" i="11"/>
  <c r="C80" i="11"/>
  <c r="C68" i="11"/>
  <c r="C56" i="11"/>
  <c r="C44" i="11"/>
  <c r="C32" i="11"/>
  <c r="C20" i="11"/>
  <c r="C8" i="11"/>
  <c r="C163" i="11"/>
  <c r="C151" i="11"/>
  <c r="C139" i="11"/>
  <c r="C127" i="11"/>
  <c r="C115" i="11"/>
  <c r="C103" i="11"/>
  <c r="C91" i="11"/>
  <c r="C79" i="11"/>
  <c r="C67" i="11"/>
  <c r="C55" i="11"/>
  <c r="C43" i="11"/>
  <c r="C31" i="11"/>
  <c r="C19" i="11"/>
  <c r="C7" i="11"/>
  <c r="C162" i="11"/>
  <c r="C150" i="11"/>
  <c r="C126" i="11"/>
  <c r="C114" i="11"/>
  <c r="C102" i="11"/>
  <c r="C90" i="11"/>
  <c r="C78" i="11"/>
  <c r="C66" i="11"/>
  <c r="C54" i="11"/>
  <c r="C42" i="11"/>
  <c r="C30" i="11"/>
  <c r="C18" i="11"/>
  <c r="C6" i="11"/>
  <c r="C161" i="11"/>
  <c r="C149" i="11"/>
  <c r="C137" i="11"/>
  <c r="C125" i="11"/>
  <c r="C113" i="11"/>
  <c r="C101" i="11"/>
  <c r="C89" i="11"/>
  <c r="C77" i="11"/>
  <c r="C65" i="11"/>
  <c r="C53" i="11"/>
  <c r="C41" i="11"/>
  <c r="C29" i="11"/>
  <c r="C17" i="11"/>
  <c r="C5" i="11"/>
  <c r="AD22" i="10"/>
  <c r="C160" i="11"/>
  <c r="C148" i="11"/>
  <c r="C136" i="11"/>
  <c r="C124" i="11"/>
  <c r="C112" i="11"/>
  <c r="C100" i="11"/>
  <c r="C88" i="11"/>
  <c r="C76" i="11"/>
  <c r="C64" i="11"/>
  <c r="C52" i="11"/>
  <c r="C40" i="11"/>
  <c r="C28" i="11"/>
  <c r="C16" i="11"/>
  <c r="C4" i="11"/>
  <c r="C159" i="11"/>
  <c r="C135" i="11"/>
  <c r="C123" i="11"/>
  <c r="C111" i="11"/>
  <c r="C99" i="11"/>
  <c r="C87" i="11"/>
  <c r="C75" i="11"/>
  <c r="C63" i="11"/>
  <c r="C51" i="11"/>
  <c r="C39" i="11"/>
  <c r="C27" i="11"/>
  <c r="C15" i="11"/>
  <c r="C3" i="11"/>
  <c r="C158" i="11"/>
  <c r="C146" i="11"/>
  <c r="C98" i="11"/>
  <c r="C38" i="11"/>
  <c r="C26" i="11"/>
  <c r="C14" i="11"/>
  <c r="C2" i="11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J118" i="9"/>
  <c r="H118" i="9"/>
  <c r="G118" i="9"/>
  <c r="F118" i="9"/>
  <c r="E118" i="9"/>
  <c r="M117" i="9"/>
  <c r="N116" i="9"/>
  <c r="L116" i="9"/>
  <c r="J116" i="9"/>
  <c r="I116" i="9"/>
  <c r="F116" i="9"/>
  <c r="L115" i="9"/>
  <c r="K115" i="9"/>
  <c r="E115" i="9"/>
  <c r="N114" i="9"/>
  <c r="G114" i="9"/>
  <c r="E114" i="9"/>
  <c r="C113" i="9"/>
  <c r="M110" i="9"/>
  <c r="J110" i="9"/>
  <c r="I110" i="9"/>
  <c r="F110" i="9"/>
  <c r="E110" i="9"/>
  <c r="D110" i="9"/>
  <c r="D109" i="9"/>
  <c r="B109" i="9"/>
  <c r="M108" i="9"/>
  <c r="L108" i="9"/>
  <c r="J108" i="9"/>
  <c r="H108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H104" i="9"/>
  <c r="AF103" i="9"/>
  <c r="AE103" i="9"/>
  <c r="AD103" i="9"/>
  <c r="AC103" i="9"/>
  <c r="AB103" i="9"/>
  <c r="AA103" i="9"/>
  <c r="Z103" i="9"/>
  <c r="Y103" i="9"/>
  <c r="X103" i="9"/>
  <c r="W103" i="9"/>
  <c r="U103" i="9"/>
  <c r="T103" i="9"/>
  <c r="S103" i="9"/>
  <c r="R103" i="9"/>
  <c r="Q103" i="9"/>
  <c r="P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F102" i="9"/>
  <c r="AE102" i="9"/>
  <c r="AD102" i="9"/>
  <c r="AC102" i="9"/>
  <c r="AB102" i="9"/>
  <c r="AA102" i="9"/>
  <c r="Z102" i="9"/>
  <c r="Y102" i="9"/>
  <c r="X102" i="9"/>
  <c r="W102" i="9"/>
  <c r="U102" i="9"/>
  <c r="T102" i="9"/>
  <c r="S102" i="9"/>
  <c r="R102" i="9"/>
  <c r="Q102" i="9"/>
  <c r="P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F101" i="9"/>
  <c r="AE101" i="9"/>
  <c r="AD101" i="9"/>
  <c r="AC101" i="9"/>
  <c r="AB101" i="9"/>
  <c r="AA101" i="9"/>
  <c r="Z101" i="9"/>
  <c r="Y101" i="9"/>
  <c r="X101" i="9"/>
  <c r="W101" i="9"/>
  <c r="U101" i="9"/>
  <c r="T101" i="9"/>
  <c r="S101" i="9"/>
  <c r="R101" i="9"/>
  <c r="Q101" i="9"/>
  <c r="P101" i="9"/>
  <c r="N101" i="9"/>
  <c r="M101" i="9"/>
  <c r="L101" i="9"/>
  <c r="K101" i="9"/>
  <c r="J101" i="9"/>
  <c r="I101" i="9"/>
  <c r="H101" i="9"/>
  <c r="G101" i="9"/>
  <c r="G104" i="9" s="1"/>
  <c r="F101" i="9"/>
  <c r="E101" i="9"/>
  <c r="D101" i="9"/>
  <c r="C101" i="9"/>
  <c r="B101" i="9"/>
  <c r="AF100" i="9"/>
  <c r="AE100" i="9"/>
  <c r="AD100" i="9"/>
  <c r="AC100" i="9"/>
  <c r="AB100" i="9"/>
  <c r="AA100" i="9"/>
  <c r="Z100" i="9"/>
  <c r="Y100" i="9"/>
  <c r="X100" i="9"/>
  <c r="W100" i="9"/>
  <c r="U100" i="9"/>
  <c r="T100" i="9"/>
  <c r="S100" i="9"/>
  <c r="R100" i="9"/>
  <c r="Q100" i="9"/>
  <c r="P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F99" i="9"/>
  <c r="AE99" i="9"/>
  <c r="AD99" i="9"/>
  <c r="AC99" i="9"/>
  <c r="AB99" i="9"/>
  <c r="AA99" i="9"/>
  <c r="Z99" i="9"/>
  <c r="Y99" i="9"/>
  <c r="X99" i="9"/>
  <c r="W99" i="9"/>
  <c r="U99" i="9"/>
  <c r="T99" i="9"/>
  <c r="S99" i="9"/>
  <c r="R99" i="9"/>
  <c r="Q99" i="9"/>
  <c r="P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F98" i="9"/>
  <c r="AE98" i="9"/>
  <c r="AD98" i="9"/>
  <c r="AC98" i="9"/>
  <c r="AB98" i="9"/>
  <c r="AA98" i="9"/>
  <c r="Z98" i="9"/>
  <c r="Y98" i="9"/>
  <c r="X98" i="9"/>
  <c r="W98" i="9"/>
  <c r="U98" i="9"/>
  <c r="T98" i="9"/>
  <c r="S98" i="9"/>
  <c r="R98" i="9"/>
  <c r="Q98" i="9"/>
  <c r="P98" i="9"/>
  <c r="N98" i="9"/>
  <c r="M98" i="9"/>
  <c r="M104" i="9" s="1"/>
  <c r="L98" i="9"/>
  <c r="L104" i="9" s="1"/>
  <c r="K98" i="9"/>
  <c r="K104" i="9" s="1"/>
  <c r="J98" i="9"/>
  <c r="I98" i="9"/>
  <c r="H98" i="9"/>
  <c r="G98" i="9"/>
  <c r="F98" i="9"/>
  <c r="E98" i="9"/>
  <c r="D98" i="9"/>
  <c r="C98" i="9"/>
  <c r="B98" i="9"/>
  <c r="AF97" i="9"/>
  <c r="AE97" i="9"/>
  <c r="AD97" i="9"/>
  <c r="AC97" i="9"/>
  <c r="AB97" i="9"/>
  <c r="AA97" i="9"/>
  <c r="Z97" i="9"/>
  <c r="Y97" i="9"/>
  <c r="X97" i="9"/>
  <c r="W97" i="9"/>
  <c r="U97" i="9"/>
  <c r="T97" i="9"/>
  <c r="S97" i="9"/>
  <c r="R97" i="9"/>
  <c r="Q97" i="9"/>
  <c r="P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F96" i="9"/>
  <c r="AE96" i="9"/>
  <c r="AD96" i="9"/>
  <c r="AD104" i="9" s="1"/>
  <c r="AC96" i="9"/>
  <c r="AC104" i="9" s="1"/>
  <c r="AB96" i="9"/>
  <c r="AA96" i="9"/>
  <c r="Z96" i="9"/>
  <c r="Y96" i="9"/>
  <c r="X96" i="9"/>
  <c r="W96" i="9"/>
  <c r="U96" i="9"/>
  <c r="T96" i="9"/>
  <c r="S96" i="9"/>
  <c r="R96" i="9"/>
  <c r="Q96" i="9"/>
  <c r="P96" i="9"/>
  <c r="N96" i="9"/>
  <c r="M96" i="9"/>
  <c r="L96" i="9"/>
  <c r="K96" i="9"/>
  <c r="J96" i="9"/>
  <c r="I96" i="9"/>
  <c r="H96" i="9"/>
  <c r="G96" i="9"/>
  <c r="F96" i="9"/>
  <c r="F104" i="9" s="1"/>
  <c r="E96" i="9"/>
  <c r="D96" i="9"/>
  <c r="C96" i="9"/>
  <c r="B96" i="9"/>
  <c r="AF95" i="9"/>
  <c r="AE95" i="9"/>
  <c r="AD95" i="9"/>
  <c r="AC95" i="9"/>
  <c r="AB95" i="9"/>
  <c r="AA95" i="9"/>
  <c r="Z95" i="9"/>
  <c r="Y95" i="9"/>
  <c r="X95" i="9"/>
  <c r="W95" i="9"/>
  <c r="U95" i="9"/>
  <c r="T95" i="9"/>
  <c r="S95" i="9"/>
  <c r="R95" i="9"/>
  <c r="Q95" i="9"/>
  <c r="P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F94" i="9"/>
  <c r="AE94" i="9"/>
  <c r="AD94" i="9"/>
  <c r="AC94" i="9"/>
  <c r="AB94" i="9"/>
  <c r="AA94" i="9"/>
  <c r="Z94" i="9"/>
  <c r="Y94" i="9"/>
  <c r="X94" i="9"/>
  <c r="W94" i="9"/>
  <c r="U94" i="9"/>
  <c r="T94" i="9"/>
  <c r="S94" i="9"/>
  <c r="R94" i="9"/>
  <c r="Q94" i="9"/>
  <c r="P94" i="9"/>
  <c r="N94" i="9"/>
  <c r="M94" i="9"/>
  <c r="L94" i="9"/>
  <c r="K94" i="9"/>
  <c r="J94" i="9"/>
  <c r="I94" i="9"/>
  <c r="H94" i="9"/>
  <c r="G94" i="9"/>
  <c r="F94" i="9"/>
  <c r="E94" i="9"/>
  <c r="D94" i="9"/>
  <c r="C94" i="9"/>
  <c r="C104" i="9" s="1"/>
  <c r="B94" i="9"/>
  <c r="B104" i="9" s="1"/>
  <c r="AF93" i="9"/>
  <c r="AE93" i="9"/>
  <c r="AE104" i="9" s="1"/>
  <c r="AD93" i="9"/>
  <c r="AC93" i="9"/>
  <c r="AB93" i="9"/>
  <c r="AA93" i="9"/>
  <c r="Z93" i="9"/>
  <c r="Y93" i="9"/>
  <c r="X93" i="9"/>
  <c r="W93" i="9"/>
  <c r="U93" i="9"/>
  <c r="T93" i="9"/>
  <c r="S93" i="9"/>
  <c r="R93" i="9"/>
  <c r="Q93" i="9"/>
  <c r="P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D104" i="9" s="1"/>
  <c r="C92" i="9"/>
  <c r="B92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O14" i="10"/>
  <c r="N14" i="10"/>
  <c r="M14" i="10"/>
  <c r="L14" i="10"/>
  <c r="K14" i="10"/>
  <c r="G14" i="10"/>
  <c r="B14" i="10"/>
  <c r="J13" i="10"/>
  <c r="B107" i="11" s="1"/>
  <c r="I13" i="10"/>
  <c r="H13" i="10"/>
  <c r="G13" i="10"/>
  <c r="F13" i="10"/>
  <c r="D13" i="10"/>
  <c r="B13" i="10"/>
  <c r="O12" i="10"/>
  <c r="N12" i="10"/>
  <c r="M12" i="10"/>
  <c r="K12" i="10"/>
  <c r="J12" i="10"/>
  <c r="I12" i="10"/>
  <c r="G12" i="10"/>
  <c r="F12" i="10"/>
  <c r="E12" i="10"/>
  <c r="D12" i="10"/>
  <c r="C12" i="10"/>
  <c r="B12" i="10"/>
  <c r="L11" i="10"/>
  <c r="J11" i="10"/>
  <c r="I11" i="10"/>
  <c r="H11" i="10"/>
  <c r="F11" i="10"/>
  <c r="E11" i="10"/>
  <c r="D11" i="10"/>
  <c r="C11" i="10"/>
  <c r="N10" i="10"/>
  <c r="M10" i="10"/>
  <c r="L10" i="10"/>
  <c r="J10" i="10"/>
  <c r="I10" i="10"/>
  <c r="H10" i="10"/>
  <c r="G10" i="10"/>
  <c r="F10" i="10"/>
  <c r="E10" i="10"/>
  <c r="C10" i="10"/>
  <c r="O9" i="10"/>
  <c r="N9" i="10"/>
  <c r="M9" i="10"/>
  <c r="H9" i="10"/>
  <c r="G9" i="10"/>
  <c r="F9" i="10"/>
  <c r="E9" i="10"/>
  <c r="B9" i="10"/>
  <c r="P8" i="10"/>
  <c r="O8" i="10"/>
  <c r="N8" i="10"/>
  <c r="M8" i="10"/>
  <c r="K8" i="10"/>
  <c r="J8" i="10"/>
  <c r="H8" i="10"/>
  <c r="G8" i="10"/>
  <c r="F8" i="10"/>
  <c r="E8" i="10"/>
  <c r="D8" i="10"/>
  <c r="O7" i="10"/>
  <c r="N7" i="10"/>
  <c r="M7" i="10"/>
  <c r="L7" i="10"/>
  <c r="K7" i="10"/>
  <c r="J7" i="10"/>
  <c r="H7" i="10"/>
  <c r="D7" i="10"/>
  <c r="M6" i="10"/>
  <c r="G6" i="10"/>
  <c r="E6" i="10"/>
  <c r="D6" i="10"/>
  <c r="C6" i="10"/>
  <c r="B6" i="10"/>
  <c r="P5" i="10"/>
  <c r="O5" i="10"/>
  <c r="N5" i="10"/>
  <c r="M5" i="10"/>
  <c r="L5" i="10"/>
  <c r="K5" i="10"/>
  <c r="J5" i="10"/>
  <c r="I5" i="10"/>
  <c r="H5" i="10"/>
  <c r="F5" i="10"/>
  <c r="O4" i="10"/>
  <c r="N4" i="10"/>
  <c r="B146" i="11" s="1"/>
  <c r="M4" i="10"/>
  <c r="I4" i="10"/>
  <c r="D4" i="10"/>
  <c r="C4" i="10"/>
  <c r="B4" i="10"/>
  <c r="B132" i="10" s="1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T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AW19" i="9" s="1"/>
  <c r="M19" i="9"/>
  <c r="AV19" i="9" s="1"/>
  <c r="L19" i="9"/>
  <c r="AU19" i="9" s="1"/>
  <c r="K19" i="9"/>
  <c r="J19" i="9"/>
  <c r="AS19" i="9" s="1"/>
  <c r="I19" i="9"/>
  <c r="AR19" i="9" s="1"/>
  <c r="H19" i="9"/>
  <c r="AQ19" i="9" s="1"/>
  <c r="G19" i="9"/>
  <c r="AP19" i="9" s="1"/>
  <c r="F19" i="9"/>
  <c r="AO19" i="9" s="1"/>
  <c r="E19" i="9"/>
  <c r="AN19" i="9" s="1"/>
  <c r="D19" i="9"/>
  <c r="AM19" i="9" s="1"/>
  <c r="C19" i="9"/>
  <c r="AL19" i="9" s="1"/>
  <c r="B19" i="9"/>
  <c r="Q14" i="9"/>
  <c r="L14" i="9"/>
  <c r="K14" i="9"/>
  <c r="J14" i="9"/>
  <c r="I14" i="9"/>
  <c r="E14" i="9"/>
  <c r="D14" i="9"/>
  <c r="C14" i="9"/>
  <c r="B14" i="9"/>
  <c r="Q13" i="9"/>
  <c r="P13" i="9"/>
  <c r="O13" i="9"/>
  <c r="N13" i="9"/>
  <c r="M13" i="9"/>
  <c r="L13" i="9"/>
  <c r="K13" i="9"/>
  <c r="G13" i="9"/>
  <c r="F13" i="9"/>
  <c r="E13" i="9"/>
  <c r="D13" i="9"/>
  <c r="C13" i="9"/>
  <c r="M12" i="9"/>
  <c r="J12" i="9"/>
  <c r="I12" i="9"/>
  <c r="D12" i="9"/>
  <c r="C12" i="9"/>
  <c r="B12" i="9"/>
  <c r="Q11" i="9"/>
  <c r="P11" i="9"/>
  <c r="O11" i="9"/>
  <c r="K11" i="9"/>
  <c r="J11" i="9"/>
  <c r="H11" i="9"/>
  <c r="G11" i="9"/>
  <c r="C11" i="9"/>
  <c r="B11" i="9"/>
  <c r="L10" i="9"/>
  <c r="K10" i="9"/>
  <c r="J10" i="9"/>
  <c r="I10" i="9"/>
  <c r="G10" i="9"/>
  <c r="F10" i="9"/>
  <c r="E10" i="9"/>
  <c r="D10" i="9"/>
  <c r="C10" i="9"/>
  <c r="B10" i="9"/>
  <c r="P9" i="9"/>
  <c r="O9" i="9"/>
  <c r="F9" i="9"/>
  <c r="E9" i="9"/>
  <c r="D9" i="9"/>
  <c r="C9" i="9"/>
  <c r="B9" i="9"/>
  <c r="Q8" i="9"/>
  <c r="P8" i="9"/>
  <c r="O8" i="9"/>
  <c r="N8" i="9"/>
  <c r="H8" i="9"/>
  <c r="G8" i="9"/>
  <c r="D8" i="9"/>
  <c r="B8" i="9"/>
  <c r="Q7" i="9"/>
  <c r="K7" i="9"/>
  <c r="J7" i="9"/>
  <c r="I7" i="9"/>
  <c r="H7" i="9"/>
  <c r="G7" i="9"/>
  <c r="F7" i="9"/>
  <c r="E7" i="9"/>
  <c r="B7" i="9"/>
  <c r="E6" i="9"/>
  <c r="D6" i="9"/>
  <c r="B6" i="9"/>
  <c r="Q5" i="9"/>
  <c r="P5" i="9"/>
  <c r="O5" i="9"/>
  <c r="G5" i="9"/>
  <c r="F5" i="9"/>
  <c r="B5" i="9"/>
  <c r="M4" i="9"/>
  <c r="L4" i="9"/>
  <c r="Q3" i="9"/>
  <c r="P3" i="9"/>
  <c r="O3" i="9"/>
  <c r="N3" i="9"/>
  <c r="M3" i="9"/>
  <c r="G3" i="9"/>
  <c r="F3" i="9"/>
  <c r="E3" i="9"/>
  <c r="C169" i="8"/>
  <c r="B169" i="8"/>
  <c r="C168" i="8"/>
  <c r="B168" i="8"/>
  <c r="C167" i="8"/>
  <c r="B167" i="8"/>
  <c r="C166" i="8"/>
  <c r="B166" i="8"/>
  <c r="C165" i="8"/>
  <c r="B165" i="8"/>
  <c r="C164" i="8"/>
  <c r="B164" i="8"/>
  <c r="C163" i="8"/>
  <c r="B163" i="8"/>
  <c r="C162" i="8"/>
  <c r="B162" i="8"/>
  <c r="C161" i="8"/>
  <c r="B161" i="8"/>
  <c r="C160" i="8"/>
  <c r="B160" i="8"/>
  <c r="C158" i="8"/>
  <c r="C157" i="8"/>
  <c r="B157" i="8"/>
  <c r="B156" i="8"/>
  <c r="C155" i="8"/>
  <c r="B155" i="8"/>
  <c r="C154" i="8"/>
  <c r="B154" i="8"/>
  <c r="C153" i="8"/>
  <c r="B153" i="8"/>
  <c r="C152" i="8"/>
  <c r="B152" i="8"/>
  <c r="C151" i="8"/>
  <c r="B151" i="8"/>
  <c r="C150" i="8"/>
  <c r="B150" i="8"/>
  <c r="C149" i="8"/>
  <c r="B149" i="8"/>
  <c r="C148" i="8"/>
  <c r="B148" i="8"/>
  <c r="C147" i="8"/>
  <c r="B147" i="8"/>
  <c r="C146" i="8"/>
  <c r="B146" i="8"/>
  <c r="B145" i="8"/>
  <c r="C143" i="8"/>
  <c r="C142" i="8"/>
  <c r="C141" i="8"/>
  <c r="B140" i="8"/>
  <c r="C139" i="8"/>
  <c r="B139" i="8"/>
  <c r="C138" i="8"/>
  <c r="B138" i="8"/>
  <c r="C137" i="8"/>
  <c r="B137" i="8"/>
  <c r="C136" i="8"/>
  <c r="C135" i="8"/>
  <c r="B135" i="8"/>
  <c r="C134" i="8"/>
  <c r="B134" i="8"/>
  <c r="C133" i="8"/>
  <c r="C130" i="8"/>
  <c r="C129" i="8"/>
  <c r="C128" i="8"/>
  <c r="B128" i="8"/>
  <c r="C127" i="8"/>
  <c r="B127" i="8"/>
  <c r="C126" i="8"/>
  <c r="B126" i="8"/>
  <c r="C125" i="8"/>
  <c r="B125" i="8"/>
  <c r="C124" i="8"/>
  <c r="C123" i="8"/>
  <c r="B123" i="8"/>
  <c r="C122" i="8"/>
  <c r="B122" i="8"/>
  <c r="B121" i="8"/>
  <c r="C117" i="8"/>
  <c r="C116" i="8"/>
  <c r="B116" i="8"/>
  <c r="C115" i="8"/>
  <c r="B115" i="8"/>
  <c r="C114" i="8"/>
  <c r="B114" i="8"/>
  <c r="C113" i="8"/>
  <c r="B113" i="8"/>
  <c r="C112" i="8"/>
  <c r="B112" i="8"/>
  <c r="C111" i="8"/>
  <c r="B111" i="8"/>
  <c r="C110" i="8"/>
  <c r="B110" i="8"/>
  <c r="C105" i="8"/>
  <c r="B105" i="8"/>
  <c r="C104" i="8"/>
  <c r="B104" i="8"/>
  <c r="C103" i="8"/>
  <c r="B103" i="8"/>
  <c r="C102" i="8"/>
  <c r="B102" i="8"/>
  <c r="C101" i="8"/>
  <c r="B101" i="8"/>
  <c r="C100" i="8"/>
  <c r="B100" i="8"/>
  <c r="C99" i="8"/>
  <c r="B99" i="8"/>
  <c r="C98" i="8"/>
  <c r="B98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B87" i="8"/>
  <c r="L85" i="8"/>
  <c r="L84" i="8"/>
  <c r="C84" i="8"/>
  <c r="B84" i="8"/>
  <c r="L83" i="8"/>
  <c r="C83" i="8"/>
  <c r="B83" i="8"/>
  <c r="B82" i="8"/>
  <c r="C80" i="8"/>
  <c r="B80" i="8"/>
  <c r="C79" i="8"/>
  <c r="L78" i="8"/>
  <c r="C78" i="8"/>
  <c r="B78" i="8"/>
  <c r="L77" i="8"/>
  <c r="C77" i="8"/>
  <c r="L76" i="8"/>
  <c r="C76" i="8"/>
  <c r="B76" i="8"/>
  <c r="L75" i="8"/>
  <c r="C75" i="8"/>
  <c r="B75" i="8"/>
  <c r="L74" i="8"/>
  <c r="C74" i="8"/>
  <c r="L73" i="8"/>
  <c r="L72" i="8"/>
  <c r="C72" i="8"/>
  <c r="L71" i="8"/>
  <c r="L68" i="8"/>
  <c r="C68" i="8"/>
  <c r="B68" i="8"/>
  <c r="L67" i="8"/>
  <c r="C67" i="8"/>
  <c r="L66" i="8"/>
  <c r="C66" i="8"/>
  <c r="B66" i="8"/>
  <c r="L65" i="8"/>
  <c r="B65" i="8"/>
  <c r="L64" i="8"/>
  <c r="C64" i="8"/>
  <c r="B64" i="8"/>
  <c r="L63" i="8"/>
  <c r="B63" i="8"/>
  <c r="L62" i="8"/>
  <c r="B62" i="8"/>
  <c r="L61" i="8"/>
  <c r="B61" i="8"/>
  <c r="L60" i="8"/>
  <c r="C60" i="8"/>
  <c r="B60" i="8"/>
  <c r="L59" i="8"/>
  <c r="C59" i="8"/>
  <c r="B59" i="8"/>
  <c r="L58" i="8"/>
  <c r="B57" i="8"/>
  <c r="L56" i="8"/>
  <c r="C55" i="8"/>
  <c r="C54" i="8"/>
  <c r="B54" i="8"/>
  <c r="L52" i="8"/>
  <c r="C52" i="8"/>
  <c r="B52" i="8"/>
  <c r="L51" i="8"/>
  <c r="C51" i="8"/>
  <c r="B51" i="8"/>
  <c r="L50" i="8"/>
  <c r="B50" i="8"/>
  <c r="L49" i="8"/>
  <c r="C49" i="8"/>
  <c r="L48" i="8"/>
  <c r="C48" i="8"/>
  <c r="L47" i="8"/>
  <c r="B47" i="8"/>
  <c r="L46" i="8"/>
  <c r="C46" i="8"/>
  <c r="L45" i="8"/>
  <c r="B45" i="8"/>
  <c r="L44" i="8"/>
  <c r="L42" i="8"/>
  <c r="C42" i="8"/>
  <c r="L39" i="8"/>
  <c r="B39" i="8"/>
  <c r="L38" i="8"/>
  <c r="C38" i="8"/>
  <c r="B38" i="8"/>
  <c r="L37" i="8"/>
  <c r="C37" i="8"/>
  <c r="B37" i="8"/>
  <c r="L36" i="8"/>
  <c r="C36" i="8"/>
  <c r="B36" i="8"/>
  <c r="L35" i="8"/>
  <c r="C35" i="8"/>
  <c r="B35" i="8"/>
  <c r="L34" i="8"/>
  <c r="B34" i="8"/>
  <c r="L33" i="8"/>
  <c r="B32" i="8"/>
  <c r="L31" i="8"/>
  <c r="C31" i="8"/>
  <c r="B31" i="8"/>
  <c r="L30" i="8"/>
  <c r="C30" i="8"/>
  <c r="B30" i="8"/>
  <c r="L29" i="8"/>
  <c r="C29" i="8"/>
  <c r="L27" i="8"/>
  <c r="B27" i="8"/>
  <c r="L26" i="8"/>
  <c r="B26" i="8"/>
  <c r="L25" i="8"/>
  <c r="C25" i="8"/>
  <c r="B25" i="8"/>
  <c r="L24" i="8"/>
  <c r="C24" i="8"/>
  <c r="B24" i="8"/>
  <c r="L23" i="8"/>
  <c r="C23" i="8"/>
  <c r="B23" i="8"/>
  <c r="L22" i="8"/>
  <c r="C22" i="8"/>
  <c r="B22" i="8"/>
  <c r="L21" i="8"/>
  <c r="B21" i="8"/>
  <c r="L19" i="8"/>
  <c r="C19" i="8"/>
  <c r="C15" i="8"/>
  <c r="L14" i="8"/>
  <c r="C14" i="8"/>
  <c r="L13" i="8"/>
  <c r="C13" i="8"/>
  <c r="B13" i="8"/>
  <c r="L12" i="8"/>
  <c r="C12" i="8"/>
  <c r="B12" i="8"/>
  <c r="L11" i="8"/>
  <c r="B11" i="8"/>
  <c r="L10" i="8"/>
  <c r="C10" i="8"/>
  <c r="B10" i="8"/>
  <c r="L9" i="8"/>
  <c r="B9" i="8"/>
  <c r="L8" i="8"/>
  <c r="B6" i="8"/>
  <c r="C5" i="8"/>
  <c r="B5" i="8"/>
  <c r="L4" i="8"/>
  <c r="C4" i="8"/>
  <c r="B4" i="8"/>
  <c r="L3" i="8"/>
  <c r="C3" i="8"/>
  <c r="L2" i="8"/>
  <c r="AZ19" i="13" l="1"/>
  <c r="AS19" i="13"/>
  <c r="E115" i="8"/>
  <c r="F151" i="8"/>
  <c r="AI214" i="13"/>
  <c r="I51" i="8"/>
  <c r="E148" i="8"/>
  <c r="F37" i="8"/>
  <c r="AP212" i="13"/>
  <c r="V64" i="13"/>
  <c r="AC32" i="14"/>
  <c r="AM31" i="9"/>
  <c r="AJ32" i="14"/>
  <c r="L75" i="9"/>
  <c r="F166" i="8"/>
  <c r="BR22" i="13"/>
  <c r="AB130" i="13"/>
  <c r="AB164" i="13" s="1"/>
  <c r="K12" i="15"/>
  <c r="AG12" i="15"/>
  <c r="Q182" i="13"/>
  <c r="Q199" i="13" s="1"/>
  <c r="Q216" i="13" s="1"/>
  <c r="AP218" i="13"/>
  <c r="AB10" i="15"/>
  <c r="N75" i="9"/>
  <c r="D47" i="9"/>
  <c r="L48" i="9"/>
  <c r="G32" i="14"/>
  <c r="L12" i="15"/>
  <c r="O75" i="9"/>
  <c r="AB54" i="13"/>
  <c r="BG23" i="13"/>
  <c r="BC40" i="13"/>
  <c r="X8" i="15"/>
  <c r="BH23" i="13"/>
  <c r="BL30" i="13"/>
  <c r="Q180" i="13"/>
  <c r="Q197" i="13" s="1"/>
  <c r="Q215" i="13" s="1"/>
  <c r="S181" i="13"/>
  <c r="S198" i="13" s="1"/>
  <c r="S216" i="13" s="1"/>
  <c r="BZ44" i="13"/>
  <c r="W186" i="13"/>
  <c r="W203" i="13" s="1"/>
  <c r="AO20" i="14"/>
  <c r="T6" i="15"/>
  <c r="AP6" i="15"/>
  <c r="Z8" i="15"/>
  <c r="B46" i="12"/>
  <c r="BU38" i="13"/>
  <c r="AU39" i="13"/>
  <c r="R180" i="13"/>
  <c r="R197" i="13" s="1"/>
  <c r="R214" i="13" s="1"/>
  <c r="AK19" i="14"/>
  <c r="T20" i="14"/>
  <c r="AP20" i="14"/>
  <c r="H32" i="14"/>
  <c r="U6" i="15"/>
  <c r="AA8" i="15"/>
  <c r="Q12" i="15"/>
  <c r="AM12" i="15"/>
  <c r="N5" i="15"/>
  <c r="AN14" i="15"/>
  <c r="AF53" i="13"/>
  <c r="BV38" i="13"/>
  <c r="S180" i="13"/>
  <c r="S197" i="13" s="1"/>
  <c r="AV60" i="13"/>
  <c r="AT6" i="14"/>
  <c r="AJ178" i="13" s="1"/>
  <c r="AJ195" i="13" s="1"/>
  <c r="I32" i="14"/>
  <c r="P4" i="15"/>
  <c r="AL4" i="15"/>
  <c r="U13" i="15"/>
  <c r="AO14" i="15"/>
  <c r="AS35" i="13"/>
  <c r="T176" i="13"/>
  <c r="T193" i="13" s="1"/>
  <c r="BA39" i="13"/>
  <c r="G22" i="14"/>
  <c r="G37" i="14" s="1"/>
  <c r="AE22" i="14"/>
  <c r="Q4" i="15"/>
  <c r="AM4" i="15"/>
  <c r="V13" i="15"/>
  <c r="AG8" i="15"/>
  <c r="AK10" i="15"/>
  <c r="AP14" i="15"/>
  <c r="K30" i="16"/>
  <c r="K46" i="16" s="1"/>
  <c r="AY4" i="14"/>
  <c r="AO176" i="13" s="1"/>
  <c r="AO193" i="13" s="1"/>
  <c r="AU84" i="14"/>
  <c r="BT39" i="13"/>
  <c r="I9" i="9"/>
  <c r="I43" i="9" s="1"/>
  <c r="AO11" i="15"/>
  <c r="N8" i="15"/>
  <c r="AJ8" i="15"/>
  <c r="BQ21" i="13"/>
  <c r="BP29" i="13"/>
  <c r="Q35" i="14"/>
  <c r="BH22" i="13"/>
  <c r="AP11" i="15"/>
  <c r="C22" i="12"/>
  <c r="BQ29" i="13"/>
  <c r="T224" i="13"/>
  <c r="BI22" i="13"/>
  <c r="O9" i="15"/>
  <c r="AK9" i="15"/>
  <c r="U11" i="15"/>
  <c r="AC52" i="13"/>
  <c r="AF186" i="13"/>
  <c r="AF203" i="13" s="1"/>
  <c r="AF220" i="13" s="1"/>
  <c r="P9" i="15"/>
  <c r="AL9" i="15"/>
  <c r="AL121" i="13"/>
  <c r="AG7" i="15"/>
  <c r="Q9" i="15"/>
  <c r="AM9" i="15"/>
  <c r="AK13" i="15"/>
  <c r="H181" i="13"/>
  <c r="H198" i="13" s="1"/>
  <c r="AD181" i="13"/>
  <c r="AD198" i="13" s="1"/>
  <c r="J182" i="13"/>
  <c r="J199" i="13" s="1"/>
  <c r="J217" i="13" s="1"/>
  <c r="AF182" i="13"/>
  <c r="AF199" i="13" s="1"/>
  <c r="AF217" i="13" s="1"/>
  <c r="AH186" i="13"/>
  <c r="AH203" i="13" s="1"/>
  <c r="F94" i="8"/>
  <c r="B61" i="14"/>
  <c r="L7" i="15"/>
  <c r="AH7" i="15"/>
  <c r="AG14" i="15"/>
  <c r="S8" i="15"/>
  <c r="AO8" i="15"/>
  <c r="E136" i="8"/>
  <c r="H175" i="13"/>
  <c r="H192" i="13" s="1"/>
  <c r="I181" i="13"/>
  <c r="I198" i="13" s="1"/>
  <c r="I216" i="13" s="1"/>
  <c r="AE181" i="13"/>
  <c r="AE198" i="13" s="1"/>
  <c r="K182" i="13"/>
  <c r="K199" i="13" s="1"/>
  <c r="AG182" i="13"/>
  <c r="AG199" i="13" s="1"/>
  <c r="AG217" i="13" s="1"/>
  <c r="AB19" i="14"/>
  <c r="BD59" i="14"/>
  <c r="AC5" i="15"/>
  <c r="M7" i="15"/>
  <c r="AI7" i="15"/>
  <c r="L14" i="15"/>
  <c r="AH14" i="15"/>
  <c r="AS12" i="13"/>
  <c r="AF181" i="13"/>
  <c r="AF198" i="13" s="1"/>
  <c r="AW43" i="13"/>
  <c r="G34" i="14"/>
  <c r="L7" i="9"/>
  <c r="B13" i="9"/>
  <c r="J75" i="9"/>
  <c r="AU11" i="13"/>
  <c r="AE180" i="13"/>
  <c r="AE197" i="13" s="1"/>
  <c r="AL22" i="14"/>
  <c r="I5" i="9"/>
  <c r="I39" i="9" s="1"/>
  <c r="Y3" i="15"/>
  <c r="AC12" i="15"/>
  <c r="G15" i="13"/>
  <c r="AH177" i="13"/>
  <c r="AH194" i="13" s="1"/>
  <c r="AH211" i="13" s="1"/>
  <c r="P186" i="13"/>
  <c r="P203" i="13" s="1"/>
  <c r="P220" i="13" s="1"/>
  <c r="U98" i="13"/>
  <c r="X99" i="13"/>
  <c r="AJ100" i="13"/>
  <c r="AM100" i="13"/>
  <c r="T101" i="13"/>
  <c r="AP101" i="13"/>
  <c r="AM22" i="14"/>
  <c r="AY94" i="14"/>
  <c r="AQ21" i="9"/>
  <c r="AR21" i="9"/>
  <c r="K76" i="9"/>
  <c r="AO31" i="9"/>
  <c r="H45" i="9"/>
  <c r="AU20" i="9"/>
  <c r="B74" i="9"/>
  <c r="AN31" i="9"/>
  <c r="AZ60" i="13"/>
  <c r="AV61" i="13"/>
  <c r="AV62" i="13"/>
  <c r="C76" i="9"/>
  <c r="BI63" i="13"/>
  <c r="B78" i="9"/>
  <c r="F79" i="9"/>
  <c r="BI60" i="13"/>
  <c r="BI61" i="13"/>
  <c r="BI62" i="13"/>
  <c r="E64" i="13"/>
  <c r="E111" i="13"/>
  <c r="K112" i="10"/>
  <c r="AS28" i="13"/>
  <c r="AZ28" i="14"/>
  <c r="AZ29" i="14"/>
  <c r="E44" i="9"/>
  <c r="AR22" i="9"/>
  <c r="AN27" i="9"/>
  <c r="BB28" i="14"/>
  <c r="AV27" i="9"/>
  <c r="AP27" i="9"/>
  <c r="N76" i="16"/>
  <c r="N60" i="16" s="1"/>
  <c r="AR31" i="9"/>
  <c r="AP31" i="9"/>
  <c r="CM22" i="13"/>
  <c r="C70" i="8"/>
  <c r="C82" i="12"/>
  <c r="C95" i="8"/>
  <c r="C120" i="8"/>
  <c r="O108" i="9"/>
  <c r="O37" i="9"/>
  <c r="AL24" i="9"/>
  <c r="BU35" i="13"/>
  <c r="U176" i="13"/>
  <c r="U193" i="13" s="1"/>
  <c r="BQ37" i="13"/>
  <c r="S179" i="13"/>
  <c r="S196" i="13" s="1"/>
  <c r="AT3" i="14"/>
  <c r="AJ175" i="13" s="1"/>
  <c r="AJ192" i="13" s="1"/>
  <c r="W21" i="14"/>
  <c r="BD54" i="14"/>
  <c r="C7" i="8"/>
  <c r="C107" i="8"/>
  <c r="C132" i="8"/>
  <c r="O5" i="15"/>
  <c r="AK5" i="15"/>
  <c r="T14" i="15"/>
  <c r="N108" i="9"/>
  <c r="N37" i="9"/>
  <c r="B41" i="9"/>
  <c r="B112" i="9"/>
  <c r="BT35" i="13"/>
  <c r="V176" i="13"/>
  <c r="V193" i="13" s="1"/>
  <c r="BP36" i="13"/>
  <c r="BR37" i="13"/>
  <c r="T19" i="14"/>
  <c r="U20" i="14"/>
  <c r="D22" i="14"/>
  <c r="D37" i="14" s="1"/>
  <c r="BC54" i="14"/>
  <c r="C31" i="12"/>
  <c r="Q231" i="13"/>
  <c r="C81" i="12"/>
  <c r="C69" i="8"/>
  <c r="C119" i="8"/>
  <c r="C144" i="8"/>
  <c r="AF3" i="15"/>
  <c r="P5" i="15"/>
  <c r="AL5" i="15"/>
  <c r="AE10" i="15"/>
  <c r="F115" i="8"/>
  <c r="BS37" i="13"/>
  <c r="W178" i="13"/>
  <c r="W195" i="13" s="1"/>
  <c r="AN180" i="13"/>
  <c r="AN197" i="13" s="1"/>
  <c r="C21" i="14"/>
  <c r="C36" i="14" s="1"/>
  <c r="C181" i="13"/>
  <c r="C198" i="13" s="1"/>
  <c r="BF52" i="14"/>
  <c r="BD53" i="14"/>
  <c r="C18" i="12"/>
  <c r="C6" i="8"/>
  <c r="C68" i="12"/>
  <c r="C56" i="8"/>
  <c r="C81" i="8"/>
  <c r="C131" i="8"/>
  <c r="C156" i="8"/>
  <c r="F157" i="8" s="1"/>
  <c r="W235" i="13"/>
  <c r="C145" i="8"/>
  <c r="P12" i="15"/>
  <c r="AL12" i="15"/>
  <c r="BH32" i="13"/>
  <c r="C16" i="12"/>
  <c r="BD51" i="14"/>
  <c r="AP98" i="13"/>
  <c r="G99" i="13"/>
  <c r="G114" i="13" s="1"/>
  <c r="C2" i="12"/>
  <c r="K224" i="13"/>
  <c r="C52" i="12"/>
  <c r="C40" i="8"/>
  <c r="C65" i="8"/>
  <c r="F67" i="8" s="1"/>
  <c r="C77" i="12"/>
  <c r="BI24" i="13"/>
  <c r="E8" i="9"/>
  <c r="E42" i="9" s="1"/>
  <c r="E79" i="9"/>
  <c r="C28" i="8"/>
  <c r="C40" i="12"/>
  <c r="E47" i="9"/>
  <c r="C45" i="8"/>
  <c r="F46" i="8" s="1"/>
  <c r="F106" i="8"/>
  <c r="F139" i="8"/>
  <c r="F153" i="8" s="1"/>
  <c r="F47" i="9"/>
  <c r="L80" i="9"/>
  <c r="L12" i="10"/>
  <c r="L140" i="10" s="1"/>
  <c r="L155" i="10" s="1"/>
  <c r="C2" i="8"/>
  <c r="F4" i="8" s="1"/>
  <c r="BD49" i="14"/>
  <c r="C14" i="12"/>
  <c r="C27" i="8"/>
  <c r="C39" i="12"/>
  <c r="BB50" i="14"/>
  <c r="Y212" i="13"/>
  <c r="BM27" i="13"/>
  <c r="BC52" i="14"/>
  <c r="C29" i="12"/>
  <c r="C17" i="8"/>
  <c r="C41" i="12"/>
  <c r="BB52" i="14"/>
  <c r="BE52" i="14" s="1"/>
  <c r="AM27" i="9"/>
  <c r="D79" i="9"/>
  <c r="C121" i="8"/>
  <c r="AO98" i="13"/>
  <c r="B48" i="9"/>
  <c r="BQ26" i="13"/>
  <c r="B33" i="8"/>
  <c r="E34" i="8" s="1"/>
  <c r="B45" i="12"/>
  <c r="M10" i="9"/>
  <c r="M44" i="9" s="1"/>
  <c r="B59" i="12"/>
  <c r="N12" i="9"/>
  <c r="N46" i="9" s="1"/>
  <c r="B46" i="8"/>
  <c r="C32" i="12"/>
  <c r="C76" i="12"/>
  <c r="BJ22" i="13"/>
  <c r="F6" i="9"/>
  <c r="F40" i="9" s="1"/>
  <c r="BL23" i="13"/>
  <c r="B7" i="12"/>
  <c r="J8" i="9"/>
  <c r="J42" i="9" s="1"/>
  <c r="AT9" i="13"/>
  <c r="B20" i="8"/>
  <c r="E22" i="8" s="1"/>
  <c r="B32" i="12"/>
  <c r="L9" i="9"/>
  <c r="L43" i="9" s="1"/>
  <c r="AW9" i="13"/>
  <c r="AZ9" i="13" s="1"/>
  <c r="BR26" i="13"/>
  <c r="N10" i="9"/>
  <c r="N44" i="9" s="1"/>
  <c r="B71" i="12"/>
  <c r="O12" i="9"/>
  <c r="O46" i="9" s="1"/>
  <c r="B49" i="8"/>
  <c r="N14" i="9"/>
  <c r="N48" i="9" s="1"/>
  <c r="M184" i="13"/>
  <c r="M201" i="13" s="1"/>
  <c r="CA44" i="13"/>
  <c r="AW44" i="13"/>
  <c r="S100" i="13"/>
  <c r="C26" i="8"/>
  <c r="C38" i="12"/>
  <c r="O4" i="9"/>
  <c r="P225" i="13"/>
  <c r="BC51" i="14"/>
  <c r="C16" i="8"/>
  <c r="F16" i="8" s="1"/>
  <c r="N6" i="9"/>
  <c r="N40" i="9" s="1"/>
  <c r="C53" i="12"/>
  <c r="BA52" i="14"/>
  <c r="C41" i="8"/>
  <c r="AU52" i="14"/>
  <c r="AT52" i="14"/>
  <c r="K4" i="9"/>
  <c r="C15" i="12"/>
  <c r="C65" i="12"/>
  <c r="B60" i="12"/>
  <c r="B48" i="8"/>
  <c r="BR29" i="13"/>
  <c r="V98" i="13"/>
  <c r="AU50" i="14"/>
  <c r="N4" i="9"/>
  <c r="BA50" i="14"/>
  <c r="C39" i="8"/>
  <c r="AV50" i="14"/>
  <c r="AW50" i="14" s="1"/>
  <c r="C51" i="12"/>
  <c r="K5" i="9"/>
  <c r="K39" i="9" s="1"/>
  <c r="BM23" i="13"/>
  <c r="K8" i="9"/>
  <c r="K42" i="9" s="1"/>
  <c r="B7" i="8"/>
  <c r="E7" i="8" s="1"/>
  <c r="AS9" i="13"/>
  <c r="M9" i="9"/>
  <c r="M43" i="9" s="1"/>
  <c r="B44" i="12"/>
  <c r="O10" i="9"/>
  <c r="O44" i="9" s="1"/>
  <c r="B71" i="8"/>
  <c r="P12" i="9"/>
  <c r="CN20" i="13"/>
  <c r="B98" i="13"/>
  <c r="K99" i="13"/>
  <c r="K114" i="13" s="1"/>
  <c r="P4" i="9"/>
  <c r="Q225" i="13"/>
  <c r="C75" i="12"/>
  <c r="C63" i="8"/>
  <c r="D64" i="8" s="1"/>
  <c r="BA89" i="14"/>
  <c r="L32" i="8"/>
  <c r="R9" i="15"/>
  <c r="BL22" i="13"/>
  <c r="H6" i="9"/>
  <c r="H40" i="9" s="1"/>
  <c r="BN23" i="13"/>
  <c r="AG228" i="13"/>
  <c r="L8" i="9"/>
  <c r="L42" i="9" s="1"/>
  <c r="B19" i="8"/>
  <c r="B44" i="8"/>
  <c r="N9" i="9"/>
  <c r="N43" i="9" s="1"/>
  <c r="P10" i="9"/>
  <c r="B69" i="8"/>
  <c r="E70" i="8" s="1"/>
  <c r="B73" i="8"/>
  <c r="P14" i="9"/>
  <c r="AQ212" i="13"/>
  <c r="AN32" i="14"/>
  <c r="C50" i="8"/>
  <c r="I50" i="8" s="1"/>
  <c r="C62" i="12"/>
  <c r="R225" i="13"/>
  <c r="Q4" i="9"/>
  <c r="L228" i="13"/>
  <c r="T235" i="13"/>
  <c r="K95" i="14"/>
  <c r="AT23" i="9"/>
  <c r="L78" i="9"/>
  <c r="M118" i="10"/>
  <c r="BI20" i="13"/>
  <c r="E4" i="9"/>
  <c r="E38" i="9" s="1"/>
  <c r="I6" i="9"/>
  <c r="BQ24" i="13"/>
  <c r="M8" i="9"/>
  <c r="M42" i="9" s="1"/>
  <c r="B68" i="12"/>
  <c r="B56" i="8"/>
  <c r="E58" i="8" s="1"/>
  <c r="B81" i="8"/>
  <c r="E82" i="8" s="1"/>
  <c r="Q10" i="9"/>
  <c r="AK15" i="14"/>
  <c r="C62" i="8"/>
  <c r="Q62" i="14"/>
  <c r="C74" i="12"/>
  <c r="S225" i="13"/>
  <c r="C87" i="8"/>
  <c r="F88" i="8" s="1"/>
  <c r="L229" i="13"/>
  <c r="BC53" i="14"/>
  <c r="C18" i="8"/>
  <c r="M78" i="9"/>
  <c r="BJ20" i="13"/>
  <c r="F4" i="9"/>
  <c r="BN22" i="13"/>
  <c r="J6" i="9"/>
  <c r="J40" i="9" s="1"/>
  <c r="B55" i="12"/>
  <c r="B43" i="8"/>
  <c r="O141" i="13"/>
  <c r="C17" i="12"/>
  <c r="BM21" i="13"/>
  <c r="B55" i="8"/>
  <c r="I55" i="8" s="1"/>
  <c r="B67" i="12"/>
  <c r="AR12" i="13"/>
  <c r="AR13" i="13"/>
  <c r="AV13" i="13" s="1"/>
  <c r="T147" i="13"/>
  <c r="B109" i="8"/>
  <c r="E109" i="8" s="1"/>
  <c r="BN26" i="13"/>
  <c r="C9" i="12"/>
  <c r="F95" i="14"/>
  <c r="C82" i="8"/>
  <c r="AS10" i="13"/>
  <c r="V32" i="14"/>
  <c r="BD56" i="14"/>
  <c r="C9" i="8"/>
  <c r="M11" i="9"/>
  <c r="M45" i="9" s="1"/>
  <c r="C46" i="12"/>
  <c r="C34" i="8"/>
  <c r="C85" i="12"/>
  <c r="C73" i="8"/>
  <c r="C212" i="13"/>
  <c r="AS31" i="9"/>
  <c r="P37" i="9"/>
  <c r="F136" i="10"/>
  <c r="F151" i="10" s="1"/>
  <c r="BO21" i="13"/>
  <c r="AS6" i="13"/>
  <c r="AV6" i="13" s="1"/>
  <c r="B29" i="8"/>
  <c r="E31" i="8" s="1"/>
  <c r="E145" i="8"/>
  <c r="U182" i="13"/>
  <c r="U199" i="13" s="1"/>
  <c r="C83" i="12"/>
  <c r="C71" i="8"/>
  <c r="C96" i="8"/>
  <c r="W179" i="13"/>
  <c r="W196" i="13" s="1"/>
  <c r="AQ219" i="13"/>
  <c r="AL21" i="9"/>
  <c r="D127" i="8"/>
  <c r="AV23" i="9"/>
  <c r="G113" i="9"/>
  <c r="AP25" i="9"/>
  <c r="D85" i="8"/>
  <c r="E85" i="8"/>
  <c r="K6" i="9"/>
  <c r="K40" i="9" s="1"/>
  <c r="M6" i="9"/>
  <c r="M40" i="9" s="1"/>
  <c r="AT28" i="9"/>
  <c r="K116" i="9"/>
  <c r="AH116" i="9" s="1"/>
  <c r="S176" i="13"/>
  <c r="S193" i="13" s="1"/>
  <c r="S178" i="13"/>
  <c r="S195" i="13" s="1"/>
  <c r="Q179" i="13"/>
  <c r="Q196" i="13" s="1"/>
  <c r="R216" i="13"/>
  <c r="AN182" i="13"/>
  <c r="AN199" i="13" s="1"/>
  <c r="R20" i="14"/>
  <c r="R35" i="14" s="1"/>
  <c r="AN20" i="14"/>
  <c r="BD55" i="14"/>
  <c r="K9" i="9"/>
  <c r="K43" i="9" s="1"/>
  <c r="C8" i="8"/>
  <c r="C45" i="12"/>
  <c r="C33" i="8"/>
  <c r="P232" i="13"/>
  <c r="C70" i="12"/>
  <c r="C58" i="8"/>
  <c r="T234" i="13"/>
  <c r="C108" i="8"/>
  <c r="AA212" i="13"/>
  <c r="L99" i="13"/>
  <c r="L114" i="13" s="1"/>
  <c r="H101" i="13"/>
  <c r="AA21" i="14"/>
  <c r="N62" i="14"/>
  <c r="S4" i="15"/>
  <c r="AO4" i="15"/>
  <c r="X13" i="15"/>
  <c r="I54" i="8"/>
  <c r="F130" i="8"/>
  <c r="B115" i="9"/>
  <c r="C118" i="9"/>
  <c r="AH225" i="13"/>
  <c r="BB9" i="13"/>
  <c r="BC9" i="13" s="1"/>
  <c r="X128" i="13"/>
  <c r="X162" i="13" s="1"/>
  <c r="X129" i="13"/>
  <c r="X163" i="13" s="1"/>
  <c r="D179" i="13"/>
  <c r="D196" i="13" s="1"/>
  <c r="Z179" i="13"/>
  <c r="Z196" i="13" s="1"/>
  <c r="Z213" i="13" s="1"/>
  <c r="U180" i="13"/>
  <c r="U197" i="13" s="1"/>
  <c r="U181" i="13"/>
  <c r="U198" i="13" s="1"/>
  <c r="BX42" i="13"/>
  <c r="W183" i="13"/>
  <c r="W200" i="13" s="1"/>
  <c r="BC43" i="13"/>
  <c r="V184" i="13"/>
  <c r="V201" i="13" s="1"/>
  <c r="V219" i="13" s="1"/>
  <c r="BC44" i="13"/>
  <c r="AO100" i="13"/>
  <c r="AB101" i="13"/>
  <c r="C20" i="14"/>
  <c r="C35" i="14" s="1"/>
  <c r="Y20" i="14"/>
  <c r="F21" i="14"/>
  <c r="F36" i="14" s="1"/>
  <c r="AB21" i="14"/>
  <c r="Y32" i="14"/>
  <c r="BA83" i="14"/>
  <c r="O3" i="15"/>
  <c r="U12" i="15"/>
  <c r="E154" i="8"/>
  <c r="B20" i="14"/>
  <c r="E21" i="14"/>
  <c r="E36" i="14" s="1"/>
  <c r="D118" i="9"/>
  <c r="BR21" i="13"/>
  <c r="P6" i="9"/>
  <c r="Y128" i="13"/>
  <c r="Y162" i="13" s="1"/>
  <c r="X183" i="13"/>
  <c r="X200" i="13" s="1"/>
  <c r="BW43" i="13"/>
  <c r="W184" i="13"/>
  <c r="W201" i="13" s="1"/>
  <c r="AP219" i="13"/>
  <c r="W19" i="14"/>
  <c r="D20" i="14"/>
  <c r="D35" i="14" s="1"/>
  <c r="BK28" i="14"/>
  <c r="AY50" i="14"/>
  <c r="BW42" i="13"/>
  <c r="AQ27" i="9"/>
  <c r="Y182" i="13"/>
  <c r="Y199" i="13" s="1"/>
  <c r="Y183" i="13"/>
  <c r="Y200" i="13" s="1"/>
  <c r="X184" i="13"/>
  <c r="X201" i="13" s="1"/>
  <c r="AL186" i="13"/>
  <c r="AL203" i="13" s="1"/>
  <c r="X19" i="14"/>
  <c r="E20" i="14"/>
  <c r="E35" i="14" s="1"/>
  <c r="J22" i="14"/>
  <c r="J37" i="14" s="1"/>
  <c r="U5" i="15"/>
  <c r="BP21" i="13"/>
  <c r="BB10" i="13"/>
  <c r="BC10" i="13" s="1"/>
  <c r="T180" i="13"/>
  <c r="T197" i="13" s="1"/>
  <c r="AA101" i="13"/>
  <c r="S52" i="13"/>
  <c r="E146" i="13"/>
  <c r="AF177" i="13"/>
  <c r="AF194" i="13" s="1"/>
  <c r="B180" i="13"/>
  <c r="B197" i="13" s="1"/>
  <c r="X180" i="13"/>
  <c r="X197" i="13" s="1"/>
  <c r="X214" i="13" s="1"/>
  <c r="D182" i="13"/>
  <c r="D199" i="13" s="1"/>
  <c r="Z182" i="13"/>
  <c r="Z199" i="13" s="1"/>
  <c r="Z183" i="13"/>
  <c r="Z200" i="13" s="1"/>
  <c r="Z217" i="13" s="1"/>
  <c r="C184" i="13"/>
  <c r="C201" i="13" s="1"/>
  <c r="Y184" i="13"/>
  <c r="Y201" i="13" s="1"/>
  <c r="AM186" i="13"/>
  <c r="AM203" i="13" s="1"/>
  <c r="Y19" i="14"/>
  <c r="I21" i="14"/>
  <c r="I36" i="14" s="1"/>
  <c r="AE21" i="14"/>
  <c r="V11" i="15"/>
  <c r="V5" i="15"/>
  <c r="U10" i="15"/>
  <c r="B118" i="9"/>
  <c r="BB12" i="13"/>
  <c r="BC12" i="13" s="1"/>
  <c r="B46" i="9"/>
  <c r="F49" i="8"/>
  <c r="F51" i="8" s="1"/>
  <c r="C118" i="8"/>
  <c r="F118" i="8" s="1"/>
  <c r="C46" i="9"/>
  <c r="B41" i="8"/>
  <c r="E169" i="8"/>
  <c r="J79" i="9"/>
  <c r="D46" i="9"/>
  <c r="AF176" i="13"/>
  <c r="AF193" i="13" s="1"/>
  <c r="AG177" i="13"/>
  <c r="AG194" i="13" s="1"/>
  <c r="C180" i="13"/>
  <c r="C197" i="13" s="1"/>
  <c r="Y180" i="13"/>
  <c r="Y197" i="13" s="1"/>
  <c r="Y214" i="13" s="1"/>
  <c r="E182" i="13"/>
  <c r="E199" i="13" s="1"/>
  <c r="AA182" i="13"/>
  <c r="AA199" i="13" s="1"/>
  <c r="AA183" i="13"/>
  <c r="AA200" i="13" s="1"/>
  <c r="D184" i="13"/>
  <c r="D201" i="13" s="1"/>
  <c r="Z184" i="13"/>
  <c r="Z201" i="13" s="1"/>
  <c r="W185" i="13"/>
  <c r="W202" i="13" s="1"/>
  <c r="AN220" i="13"/>
  <c r="T124" i="13"/>
  <c r="T158" i="13" s="1"/>
  <c r="AP124" i="13"/>
  <c r="AP158" i="13" s="1"/>
  <c r="M129" i="13"/>
  <c r="K24" i="8" s="1"/>
  <c r="AI129" i="13"/>
  <c r="AI163" i="13" s="1"/>
  <c r="AY52" i="14"/>
  <c r="E12" i="9"/>
  <c r="E46" i="9" s="1"/>
  <c r="AA14" i="15"/>
  <c r="F169" i="8"/>
  <c r="C43" i="9"/>
  <c r="BB6" i="13"/>
  <c r="BC6" i="13" s="1"/>
  <c r="AG176" i="13"/>
  <c r="AG193" i="13" s="1"/>
  <c r="K178" i="13"/>
  <c r="K195" i="13" s="1"/>
  <c r="AG178" i="13"/>
  <c r="AG195" i="13" s="1"/>
  <c r="F182" i="13"/>
  <c r="F199" i="13" s="1"/>
  <c r="F216" i="13" s="1"/>
  <c r="AB182" i="13"/>
  <c r="AB199" i="13" s="1"/>
  <c r="F183" i="13"/>
  <c r="F200" i="13" s="1"/>
  <c r="AB183" i="13"/>
  <c r="AB200" i="13" s="1"/>
  <c r="E184" i="13"/>
  <c r="E201" i="13" s="1"/>
  <c r="AA184" i="13"/>
  <c r="AA201" i="13" s="1"/>
  <c r="B185" i="13"/>
  <c r="B202" i="13" s="1"/>
  <c r="X185" i="13"/>
  <c r="X202" i="13" s="1"/>
  <c r="N129" i="13"/>
  <c r="AJ129" i="13"/>
  <c r="F12" i="9"/>
  <c r="F46" i="9" s="1"/>
  <c r="H13" i="9"/>
  <c r="H47" i="9" s="1"/>
  <c r="Y213" i="13"/>
  <c r="T181" i="13"/>
  <c r="T198" i="13" s="1"/>
  <c r="V183" i="13"/>
  <c r="V200" i="13" s="1"/>
  <c r="R185" i="13"/>
  <c r="R202" i="13" s="1"/>
  <c r="R220" i="13" s="1"/>
  <c r="F100" i="8"/>
  <c r="B53" i="12"/>
  <c r="AC182" i="13"/>
  <c r="AC199" i="13" s="1"/>
  <c r="AC217" i="13" s="1"/>
  <c r="G183" i="13"/>
  <c r="G200" i="13" s="1"/>
  <c r="F184" i="13"/>
  <c r="F201" i="13" s="1"/>
  <c r="AB184" i="13"/>
  <c r="AB201" i="13" s="1"/>
  <c r="V124" i="13"/>
  <c r="V158" i="13" s="1"/>
  <c r="BB9" i="14"/>
  <c r="BC9" i="14" s="1"/>
  <c r="M21" i="14"/>
  <c r="M36" i="14" s="1"/>
  <c r="AI21" i="14"/>
  <c r="BG26" i="13"/>
  <c r="H14" i="9"/>
  <c r="AA12" i="15"/>
  <c r="BA24" i="13"/>
  <c r="AG179" i="13"/>
  <c r="AG196" i="13" s="1"/>
  <c r="F181" i="13"/>
  <c r="F198" i="13" s="1"/>
  <c r="AB181" i="13"/>
  <c r="AB198" i="13" s="1"/>
  <c r="AD182" i="13"/>
  <c r="AD199" i="13" s="1"/>
  <c r="H183" i="13"/>
  <c r="H200" i="13" s="1"/>
  <c r="AD183" i="13"/>
  <c r="AD200" i="13" s="1"/>
  <c r="AD218" i="13" s="1"/>
  <c r="G184" i="13"/>
  <c r="G201" i="13" s="1"/>
  <c r="AC184" i="13"/>
  <c r="AC201" i="13" s="1"/>
  <c r="AC218" i="13" s="1"/>
  <c r="D185" i="13"/>
  <c r="D202" i="13" s="1"/>
  <c r="Z185" i="13"/>
  <c r="Z202" i="13" s="1"/>
  <c r="L64" i="13"/>
  <c r="BI64" i="13" s="1"/>
  <c r="Q99" i="13"/>
  <c r="AM99" i="13"/>
  <c r="T123" i="13"/>
  <c r="T157" i="13" s="1"/>
  <c r="AP123" i="13"/>
  <c r="AP157" i="13" s="1"/>
  <c r="D100" i="13"/>
  <c r="D115" i="13" s="1"/>
  <c r="J127" i="13"/>
  <c r="J161" i="13" s="1"/>
  <c r="AF127" i="13"/>
  <c r="AF161" i="13" s="1"/>
  <c r="O138" i="13"/>
  <c r="N21" i="14"/>
  <c r="N36" i="14" s="1"/>
  <c r="AJ21" i="14"/>
  <c r="C6" i="9"/>
  <c r="F11" i="9"/>
  <c r="BM30" i="13"/>
  <c r="Y10" i="15"/>
  <c r="N14" i="15"/>
  <c r="AJ14" i="15"/>
  <c r="O21" i="14"/>
  <c r="O36" i="14" s="1"/>
  <c r="C43" i="8"/>
  <c r="F112" i="8"/>
  <c r="F160" i="8"/>
  <c r="K45" i="9"/>
  <c r="AO27" i="9"/>
  <c r="G124" i="10"/>
  <c r="AQ26" i="9"/>
  <c r="V120" i="13"/>
  <c r="V154" i="13" s="1"/>
  <c r="X121" i="13"/>
  <c r="X155" i="13" s="1"/>
  <c r="BM25" i="13"/>
  <c r="AF230" i="13"/>
  <c r="AG231" i="13"/>
  <c r="CN24" i="13"/>
  <c r="Q177" i="13"/>
  <c r="Q194" i="13" s="1"/>
  <c r="P178" i="13"/>
  <c r="P195" i="13" s="1"/>
  <c r="AF184" i="13"/>
  <c r="AF201" i="13" s="1"/>
  <c r="AF218" i="13" s="1"/>
  <c r="G185" i="13"/>
  <c r="G202" i="13" s="1"/>
  <c r="AC185" i="13"/>
  <c r="AC202" i="13" s="1"/>
  <c r="AP99" i="13"/>
  <c r="J126" i="13"/>
  <c r="J160" i="13" s="1"/>
  <c r="AI100" i="13"/>
  <c r="AO129" i="13"/>
  <c r="AO163" i="13" s="1"/>
  <c r="M20" i="14"/>
  <c r="M35" i="14" s="1"/>
  <c r="AI20" i="14"/>
  <c r="R22" i="14"/>
  <c r="R37" i="14" s="1"/>
  <c r="AN22" i="14"/>
  <c r="AT14" i="14"/>
  <c r="AJ186" i="13" s="1"/>
  <c r="AJ203" i="13" s="1"/>
  <c r="C8" i="9"/>
  <c r="C42" i="9" s="1"/>
  <c r="AA185" i="13"/>
  <c r="AA202" i="13" s="1"/>
  <c r="T130" i="13"/>
  <c r="T164" i="13" s="1"/>
  <c r="D91" i="8"/>
  <c r="J45" i="9"/>
  <c r="J76" i="9"/>
  <c r="P177" i="13"/>
  <c r="P194" i="13" s="1"/>
  <c r="F185" i="13"/>
  <c r="F202" i="13" s="1"/>
  <c r="Y15" i="13"/>
  <c r="BJ23" i="13"/>
  <c r="BL24" i="13"/>
  <c r="AH231" i="13"/>
  <c r="Q176" i="13"/>
  <c r="Q193" i="13" s="1"/>
  <c r="R177" i="13"/>
  <c r="R194" i="13" s="1"/>
  <c r="AN177" i="13"/>
  <c r="AN194" i="13" s="1"/>
  <c r="Q178" i="13"/>
  <c r="Q195" i="13" s="1"/>
  <c r="Q212" i="13" s="1"/>
  <c r="R64" i="13"/>
  <c r="AI19" i="14"/>
  <c r="N20" i="14"/>
  <c r="N35" i="14" s="1"/>
  <c r="AJ20" i="14"/>
  <c r="S22" i="14"/>
  <c r="AO22" i="14"/>
  <c r="E185" i="13"/>
  <c r="E202" i="13" s="1"/>
  <c r="BB22" i="13"/>
  <c r="AB185" i="13"/>
  <c r="AB202" i="13" s="1"/>
  <c r="E78" i="9"/>
  <c r="I8" i="9"/>
  <c r="I42" i="9" s="1"/>
  <c r="BC35" i="13"/>
  <c r="R176" i="13"/>
  <c r="R193" i="13" s="1"/>
  <c r="AN176" i="13"/>
  <c r="AN193" i="13" s="1"/>
  <c r="S177" i="13"/>
  <c r="S194" i="13" s="1"/>
  <c r="R178" i="13"/>
  <c r="R195" i="13" s="1"/>
  <c r="AN178" i="13"/>
  <c r="AN195" i="13" s="1"/>
  <c r="P179" i="13"/>
  <c r="P196" i="13" s="1"/>
  <c r="AI216" i="13"/>
  <c r="I185" i="13"/>
  <c r="I202" i="13" s="1"/>
  <c r="AE185" i="13"/>
  <c r="AE202" i="13" s="1"/>
  <c r="AE219" i="13" s="1"/>
  <c r="S64" i="13"/>
  <c r="U101" i="13"/>
  <c r="BB5" i="14"/>
  <c r="BC5" i="14" s="1"/>
  <c r="V22" i="14"/>
  <c r="AK32" i="14"/>
  <c r="AH12" i="15"/>
  <c r="AN21" i="9"/>
  <c r="E109" i="9"/>
  <c r="W32" i="14"/>
  <c r="H80" i="10"/>
  <c r="G206" i="11"/>
  <c r="S96" i="10"/>
  <c r="G159" i="11"/>
  <c r="O96" i="10"/>
  <c r="J117" i="10"/>
  <c r="AB8" i="15"/>
  <c r="L10" i="15"/>
  <c r="AH10" i="15"/>
  <c r="B10" i="10"/>
  <c r="B138" i="10" s="1"/>
  <c r="G230" i="11"/>
  <c r="U96" i="10"/>
  <c r="I96" i="10"/>
  <c r="M112" i="10"/>
  <c r="D10" i="10"/>
  <c r="D138" i="10" s="1"/>
  <c r="D153" i="10" s="1"/>
  <c r="D78" i="9"/>
  <c r="X32" i="14"/>
  <c r="L110" i="9"/>
  <c r="AU22" i="9"/>
  <c r="G5" i="10"/>
  <c r="B63" i="11" s="1"/>
  <c r="I63" i="11" s="1"/>
  <c r="K63" i="11" s="1"/>
  <c r="G68" i="9"/>
  <c r="B76" i="9"/>
  <c r="B8" i="10"/>
  <c r="B136" i="10" s="1"/>
  <c r="B151" i="10" s="1"/>
  <c r="F73" i="9"/>
  <c r="F109" i="9"/>
  <c r="E11" i="9"/>
  <c r="E45" i="9" s="1"/>
  <c r="BI27" i="13"/>
  <c r="I13" i="9"/>
  <c r="I47" i="9" s="1"/>
  <c r="G109" i="9"/>
  <c r="G38" i="9"/>
  <c r="D5" i="9"/>
  <c r="D39" i="9" s="1"/>
  <c r="H12" i="9"/>
  <c r="H46" i="9" s="1"/>
  <c r="AO30" i="9"/>
  <c r="H38" i="9"/>
  <c r="B40" i="9"/>
  <c r="AU23" i="13"/>
  <c r="F226" i="13"/>
  <c r="E5" i="9"/>
  <c r="AB79" i="14"/>
  <c r="D226" i="13"/>
  <c r="C5" i="9"/>
  <c r="C39" i="9" s="1"/>
  <c r="S129" i="13"/>
  <c r="S163" i="13" s="1"/>
  <c r="S101" i="13"/>
  <c r="D154" i="8"/>
  <c r="AW28" i="9"/>
  <c r="AV28" i="9"/>
  <c r="K48" i="9"/>
  <c r="AT31" i="9"/>
  <c r="AC7" i="10"/>
  <c r="E178" i="13"/>
  <c r="E195" i="13" s="1"/>
  <c r="E212" i="13" s="1"/>
  <c r="BS38" i="13"/>
  <c r="G235" i="13"/>
  <c r="F14" i="9"/>
  <c r="F48" i="9" s="1"/>
  <c r="E113" i="9"/>
  <c r="AN25" i="9"/>
  <c r="AO25" i="9"/>
  <c r="H113" i="9"/>
  <c r="AQ25" i="9"/>
  <c r="AW22" i="9"/>
  <c r="C12" i="12"/>
  <c r="J13" i="9"/>
  <c r="J47" i="9" s="1"/>
  <c r="AO21" i="9"/>
  <c r="N117" i="9"/>
  <c r="E133" i="8"/>
  <c r="AP21" i="9"/>
  <c r="O45" i="9"/>
  <c r="BN21" i="13"/>
  <c r="J5" i="9"/>
  <c r="J39" i="9" s="1"/>
  <c r="AT6" i="13"/>
  <c r="B17" i="8"/>
  <c r="L6" i="9"/>
  <c r="L40" i="9" s="1"/>
  <c r="B42" i="8"/>
  <c r="N7" i="9"/>
  <c r="O52" i="13"/>
  <c r="B79" i="12"/>
  <c r="B67" i="8"/>
  <c r="E67" i="8" s="1"/>
  <c r="V101" i="13"/>
  <c r="C170" i="11"/>
  <c r="W129" i="13"/>
  <c r="W163" i="13" s="1"/>
  <c r="W101" i="13"/>
  <c r="AF61" i="14"/>
  <c r="I115" i="9"/>
  <c r="AR27" i="9"/>
  <c r="D115" i="8"/>
  <c r="G115" i="8" s="1"/>
  <c r="D73" i="9"/>
  <c r="D5" i="10"/>
  <c r="D133" i="10" s="1"/>
  <c r="D148" i="10" s="1"/>
  <c r="L9" i="10"/>
  <c r="L137" i="10" s="1"/>
  <c r="L152" i="10" s="1"/>
  <c r="L77" i="9"/>
  <c r="E73" i="9"/>
  <c r="E5" i="10"/>
  <c r="E133" i="10" s="1"/>
  <c r="E148" i="10" s="1"/>
  <c r="AF10" i="15"/>
  <c r="K75" i="9"/>
  <c r="BH27" i="13"/>
  <c r="D11" i="9"/>
  <c r="AQ214" i="13"/>
  <c r="AQ213" i="13"/>
  <c r="AB8" i="10"/>
  <c r="H79" i="9"/>
  <c r="J15" i="13"/>
  <c r="I3" i="9"/>
  <c r="I37" i="9" s="1"/>
  <c r="B15" i="12"/>
  <c r="BO20" i="13"/>
  <c r="AU4" i="13"/>
  <c r="B3" i="8"/>
  <c r="M5" i="9"/>
  <c r="M39" i="9" s="1"/>
  <c r="B28" i="8"/>
  <c r="E28" i="8" s="1"/>
  <c r="P227" i="13"/>
  <c r="B65" i="12"/>
  <c r="O6" i="9"/>
  <c r="O40" i="9" s="1"/>
  <c r="B53" i="8"/>
  <c r="AG10" i="15"/>
  <c r="M75" i="9"/>
  <c r="M111" i="9"/>
  <c r="AN29" i="9"/>
  <c r="E157" i="8"/>
  <c r="BN20" i="13"/>
  <c r="B3" i="12"/>
  <c r="I79" i="9"/>
  <c r="K51" i="13"/>
  <c r="B2" i="12"/>
  <c r="J3" i="9"/>
  <c r="J37" i="9" s="1"/>
  <c r="BP20" i="13"/>
  <c r="B27" i="12"/>
  <c r="B15" i="8"/>
  <c r="BB5" i="13"/>
  <c r="BC5" i="13" s="1"/>
  <c r="N5" i="9"/>
  <c r="N39" i="9" s="1"/>
  <c r="B40" i="8"/>
  <c r="AL47" i="13"/>
  <c r="P215" i="13"/>
  <c r="P6" i="10"/>
  <c r="AV22" i="9"/>
  <c r="D136" i="8"/>
  <c r="J4" i="9"/>
  <c r="J38" i="9" s="1"/>
  <c r="AU3" i="13"/>
  <c r="B14" i="12"/>
  <c r="B2" i="8"/>
  <c r="K3" i="9"/>
  <c r="K37" i="9" s="1"/>
  <c r="AH15" i="13"/>
  <c r="BQ20" i="13"/>
  <c r="AS4" i="13"/>
  <c r="AV4" i="13" s="1"/>
  <c r="Q6" i="9"/>
  <c r="B77" i="8"/>
  <c r="E79" i="8" s="1"/>
  <c r="AD175" i="13"/>
  <c r="AD192" i="13" s="1"/>
  <c r="AD47" i="13"/>
  <c r="S32" i="14"/>
  <c r="AO32" i="14"/>
  <c r="B114" i="9"/>
  <c r="B43" i="9"/>
  <c r="G12" i="9"/>
  <c r="G46" i="9" s="1"/>
  <c r="J68" i="9"/>
  <c r="N6" i="10"/>
  <c r="B148" i="11" s="1"/>
  <c r="N74" i="9"/>
  <c r="B14" i="8"/>
  <c r="L3" i="9"/>
  <c r="L37" i="9" s="1"/>
  <c r="B26" i="12"/>
  <c r="K186" i="13"/>
  <c r="K203" i="13" s="1"/>
  <c r="BY46" i="13"/>
  <c r="BA86" i="14"/>
  <c r="W79" i="14"/>
  <c r="C140" i="8"/>
  <c r="F142" i="8" s="1"/>
  <c r="E166" i="8"/>
  <c r="D166" i="8"/>
  <c r="J115" i="9"/>
  <c r="AS27" i="9"/>
  <c r="I136" i="13"/>
  <c r="I15" i="13"/>
  <c r="H3" i="9"/>
  <c r="AT5" i="13"/>
  <c r="B16" i="8"/>
  <c r="L5" i="9"/>
  <c r="L39" i="9" s="1"/>
  <c r="E127" i="8"/>
  <c r="E129" i="8" s="1"/>
  <c r="F127" i="8"/>
  <c r="O6" i="10"/>
  <c r="O74" i="9"/>
  <c r="F68" i="9"/>
  <c r="J9" i="10"/>
  <c r="J121" i="10" s="1"/>
  <c r="J77" i="9"/>
  <c r="G80" i="9"/>
  <c r="BR38" i="13"/>
  <c r="D178" i="13"/>
  <c r="D195" i="13" s="1"/>
  <c r="BA87" i="14"/>
  <c r="AC8" i="15"/>
  <c r="AI10" i="15"/>
  <c r="H177" i="13"/>
  <c r="H194" i="13" s="1"/>
  <c r="H212" i="13" s="1"/>
  <c r="BV37" i="13"/>
  <c r="AO26" i="9"/>
  <c r="AG95" i="14"/>
  <c r="Z6" i="15"/>
  <c r="AF8" i="15"/>
  <c r="AK47" i="15"/>
  <c r="E43" i="9"/>
  <c r="AP22" i="9"/>
  <c r="AN26" i="9"/>
  <c r="E81" i="9"/>
  <c r="E13" i="10"/>
  <c r="B47" i="11" s="1"/>
  <c r="H146" i="13"/>
  <c r="K176" i="13"/>
  <c r="K193" i="13" s="1"/>
  <c r="BY36" i="13"/>
  <c r="G213" i="13"/>
  <c r="AC213" i="13"/>
  <c r="BP40" i="13"/>
  <c r="T185" i="13"/>
  <c r="T202" i="13" s="1"/>
  <c r="T219" i="13" s="1"/>
  <c r="Z101" i="13"/>
  <c r="L95" i="14"/>
  <c r="U4" i="15"/>
  <c r="AA6" i="15"/>
  <c r="Z13" i="15"/>
  <c r="AP5" i="15"/>
  <c r="AB9" i="15"/>
  <c r="V12" i="15"/>
  <c r="M10" i="15"/>
  <c r="J113" i="9"/>
  <c r="AS25" i="9"/>
  <c r="C81" i="9"/>
  <c r="C13" i="10"/>
  <c r="B23" i="11" s="1"/>
  <c r="Z32" i="14"/>
  <c r="K13" i="15"/>
  <c r="K47" i="15"/>
  <c r="F55" i="8"/>
  <c r="F69" i="8" s="1"/>
  <c r="H23" i="11"/>
  <c r="R15" i="13"/>
  <c r="BL29" i="13"/>
  <c r="AE234" i="13"/>
  <c r="AD213" i="13"/>
  <c r="BQ40" i="13"/>
  <c r="C182" i="13"/>
  <c r="C199" i="13" s="1"/>
  <c r="BQ42" i="13"/>
  <c r="U185" i="13"/>
  <c r="U202" i="13" s="1"/>
  <c r="U219" i="13" s="1"/>
  <c r="L111" i="13"/>
  <c r="AQ217" i="13"/>
  <c r="BB4" i="14"/>
  <c r="BC4" i="14" s="1"/>
  <c r="AV84" i="14"/>
  <c r="AW84" i="14" s="1"/>
  <c r="AT84" i="14"/>
  <c r="V4" i="15"/>
  <c r="AB6" i="15"/>
  <c r="AA13" i="15"/>
  <c r="T10" i="15"/>
  <c r="AP10" i="15"/>
  <c r="W12" i="15"/>
  <c r="H95" i="14"/>
  <c r="E13" i="8"/>
  <c r="E15" i="8" s="1"/>
  <c r="M48" i="9"/>
  <c r="BT38" i="13"/>
  <c r="F178" i="13"/>
  <c r="F195" i="13" s="1"/>
  <c r="F213" i="13" s="1"/>
  <c r="AE20" i="14"/>
  <c r="T4" i="15"/>
  <c r="F76" i="9"/>
  <c r="C79" i="9"/>
  <c r="H109" i="9"/>
  <c r="I78" i="9"/>
  <c r="E48" i="9"/>
  <c r="BM29" i="13"/>
  <c r="AE235" i="13"/>
  <c r="Q220" i="13"/>
  <c r="AV9" i="14"/>
  <c r="AW9" i="14" s="1"/>
  <c r="AM181" i="13" s="1"/>
  <c r="AM198" i="13" s="1"/>
  <c r="W4" i="15"/>
  <c r="AC6" i="15"/>
  <c r="AB13" i="15"/>
  <c r="AV85" i="14"/>
  <c r="AW85" i="14" s="1"/>
  <c r="AY85" i="14"/>
  <c r="AP4" i="15"/>
  <c r="Y13" i="15"/>
  <c r="M80" i="9"/>
  <c r="E37" i="8"/>
  <c r="E112" i="8"/>
  <c r="AW26" i="9"/>
  <c r="N117" i="10"/>
  <c r="I76" i="9"/>
  <c r="N138" i="9"/>
  <c r="H138" i="9"/>
  <c r="J78" i="9"/>
  <c r="I8" i="10"/>
  <c r="I120" i="10" s="1"/>
  <c r="I140" i="10"/>
  <c r="I155" i="10" s="1"/>
  <c r="AG233" i="13"/>
  <c r="U47" i="13"/>
  <c r="U175" i="13"/>
  <c r="U192" i="13" s="1"/>
  <c r="AU8" i="14"/>
  <c r="AK180" i="13" s="1"/>
  <c r="AK197" i="13" s="1"/>
  <c r="P20" i="14"/>
  <c r="P35" i="14" s="1"/>
  <c r="M228" i="13"/>
  <c r="C30" i="12"/>
  <c r="N230" i="13"/>
  <c r="BB55" i="14"/>
  <c r="C44" i="12"/>
  <c r="X4" i="15"/>
  <c r="W11" i="15"/>
  <c r="AC13" i="15"/>
  <c r="D114" i="9"/>
  <c r="AM26" i="9"/>
  <c r="AA99" i="13"/>
  <c r="AA96" i="10"/>
  <c r="F91" i="8"/>
  <c r="D103" i="8"/>
  <c r="AU27" i="9"/>
  <c r="O138" i="9"/>
  <c r="I138" i="9"/>
  <c r="E80" i="9"/>
  <c r="B8" i="12"/>
  <c r="J9" i="9"/>
  <c r="J43" i="9" s="1"/>
  <c r="B23" i="12"/>
  <c r="AU12" i="13"/>
  <c r="O78" i="16"/>
  <c r="O62" i="16" s="1"/>
  <c r="AT30" i="13"/>
  <c r="AR36" i="13"/>
  <c r="AV36" i="13" s="1"/>
  <c r="CC36" i="13"/>
  <c r="BC36" i="13"/>
  <c r="AK47" i="13"/>
  <c r="L19" i="14"/>
  <c r="L34" i="14" s="1"/>
  <c r="AH19" i="14"/>
  <c r="O230" i="13"/>
  <c r="AT55" i="14"/>
  <c r="C56" i="12"/>
  <c r="P231" i="13"/>
  <c r="C69" i="12"/>
  <c r="AR11" i="13"/>
  <c r="AV11" i="13" s="1"/>
  <c r="BB11" i="13"/>
  <c r="BC11" i="13" s="1"/>
  <c r="C79" i="12"/>
  <c r="D43" i="9"/>
  <c r="E25" i="8"/>
  <c r="D81" i="9"/>
  <c r="O177" i="13"/>
  <c r="O194" i="13" s="1"/>
  <c r="O211" i="13" s="1"/>
  <c r="BC37" i="13"/>
  <c r="AR37" i="13"/>
  <c r="CC37" i="13"/>
  <c r="F25" i="8"/>
  <c r="F39" i="8" s="1"/>
  <c r="E91" i="8"/>
  <c r="F85" i="8"/>
  <c r="B47" i="9"/>
  <c r="BI21" i="13"/>
  <c r="AB226" i="13"/>
  <c r="AB138" i="13"/>
  <c r="AR10" i="13"/>
  <c r="B57" i="12"/>
  <c r="BO26" i="13"/>
  <c r="G120" i="13"/>
  <c r="G154" i="13" s="1"/>
  <c r="C78" i="12"/>
  <c r="O7" i="15"/>
  <c r="U9" i="15"/>
  <c r="D15" i="15"/>
  <c r="AT86" i="14"/>
  <c r="AY86" i="14"/>
  <c r="AV86" i="14"/>
  <c r="AW86" i="14" s="1"/>
  <c r="AU86" i="14"/>
  <c r="I52" i="8"/>
  <c r="O10" i="15"/>
  <c r="I177" i="13"/>
  <c r="I194" i="13" s="1"/>
  <c r="BW37" i="13"/>
  <c r="BK29" i="13"/>
  <c r="AL99" i="13"/>
  <c r="AL122" i="13"/>
  <c r="W164" i="13"/>
  <c r="AY9" i="14"/>
  <c r="AO181" i="13" s="1"/>
  <c r="AO198" i="13" s="1"/>
  <c r="AO216" i="13" s="1"/>
  <c r="BF20" i="13"/>
  <c r="B4" i="9"/>
  <c r="B15" i="9" s="1"/>
  <c r="H48" i="9"/>
  <c r="AQ31" i="9"/>
  <c r="F79" i="8"/>
  <c r="D38" i="9"/>
  <c r="I32" i="9"/>
  <c r="G110" i="9"/>
  <c r="C47" i="9"/>
  <c r="F103" i="8"/>
  <c r="D169" i="8"/>
  <c r="AS28" i="9"/>
  <c r="B75" i="9"/>
  <c r="H110" i="9"/>
  <c r="BL21" i="13"/>
  <c r="M71" i="16"/>
  <c r="M55" i="16" s="1"/>
  <c r="CL23" i="13"/>
  <c r="BN25" i="13"/>
  <c r="K120" i="13"/>
  <c r="K154" i="13" s="1"/>
  <c r="AG120" i="13"/>
  <c r="AG154" i="13" s="1"/>
  <c r="V21" i="14"/>
  <c r="V182" i="13"/>
  <c r="V199" i="13" s="1"/>
  <c r="AG20" i="14"/>
  <c r="Y79" i="14"/>
  <c r="Y61" i="14"/>
  <c r="W112" i="10"/>
  <c r="I20" i="14"/>
  <c r="I35" i="14" s="1"/>
  <c r="F31" i="8"/>
  <c r="E103" i="8"/>
  <c r="E117" i="8" s="1"/>
  <c r="E124" i="8"/>
  <c r="C44" i="9"/>
  <c r="H68" i="9"/>
  <c r="B58" i="12"/>
  <c r="AR8" i="13"/>
  <c r="BB8" i="13"/>
  <c r="BC8" i="13" s="1"/>
  <c r="N71" i="16"/>
  <c r="N55" i="16" s="1"/>
  <c r="CM23" i="13"/>
  <c r="CN30" i="13"/>
  <c r="L120" i="13"/>
  <c r="AH120" i="13"/>
  <c r="AH154" i="13" s="1"/>
  <c r="AK121" i="13"/>
  <c r="AV10" i="14"/>
  <c r="AW10" i="14" s="1"/>
  <c r="AM182" i="13" s="1"/>
  <c r="AM199" i="13" s="1"/>
  <c r="M62" i="14"/>
  <c r="BA88" i="14"/>
  <c r="AM185" i="13"/>
  <c r="AM202" i="13" s="1"/>
  <c r="O73" i="16"/>
  <c r="O57" i="16" s="1"/>
  <c r="BC25" i="13"/>
  <c r="BA25" i="13"/>
  <c r="AZ25" i="13"/>
  <c r="AT25" i="13"/>
  <c r="CN25" i="13"/>
  <c r="L41" i="8"/>
  <c r="F154" i="8"/>
  <c r="F155" i="8" s="1"/>
  <c r="AM24" i="9"/>
  <c r="D112" i="9"/>
  <c r="G39" i="9"/>
  <c r="I68" i="9"/>
  <c r="D44" i="9"/>
  <c r="G182" i="11"/>
  <c r="Q96" i="10"/>
  <c r="C80" i="12"/>
  <c r="AW5" i="13"/>
  <c r="AZ5" i="13" s="1"/>
  <c r="L122" i="13"/>
  <c r="L139" i="13"/>
  <c r="AU6" i="13"/>
  <c r="AT22" i="13"/>
  <c r="E31" i="13"/>
  <c r="AM47" i="13"/>
  <c r="N64" i="13"/>
  <c r="AZ64" i="13" s="1"/>
  <c r="AK101" i="13"/>
  <c r="AM32" i="14"/>
  <c r="BA55" i="14"/>
  <c r="AP215" i="13"/>
  <c r="L186" i="13"/>
  <c r="L203" i="13" s="1"/>
  <c r="BZ46" i="13"/>
  <c r="T64" i="13"/>
  <c r="C93" i="13"/>
  <c r="F93" i="13"/>
  <c r="F99" i="13"/>
  <c r="L126" i="13"/>
  <c r="AH126" i="13"/>
  <c r="AH160" i="13" s="1"/>
  <c r="O127" i="13"/>
  <c r="AK127" i="13"/>
  <c r="R101" i="13"/>
  <c r="AN101" i="13"/>
  <c r="AV4" i="14"/>
  <c r="AW4" i="14" s="1"/>
  <c r="AM176" i="13" s="1"/>
  <c r="AM193" i="13" s="1"/>
  <c r="T32" i="14"/>
  <c r="AP32" i="14"/>
  <c r="BA84" i="14"/>
  <c r="AD8" i="15"/>
  <c r="N10" i="15"/>
  <c r="AJ10" i="15"/>
  <c r="Z14" i="15"/>
  <c r="M47" i="15"/>
  <c r="AI47" i="15"/>
  <c r="AD6" i="15"/>
  <c r="P10" i="15"/>
  <c r="AL10" i="15"/>
  <c r="AO12" i="15"/>
  <c r="K73" i="9"/>
  <c r="BM20" i="13"/>
  <c r="AF225" i="13"/>
  <c r="L15" i="13"/>
  <c r="AF178" i="13"/>
  <c r="AF195" i="13" s="1"/>
  <c r="W180" i="13"/>
  <c r="W197" i="13" s="1"/>
  <c r="S185" i="13"/>
  <c r="S202" i="13" s="1"/>
  <c r="AF100" i="13"/>
  <c r="AL20" i="14"/>
  <c r="U32" i="14"/>
  <c r="AY54" i="14"/>
  <c r="AV87" i="14"/>
  <c r="AW87" i="14" s="1"/>
  <c r="AE8" i="15"/>
  <c r="Q10" i="15"/>
  <c r="AM10" i="15"/>
  <c r="BQ19" i="13"/>
  <c r="AS3" i="13"/>
  <c r="R226" i="13"/>
  <c r="E181" i="13"/>
  <c r="E198" i="13" s="1"/>
  <c r="AA181" i="13"/>
  <c r="AA198" i="13" s="1"/>
  <c r="C185" i="13"/>
  <c r="C202" i="13" s="1"/>
  <c r="C220" i="13" s="1"/>
  <c r="Y185" i="13"/>
  <c r="Y202" i="13" s="1"/>
  <c r="BT45" i="13"/>
  <c r="S186" i="13"/>
  <c r="S203" i="13" s="1"/>
  <c r="V20" i="14"/>
  <c r="AA32" i="14"/>
  <c r="AD13" i="15"/>
  <c r="O51" i="13"/>
  <c r="BR19" i="13"/>
  <c r="AF175" i="13"/>
  <c r="AF192" i="13" s="1"/>
  <c r="H182" i="13"/>
  <c r="H199" i="13" s="1"/>
  <c r="BV42" i="13"/>
  <c r="T186" i="13"/>
  <c r="T203" i="13" s="1"/>
  <c r="AP220" i="13"/>
  <c r="AD99" i="13"/>
  <c r="D101" i="13"/>
  <c r="D116" i="13" s="1"/>
  <c r="D21" i="14"/>
  <c r="D36" i="14" s="1"/>
  <c r="Z21" i="14"/>
  <c r="Q95" i="14"/>
  <c r="AM95" i="14"/>
  <c r="BA92" i="14"/>
  <c r="AH95" i="14"/>
  <c r="I217" i="13"/>
  <c r="AE217" i="13"/>
  <c r="U186" i="13"/>
  <c r="U203" i="13" s="1"/>
  <c r="C22" i="14"/>
  <c r="C37" i="14" s="1"/>
  <c r="F74" i="9"/>
  <c r="D115" i="9"/>
  <c r="B44" i="9"/>
  <c r="AH175" i="13"/>
  <c r="AH192" i="13" s="1"/>
  <c r="BQ36" i="13"/>
  <c r="J180" i="13"/>
  <c r="J197" i="13" s="1"/>
  <c r="BX40" i="13"/>
  <c r="V186" i="13"/>
  <c r="V203" i="13" s="1"/>
  <c r="V220" i="13" s="1"/>
  <c r="AU46" i="13"/>
  <c r="N122" i="13"/>
  <c r="Z15" i="14"/>
  <c r="Z22" i="14"/>
  <c r="AY59" i="14"/>
  <c r="C60" i="12"/>
  <c r="AV59" i="14"/>
  <c r="AW59" i="14" s="1"/>
  <c r="AU59" i="14"/>
  <c r="AT59" i="14"/>
  <c r="BG24" i="13"/>
  <c r="E145" i="13"/>
  <c r="E54" i="13"/>
  <c r="M76" i="16"/>
  <c r="M60" i="16" s="1"/>
  <c r="AR28" i="13"/>
  <c r="T178" i="13"/>
  <c r="T195" i="13" s="1"/>
  <c r="AG180" i="13"/>
  <c r="AG197" i="13" s="1"/>
  <c r="AG215" i="13" s="1"/>
  <c r="AC101" i="13"/>
  <c r="Z20" i="14"/>
  <c r="BA91" i="14"/>
  <c r="O67" i="16"/>
  <c r="O51" i="16" s="1"/>
  <c r="CN19" i="13"/>
  <c r="AT19" i="13"/>
  <c r="C211" i="13"/>
  <c r="U178" i="13"/>
  <c r="U195" i="13" s="1"/>
  <c r="L180" i="13"/>
  <c r="L197" i="13" s="1"/>
  <c r="AH180" i="13"/>
  <c r="AH197" i="13" s="1"/>
  <c r="L183" i="13"/>
  <c r="L200" i="13" s="1"/>
  <c r="AH183" i="13"/>
  <c r="AH200" i="13" s="1"/>
  <c r="AH217" i="13" s="1"/>
  <c r="AH99" i="13"/>
  <c r="U100" i="13"/>
  <c r="AD101" i="13"/>
  <c r="B178" i="13"/>
  <c r="B195" i="13" s="1"/>
  <c r="AQ220" i="13"/>
  <c r="AA15" i="14"/>
  <c r="AA20" i="14"/>
  <c r="AC15" i="14"/>
  <c r="E22" i="14"/>
  <c r="E37" i="14" s="1"/>
  <c r="AA22" i="14"/>
  <c r="BF54" i="14"/>
  <c r="BG54" i="14" s="1"/>
  <c r="BH54" i="14" s="1"/>
  <c r="BF55" i="14"/>
  <c r="AU58" i="14"/>
  <c r="AT58" i="14"/>
  <c r="C59" i="12"/>
  <c r="BA90" i="14"/>
  <c r="Z140" i="13"/>
  <c r="Z228" i="13"/>
  <c r="C15" i="13"/>
  <c r="AN179" i="13"/>
  <c r="AN196" i="13" s="1"/>
  <c r="AH184" i="13"/>
  <c r="AH201" i="13" s="1"/>
  <c r="Y186" i="13"/>
  <c r="Y203" i="13" s="1"/>
  <c r="M99" i="13"/>
  <c r="M114" i="13" s="1"/>
  <c r="V100" i="13"/>
  <c r="AE101" i="13"/>
  <c r="F22" i="14"/>
  <c r="F37" i="14" s="1"/>
  <c r="AB22" i="14"/>
  <c r="AG61" i="14"/>
  <c r="AQ169" i="13" s="1"/>
  <c r="F124" i="8"/>
  <c r="D42" i="9"/>
  <c r="AS22" i="9"/>
  <c r="E139" i="13"/>
  <c r="AF232" i="13"/>
  <c r="AH181" i="13"/>
  <c r="AH198" i="13" s="1"/>
  <c r="AH216" i="13" s="1"/>
  <c r="AJ182" i="13"/>
  <c r="AJ199" i="13" s="1"/>
  <c r="AJ183" i="13"/>
  <c r="AJ200" i="13" s="1"/>
  <c r="D186" i="13"/>
  <c r="D203" i="13" s="1"/>
  <c r="Z186" i="13"/>
  <c r="Z203" i="13" s="1"/>
  <c r="N99" i="13"/>
  <c r="J101" i="13"/>
  <c r="J116" i="13" s="1"/>
  <c r="M163" i="13"/>
  <c r="AD15" i="14"/>
  <c r="AT50" i="14"/>
  <c r="BA57" i="14"/>
  <c r="AY57" i="14"/>
  <c r="M233" i="13"/>
  <c r="F6" i="10"/>
  <c r="F134" i="10" s="1"/>
  <c r="B38" i="12"/>
  <c r="AB140" i="13"/>
  <c r="AB228" i="13"/>
  <c r="X178" i="13"/>
  <c r="X195" i="13" s="1"/>
  <c r="X213" i="13" s="1"/>
  <c r="T179" i="13"/>
  <c r="T196" i="13" s="1"/>
  <c r="AP213" i="13"/>
  <c r="AK182" i="13"/>
  <c r="AK199" i="13" s="1"/>
  <c r="E186" i="13"/>
  <c r="E203" i="13" s="1"/>
  <c r="F209" i="13" s="1"/>
  <c r="AA186" i="13"/>
  <c r="AA203" i="13" s="1"/>
  <c r="M107" i="13"/>
  <c r="M64" i="13"/>
  <c r="M111" i="13" s="1"/>
  <c r="B125" i="13"/>
  <c r="B159" i="13" s="1"/>
  <c r="K101" i="13"/>
  <c r="G15" i="14"/>
  <c r="AC19" i="14"/>
  <c r="H20" i="14"/>
  <c r="H35" i="14" s="1"/>
  <c r="AD20" i="14"/>
  <c r="AF20" i="14"/>
  <c r="AD21" i="14"/>
  <c r="H22" i="14"/>
  <c r="H37" i="14" s="1"/>
  <c r="AD22" i="14"/>
  <c r="BC55" i="14"/>
  <c r="AE175" i="13"/>
  <c r="AE192" i="13" s="1"/>
  <c r="W176" i="13"/>
  <c r="W193" i="13" s="1"/>
  <c r="I178" i="13"/>
  <c r="I195" i="13" s="1"/>
  <c r="AE178" i="13"/>
  <c r="AE195" i="13" s="1"/>
  <c r="AE212" i="13" s="1"/>
  <c r="AA179" i="13"/>
  <c r="AA196" i="13" s="1"/>
  <c r="AA213" i="13" s="1"/>
  <c r="V180" i="13"/>
  <c r="V197" i="13" s="1"/>
  <c r="V214" i="13" s="1"/>
  <c r="AN181" i="13"/>
  <c r="AN198" i="13" s="1"/>
  <c r="P216" i="13"/>
  <c r="AG184" i="13"/>
  <c r="AG201" i="13" s="1"/>
  <c r="AG218" i="13" s="1"/>
  <c r="AD185" i="13"/>
  <c r="AD202" i="13" s="1"/>
  <c r="AD219" i="13" s="1"/>
  <c r="B186" i="13"/>
  <c r="B203" i="13" s="1"/>
  <c r="X186" i="13"/>
  <c r="X203" i="13" s="1"/>
  <c r="L93" i="13"/>
  <c r="X123" i="13"/>
  <c r="X157" i="13" s="1"/>
  <c r="AA124" i="13"/>
  <c r="AA158" i="13" s="1"/>
  <c r="AG126" i="13"/>
  <c r="AG160" i="13" s="1"/>
  <c r="N127" i="13"/>
  <c r="AJ127" i="13"/>
  <c r="I22" i="14"/>
  <c r="I37" i="14" s="1"/>
  <c r="H62" i="14"/>
  <c r="S95" i="14"/>
  <c r="AO95" i="14"/>
  <c r="AK95" i="14"/>
  <c r="AB7" i="15"/>
  <c r="W10" i="15"/>
  <c r="Z12" i="15"/>
  <c r="AB14" i="15"/>
  <c r="L15" i="14"/>
  <c r="L21" i="14"/>
  <c r="L36" i="14" s="1"/>
  <c r="AH21" i="14"/>
  <c r="AD32" i="14"/>
  <c r="T95" i="14"/>
  <c r="AP95" i="14"/>
  <c r="W3" i="15"/>
  <c r="S9" i="15"/>
  <c r="AO9" i="15"/>
  <c r="Y11" i="15"/>
  <c r="AC7" i="15"/>
  <c r="X10" i="15"/>
  <c r="AC14" i="15"/>
  <c r="BB11" i="14"/>
  <c r="BC11" i="14" s="1"/>
  <c r="AB32" i="14"/>
  <c r="AE32" i="14"/>
  <c r="AY55" i="14"/>
  <c r="AY83" i="14"/>
  <c r="AD7" i="15"/>
  <c r="AH9" i="15"/>
  <c r="T226" i="13"/>
  <c r="J130" i="13"/>
  <c r="J164" i="13" s="1"/>
  <c r="AF235" i="13"/>
  <c r="AA176" i="13"/>
  <c r="AA193" i="13" s="1"/>
  <c r="AA211" i="13" s="1"/>
  <c r="T177" i="13"/>
  <c r="T194" i="13" s="1"/>
  <c r="D180" i="13"/>
  <c r="D197" i="13" s="1"/>
  <c r="Z180" i="13"/>
  <c r="Z197" i="13" s="1"/>
  <c r="BR40" i="13"/>
  <c r="V181" i="13"/>
  <c r="V198" i="13" s="1"/>
  <c r="AH185" i="13"/>
  <c r="AH202" i="13" s="1"/>
  <c r="F186" i="13"/>
  <c r="F203" i="13" s="1"/>
  <c r="F220" i="13" s="1"/>
  <c r="AB186" i="13"/>
  <c r="AB203" i="13" s="1"/>
  <c r="V121" i="13"/>
  <c r="V155" i="13" s="1"/>
  <c r="Y99" i="13"/>
  <c r="AB123" i="13"/>
  <c r="AB157" i="13" s="1"/>
  <c r="AK126" i="13"/>
  <c r="T138" i="13"/>
  <c r="AK20" i="14"/>
  <c r="M22" i="14"/>
  <c r="M37" i="14" s="1"/>
  <c r="AI22" i="14"/>
  <c r="BB14" i="14"/>
  <c r="BC14" i="14" s="1"/>
  <c r="AF32" i="14"/>
  <c r="W95" i="14"/>
  <c r="AY84" i="14"/>
  <c r="V95" i="14"/>
  <c r="X3" i="15"/>
  <c r="S53" i="13"/>
  <c r="N31" i="13"/>
  <c r="N175" i="13"/>
  <c r="N192" i="13" s="1"/>
  <c r="AB176" i="13"/>
  <c r="AB193" i="13" s="1"/>
  <c r="AB211" i="13" s="1"/>
  <c r="U177" i="13"/>
  <c r="U194" i="13" s="1"/>
  <c r="J179" i="13"/>
  <c r="J196" i="13" s="1"/>
  <c r="AF179" i="13"/>
  <c r="AF196" i="13" s="1"/>
  <c r="AF214" i="13" s="1"/>
  <c r="E180" i="13"/>
  <c r="E197" i="13" s="1"/>
  <c r="AA180" i="13"/>
  <c r="AA197" i="13" s="1"/>
  <c r="W181" i="13"/>
  <c r="W198" i="13" s="1"/>
  <c r="R183" i="13"/>
  <c r="R200" i="13" s="1"/>
  <c r="AN183" i="13"/>
  <c r="AN200" i="13" s="1"/>
  <c r="P218" i="13"/>
  <c r="AI219" i="13"/>
  <c r="G186" i="13"/>
  <c r="G203" i="13" s="1"/>
  <c r="AC186" i="13"/>
  <c r="AC203" i="13" s="1"/>
  <c r="AV5" i="14"/>
  <c r="AW5" i="14" s="1"/>
  <c r="AM177" i="13" s="1"/>
  <c r="AM194" i="13" s="1"/>
  <c r="R21" i="14"/>
  <c r="R36" i="14" s="1"/>
  <c r="AN21" i="14"/>
  <c r="X95" i="14"/>
  <c r="AG5" i="15"/>
  <c r="N6" i="15"/>
  <c r="AJ6" i="15"/>
  <c r="Q7" i="15"/>
  <c r="AM7" i="15"/>
  <c r="T8" i="15"/>
  <c r="AP8" i="15"/>
  <c r="W9" i="15"/>
  <c r="Z10" i="15"/>
  <c r="P14" i="15"/>
  <c r="AL14" i="15"/>
  <c r="BB3" i="13"/>
  <c r="BC3" i="13" s="1"/>
  <c r="AC176" i="13"/>
  <c r="AC193" i="13" s="1"/>
  <c r="AC211" i="13" s="1"/>
  <c r="V177" i="13"/>
  <c r="V194" i="13" s="1"/>
  <c r="AK178" i="13"/>
  <c r="AK195" i="13" s="1"/>
  <c r="AB180" i="13"/>
  <c r="AB197" i="13" s="1"/>
  <c r="AB214" i="13" s="1"/>
  <c r="B181" i="13"/>
  <c r="B198" i="13" s="1"/>
  <c r="X181" i="13"/>
  <c r="X198" i="13" s="1"/>
  <c r="S183" i="13"/>
  <c r="S200" i="13" s="1"/>
  <c r="S217" i="13" s="1"/>
  <c r="AO183" i="13"/>
  <c r="AO200" i="13" s="1"/>
  <c r="AO217" i="13" s="1"/>
  <c r="H186" i="13"/>
  <c r="H203" i="13" s="1"/>
  <c r="AD186" i="13"/>
  <c r="AD203" i="13" s="1"/>
  <c r="Q19" i="14"/>
  <c r="Q34" i="14" s="1"/>
  <c r="S21" i="14"/>
  <c r="AO15" i="14"/>
  <c r="P22" i="14"/>
  <c r="P37" i="14" s="1"/>
  <c r="Y95" i="14"/>
  <c r="AU87" i="14"/>
  <c r="AE4" i="15"/>
  <c r="L5" i="15"/>
  <c r="AH5" i="15"/>
  <c r="O6" i="15"/>
  <c r="AK6" i="15"/>
  <c r="R7" i="15"/>
  <c r="AN7" i="15"/>
  <c r="U8" i="15"/>
  <c r="X9" i="15"/>
  <c r="AD11" i="15"/>
  <c r="N13" i="15"/>
  <c r="AJ13" i="15"/>
  <c r="Q14" i="15"/>
  <c r="AM14" i="15"/>
  <c r="P175" i="13"/>
  <c r="P192" i="13" s="1"/>
  <c r="AD176" i="13"/>
  <c r="AD193" i="13" s="1"/>
  <c r="AD211" i="13" s="1"/>
  <c r="W177" i="13"/>
  <c r="W194" i="13" s="1"/>
  <c r="P212" i="13"/>
  <c r="L179" i="13"/>
  <c r="L196" i="13" s="1"/>
  <c r="AH179" i="13"/>
  <c r="AH196" i="13" s="1"/>
  <c r="AC180" i="13"/>
  <c r="AC197" i="13" s="1"/>
  <c r="AC214" i="13" s="1"/>
  <c r="Y181" i="13"/>
  <c r="Y198" i="13" s="1"/>
  <c r="W182" i="13"/>
  <c r="W199" i="13" s="1"/>
  <c r="T183" i="13"/>
  <c r="T200" i="13" s="1"/>
  <c r="T217" i="13" s="1"/>
  <c r="R184" i="13"/>
  <c r="R201" i="13" s="1"/>
  <c r="AN184" i="13"/>
  <c r="AN201" i="13" s="1"/>
  <c r="I186" i="13"/>
  <c r="I203" i="13" s="1"/>
  <c r="AE186" i="13"/>
  <c r="AE203" i="13" s="1"/>
  <c r="AI47" i="13"/>
  <c r="AK100" i="13"/>
  <c r="X101" i="13"/>
  <c r="AK125" i="13"/>
  <c r="AU4" i="14"/>
  <c r="AK176" i="13" s="1"/>
  <c r="AK193" i="13" s="1"/>
  <c r="R19" i="14"/>
  <c r="R34" i="14" s="1"/>
  <c r="Q22" i="14"/>
  <c r="Q37" i="14" s="1"/>
  <c r="AI32" i="14"/>
  <c r="D95" i="14"/>
  <c r="Z95" i="14"/>
  <c r="BA94" i="14"/>
  <c r="AF4" i="15"/>
  <c r="M5" i="15"/>
  <c r="AI5" i="15"/>
  <c r="P6" i="15"/>
  <c r="AL6" i="15"/>
  <c r="S7" i="15"/>
  <c r="AO7" i="15"/>
  <c r="V8" i="15"/>
  <c r="O13" i="15"/>
  <c r="R14" i="15"/>
  <c r="M14" i="15"/>
  <c r="AI14" i="15"/>
  <c r="Q31" i="13"/>
  <c r="AE176" i="13"/>
  <c r="AE193" i="13" s="1"/>
  <c r="AE211" i="13" s="1"/>
  <c r="B177" i="13"/>
  <c r="B194" i="13" s="1"/>
  <c r="B211" i="13" s="1"/>
  <c r="X177" i="13"/>
  <c r="X194" i="13" s="1"/>
  <c r="X211" i="13" s="1"/>
  <c r="BP37" i="13"/>
  <c r="AD180" i="13"/>
  <c r="AD197" i="13" s="1"/>
  <c r="AD214" i="13" s="1"/>
  <c r="D181" i="13"/>
  <c r="D198" i="13" s="1"/>
  <c r="Z181" i="13"/>
  <c r="Z198" i="13" s="1"/>
  <c r="B182" i="13"/>
  <c r="B199" i="13" s="1"/>
  <c r="X182" i="13"/>
  <c r="X199" i="13" s="1"/>
  <c r="U183" i="13"/>
  <c r="U200" i="13" s="1"/>
  <c r="S184" i="13"/>
  <c r="S201" i="13" s="1"/>
  <c r="AO184" i="13"/>
  <c r="AO201" i="13" s="1"/>
  <c r="AO219" i="13" s="1"/>
  <c r="P219" i="13"/>
  <c r="AL185" i="13"/>
  <c r="AL202" i="13" s="1"/>
  <c r="AJ47" i="13"/>
  <c r="T119" i="13"/>
  <c r="T153" i="13" s="1"/>
  <c r="AL100" i="13"/>
  <c r="Y101" i="13"/>
  <c r="V15" i="14"/>
  <c r="Q21" i="14"/>
  <c r="Q36" i="14" s="1"/>
  <c r="E95" i="14"/>
  <c r="AA95" i="14"/>
  <c r="BA93" i="14"/>
  <c r="AG4" i="15"/>
  <c r="AJ5" i="15"/>
  <c r="Q6" i="15"/>
  <c r="AM6" i="15"/>
  <c r="T7" i="15"/>
  <c r="AP7" i="15"/>
  <c r="Z9" i="15"/>
  <c r="M12" i="15"/>
  <c r="AI12" i="15"/>
  <c r="P13" i="15"/>
  <c r="S14" i="15"/>
  <c r="AF5" i="15"/>
  <c r="N7" i="15"/>
  <c r="AJ7" i="15"/>
  <c r="AM23" i="9"/>
  <c r="D40" i="9"/>
  <c r="D111" i="9"/>
  <c r="AT29" i="9"/>
  <c r="K117" i="9"/>
  <c r="AR29" i="9"/>
  <c r="I81" i="9"/>
  <c r="I117" i="9"/>
  <c r="I46" i="9"/>
  <c r="AU21" i="9"/>
  <c r="L38" i="9"/>
  <c r="L109" i="9"/>
  <c r="O47" i="9"/>
  <c r="L112" i="9"/>
  <c r="AU24" i="9"/>
  <c r="L41" i="9"/>
  <c r="M112" i="9"/>
  <c r="AV24" i="9"/>
  <c r="M41" i="9"/>
  <c r="M76" i="9"/>
  <c r="AQ29" i="9"/>
  <c r="H117" i="9"/>
  <c r="C111" i="9"/>
  <c r="AL23" i="9"/>
  <c r="C40" i="9"/>
  <c r="AS29" i="9"/>
  <c r="J81" i="9"/>
  <c r="J117" i="9"/>
  <c r="J46" i="9"/>
  <c r="B45" i="9"/>
  <c r="B116" i="9"/>
  <c r="B80" i="9"/>
  <c r="AV21" i="9"/>
  <c r="D116" i="9"/>
  <c r="D45" i="9"/>
  <c r="AM28" i="9"/>
  <c r="G105" i="11"/>
  <c r="J96" i="10"/>
  <c r="AO23" i="9"/>
  <c r="D19" i="14"/>
  <c r="D15" i="14"/>
  <c r="G111" i="9"/>
  <c r="AP23" i="9"/>
  <c r="G40" i="9"/>
  <c r="K38" i="9"/>
  <c r="L122" i="10"/>
  <c r="B128" i="11"/>
  <c r="D138" i="9"/>
  <c r="F104" i="11"/>
  <c r="J138" i="10"/>
  <c r="J153" i="10" s="1"/>
  <c r="M38" i="9"/>
  <c r="B152" i="11"/>
  <c r="N122" i="10"/>
  <c r="AV29" i="9"/>
  <c r="M46" i="9"/>
  <c r="O83" i="9"/>
  <c r="C14" i="10"/>
  <c r="C142" i="10" s="1"/>
  <c r="C82" i="9"/>
  <c r="E112" i="9"/>
  <c r="E41" i="9"/>
  <c r="B150" i="11"/>
  <c r="N120" i="10"/>
  <c r="F78" i="9"/>
  <c r="B166" i="11"/>
  <c r="O124" i="10"/>
  <c r="AC12" i="10"/>
  <c r="L74" i="9"/>
  <c r="L6" i="10"/>
  <c r="L134" i="10" s="1"/>
  <c r="O13" i="10"/>
  <c r="AB14" i="10" s="1"/>
  <c r="O81" i="9"/>
  <c r="D134" i="10"/>
  <c r="D149" i="10" s="1"/>
  <c r="AS21" i="9"/>
  <c r="J73" i="9"/>
  <c r="B14" i="11"/>
  <c r="C116" i="10"/>
  <c r="F256" i="11"/>
  <c r="L117" i="10"/>
  <c r="B123" i="11"/>
  <c r="B26" i="11"/>
  <c r="D116" i="10"/>
  <c r="E26" i="11"/>
  <c r="D64" i="10"/>
  <c r="E166" i="11"/>
  <c r="O140" i="10"/>
  <c r="O155" i="10" s="1"/>
  <c r="M117" i="10"/>
  <c r="B135" i="11"/>
  <c r="B71" i="11"/>
  <c r="G125" i="10"/>
  <c r="E50" i="11"/>
  <c r="F64" i="10"/>
  <c r="B42" i="9"/>
  <c r="B77" i="9"/>
  <c r="B113" i="9"/>
  <c r="K114" i="9"/>
  <c r="H74" i="9"/>
  <c r="H6" i="10"/>
  <c r="I74" i="9"/>
  <c r="I6" i="10"/>
  <c r="I134" i="10" s="1"/>
  <c r="F121" i="10"/>
  <c r="B55" i="11"/>
  <c r="G78" i="9"/>
  <c r="I45" i="9"/>
  <c r="AR28" i="9"/>
  <c r="I80" i="9"/>
  <c r="P64" i="10"/>
  <c r="AU26" i="9"/>
  <c r="D75" i="9"/>
  <c r="D94" i="8"/>
  <c r="E94" i="8"/>
  <c r="E100" i="8"/>
  <c r="AM22" i="9"/>
  <c r="I41" i="9"/>
  <c r="I112" i="9"/>
  <c r="AR24" i="9"/>
  <c r="AV26" i="9"/>
  <c r="J72" i="9"/>
  <c r="J4" i="10"/>
  <c r="J132" i="10" s="1"/>
  <c r="E75" i="9"/>
  <c r="I77" i="9"/>
  <c r="I9" i="10"/>
  <c r="M11" i="10"/>
  <c r="M79" i="9"/>
  <c r="B34" i="11"/>
  <c r="D124" i="10"/>
  <c r="H14" i="10"/>
  <c r="H142" i="10" s="1"/>
  <c r="H82" i="9"/>
  <c r="F80" i="9"/>
  <c r="P104" i="9"/>
  <c r="B111" i="9"/>
  <c r="D267" i="11"/>
  <c r="B48" i="10"/>
  <c r="AN23" i="9"/>
  <c r="E40" i="9"/>
  <c r="G80" i="10"/>
  <c r="G170" i="11"/>
  <c r="P96" i="10"/>
  <c r="G76" i="11"/>
  <c r="AW25" i="9"/>
  <c r="N113" i="9"/>
  <c r="E90" i="11"/>
  <c r="N83" i="9"/>
  <c r="N119" i="9"/>
  <c r="AW31" i="9"/>
  <c r="F262" i="11"/>
  <c r="D123" i="10"/>
  <c r="B33" i="11"/>
  <c r="G119" i="9"/>
  <c r="C77" i="9"/>
  <c r="C9" i="10"/>
  <c r="C137" i="10" s="1"/>
  <c r="N127" i="10"/>
  <c r="B157" i="11"/>
  <c r="Z19" i="14"/>
  <c r="J74" i="9"/>
  <c r="J6" i="10"/>
  <c r="J134" i="10" s="1"/>
  <c r="K74" i="9"/>
  <c r="K6" i="10"/>
  <c r="K134" i="10" s="1"/>
  <c r="H72" i="9"/>
  <c r="H4" i="10"/>
  <c r="H132" i="10" s="1"/>
  <c r="W104" i="9"/>
  <c r="B46" i="11"/>
  <c r="E124" i="10"/>
  <c r="I14" i="10"/>
  <c r="I142" i="10" s="1"/>
  <c r="I82" i="9"/>
  <c r="E77" i="9"/>
  <c r="Y104" i="9"/>
  <c r="J109" i="9"/>
  <c r="C112" i="9"/>
  <c r="C41" i="9"/>
  <c r="AB4" i="10"/>
  <c r="E48" i="10"/>
  <c r="F144" i="11"/>
  <c r="M142" i="10"/>
  <c r="M157" i="10" s="1"/>
  <c r="G29" i="11"/>
  <c r="D96" i="10"/>
  <c r="D135" i="10"/>
  <c r="D150" i="10" s="1"/>
  <c r="F110" i="11"/>
  <c r="K80" i="10"/>
  <c r="F186" i="11"/>
  <c r="B147" i="11"/>
  <c r="F134" i="11"/>
  <c r="M80" i="10"/>
  <c r="L114" i="9"/>
  <c r="E118" i="8"/>
  <c r="O43" i="9"/>
  <c r="AL22" i="9"/>
  <c r="N104" i="9"/>
  <c r="E151" i="8"/>
  <c r="D151" i="8"/>
  <c r="J41" i="9"/>
  <c r="AS24" i="9"/>
  <c r="J112" i="9"/>
  <c r="G47" i="9"/>
  <c r="G82" i="9"/>
  <c r="AQ30" i="9"/>
  <c r="K68" i="9"/>
  <c r="K72" i="9"/>
  <c r="K4" i="10"/>
  <c r="K132" i="10" s="1"/>
  <c r="B5" i="10"/>
  <c r="B73" i="9"/>
  <c r="F75" i="9"/>
  <c r="F7" i="10"/>
  <c r="N11" i="10"/>
  <c r="N139" i="10" s="1"/>
  <c r="N79" i="9"/>
  <c r="E88" i="8"/>
  <c r="D124" i="8"/>
  <c r="F163" i="8"/>
  <c r="I108" i="9"/>
  <c r="AR20" i="9"/>
  <c r="I72" i="9"/>
  <c r="K41" i="9"/>
  <c r="K112" i="9"/>
  <c r="AT24" i="9"/>
  <c r="AN24" i="9"/>
  <c r="I118" i="9"/>
  <c r="AR30" i="9"/>
  <c r="L4" i="10"/>
  <c r="L132" i="10" s="1"/>
  <c r="L72" i="9"/>
  <c r="C68" i="9"/>
  <c r="C73" i="9"/>
  <c r="G75" i="9"/>
  <c r="G7" i="10"/>
  <c r="K77" i="9"/>
  <c r="K9" i="10"/>
  <c r="O11" i="10"/>
  <c r="AB12" i="10" s="1"/>
  <c r="O79" i="9"/>
  <c r="B58" i="11"/>
  <c r="F124" i="10"/>
  <c r="J14" i="10"/>
  <c r="J82" i="9"/>
  <c r="F77" i="9"/>
  <c r="Z104" i="9"/>
  <c r="K109" i="9"/>
  <c r="E111" i="9"/>
  <c r="B117" i="9"/>
  <c r="N45" i="9"/>
  <c r="N80" i="9"/>
  <c r="C5" i="10"/>
  <c r="B168" i="11"/>
  <c r="O126" i="10"/>
  <c r="AC14" i="10"/>
  <c r="D86" i="11"/>
  <c r="I48" i="10"/>
  <c r="F48" i="10"/>
  <c r="G199" i="11"/>
  <c r="R96" i="10"/>
  <c r="E290" i="11"/>
  <c r="Z64" i="10"/>
  <c r="D119" i="9"/>
  <c r="D48" i="9"/>
  <c r="D83" i="9"/>
  <c r="AA64" i="10"/>
  <c r="F121" i="11"/>
  <c r="K143" i="10"/>
  <c r="K158" i="10" s="1"/>
  <c r="B140" i="11"/>
  <c r="M122" i="10"/>
  <c r="I114" i="9"/>
  <c r="X80" i="10"/>
  <c r="D160" i="8"/>
  <c r="E160" i="8"/>
  <c r="B159" i="11"/>
  <c r="O117" i="10"/>
  <c r="F138" i="9"/>
  <c r="F72" i="9"/>
  <c r="F146" i="11"/>
  <c r="N80" i="10"/>
  <c r="E142" i="8"/>
  <c r="N32" i="9"/>
  <c r="N86" i="9" s="1"/>
  <c r="K13" i="10"/>
  <c r="K81" i="9"/>
  <c r="B16" i="11"/>
  <c r="C118" i="10"/>
  <c r="O73" i="9"/>
  <c r="E68" i="9"/>
  <c r="E4" i="10"/>
  <c r="E132" i="10" s="1"/>
  <c r="O41" i="9"/>
  <c r="F4" i="10"/>
  <c r="F132" i="10" s="1"/>
  <c r="M68" i="9"/>
  <c r="F42" i="9"/>
  <c r="F113" i="9"/>
  <c r="O64" i="10"/>
  <c r="N109" i="14"/>
  <c r="M27" i="16"/>
  <c r="M43" i="16" s="1"/>
  <c r="BC57" i="14"/>
  <c r="C34" i="12"/>
  <c r="L11" i="9"/>
  <c r="L45" i="9" s="1"/>
  <c r="AR26" i="9"/>
  <c r="G4" i="10"/>
  <c r="G132" i="10" s="1"/>
  <c r="N81" i="9"/>
  <c r="N13" i="10"/>
  <c r="N141" i="10" s="1"/>
  <c r="U104" i="9"/>
  <c r="G41" i="9"/>
  <c r="AP24" i="9"/>
  <c r="G112" i="9"/>
  <c r="AL29" i="9"/>
  <c r="C75" i="9"/>
  <c r="K79" i="9"/>
  <c r="K11" i="10"/>
  <c r="K139" i="10" s="1"/>
  <c r="E163" i="8"/>
  <c r="D163" i="8"/>
  <c r="H32" i="9"/>
  <c r="AN22" i="9"/>
  <c r="D37" i="8"/>
  <c r="D112" i="8"/>
  <c r="E121" i="8"/>
  <c r="J32" i="9"/>
  <c r="D113" i="9"/>
  <c r="AS30" i="9"/>
  <c r="C78" i="9"/>
  <c r="B83" i="9"/>
  <c r="G77" i="9"/>
  <c r="B82" i="9"/>
  <c r="AA104" i="9"/>
  <c r="F111" i="9"/>
  <c r="C117" i="9"/>
  <c r="D98" i="11"/>
  <c r="J48" i="10"/>
  <c r="G48" i="10"/>
  <c r="I38" i="8"/>
  <c r="G246" i="11"/>
  <c r="M119" i="9"/>
  <c r="AV31" i="9"/>
  <c r="C138" i="9"/>
  <c r="C72" i="9"/>
  <c r="C83" i="9"/>
  <c r="C48" i="9"/>
  <c r="E213" i="11"/>
  <c r="L80" i="10"/>
  <c r="F122" i="11"/>
  <c r="I80" i="10"/>
  <c r="H75" i="9"/>
  <c r="AQ23" i="9"/>
  <c r="F10" i="11"/>
  <c r="B140" i="10"/>
  <c r="B155" i="10" s="1"/>
  <c r="AU29" i="9"/>
  <c r="L46" i="9"/>
  <c r="Q104" i="9"/>
  <c r="N78" i="9"/>
  <c r="I119" i="9"/>
  <c r="I48" i="9"/>
  <c r="H116" i="9"/>
  <c r="AQ28" i="9"/>
  <c r="F41" i="9"/>
  <c r="AO24" i="9"/>
  <c r="O120" i="10"/>
  <c r="B162" i="11"/>
  <c r="AC8" i="10"/>
  <c r="N68" i="9"/>
  <c r="B174" i="11"/>
  <c r="H78" i="9"/>
  <c r="E61" i="8"/>
  <c r="D61" i="8"/>
  <c r="AT20" i="9"/>
  <c r="K108" i="9"/>
  <c r="K32" i="9"/>
  <c r="K82" i="9"/>
  <c r="K47" i="9"/>
  <c r="AT30" i="9"/>
  <c r="K118" i="9"/>
  <c r="AL30" i="9"/>
  <c r="B39" i="9"/>
  <c r="M121" i="10"/>
  <c r="B139" i="11"/>
  <c r="B132" i="11"/>
  <c r="L126" i="10"/>
  <c r="H77" i="9"/>
  <c r="M109" i="9"/>
  <c r="H111" i="9"/>
  <c r="E117" i="9"/>
  <c r="H115" i="9"/>
  <c r="H44" i="9"/>
  <c r="J138" i="9"/>
  <c r="B32" i="10"/>
  <c r="D110" i="11"/>
  <c r="K48" i="10"/>
  <c r="H48" i="10"/>
  <c r="L119" i="9"/>
  <c r="L83" i="9"/>
  <c r="B138" i="9"/>
  <c r="B59" i="11"/>
  <c r="F125" i="10"/>
  <c r="B78" i="11"/>
  <c r="H120" i="10"/>
  <c r="E301" i="11"/>
  <c r="C134" i="10"/>
  <c r="C149" i="10" s="1"/>
  <c r="F16" i="11"/>
  <c r="X104" i="9"/>
  <c r="J114" i="9"/>
  <c r="AS26" i="9"/>
  <c r="AB5" i="10"/>
  <c r="D31" i="8"/>
  <c r="M114" i="9"/>
  <c r="G79" i="9"/>
  <c r="G11" i="10"/>
  <c r="G139" i="10" s="1"/>
  <c r="E130" i="8"/>
  <c r="D130" i="8"/>
  <c r="D76" i="9"/>
  <c r="D41" i="9"/>
  <c r="B93" i="11"/>
  <c r="I123" i="10"/>
  <c r="AM30" i="9"/>
  <c r="K138" i="9"/>
  <c r="C86" i="11"/>
  <c r="I32" i="10"/>
  <c r="C138" i="11"/>
  <c r="M136" i="10"/>
  <c r="M151" i="10" s="1"/>
  <c r="C32" i="10"/>
  <c r="H206" i="11"/>
  <c r="S112" i="10"/>
  <c r="H147" i="11"/>
  <c r="N133" i="10"/>
  <c r="N148" i="10" s="1"/>
  <c r="H100" i="11"/>
  <c r="H53" i="11"/>
  <c r="H6" i="11"/>
  <c r="H270" i="11"/>
  <c r="X112" i="10"/>
  <c r="H223" i="11"/>
  <c r="H176" i="11"/>
  <c r="L139" i="10"/>
  <c r="L154" i="10" s="1"/>
  <c r="H129" i="11"/>
  <c r="H82" i="11"/>
  <c r="H112" i="10"/>
  <c r="D141" i="10"/>
  <c r="D156" i="10" s="1"/>
  <c r="H35" i="11"/>
  <c r="H299" i="11"/>
  <c r="H252" i="11"/>
  <c r="H205" i="11"/>
  <c r="F45" i="9"/>
  <c r="AO28" i="9"/>
  <c r="E184" i="11"/>
  <c r="Q64" i="10"/>
  <c r="N112" i="9"/>
  <c r="AW24" i="9"/>
  <c r="F215" i="11"/>
  <c r="N42" i="9"/>
  <c r="E116" i="9"/>
  <c r="AN28" i="9"/>
  <c r="AC5" i="10"/>
  <c r="I64" i="10"/>
  <c r="D68" i="9"/>
  <c r="R104" i="9"/>
  <c r="F112" i="9"/>
  <c r="M64" i="10"/>
  <c r="AP26" i="9"/>
  <c r="B40" i="11"/>
  <c r="E118" i="10"/>
  <c r="G117" i="9"/>
  <c r="AP29" i="9"/>
  <c r="G81" i="9"/>
  <c r="O15" i="10"/>
  <c r="O143" i="10" s="1"/>
  <c r="E106" i="8"/>
  <c r="D106" i="8"/>
  <c r="B67" i="11"/>
  <c r="G121" i="10"/>
  <c r="L32" i="9"/>
  <c r="L86" i="9" s="1"/>
  <c r="M37" i="9"/>
  <c r="M32" i="9"/>
  <c r="M86" i="9" s="1"/>
  <c r="M72" i="9"/>
  <c r="AV20" i="9"/>
  <c r="AR25" i="9"/>
  <c r="I113" i="9"/>
  <c r="M118" i="9"/>
  <c r="M82" i="9"/>
  <c r="M47" i="9"/>
  <c r="AV30" i="9"/>
  <c r="AN30" i="9"/>
  <c r="B163" i="11"/>
  <c r="AB9" i="10"/>
  <c r="O121" i="10"/>
  <c r="B56" i="11"/>
  <c r="F122" i="10"/>
  <c r="B106" i="11"/>
  <c r="J124" i="10"/>
  <c r="J140" i="10"/>
  <c r="J155" i="10" s="1"/>
  <c r="B156" i="11"/>
  <c r="N126" i="10"/>
  <c r="B119" i="9"/>
  <c r="N110" i="9"/>
  <c r="J44" i="9"/>
  <c r="D117" i="9"/>
  <c r="AM29" i="9"/>
  <c r="L138" i="9"/>
  <c r="B7" i="10"/>
  <c r="B135" i="10" s="1"/>
  <c r="AC9" i="10"/>
  <c r="D32" i="10"/>
  <c r="M113" i="9"/>
  <c r="AV25" i="9"/>
  <c r="F98" i="11"/>
  <c r="J80" i="10"/>
  <c r="G123" i="11"/>
  <c r="L133" i="10"/>
  <c r="L148" i="10" s="1"/>
  <c r="K127" i="10"/>
  <c r="B121" i="11"/>
  <c r="O48" i="9"/>
  <c r="C116" i="9"/>
  <c r="C45" i="9"/>
  <c r="AL28" i="9"/>
  <c r="I125" i="10"/>
  <c r="B95" i="11"/>
  <c r="L76" i="9"/>
  <c r="L8" i="10"/>
  <c r="L136" i="10" s="1"/>
  <c r="N76" i="9"/>
  <c r="B81" i="11"/>
  <c r="H123" i="10"/>
  <c r="AU31" i="9"/>
  <c r="L47" i="9"/>
  <c r="AU30" i="9"/>
  <c r="L118" i="9"/>
  <c r="B75" i="11"/>
  <c r="H117" i="10"/>
  <c r="B125" i="11"/>
  <c r="L119" i="10"/>
  <c r="N115" i="9"/>
  <c r="C119" i="9"/>
  <c r="C110" i="11"/>
  <c r="K32" i="10"/>
  <c r="E32" i="10"/>
  <c r="D80" i="10"/>
  <c r="O42" i="9"/>
  <c r="H43" i="9"/>
  <c r="H114" i="9"/>
  <c r="H64" i="10"/>
  <c r="B12" i="11"/>
  <c r="B126" i="10"/>
  <c r="E64" i="8"/>
  <c r="AT21" i="9"/>
  <c r="D77" i="9"/>
  <c r="D9" i="10"/>
  <c r="D137" i="10" s="1"/>
  <c r="L68" i="9"/>
  <c r="S104" i="9"/>
  <c r="N64" i="10"/>
  <c r="M13" i="10"/>
  <c r="M141" i="10" s="1"/>
  <c r="M81" i="9"/>
  <c r="E82" i="9"/>
  <c r="E14" i="10"/>
  <c r="AT26" i="9"/>
  <c r="F82" i="9"/>
  <c r="F14" i="10"/>
  <c r="F142" i="10" s="1"/>
  <c r="G43" i="9"/>
  <c r="F127" i="10"/>
  <c r="B61" i="11"/>
  <c r="M77" i="9"/>
  <c r="O39" i="9"/>
  <c r="AT27" i="9"/>
  <c r="K44" i="9"/>
  <c r="M138" i="9"/>
  <c r="C7" i="10"/>
  <c r="C135" i="10" s="1"/>
  <c r="O72" i="9"/>
  <c r="K113" i="9"/>
  <c r="AT25" i="9"/>
  <c r="AL25" i="9"/>
  <c r="AW27" i="9"/>
  <c r="AP30" i="9"/>
  <c r="H39" i="9"/>
  <c r="G42" i="9"/>
  <c r="N77" i="9"/>
  <c r="B110" i="9"/>
  <c r="E119" i="9"/>
  <c r="L44" i="9"/>
  <c r="L79" i="9"/>
  <c r="F117" i="9"/>
  <c r="AO29" i="9"/>
  <c r="B29" i="11"/>
  <c r="D119" i="10"/>
  <c r="C122" i="11"/>
  <c r="L32" i="10"/>
  <c r="J32" i="10"/>
  <c r="E80" i="10"/>
  <c r="I107" i="11"/>
  <c r="O107" i="11" s="1"/>
  <c r="F43" i="9"/>
  <c r="F114" i="9"/>
  <c r="F162" i="11"/>
  <c r="O136" i="10"/>
  <c r="O151" i="10" s="1"/>
  <c r="G45" i="9"/>
  <c r="AP28" i="9"/>
  <c r="E38" i="11"/>
  <c r="E64" i="10"/>
  <c r="F168" i="11"/>
  <c r="O142" i="10"/>
  <c r="O157" i="10" s="1"/>
  <c r="E138" i="9"/>
  <c r="B145" i="11"/>
  <c r="M127" i="10"/>
  <c r="G116" i="9"/>
  <c r="G138" i="9"/>
  <c r="G72" i="9"/>
  <c r="B7" i="11"/>
  <c r="B121" i="10"/>
  <c r="M120" i="10"/>
  <c r="B138" i="11"/>
  <c r="L13" i="10"/>
  <c r="L141" i="10" s="1"/>
  <c r="L81" i="9"/>
  <c r="O76" i="9"/>
  <c r="B43" i="11"/>
  <c r="E121" i="10"/>
  <c r="D14" i="10"/>
  <c r="D142" i="10" s="1"/>
  <c r="D82" i="9"/>
  <c r="T104" i="9"/>
  <c r="L28" i="16"/>
  <c r="L44" i="16" s="1"/>
  <c r="BD58" i="14"/>
  <c r="BO28" i="13"/>
  <c r="C23" i="12"/>
  <c r="K12" i="9"/>
  <c r="C11" i="8"/>
  <c r="B105" i="11"/>
  <c r="J123" i="10"/>
  <c r="B10" i="11"/>
  <c r="B124" i="10"/>
  <c r="D80" i="9"/>
  <c r="AQ24" i="9"/>
  <c r="H41" i="9"/>
  <c r="H112" i="9"/>
  <c r="F61" i="8"/>
  <c r="E76" i="8"/>
  <c r="D76" i="8"/>
  <c r="E139" i="8"/>
  <c r="D139" i="8"/>
  <c r="D25" i="8"/>
  <c r="F76" i="8"/>
  <c r="D100" i="8"/>
  <c r="AW20" i="9"/>
  <c r="N47" i="9"/>
  <c r="AW30" i="9"/>
  <c r="N118" i="9"/>
  <c r="K124" i="10"/>
  <c r="B118" i="11"/>
  <c r="C114" i="9"/>
  <c r="AL26" i="9"/>
  <c r="E97" i="8"/>
  <c r="AS20" i="9"/>
  <c r="L113" i="9"/>
  <c r="AU25" i="9"/>
  <c r="AM25" i="9"/>
  <c r="K119" i="9"/>
  <c r="AL31" i="9"/>
  <c r="H42" i="9"/>
  <c r="N119" i="10"/>
  <c r="B149" i="11"/>
  <c r="I122" i="10"/>
  <c r="B92" i="11"/>
  <c r="B85" i="11"/>
  <c r="H127" i="10"/>
  <c r="O77" i="9"/>
  <c r="C110" i="9"/>
  <c r="L117" i="9"/>
  <c r="F119" i="9"/>
  <c r="I109" i="9"/>
  <c r="I38" i="9"/>
  <c r="I73" i="9"/>
  <c r="M115" i="9"/>
  <c r="E7" i="10"/>
  <c r="O32" i="10"/>
  <c r="F86" i="11"/>
  <c r="I132" i="10"/>
  <c r="I147" i="10" s="1"/>
  <c r="F291" i="11"/>
  <c r="Z80" i="10"/>
  <c r="F150" i="11"/>
  <c r="N136" i="10"/>
  <c r="N151" i="10" s="1"/>
  <c r="F9" i="11"/>
  <c r="F179" i="11"/>
  <c r="F80" i="10"/>
  <c r="G242" i="11"/>
  <c r="V96" i="10"/>
  <c r="AG15" i="14"/>
  <c r="AG19" i="14"/>
  <c r="AQ175" i="13"/>
  <c r="N108" i="14"/>
  <c r="M26" i="16"/>
  <c r="M42" i="16" s="1"/>
  <c r="BC56" i="14"/>
  <c r="C33" i="12"/>
  <c r="BP26" i="13"/>
  <c r="AI79" i="14"/>
  <c r="AI61" i="14"/>
  <c r="H30" i="16"/>
  <c r="H46" i="16" s="1"/>
  <c r="H80" i="9"/>
  <c r="B51" i="11"/>
  <c r="F117" i="10"/>
  <c r="B20" i="11"/>
  <c r="C122" i="10"/>
  <c r="T64" i="10"/>
  <c r="K19" i="14"/>
  <c r="BB3" i="14"/>
  <c r="K15" i="14"/>
  <c r="N116" i="10"/>
  <c r="B25" i="11"/>
  <c r="C127" i="10"/>
  <c r="E104" i="9"/>
  <c r="J111" i="9"/>
  <c r="G118" i="10"/>
  <c r="B64" i="11"/>
  <c r="C8" i="10"/>
  <c r="B21" i="11"/>
  <c r="C123" i="10"/>
  <c r="D148" i="8"/>
  <c r="F39" i="9"/>
  <c r="AO22" i="9"/>
  <c r="M126" i="10"/>
  <c r="B144" i="11"/>
  <c r="K80" i="9"/>
  <c r="H81" i="9"/>
  <c r="K111" i="9"/>
  <c r="H119" i="9"/>
  <c r="B30" i="11"/>
  <c r="D120" i="10"/>
  <c r="C147" i="11"/>
  <c r="N32" i="10"/>
  <c r="D134" i="11"/>
  <c r="M48" i="10"/>
  <c r="G112" i="10"/>
  <c r="H62" i="11"/>
  <c r="H3" i="11"/>
  <c r="H267" i="11"/>
  <c r="H220" i="11"/>
  <c r="H173" i="11"/>
  <c r="H126" i="11"/>
  <c r="H137" i="10"/>
  <c r="H152" i="10" s="1"/>
  <c r="H79" i="11"/>
  <c r="H32" i="11"/>
  <c r="H296" i="11"/>
  <c r="H249" i="11"/>
  <c r="H202" i="11"/>
  <c r="H155" i="11"/>
  <c r="H108" i="11"/>
  <c r="F143" i="10"/>
  <c r="F158" i="10" s="1"/>
  <c r="B112" i="10"/>
  <c r="B99" i="11"/>
  <c r="B11" i="11"/>
  <c r="B125" i="10"/>
  <c r="H73" i="9"/>
  <c r="G122" i="10"/>
  <c r="B68" i="11"/>
  <c r="B81" i="9"/>
  <c r="O82" i="9"/>
  <c r="B111" i="11"/>
  <c r="K117" i="10"/>
  <c r="I7" i="10"/>
  <c r="B66" i="11"/>
  <c r="G120" i="10"/>
  <c r="B57" i="11"/>
  <c r="F123" i="10"/>
  <c r="B13" i="11"/>
  <c r="B127" i="10"/>
  <c r="D158" i="11"/>
  <c r="O48" i="10"/>
  <c r="L48" i="10"/>
  <c r="K119" i="10"/>
  <c r="B113" i="11"/>
  <c r="J119" i="9"/>
  <c r="B86" i="11"/>
  <c r="I116" i="10"/>
  <c r="E123" i="10"/>
  <c r="B45" i="11"/>
  <c r="N111" i="9"/>
  <c r="AW23" i="9"/>
  <c r="AU28" i="9"/>
  <c r="F44" i="9"/>
  <c r="B87" i="11"/>
  <c r="I117" i="10"/>
  <c r="E83" i="9"/>
  <c r="I104" i="9"/>
  <c r="H121" i="10"/>
  <c r="B79" i="11"/>
  <c r="B80" i="11"/>
  <c r="H122" i="10"/>
  <c r="B37" i="11"/>
  <c r="D127" i="10"/>
  <c r="F254" i="11"/>
  <c r="W80" i="10"/>
  <c r="F195" i="11"/>
  <c r="R80" i="10"/>
  <c r="F300" i="11"/>
  <c r="M67" i="16"/>
  <c r="AR19" i="13"/>
  <c r="R19" i="13"/>
  <c r="S19" i="13" s="1"/>
  <c r="CL19" i="13"/>
  <c r="M31" i="13"/>
  <c r="P72" i="9"/>
  <c r="B49" i="11"/>
  <c r="E127" i="10"/>
  <c r="M116" i="9"/>
  <c r="G44" i="9"/>
  <c r="M124" i="10"/>
  <c r="B142" i="11"/>
  <c r="B35" i="11"/>
  <c r="D125" i="10"/>
  <c r="D74" i="9"/>
  <c r="F83" i="9"/>
  <c r="J104" i="9"/>
  <c r="AF104" i="9"/>
  <c r="M116" i="10"/>
  <c r="B134" i="11"/>
  <c r="B70" i="11"/>
  <c r="D182" i="11"/>
  <c r="D58" i="11"/>
  <c r="F140" i="10"/>
  <c r="F155" i="10" s="1"/>
  <c r="E206" i="11"/>
  <c r="S64" i="10"/>
  <c r="H110" i="11"/>
  <c r="H51" i="11"/>
  <c r="F133" i="10"/>
  <c r="F148" i="10" s="1"/>
  <c r="B134" i="10"/>
  <c r="B149" i="10" s="1"/>
  <c r="H4" i="11"/>
  <c r="H268" i="11"/>
  <c r="H221" i="11"/>
  <c r="H127" i="11"/>
  <c r="H80" i="11"/>
  <c r="H138" i="10"/>
  <c r="H153" i="10" s="1"/>
  <c r="D139" i="10"/>
  <c r="D154" i="10" s="1"/>
  <c r="H33" i="11"/>
  <c r="H297" i="11"/>
  <c r="H250" i="11"/>
  <c r="H203" i="11"/>
  <c r="N142" i="10"/>
  <c r="N157" i="10" s="1"/>
  <c r="H156" i="11"/>
  <c r="J143" i="10"/>
  <c r="J158" i="10" s="1"/>
  <c r="P112" i="10"/>
  <c r="E120" i="10"/>
  <c r="B42" i="11"/>
  <c r="C21" i="8"/>
  <c r="F136" i="8"/>
  <c r="K110" i="9"/>
  <c r="AT22" i="9"/>
  <c r="B4" i="11"/>
  <c r="B118" i="10"/>
  <c r="I83" i="9"/>
  <c r="G73" i="9"/>
  <c r="H83" i="9"/>
  <c r="C115" i="9"/>
  <c r="O116" i="10"/>
  <c r="B158" i="11"/>
  <c r="AC4" i="10"/>
  <c r="B136" i="11"/>
  <c r="B137" i="11"/>
  <c r="M119" i="10"/>
  <c r="K120" i="10"/>
  <c r="B114" i="11"/>
  <c r="J122" i="10"/>
  <c r="B104" i="11"/>
  <c r="H12" i="10"/>
  <c r="D194" i="11"/>
  <c r="H122" i="11"/>
  <c r="L112" i="10"/>
  <c r="E52" i="8"/>
  <c r="AL27" i="9"/>
  <c r="I44" i="9"/>
  <c r="L73" i="9"/>
  <c r="C74" i="9"/>
  <c r="G76" i="9"/>
  <c r="K78" i="9"/>
  <c r="B79" i="9"/>
  <c r="B11" i="10"/>
  <c r="B139" i="10" s="1"/>
  <c r="O80" i="9"/>
  <c r="F81" i="9"/>
  <c r="J83" i="9"/>
  <c r="G74" i="9"/>
  <c r="L82" i="9"/>
  <c r="K83" i="9"/>
  <c r="P4" i="10"/>
  <c r="K10" i="10"/>
  <c r="K138" i="10" s="1"/>
  <c r="G126" i="10"/>
  <c r="B72" i="11"/>
  <c r="B97" i="11"/>
  <c r="I127" i="10"/>
  <c r="E230" i="11"/>
  <c r="U64" i="10"/>
  <c r="H134" i="11"/>
  <c r="M132" i="10"/>
  <c r="M147" i="10" s="1"/>
  <c r="H75" i="11"/>
  <c r="H133" i="10"/>
  <c r="H148" i="10" s="1"/>
  <c r="H28" i="11"/>
  <c r="D112" i="10"/>
  <c r="H292" i="11"/>
  <c r="H245" i="11"/>
  <c r="F148" i="8"/>
  <c r="L111" i="9"/>
  <c r="AU23" i="9"/>
  <c r="E10" i="8"/>
  <c r="B68" i="9"/>
  <c r="F115" i="9"/>
  <c r="B171" i="11"/>
  <c r="N121" i="10"/>
  <c r="B151" i="11"/>
  <c r="B129" i="11"/>
  <c r="L123" i="10"/>
  <c r="J125" i="10"/>
  <c r="J127" i="10"/>
  <c r="B109" i="11"/>
  <c r="E242" i="11"/>
  <c r="V64" i="10"/>
  <c r="AA80" i="10"/>
  <c r="F243" i="11"/>
  <c r="N135" i="10"/>
  <c r="N150" i="10" s="1"/>
  <c r="F55" i="11"/>
  <c r="F137" i="10"/>
  <c r="F152" i="10" s="1"/>
  <c r="F8" i="11"/>
  <c r="F301" i="11"/>
  <c r="H146" i="11"/>
  <c r="N132" i="10"/>
  <c r="N112" i="10"/>
  <c r="H87" i="11"/>
  <c r="I133" i="10"/>
  <c r="I148" i="10" s="1"/>
  <c r="E134" i="10"/>
  <c r="E149" i="10" s="1"/>
  <c r="H40" i="11"/>
  <c r="H257" i="11"/>
  <c r="H163" i="11"/>
  <c r="O137" i="10"/>
  <c r="O152" i="10" s="1"/>
  <c r="H116" i="11"/>
  <c r="H69" i="11"/>
  <c r="H22" i="11"/>
  <c r="C140" i="10"/>
  <c r="C155" i="10" s="1"/>
  <c r="H286" i="11"/>
  <c r="H239" i="11"/>
  <c r="M143" i="10"/>
  <c r="M158" i="10" s="1"/>
  <c r="H145" i="11"/>
  <c r="J80" i="9"/>
  <c r="B77" i="11"/>
  <c r="H119" i="10"/>
  <c r="G14" i="9"/>
  <c r="M73" i="9"/>
  <c r="B28" i="11"/>
  <c r="D118" i="10"/>
  <c r="H76" i="9"/>
  <c r="AQ22" i="9"/>
  <c r="AW29" i="9"/>
  <c r="C38" i="9"/>
  <c r="E74" i="9"/>
  <c r="H125" i="10"/>
  <c r="B83" i="11"/>
  <c r="N72" i="9"/>
  <c r="N82" i="9"/>
  <c r="M83" i="9"/>
  <c r="AB104" i="9"/>
  <c r="G115" i="9"/>
  <c r="P7" i="10"/>
  <c r="K126" i="10"/>
  <c r="B120" i="11"/>
  <c r="F208" i="11"/>
  <c r="S80" i="10"/>
  <c r="F161" i="11"/>
  <c r="O135" i="10"/>
  <c r="O150" i="10" s="1"/>
  <c r="G268" i="11"/>
  <c r="X96" i="10"/>
  <c r="Z112" i="10"/>
  <c r="B102" i="11"/>
  <c r="J120" i="10"/>
  <c r="C109" i="9"/>
  <c r="E2" i="11"/>
  <c r="B64" i="10"/>
  <c r="E266" i="11"/>
  <c r="X64" i="10"/>
  <c r="B80" i="10"/>
  <c r="K96" i="10"/>
  <c r="G110" i="11"/>
  <c r="H170" i="11"/>
  <c r="K133" i="10"/>
  <c r="K148" i="10" s="1"/>
  <c r="H111" i="11"/>
  <c r="G134" i="10"/>
  <c r="G149" i="10" s="1"/>
  <c r="H64" i="11"/>
  <c r="H17" i="11"/>
  <c r="H281" i="11"/>
  <c r="H234" i="11"/>
  <c r="H187" i="11"/>
  <c r="M138" i="10"/>
  <c r="M153" i="10" s="1"/>
  <c r="H140" i="11"/>
  <c r="H93" i="11"/>
  <c r="I139" i="10"/>
  <c r="I154" i="10" s="1"/>
  <c r="E140" i="10"/>
  <c r="E155" i="10" s="1"/>
  <c r="H46" i="11"/>
  <c r="H263" i="11"/>
  <c r="H216" i="11"/>
  <c r="H169" i="11"/>
  <c r="AA112" i="10"/>
  <c r="D146" i="11"/>
  <c r="N48" i="10"/>
  <c r="B2" i="11"/>
  <c r="B116" i="10"/>
  <c r="O68" i="9"/>
  <c r="L127" i="10"/>
  <c r="B133" i="11"/>
  <c r="C50" i="11"/>
  <c r="F32" i="10"/>
  <c r="AM21" i="9"/>
  <c r="J48" i="9"/>
  <c r="O10" i="10"/>
  <c r="O78" i="9"/>
  <c r="M74" i="9"/>
  <c r="E76" i="9"/>
  <c r="B154" i="11"/>
  <c r="N124" i="10"/>
  <c r="C62" i="11"/>
  <c r="G32" i="10"/>
  <c r="D254" i="11"/>
  <c r="F279" i="11"/>
  <c r="Y80" i="10"/>
  <c r="F232" i="11"/>
  <c r="C80" i="10"/>
  <c r="T96" i="10"/>
  <c r="B22" i="11"/>
  <c r="C124" i="10"/>
  <c r="J119" i="10"/>
  <c r="B54" i="11"/>
  <c r="B94" i="11"/>
  <c r="I124" i="10"/>
  <c r="R64" i="10"/>
  <c r="J139" i="10"/>
  <c r="J154" i="10" s="1"/>
  <c r="G141" i="13"/>
  <c r="BJ24" i="13"/>
  <c r="AC229" i="13"/>
  <c r="AC141" i="13"/>
  <c r="E158" i="11"/>
  <c r="E99" i="11"/>
  <c r="J64" i="10"/>
  <c r="M133" i="10"/>
  <c r="M148" i="10" s="1"/>
  <c r="D206" i="11"/>
  <c r="G258" i="11"/>
  <c r="G287" i="11"/>
  <c r="G193" i="11"/>
  <c r="H218" i="11"/>
  <c r="T112" i="10"/>
  <c r="H159" i="11"/>
  <c r="O133" i="10"/>
  <c r="O148" i="10" s="1"/>
  <c r="H65" i="11"/>
  <c r="H282" i="11"/>
  <c r="H235" i="11"/>
  <c r="H141" i="11"/>
  <c r="H47" i="11"/>
  <c r="BP19" i="13"/>
  <c r="M136" i="13"/>
  <c r="M51" i="13"/>
  <c r="AW3" i="13"/>
  <c r="AZ3" i="13" s="1"/>
  <c r="AT3" i="13"/>
  <c r="M15" i="13"/>
  <c r="AI224" i="13"/>
  <c r="AI51" i="13"/>
  <c r="AI15" i="13"/>
  <c r="AI169" i="13" s="1"/>
  <c r="C80" i="9"/>
  <c r="B161" i="11"/>
  <c r="O119" i="10"/>
  <c r="C74" i="11"/>
  <c r="H32" i="10"/>
  <c r="B101" i="11"/>
  <c r="D147" i="13"/>
  <c r="D130" i="13"/>
  <c r="D164" i="13" s="1"/>
  <c r="BG30" i="13"/>
  <c r="BG32" i="13" s="1"/>
  <c r="D54" i="13"/>
  <c r="Z235" i="13"/>
  <c r="Z147" i="13"/>
  <c r="Z130" i="13"/>
  <c r="Z164" i="13" s="1"/>
  <c r="G54" i="11"/>
  <c r="H188" i="11"/>
  <c r="F242" i="11"/>
  <c r="V80" i="10"/>
  <c r="G183" i="11"/>
  <c r="G136" i="11"/>
  <c r="M134" i="10"/>
  <c r="M149" i="10" s="1"/>
  <c r="G89" i="11"/>
  <c r="G165" i="11"/>
  <c r="K140" i="10"/>
  <c r="K155" i="10" s="1"/>
  <c r="G118" i="11"/>
  <c r="G71" i="11"/>
  <c r="G141" i="10"/>
  <c r="G156" i="10" s="1"/>
  <c r="G24" i="11"/>
  <c r="G241" i="11"/>
  <c r="G130" i="11"/>
  <c r="G83" i="11"/>
  <c r="H141" i="10"/>
  <c r="H156" i="10" s="1"/>
  <c r="L135" i="10"/>
  <c r="L150" i="10" s="1"/>
  <c r="G195" i="11"/>
  <c r="G148" i="11"/>
  <c r="G7" i="11"/>
  <c r="B137" i="10"/>
  <c r="B152" i="10" s="1"/>
  <c r="B73" i="11"/>
  <c r="G127" i="10"/>
  <c r="G83" i="9"/>
  <c r="E122" i="10"/>
  <c r="B44" i="11"/>
  <c r="C134" i="11"/>
  <c r="M32" i="10"/>
  <c r="E254" i="11"/>
  <c r="W64" i="10"/>
  <c r="W96" i="10"/>
  <c r="G113" i="11"/>
  <c r="K135" i="10"/>
  <c r="K150" i="10" s="1"/>
  <c r="G189" i="11"/>
  <c r="G2" i="11"/>
  <c r="B96" i="10"/>
  <c r="F120" i="10"/>
  <c r="E14" i="11"/>
  <c r="C64" i="10"/>
  <c r="E278" i="11"/>
  <c r="Y64" i="10"/>
  <c r="G14" i="11"/>
  <c r="C96" i="10"/>
  <c r="G278" i="11"/>
  <c r="Y96" i="10"/>
  <c r="H50" i="11"/>
  <c r="F112" i="10"/>
  <c r="H208" i="11"/>
  <c r="H67" i="11"/>
  <c r="G137" i="10"/>
  <c r="G152" i="10" s="1"/>
  <c r="H20" i="11"/>
  <c r="C138" i="10"/>
  <c r="C153" i="10" s="1"/>
  <c r="H284" i="11"/>
  <c r="H237" i="11"/>
  <c r="H190" i="11"/>
  <c r="K136" i="10"/>
  <c r="K151" i="10" s="1"/>
  <c r="G140" i="10"/>
  <c r="G155" i="10" s="1"/>
  <c r="D170" i="11"/>
  <c r="F158" i="11"/>
  <c r="O80" i="10"/>
  <c r="D132" i="10"/>
  <c r="G26" i="11"/>
  <c r="E137" i="10"/>
  <c r="E152" i="10" s="1"/>
  <c r="C143" i="10"/>
  <c r="C158" i="10" s="1"/>
  <c r="H230" i="11"/>
  <c r="U112" i="10"/>
  <c r="H171" i="11"/>
  <c r="H30" i="11"/>
  <c r="D136" i="10"/>
  <c r="D151" i="10" s="1"/>
  <c r="H294" i="11"/>
  <c r="H200" i="11"/>
  <c r="H153" i="11"/>
  <c r="H12" i="11"/>
  <c r="B142" i="10"/>
  <c r="B157" i="10" s="1"/>
  <c r="F141" i="10"/>
  <c r="F156" i="10" s="1"/>
  <c r="D143" i="10"/>
  <c r="D158" i="10" s="1"/>
  <c r="H31" i="11"/>
  <c r="P137" i="13"/>
  <c r="B63" i="12"/>
  <c r="P15" i="13"/>
  <c r="B141" i="10"/>
  <c r="B156" i="10" s="1"/>
  <c r="F275" i="11"/>
  <c r="G50" i="11"/>
  <c r="F96" i="10"/>
  <c r="H135" i="10"/>
  <c r="H150" i="10" s="1"/>
  <c r="G96" i="10"/>
  <c r="H2" i="11"/>
  <c r="H266" i="11"/>
  <c r="G136" i="10"/>
  <c r="G151" i="10" s="1"/>
  <c r="H66" i="11"/>
  <c r="M140" i="10"/>
  <c r="M155" i="10" s="1"/>
  <c r="H265" i="11"/>
  <c r="I141" i="10"/>
  <c r="I156" i="10" s="1"/>
  <c r="N78" i="16"/>
  <c r="N62" i="16" s="1"/>
  <c r="CM30" i="13"/>
  <c r="AZ30" i="13"/>
  <c r="AS30" i="13"/>
  <c r="BA19" i="13"/>
  <c r="G74" i="11"/>
  <c r="G185" i="11"/>
  <c r="G44" i="11"/>
  <c r="E138" i="10"/>
  <c r="E153" i="10" s="1"/>
  <c r="G261" i="11"/>
  <c r="G214" i="11"/>
  <c r="G167" i="11"/>
  <c r="G120" i="11"/>
  <c r="K142" i="10"/>
  <c r="K157" i="10" s="1"/>
  <c r="G73" i="11"/>
  <c r="G143" i="10"/>
  <c r="G158" i="10" s="1"/>
  <c r="H14" i="11"/>
  <c r="C112" i="10"/>
  <c r="C132" i="10"/>
  <c r="C147" i="10" s="1"/>
  <c r="Y112" i="10"/>
  <c r="H278" i="11"/>
  <c r="H219" i="11"/>
  <c r="H172" i="11"/>
  <c r="H136" i="10"/>
  <c r="H151" i="10" s="1"/>
  <c r="H78" i="11"/>
  <c r="H295" i="11"/>
  <c r="H201" i="11"/>
  <c r="N140" i="10"/>
  <c r="N155" i="10" s="1"/>
  <c r="H154" i="11"/>
  <c r="H60" i="11"/>
  <c r="B143" i="10"/>
  <c r="B158" i="10" s="1"/>
  <c r="J141" i="10"/>
  <c r="J156" i="10" s="1"/>
  <c r="F218" i="11"/>
  <c r="T80" i="10"/>
  <c r="P80" i="10"/>
  <c r="E96" i="10"/>
  <c r="N137" i="10"/>
  <c r="N152" i="10" s="1"/>
  <c r="C139" i="10"/>
  <c r="C154" i="10" s="1"/>
  <c r="G64" i="10"/>
  <c r="Q80" i="10"/>
  <c r="H96" i="10"/>
  <c r="H196" i="11"/>
  <c r="R112" i="10"/>
  <c r="J136" i="10"/>
  <c r="J151" i="10" s="1"/>
  <c r="H102" i="11"/>
  <c r="H178" i="11"/>
  <c r="M135" i="10"/>
  <c r="M150" i="10" s="1"/>
  <c r="G91" i="11"/>
  <c r="H96" i="11"/>
  <c r="E143" i="10"/>
  <c r="E158" i="10" s="1"/>
  <c r="M73" i="16"/>
  <c r="M57" i="16" s="1"/>
  <c r="AR25" i="13"/>
  <c r="CL25" i="13"/>
  <c r="R25" i="13"/>
  <c r="U80" i="10"/>
  <c r="C48" i="10"/>
  <c r="K64" i="10"/>
  <c r="M96" i="10"/>
  <c r="H86" i="11"/>
  <c r="I112" i="10"/>
  <c r="H27" i="11"/>
  <c r="H291" i="11"/>
  <c r="H244" i="11"/>
  <c r="H197" i="11"/>
  <c r="H56" i="11"/>
  <c r="F138" i="10"/>
  <c r="F153" i="10" s="1"/>
  <c r="H226" i="11"/>
  <c r="L142" i="10"/>
  <c r="L157" i="10" s="1"/>
  <c r="H85" i="11"/>
  <c r="H143" i="10"/>
  <c r="H158" i="10" s="1"/>
  <c r="E112" i="10"/>
  <c r="BZ18" i="13"/>
  <c r="D48" i="10"/>
  <c r="L64" i="10"/>
  <c r="F72" i="11"/>
  <c r="G142" i="10"/>
  <c r="G157" i="10" s="1"/>
  <c r="N96" i="10"/>
  <c r="H98" i="11"/>
  <c r="J112" i="10"/>
  <c r="H115" i="11"/>
  <c r="G138" i="10"/>
  <c r="G153" i="10" s="1"/>
  <c r="H68" i="11"/>
  <c r="H238" i="11"/>
  <c r="H191" i="11"/>
  <c r="I143" i="10"/>
  <c r="I158" i="10" s="1"/>
  <c r="H132" i="11"/>
  <c r="H139" i="11"/>
  <c r="M137" i="10"/>
  <c r="M152" i="10" s="1"/>
  <c r="H92" i="11"/>
  <c r="I138" i="10"/>
  <c r="I153" i="10" s="1"/>
  <c r="E139" i="10"/>
  <c r="E154" i="10" s="1"/>
  <c r="N140" i="13"/>
  <c r="AS7" i="13"/>
  <c r="BQ23" i="13"/>
  <c r="B42" i="12"/>
  <c r="AJ123" i="13"/>
  <c r="AJ15" i="13"/>
  <c r="H274" i="11"/>
  <c r="H180" i="11"/>
  <c r="F139" i="10"/>
  <c r="F154" i="10" s="1"/>
  <c r="K68" i="16"/>
  <c r="K52" i="16" s="1"/>
  <c r="BD20" i="13"/>
  <c r="G147" i="13"/>
  <c r="BJ30" i="13"/>
  <c r="AC235" i="13"/>
  <c r="AC147" i="13"/>
  <c r="AC130" i="13"/>
  <c r="AC164" i="13" s="1"/>
  <c r="G119" i="11"/>
  <c r="O132" i="10"/>
  <c r="O147" i="10" s="1"/>
  <c r="H158" i="11"/>
  <c r="J133" i="10"/>
  <c r="J148" i="10" s="1"/>
  <c r="H52" i="11"/>
  <c r="H5" i="11"/>
  <c r="H269" i="11"/>
  <c r="H222" i="11"/>
  <c r="H175" i="11"/>
  <c r="L138" i="10"/>
  <c r="L153" i="10" s="1"/>
  <c r="H128" i="11"/>
  <c r="H139" i="10"/>
  <c r="H154" i="10" s="1"/>
  <c r="H81" i="11"/>
  <c r="D140" i="10"/>
  <c r="D155" i="10" s="1"/>
  <c r="H298" i="11"/>
  <c r="N143" i="10"/>
  <c r="N158" i="10" s="1"/>
  <c r="H157" i="11"/>
  <c r="G62" i="11"/>
  <c r="U227" i="13"/>
  <c r="U139" i="13"/>
  <c r="U52" i="13"/>
  <c r="P143" i="13"/>
  <c r="P126" i="13"/>
  <c r="AL126" i="13"/>
  <c r="H235" i="13"/>
  <c r="H147" i="13"/>
  <c r="BK30" i="13"/>
  <c r="H130" i="13"/>
  <c r="H164" i="13" s="1"/>
  <c r="AD235" i="13"/>
  <c r="AL15" i="13"/>
  <c r="AL169" i="13" s="1"/>
  <c r="H180" i="13"/>
  <c r="H197" i="13" s="1"/>
  <c r="BV40" i="13"/>
  <c r="V227" i="13"/>
  <c r="V139" i="13"/>
  <c r="V52" i="13"/>
  <c r="Q143" i="13"/>
  <c r="Q126" i="13"/>
  <c r="AM126" i="13"/>
  <c r="P144" i="13"/>
  <c r="B70" i="12"/>
  <c r="M145" i="13"/>
  <c r="M54" i="13"/>
  <c r="AT12" i="13"/>
  <c r="BP28" i="13"/>
  <c r="B35" i="12"/>
  <c r="AW12" i="13"/>
  <c r="AI233" i="13"/>
  <c r="AI54" i="13"/>
  <c r="J71" i="16"/>
  <c r="J55" i="16" s="1"/>
  <c r="BB23" i="13"/>
  <c r="I180" i="13"/>
  <c r="I197" i="13" s="1"/>
  <c r="BW40" i="13"/>
  <c r="Q112" i="10"/>
  <c r="N138" i="10"/>
  <c r="N153" i="10" s="1"/>
  <c r="L143" i="10"/>
  <c r="L158" i="10" s="1"/>
  <c r="W227" i="13"/>
  <c r="W139" i="13"/>
  <c r="W52" i="13"/>
  <c r="R231" i="13"/>
  <c r="R143" i="13"/>
  <c r="R26" i="13"/>
  <c r="S26" i="13" s="1"/>
  <c r="T26" i="13" s="1"/>
  <c r="AN231" i="13"/>
  <c r="AN15" i="13"/>
  <c r="AN169" i="13" s="1"/>
  <c r="K146" i="13"/>
  <c r="K234" i="13"/>
  <c r="AW13" i="13"/>
  <c r="BN29" i="13"/>
  <c r="B12" i="12"/>
  <c r="AG234" i="13"/>
  <c r="AG129" i="13"/>
  <c r="AG163" i="13" s="1"/>
  <c r="S175" i="13"/>
  <c r="S47" i="13"/>
  <c r="AO47" i="13"/>
  <c r="O179" i="13"/>
  <c r="O196" i="13" s="1"/>
  <c r="CC39" i="13"/>
  <c r="AR39" i="13"/>
  <c r="BC39" i="13"/>
  <c r="Z96" i="10"/>
  <c r="H41" i="11"/>
  <c r="H117" i="11"/>
  <c r="O112" i="10"/>
  <c r="F136" i="13"/>
  <c r="F224" i="13"/>
  <c r="F51" i="13"/>
  <c r="BI19" i="13"/>
  <c r="F15" i="13"/>
  <c r="AB136" i="13"/>
  <c r="AB51" i="13"/>
  <c r="AB224" i="13"/>
  <c r="AB15" i="13"/>
  <c r="T175" i="13"/>
  <c r="T47" i="13"/>
  <c r="AP175" i="13"/>
  <c r="AP47" i="13"/>
  <c r="G136" i="13"/>
  <c r="G224" i="13"/>
  <c r="G51" i="13"/>
  <c r="BJ19" i="13"/>
  <c r="AC136" i="13"/>
  <c r="AC224" i="13"/>
  <c r="AC51" i="13"/>
  <c r="AC15" i="13"/>
  <c r="V142" i="13"/>
  <c r="V125" i="13"/>
  <c r="V159" i="13" s="1"/>
  <c r="V53" i="13"/>
  <c r="V230" i="13"/>
  <c r="M176" i="13"/>
  <c r="M193" i="13" s="1"/>
  <c r="CA36" i="13"/>
  <c r="AT36" i="13"/>
  <c r="H217" i="11"/>
  <c r="B81" i="12"/>
  <c r="H136" i="13"/>
  <c r="BK19" i="13"/>
  <c r="H51" i="13"/>
  <c r="H15" i="13"/>
  <c r="AD224" i="13"/>
  <c r="AD51" i="13"/>
  <c r="AD15" i="13"/>
  <c r="H225" i="13"/>
  <c r="H137" i="13"/>
  <c r="BK20" i="13"/>
  <c r="AD120" i="13"/>
  <c r="AD154" i="13" s="1"/>
  <c r="W142" i="13"/>
  <c r="W230" i="13"/>
  <c r="W53" i="13"/>
  <c r="T232" i="13"/>
  <c r="T144" i="13"/>
  <c r="T127" i="13"/>
  <c r="T161" i="13" s="1"/>
  <c r="AP232" i="13"/>
  <c r="AP127" i="13"/>
  <c r="AP161" i="13" s="1"/>
  <c r="Q145" i="13"/>
  <c r="Q233" i="13"/>
  <c r="Q54" i="13"/>
  <c r="B83" i="12"/>
  <c r="AM54" i="13"/>
  <c r="V175" i="13"/>
  <c r="V47" i="13"/>
  <c r="V231" i="13"/>
  <c r="V143" i="13"/>
  <c r="N147" i="13"/>
  <c r="B49" i="12"/>
  <c r="AS14" i="13"/>
  <c r="BQ30" i="13"/>
  <c r="BC30" i="13"/>
  <c r="AW14" i="13"/>
  <c r="AZ14" i="13" s="1"/>
  <c r="N75" i="16"/>
  <c r="N59" i="16" s="1"/>
  <c r="AS27" i="13"/>
  <c r="CM27" i="13"/>
  <c r="O75" i="16"/>
  <c r="O59" i="16" s="1"/>
  <c r="CN27" i="13"/>
  <c r="BC27" i="13"/>
  <c r="BA27" i="13"/>
  <c r="AZ27" i="13"/>
  <c r="AT27" i="13"/>
  <c r="L96" i="10"/>
  <c r="G122" i="11"/>
  <c r="J135" i="10"/>
  <c r="J150" i="10" s="1"/>
  <c r="H177" i="11"/>
  <c r="H36" i="11"/>
  <c r="V112" i="10"/>
  <c r="E136" i="10"/>
  <c r="E151" i="10" s="1"/>
  <c r="B69" i="12"/>
  <c r="D230" i="13"/>
  <c r="D142" i="13"/>
  <c r="BG25" i="13"/>
  <c r="D53" i="13"/>
  <c r="D15" i="13"/>
  <c r="Z230" i="13"/>
  <c r="Z142" i="13"/>
  <c r="Z53" i="13"/>
  <c r="M78" i="16"/>
  <c r="M62" i="16" s="1"/>
  <c r="CL30" i="13"/>
  <c r="AR30" i="13"/>
  <c r="R30" i="13"/>
  <c r="H228" i="13"/>
  <c r="H23" i="16"/>
  <c r="H39" i="16" s="1"/>
  <c r="H123" i="13"/>
  <c r="H157" i="13" s="1"/>
  <c r="H140" i="13"/>
  <c r="BK23" i="13"/>
  <c r="G67" i="16"/>
  <c r="G31" i="13"/>
  <c r="H67" i="16"/>
  <c r="H31" i="13"/>
  <c r="BB19" i="13"/>
  <c r="N69" i="16"/>
  <c r="N53" i="16" s="1"/>
  <c r="AS21" i="13"/>
  <c r="CM21" i="13"/>
  <c r="O71" i="16"/>
  <c r="O55" i="16" s="1"/>
  <c r="BA23" i="13"/>
  <c r="AT23" i="13"/>
  <c r="CN23" i="13"/>
  <c r="BC23" i="13"/>
  <c r="AZ23" i="13"/>
  <c r="Q227" i="13"/>
  <c r="Q139" i="13"/>
  <c r="Q52" i="13"/>
  <c r="BG52" i="13" s="1"/>
  <c r="Q122" i="13"/>
  <c r="B77" i="12"/>
  <c r="AM52" i="13"/>
  <c r="AM122" i="13"/>
  <c r="AM15" i="13"/>
  <c r="AM169" i="13" s="1"/>
  <c r="M140" i="13"/>
  <c r="B30" i="12"/>
  <c r="BP23" i="13"/>
  <c r="AT7" i="13"/>
  <c r="AI228" i="13"/>
  <c r="AI123" i="13"/>
  <c r="AI157" i="13" s="1"/>
  <c r="C147" i="13"/>
  <c r="BF30" i="13"/>
  <c r="BD30" i="13"/>
  <c r="C130" i="13"/>
  <c r="C164" i="13" s="1"/>
  <c r="C54" i="13"/>
  <c r="Y235" i="13"/>
  <c r="Y147" i="13"/>
  <c r="O69" i="16"/>
  <c r="O53" i="16" s="1"/>
  <c r="BC21" i="13"/>
  <c r="CN21" i="13"/>
  <c r="BA21" i="13"/>
  <c r="AZ21" i="13"/>
  <c r="BA22" i="13"/>
  <c r="AT21" i="13"/>
  <c r="D73" i="16"/>
  <c r="D57" i="16" s="1"/>
  <c r="BD25" i="13"/>
  <c r="D137" i="13"/>
  <c r="BG20" i="13"/>
  <c r="Z137" i="13"/>
  <c r="Z120" i="13"/>
  <c r="Z154" i="13" s="1"/>
  <c r="O140" i="13"/>
  <c r="BB7" i="13"/>
  <c r="BC7" i="13" s="1"/>
  <c r="B54" i="12"/>
  <c r="AR7" i="13"/>
  <c r="BR23" i="13"/>
  <c r="G146" i="13"/>
  <c r="BJ29" i="13"/>
  <c r="G129" i="13"/>
  <c r="G163" i="13" s="1"/>
  <c r="AC234" i="13"/>
  <c r="AC146" i="13"/>
  <c r="AC129" i="13"/>
  <c r="AC163" i="13" s="1"/>
  <c r="BS40" i="13"/>
  <c r="E136" i="13"/>
  <c r="E51" i="13"/>
  <c r="BH19" i="13"/>
  <c r="E15" i="13"/>
  <c r="AA136" i="13"/>
  <c r="AA51" i="13"/>
  <c r="AA224" i="13"/>
  <c r="AA15" i="13"/>
  <c r="E137" i="13"/>
  <c r="E120" i="13"/>
  <c r="E154" i="13" s="1"/>
  <c r="BH20" i="13"/>
  <c r="AA225" i="13"/>
  <c r="AA137" i="13"/>
  <c r="W226" i="13"/>
  <c r="W138" i="13"/>
  <c r="T227" i="13"/>
  <c r="T139" i="13"/>
  <c r="T52" i="13"/>
  <c r="AP227" i="13"/>
  <c r="AP52" i="13"/>
  <c r="P123" i="13"/>
  <c r="P140" i="13"/>
  <c r="P52" i="13"/>
  <c r="B66" i="12"/>
  <c r="AL123" i="13"/>
  <c r="J76" i="16"/>
  <c r="J60" i="16" s="1"/>
  <c r="BB28" i="13"/>
  <c r="F180" i="13"/>
  <c r="BT40" i="13"/>
  <c r="H21" i="16"/>
  <c r="H37" i="16" s="1"/>
  <c r="H226" i="13"/>
  <c r="H138" i="13"/>
  <c r="AD226" i="13"/>
  <c r="AD121" i="13"/>
  <c r="AD155" i="13" s="1"/>
  <c r="E52" i="13"/>
  <c r="E122" i="13"/>
  <c r="E156" i="13" s="1"/>
  <c r="AA139" i="13"/>
  <c r="AA227" i="13"/>
  <c r="AA52" i="13"/>
  <c r="T231" i="13"/>
  <c r="T143" i="13"/>
  <c r="AP231" i="13"/>
  <c r="AP126" i="13"/>
  <c r="AP160" i="13" s="1"/>
  <c r="L146" i="13"/>
  <c r="L234" i="13"/>
  <c r="AU13" i="13"/>
  <c r="B24" i="12"/>
  <c r="AH234" i="13"/>
  <c r="AH129" i="13"/>
  <c r="AH163" i="13" s="1"/>
  <c r="W175" i="13"/>
  <c r="W47" i="13"/>
  <c r="N26" i="16"/>
  <c r="N42" i="16" s="1"/>
  <c r="BB56" i="14"/>
  <c r="N231" i="13"/>
  <c r="C142" i="13"/>
  <c r="BF25" i="13"/>
  <c r="C53" i="13"/>
  <c r="Y230" i="13"/>
  <c r="Y53" i="13"/>
  <c r="Y142" i="13"/>
  <c r="L67" i="16"/>
  <c r="L31" i="13"/>
  <c r="K15" i="13"/>
  <c r="F141" i="13"/>
  <c r="AB141" i="13"/>
  <c r="AB229" i="13"/>
  <c r="E230" i="13"/>
  <c r="E142" i="13"/>
  <c r="E53" i="13"/>
  <c r="U232" i="13"/>
  <c r="U144" i="13"/>
  <c r="R233" i="13"/>
  <c r="R145" i="13"/>
  <c r="R54" i="13"/>
  <c r="R28" i="13"/>
  <c r="AN233" i="13"/>
  <c r="AN54" i="13"/>
  <c r="AN128" i="13"/>
  <c r="AN162" i="13" s="1"/>
  <c r="N67" i="16"/>
  <c r="CM19" i="13"/>
  <c r="J72" i="16"/>
  <c r="J56" i="16" s="1"/>
  <c r="BB24" i="13"/>
  <c r="H24" i="16"/>
  <c r="H40" i="16" s="1"/>
  <c r="H229" i="13"/>
  <c r="H124" i="13"/>
  <c r="H158" i="13" s="1"/>
  <c r="H141" i="13"/>
  <c r="BK24" i="13"/>
  <c r="AD229" i="13"/>
  <c r="AD124" i="13"/>
  <c r="AD158" i="13" s="1"/>
  <c r="G142" i="13"/>
  <c r="BJ25" i="13"/>
  <c r="G53" i="13"/>
  <c r="AW53" i="13" s="1"/>
  <c r="AC230" i="13"/>
  <c r="AC142" i="13"/>
  <c r="AC53" i="13"/>
  <c r="BB25" i="13"/>
  <c r="I141" i="13"/>
  <c r="AE229" i="13"/>
  <c r="AE124" i="13"/>
  <c r="AE158" i="13" s="1"/>
  <c r="B144" i="13"/>
  <c r="B232" i="13"/>
  <c r="B127" i="13"/>
  <c r="B161" i="13" s="1"/>
  <c r="B53" i="13"/>
  <c r="X144" i="13"/>
  <c r="X232" i="13"/>
  <c r="M70" i="16"/>
  <c r="M54" i="16" s="1"/>
  <c r="CL22" i="13"/>
  <c r="R22" i="13"/>
  <c r="AR22" i="13"/>
  <c r="AD228" i="13"/>
  <c r="J141" i="13"/>
  <c r="BM24" i="13"/>
  <c r="AW8" i="13"/>
  <c r="AF229" i="13"/>
  <c r="CB18" i="13"/>
  <c r="N72" i="16"/>
  <c r="N56" i="16" s="1"/>
  <c r="AZ24" i="13"/>
  <c r="AS24" i="13"/>
  <c r="W224" i="13"/>
  <c r="W136" i="13"/>
  <c r="W15" i="13"/>
  <c r="W119" i="13"/>
  <c r="W51" i="13"/>
  <c r="T225" i="13"/>
  <c r="T120" i="13"/>
  <c r="T154" i="13" s="1"/>
  <c r="T137" i="13"/>
  <c r="T51" i="13"/>
  <c r="T15" i="13"/>
  <c r="AP225" i="13"/>
  <c r="AP15" i="13"/>
  <c r="AP169" i="13" s="1"/>
  <c r="BP22" i="13"/>
  <c r="M52" i="13"/>
  <c r="B29" i="12"/>
  <c r="M122" i="13"/>
  <c r="AW6" i="13"/>
  <c r="M139" i="13"/>
  <c r="AI227" i="13"/>
  <c r="AI52" i="13"/>
  <c r="I140" i="13"/>
  <c r="AE228" i="13"/>
  <c r="CC18" i="13"/>
  <c r="BH25" i="13"/>
  <c r="P74" i="16"/>
  <c r="U225" i="13"/>
  <c r="U120" i="13"/>
  <c r="U154" i="13" s="1"/>
  <c r="U137" i="13"/>
  <c r="U51" i="13"/>
  <c r="U15" i="13"/>
  <c r="L24" i="16"/>
  <c r="L40" i="16" s="1"/>
  <c r="L141" i="13"/>
  <c r="B19" i="12"/>
  <c r="BO24" i="13"/>
  <c r="AU8" i="13"/>
  <c r="AH229" i="13"/>
  <c r="B233" i="13"/>
  <c r="B145" i="13"/>
  <c r="B54" i="13"/>
  <c r="X233" i="13"/>
  <c r="X145" i="13"/>
  <c r="X54" i="13"/>
  <c r="H185" i="13"/>
  <c r="H202" i="13" s="1"/>
  <c r="BV45" i="13"/>
  <c r="V225" i="13"/>
  <c r="V137" i="13"/>
  <c r="N106" i="14"/>
  <c r="M24" i="16"/>
  <c r="M40" i="16" s="1"/>
  <c r="M229" i="13"/>
  <c r="M141" i="13"/>
  <c r="AT8" i="13"/>
  <c r="B31" i="12"/>
  <c r="BP24" i="13"/>
  <c r="AI229" i="13"/>
  <c r="M77" i="16"/>
  <c r="M61" i="16" s="1"/>
  <c r="CL29" i="13"/>
  <c r="AR29" i="13"/>
  <c r="AU29" i="13" s="1"/>
  <c r="R29" i="13"/>
  <c r="Z15" i="13"/>
  <c r="S226" i="13"/>
  <c r="S138" i="13"/>
  <c r="AO226" i="13"/>
  <c r="AL52" i="13"/>
  <c r="AU7" i="13"/>
  <c r="B18" i="12"/>
  <c r="L140" i="13"/>
  <c r="BO23" i="13"/>
  <c r="AW7" i="13"/>
  <c r="AZ7" i="13" s="1"/>
  <c r="AH228" i="13"/>
  <c r="AH123" i="13"/>
  <c r="AH157" i="13" s="1"/>
  <c r="N141" i="13"/>
  <c r="N124" i="13"/>
  <c r="AS8" i="13"/>
  <c r="BC24" i="13"/>
  <c r="F31" i="13"/>
  <c r="J185" i="13"/>
  <c r="J202" i="13" s="1"/>
  <c r="AW45" i="13"/>
  <c r="AA230" i="13"/>
  <c r="AA142" i="13"/>
  <c r="AA53" i="13"/>
  <c r="U231" i="13"/>
  <c r="U143" i="13"/>
  <c r="M72" i="16"/>
  <c r="M56" i="16" s="1"/>
  <c r="AR24" i="13"/>
  <c r="R24" i="13"/>
  <c r="CL24" i="13"/>
  <c r="E76" i="16"/>
  <c r="E60" i="16" s="1"/>
  <c r="BD28" i="13"/>
  <c r="O31" i="13"/>
  <c r="B175" i="13"/>
  <c r="B47" i="13"/>
  <c r="BP47" i="13" s="1"/>
  <c r="BP35" i="13"/>
  <c r="X175" i="13"/>
  <c r="X47" i="13"/>
  <c r="G180" i="13"/>
  <c r="G197" i="13" s="1"/>
  <c r="G214" i="13" s="1"/>
  <c r="BU40" i="13"/>
  <c r="B4" i="12"/>
  <c r="B16" i="12"/>
  <c r="I225" i="13"/>
  <c r="I137" i="13"/>
  <c r="E226" i="13"/>
  <c r="E21" i="16"/>
  <c r="E37" i="16" s="1"/>
  <c r="E138" i="13"/>
  <c r="BH21" i="13"/>
  <c r="AA226" i="13"/>
  <c r="AA138" i="13"/>
  <c r="B139" i="13"/>
  <c r="B227" i="13"/>
  <c r="B52" i="13"/>
  <c r="X139" i="13"/>
  <c r="X227" i="13"/>
  <c r="X52" i="13"/>
  <c r="Q228" i="13"/>
  <c r="Q140" i="13"/>
  <c r="P229" i="13"/>
  <c r="P141" i="13"/>
  <c r="K53" i="13"/>
  <c r="E143" i="13"/>
  <c r="BH26" i="13"/>
  <c r="AA231" i="13"/>
  <c r="AA143" i="13"/>
  <c r="C144" i="13"/>
  <c r="BF27" i="13"/>
  <c r="Y232" i="13"/>
  <c r="Y144" i="13"/>
  <c r="U233" i="13"/>
  <c r="U145" i="13"/>
  <c r="U54" i="13"/>
  <c r="O146" i="13"/>
  <c r="BB13" i="13"/>
  <c r="BC13" i="13" s="1"/>
  <c r="K235" i="13"/>
  <c r="K147" i="13"/>
  <c r="AG235" i="13"/>
  <c r="AG130" i="13"/>
  <c r="AG164" i="13" s="1"/>
  <c r="BW38" i="13"/>
  <c r="M180" i="13"/>
  <c r="M197" i="13" s="1"/>
  <c r="CA40" i="13"/>
  <c r="AW40" i="13"/>
  <c r="AT40" i="13"/>
  <c r="K185" i="13"/>
  <c r="K202" i="13" s="1"/>
  <c r="BY45" i="13"/>
  <c r="Q224" i="13"/>
  <c r="Q136" i="13"/>
  <c r="Q51" i="13"/>
  <c r="B74" i="12"/>
  <c r="Q15" i="13"/>
  <c r="AM51" i="13"/>
  <c r="F21" i="16"/>
  <c r="F37" i="16" s="1"/>
  <c r="F138" i="13"/>
  <c r="C227" i="13"/>
  <c r="C139" i="13"/>
  <c r="C52" i="13"/>
  <c r="Y139" i="13"/>
  <c r="Y227" i="13"/>
  <c r="Y52" i="13"/>
  <c r="Y122" i="13"/>
  <c r="Y156" i="13" s="1"/>
  <c r="R228" i="13"/>
  <c r="R140" i="13"/>
  <c r="R23" i="13"/>
  <c r="AN228" i="13"/>
  <c r="L142" i="13"/>
  <c r="L53" i="13"/>
  <c r="AU9" i="13"/>
  <c r="B20" i="12"/>
  <c r="BO25" i="13"/>
  <c r="AH230" i="13"/>
  <c r="AH53" i="13"/>
  <c r="F231" i="13"/>
  <c r="F143" i="13"/>
  <c r="AB143" i="13"/>
  <c r="AB231" i="13"/>
  <c r="V233" i="13"/>
  <c r="V145" i="13"/>
  <c r="V54" i="13"/>
  <c r="P146" i="13"/>
  <c r="B72" i="12"/>
  <c r="L147" i="13"/>
  <c r="BO30" i="13"/>
  <c r="AU14" i="13"/>
  <c r="AH235" i="13"/>
  <c r="AH130" i="13"/>
  <c r="AH164" i="13" s="1"/>
  <c r="P67" i="16"/>
  <c r="P31" i="13"/>
  <c r="N177" i="13"/>
  <c r="N194" i="13" s="1"/>
  <c r="CB37" i="13"/>
  <c r="BY38" i="13"/>
  <c r="L185" i="13"/>
  <c r="L202" i="13" s="1"/>
  <c r="AU45" i="13"/>
  <c r="K110" i="13"/>
  <c r="BG63" i="13"/>
  <c r="AX63" i="13"/>
  <c r="K64" i="13"/>
  <c r="B78" i="12"/>
  <c r="G138" i="13"/>
  <c r="G121" i="13"/>
  <c r="G155" i="13" s="1"/>
  <c r="AC226" i="13"/>
  <c r="AC121" i="13"/>
  <c r="AC155" i="13" s="1"/>
  <c r="D139" i="13"/>
  <c r="D52" i="13"/>
  <c r="D122" i="13"/>
  <c r="D156" i="13" s="1"/>
  <c r="BG22" i="13"/>
  <c r="Z227" i="13"/>
  <c r="Z139" i="13"/>
  <c r="Z52" i="13"/>
  <c r="S228" i="13"/>
  <c r="S140" i="13"/>
  <c r="AO228" i="13"/>
  <c r="Q146" i="13"/>
  <c r="Q234" i="13"/>
  <c r="B84" i="12"/>
  <c r="M147" i="13"/>
  <c r="BP30" i="13"/>
  <c r="AT14" i="13"/>
  <c r="B37" i="12"/>
  <c r="AI235" i="13"/>
  <c r="J68" i="16"/>
  <c r="J52" i="16" s="1"/>
  <c r="BB20" i="13"/>
  <c r="G182" i="13"/>
  <c r="G199" i="13" s="1"/>
  <c r="G216" i="13" s="1"/>
  <c r="BU42" i="13"/>
  <c r="M185" i="13"/>
  <c r="M202" i="13" s="1"/>
  <c r="AT45" i="13"/>
  <c r="CA45" i="13"/>
  <c r="K130" i="13"/>
  <c r="K164" i="13" s="1"/>
  <c r="B183" i="13"/>
  <c r="B200" i="13" s="1"/>
  <c r="BP43" i="13"/>
  <c r="AS45" i="13"/>
  <c r="CB45" i="13"/>
  <c r="N185" i="13"/>
  <c r="N202" i="13" s="1"/>
  <c r="AZ62" i="13"/>
  <c r="H120" i="13"/>
  <c r="H154" i="13" s="1"/>
  <c r="M137" i="13"/>
  <c r="AW4" i="13"/>
  <c r="AT4" i="13"/>
  <c r="AI225" i="13"/>
  <c r="AI120" i="13"/>
  <c r="AI154" i="13" s="1"/>
  <c r="I226" i="13"/>
  <c r="I121" i="13"/>
  <c r="I138" i="13"/>
  <c r="AE226" i="13"/>
  <c r="AE121" i="13"/>
  <c r="AE155" i="13" s="1"/>
  <c r="F139" i="13"/>
  <c r="F52" i="13"/>
  <c r="AB227" i="13"/>
  <c r="AB139" i="13"/>
  <c r="AB52" i="13"/>
  <c r="U228" i="13"/>
  <c r="U140" i="13"/>
  <c r="O142" i="13"/>
  <c r="O53" i="13"/>
  <c r="BR25" i="13"/>
  <c r="AK53" i="13"/>
  <c r="I231" i="13"/>
  <c r="BL26" i="13"/>
  <c r="I143" i="13"/>
  <c r="G144" i="13"/>
  <c r="BJ27" i="13"/>
  <c r="AC232" i="13"/>
  <c r="AC144" i="13"/>
  <c r="C145" i="13"/>
  <c r="C128" i="13"/>
  <c r="C162" i="13" s="1"/>
  <c r="Y233" i="13"/>
  <c r="Y145" i="13"/>
  <c r="Y54" i="13"/>
  <c r="O147" i="13"/>
  <c r="O130" i="13"/>
  <c r="BB14" i="13"/>
  <c r="B61" i="12"/>
  <c r="BR30" i="13"/>
  <c r="C70" i="16"/>
  <c r="C54" i="16" s="1"/>
  <c r="BD22" i="13"/>
  <c r="L175" i="13"/>
  <c r="BZ35" i="13"/>
  <c r="L47" i="13"/>
  <c r="B179" i="13"/>
  <c r="B196" i="13" s="1"/>
  <c r="BP39" i="13"/>
  <c r="U124" i="13"/>
  <c r="U158" i="13" s="1"/>
  <c r="N137" i="13"/>
  <c r="N225" i="13"/>
  <c r="B39" i="12"/>
  <c r="N15" i="13"/>
  <c r="J138" i="13"/>
  <c r="J121" i="13"/>
  <c r="J155" i="13" s="1"/>
  <c r="AF226" i="13"/>
  <c r="AF121" i="13"/>
  <c r="AF155" i="13" s="1"/>
  <c r="V140" i="13"/>
  <c r="V228" i="13"/>
  <c r="U229" i="13"/>
  <c r="U141" i="13"/>
  <c r="P142" i="13"/>
  <c r="P53" i="13"/>
  <c r="AL53" i="13"/>
  <c r="AL125" i="13"/>
  <c r="J26" i="16"/>
  <c r="J42" i="16" s="1"/>
  <c r="J231" i="13"/>
  <c r="J143" i="13"/>
  <c r="BM26" i="13"/>
  <c r="AW10" i="13"/>
  <c r="AF231" i="13"/>
  <c r="H232" i="13"/>
  <c r="H144" i="13"/>
  <c r="BK27" i="13"/>
  <c r="AD232" i="13"/>
  <c r="D145" i="13"/>
  <c r="D128" i="13"/>
  <c r="D162" i="13" s="1"/>
  <c r="D233" i="13"/>
  <c r="BG28" i="13"/>
  <c r="Z233" i="13"/>
  <c r="Z145" i="13"/>
  <c r="Z54" i="13"/>
  <c r="Z128" i="13"/>
  <c r="Z162" i="13" s="1"/>
  <c r="AP234" i="13"/>
  <c r="P147" i="13"/>
  <c r="B73" i="12"/>
  <c r="M68" i="16"/>
  <c r="M52" i="16" s="1"/>
  <c r="CL20" i="13"/>
  <c r="BD27" i="13"/>
  <c r="J178" i="13"/>
  <c r="J195" i="13" s="1"/>
  <c r="AW38" i="13"/>
  <c r="BX38" i="13"/>
  <c r="C179" i="13"/>
  <c r="C196" i="13" s="1"/>
  <c r="BQ39" i="13"/>
  <c r="D183" i="13"/>
  <c r="D200" i="13" s="1"/>
  <c r="BR43" i="13"/>
  <c r="T146" i="13"/>
  <c r="V224" i="13"/>
  <c r="V136" i="13"/>
  <c r="V119" i="13"/>
  <c r="V51" i="13"/>
  <c r="V15" i="13"/>
  <c r="O137" i="13"/>
  <c r="BR20" i="13"/>
  <c r="B51" i="12"/>
  <c r="BB4" i="13"/>
  <c r="BC4" i="13" s="1"/>
  <c r="K138" i="13"/>
  <c r="AG226" i="13"/>
  <c r="H139" i="13"/>
  <c r="H52" i="13"/>
  <c r="BK22" i="13"/>
  <c r="AD227" i="13"/>
  <c r="AD52" i="13"/>
  <c r="AD122" i="13"/>
  <c r="AD156" i="13" s="1"/>
  <c r="I27" i="16"/>
  <c r="I43" i="16" s="1"/>
  <c r="I232" i="13"/>
  <c r="I144" i="13"/>
  <c r="AE232" i="13"/>
  <c r="U234" i="13"/>
  <c r="U146" i="13"/>
  <c r="Q235" i="13"/>
  <c r="Q147" i="13"/>
  <c r="B85" i="12"/>
  <c r="N68" i="16"/>
  <c r="N52" i="16" s="1"/>
  <c r="AS20" i="13"/>
  <c r="AU20" i="13" s="1"/>
  <c r="AV20" i="13" s="1"/>
  <c r="CM20" i="13"/>
  <c r="C71" i="16"/>
  <c r="C55" i="16" s="1"/>
  <c r="BD23" i="13"/>
  <c r="C72" i="16"/>
  <c r="C56" i="16" s="1"/>
  <c r="BD24" i="13"/>
  <c r="E176" i="13"/>
  <c r="E193" i="13" s="1"/>
  <c r="BS36" i="13"/>
  <c r="E183" i="13"/>
  <c r="E200" i="13" s="1"/>
  <c r="BS43" i="13"/>
  <c r="AC47" i="13"/>
  <c r="L21" i="16"/>
  <c r="L37" i="16" s="1"/>
  <c r="L138" i="13"/>
  <c r="L226" i="13"/>
  <c r="AU5" i="13"/>
  <c r="L51" i="13"/>
  <c r="AH226" i="13"/>
  <c r="V146" i="13"/>
  <c r="V234" i="13"/>
  <c r="CI18" i="13"/>
  <c r="CM18" i="13" s="1"/>
  <c r="BQ18" i="13"/>
  <c r="O68" i="16"/>
  <c r="O52" i="16" s="1"/>
  <c r="BA20" i="13"/>
  <c r="AZ20" i="13"/>
  <c r="BC20" i="13"/>
  <c r="F176" i="13"/>
  <c r="F193" i="13" s="1"/>
  <c r="F210" i="13" s="1"/>
  <c r="F47" i="13"/>
  <c r="BT47" i="13" s="1"/>
  <c r="BT36" i="13"/>
  <c r="L178" i="13"/>
  <c r="L195" i="13" s="1"/>
  <c r="AU38" i="13"/>
  <c r="BZ38" i="13"/>
  <c r="BA38" i="13"/>
  <c r="AH178" i="13"/>
  <c r="AH195" i="13" s="1"/>
  <c r="AH47" i="13"/>
  <c r="L182" i="13"/>
  <c r="L199" i="13" s="1"/>
  <c r="AU42" i="13"/>
  <c r="B224" i="13"/>
  <c r="B136" i="13"/>
  <c r="B15" i="13"/>
  <c r="B51" i="13"/>
  <c r="X136" i="13"/>
  <c r="X15" i="13"/>
  <c r="X119" i="13"/>
  <c r="X51" i="13"/>
  <c r="Q137" i="13"/>
  <c r="M21" i="16"/>
  <c r="M37" i="16" s="1"/>
  <c r="M226" i="13"/>
  <c r="M138" i="13"/>
  <c r="B28" i="12"/>
  <c r="B141" i="13"/>
  <c r="B229" i="13"/>
  <c r="X229" i="13"/>
  <c r="X141" i="13"/>
  <c r="S230" i="13"/>
  <c r="S142" i="13"/>
  <c r="AO230" i="13"/>
  <c r="AO53" i="13"/>
  <c r="M143" i="13"/>
  <c r="M231" i="13"/>
  <c r="AT10" i="13"/>
  <c r="AI231" i="13"/>
  <c r="AI53" i="13"/>
  <c r="K144" i="13"/>
  <c r="AW11" i="13"/>
  <c r="AZ11" i="13" s="1"/>
  <c r="BN27" i="13"/>
  <c r="BJ28" i="13"/>
  <c r="G145" i="13"/>
  <c r="G54" i="13"/>
  <c r="AC145" i="13"/>
  <c r="AC233" i="13"/>
  <c r="AC128" i="13"/>
  <c r="AC162" i="13" s="1"/>
  <c r="AC54" i="13"/>
  <c r="W146" i="13"/>
  <c r="W234" i="13"/>
  <c r="AE15" i="13"/>
  <c r="CJ18" i="13"/>
  <c r="CN18" i="13" s="1"/>
  <c r="BR18" i="13"/>
  <c r="BL20" i="13"/>
  <c r="BB21" i="13"/>
  <c r="J74" i="16"/>
  <c r="J58" i="16" s="1"/>
  <c r="BB27" i="13"/>
  <c r="BB26" i="13"/>
  <c r="D77" i="16"/>
  <c r="D61" i="16" s="1"/>
  <c r="BD29" i="13"/>
  <c r="BE29" i="13" s="1"/>
  <c r="G176" i="13"/>
  <c r="G193" i="13" s="1"/>
  <c r="BU36" i="13"/>
  <c r="G47" i="13"/>
  <c r="BU47" i="13" s="1"/>
  <c r="M178" i="13"/>
  <c r="M195" i="13" s="1"/>
  <c r="AT38" i="13"/>
  <c r="AI212" i="13"/>
  <c r="AI213" i="13"/>
  <c r="M182" i="13"/>
  <c r="M199" i="13" s="1"/>
  <c r="AT42" i="13"/>
  <c r="B184" i="13"/>
  <c r="B201" i="13" s="1"/>
  <c r="BP44" i="13"/>
  <c r="AE47" i="13"/>
  <c r="B25" i="12"/>
  <c r="B56" i="12"/>
  <c r="C136" i="13"/>
  <c r="C224" i="13"/>
  <c r="C51" i="13"/>
  <c r="BF19" i="13"/>
  <c r="Y224" i="13"/>
  <c r="Y136" i="13"/>
  <c r="Y119" i="13"/>
  <c r="Y51" i="13"/>
  <c r="R137" i="13"/>
  <c r="R120" i="13"/>
  <c r="R20" i="13"/>
  <c r="AN120" i="13"/>
  <c r="AN154" i="13" s="1"/>
  <c r="AN225" i="13"/>
  <c r="B40" i="12"/>
  <c r="AS5" i="13"/>
  <c r="D140" i="13"/>
  <c r="C141" i="13"/>
  <c r="C124" i="13"/>
  <c r="C158" i="13" s="1"/>
  <c r="BF24" i="13"/>
  <c r="Y141" i="13"/>
  <c r="Y229" i="13"/>
  <c r="T230" i="13"/>
  <c r="T125" i="13"/>
  <c r="T159" i="13" s="1"/>
  <c r="T53" i="13"/>
  <c r="T142" i="13"/>
  <c r="AP230" i="13"/>
  <c r="AP53" i="13"/>
  <c r="N143" i="13"/>
  <c r="N126" i="13"/>
  <c r="AJ126" i="13"/>
  <c r="L232" i="13"/>
  <c r="L144" i="13"/>
  <c r="L127" i="13"/>
  <c r="BO27" i="13"/>
  <c r="AH232" i="13"/>
  <c r="H233" i="13"/>
  <c r="H128" i="13"/>
  <c r="H162" i="13" s="1"/>
  <c r="H54" i="13"/>
  <c r="BK28" i="13"/>
  <c r="H145" i="13"/>
  <c r="AD233" i="13"/>
  <c r="AD128" i="13"/>
  <c r="AD162" i="13" s="1"/>
  <c r="AD54" i="13"/>
  <c r="B234" i="13"/>
  <c r="B146" i="13"/>
  <c r="X146" i="13"/>
  <c r="X234" i="13"/>
  <c r="AF15" i="13"/>
  <c r="B31" i="13"/>
  <c r="BD21" i="13"/>
  <c r="BL27" i="13"/>
  <c r="BN30" i="13"/>
  <c r="Q175" i="13"/>
  <c r="Q47" i="13"/>
  <c r="AS37" i="13"/>
  <c r="N182" i="13"/>
  <c r="N199" i="13" s="1"/>
  <c r="AS42" i="13"/>
  <c r="CB42" i="13"/>
  <c r="AF47" i="13"/>
  <c r="N120" i="13"/>
  <c r="X124" i="13"/>
  <c r="X158" i="13" s="1"/>
  <c r="B13" i="12"/>
  <c r="D119" i="13"/>
  <c r="D136" i="13"/>
  <c r="D51" i="13"/>
  <c r="BG19" i="13"/>
  <c r="Z136" i="13"/>
  <c r="Z224" i="13"/>
  <c r="Z119" i="13"/>
  <c r="Z51" i="13"/>
  <c r="S137" i="13"/>
  <c r="B52" i="12"/>
  <c r="AR5" i="13"/>
  <c r="L52" i="13"/>
  <c r="BO22" i="13"/>
  <c r="B17" i="12"/>
  <c r="AH227" i="13"/>
  <c r="AH52" i="13"/>
  <c r="E228" i="13"/>
  <c r="E140" i="13"/>
  <c r="E123" i="13"/>
  <c r="E157" i="13" s="1"/>
  <c r="AA140" i="13"/>
  <c r="AA123" i="13"/>
  <c r="AA157" i="13" s="1"/>
  <c r="U230" i="13"/>
  <c r="U142" i="13"/>
  <c r="U53" i="13"/>
  <c r="AR9" i="13"/>
  <c r="M232" i="13"/>
  <c r="M144" i="13"/>
  <c r="AT11" i="13"/>
  <c r="BP27" i="13"/>
  <c r="AI232" i="13"/>
  <c r="I233" i="13"/>
  <c r="I54" i="13"/>
  <c r="I145" i="13"/>
  <c r="BL28" i="13"/>
  <c r="AE233" i="13"/>
  <c r="AE128" i="13"/>
  <c r="AE162" i="13" s="1"/>
  <c r="AE54" i="13"/>
  <c r="C146" i="13"/>
  <c r="C129" i="13"/>
  <c r="C163" i="13" s="1"/>
  <c r="BF29" i="13"/>
  <c r="Y146" i="13"/>
  <c r="Y234" i="13"/>
  <c r="U235" i="13"/>
  <c r="U147" i="13"/>
  <c r="AR14" i="13"/>
  <c r="AG15" i="13"/>
  <c r="C67" i="16"/>
  <c r="C31" i="13"/>
  <c r="BD19" i="13"/>
  <c r="BE19" i="13" s="1"/>
  <c r="M69" i="16"/>
  <c r="M53" i="16" s="1"/>
  <c r="AR21" i="13"/>
  <c r="BI26" i="13"/>
  <c r="M75" i="16"/>
  <c r="M59" i="16" s="1"/>
  <c r="AR27" i="13"/>
  <c r="CL27" i="13"/>
  <c r="R27" i="13"/>
  <c r="R175" i="13"/>
  <c r="R47" i="13"/>
  <c r="AN175" i="13"/>
  <c r="AN47" i="13"/>
  <c r="I176" i="13"/>
  <c r="I193" i="13" s="1"/>
  <c r="BW36" i="13"/>
  <c r="O182" i="13"/>
  <c r="O199" i="13" s="1"/>
  <c r="CC42" i="13"/>
  <c r="AR42" i="13"/>
  <c r="BC42" i="13"/>
  <c r="AG47" i="13"/>
  <c r="H176" i="13"/>
  <c r="H193" i="13" s="1"/>
  <c r="BV36" i="13"/>
  <c r="BY42" i="13"/>
  <c r="AW42" i="13"/>
  <c r="C183" i="13"/>
  <c r="C200" i="13" s="1"/>
  <c r="BQ43" i="13"/>
  <c r="I51" i="13"/>
  <c r="AE51" i="13"/>
  <c r="W225" i="13"/>
  <c r="W137" i="13"/>
  <c r="W120" i="13"/>
  <c r="W154" i="13" s="1"/>
  <c r="I139" i="13"/>
  <c r="I52" i="13"/>
  <c r="AE227" i="13"/>
  <c r="AE52" i="13"/>
  <c r="W140" i="13"/>
  <c r="W228" i="13"/>
  <c r="Q229" i="13"/>
  <c r="Q124" i="13"/>
  <c r="H142" i="13"/>
  <c r="BK25" i="13"/>
  <c r="H53" i="13"/>
  <c r="AD230" i="13"/>
  <c r="Q232" i="13"/>
  <c r="Q144" i="13"/>
  <c r="J145" i="13"/>
  <c r="J54" i="13"/>
  <c r="AF233" i="13"/>
  <c r="AF54" i="13"/>
  <c r="D129" i="13"/>
  <c r="D163" i="13" s="1"/>
  <c r="Z234" i="13"/>
  <c r="Z146" i="13"/>
  <c r="R147" i="13"/>
  <c r="R235" i="13"/>
  <c r="O76" i="16"/>
  <c r="O60" i="16" s="1"/>
  <c r="CN28" i="13"/>
  <c r="BC28" i="13"/>
  <c r="AZ28" i="13"/>
  <c r="BA28" i="13"/>
  <c r="E175" i="13"/>
  <c r="BS35" i="13"/>
  <c r="AA175" i="13"/>
  <c r="AA47" i="13"/>
  <c r="N178" i="13"/>
  <c r="N195" i="13" s="1"/>
  <c r="AS38" i="13"/>
  <c r="BS41" i="13"/>
  <c r="CC45" i="13"/>
  <c r="AR45" i="13"/>
  <c r="O185" i="13"/>
  <c r="O202" i="13" s="1"/>
  <c r="BC45" i="13"/>
  <c r="E93" i="13"/>
  <c r="E98" i="13"/>
  <c r="AA93" i="13"/>
  <c r="AA98" i="13"/>
  <c r="AA119" i="13"/>
  <c r="K121" i="13"/>
  <c r="K155" i="13" s="1"/>
  <c r="AJ122" i="13"/>
  <c r="AJ99" i="13"/>
  <c r="Q123" i="13"/>
  <c r="AM123" i="13"/>
  <c r="W100" i="13"/>
  <c r="W125" i="13"/>
  <c r="W159" i="13" s="1"/>
  <c r="D126" i="13"/>
  <c r="D160" i="13" s="1"/>
  <c r="Z126" i="13"/>
  <c r="Z160" i="13" s="1"/>
  <c r="G127" i="13"/>
  <c r="G161" i="13" s="1"/>
  <c r="AC127" i="13"/>
  <c r="AC161" i="13" s="1"/>
  <c r="AF128" i="13"/>
  <c r="AF162" i="13" s="1"/>
  <c r="AF101" i="13"/>
  <c r="P130" i="13"/>
  <c r="AL130" i="13"/>
  <c r="AL164" i="13" s="1"/>
  <c r="J51" i="13"/>
  <c r="J136" i="13"/>
  <c r="AF51" i="13"/>
  <c r="AF224" i="13"/>
  <c r="B225" i="13"/>
  <c r="B137" i="13"/>
  <c r="B120" i="13"/>
  <c r="B154" i="13" s="1"/>
  <c r="X225" i="13"/>
  <c r="X137" i="13"/>
  <c r="Q138" i="13"/>
  <c r="Q226" i="13"/>
  <c r="J139" i="13"/>
  <c r="J52" i="13"/>
  <c r="AF227" i="13"/>
  <c r="AF52" i="13"/>
  <c r="R229" i="13"/>
  <c r="R124" i="13"/>
  <c r="R141" i="13"/>
  <c r="AN229" i="13"/>
  <c r="AN124" i="13"/>
  <c r="AN158" i="13" s="1"/>
  <c r="I142" i="13"/>
  <c r="BL25" i="13"/>
  <c r="I53" i="13"/>
  <c r="AE230" i="13"/>
  <c r="C143" i="13"/>
  <c r="Y231" i="13"/>
  <c r="Y143" i="13"/>
  <c r="R232" i="13"/>
  <c r="R144" i="13"/>
  <c r="K54" i="13"/>
  <c r="K145" i="13"/>
  <c r="K233" i="13"/>
  <c r="AA234" i="13"/>
  <c r="AA146" i="13"/>
  <c r="S147" i="13"/>
  <c r="S235" i="13"/>
  <c r="AO235" i="13"/>
  <c r="N74" i="16"/>
  <c r="N58" i="16" s="1"/>
  <c r="CM26" i="13"/>
  <c r="AS26" i="13"/>
  <c r="AU26" i="13" s="1"/>
  <c r="O178" i="13"/>
  <c r="O195" i="13" s="1"/>
  <c r="CC38" i="13"/>
  <c r="AR38" i="13"/>
  <c r="BT41" i="13"/>
  <c r="F119" i="13"/>
  <c r="F98" i="13"/>
  <c r="AB93" i="13"/>
  <c r="AB98" i="13"/>
  <c r="AB119" i="13"/>
  <c r="I120" i="13"/>
  <c r="AE120" i="13"/>
  <c r="AE154" i="13" s="1"/>
  <c r="L121" i="13"/>
  <c r="AH121" i="13"/>
  <c r="AH155" i="13" s="1"/>
  <c r="O122" i="13"/>
  <c r="O99" i="13"/>
  <c r="AK122" i="13"/>
  <c r="AK99" i="13"/>
  <c r="R123" i="13"/>
  <c r="AN123" i="13"/>
  <c r="AN157" i="13" s="1"/>
  <c r="X100" i="13"/>
  <c r="X125" i="13"/>
  <c r="X159" i="13" s="1"/>
  <c r="AA126" i="13"/>
  <c r="AA160" i="13" s="1"/>
  <c r="H127" i="13"/>
  <c r="H161" i="13" s="1"/>
  <c r="AD127" i="13"/>
  <c r="AD161" i="13" s="1"/>
  <c r="AG128" i="13"/>
  <c r="AG162" i="13" s="1"/>
  <c r="AG101" i="13"/>
  <c r="Q130" i="13"/>
  <c r="AM130" i="13"/>
  <c r="AM164" i="13" s="1"/>
  <c r="B100" i="13"/>
  <c r="Q141" i="13"/>
  <c r="B82" i="12"/>
  <c r="K136" i="13"/>
  <c r="AG224" i="13"/>
  <c r="AG51" i="13"/>
  <c r="C228" i="13"/>
  <c r="C140" i="13"/>
  <c r="Y228" i="13"/>
  <c r="Y140" i="13"/>
  <c r="D143" i="13"/>
  <c r="Z231" i="13"/>
  <c r="Z143" i="13"/>
  <c r="S232" i="13"/>
  <c r="S127" i="13"/>
  <c r="S161" i="13" s="1"/>
  <c r="S144" i="13"/>
  <c r="AO127" i="13"/>
  <c r="AO232" i="13"/>
  <c r="L233" i="13"/>
  <c r="L145" i="13"/>
  <c r="L54" i="13"/>
  <c r="AH233" i="13"/>
  <c r="F146" i="13"/>
  <c r="BI29" i="13"/>
  <c r="F54" i="13"/>
  <c r="AB234" i="13"/>
  <c r="AB146" i="13"/>
  <c r="AP235" i="13"/>
  <c r="R21" i="13"/>
  <c r="S21" i="13" s="1"/>
  <c r="T21" i="13" s="1"/>
  <c r="AS22" i="13"/>
  <c r="O74" i="16"/>
  <c r="O58" i="16" s="1"/>
  <c r="BC26" i="13"/>
  <c r="CN26" i="13"/>
  <c r="BA26" i="13"/>
  <c r="AT26" i="13"/>
  <c r="P47" i="13"/>
  <c r="BU41" i="13"/>
  <c r="BQ44" i="13"/>
  <c r="G93" i="13"/>
  <c r="G98" i="13"/>
  <c r="AC93" i="13"/>
  <c r="AC98" i="13"/>
  <c r="AC119" i="13"/>
  <c r="J120" i="13"/>
  <c r="J154" i="13" s="1"/>
  <c r="AF120" i="13"/>
  <c r="AF154" i="13" s="1"/>
  <c r="M121" i="13"/>
  <c r="AI121" i="13"/>
  <c r="AI155" i="13" s="1"/>
  <c r="P99" i="13"/>
  <c r="P122" i="13"/>
  <c r="S123" i="13"/>
  <c r="S157" i="13" s="1"/>
  <c r="AO123" i="13"/>
  <c r="C125" i="13"/>
  <c r="C159" i="13" s="1"/>
  <c r="Y125" i="13"/>
  <c r="Y159" i="13" s="1"/>
  <c r="F126" i="13"/>
  <c r="F160" i="13" s="1"/>
  <c r="AB126" i="13"/>
  <c r="AB160" i="13" s="1"/>
  <c r="I127" i="13"/>
  <c r="AE127" i="13"/>
  <c r="AE161" i="13" s="1"/>
  <c r="L128" i="13"/>
  <c r="L101" i="13"/>
  <c r="L116" i="13" s="1"/>
  <c r="AH101" i="13"/>
  <c r="AH128" i="13"/>
  <c r="AH162" i="13" s="1"/>
  <c r="O101" i="13"/>
  <c r="O129" i="13"/>
  <c r="AK129" i="13"/>
  <c r="R130" i="13"/>
  <c r="AN130" i="13"/>
  <c r="AN164" i="13" s="1"/>
  <c r="C100" i="13"/>
  <c r="C115" i="13" s="1"/>
  <c r="BV41" i="13"/>
  <c r="N121" i="13"/>
  <c r="P129" i="13"/>
  <c r="N54" i="13"/>
  <c r="N145" i="13"/>
  <c r="AJ54" i="13"/>
  <c r="H234" i="13"/>
  <c r="H129" i="13"/>
  <c r="H163" i="13" s="1"/>
  <c r="AD234" i="13"/>
  <c r="AD129" i="13"/>
  <c r="AD163" i="13" s="1"/>
  <c r="V235" i="13"/>
  <c r="V147" i="13"/>
  <c r="D67" i="16"/>
  <c r="D31" i="13"/>
  <c r="J77" i="16"/>
  <c r="J61" i="16" s="1"/>
  <c r="BB29" i="13"/>
  <c r="I175" i="13"/>
  <c r="BW35" i="13"/>
  <c r="BT37" i="13"/>
  <c r="BU39" i="13"/>
  <c r="BW41" i="13"/>
  <c r="M183" i="13"/>
  <c r="M200" i="13" s="1"/>
  <c r="CA43" i="13"/>
  <c r="AI217" i="13"/>
  <c r="E47" i="13"/>
  <c r="BS47" i="13" s="1"/>
  <c r="AD53" i="13"/>
  <c r="AG54" i="13"/>
  <c r="I93" i="13"/>
  <c r="I119" i="13"/>
  <c r="I98" i="13"/>
  <c r="AE93" i="13"/>
  <c r="AE119" i="13"/>
  <c r="AE98" i="13"/>
  <c r="O121" i="13"/>
  <c r="R99" i="13"/>
  <c r="R122" i="13"/>
  <c r="AN99" i="13"/>
  <c r="AN122" i="13"/>
  <c r="AN156" i="13" s="1"/>
  <c r="U123" i="13"/>
  <c r="U157" i="13" s="1"/>
  <c r="B124" i="13"/>
  <c r="B158" i="13" s="1"/>
  <c r="E100" i="13"/>
  <c r="E115" i="13" s="1"/>
  <c r="E125" i="13"/>
  <c r="E159" i="13" s="1"/>
  <c r="AA125" i="13"/>
  <c r="AA159" i="13" s="1"/>
  <c r="AA100" i="13"/>
  <c r="H126" i="13"/>
  <c r="H160" i="13" s="1"/>
  <c r="AD126" i="13"/>
  <c r="AD160" i="13" s="1"/>
  <c r="K127" i="13"/>
  <c r="K161" i="13" s="1"/>
  <c r="AG127" i="13"/>
  <c r="AG161" i="13" s="1"/>
  <c r="N128" i="13"/>
  <c r="N101" i="13"/>
  <c r="AJ128" i="13"/>
  <c r="AJ101" i="13"/>
  <c r="Q129" i="13"/>
  <c r="AM129" i="13"/>
  <c r="AP130" i="13"/>
  <c r="AP164" i="13" s="1"/>
  <c r="F100" i="13"/>
  <c r="F115" i="13" s="1"/>
  <c r="E119" i="13"/>
  <c r="N224" i="13"/>
  <c r="N51" i="13"/>
  <c r="N136" i="13"/>
  <c r="AJ51" i="13"/>
  <c r="F137" i="13"/>
  <c r="F120" i="13"/>
  <c r="F154" i="13" s="1"/>
  <c r="AB137" i="13"/>
  <c r="AB225" i="13"/>
  <c r="U226" i="13"/>
  <c r="U138" i="13"/>
  <c r="U121" i="13"/>
  <c r="U155" i="13" s="1"/>
  <c r="N22" i="16"/>
  <c r="N38" i="16" s="1"/>
  <c r="N139" i="13"/>
  <c r="N52" i="13"/>
  <c r="B41" i="12"/>
  <c r="AJ52" i="13"/>
  <c r="V229" i="13"/>
  <c r="V141" i="13"/>
  <c r="M230" i="13"/>
  <c r="M142" i="13"/>
  <c r="M125" i="13"/>
  <c r="BP25" i="13"/>
  <c r="M53" i="13"/>
  <c r="AI230" i="13"/>
  <c r="AI125" i="13"/>
  <c r="AI159" i="13" s="1"/>
  <c r="G143" i="13"/>
  <c r="G231" i="13"/>
  <c r="AC143" i="13"/>
  <c r="AC231" i="13"/>
  <c r="V232" i="13"/>
  <c r="V144" i="13"/>
  <c r="O145" i="13"/>
  <c r="O54" i="13"/>
  <c r="AK54" i="13"/>
  <c r="I146" i="13"/>
  <c r="E51" i="16"/>
  <c r="AZ26" i="13"/>
  <c r="J175" i="13"/>
  <c r="AW35" i="13"/>
  <c r="BX35" i="13"/>
  <c r="BU37" i="13"/>
  <c r="J181" i="13"/>
  <c r="J198" i="13" s="1"/>
  <c r="AW41" i="13"/>
  <c r="BX41" i="13"/>
  <c r="H184" i="13"/>
  <c r="H201" i="13" s="1"/>
  <c r="BV44" i="13"/>
  <c r="BT44" i="13"/>
  <c r="AE53" i="13"/>
  <c r="AH54" i="13"/>
  <c r="C107" i="13"/>
  <c r="C64" i="13"/>
  <c r="M120" i="13"/>
  <c r="AE126" i="13"/>
  <c r="AE160" i="13" s="1"/>
  <c r="L100" i="13"/>
  <c r="L115" i="13" s="1"/>
  <c r="G119" i="13"/>
  <c r="O119" i="13"/>
  <c r="O136" i="13"/>
  <c r="AR3" i="13"/>
  <c r="O15" i="13"/>
  <c r="B50" i="12"/>
  <c r="AK119" i="13"/>
  <c r="AK51" i="13"/>
  <c r="AK15" i="13"/>
  <c r="V226" i="13"/>
  <c r="V138" i="13"/>
  <c r="W229" i="13"/>
  <c r="W141" i="13"/>
  <c r="N142" i="13"/>
  <c r="N53" i="13"/>
  <c r="N125" i="13"/>
  <c r="BQ25" i="13"/>
  <c r="AJ125" i="13"/>
  <c r="H143" i="13"/>
  <c r="AD231" i="13"/>
  <c r="W144" i="13"/>
  <c r="W232" i="13"/>
  <c r="W127" i="13"/>
  <c r="W161" i="13" s="1"/>
  <c r="P145" i="13"/>
  <c r="P233" i="13"/>
  <c r="P54" i="13"/>
  <c r="B235" i="13"/>
  <c r="B130" i="13"/>
  <c r="B164" i="13" s="1"/>
  <c r="B147" i="13"/>
  <c r="X235" i="13"/>
  <c r="X130" i="13"/>
  <c r="X164" i="13" s="1"/>
  <c r="X147" i="13"/>
  <c r="F51" i="16"/>
  <c r="F63" i="16" s="1"/>
  <c r="F79" i="16"/>
  <c r="AZ22" i="13"/>
  <c r="BM28" i="13"/>
  <c r="K181" i="13"/>
  <c r="K198" i="13" s="1"/>
  <c r="BY41" i="13"/>
  <c r="I184" i="13"/>
  <c r="I201" i="13" s="1"/>
  <c r="I218" i="13" s="1"/>
  <c r="BW44" i="13"/>
  <c r="AE218" i="13"/>
  <c r="BU44" i="13"/>
  <c r="K119" i="13"/>
  <c r="K98" i="13"/>
  <c r="K93" i="13"/>
  <c r="AG93" i="13"/>
  <c r="AG119" i="13"/>
  <c r="AG98" i="13"/>
  <c r="AJ120" i="13"/>
  <c r="AJ98" i="13"/>
  <c r="Q121" i="13"/>
  <c r="Q93" i="13"/>
  <c r="AM121" i="13"/>
  <c r="T122" i="13"/>
  <c r="T156" i="13" s="1"/>
  <c r="T99" i="13"/>
  <c r="AP122" i="13"/>
  <c r="AP156" i="13" s="1"/>
  <c r="W123" i="13"/>
  <c r="W157" i="13" s="1"/>
  <c r="D124" i="13"/>
  <c r="D158" i="13" s="1"/>
  <c r="Z124" i="13"/>
  <c r="Z158" i="13" s="1"/>
  <c r="G125" i="13"/>
  <c r="G159" i="13" s="1"/>
  <c r="G100" i="13"/>
  <c r="G115" i="13" s="1"/>
  <c r="AC125" i="13"/>
  <c r="AC159" i="13" s="1"/>
  <c r="AC100" i="13"/>
  <c r="AF126" i="13"/>
  <c r="AF160" i="13" s="1"/>
  <c r="M127" i="13"/>
  <c r="AI127" i="13"/>
  <c r="AI161" i="13" s="1"/>
  <c r="P101" i="13"/>
  <c r="P128" i="13"/>
  <c r="AL128" i="13"/>
  <c r="AL101" i="13"/>
  <c r="V130" i="13"/>
  <c r="V164" i="13" s="1"/>
  <c r="D93" i="13"/>
  <c r="N100" i="13"/>
  <c r="L119" i="13"/>
  <c r="J177" i="13"/>
  <c r="J194" i="13" s="1"/>
  <c r="AW37" i="13"/>
  <c r="K179" i="13"/>
  <c r="K196" i="13" s="1"/>
  <c r="BY39" i="13"/>
  <c r="L181" i="13"/>
  <c r="L198" i="13" s="1"/>
  <c r="AU41" i="13"/>
  <c r="J184" i="13"/>
  <c r="J201" i="13" s="1"/>
  <c r="J218" i="13" s="1"/>
  <c r="BX44" i="13"/>
  <c r="M186" i="13"/>
  <c r="M203" i="13" s="1"/>
  <c r="CA46" i="13"/>
  <c r="AI220" i="13"/>
  <c r="H47" i="13"/>
  <c r="BV47" i="13" s="1"/>
  <c r="AL54" i="13"/>
  <c r="AH119" i="13"/>
  <c r="AH98" i="13"/>
  <c r="AH93" i="13"/>
  <c r="O93" i="13"/>
  <c r="O120" i="13"/>
  <c r="AK93" i="13"/>
  <c r="AK120" i="13"/>
  <c r="R121" i="13"/>
  <c r="R93" i="13"/>
  <c r="AN121" i="13"/>
  <c r="AN155" i="13" s="1"/>
  <c r="AN98" i="13"/>
  <c r="AN93" i="13"/>
  <c r="U122" i="13"/>
  <c r="U156" i="13" s="1"/>
  <c r="U99" i="13"/>
  <c r="U93" i="13"/>
  <c r="B123" i="13"/>
  <c r="B157" i="13" s="1"/>
  <c r="B93" i="13"/>
  <c r="E99" i="13"/>
  <c r="E114" i="13" s="1"/>
  <c r="E124" i="13"/>
  <c r="E158" i="13" s="1"/>
  <c r="H100" i="13"/>
  <c r="H115" i="13" s="1"/>
  <c r="H125" i="13"/>
  <c r="H159" i="13" s="1"/>
  <c r="AD125" i="13"/>
  <c r="AD159" i="13" s="1"/>
  <c r="AD100" i="13"/>
  <c r="K126" i="13"/>
  <c r="K160" i="13" s="1"/>
  <c r="K100" i="13"/>
  <c r="Q128" i="13"/>
  <c r="Q101" i="13"/>
  <c r="AM128" i="13"/>
  <c r="AM101" i="13"/>
  <c r="T129" i="13"/>
  <c r="T163" i="13" s="1"/>
  <c r="AP129" i="13"/>
  <c r="AP163" i="13" s="1"/>
  <c r="L98" i="13"/>
  <c r="J111" i="13"/>
  <c r="N77" i="16"/>
  <c r="N61" i="16" s="1"/>
  <c r="CM29" i="13"/>
  <c r="CA35" i="13"/>
  <c r="M175" i="13"/>
  <c r="M47" i="13"/>
  <c r="AI187" i="13"/>
  <c r="AI192" i="13"/>
  <c r="K177" i="13"/>
  <c r="K194" i="13" s="1"/>
  <c r="BY37" i="13"/>
  <c r="BX37" i="13"/>
  <c r="M181" i="13"/>
  <c r="M198" i="13" s="1"/>
  <c r="AT41" i="13"/>
  <c r="CA41" i="13"/>
  <c r="AI215" i="13"/>
  <c r="BY44" i="13"/>
  <c r="K184" i="13"/>
  <c r="K201" i="13" s="1"/>
  <c r="N186" i="13"/>
  <c r="N203" i="13" s="1"/>
  <c r="AS46" i="13"/>
  <c r="I47" i="13"/>
  <c r="BW47" i="13" s="1"/>
  <c r="M119" i="13"/>
  <c r="M93" i="13"/>
  <c r="M98" i="13"/>
  <c r="AI119" i="13"/>
  <c r="AI98" i="13"/>
  <c r="AI93" i="13"/>
  <c r="P120" i="13"/>
  <c r="AL120" i="13"/>
  <c r="S121" i="13"/>
  <c r="S155" i="13" s="1"/>
  <c r="AO121" i="13"/>
  <c r="V99" i="13"/>
  <c r="V122" i="13"/>
  <c r="V156" i="13" s="1"/>
  <c r="C123" i="13"/>
  <c r="C157" i="13" s="1"/>
  <c r="Y123" i="13"/>
  <c r="Y157" i="13" s="1"/>
  <c r="F124" i="13"/>
  <c r="F158" i="13" s="1"/>
  <c r="AB124" i="13"/>
  <c r="AB158" i="13" s="1"/>
  <c r="I100" i="13"/>
  <c r="I125" i="13"/>
  <c r="AE100" i="13"/>
  <c r="AE125" i="13"/>
  <c r="AE159" i="13" s="1"/>
  <c r="U129" i="13"/>
  <c r="U163" i="13" s="1"/>
  <c r="H93" i="13"/>
  <c r="Q98" i="13"/>
  <c r="J128" i="13"/>
  <c r="J162" i="13" s="1"/>
  <c r="D212" i="13"/>
  <c r="R51" i="13"/>
  <c r="R136" i="13"/>
  <c r="AN224" i="13"/>
  <c r="AN51" i="13"/>
  <c r="AN119" i="13"/>
  <c r="J137" i="13"/>
  <c r="R227" i="13"/>
  <c r="R52" i="13"/>
  <c r="R139" i="13"/>
  <c r="AN52" i="13"/>
  <c r="AN227" i="13"/>
  <c r="J140" i="13"/>
  <c r="AF228" i="13"/>
  <c r="AF123" i="13"/>
  <c r="AF157" i="13" s="1"/>
  <c r="D141" i="13"/>
  <c r="Z229" i="13"/>
  <c r="Z141" i="13"/>
  <c r="Q230" i="13"/>
  <c r="Q142" i="13"/>
  <c r="Q53" i="13"/>
  <c r="AM53" i="13"/>
  <c r="K143" i="13"/>
  <c r="D144" i="13"/>
  <c r="Z144" i="13"/>
  <c r="Z232" i="13"/>
  <c r="M146" i="13"/>
  <c r="I67" i="16"/>
  <c r="I31" i="13"/>
  <c r="BM19" i="13"/>
  <c r="BC22" i="13"/>
  <c r="AS25" i="13"/>
  <c r="CM25" i="13"/>
  <c r="BJ26" i="13"/>
  <c r="O77" i="16"/>
  <c r="O61" i="16" s="1"/>
  <c r="BA29" i="13"/>
  <c r="AT29" i="13"/>
  <c r="CN29" i="13"/>
  <c r="AZ29" i="13"/>
  <c r="BA30" i="13"/>
  <c r="L177" i="13"/>
  <c r="L194" i="13" s="1"/>
  <c r="AU37" i="13"/>
  <c r="BA37" i="13"/>
  <c r="BZ37" i="13"/>
  <c r="BC38" i="13"/>
  <c r="N181" i="13"/>
  <c r="N198" i="13" s="1"/>
  <c r="AS41" i="13"/>
  <c r="CB41" i="13"/>
  <c r="O186" i="13"/>
  <c r="O203" i="13" s="1"/>
  <c r="AR46" i="13"/>
  <c r="BC46" i="13"/>
  <c r="J47" i="13"/>
  <c r="AJ53" i="13"/>
  <c r="Z123" i="13"/>
  <c r="Z157" i="13" s="1"/>
  <c r="V129" i="13"/>
  <c r="V163" i="13" s="1"/>
  <c r="R98" i="13"/>
  <c r="Y100" i="13"/>
  <c r="K128" i="13"/>
  <c r="K162" i="13" s="1"/>
  <c r="S51" i="13"/>
  <c r="S136" i="13"/>
  <c r="S15" i="13"/>
  <c r="AO224" i="13"/>
  <c r="AO51" i="13"/>
  <c r="AO15" i="13"/>
  <c r="D138" i="13"/>
  <c r="BG21" i="13"/>
  <c r="Z226" i="13"/>
  <c r="Z138" i="13"/>
  <c r="S227" i="13"/>
  <c r="S139" i="13"/>
  <c r="AO227" i="13"/>
  <c r="AO52" i="13"/>
  <c r="K228" i="13"/>
  <c r="K140" i="13"/>
  <c r="E141" i="13"/>
  <c r="AA229" i="13"/>
  <c r="AA141" i="13"/>
  <c r="R230" i="13"/>
  <c r="R53" i="13"/>
  <c r="R142" i="13"/>
  <c r="AN230" i="13"/>
  <c r="AN53" i="13"/>
  <c r="L143" i="13"/>
  <c r="AU10" i="13"/>
  <c r="E144" i="13"/>
  <c r="AA232" i="13"/>
  <c r="AA144" i="13"/>
  <c r="T145" i="13"/>
  <c r="T128" i="13"/>
  <c r="T162" i="13" s="1"/>
  <c r="T54" i="13"/>
  <c r="AP233" i="13"/>
  <c r="AP54" i="13"/>
  <c r="AP128" i="13"/>
  <c r="AP162" i="13" s="1"/>
  <c r="F147" i="13"/>
  <c r="F235" i="13"/>
  <c r="BI30" i="13"/>
  <c r="AB147" i="13"/>
  <c r="AB235" i="13"/>
  <c r="J67" i="16"/>
  <c r="J31" i="13"/>
  <c r="BN19" i="13"/>
  <c r="BK26" i="13"/>
  <c r="BQ28" i="13"/>
  <c r="J78" i="16"/>
  <c r="J62" i="16" s="1"/>
  <c r="BB30" i="13"/>
  <c r="M177" i="13"/>
  <c r="M194" i="13" s="1"/>
  <c r="AT37" i="13"/>
  <c r="CA37" i="13"/>
  <c r="AI211" i="13"/>
  <c r="O181" i="13"/>
  <c r="O198" i="13" s="1"/>
  <c r="CC41" i="13"/>
  <c r="AR41" i="13"/>
  <c r="K47" i="13"/>
  <c r="BY47" i="13" s="1"/>
  <c r="R128" i="13"/>
  <c r="D146" i="13"/>
  <c r="G212" i="13"/>
  <c r="U64" i="13"/>
  <c r="H119" i="13"/>
  <c r="AD93" i="13"/>
  <c r="AD98" i="13"/>
  <c r="AD119" i="13"/>
  <c r="AJ121" i="13"/>
  <c r="W124" i="13"/>
  <c r="W158" i="13" s="1"/>
  <c r="D125" i="13"/>
  <c r="D159" i="13" s="1"/>
  <c r="Z125" i="13"/>
  <c r="Z159" i="13" s="1"/>
  <c r="G126" i="13"/>
  <c r="G160" i="13" s="1"/>
  <c r="AC126" i="13"/>
  <c r="AC160" i="13" s="1"/>
  <c r="M128" i="13"/>
  <c r="AI128" i="13"/>
  <c r="AI162" i="13" s="1"/>
  <c r="AI101" i="13"/>
  <c r="AL129" i="13"/>
  <c r="S130" i="13"/>
  <c r="S164" i="13" s="1"/>
  <c r="AO130" i="13"/>
  <c r="C74" i="16"/>
  <c r="C58" i="16" s="1"/>
  <c r="BD26" i="13"/>
  <c r="AB175" i="13"/>
  <c r="AB47" i="13"/>
  <c r="AW36" i="13"/>
  <c r="N119" i="13"/>
  <c r="N98" i="13"/>
  <c r="AJ119" i="13"/>
  <c r="Q120" i="13"/>
  <c r="AM98" i="13"/>
  <c r="AM120" i="13"/>
  <c r="T121" i="13"/>
  <c r="T155" i="13" s="1"/>
  <c r="AP121" i="13"/>
  <c r="AP155" i="13" s="1"/>
  <c r="W122" i="13"/>
  <c r="W156" i="13" s="1"/>
  <c r="W99" i="13"/>
  <c r="D123" i="13"/>
  <c r="D157" i="13" s="1"/>
  <c r="D99" i="13"/>
  <c r="G124" i="13"/>
  <c r="G158" i="13" s="1"/>
  <c r="AC124" i="13"/>
  <c r="AC158" i="13" s="1"/>
  <c r="J125" i="13"/>
  <c r="J159" i="13" s="1"/>
  <c r="J100" i="13"/>
  <c r="J115" i="13" s="1"/>
  <c r="M100" i="13"/>
  <c r="M126" i="13"/>
  <c r="AI126" i="13"/>
  <c r="AI160" i="13" s="1"/>
  <c r="P127" i="13"/>
  <c r="AL127" i="13"/>
  <c r="S128" i="13"/>
  <c r="S162" i="13" s="1"/>
  <c r="AO101" i="13"/>
  <c r="AO128" i="13"/>
  <c r="Y130" i="13"/>
  <c r="Y164" i="13" s="1"/>
  <c r="Z100" i="13"/>
  <c r="AF130" i="13"/>
  <c r="AF164" i="13" s="1"/>
  <c r="P139" i="13"/>
  <c r="C225" i="13"/>
  <c r="C137" i="13"/>
  <c r="Y225" i="13"/>
  <c r="Y137" i="13"/>
  <c r="P138" i="13"/>
  <c r="G52" i="13"/>
  <c r="G139" i="13"/>
  <c r="AC227" i="13"/>
  <c r="AC139" i="13"/>
  <c r="T228" i="13"/>
  <c r="T140" i="13"/>
  <c r="AG229" i="13"/>
  <c r="B142" i="13"/>
  <c r="B230" i="13"/>
  <c r="X230" i="13"/>
  <c r="X53" i="13"/>
  <c r="O143" i="13"/>
  <c r="F144" i="13"/>
  <c r="AB232" i="13"/>
  <c r="AB144" i="13"/>
  <c r="S233" i="13"/>
  <c r="S145" i="13"/>
  <c r="S54" i="13"/>
  <c r="AO233" i="13"/>
  <c r="AO54" i="13"/>
  <c r="J29" i="16"/>
  <c r="J45" i="16" s="1"/>
  <c r="J234" i="13"/>
  <c r="J146" i="13"/>
  <c r="AF234" i="13"/>
  <c r="AF129" i="13"/>
  <c r="AF163" i="13" s="1"/>
  <c r="W147" i="13"/>
  <c r="K67" i="16"/>
  <c r="K31" i="13"/>
  <c r="AC192" i="13"/>
  <c r="P211" i="13"/>
  <c r="K180" i="13"/>
  <c r="K197" i="13" s="1"/>
  <c r="BY40" i="13"/>
  <c r="AI218" i="13"/>
  <c r="AK52" i="13"/>
  <c r="N93" i="13"/>
  <c r="G192" i="13"/>
  <c r="L176" i="13"/>
  <c r="L193" i="13" s="1"/>
  <c r="AU36" i="13"/>
  <c r="AB213" i="13"/>
  <c r="N184" i="13"/>
  <c r="N201" i="13" s="1"/>
  <c r="AS44" i="13"/>
  <c r="CB44" i="13"/>
  <c r="BP46" i="13"/>
  <c r="N47" i="13"/>
  <c r="G107" i="13"/>
  <c r="G64" i="13"/>
  <c r="D108" i="13"/>
  <c r="D64" i="13"/>
  <c r="P98" i="13"/>
  <c r="P119" i="13"/>
  <c r="AL98" i="13"/>
  <c r="AL93" i="13"/>
  <c r="AL119" i="13"/>
  <c r="S120" i="13"/>
  <c r="S154" i="13" s="1"/>
  <c r="AO120" i="13"/>
  <c r="C122" i="13"/>
  <c r="C156" i="13" s="1"/>
  <c r="C99" i="13"/>
  <c r="C114" i="13" s="1"/>
  <c r="F123" i="13"/>
  <c r="F157" i="13" s="1"/>
  <c r="I124" i="13"/>
  <c r="L125" i="13"/>
  <c r="AH125" i="13"/>
  <c r="AH159" i="13" s="1"/>
  <c r="AH100" i="13"/>
  <c r="O126" i="13"/>
  <c r="R127" i="13"/>
  <c r="AN127" i="13"/>
  <c r="AN161" i="13" s="1"/>
  <c r="U128" i="13"/>
  <c r="U162" i="13" s="1"/>
  <c r="B129" i="13"/>
  <c r="B163" i="13" s="1"/>
  <c r="E130" i="13"/>
  <c r="E164" i="13" s="1"/>
  <c r="AA130" i="13"/>
  <c r="AA164" i="13" s="1"/>
  <c r="P93" i="13"/>
  <c r="AO126" i="13"/>
  <c r="L136" i="13"/>
  <c r="CC44" i="13"/>
  <c r="AR44" i="13"/>
  <c r="O47" i="13"/>
  <c r="E179" i="13"/>
  <c r="E196" i="13" s="1"/>
  <c r="E233" i="13"/>
  <c r="N176" i="13"/>
  <c r="N193" i="13" s="1"/>
  <c r="CB36" i="13"/>
  <c r="N180" i="13"/>
  <c r="N197" i="13" s="1"/>
  <c r="AS40" i="13"/>
  <c r="CB40" i="13"/>
  <c r="BT43" i="13"/>
  <c r="I64" i="13"/>
  <c r="I107" i="13"/>
  <c r="F64" i="13"/>
  <c r="F108" i="13"/>
  <c r="Z129" i="13"/>
  <c r="Z163" i="13" s="1"/>
  <c r="G130" i="13"/>
  <c r="G164" i="13" s="1"/>
  <c r="P121" i="13"/>
  <c r="P136" i="13"/>
  <c r="P51" i="13"/>
  <c r="AL51" i="13"/>
  <c r="G137" i="13"/>
  <c r="AC137" i="13"/>
  <c r="K139" i="13"/>
  <c r="K52" i="13"/>
  <c r="AG227" i="13"/>
  <c r="AG52" i="13"/>
  <c r="B228" i="13"/>
  <c r="B140" i="13"/>
  <c r="X228" i="13"/>
  <c r="X140" i="13"/>
  <c r="F142" i="13"/>
  <c r="F53" i="13"/>
  <c r="AB230" i="13"/>
  <c r="AB142" i="13"/>
  <c r="S231" i="13"/>
  <c r="S143" i="13"/>
  <c r="J144" i="13"/>
  <c r="W233" i="13"/>
  <c r="W128" i="13"/>
  <c r="W162" i="13" s="1"/>
  <c r="N146" i="13"/>
  <c r="E147" i="13"/>
  <c r="E235" i="13"/>
  <c r="AA147" i="13"/>
  <c r="AA235" i="13"/>
  <c r="CN22" i="13"/>
  <c r="O72" i="16"/>
  <c r="O56" i="16" s="1"/>
  <c r="AT24" i="13"/>
  <c r="BN24" i="13"/>
  <c r="K175" i="13"/>
  <c r="AG175" i="13"/>
  <c r="BV35" i="13"/>
  <c r="BZ36" i="13"/>
  <c r="AP211" i="13"/>
  <c r="AE179" i="13"/>
  <c r="AE196" i="13" s="1"/>
  <c r="O180" i="13"/>
  <c r="O197" i="13" s="1"/>
  <c r="CC40" i="13"/>
  <c r="AR40" i="13"/>
  <c r="BZ40" i="13"/>
  <c r="K183" i="13"/>
  <c r="K200" i="13" s="1"/>
  <c r="BY43" i="13"/>
  <c r="BU43" i="13"/>
  <c r="BS46" i="13"/>
  <c r="AO93" i="13"/>
  <c r="F122" i="13"/>
  <c r="F156" i="13" s="1"/>
  <c r="I123" i="13"/>
  <c r="L124" i="13"/>
  <c r="R126" i="13"/>
  <c r="B128" i="13"/>
  <c r="B162" i="13" s="1"/>
  <c r="E101" i="13"/>
  <c r="E116" i="13" s="1"/>
  <c r="J129" i="13"/>
  <c r="J163" i="13" s="1"/>
  <c r="H179" i="13"/>
  <c r="H196" i="13" s="1"/>
  <c r="H213" i="13" s="1"/>
  <c r="Z212" i="13"/>
  <c r="BV43" i="13"/>
  <c r="BT46" i="13"/>
  <c r="AH51" i="13"/>
  <c r="T98" i="13"/>
  <c r="T93" i="13"/>
  <c r="AP119" i="13"/>
  <c r="D121" i="13"/>
  <c r="D155" i="13" s="1"/>
  <c r="Z121" i="13"/>
  <c r="Z155" i="13" s="1"/>
  <c r="G122" i="13"/>
  <c r="G156" i="13" s="1"/>
  <c r="AC99" i="13"/>
  <c r="AC122" i="13"/>
  <c r="AC156" i="13" s="1"/>
  <c r="J123" i="13"/>
  <c r="J157" i="13" s="1"/>
  <c r="M124" i="13"/>
  <c r="V127" i="13"/>
  <c r="V161" i="13" s="1"/>
  <c r="AJ93" i="13"/>
  <c r="I179" i="13"/>
  <c r="I196" i="13" s="1"/>
  <c r="AQ211" i="13"/>
  <c r="W54" i="13"/>
  <c r="AM93" i="13"/>
  <c r="M101" i="13"/>
  <c r="M116" i="13" s="1"/>
  <c r="Y192" i="13"/>
  <c r="Y210" i="13" s="1"/>
  <c r="AB212" i="13"/>
  <c r="BR42" i="13"/>
  <c r="N183" i="13"/>
  <c r="N200" i="13" s="1"/>
  <c r="AS43" i="13"/>
  <c r="CB43" i="13"/>
  <c r="BX43" i="13"/>
  <c r="J186" i="13"/>
  <c r="J203" i="13" s="1"/>
  <c r="AW46" i="13"/>
  <c r="BV46" i="13"/>
  <c r="V93" i="13"/>
  <c r="C120" i="13"/>
  <c r="C154" i="13" s="1"/>
  <c r="L184" i="13"/>
  <c r="L201" i="13" s="1"/>
  <c r="AP224" i="13"/>
  <c r="AP51" i="13"/>
  <c r="B226" i="13"/>
  <c r="B138" i="13"/>
  <c r="B121" i="13"/>
  <c r="B155" i="13" s="1"/>
  <c r="X226" i="13"/>
  <c r="X138" i="13"/>
  <c r="O139" i="13"/>
  <c r="O227" i="13"/>
  <c r="F140" i="13"/>
  <c r="S229" i="13"/>
  <c r="S141" i="13"/>
  <c r="S124" i="13"/>
  <c r="S158" i="13" s="1"/>
  <c r="AO124" i="13"/>
  <c r="AO229" i="13"/>
  <c r="J142" i="13"/>
  <c r="J53" i="13"/>
  <c r="W231" i="13"/>
  <c r="W143" i="13"/>
  <c r="N144" i="13"/>
  <c r="BQ27" i="13"/>
  <c r="AA145" i="13"/>
  <c r="AA233" i="13"/>
  <c r="AA128" i="13"/>
  <c r="AA162" i="13" s="1"/>
  <c r="R146" i="13"/>
  <c r="R234" i="13"/>
  <c r="I147" i="13"/>
  <c r="BO19" i="13"/>
  <c r="BR24" i="13"/>
  <c r="BH28" i="13"/>
  <c r="O175" i="13"/>
  <c r="CC35" i="13"/>
  <c r="AR35" i="13"/>
  <c r="AC212" i="13"/>
  <c r="BQ38" i="13"/>
  <c r="M179" i="13"/>
  <c r="M196" i="13" s="1"/>
  <c r="AT39" i="13"/>
  <c r="BS42" i="13"/>
  <c r="O183" i="13"/>
  <c r="O200" i="13" s="1"/>
  <c r="CC43" i="13"/>
  <c r="AR43" i="13"/>
  <c r="BZ43" i="13"/>
  <c r="AT44" i="13"/>
  <c r="AG220" i="13"/>
  <c r="BW46" i="13"/>
  <c r="N107" i="13"/>
  <c r="AX61" i="13"/>
  <c r="BG61" i="13"/>
  <c r="I109" i="13"/>
  <c r="W98" i="13"/>
  <c r="Z93" i="13"/>
  <c r="J122" i="13"/>
  <c r="J156" i="13" s="1"/>
  <c r="S125" i="13"/>
  <c r="S159" i="13" s="1"/>
  <c r="AO125" i="13"/>
  <c r="AP93" i="13"/>
  <c r="H98" i="13"/>
  <c r="AF125" i="13"/>
  <c r="AF159" i="13" s="1"/>
  <c r="K141" i="13"/>
  <c r="W145" i="13"/>
  <c r="O184" i="13"/>
  <c r="O201" i="13" s="1"/>
  <c r="U136" i="13"/>
  <c r="U224" i="13"/>
  <c r="U119" i="13"/>
  <c r="L137" i="13"/>
  <c r="C138" i="13"/>
  <c r="C226" i="13"/>
  <c r="Y138" i="13"/>
  <c r="Y226" i="13"/>
  <c r="G140" i="13"/>
  <c r="G123" i="13"/>
  <c r="G157" i="13" s="1"/>
  <c r="AC228" i="13"/>
  <c r="AC140" i="13"/>
  <c r="AC123" i="13"/>
  <c r="AC157" i="13" s="1"/>
  <c r="T229" i="13"/>
  <c r="T141" i="13"/>
  <c r="K142" i="13"/>
  <c r="AG230" i="13"/>
  <c r="AG53" i="13"/>
  <c r="B231" i="13"/>
  <c r="B143" i="13"/>
  <c r="B126" i="13"/>
  <c r="B160" i="13" s="1"/>
  <c r="X143" i="13"/>
  <c r="X231" i="13"/>
  <c r="X126" i="13"/>
  <c r="X160" i="13" s="1"/>
  <c r="O27" i="16"/>
  <c r="O43" i="16" s="1"/>
  <c r="O144" i="13"/>
  <c r="BR27" i="13"/>
  <c r="F145" i="13"/>
  <c r="BI28" i="13"/>
  <c r="AB145" i="13"/>
  <c r="AB233" i="13"/>
  <c r="AB128" i="13"/>
  <c r="AB162" i="13" s="1"/>
  <c r="S234" i="13"/>
  <c r="S146" i="13"/>
  <c r="J30" i="16"/>
  <c r="J46" i="16" s="1"/>
  <c r="J147" i="13"/>
  <c r="M74" i="16"/>
  <c r="M58" i="16" s="1"/>
  <c r="CL26" i="13"/>
  <c r="AD212" i="13"/>
  <c r="N179" i="13"/>
  <c r="N196" i="13" s="1"/>
  <c r="AS39" i="13"/>
  <c r="CB39" i="13"/>
  <c r="BX39" i="13"/>
  <c r="BT42" i="13"/>
  <c r="P217" i="13"/>
  <c r="BP45" i="13"/>
  <c r="BX46" i="13"/>
  <c r="J64" i="13"/>
  <c r="K122" i="13"/>
  <c r="K156" i="13" s="1"/>
  <c r="K137" i="13"/>
  <c r="J176" i="13"/>
  <c r="J193" i="13" s="1"/>
  <c r="J93" i="13"/>
  <c r="J119" i="13"/>
  <c r="J98" i="13"/>
  <c r="J113" i="13" s="1"/>
  <c r="AF93" i="13"/>
  <c r="AF119" i="13"/>
  <c r="AF98" i="13"/>
  <c r="S99" i="13"/>
  <c r="S122" i="13"/>
  <c r="S156" i="13" s="1"/>
  <c r="AO99" i="13"/>
  <c r="AO122" i="13"/>
  <c r="V123" i="13"/>
  <c r="V157" i="13" s="1"/>
  <c r="Y124" i="13"/>
  <c r="Y158" i="13" s="1"/>
  <c r="I126" i="13"/>
  <c r="AH127" i="13"/>
  <c r="AH161" i="13" s="1"/>
  <c r="O128" i="13"/>
  <c r="R129" i="13"/>
  <c r="AN129" i="13"/>
  <c r="AN163" i="13" s="1"/>
  <c r="U130" i="13"/>
  <c r="U164" i="13" s="1"/>
  <c r="C98" i="13"/>
  <c r="J99" i="13"/>
  <c r="J114" i="13" s="1"/>
  <c r="N19" i="14"/>
  <c r="N15" i="14"/>
  <c r="AJ19" i="14"/>
  <c r="AJ15" i="14"/>
  <c r="Q218" i="13"/>
  <c r="BG60" i="13"/>
  <c r="K107" i="13"/>
  <c r="S98" i="13"/>
  <c r="S119" i="13"/>
  <c r="S93" i="13"/>
  <c r="AO119" i="13"/>
  <c r="C121" i="13"/>
  <c r="C155" i="13" s="1"/>
  <c r="Y121" i="13"/>
  <c r="Y155" i="13" s="1"/>
  <c r="AB99" i="13"/>
  <c r="AB122" i="13"/>
  <c r="AB156" i="13" s="1"/>
  <c r="AE123" i="13"/>
  <c r="AE157" i="13" s="1"/>
  <c r="AH124" i="13"/>
  <c r="AH158" i="13" s="1"/>
  <c r="O100" i="13"/>
  <c r="O125" i="13"/>
  <c r="AN126" i="13"/>
  <c r="AN160" i="13" s="1"/>
  <c r="U127" i="13"/>
  <c r="U161" i="13" s="1"/>
  <c r="B101" i="13"/>
  <c r="E129" i="13"/>
  <c r="E163" i="13" s="1"/>
  <c r="AA129" i="13"/>
  <c r="AA163" i="13" s="1"/>
  <c r="AD130" i="13"/>
  <c r="AD164" i="13" s="1"/>
  <c r="AI124" i="13"/>
  <c r="AI158" i="13" s="1"/>
  <c r="P125" i="13"/>
  <c r="P100" i="13"/>
  <c r="S126" i="13"/>
  <c r="S160" i="13" s="1"/>
  <c r="C101" i="13"/>
  <c r="C116" i="13" s="1"/>
  <c r="F129" i="13"/>
  <c r="F163" i="13" s="1"/>
  <c r="AB129" i="13"/>
  <c r="AB163" i="13" s="1"/>
  <c r="I130" i="13"/>
  <c r="AE130" i="13"/>
  <c r="AE164" i="13" s="1"/>
  <c r="Z98" i="13"/>
  <c r="AB100" i="13"/>
  <c r="Q219" i="13"/>
  <c r="X120" i="13"/>
  <c r="X154" i="13" s="1"/>
  <c r="Y120" i="13"/>
  <c r="Y154" i="13" s="1"/>
  <c r="F121" i="13"/>
  <c r="F155" i="13" s="1"/>
  <c r="AB121" i="13"/>
  <c r="AB155" i="13" s="1"/>
  <c r="I99" i="13"/>
  <c r="I114" i="13" s="1"/>
  <c r="AE122" i="13"/>
  <c r="AE156" i="13" s="1"/>
  <c r="L123" i="13"/>
  <c r="O124" i="13"/>
  <c r="AK124" i="13"/>
  <c r="R100" i="13"/>
  <c r="R125" i="13"/>
  <c r="AN125" i="13"/>
  <c r="AN159" i="13" s="1"/>
  <c r="AN100" i="13"/>
  <c r="U126" i="13"/>
  <c r="U160" i="13" s="1"/>
  <c r="X127" i="13"/>
  <c r="X161" i="13" s="1"/>
  <c r="E128" i="13"/>
  <c r="E162" i="13" s="1"/>
  <c r="Y93" i="13"/>
  <c r="W93" i="13"/>
  <c r="D98" i="13"/>
  <c r="D113" i="13" s="1"/>
  <c r="AF99" i="13"/>
  <c r="AF122" i="13"/>
  <c r="AF156" i="13" s="1"/>
  <c r="M123" i="13"/>
  <c r="P124" i="13"/>
  <c r="AL124" i="13"/>
  <c r="V126" i="13"/>
  <c r="V160" i="13" s="1"/>
  <c r="C127" i="13"/>
  <c r="C161" i="13" s="1"/>
  <c r="Y127" i="13"/>
  <c r="Y161" i="13" s="1"/>
  <c r="F128" i="13"/>
  <c r="F162" i="13" s="1"/>
  <c r="F101" i="13"/>
  <c r="F116" i="13" s="1"/>
  <c r="I129" i="13"/>
  <c r="I101" i="13"/>
  <c r="I116" i="13" s="1"/>
  <c r="AE129" i="13"/>
  <c r="AE163" i="13" s="1"/>
  <c r="L130" i="13"/>
  <c r="AE99" i="13"/>
  <c r="AQ218" i="13"/>
  <c r="AP214" i="13"/>
  <c r="AP216" i="13"/>
  <c r="AP217" i="13"/>
  <c r="BG62" i="13"/>
  <c r="K109" i="13"/>
  <c r="H110" i="13"/>
  <c r="B119" i="13"/>
  <c r="X98" i="13"/>
  <c r="X93" i="13"/>
  <c r="AA120" i="13"/>
  <c r="AA154" i="13" s="1"/>
  <c r="H121" i="13"/>
  <c r="H155" i="13" s="1"/>
  <c r="AG99" i="13"/>
  <c r="AG122" i="13"/>
  <c r="AG156" i="13" s="1"/>
  <c r="N123" i="13"/>
  <c r="AM124" i="13"/>
  <c r="AP125" i="13"/>
  <c r="AP159" i="13" s="1"/>
  <c r="AP100" i="13"/>
  <c r="W126" i="13"/>
  <c r="W160" i="13" s="1"/>
  <c r="D127" i="13"/>
  <c r="D161" i="13" s="1"/>
  <c r="Z127" i="13"/>
  <c r="Z161" i="13" s="1"/>
  <c r="G128" i="13"/>
  <c r="G162" i="13" s="1"/>
  <c r="G101" i="13"/>
  <c r="G116" i="13" s="1"/>
  <c r="M130" i="13"/>
  <c r="AI130" i="13"/>
  <c r="AI164" i="13" s="1"/>
  <c r="I122" i="13"/>
  <c r="U15" i="14"/>
  <c r="U19" i="14"/>
  <c r="C175" i="13"/>
  <c r="C47" i="13"/>
  <c r="BQ47" i="13" s="1"/>
  <c r="Y47" i="13"/>
  <c r="V213" i="13"/>
  <c r="Q64" i="13"/>
  <c r="C119" i="13"/>
  <c r="AB120" i="13"/>
  <c r="AB154" i="13" s="1"/>
  <c r="AK128" i="13"/>
  <c r="D175" i="13"/>
  <c r="D47" i="13"/>
  <c r="BR47" i="13" s="1"/>
  <c r="Z175" i="13"/>
  <c r="Z47" i="13"/>
  <c r="D176" i="13"/>
  <c r="D193" i="13" s="1"/>
  <c r="D211" i="13" s="1"/>
  <c r="Z176" i="13"/>
  <c r="Z193" i="13" s="1"/>
  <c r="Z211" i="13" s="1"/>
  <c r="Y211" i="13"/>
  <c r="M109" i="13"/>
  <c r="AV63" i="13"/>
  <c r="AC120" i="13"/>
  <c r="AC154" i="13" s="1"/>
  <c r="D120" i="13"/>
  <c r="D154" i="13" s="1"/>
  <c r="O26" i="16"/>
  <c r="O42" i="16" s="1"/>
  <c r="AY56" i="14"/>
  <c r="AT56" i="14"/>
  <c r="AV57" i="14"/>
  <c r="AW57" i="14" s="1"/>
  <c r="O231" i="13"/>
  <c r="BA56" i="14"/>
  <c r="AV56" i="14"/>
  <c r="AW56" i="14" s="1"/>
  <c r="AU56" i="14"/>
  <c r="AM119" i="13"/>
  <c r="Y129" i="13"/>
  <c r="Y163" i="13" s="1"/>
  <c r="F130" i="13"/>
  <c r="F164" i="13" s="1"/>
  <c r="AP61" i="14"/>
  <c r="BI31" i="14"/>
  <c r="AZ31" i="14"/>
  <c r="K37" i="14"/>
  <c r="C24" i="16"/>
  <c r="C40" i="16" s="1"/>
  <c r="C229" i="13"/>
  <c r="X20" i="14"/>
  <c r="X15" i="14"/>
  <c r="BC39" i="14"/>
  <c r="BK31" i="14"/>
  <c r="BB31" i="14"/>
  <c r="L37" i="14"/>
  <c r="H64" i="13"/>
  <c r="E121" i="13"/>
  <c r="E155" i="13" s="1"/>
  <c r="AA121" i="13"/>
  <c r="AA155" i="13" s="1"/>
  <c r="H122" i="13"/>
  <c r="H156" i="13" s="1"/>
  <c r="H99" i="13"/>
  <c r="H114" i="13" s="1"/>
  <c r="K123" i="13"/>
  <c r="K157" i="13" s="1"/>
  <c r="AG123" i="13"/>
  <c r="AG157" i="13" s="1"/>
  <c r="AJ124" i="13"/>
  <c r="Q125" i="13"/>
  <c r="Q100" i="13"/>
  <c r="AM125" i="13"/>
  <c r="T126" i="13"/>
  <c r="T160" i="13" s="1"/>
  <c r="U125" i="13"/>
  <c r="U159" i="13" s="1"/>
  <c r="E24" i="16"/>
  <c r="E40" i="16" s="1"/>
  <c r="E229" i="13"/>
  <c r="E61" i="14"/>
  <c r="F24" i="16"/>
  <c r="F40" i="16" s="1"/>
  <c r="F229" i="13"/>
  <c r="F61" i="14"/>
  <c r="W15" i="14"/>
  <c r="F20" i="14"/>
  <c r="F35" i="14" s="1"/>
  <c r="AB20" i="14"/>
  <c r="AB15" i="14"/>
  <c r="Y15" i="14"/>
  <c r="Y98" i="13"/>
  <c r="O123" i="13"/>
  <c r="AK123" i="13"/>
  <c r="E127" i="13"/>
  <c r="E161" i="13" s="1"/>
  <c r="AA127" i="13"/>
  <c r="AA161" i="13" s="1"/>
  <c r="K129" i="13"/>
  <c r="K163" i="13" s="1"/>
  <c r="N130" i="13"/>
  <c r="AJ130" i="13"/>
  <c r="H107" i="13"/>
  <c r="AE15" i="14"/>
  <c r="AC20" i="14"/>
  <c r="AI122" i="13"/>
  <c r="AI156" i="13" s="1"/>
  <c r="C126" i="13"/>
  <c r="C160" i="13" s="1"/>
  <c r="Y126" i="13"/>
  <c r="Y160" i="13" s="1"/>
  <c r="F127" i="13"/>
  <c r="F161" i="13" s="1"/>
  <c r="AB127" i="13"/>
  <c r="AB161" i="13" s="1"/>
  <c r="I128" i="13"/>
  <c r="L129" i="13"/>
  <c r="AK130" i="13"/>
  <c r="AI99" i="13"/>
  <c r="AH122" i="13"/>
  <c r="AH156" i="13" s="1"/>
  <c r="J19" i="14"/>
  <c r="J15" i="14"/>
  <c r="AF19" i="14"/>
  <c r="AF15" i="14"/>
  <c r="Q32" i="14"/>
  <c r="D24" i="16"/>
  <c r="D40" i="16" s="1"/>
  <c r="D229" i="13"/>
  <c r="D61" i="14"/>
  <c r="S15" i="14"/>
  <c r="S19" i="14"/>
  <c r="AM15" i="14"/>
  <c r="BA51" i="14"/>
  <c r="AY51" i="14"/>
  <c r="O21" i="16"/>
  <c r="O37" i="16" s="1"/>
  <c r="AT51" i="14"/>
  <c r="AU51" i="14"/>
  <c r="AV52" i="14"/>
  <c r="AW52" i="14" s="1"/>
  <c r="AV51" i="14"/>
  <c r="AW51" i="14" s="1"/>
  <c r="AQ236" i="13"/>
  <c r="H25" i="16"/>
  <c r="H41" i="16" s="1"/>
  <c r="H230" i="13"/>
  <c r="H61" i="14"/>
  <c r="AT5" i="14"/>
  <c r="AJ177" i="13" s="1"/>
  <c r="AJ194" i="13" s="1"/>
  <c r="AA79" i="14"/>
  <c r="AU5" i="14"/>
  <c r="AK177" i="13" s="1"/>
  <c r="AK194" i="13" s="1"/>
  <c r="AO21" i="14"/>
  <c r="P19" i="14"/>
  <c r="P34" i="14" s="1"/>
  <c r="E15" i="14"/>
  <c r="E19" i="14"/>
  <c r="AA19" i="14"/>
  <c r="AY5" i="14"/>
  <c r="AO177" i="13" s="1"/>
  <c r="AO194" i="13" s="1"/>
  <c r="AJ22" i="14"/>
  <c r="AU13" i="14"/>
  <c r="AK185" i="13" s="1"/>
  <c r="AK202" i="13" s="1"/>
  <c r="AT13" i="14"/>
  <c r="AJ185" i="13" s="1"/>
  <c r="AJ202" i="13" s="1"/>
  <c r="BA13" i="14"/>
  <c r="AO79" i="14"/>
  <c r="Q119" i="13"/>
  <c r="AP120" i="13"/>
  <c r="AP154" i="13" s="1"/>
  <c r="W121" i="13"/>
  <c r="W155" i="13" s="1"/>
  <c r="Z122" i="13"/>
  <c r="Z156" i="13" s="1"/>
  <c r="Z99" i="13"/>
  <c r="J124" i="13"/>
  <c r="J158" i="13" s="1"/>
  <c r="V128" i="13"/>
  <c r="V162" i="13" s="1"/>
  <c r="O22" i="14"/>
  <c r="O37" i="14" s="1"/>
  <c r="AU12" i="14"/>
  <c r="AK184" i="13" s="1"/>
  <c r="AK201" i="13" s="1"/>
  <c r="BA12" i="14"/>
  <c r="AT12" i="14"/>
  <c r="AJ184" i="13" s="1"/>
  <c r="AJ201" i="13" s="1"/>
  <c r="H29" i="16"/>
  <c r="H45" i="16" s="1"/>
  <c r="R119" i="13"/>
  <c r="AA122" i="13"/>
  <c r="AA156" i="13" s="1"/>
  <c r="AD123" i="13"/>
  <c r="AD157" i="13" s="1"/>
  <c r="K124" i="13"/>
  <c r="K158" i="13" s="1"/>
  <c r="AG124" i="13"/>
  <c r="AG158" i="13" s="1"/>
  <c r="F15" i="14"/>
  <c r="F19" i="14"/>
  <c r="AV11" i="14"/>
  <c r="AU11" i="14"/>
  <c r="AK183" i="13" s="1"/>
  <c r="AK200" i="13" s="1"/>
  <c r="AV12" i="14"/>
  <c r="AW12" i="14" s="1"/>
  <c r="AM184" i="13" s="1"/>
  <c r="AM201" i="13" s="1"/>
  <c r="D30" i="16"/>
  <c r="D46" i="16" s="1"/>
  <c r="D235" i="13"/>
  <c r="BI30" i="14"/>
  <c r="AZ30" i="14"/>
  <c r="K32" i="14"/>
  <c r="AG32" i="14"/>
  <c r="N37" i="14"/>
  <c r="C19" i="16"/>
  <c r="I228" i="13"/>
  <c r="I23" i="16"/>
  <c r="I39" i="16" s="1"/>
  <c r="I62" i="14"/>
  <c r="I24" i="16"/>
  <c r="I40" i="16" s="1"/>
  <c r="I229" i="13"/>
  <c r="AP79" i="14"/>
  <c r="O32" i="14"/>
  <c r="BK29" i="14"/>
  <c r="BB29" i="14"/>
  <c r="BC37" i="14"/>
  <c r="L32" i="14"/>
  <c r="AH32" i="14"/>
  <c r="BC38" i="14"/>
  <c r="BK30" i="14"/>
  <c r="BB30" i="14"/>
  <c r="AS31" i="14"/>
  <c r="J23" i="16"/>
  <c r="J39" i="16" s="1"/>
  <c r="J228" i="13"/>
  <c r="BF53" i="14"/>
  <c r="J62" i="14"/>
  <c r="J24" i="16"/>
  <c r="J40" i="16" s="1"/>
  <c r="J229" i="13"/>
  <c r="G20" i="14"/>
  <c r="G35" i="14" s="1"/>
  <c r="T22" i="14"/>
  <c r="AP22" i="14"/>
  <c r="K229" i="13"/>
  <c r="K24" i="16"/>
  <c r="K40" i="16" s="1"/>
  <c r="L62" i="14"/>
  <c r="K62" i="14"/>
  <c r="G25" i="16"/>
  <c r="G41" i="16" s="1"/>
  <c r="G230" i="13"/>
  <c r="R32" i="14"/>
  <c r="AS29" i="14"/>
  <c r="AS30" i="14"/>
  <c r="AO61" i="14"/>
  <c r="P30" i="16"/>
  <c r="R15" i="14"/>
  <c r="J20" i="14"/>
  <c r="J35" i="14" s="1"/>
  <c r="BB8" i="14"/>
  <c r="BC8" i="14" s="1"/>
  <c r="BB6" i="14"/>
  <c r="K20" i="14"/>
  <c r="K35" i="14" s="1"/>
  <c r="BB7" i="14"/>
  <c r="BC7" i="14" s="1"/>
  <c r="L20" i="14"/>
  <c r="T15" i="14"/>
  <c r="AP15" i="14"/>
  <c r="AP19" i="14"/>
  <c r="AH20" i="14"/>
  <c r="K21" i="14"/>
  <c r="K36" i="14" s="1"/>
  <c r="AG21" i="14"/>
  <c r="AQ181" i="13"/>
  <c r="AQ198" i="13" s="1"/>
  <c r="AS28" i="14"/>
  <c r="AF79" i="14"/>
  <c r="C28" i="16"/>
  <c r="C44" i="16" s="1"/>
  <c r="C233" i="13"/>
  <c r="AN15" i="14"/>
  <c r="BA6" i="14"/>
  <c r="O20" i="14"/>
  <c r="AT8" i="14"/>
  <c r="AJ180" i="13" s="1"/>
  <c r="AJ197" i="13" s="1"/>
  <c r="AY8" i="14"/>
  <c r="AO180" i="13" s="1"/>
  <c r="AO197" i="13" s="1"/>
  <c r="AV8" i="14"/>
  <c r="AW8" i="14" s="1"/>
  <c r="AM180" i="13" s="1"/>
  <c r="AM197" i="13" s="1"/>
  <c r="O98" i="13"/>
  <c r="AK98" i="13"/>
  <c r="B122" i="13"/>
  <c r="B156" i="13" s="1"/>
  <c r="X122" i="13"/>
  <c r="X156" i="13" s="1"/>
  <c r="K125" i="13"/>
  <c r="K159" i="13" s="1"/>
  <c r="AG125" i="13"/>
  <c r="AG159" i="13" s="1"/>
  <c r="Q127" i="13"/>
  <c r="AM127" i="13"/>
  <c r="B99" i="13"/>
  <c r="AG100" i="13"/>
  <c r="AY6" i="14"/>
  <c r="AO178" i="13" s="1"/>
  <c r="AO195" i="13" s="1"/>
  <c r="AV6" i="14"/>
  <c r="AW6" i="14" s="1"/>
  <c r="AM178" i="13" s="1"/>
  <c r="AM195" i="13" s="1"/>
  <c r="AY7" i="14"/>
  <c r="AO179" i="13" s="1"/>
  <c r="AO196" i="13" s="1"/>
  <c r="AV7" i="14"/>
  <c r="AW7" i="14" s="1"/>
  <c r="AM179" i="13" s="1"/>
  <c r="AM196" i="13" s="1"/>
  <c r="AU7" i="14"/>
  <c r="AK179" i="13" s="1"/>
  <c r="AK196" i="13" s="1"/>
  <c r="AT7" i="14"/>
  <c r="AJ179" i="13" s="1"/>
  <c r="AJ196" i="13" s="1"/>
  <c r="C32" i="14"/>
  <c r="P32" i="14"/>
  <c r="C61" i="14"/>
  <c r="C19" i="14"/>
  <c r="C15" i="14"/>
  <c r="B19" i="14"/>
  <c r="B15" i="14"/>
  <c r="P21" i="14"/>
  <c r="P36" i="14" s="1"/>
  <c r="AU9" i="14"/>
  <c r="AK181" i="13" s="1"/>
  <c r="AK198" i="13" s="1"/>
  <c r="AT9" i="14"/>
  <c r="AJ181" i="13" s="1"/>
  <c r="AJ198" i="13" s="1"/>
  <c r="AL21" i="14"/>
  <c r="AL32" i="14"/>
  <c r="BD29" i="14"/>
  <c r="M32" i="14"/>
  <c r="BD32" i="14" s="1"/>
  <c r="BD30" i="14"/>
  <c r="C25" i="16"/>
  <c r="C41" i="16" s="1"/>
  <c r="C230" i="13"/>
  <c r="Y22" i="14"/>
  <c r="N23" i="16"/>
  <c r="N39" i="16" s="1"/>
  <c r="BB53" i="14"/>
  <c r="N228" i="13"/>
  <c r="N24" i="16"/>
  <c r="N40" i="16" s="1"/>
  <c r="N229" i="13"/>
  <c r="AU54" i="14"/>
  <c r="AT54" i="14"/>
  <c r="AV91" i="14"/>
  <c r="AW91" i="14" s="1"/>
  <c r="AU91" i="14"/>
  <c r="AY91" i="14"/>
  <c r="AT91" i="14"/>
  <c r="H15" i="14"/>
  <c r="AD19" i="14"/>
  <c r="S20" i="14"/>
  <c r="O19" i="16"/>
  <c r="O62" i="14"/>
  <c r="BA49" i="14"/>
  <c r="AY49" i="14"/>
  <c r="AU49" i="14"/>
  <c r="AT49" i="14"/>
  <c r="AV49" i="14"/>
  <c r="AW49" i="14" s="1"/>
  <c r="AK79" i="14"/>
  <c r="AK61" i="14"/>
  <c r="K20" i="16"/>
  <c r="K36" i="16" s="1"/>
  <c r="BF50" i="14"/>
  <c r="O23" i="16"/>
  <c r="O39" i="16" s="1"/>
  <c r="BA53" i="14"/>
  <c r="AY53" i="14"/>
  <c r="AV53" i="14"/>
  <c r="AW53" i="14" s="1"/>
  <c r="AU53" i="14"/>
  <c r="AT53" i="14"/>
  <c r="B79" i="14"/>
  <c r="I15" i="14"/>
  <c r="AE19" i="14"/>
  <c r="P61" i="14"/>
  <c r="P19" i="16"/>
  <c r="P224" i="13"/>
  <c r="P62" i="14"/>
  <c r="AL61" i="14"/>
  <c r="AL79" i="14"/>
  <c r="L20" i="16"/>
  <c r="L36" i="16" s="1"/>
  <c r="L225" i="13"/>
  <c r="BD50" i="14"/>
  <c r="P23" i="16"/>
  <c r="P228" i="13"/>
  <c r="AY60" i="14"/>
  <c r="O30" i="16"/>
  <c r="O46" i="16" s="1"/>
  <c r="AT60" i="14"/>
  <c r="BA60" i="14"/>
  <c r="AV60" i="14"/>
  <c r="AW60" i="14" s="1"/>
  <c r="AU60" i="14"/>
  <c r="AY90" i="14"/>
  <c r="AU90" i="14"/>
  <c r="AT90" i="14"/>
  <c r="AV90" i="14"/>
  <c r="AW90" i="14" s="1"/>
  <c r="AU88" i="14"/>
  <c r="AT88" i="14"/>
  <c r="AY88" i="14"/>
  <c r="AY89" i="14"/>
  <c r="AU89" i="14"/>
  <c r="AT89" i="14"/>
  <c r="R61" i="14"/>
  <c r="R79" i="14"/>
  <c r="AN61" i="14"/>
  <c r="AN79" i="14"/>
  <c r="G226" i="13"/>
  <c r="G61" i="14"/>
  <c r="S47" i="15"/>
  <c r="S5" i="15"/>
  <c r="N47" i="15"/>
  <c r="AH15" i="14"/>
  <c r="AM21" i="14"/>
  <c r="BB10" i="14"/>
  <c r="BC10" i="14" s="1"/>
  <c r="AC22" i="14"/>
  <c r="H19" i="14"/>
  <c r="H34" i="14" s="1"/>
  <c r="S61" i="14"/>
  <c r="D22" i="16"/>
  <c r="D38" i="16" s="1"/>
  <c r="D227" i="13"/>
  <c r="P47" i="15"/>
  <c r="P3" i="15"/>
  <c r="AL3" i="15"/>
  <c r="AL47" i="15"/>
  <c r="AC4" i="15"/>
  <c r="AC47" i="15"/>
  <c r="T47" i="15"/>
  <c r="T5" i="15"/>
  <c r="O47" i="15"/>
  <c r="I19" i="14"/>
  <c r="E22" i="16"/>
  <c r="E38" i="16" s="1"/>
  <c r="E227" i="13"/>
  <c r="C29" i="16"/>
  <c r="C45" i="16" s="1"/>
  <c r="C234" i="13"/>
  <c r="O95" i="14"/>
  <c r="Q47" i="15"/>
  <c r="Q3" i="15"/>
  <c r="AM47" i="15"/>
  <c r="AM3" i="15"/>
  <c r="G21" i="16"/>
  <c r="G37" i="16" s="1"/>
  <c r="J226" i="13"/>
  <c r="J21" i="16"/>
  <c r="J37" i="16" s="1"/>
  <c r="BF51" i="14"/>
  <c r="F22" i="16"/>
  <c r="F38" i="16" s="1"/>
  <c r="H27" i="16"/>
  <c r="H43" i="16" s="1"/>
  <c r="G28" i="16"/>
  <c r="G44" i="16" s="1"/>
  <c r="G233" i="13"/>
  <c r="D29" i="16"/>
  <c r="D45" i="16" s="1"/>
  <c r="D234" i="13"/>
  <c r="I21" i="16"/>
  <c r="I37" i="16" s="1"/>
  <c r="O19" i="14"/>
  <c r="O34" i="14" s="1"/>
  <c r="BA3" i="14"/>
  <c r="O15" i="14"/>
  <c r="T21" i="14"/>
  <c r="AP21" i="14"/>
  <c r="K226" i="13"/>
  <c r="K21" i="16"/>
  <c r="K37" i="16" s="1"/>
  <c r="G22" i="16"/>
  <c r="G38" i="16" s="1"/>
  <c r="G62" i="14"/>
  <c r="G227" i="13"/>
  <c r="U21" i="14"/>
  <c r="AK21" i="14"/>
  <c r="BB12" i="14"/>
  <c r="BB13" i="14"/>
  <c r="W61" i="14"/>
  <c r="BB54" i="14"/>
  <c r="BE54" i="14" s="1"/>
  <c r="J232" i="13"/>
  <c r="BF57" i="14"/>
  <c r="J27" i="16"/>
  <c r="J43" i="16" s="1"/>
  <c r="F29" i="16"/>
  <c r="F45" i="16" s="1"/>
  <c r="F234" i="13"/>
  <c r="U79" i="14"/>
  <c r="AV88" i="14"/>
  <c r="AW88" i="14" s="1"/>
  <c r="AV89" i="14"/>
  <c r="AW89" i="14" s="1"/>
  <c r="Q15" i="14"/>
  <c r="J32" i="14"/>
  <c r="AX32" i="14" s="1"/>
  <c r="X61" i="14"/>
  <c r="N103" i="14"/>
  <c r="I22" i="16"/>
  <c r="I38" i="16" s="1"/>
  <c r="I227" i="13"/>
  <c r="L26" i="16"/>
  <c r="L42" i="16" s="1"/>
  <c r="L231" i="13"/>
  <c r="K232" i="13"/>
  <c r="K27" i="16"/>
  <c r="K43" i="16" s="1"/>
  <c r="J28" i="16"/>
  <c r="J44" i="16" s="1"/>
  <c r="J233" i="13"/>
  <c r="BF58" i="14"/>
  <c r="V79" i="14"/>
  <c r="P235" i="13"/>
  <c r="L47" i="15"/>
  <c r="J36" i="14"/>
  <c r="K23" i="16"/>
  <c r="K39" i="16" s="1"/>
  <c r="G229" i="13"/>
  <c r="G24" i="16"/>
  <c r="G40" i="16" s="1"/>
  <c r="N232" i="13"/>
  <c r="N27" i="16"/>
  <c r="N43" i="16" s="1"/>
  <c r="AU57" i="14"/>
  <c r="E234" i="13"/>
  <c r="E29" i="16"/>
  <c r="E45" i="16" s="1"/>
  <c r="BE59" i="14"/>
  <c r="U95" i="14"/>
  <c r="E3" i="15"/>
  <c r="E15" i="15" s="1"/>
  <c r="E31" i="15"/>
  <c r="AA3" i="15"/>
  <c r="AA31" i="15"/>
  <c r="AD4" i="15"/>
  <c r="AC11" i="15"/>
  <c r="M13" i="15"/>
  <c r="AI13" i="15"/>
  <c r="F3" i="15"/>
  <c r="F15" i="15" s="1"/>
  <c r="F31" i="15"/>
  <c r="AB3" i="15"/>
  <c r="AB31" i="15"/>
  <c r="N21" i="16"/>
  <c r="N37" i="16" s="1"/>
  <c r="N226" i="13"/>
  <c r="BB51" i="14"/>
  <c r="H22" i="16"/>
  <c r="H38" i="16" s="1"/>
  <c r="H227" i="13"/>
  <c r="J25" i="16"/>
  <c r="J41" i="16" s="1"/>
  <c r="M234" i="13"/>
  <c r="N111" i="14"/>
  <c r="M29" i="16"/>
  <c r="M45" i="16" s="1"/>
  <c r="BC59" i="14"/>
  <c r="G31" i="15"/>
  <c r="G3" i="15"/>
  <c r="G15" i="15" s="1"/>
  <c r="AC31" i="15"/>
  <c r="AC3" i="15"/>
  <c r="C9" i="15"/>
  <c r="C15" i="15" s="1"/>
  <c r="C31" i="15"/>
  <c r="Y9" i="15"/>
  <c r="AE11" i="15"/>
  <c r="H31" i="15"/>
  <c r="H3" i="15"/>
  <c r="H15" i="15" s="1"/>
  <c r="AD31" i="15"/>
  <c r="AD3" i="15"/>
  <c r="AF11" i="15"/>
  <c r="M19" i="14"/>
  <c r="M34" i="14" s="1"/>
  <c r="AI15" i="14"/>
  <c r="W20" i="14"/>
  <c r="AF21" i="14"/>
  <c r="M15" i="14"/>
  <c r="I19" i="16"/>
  <c r="AE79" i="14"/>
  <c r="AE61" i="14"/>
  <c r="D20" i="16"/>
  <c r="D36" i="16" s="1"/>
  <c r="D225" i="13"/>
  <c r="Z79" i="14"/>
  <c r="Z61" i="14"/>
  <c r="P21" i="16"/>
  <c r="P226" i="13"/>
  <c r="J22" i="16"/>
  <c r="J38" i="16" s="1"/>
  <c r="J227" i="13"/>
  <c r="BB57" i="14"/>
  <c r="I30" i="16"/>
  <c r="I46" i="16" s="1"/>
  <c r="I235" i="13"/>
  <c r="I61" i="14"/>
  <c r="I95" i="14"/>
  <c r="AE95" i="14"/>
  <c r="I31" i="15"/>
  <c r="I3" i="15"/>
  <c r="I15" i="15" s="1"/>
  <c r="AE31" i="15"/>
  <c r="AE3" i="15"/>
  <c r="U7" i="15"/>
  <c r="AA9" i="15"/>
  <c r="D32" i="14"/>
  <c r="AX30" i="14"/>
  <c r="J19" i="16"/>
  <c r="J224" i="13"/>
  <c r="BF49" i="14"/>
  <c r="J61" i="14"/>
  <c r="E20" i="16"/>
  <c r="E36" i="16" s="1"/>
  <c r="E225" i="13"/>
  <c r="AA61" i="14"/>
  <c r="K22" i="16"/>
  <c r="K38" i="16" s="1"/>
  <c r="K227" i="13"/>
  <c r="C27" i="16"/>
  <c r="C43" i="16" s="1"/>
  <c r="C232" i="13"/>
  <c r="P29" i="16"/>
  <c r="P234" i="13"/>
  <c r="J235" i="13"/>
  <c r="BF60" i="14"/>
  <c r="E32" i="14"/>
  <c r="K19" i="16"/>
  <c r="K61" i="14"/>
  <c r="AG79" i="14"/>
  <c r="F20" i="16"/>
  <c r="F36" i="16" s="1"/>
  <c r="F225" i="13"/>
  <c r="AB61" i="14"/>
  <c r="L22" i="16"/>
  <c r="L38" i="16" s="1"/>
  <c r="L227" i="13"/>
  <c r="D27" i="16"/>
  <c r="D43" i="16" s="1"/>
  <c r="D232" i="13"/>
  <c r="N63" i="14"/>
  <c r="N64" i="14" s="1"/>
  <c r="M47" i="14"/>
  <c r="J230" i="13"/>
  <c r="AM5" i="15"/>
  <c r="D31" i="15"/>
  <c r="AY3" i="14"/>
  <c r="AO175" i="13" s="1"/>
  <c r="P15" i="14"/>
  <c r="AV3" i="14"/>
  <c r="AU3" i="14"/>
  <c r="AK175" i="13" s="1"/>
  <c r="AL15" i="14"/>
  <c r="AL19" i="14"/>
  <c r="AY14" i="14"/>
  <c r="AO186" i="13" s="1"/>
  <c r="AO203" i="13" s="1"/>
  <c r="AO220" i="13" s="1"/>
  <c r="AU14" i="14"/>
  <c r="AK186" i="13" s="1"/>
  <c r="AK203" i="13" s="1"/>
  <c r="F32" i="14"/>
  <c r="G225" i="13"/>
  <c r="G20" i="16"/>
  <c r="G36" i="16" s="1"/>
  <c r="AC225" i="13"/>
  <c r="AC61" i="14"/>
  <c r="E27" i="16"/>
  <c r="E43" i="16" s="1"/>
  <c r="E232" i="13"/>
  <c r="L235" i="13"/>
  <c r="BD60" i="14"/>
  <c r="L30" i="16"/>
  <c r="L46" i="16" s="1"/>
  <c r="O63" i="14"/>
  <c r="AY61" i="14"/>
  <c r="AU61" i="14"/>
  <c r="O65" i="14"/>
  <c r="AT61" i="14"/>
  <c r="L31" i="15"/>
  <c r="L3" i="15"/>
  <c r="AH31" i="15"/>
  <c r="AH3" i="15"/>
  <c r="B31" i="15"/>
  <c r="B7" i="15"/>
  <c r="B15" i="15" s="1"/>
  <c r="X7" i="15"/>
  <c r="AM19" i="14"/>
  <c r="AT4" i="14"/>
  <c r="AJ176" i="13" s="1"/>
  <c r="AJ193" i="13" s="1"/>
  <c r="H21" i="14"/>
  <c r="H36" i="14" s="1"/>
  <c r="H20" i="16"/>
  <c r="H36" i="16" s="1"/>
  <c r="AD79" i="14"/>
  <c r="AD61" i="14"/>
  <c r="C23" i="16"/>
  <c r="C39" i="16" s="1"/>
  <c r="F27" i="16"/>
  <c r="F43" i="16" s="1"/>
  <c r="F232" i="13"/>
  <c r="M235" i="13"/>
  <c r="BC60" i="14"/>
  <c r="M30" i="16"/>
  <c r="M46" i="16" s="1"/>
  <c r="T61" i="14"/>
  <c r="AN19" i="14"/>
  <c r="BB49" i="14"/>
  <c r="N19" i="16"/>
  <c r="AJ79" i="14"/>
  <c r="AJ61" i="14"/>
  <c r="I20" i="16"/>
  <c r="I36" i="16" s="1"/>
  <c r="O22" i="16"/>
  <c r="O38" i="16" s="1"/>
  <c r="I26" i="16"/>
  <c r="I42" i="16" s="1"/>
  <c r="BB60" i="14"/>
  <c r="N30" i="16"/>
  <c r="N46" i="16" s="1"/>
  <c r="N235" i="13"/>
  <c r="R47" i="15"/>
  <c r="AG11" i="15"/>
  <c r="K31" i="15"/>
  <c r="AG31" i="15"/>
  <c r="AG3" i="15"/>
  <c r="Q5" i="15"/>
  <c r="W7" i="15"/>
  <c r="AC9" i="15"/>
  <c r="W14" i="15"/>
  <c r="Q61" i="14"/>
  <c r="AM61" i="14"/>
  <c r="J20" i="16"/>
  <c r="J36" i="16" s="1"/>
  <c r="J225" i="13"/>
  <c r="N104" i="14"/>
  <c r="M22" i="16"/>
  <c r="M38" i="16" s="1"/>
  <c r="K25" i="16"/>
  <c r="K41" i="16" s="1"/>
  <c r="K230" i="13"/>
  <c r="K28" i="16"/>
  <c r="K44" i="16" s="1"/>
  <c r="G29" i="16"/>
  <c r="G45" i="16" s="1"/>
  <c r="AT94" i="14"/>
  <c r="AU94" i="14"/>
  <c r="M31" i="15"/>
  <c r="AI31" i="15"/>
  <c r="AI3" i="15"/>
  <c r="AO5" i="15"/>
  <c r="AO31" i="15"/>
  <c r="V6" i="15"/>
  <c r="V31" i="15"/>
  <c r="Y7" i="15"/>
  <c r="X14" i="15"/>
  <c r="G95" i="14"/>
  <c r="AU93" i="14"/>
  <c r="AT93" i="14"/>
  <c r="K3" i="15"/>
  <c r="AP31" i="15"/>
  <c r="S12" i="15"/>
  <c r="Y14" i="15"/>
  <c r="E26" i="16"/>
  <c r="E42" i="16" s="1"/>
  <c r="E231" i="13"/>
  <c r="M28" i="16"/>
  <c r="M44" i="16" s="1"/>
  <c r="N110" i="14"/>
  <c r="BC58" i="14"/>
  <c r="G36" i="14"/>
  <c r="M20" i="16"/>
  <c r="M36" i="16" s="1"/>
  <c r="N102" i="14"/>
  <c r="M225" i="13"/>
  <c r="F26" i="16"/>
  <c r="F42" i="16" s="1"/>
  <c r="N28" i="16"/>
  <c r="N44" i="16" s="1"/>
  <c r="N233" i="13"/>
  <c r="BB58" i="14"/>
  <c r="M3" i="15"/>
  <c r="W22" i="14"/>
  <c r="BD28" i="14"/>
  <c r="U61" i="14"/>
  <c r="N20" i="16"/>
  <c r="N36" i="16" s="1"/>
  <c r="C21" i="16"/>
  <c r="C37" i="16" s="1"/>
  <c r="F23" i="16"/>
  <c r="F39" i="16" s="1"/>
  <c r="F228" i="13"/>
  <c r="AV55" i="14"/>
  <c r="AW55" i="14" s="1"/>
  <c r="AU55" i="14"/>
  <c r="O25" i="16"/>
  <c r="O41" i="16" s="1"/>
  <c r="G26" i="16"/>
  <c r="G42" i="16" s="1"/>
  <c r="O28" i="16"/>
  <c r="O44" i="16" s="1"/>
  <c r="O233" i="13"/>
  <c r="AY58" i="14"/>
  <c r="BA58" i="14"/>
  <c r="AV58" i="14"/>
  <c r="AW58" i="14" s="1"/>
  <c r="AM79" i="14"/>
  <c r="AV93" i="14"/>
  <c r="AW93" i="14" s="1"/>
  <c r="AY92" i="14"/>
  <c r="AV92" i="14"/>
  <c r="AW92" i="14" s="1"/>
  <c r="AU92" i="14"/>
  <c r="AT92" i="14"/>
  <c r="B22" i="14"/>
  <c r="X22" i="14"/>
  <c r="N32" i="14"/>
  <c r="V61" i="14"/>
  <c r="O20" i="16"/>
  <c r="O36" i="16" s="1"/>
  <c r="G23" i="16"/>
  <c r="G39" i="16" s="1"/>
  <c r="G228" i="13"/>
  <c r="P25" i="16"/>
  <c r="P230" i="13"/>
  <c r="H231" i="13"/>
  <c r="H26" i="16"/>
  <c r="H42" i="16" s="1"/>
  <c r="P28" i="16"/>
  <c r="M227" i="13"/>
  <c r="G234" i="13"/>
  <c r="L29" i="16"/>
  <c r="L45" i="16" s="1"/>
  <c r="J31" i="15"/>
  <c r="J3" i="15"/>
  <c r="J15" i="15" s="1"/>
  <c r="AF31" i="15"/>
  <c r="U14" i="15"/>
  <c r="AJ47" i="15"/>
  <c r="K29" i="16"/>
  <c r="K45" i="16" s="1"/>
  <c r="D25" i="16"/>
  <c r="D41" i="16" s="1"/>
  <c r="P26" i="16"/>
  <c r="G27" i="16"/>
  <c r="G43" i="16" s="1"/>
  <c r="G232" i="13"/>
  <c r="I234" i="13"/>
  <c r="I29" i="16"/>
  <c r="I45" i="16" s="1"/>
  <c r="AB95" i="14"/>
  <c r="N31" i="15"/>
  <c r="AJ31" i="15"/>
  <c r="AJ3" i="15"/>
  <c r="T31" i="15"/>
  <c r="W31" i="15"/>
  <c r="W6" i="15"/>
  <c r="Z7" i="15"/>
  <c r="Z31" i="15"/>
  <c r="AN47" i="15"/>
  <c r="D19" i="16"/>
  <c r="P22" i="16"/>
  <c r="D23" i="16"/>
  <c r="D39" i="16" s="1"/>
  <c r="D228" i="13"/>
  <c r="O24" i="16"/>
  <c r="O40" i="16" s="1"/>
  <c r="E25" i="16"/>
  <c r="E41" i="16" s="1"/>
  <c r="BF59" i="14"/>
  <c r="BG59" i="14" s="1"/>
  <c r="BH59" i="14" s="1"/>
  <c r="L230" i="13"/>
  <c r="O31" i="15"/>
  <c r="AK31" i="15"/>
  <c r="AK3" i="15"/>
  <c r="U31" i="15"/>
  <c r="X31" i="15"/>
  <c r="X6" i="15"/>
  <c r="AG9" i="15"/>
  <c r="AO47" i="15"/>
  <c r="E19" i="16"/>
  <c r="E23" i="16"/>
  <c r="E39" i="16" s="1"/>
  <c r="P24" i="16"/>
  <c r="F25" i="16"/>
  <c r="F41" i="16" s="1"/>
  <c r="F230" i="13"/>
  <c r="AD95" i="14"/>
  <c r="P31" i="15"/>
  <c r="AP47" i="15"/>
  <c r="AG47" i="15"/>
  <c r="U47" i="15"/>
  <c r="AH47" i="15"/>
  <c r="Y47" i="15"/>
  <c r="J95" i="14"/>
  <c r="AF95" i="14"/>
  <c r="V47" i="15"/>
  <c r="H19" i="16"/>
  <c r="H224" i="13"/>
  <c r="I25" i="16"/>
  <c r="I41" i="16" s="1"/>
  <c r="I230" i="13"/>
  <c r="L27" i="16"/>
  <c r="L43" i="16" s="1"/>
  <c r="AC95" i="14"/>
  <c r="S3" i="15"/>
  <c r="S31" i="15"/>
  <c r="AO3" i="15"/>
  <c r="Y5" i="15"/>
  <c r="Y31" i="15"/>
  <c r="L8" i="15"/>
  <c r="AH8" i="15"/>
  <c r="R10" i="15"/>
  <c r="AN10" i="15"/>
  <c r="X12" i="15"/>
  <c r="AD14" i="15"/>
  <c r="O29" i="16"/>
  <c r="O45" i="16" s="1"/>
  <c r="C30" i="16"/>
  <c r="C46" i="16" s="1"/>
  <c r="C235" i="13"/>
  <c r="AN3" i="15"/>
  <c r="T3" i="15"/>
  <c r="AP3" i="15"/>
  <c r="Z5" i="15"/>
  <c r="M8" i="15"/>
  <c r="AI8" i="15"/>
  <c r="M95" i="14"/>
  <c r="M97" i="14" s="1"/>
  <c r="AI95" i="14"/>
  <c r="L25" i="16"/>
  <c r="L41" i="16" s="1"/>
  <c r="AT57" i="14"/>
  <c r="D28" i="16"/>
  <c r="D44" i="16" s="1"/>
  <c r="E30" i="16"/>
  <c r="E46" i="16" s="1"/>
  <c r="N95" i="14"/>
  <c r="AJ95" i="14"/>
  <c r="Z47" i="15"/>
  <c r="L224" i="13"/>
  <c r="L61" i="14"/>
  <c r="L19" i="16"/>
  <c r="AH79" i="14"/>
  <c r="AH61" i="14"/>
  <c r="L23" i="16"/>
  <c r="L39" i="16" s="1"/>
  <c r="AV54" i="14"/>
  <c r="AW54" i="14" s="1"/>
  <c r="M25" i="16"/>
  <c r="M41" i="16" s="1"/>
  <c r="N107" i="14"/>
  <c r="C26" i="16"/>
  <c r="C42" i="16" s="1"/>
  <c r="E28" i="16"/>
  <c r="E44" i="16" s="1"/>
  <c r="C231" i="13"/>
  <c r="BC49" i="14"/>
  <c r="M19" i="16"/>
  <c r="N101" i="14"/>
  <c r="C20" i="16"/>
  <c r="C36" i="16" s="1"/>
  <c r="C22" i="16"/>
  <c r="C38" i="16" s="1"/>
  <c r="M23" i="16"/>
  <c r="M39" i="16" s="1"/>
  <c r="N105" i="14"/>
  <c r="N25" i="16"/>
  <c r="N41" i="16" s="1"/>
  <c r="D26" i="16"/>
  <c r="D42" i="16" s="1"/>
  <c r="F28" i="16"/>
  <c r="F44" i="16" s="1"/>
  <c r="F233" i="13"/>
  <c r="O229" i="13"/>
  <c r="D231" i="13"/>
  <c r="P95" i="14"/>
  <c r="AL95" i="14"/>
  <c r="AL31" i="15"/>
  <c r="W47" i="15"/>
  <c r="P27" i="16"/>
  <c r="R95" i="14"/>
  <c r="AN95" i="14"/>
  <c r="Q31" i="15"/>
  <c r="AM31" i="15"/>
  <c r="R31" i="15"/>
  <c r="AN31" i="15"/>
  <c r="S10" i="15"/>
  <c r="AO10" i="15"/>
  <c r="Y12" i="15"/>
  <c r="AA47" i="15"/>
  <c r="N234" i="13"/>
  <c r="N29" i="16"/>
  <c r="N45" i="16" s="1"/>
  <c r="AB47" i="15"/>
  <c r="Z4" i="15"/>
  <c r="AF6" i="15"/>
  <c r="P8" i="15"/>
  <c r="AL8" i="15"/>
  <c r="V10" i="15"/>
  <c r="AB12" i="15"/>
  <c r="AE13" i="15"/>
  <c r="AD47" i="15"/>
  <c r="AT85" i="14"/>
  <c r="AE47" i="15"/>
  <c r="F19" i="16"/>
  <c r="P20" i="16"/>
  <c r="D21" i="16"/>
  <c r="D37" i="16" s="1"/>
  <c r="BF56" i="14"/>
  <c r="H28" i="16"/>
  <c r="H44" i="16" s="1"/>
  <c r="F30" i="16"/>
  <c r="F46" i="16" s="1"/>
  <c r="AU85" i="14"/>
  <c r="AY87" i="14"/>
  <c r="AT87" i="14"/>
  <c r="AF47" i="15"/>
  <c r="G19" i="16"/>
  <c r="K26" i="16"/>
  <c r="K42" i="16" s="1"/>
  <c r="I28" i="16"/>
  <c r="I44" i="16" s="1"/>
  <c r="G30" i="16"/>
  <c r="G46" i="16" s="1"/>
  <c r="K231" i="13"/>
  <c r="X47" i="15"/>
  <c r="D52" i="8" l="1"/>
  <c r="AF216" i="13"/>
  <c r="D215" i="13"/>
  <c r="AJ163" i="13"/>
  <c r="C169" i="13"/>
  <c r="AC220" i="13"/>
  <c r="C216" i="13"/>
  <c r="Y217" i="13"/>
  <c r="J122" i="9"/>
  <c r="AI116" i="9"/>
  <c r="AB216" i="13"/>
  <c r="V217" i="13"/>
  <c r="X220" i="13"/>
  <c r="AD216" i="13"/>
  <c r="W217" i="13"/>
  <c r="AN211" i="13"/>
  <c r="AE215" i="13"/>
  <c r="V218" i="13"/>
  <c r="F81" i="8"/>
  <c r="E55" i="8"/>
  <c r="E59" i="8" s="1"/>
  <c r="H116" i="13"/>
  <c r="AM154" i="13"/>
  <c r="K116" i="13"/>
  <c r="BE50" i="14"/>
  <c r="F15" i="9"/>
  <c r="K216" i="13"/>
  <c r="F43" i="8"/>
  <c r="F57" i="8" s="1"/>
  <c r="P213" i="13"/>
  <c r="G219" i="13"/>
  <c r="D118" i="8"/>
  <c r="G118" i="8" s="1"/>
  <c r="E150" i="8"/>
  <c r="AO164" i="13"/>
  <c r="Y220" i="13"/>
  <c r="AT54" i="13"/>
  <c r="AT56" i="13" s="1"/>
  <c r="E149" i="8"/>
  <c r="BU58" i="13"/>
  <c r="E4" i="8"/>
  <c r="E8" i="8" s="1"/>
  <c r="AV8" i="13"/>
  <c r="G136" i="8"/>
  <c r="I32" i="13"/>
  <c r="E215" i="13"/>
  <c r="AB220" i="13"/>
  <c r="AT52" i="13"/>
  <c r="O139" i="10"/>
  <c r="O154" i="10" s="1"/>
  <c r="J120" i="9"/>
  <c r="M219" i="13"/>
  <c r="G32" i="13"/>
  <c r="AX36" i="13"/>
  <c r="AK157" i="13"/>
  <c r="H215" i="13"/>
  <c r="F170" i="8"/>
  <c r="AG211" i="13"/>
  <c r="U216" i="13"/>
  <c r="F107" i="8"/>
  <c r="F82" i="8"/>
  <c r="F86" i="8" s="1"/>
  <c r="AJ217" i="13"/>
  <c r="E137" i="8"/>
  <c r="S213" i="13"/>
  <c r="AG63" i="14"/>
  <c r="AA23" i="14"/>
  <c r="U217" i="13"/>
  <c r="Z215" i="13"/>
  <c r="T215" i="13"/>
  <c r="E138" i="8"/>
  <c r="F105" i="8"/>
  <c r="U215" i="13"/>
  <c r="AC216" i="13"/>
  <c r="AH63" i="14"/>
  <c r="R218" i="13"/>
  <c r="E35" i="8"/>
  <c r="L218" i="13"/>
  <c r="AL154" i="13"/>
  <c r="AM156" i="13"/>
  <c r="S212" i="13"/>
  <c r="E147" i="8"/>
  <c r="R169" i="13"/>
  <c r="AN217" i="13"/>
  <c r="U214" i="13"/>
  <c r="C32" i="13"/>
  <c r="AJ218" i="13"/>
  <c r="BG57" i="14"/>
  <c r="BH57" i="14" s="1"/>
  <c r="H100" i="8"/>
  <c r="AE220" i="13"/>
  <c r="BL32" i="13"/>
  <c r="AD217" i="13"/>
  <c r="AK217" i="13"/>
  <c r="D157" i="8"/>
  <c r="D171" i="8" s="1"/>
  <c r="I220" i="13"/>
  <c r="AA215" i="13"/>
  <c r="AF210" i="13"/>
  <c r="E36" i="8"/>
  <c r="I40" i="8"/>
  <c r="D217" i="13"/>
  <c r="K217" i="13"/>
  <c r="AF212" i="13"/>
  <c r="AK154" i="13"/>
  <c r="AJ154" i="13"/>
  <c r="AK156" i="13"/>
  <c r="Y169" i="13"/>
  <c r="G166" i="8"/>
  <c r="G127" i="8"/>
  <c r="BE55" i="14"/>
  <c r="AI23" i="14"/>
  <c r="X219" i="13"/>
  <c r="D10" i="8"/>
  <c r="G10" i="8" s="1"/>
  <c r="J121" i="9"/>
  <c r="AT32" i="9"/>
  <c r="AU32" i="9"/>
  <c r="AI110" i="9"/>
  <c r="AG116" i="9"/>
  <c r="AH110" i="9"/>
  <c r="AG110" i="9"/>
  <c r="K84" i="9"/>
  <c r="J84" i="9"/>
  <c r="K15" i="15"/>
  <c r="F38" i="9"/>
  <c r="E159" i="8"/>
  <c r="F161" i="8"/>
  <c r="AT53" i="13"/>
  <c r="AV10" i="13"/>
  <c r="F19" i="8"/>
  <c r="F20" i="8" s="1"/>
  <c r="D133" i="8"/>
  <c r="D134" i="8" s="1"/>
  <c r="AL155" i="13"/>
  <c r="S215" i="13"/>
  <c r="H139" i="8"/>
  <c r="W214" i="13"/>
  <c r="AB23" i="14"/>
  <c r="Q217" i="13"/>
  <c r="BW52" i="13"/>
  <c r="S211" i="13"/>
  <c r="F171" i="8"/>
  <c r="S214" i="13"/>
  <c r="R212" i="13"/>
  <c r="G169" i="8"/>
  <c r="Q214" i="13"/>
  <c r="AS52" i="13"/>
  <c r="D220" i="13"/>
  <c r="V23" i="14"/>
  <c r="F140" i="8"/>
  <c r="W16" i="14"/>
  <c r="R213" i="13"/>
  <c r="G15" i="9"/>
  <c r="AE216" i="13"/>
  <c r="E125" i="8"/>
  <c r="E171" i="8"/>
  <c r="AG216" i="13"/>
  <c r="T213" i="13"/>
  <c r="AF169" i="13"/>
  <c r="F167" i="8"/>
  <c r="I15" i="9"/>
  <c r="H216" i="13"/>
  <c r="AM211" i="13"/>
  <c r="E73" i="8"/>
  <c r="E77" i="8" s="1"/>
  <c r="D121" i="8"/>
  <c r="Y215" i="13"/>
  <c r="H211" i="13"/>
  <c r="B215" i="13"/>
  <c r="F143" i="8"/>
  <c r="D15" i="9"/>
  <c r="W220" i="13"/>
  <c r="J41" i="8"/>
  <c r="AH220" i="13"/>
  <c r="AL157" i="13"/>
  <c r="AJ213" i="13"/>
  <c r="AH212" i="13"/>
  <c r="Z218" i="13"/>
  <c r="E168" i="8"/>
  <c r="F73" i="8"/>
  <c r="F87" i="8" s="1"/>
  <c r="D46" i="8"/>
  <c r="H46" i="8" s="1"/>
  <c r="AD117" i="10"/>
  <c r="AD127" i="10"/>
  <c r="AN214" i="13"/>
  <c r="AA219" i="13"/>
  <c r="H218" i="13"/>
  <c r="AD215" i="13"/>
  <c r="AW54" i="13"/>
  <c r="AW56" i="13" s="1"/>
  <c r="F217" i="13"/>
  <c r="AA217" i="13"/>
  <c r="O15" i="15"/>
  <c r="V211" i="13"/>
  <c r="AF215" i="13"/>
  <c r="U220" i="13"/>
  <c r="AE210" i="13"/>
  <c r="AV54" i="13"/>
  <c r="H127" i="8"/>
  <c r="D155" i="8"/>
  <c r="Y187" i="13"/>
  <c r="AM155" i="13"/>
  <c r="W216" i="13"/>
  <c r="F104" i="8"/>
  <c r="D97" i="8"/>
  <c r="G97" i="8" s="1"/>
  <c r="E219" i="13"/>
  <c r="U63" i="14"/>
  <c r="T216" i="13"/>
  <c r="BM32" i="13"/>
  <c r="D82" i="8"/>
  <c r="AK23" i="14"/>
  <c r="R211" i="13"/>
  <c r="R23" i="14"/>
  <c r="AF187" i="13"/>
  <c r="B38" i="9"/>
  <c r="V215" i="13"/>
  <c r="CD19" i="13"/>
  <c r="R219" i="13"/>
  <c r="I41" i="8"/>
  <c r="AD187" i="13"/>
  <c r="BZ52" i="13"/>
  <c r="AG169" i="13"/>
  <c r="BG54" i="13"/>
  <c r="S218" i="13"/>
  <c r="AC219" i="13"/>
  <c r="T220" i="13"/>
  <c r="P15" i="9"/>
  <c r="BV52" i="13"/>
  <c r="T211" i="13"/>
  <c r="J214" i="13"/>
  <c r="AF219" i="13"/>
  <c r="J213" i="13"/>
  <c r="AO156" i="13"/>
  <c r="BE53" i="13"/>
  <c r="B216" i="13"/>
  <c r="AD220" i="13"/>
  <c r="R215" i="13"/>
  <c r="E170" i="8"/>
  <c r="E43" i="8"/>
  <c r="E45" i="8" s="1"/>
  <c r="AV12" i="13"/>
  <c r="Y23" i="14"/>
  <c r="AO102" i="13"/>
  <c r="AO155" i="13"/>
  <c r="M15" i="9"/>
  <c r="AU28" i="13"/>
  <c r="AV28" i="13" s="1"/>
  <c r="W63" i="14"/>
  <c r="AA218" i="13"/>
  <c r="F64" i="8"/>
  <c r="F78" i="8" s="1"/>
  <c r="F47" i="8"/>
  <c r="E218" i="13"/>
  <c r="G154" i="8"/>
  <c r="D34" i="8"/>
  <c r="G34" i="8" s="1"/>
  <c r="AB217" i="13"/>
  <c r="D219" i="13"/>
  <c r="AL220" i="13"/>
  <c r="E46" i="8"/>
  <c r="E60" i="8" s="1"/>
  <c r="D145" i="8"/>
  <c r="G145" i="8" s="1"/>
  <c r="F116" i="8"/>
  <c r="F121" i="8"/>
  <c r="CD42" i="13"/>
  <c r="CE42" i="13" s="1"/>
  <c r="AA216" i="13"/>
  <c r="AB218" i="13"/>
  <c r="E216" i="13"/>
  <c r="AM220" i="13"/>
  <c r="Y216" i="13"/>
  <c r="AD63" i="14"/>
  <c r="T16" i="14"/>
  <c r="H217" i="13"/>
  <c r="AM216" i="13"/>
  <c r="E126" i="8"/>
  <c r="C15" i="9"/>
  <c r="F218" i="13"/>
  <c r="AG212" i="13"/>
  <c r="Y218" i="13"/>
  <c r="D73" i="8"/>
  <c r="D87" i="8" s="1"/>
  <c r="D49" i="8"/>
  <c r="H49" i="8" s="1"/>
  <c r="F133" i="8"/>
  <c r="F137" i="8" s="1"/>
  <c r="AO160" i="13"/>
  <c r="C219" i="13"/>
  <c r="T169" i="13"/>
  <c r="F131" i="8"/>
  <c r="BE24" i="13"/>
  <c r="G220" i="13"/>
  <c r="AH218" i="13"/>
  <c r="F114" i="8"/>
  <c r="S219" i="13"/>
  <c r="D216" i="13"/>
  <c r="BE51" i="13"/>
  <c r="F70" i="8"/>
  <c r="F71" i="8" s="1"/>
  <c r="T79" i="14"/>
  <c r="BF53" i="13"/>
  <c r="L217" i="13"/>
  <c r="H169" i="8"/>
  <c r="D7" i="8"/>
  <c r="G7" i="8" s="1"/>
  <c r="F34" i="8"/>
  <c r="AK160" i="13"/>
  <c r="CA51" i="13"/>
  <c r="AA214" i="13"/>
  <c r="AC215" i="13"/>
  <c r="BG52" i="14"/>
  <c r="BH52" i="14" s="1"/>
  <c r="AK164" i="13"/>
  <c r="BU50" i="13"/>
  <c r="F211" i="13"/>
  <c r="U212" i="13"/>
  <c r="E19" i="8"/>
  <c r="E33" i="8" s="1"/>
  <c r="AP102" i="13"/>
  <c r="C215" i="13"/>
  <c r="V169" i="13"/>
  <c r="AX37" i="13"/>
  <c r="AT70" i="14"/>
  <c r="AJ227" i="13" s="1"/>
  <c r="M211" i="13"/>
  <c r="Q211" i="13"/>
  <c r="F109" i="8"/>
  <c r="F113" i="8" s="1"/>
  <c r="F63" i="14"/>
  <c r="F64" i="14" s="1"/>
  <c r="AC23" i="14"/>
  <c r="G85" i="8"/>
  <c r="D40" i="8"/>
  <c r="D41" i="8" s="1"/>
  <c r="AD16" i="14"/>
  <c r="D213" i="13"/>
  <c r="F58" i="8"/>
  <c r="F59" i="8" s="1"/>
  <c r="Q15" i="9"/>
  <c r="F141" i="8"/>
  <c r="W213" i="13"/>
  <c r="AL162" i="13"/>
  <c r="Z225" i="13"/>
  <c r="Z236" i="13" s="1"/>
  <c r="AH213" i="13"/>
  <c r="F28" i="8"/>
  <c r="F32" i="8" s="1"/>
  <c r="F108" i="8"/>
  <c r="J137" i="10"/>
  <c r="J152" i="10" s="1"/>
  <c r="B90" i="11"/>
  <c r="I90" i="11" s="1"/>
  <c r="K90" i="11" s="1"/>
  <c r="E141" i="10"/>
  <c r="E156" i="10" s="1"/>
  <c r="C125" i="10"/>
  <c r="C141" i="10"/>
  <c r="C156" i="10" s="1"/>
  <c r="B172" i="11"/>
  <c r="B6" i="11"/>
  <c r="I6" i="11" s="1"/>
  <c r="Q6" i="11" s="1"/>
  <c r="B120" i="10"/>
  <c r="AU24" i="13"/>
  <c r="AV24" i="13" s="1"/>
  <c r="D117" i="10"/>
  <c r="O32" i="9"/>
  <c r="O86" i="9" s="1"/>
  <c r="O87" i="9" s="1"/>
  <c r="O88" i="9" s="1"/>
  <c r="N16" i="10"/>
  <c r="N63" i="11"/>
  <c r="B27" i="11"/>
  <c r="I27" i="11" s="1"/>
  <c r="K27" i="11" s="1"/>
  <c r="AC6" i="10"/>
  <c r="AU27" i="13"/>
  <c r="AV27" i="13" s="1"/>
  <c r="J32" i="13"/>
  <c r="E93" i="8"/>
  <c r="AL42" i="9"/>
  <c r="AJ42" i="9"/>
  <c r="AK42" i="9"/>
  <c r="F120" i="8"/>
  <c r="F119" i="8"/>
  <c r="V55" i="13"/>
  <c r="V65" i="13" s="1"/>
  <c r="BG31" i="13"/>
  <c r="B212" i="13"/>
  <c r="AO213" i="13"/>
  <c r="F144" i="8"/>
  <c r="D122" i="10"/>
  <c r="AU53" i="13"/>
  <c r="AC79" i="14"/>
  <c r="E15" i="9"/>
  <c r="O118" i="10"/>
  <c r="J40" i="8"/>
  <c r="F10" i="8"/>
  <c r="AG214" i="13"/>
  <c r="T233" i="13"/>
  <c r="T236" i="13" s="1"/>
  <c r="R217" i="13"/>
  <c r="N227" i="13"/>
  <c r="N236" i="13" s="1"/>
  <c r="BZ21" i="13"/>
  <c r="J38" i="8"/>
  <c r="D70" i="8"/>
  <c r="G70" i="8" s="1"/>
  <c r="B160" i="11"/>
  <c r="I160" i="11" s="1"/>
  <c r="E27" i="8"/>
  <c r="F132" i="8"/>
  <c r="AH214" i="13"/>
  <c r="E49" i="8"/>
  <c r="E63" i="8" s="1"/>
  <c r="CA55" i="13"/>
  <c r="O15" i="9"/>
  <c r="L122" i="9"/>
  <c r="AN218" i="13"/>
  <c r="L97" i="14"/>
  <c r="T19" i="13"/>
  <c r="Y219" i="13"/>
  <c r="V212" i="13"/>
  <c r="D55" i="8"/>
  <c r="D109" i="8"/>
  <c r="D113" i="8" s="1"/>
  <c r="D58" i="8"/>
  <c r="D62" i="8" s="1"/>
  <c r="H160" i="8"/>
  <c r="F7" i="8"/>
  <c r="F8" i="8" s="1"/>
  <c r="AK15" i="15"/>
  <c r="AJ156" i="13"/>
  <c r="X218" i="13"/>
  <c r="L23" i="14"/>
  <c r="N23" i="14"/>
  <c r="J220" i="13"/>
  <c r="CB54" i="13"/>
  <c r="H219" i="13"/>
  <c r="AU30" i="13"/>
  <c r="AV30" i="13" s="1"/>
  <c r="AL179" i="13"/>
  <c r="AL196" i="13" s="1"/>
  <c r="N134" i="10"/>
  <c r="N149" i="10" s="1"/>
  <c r="D67" i="8"/>
  <c r="H67" i="8" s="1"/>
  <c r="I136" i="10"/>
  <c r="I151" i="10" s="1"/>
  <c r="U211" i="13"/>
  <c r="BE57" i="14"/>
  <c r="L214" i="13"/>
  <c r="F156" i="8"/>
  <c r="Z63" i="14"/>
  <c r="B32" i="11"/>
  <c r="I32" i="11" s="1"/>
  <c r="Q32" i="11" s="1"/>
  <c r="D79" i="8"/>
  <c r="G79" i="8" s="1"/>
  <c r="AJ161" i="13"/>
  <c r="I213" i="13"/>
  <c r="B219" i="13"/>
  <c r="I26" i="8"/>
  <c r="AU22" i="13"/>
  <c r="AV22" i="13" s="1"/>
  <c r="D105" i="8"/>
  <c r="E40" i="8"/>
  <c r="E41" i="8" s="1"/>
  <c r="AM157" i="13"/>
  <c r="I75" i="9"/>
  <c r="I84" i="9" s="1"/>
  <c r="E217" i="13"/>
  <c r="E117" i="10"/>
  <c r="F52" i="8"/>
  <c r="F53" i="8" s="1"/>
  <c r="H15" i="9"/>
  <c r="K97" i="14"/>
  <c r="Q79" i="14"/>
  <c r="AU70" i="14"/>
  <c r="AK227" i="13" s="1"/>
  <c r="AK161" i="13"/>
  <c r="AO23" i="14"/>
  <c r="T218" i="13"/>
  <c r="N108" i="13"/>
  <c r="O108" i="13" s="1"/>
  <c r="AO55" i="13"/>
  <c r="B213" i="13"/>
  <c r="R17" i="13"/>
  <c r="AS54" i="13"/>
  <c r="AV23" i="13"/>
  <c r="B52" i="11"/>
  <c r="I52" i="11" s="1"/>
  <c r="F129" i="8"/>
  <c r="B39" i="11"/>
  <c r="I39" i="11" s="1"/>
  <c r="K39" i="11" s="1"/>
  <c r="AF15" i="15"/>
  <c r="N15" i="15"/>
  <c r="Z214" i="13"/>
  <c r="B220" i="13"/>
  <c r="I169" i="13"/>
  <c r="Q213" i="13"/>
  <c r="AX11" i="13"/>
  <c r="AY11" i="13" s="1"/>
  <c r="J15" i="9"/>
  <c r="AK159" i="13"/>
  <c r="BE25" i="13"/>
  <c r="E92" i="8"/>
  <c r="AR23" i="9"/>
  <c r="AR32" i="9" s="1"/>
  <c r="L124" i="10"/>
  <c r="AD124" i="10" s="1"/>
  <c r="AO158" i="13"/>
  <c r="G218" i="13"/>
  <c r="F118" i="10"/>
  <c r="AB7" i="10"/>
  <c r="T63" i="14"/>
  <c r="AK218" i="13"/>
  <c r="AE213" i="13"/>
  <c r="AC187" i="13"/>
  <c r="O134" i="10"/>
  <c r="O149" i="10" s="1"/>
  <c r="F149" i="10"/>
  <c r="H154" i="8"/>
  <c r="X216" i="13"/>
  <c r="W212" i="13"/>
  <c r="D214" i="13"/>
  <c r="BX58" i="13"/>
  <c r="AF211" i="13"/>
  <c r="W218" i="13"/>
  <c r="F97" i="8"/>
  <c r="W219" i="13"/>
  <c r="B130" i="11"/>
  <c r="I130" i="11" s="1"/>
  <c r="P130" i="11" s="1"/>
  <c r="Z219" i="13"/>
  <c r="AV73" i="14"/>
  <c r="AW73" i="14" s="1"/>
  <c r="AM230" i="13" s="1"/>
  <c r="AB15" i="15"/>
  <c r="I23" i="14"/>
  <c r="AP63" i="14"/>
  <c r="AN213" i="13"/>
  <c r="AV53" i="13"/>
  <c r="AG213" i="13"/>
  <c r="AS53" i="13"/>
  <c r="AU52" i="13"/>
  <c r="BE27" i="13"/>
  <c r="E105" i="8"/>
  <c r="N118" i="10"/>
  <c r="F128" i="8"/>
  <c r="BG55" i="14"/>
  <c r="BH55" i="14" s="1"/>
  <c r="AA16" i="14"/>
  <c r="F40" i="8"/>
  <c r="F41" i="8" s="1"/>
  <c r="M15" i="15"/>
  <c r="BY52" i="13"/>
  <c r="P214" i="13"/>
  <c r="D142" i="8"/>
  <c r="D144" i="8" s="1"/>
  <c r="D28" i="8"/>
  <c r="Z23" i="14"/>
  <c r="D88" i="8"/>
  <c r="D92" i="8" s="1"/>
  <c r="Z220" i="13"/>
  <c r="E16" i="8"/>
  <c r="E17" i="8" s="1"/>
  <c r="I39" i="8"/>
  <c r="T214" i="13"/>
  <c r="AB6" i="10"/>
  <c r="M23" i="14"/>
  <c r="AA63" i="14"/>
  <c r="AJ211" i="13"/>
  <c r="AJ158" i="13"/>
  <c r="AB219" i="13"/>
  <c r="BG53" i="13"/>
  <c r="K213" i="13"/>
  <c r="BZ54" i="13"/>
  <c r="AB215" i="13"/>
  <c r="M87" i="9"/>
  <c r="M88" i="9" s="1"/>
  <c r="H118" i="8"/>
  <c r="F95" i="8"/>
  <c r="AN215" i="13"/>
  <c r="AA220" i="13"/>
  <c r="H85" i="8"/>
  <c r="Z216" i="13"/>
  <c r="J39" i="8"/>
  <c r="F145" i="8"/>
  <c r="F149" i="8" s="1"/>
  <c r="K15" i="9"/>
  <c r="AN212" i="13"/>
  <c r="AG16" i="14"/>
  <c r="H91" i="8"/>
  <c r="E220" i="13"/>
  <c r="AG115" i="9"/>
  <c r="G91" i="8"/>
  <c r="F219" i="13"/>
  <c r="J215" i="13"/>
  <c r="BY49" i="13"/>
  <c r="F92" i="8"/>
  <c r="X215" i="13"/>
  <c r="N163" i="13"/>
  <c r="K36" i="8"/>
  <c r="AH23" i="14"/>
  <c r="N15" i="9"/>
  <c r="R15" i="15"/>
  <c r="AL178" i="13"/>
  <c r="AL195" i="13" s="1"/>
  <c r="V15" i="15"/>
  <c r="AG15" i="15"/>
  <c r="J16" i="14"/>
  <c r="AM158" i="13"/>
  <c r="N218" i="13"/>
  <c r="O212" i="13"/>
  <c r="AU25" i="13"/>
  <c r="AV25" i="13" s="1"/>
  <c r="D23" i="14"/>
  <c r="F93" i="8"/>
  <c r="X212" i="13"/>
  <c r="AN219" i="13"/>
  <c r="Z148" i="13"/>
  <c r="BE23" i="13"/>
  <c r="I40" i="9"/>
  <c r="I51" i="9" s="1"/>
  <c r="AS23" i="9"/>
  <c r="AS32" i="9" s="1"/>
  <c r="AP23" i="14"/>
  <c r="BV48" i="13"/>
  <c r="O55" i="13"/>
  <c r="AE187" i="13"/>
  <c r="BF54" i="13"/>
  <c r="AK211" i="13"/>
  <c r="BW49" i="13"/>
  <c r="S55" i="13"/>
  <c r="S65" i="13" s="1"/>
  <c r="AM212" i="13"/>
  <c r="AF236" i="13"/>
  <c r="N156" i="13"/>
  <c r="K29" i="8"/>
  <c r="L160" i="13"/>
  <c r="K9" i="8"/>
  <c r="D43" i="8"/>
  <c r="D45" i="8" s="1"/>
  <c r="D16" i="8"/>
  <c r="AP15" i="15"/>
  <c r="E16" i="14"/>
  <c r="AO218" i="13"/>
  <c r="F212" i="13"/>
  <c r="L211" i="13"/>
  <c r="E63" i="16"/>
  <c r="AF55" i="13"/>
  <c r="BZ58" i="13"/>
  <c r="B214" i="13"/>
  <c r="AB55" i="13"/>
  <c r="I111" i="9"/>
  <c r="I120" i="9" s="1"/>
  <c r="AG219" i="13"/>
  <c r="AN216" i="13"/>
  <c r="AH115" i="9"/>
  <c r="AI115" i="9"/>
  <c r="H148" i="13"/>
  <c r="I34" i="14"/>
  <c r="T23" i="14"/>
  <c r="AM213" i="13"/>
  <c r="L169" i="13"/>
  <c r="AJ210" i="13"/>
  <c r="D34" i="14"/>
  <c r="F79" i="14"/>
  <c r="AL15" i="15"/>
  <c r="U213" i="13"/>
  <c r="K214" i="13"/>
  <c r="AH224" i="13"/>
  <c r="AH236" i="13" s="1"/>
  <c r="BI32" i="13"/>
  <c r="L215" i="13"/>
  <c r="BW56" i="13"/>
  <c r="G133" i="10"/>
  <c r="G148" i="10" s="1"/>
  <c r="H166" i="8"/>
  <c r="F126" i="8"/>
  <c r="AL181" i="13"/>
  <c r="AL198" i="13" s="1"/>
  <c r="BV54" i="13"/>
  <c r="AT73" i="14"/>
  <c r="AJ230" i="13" s="1"/>
  <c r="O161" i="13"/>
  <c r="K46" i="8"/>
  <c r="E79" i="16"/>
  <c r="D168" i="8"/>
  <c r="E158" i="8"/>
  <c r="AM23" i="14"/>
  <c r="P15" i="15"/>
  <c r="BC6" i="14"/>
  <c r="Q23" i="14"/>
  <c r="W211" i="13"/>
  <c r="CB52" i="13"/>
  <c r="BL31" i="13"/>
  <c r="O141" i="10"/>
  <c r="B122" i="10"/>
  <c r="H37" i="9"/>
  <c r="H51" i="9" s="1"/>
  <c r="K46" i="9"/>
  <c r="K50" i="9" s="1"/>
  <c r="I212" i="13"/>
  <c r="K79" i="14"/>
  <c r="E116" i="8"/>
  <c r="H121" i="9"/>
  <c r="F158" i="8"/>
  <c r="B217" i="13"/>
  <c r="AA55" i="13"/>
  <c r="BW53" i="13"/>
  <c r="AL63" i="14"/>
  <c r="X16" i="14"/>
  <c r="BZ56" i="13"/>
  <c r="AV52" i="13"/>
  <c r="J219" i="13"/>
  <c r="L32" i="13"/>
  <c r="B153" i="10"/>
  <c r="AL177" i="13"/>
  <c r="AL194" i="13" s="1"/>
  <c r="W55" i="13"/>
  <c r="AM215" i="13"/>
  <c r="E128" i="8"/>
  <c r="E39" i="8"/>
  <c r="AJ23" i="14"/>
  <c r="U187" i="13"/>
  <c r="N210" i="13"/>
  <c r="AE55" i="13"/>
  <c r="CD20" i="13"/>
  <c r="BF52" i="13"/>
  <c r="E125" i="10"/>
  <c r="AI63" i="14"/>
  <c r="B8" i="11"/>
  <c r="I8" i="11" s="1"/>
  <c r="O8" i="11" s="1"/>
  <c r="L121" i="10"/>
  <c r="D167" i="8"/>
  <c r="AH215" i="13"/>
  <c r="D117" i="8"/>
  <c r="AE214" i="13"/>
  <c r="O16" i="10"/>
  <c r="B102" i="13"/>
  <c r="N216" i="13"/>
  <c r="BU55" i="13"/>
  <c r="M214" i="13"/>
  <c r="AH169" i="13"/>
  <c r="BE30" i="13"/>
  <c r="F50" i="8"/>
  <c r="B127" i="11"/>
  <c r="G48" i="9"/>
  <c r="W215" i="13"/>
  <c r="S220" i="13"/>
  <c r="R55" i="13"/>
  <c r="R65" i="13" s="1"/>
  <c r="AH15" i="15"/>
  <c r="M16" i="14"/>
  <c r="BW51" i="13"/>
  <c r="BK32" i="13"/>
  <c r="D19" i="8"/>
  <c r="X217" i="13"/>
  <c r="AO211" i="13"/>
  <c r="E38" i="8"/>
  <c r="L154" i="13"/>
  <c r="K3" i="8"/>
  <c r="AE16" i="14"/>
  <c r="P187" i="13"/>
  <c r="BX55" i="13"/>
  <c r="AF213" i="13"/>
  <c r="M217" i="13"/>
  <c r="J212" i="13"/>
  <c r="B103" i="11"/>
  <c r="I103" i="11" s="1"/>
  <c r="D129" i="8"/>
  <c r="R148" i="13"/>
  <c r="E39" i="9"/>
  <c r="I79" i="14"/>
  <c r="O217" i="13"/>
  <c r="L15" i="15"/>
  <c r="AE23" i="14"/>
  <c r="H122" i="9"/>
  <c r="F168" i="8"/>
  <c r="N87" i="9"/>
  <c r="N88" i="9" s="1"/>
  <c r="E26" i="8"/>
  <c r="H115" i="8"/>
  <c r="N161" i="13"/>
  <c r="K34" i="8"/>
  <c r="T212" i="13"/>
  <c r="D170" i="8"/>
  <c r="I53" i="8"/>
  <c r="I57" i="8" s="1"/>
  <c r="AJ15" i="15"/>
  <c r="AK212" i="13"/>
  <c r="AV37" i="13"/>
  <c r="AK155" i="13"/>
  <c r="J169" i="13"/>
  <c r="H103" i="8"/>
  <c r="AL176" i="13"/>
  <c r="AL193" i="13" s="1"/>
  <c r="L156" i="13"/>
  <c r="K5" i="8"/>
  <c r="P10" i="16"/>
  <c r="P58" i="16" s="1"/>
  <c r="M115" i="13"/>
  <c r="G187" i="13"/>
  <c r="AC55" i="13"/>
  <c r="Q15" i="15"/>
  <c r="U218" i="13"/>
  <c r="AG55" i="13"/>
  <c r="AL180" i="13"/>
  <c r="AL197" i="13" s="1"/>
  <c r="U26" i="13"/>
  <c r="V26" i="13" s="1"/>
  <c r="U15" i="15"/>
  <c r="AN23" i="14"/>
  <c r="H23" i="14"/>
  <c r="AD23" i="14"/>
  <c r="AF16" i="14"/>
  <c r="AM159" i="13"/>
  <c r="Z55" i="13"/>
  <c r="AJ160" i="13"/>
  <c r="T148" i="13"/>
  <c r="D104" i="8"/>
  <c r="G117" i="10"/>
  <c r="D4" i="8"/>
  <c r="H4" i="8" s="1"/>
  <c r="F117" i="8"/>
  <c r="AL156" i="13"/>
  <c r="N41" i="9"/>
  <c r="AL182" i="13"/>
  <c r="AL199" i="13" s="1"/>
  <c r="BW57" i="13"/>
  <c r="G103" i="8"/>
  <c r="V216" i="13"/>
  <c r="AL23" i="14"/>
  <c r="N34" i="14"/>
  <c r="X23" i="14"/>
  <c r="E213" i="13"/>
  <c r="S30" i="13"/>
  <c r="T30" i="13" s="1"/>
  <c r="U30" i="13" s="1"/>
  <c r="V30" i="13" s="1"/>
  <c r="G79" i="14"/>
  <c r="AU73" i="14"/>
  <c r="AK230" i="13" s="1"/>
  <c r="Q63" i="14"/>
  <c r="G23" i="14"/>
  <c r="H16" i="14"/>
  <c r="C102" i="13"/>
  <c r="AH187" i="13"/>
  <c r="O214" i="13"/>
  <c r="AO154" i="13"/>
  <c r="O220" i="13"/>
  <c r="M215" i="13"/>
  <c r="AK55" i="13"/>
  <c r="N212" i="13"/>
  <c r="AH219" i="13"/>
  <c r="AU54" i="13"/>
  <c r="AJ215" i="13"/>
  <c r="AJ216" i="13"/>
  <c r="E101" i="8"/>
  <c r="E102" i="8"/>
  <c r="G100" i="8"/>
  <c r="E114" i="8"/>
  <c r="E104" i="8"/>
  <c r="L187" i="13"/>
  <c r="L192" i="13"/>
  <c r="I31" i="16"/>
  <c r="I32" i="16" s="1"/>
  <c r="I35" i="16"/>
  <c r="I47" i="16" s="1"/>
  <c r="F18" i="8"/>
  <c r="P209" i="13"/>
  <c r="P204" i="13"/>
  <c r="P210" i="13"/>
  <c r="I158" i="13"/>
  <c r="AX124" i="13"/>
  <c r="AY124" i="13" s="1"/>
  <c r="AS128" i="13"/>
  <c r="AR128" i="13"/>
  <c r="AQ162" i="13" s="1"/>
  <c r="P162" i="13"/>
  <c r="AT128" i="13"/>
  <c r="K59" i="8"/>
  <c r="AV75" i="14"/>
  <c r="AU75" i="14"/>
  <c r="AK232" i="13" s="1"/>
  <c r="AT75" i="14"/>
  <c r="AJ232" i="13" s="1"/>
  <c r="O232" i="13"/>
  <c r="M79" i="14"/>
  <c r="M224" i="13"/>
  <c r="M236" i="13" s="1"/>
  <c r="P16" i="14"/>
  <c r="AY15" i="14"/>
  <c r="AT121" i="13"/>
  <c r="P155" i="13"/>
  <c r="AS121" i="13"/>
  <c r="AR121" i="13"/>
  <c r="AQ155" i="13" s="1"/>
  <c r="K52" i="8"/>
  <c r="G69" i="13"/>
  <c r="H69" i="13" s="1"/>
  <c r="AY53" i="13"/>
  <c r="S107" i="11"/>
  <c r="T107" i="11" s="1"/>
  <c r="M107" i="11"/>
  <c r="P107" i="11"/>
  <c r="N107" i="11"/>
  <c r="Q107" i="11"/>
  <c r="L107" i="11"/>
  <c r="AB16" i="14"/>
  <c r="AC16" i="14"/>
  <c r="M31" i="16"/>
  <c r="M32" i="16" s="1"/>
  <c r="M35" i="16"/>
  <c r="M47" i="16" s="1"/>
  <c r="AA102" i="13"/>
  <c r="AX64" i="13"/>
  <c r="BG64" i="13"/>
  <c r="W23" i="14"/>
  <c r="CC56" i="13"/>
  <c r="D114" i="8"/>
  <c r="G112" i="8"/>
  <c r="H112" i="8"/>
  <c r="D116" i="8"/>
  <c r="P6" i="16"/>
  <c r="F35" i="16"/>
  <c r="F47" i="16" s="1"/>
  <c r="F31" i="16"/>
  <c r="F32" i="16" s="1"/>
  <c r="N79" i="14"/>
  <c r="M157" i="13"/>
  <c r="K18" i="8"/>
  <c r="H102" i="13"/>
  <c r="AT47" i="13"/>
  <c r="M48" i="13"/>
  <c r="CA47" i="13"/>
  <c r="E214" i="13"/>
  <c r="BK31" i="13"/>
  <c r="K107" i="11"/>
  <c r="I158" i="11"/>
  <c r="K158" i="11" s="1"/>
  <c r="L162" i="13"/>
  <c r="K11" i="8"/>
  <c r="L219" i="13"/>
  <c r="L220" i="13"/>
  <c r="D102" i="13"/>
  <c r="CA20" i="13"/>
  <c r="H209" i="13"/>
  <c r="H204" i="13"/>
  <c r="S22" i="13"/>
  <c r="T22" i="13" s="1"/>
  <c r="AV29" i="13"/>
  <c r="E131" i="13"/>
  <c r="E153" i="13"/>
  <c r="E165" i="13" s="1"/>
  <c r="N158" i="13"/>
  <c r="K31" i="8"/>
  <c r="W131" i="13"/>
  <c r="W153" i="13"/>
  <c r="W165" i="13" s="1"/>
  <c r="I146" i="11"/>
  <c r="M146" i="11" s="1"/>
  <c r="I13" i="11"/>
  <c r="K13" i="11" s="1"/>
  <c r="I118" i="11"/>
  <c r="K118" i="11" s="1"/>
  <c r="B3" i="11"/>
  <c r="B117" i="10"/>
  <c r="B16" i="10"/>
  <c r="B133" i="10"/>
  <c r="B144" i="10" s="1"/>
  <c r="H63" i="14"/>
  <c r="H64" i="14" s="1"/>
  <c r="H65" i="14"/>
  <c r="S153" i="13"/>
  <c r="S165" i="13" s="1"/>
  <c r="S131" i="13"/>
  <c r="K225" i="13"/>
  <c r="K236" i="13" s="1"/>
  <c r="H220" i="13"/>
  <c r="L148" i="13"/>
  <c r="AL102" i="13"/>
  <c r="AW47" i="13"/>
  <c r="BX47" i="13"/>
  <c r="M154" i="13"/>
  <c r="K15" i="8"/>
  <c r="U21" i="13"/>
  <c r="N155" i="13"/>
  <c r="K28" i="8"/>
  <c r="AN187" i="13"/>
  <c r="AN192" i="13"/>
  <c r="D131" i="13"/>
  <c r="D153" i="13"/>
  <c r="D165" i="13" s="1"/>
  <c r="L212" i="13"/>
  <c r="L213" i="13"/>
  <c r="CA58" i="13"/>
  <c r="W192" i="13"/>
  <c r="W187" i="13"/>
  <c r="AP192" i="13"/>
  <c r="AP187" i="13"/>
  <c r="I73" i="11"/>
  <c r="I120" i="11"/>
  <c r="K120" i="11" s="1"/>
  <c r="AV32" i="9"/>
  <c r="O154" i="13"/>
  <c r="K39" i="8"/>
  <c r="D95" i="8"/>
  <c r="H94" i="8"/>
  <c r="X79" i="14"/>
  <c r="X224" i="13"/>
  <c r="X236" i="13" s="1"/>
  <c r="R157" i="13"/>
  <c r="K78" i="8"/>
  <c r="AX9" i="13"/>
  <c r="AY9" i="13" s="1"/>
  <c r="AV9" i="13"/>
  <c r="BJ31" i="13"/>
  <c r="AI204" i="13"/>
  <c r="AI209" i="13"/>
  <c r="Z153" i="13"/>
  <c r="Z165" i="13" s="1"/>
  <c r="Z131" i="13"/>
  <c r="Q16" i="14"/>
  <c r="I105" i="11"/>
  <c r="BP31" i="13"/>
  <c r="CC19" i="13"/>
  <c r="I64" i="11"/>
  <c r="Q64" i="11" s="1"/>
  <c r="AO153" i="13"/>
  <c r="AO131" i="13"/>
  <c r="C213" i="13"/>
  <c r="C214" i="13"/>
  <c r="D13" i="8"/>
  <c r="D27" i="8" s="1"/>
  <c r="F13" i="8"/>
  <c r="P12" i="16"/>
  <c r="F114" i="13"/>
  <c r="F111" i="13"/>
  <c r="AD204" i="13"/>
  <c r="AD209" i="13"/>
  <c r="AD210" i="13"/>
  <c r="BY51" i="13"/>
  <c r="Q161" i="13"/>
  <c r="K70" i="8"/>
  <c r="BC40" i="14"/>
  <c r="BK32" i="14"/>
  <c r="BB32" i="14"/>
  <c r="C153" i="13"/>
  <c r="C165" i="13" s="1"/>
  <c r="C170" i="13" s="1"/>
  <c r="C131" i="13"/>
  <c r="AR125" i="13"/>
  <c r="AQ159" i="13" s="1"/>
  <c r="P159" i="13"/>
  <c r="AT125" i="13"/>
  <c r="AS125" i="13"/>
  <c r="K56" i="8"/>
  <c r="S102" i="13"/>
  <c r="BQ31" i="13"/>
  <c r="I113" i="13"/>
  <c r="I111" i="13"/>
  <c r="AK220" i="13"/>
  <c r="AE209" i="13"/>
  <c r="AE204" i="13"/>
  <c r="I70" i="13"/>
  <c r="J70" i="13" s="1"/>
  <c r="AZ54" i="13"/>
  <c r="BX49" i="13"/>
  <c r="E211" i="13"/>
  <c r="BC31" i="13"/>
  <c r="AZ31" i="13"/>
  <c r="I23" i="11"/>
  <c r="K23" i="11" s="1"/>
  <c r="E37" i="9"/>
  <c r="E108" i="9"/>
  <c r="E32" i="9"/>
  <c r="AN20" i="9"/>
  <c r="AN32" i="9" s="1"/>
  <c r="E72" i="9"/>
  <c r="E84" i="9" s="1"/>
  <c r="O84" i="9"/>
  <c r="I162" i="11"/>
  <c r="O162" i="11" s="1"/>
  <c r="I49" i="9"/>
  <c r="AL37" i="9"/>
  <c r="AK37" i="9"/>
  <c r="AJ37" i="9"/>
  <c r="X148" i="13"/>
  <c r="B119" i="11"/>
  <c r="K125" i="10"/>
  <c r="K141" i="10"/>
  <c r="K156" i="10" s="1"/>
  <c r="BZ20" i="13"/>
  <c r="S25" i="13"/>
  <c r="T25" i="13" s="1"/>
  <c r="AU77" i="14"/>
  <c r="AK234" i="13" s="1"/>
  <c r="AV77" i="14"/>
  <c r="AT77" i="14"/>
  <c r="AJ234" i="13" s="1"/>
  <c r="O234" i="13"/>
  <c r="BY50" i="13"/>
  <c r="D66" i="8"/>
  <c r="D65" i="8"/>
  <c r="AM63" i="14"/>
  <c r="X63" i="14"/>
  <c r="Y63" i="14"/>
  <c r="AN236" i="13"/>
  <c r="S23" i="13"/>
  <c r="O79" i="14"/>
  <c r="AU67" i="14"/>
  <c r="AK224" i="13" s="1"/>
  <c r="AT67" i="14"/>
  <c r="AJ224" i="13" s="1"/>
  <c r="AV67" i="14"/>
  <c r="O224" i="13"/>
  <c r="R164" i="13"/>
  <c r="K85" i="8"/>
  <c r="P13" i="16"/>
  <c r="G64" i="8"/>
  <c r="E66" i="8"/>
  <c r="E65" i="8"/>
  <c r="BY59" i="13"/>
  <c r="BW48" i="13"/>
  <c r="CB48" i="13"/>
  <c r="J216" i="13"/>
  <c r="S27" i="13"/>
  <c r="T27" i="13" s="1"/>
  <c r="G210" i="13"/>
  <c r="G211" i="13"/>
  <c r="AI210" i="13"/>
  <c r="I22" i="11"/>
  <c r="Q22" i="11" s="1"/>
  <c r="E83" i="8"/>
  <c r="E84" i="8"/>
  <c r="E86" i="8"/>
  <c r="R162" i="13"/>
  <c r="K83" i="8"/>
  <c r="R63" i="14"/>
  <c r="R62" i="14"/>
  <c r="BR31" i="13"/>
  <c r="AN55" i="13"/>
  <c r="K102" i="13"/>
  <c r="L161" i="13"/>
  <c r="K10" i="8"/>
  <c r="M161" i="13"/>
  <c r="K22" i="8"/>
  <c r="M148" i="13"/>
  <c r="B18" i="11"/>
  <c r="C120" i="10"/>
  <c r="C136" i="10"/>
  <c r="C151" i="10" s="1"/>
  <c r="I63" i="14"/>
  <c r="I64" i="14" s="1"/>
  <c r="I65" i="14"/>
  <c r="CC22" i="13"/>
  <c r="CF19" i="13" s="1"/>
  <c r="K187" i="13"/>
  <c r="K192" i="13"/>
  <c r="AT51" i="13"/>
  <c r="D55" i="13"/>
  <c r="CB51" i="13"/>
  <c r="AH113" i="9"/>
  <c r="AG113" i="9"/>
  <c r="AI113" i="9"/>
  <c r="S15" i="15"/>
  <c r="AE224" i="13"/>
  <c r="AE236" i="13" s="1"/>
  <c r="O63" i="16"/>
  <c r="AK215" i="13"/>
  <c r="AK216" i="13"/>
  <c r="AW11" i="14"/>
  <c r="AM183" i="13" s="1"/>
  <c r="AM200" i="13" s="1"/>
  <c r="AM217" i="13" s="1"/>
  <c r="AL183" i="13"/>
  <c r="AL200" i="13" s="1"/>
  <c r="J23" i="14"/>
  <c r="J34" i="14"/>
  <c r="O157" i="13"/>
  <c r="K42" i="8"/>
  <c r="AM219" i="13"/>
  <c r="BV56" i="13"/>
  <c r="O79" i="16"/>
  <c r="AL184" i="13"/>
  <c r="AL201" i="13" s="1"/>
  <c r="AD102" i="13"/>
  <c r="I102" i="13"/>
  <c r="AJ212" i="13"/>
  <c r="G67" i="13"/>
  <c r="I55" i="13"/>
  <c r="AY51" i="13"/>
  <c r="K169" i="13"/>
  <c r="K32" i="13"/>
  <c r="I28" i="11"/>
  <c r="Q28" i="11" s="1"/>
  <c r="K16" i="14"/>
  <c r="L16" i="14"/>
  <c r="I7" i="11"/>
  <c r="P7" i="11" s="1"/>
  <c r="H120" i="9"/>
  <c r="AL43" i="9"/>
  <c r="AJ43" i="9"/>
  <c r="AK43" i="9"/>
  <c r="D32" i="9"/>
  <c r="AM20" i="9"/>
  <c r="AM32" i="9" s="1"/>
  <c r="D108" i="9"/>
  <c r="D37" i="9"/>
  <c r="D72" i="9"/>
  <c r="D84" i="9" s="1"/>
  <c r="AZ8" i="13"/>
  <c r="AX8" i="13"/>
  <c r="AY8" i="13" s="1"/>
  <c r="H124" i="10"/>
  <c r="B82" i="11"/>
  <c r="H140" i="10"/>
  <c r="L159" i="13"/>
  <c r="K8" i="8"/>
  <c r="AG153" i="13"/>
  <c r="AG165" i="13" s="1"/>
  <c r="AG131" i="13"/>
  <c r="AH102" i="13"/>
  <c r="AX43" i="13"/>
  <c r="AV43" i="13"/>
  <c r="CA53" i="13"/>
  <c r="AO187" i="13"/>
  <c r="AO192" i="13"/>
  <c r="BN32" i="13"/>
  <c r="R224" i="13"/>
  <c r="R236" i="13" s="1"/>
  <c r="G236" i="13"/>
  <c r="I12" i="11"/>
  <c r="Q12" i="11" s="1"/>
  <c r="AI102" i="13"/>
  <c r="AT31" i="13"/>
  <c r="L158" i="13"/>
  <c r="K7" i="8"/>
  <c r="O156" i="13"/>
  <c r="K41" i="8"/>
  <c r="B48" i="11"/>
  <c r="E126" i="10"/>
  <c r="E142" i="10"/>
  <c r="E157" i="10" s="1"/>
  <c r="R156" i="13"/>
  <c r="K77" i="8"/>
  <c r="H61" i="8"/>
  <c r="F63" i="8"/>
  <c r="R187" i="13"/>
  <c r="R192" i="13"/>
  <c r="N157" i="13"/>
  <c r="K30" i="8"/>
  <c r="AD153" i="13"/>
  <c r="AD165" i="13" s="1"/>
  <c r="AD131" i="13"/>
  <c r="AV46" i="13"/>
  <c r="AX46" i="13"/>
  <c r="Q69" i="13"/>
  <c r="R69" i="13" s="1"/>
  <c r="BD53" i="13"/>
  <c r="L35" i="14"/>
  <c r="F23" i="14"/>
  <c r="F34" i="14"/>
  <c r="Y102" i="13"/>
  <c r="Q159" i="13"/>
  <c r="K68" i="8"/>
  <c r="AZ53" i="13"/>
  <c r="I69" i="13"/>
  <c r="J69" i="13" s="1"/>
  <c r="BY48" i="13"/>
  <c r="U209" i="13"/>
  <c r="U204" i="13"/>
  <c r="U210" i="13"/>
  <c r="CD22" i="13"/>
  <c r="Q68" i="13"/>
  <c r="R68" i="13" s="1"/>
  <c r="BD52" i="13"/>
  <c r="I224" i="13"/>
  <c r="I236" i="13" s="1"/>
  <c r="CA21" i="13"/>
  <c r="BE20" i="13"/>
  <c r="I148" i="13"/>
  <c r="BX53" i="13"/>
  <c r="CA49" i="13"/>
  <c r="CD36" i="13"/>
  <c r="CE36" i="13" s="1"/>
  <c r="I72" i="11"/>
  <c r="O72" i="11" s="1"/>
  <c r="I86" i="11"/>
  <c r="M86" i="11" s="1"/>
  <c r="AG114" i="9"/>
  <c r="AI114" i="9"/>
  <c r="AH114" i="9"/>
  <c r="D126" i="8"/>
  <c r="D138" i="8"/>
  <c r="H124" i="8"/>
  <c r="G124" i="8"/>
  <c r="D128" i="8"/>
  <c r="AG102" i="13"/>
  <c r="L236" i="13"/>
  <c r="V102" i="13"/>
  <c r="AA131" i="13"/>
  <c r="AA153" i="13"/>
  <c r="AA165" i="13" s="1"/>
  <c r="AW3" i="14"/>
  <c r="AM175" i="13" s="1"/>
  <c r="AL175" i="13"/>
  <c r="AH153" i="13"/>
  <c r="AH165" i="13" s="1"/>
  <c r="AH131" i="13"/>
  <c r="AZ13" i="13"/>
  <c r="AX13" i="13"/>
  <c r="AY13" i="13" s="1"/>
  <c r="P236" i="13"/>
  <c r="K153" i="13"/>
  <c r="K165" i="13" s="1"/>
  <c r="K131" i="13"/>
  <c r="T165" i="13"/>
  <c r="AW51" i="13"/>
  <c r="G55" i="13"/>
  <c r="K67" i="13"/>
  <c r="AZ12" i="13"/>
  <c r="AX12" i="13"/>
  <c r="AY12" i="13" s="1"/>
  <c r="BC51" i="13"/>
  <c r="O67" i="13"/>
  <c r="M55" i="13"/>
  <c r="CD46" i="13"/>
  <c r="CE46" i="13" s="1"/>
  <c r="BX59" i="13"/>
  <c r="CA59" i="13"/>
  <c r="AI153" i="13"/>
  <c r="AI165" i="13" s="1"/>
  <c r="AI170" i="13" s="1"/>
  <c r="AI131" i="13"/>
  <c r="O162" i="13"/>
  <c r="K47" i="8"/>
  <c r="AX123" i="13"/>
  <c r="AY123" i="13" s="1"/>
  <c r="I157" i="13"/>
  <c r="H236" i="13"/>
  <c r="BU59" i="13"/>
  <c r="CA57" i="13"/>
  <c r="Q163" i="13"/>
  <c r="K72" i="8"/>
  <c r="X15" i="15"/>
  <c r="BE53" i="14"/>
  <c r="BG53" i="14"/>
  <c r="BH53" i="14" s="1"/>
  <c r="G63" i="14"/>
  <c r="G64" i="14" s="1"/>
  <c r="G169" i="13"/>
  <c r="BG50" i="14"/>
  <c r="BH50" i="14" s="1"/>
  <c r="AK102" i="13"/>
  <c r="F16" i="14"/>
  <c r="G16" i="14"/>
  <c r="BC13" i="14"/>
  <c r="AJ209" i="13"/>
  <c r="AJ204" i="13"/>
  <c r="BY56" i="13"/>
  <c r="H153" i="13"/>
  <c r="H165" i="13" s="1"/>
  <c r="H131" i="13"/>
  <c r="N110" i="13"/>
  <c r="K70" i="13"/>
  <c r="L70" i="13" s="1"/>
  <c r="BA54" i="13"/>
  <c r="AS51" i="13"/>
  <c r="C55" i="13"/>
  <c r="I155" i="13"/>
  <c r="AX121" i="13"/>
  <c r="AY121" i="13" s="1"/>
  <c r="BZ55" i="13"/>
  <c r="F197" i="13"/>
  <c r="F187" i="13"/>
  <c r="BQ32" i="13"/>
  <c r="Q160" i="13"/>
  <c r="K69" i="8"/>
  <c r="K34" i="14"/>
  <c r="K23" i="14"/>
  <c r="BA51" i="13"/>
  <c r="H31" i="8"/>
  <c r="G31" i="8"/>
  <c r="I59" i="11"/>
  <c r="K59" i="11" s="1"/>
  <c r="I121" i="10"/>
  <c r="B91" i="11"/>
  <c r="I137" i="10"/>
  <c r="I152" i="10" s="1"/>
  <c r="AL41" i="9"/>
  <c r="AK41" i="9"/>
  <c r="AJ41" i="9"/>
  <c r="AV69" i="14"/>
  <c r="AT69" i="14"/>
  <c r="AJ226" i="13" s="1"/>
  <c r="AU69" i="14"/>
  <c r="AK226" i="13" s="1"/>
  <c r="O226" i="13"/>
  <c r="O35" i="14"/>
  <c r="BE52" i="13"/>
  <c r="E96" i="8"/>
  <c r="G94" i="8"/>
  <c r="E95" i="8"/>
  <c r="AN153" i="13"/>
  <c r="AN165" i="13" s="1"/>
  <c r="AN170" i="13" s="1"/>
  <c r="AN131" i="13"/>
  <c r="S28" i="13"/>
  <c r="T28" i="13" s="1"/>
  <c r="CA22" i="13"/>
  <c r="Q192" i="13"/>
  <c r="Q187" i="13"/>
  <c r="N219" i="13"/>
  <c r="AT120" i="13"/>
  <c r="AS120" i="13"/>
  <c r="P154" i="13"/>
  <c r="AR120" i="13"/>
  <c r="AQ154" i="13" s="1"/>
  <c r="K51" i="8"/>
  <c r="B17" i="11"/>
  <c r="C150" i="10"/>
  <c r="C119" i="10"/>
  <c r="E67" i="13"/>
  <c r="AX51" i="13"/>
  <c r="H55" i="13"/>
  <c r="R163" i="13"/>
  <c r="K84" i="8"/>
  <c r="R160" i="13"/>
  <c r="K81" i="8"/>
  <c r="BD51" i="13"/>
  <c r="Q67" i="13"/>
  <c r="N55" i="13"/>
  <c r="M159" i="13"/>
  <c r="K20" i="8"/>
  <c r="P8" i="16"/>
  <c r="J236" i="13"/>
  <c r="Q153" i="13"/>
  <c r="Q131" i="13"/>
  <c r="K62" i="8"/>
  <c r="AK213" i="13"/>
  <c r="AK214" i="13"/>
  <c r="B23" i="14"/>
  <c r="O102" i="13"/>
  <c r="AJ219" i="13"/>
  <c r="AJ220" i="13"/>
  <c r="AJ187" i="13"/>
  <c r="BN31" i="13"/>
  <c r="CA19" i="13"/>
  <c r="AO169" i="13"/>
  <c r="N162" i="13"/>
  <c r="K35" i="8"/>
  <c r="CC59" i="13"/>
  <c r="C217" i="13"/>
  <c r="C218" i="13"/>
  <c r="C236" i="13"/>
  <c r="S29" i="13"/>
  <c r="K153" i="10"/>
  <c r="K122" i="10"/>
  <c r="AD122" i="10" s="1"/>
  <c r="B116" i="11"/>
  <c r="I113" i="11"/>
  <c r="P113" i="11" s="1"/>
  <c r="G61" i="8"/>
  <c r="E62" i="8"/>
  <c r="I16" i="11"/>
  <c r="K16" i="11" s="1"/>
  <c r="B108" i="11"/>
  <c r="J126" i="10"/>
  <c r="J142" i="10"/>
  <c r="J157" i="10" s="1"/>
  <c r="I55" i="11"/>
  <c r="O55" i="11" s="1"/>
  <c r="Q162" i="13"/>
  <c r="K71" i="8"/>
  <c r="N31" i="16"/>
  <c r="N32" i="16" s="1"/>
  <c r="N35" i="16"/>
  <c r="N47" i="16" s="1"/>
  <c r="R153" i="13"/>
  <c r="R131" i="13"/>
  <c r="K74" i="8"/>
  <c r="U153" i="13"/>
  <c r="U165" i="13" s="1"/>
  <c r="U131" i="13"/>
  <c r="I214" i="13"/>
  <c r="I215" i="13"/>
  <c r="D150" i="8"/>
  <c r="G148" i="8"/>
  <c r="CD37" i="13"/>
  <c r="CE37" i="13" s="1"/>
  <c r="BX50" i="13"/>
  <c r="CC50" i="13"/>
  <c r="AK192" i="13"/>
  <c r="AK187" i="13"/>
  <c r="AK153" i="13"/>
  <c r="AK131" i="13"/>
  <c r="AX38" i="13"/>
  <c r="AV38" i="13"/>
  <c r="K211" i="13"/>
  <c r="K212" i="13"/>
  <c r="CC51" i="13"/>
  <c r="AV70" i="14"/>
  <c r="CB58" i="13"/>
  <c r="D35" i="16"/>
  <c r="D47" i="16" s="1"/>
  <c r="D31" i="16"/>
  <c r="D32" i="16" s="1"/>
  <c r="D169" i="13"/>
  <c r="D32" i="13"/>
  <c r="AX44" i="13"/>
  <c r="AV44" i="13"/>
  <c r="I211" i="13"/>
  <c r="I154" i="11"/>
  <c r="K154" i="11" s="1"/>
  <c r="P7" i="16"/>
  <c r="AM214" i="13"/>
  <c r="AK219" i="13"/>
  <c r="CC48" i="13"/>
  <c r="BV59" i="13"/>
  <c r="BZ59" i="13"/>
  <c r="N187" i="13"/>
  <c r="BY53" i="13"/>
  <c r="CD40" i="13"/>
  <c r="CE40" i="13" s="1"/>
  <c r="AB192" i="13"/>
  <c r="AB187" i="13"/>
  <c r="D218" i="13"/>
  <c r="Q157" i="13"/>
  <c r="K66" i="8"/>
  <c r="AA192" i="13"/>
  <c r="AA187" i="13"/>
  <c r="C148" i="13"/>
  <c r="Q236" i="13"/>
  <c r="S24" i="13"/>
  <c r="T24" i="13" s="1"/>
  <c r="N51" i="16"/>
  <c r="N63" i="16" s="1"/>
  <c r="N79" i="16"/>
  <c r="B170" i="11"/>
  <c r="P116" i="10"/>
  <c r="P132" i="10"/>
  <c r="AL44" i="9"/>
  <c r="AK44" i="9"/>
  <c r="AJ44" i="9"/>
  <c r="B37" i="9"/>
  <c r="B108" i="9"/>
  <c r="B32" i="9"/>
  <c r="B72" i="9"/>
  <c r="B84" i="9" s="1"/>
  <c r="I140" i="11"/>
  <c r="Q140" i="11" s="1"/>
  <c r="BY58" i="13"/>
  <c r="CD45" i="13"/>
  <c r="CE45" i="13" s="1"/>
  <c r="Y204" i="13"/>
  <c r="Y209" i="13"/>
  <c r="G84" i="9"/>
  <c r="T131" i="13"/>
  <c r="P4" i="16"/>
  <c r="AV64" i="13"/>
  <c r="BC47" i="13"/>
  <c r="AR47" i="13"/>
  <c r="CC47" i="13"/>
  <c r="Y15" i="15"/>
  <c r="G148" i="13"/>
  <c r="AG187" i="13"/>
  <c r="AG192" i="13"/>
  <c r="S63" i="11"/>
  <c r="T63" i="11" s="1"/>
  <c r="L63" i="11"/>
  <c r="M63" i="11"/>
  <c r="O63" i="11"/>
  <c r="P63" i="11"/>
  <c r="Q63" i="11"/>
  <c r="AK162" i="13"/>
  <c r="BZ51" i="13"/>
  <c r="AI109" i="9"/>
  <c r="AH109" i="9"/>
  <c r="AG109" i="9"/>
  <c r="W15" i="15"/>
  <c r="BE60" i="14"/>
  <c r="BG60" i="14"/>
  <c r="BH60" i="14" s="1"/>
  <c r="AV71" i="14"/>
  <c r="AU71" i="14"/>
  <c r="AK228" i="13" s="1"/>
  <c r="AT71" i="14"/>
  <c r="AJ228" i="13" s="1"/>
  <c r="O228" i="13"/>
  <c r="AF23" i="14"/>
  <c r="K113" i="13"/>
  <c r="K111" i="13"/>
  <c r="C111" i="13"/>
  <c r="C113" i="13"/>
  <c r="F227" i="13"/>
  <c r="F236" i="13" s="1"/>
  <c r="AT78" i="14"/>
  <c r="AJ235" i="13" s="1"/>
  <c r="AV78" i="14"/>
  <c r="AU78" i="14"/>
  <c r="AK235" i="13" s="1"/>
  <c r="O235" i="13"/>
  <c r="I187" i="13"/>
  <c r="I192" i="13"/>
  <c r="I210" i="13" s="1"/>
  <c r="K63" i="14"/>
  <c r="K64" i="14" s="1"/>
  <c r="K65" i="14"/>
  <c r="AJ63" i="14"/>
  <c r="K31" i="16"/>
  <c r="K32" i="16" s="1"/>
  <c r="K35" i="16"/>
  <c r="K47" i="16" s="1"/>
  <c r="AE15" i="15"/>
  <c r="AE63" i="14"/>
  <c r="AF63" i="14"/>
  <c r="AN63" i="14"/>
  <c r="AK63" i="14"/>
  <c r="C34" i="14"/>
  <c r="C23" i="14"/>
  <c r="AO214" i="13"/>
  <c r="AO215" i="13"/>
  <c r="I162" i="13"/>
  <c r="AX128" i="13"/>
  <c r="AY128" i="13" s="1"/>
  <c r="V17" i="14"/>
  <c r="Y16" i="14"/>
  <c r="Z16" i="14"/>
  <c r="BW59" i="13"/>
  <c r="CB59" i="13"/>
  <c r="O192" i="13"/>
  <c r="O187" i="13"/>
  <c r="M158" i="13"/>
  <c r="K19" i="8"/>
  <c r="J51" i="16"/>
  <c r="J63" i="16" s="1"/>
  <c r="J79" i="16"/>
  <c r="AO236" i="13"/>
  <c r="AJ102" i="13"/>
  <c r="AX53" i="13"/>
  <c r="E69" i="13"/>
  <c r="F69" i="13" s="1"/>
  <c r="E70" i="13"/>
  <c r="F70" i="13" s="1"/>
  <c r="AX54" i="13"/>
  <c r="X169" i="13"/>
  <c r="AU47" i="13"/>
  <c r="BZ47" i="13"/>
  <c r="L51" i="16"/>
  <c r="L63" i="16" s="1"/>
  <c r="L79" i="16"/>
  <c r="H76" i="8"/>
  <c r="F80" i="8"/>
  <c r="I148" i="11"/>
  <c r="K148" i="11" s="1"/>
  <c r="P11" i="16"/>
  <c r="AO15" i="15"/>
  <c r="N46" i="14"/>
  <c r="O46" i="14"/>
  <c r="L163" i="13"/>
  <c r="K12" i="8"/>
  <c r="N209" i="13"/>
  <c r="N204" i="13"/>
  <c r="BU56" i="13"/>
  <c r="CC57" i="13"/>
  <c r="AL153" i="13"/>
  <c r="AL131" i="13"/>
  <c r="AC209" i="13"/>
  <c r="AC204" i="13"/>
  <c r="U102" i="13"/>
  <c r="BV55" i="13"/>
  <c r="M102" i="13"/>
  <c r="M113" i="13"/>
  <c r="M187" i="13"/>
  <c r="M192" i="13"/>
  <c r="AJ162" i="13"/>
  <c r="I131" i="13"/>
  <c r="I153" i="13"/>
  <c r="AX127" i="13"/>
  <c r="AY127" i="13" s="1"/>
  <c r="I161" i="13"/>
  <c r="E192" i="13"/>
  <c r="E210" i="13" s="1"/>
  <c r="E187" i="13"/>
  <c r="I219" i="13"/>
  <c r="D148" i="13"/>
  <c r="X131" i="13"/>
  <c r="X153" i="13"/>
  <c r="X165" i="13" s="1"/>
  <c r="E68" i="13"/>
  <c r="F68" i="13" s="1"/>
  <c r="AX52" i="13"/>
  <c r="BZ48" i="13"/>
  <c r="T187" i="13"/>
  <c r="T192" i="13"/>
  <c r="P169" i="13"/>
  <c r="I49" i="11"/>
  <c r="K49" i="11" s="1"/>
  <c r="I30" i="11"/>
  <c r="K30" i="11" s="1"/>
  <c r="I21" i="11"/>
  <c r="AQ192" i="13"/>
  <c r="AQ187" i="13"/>
  <c r="AQ20" i="9"/>
  <c r="AQ32" i="9" s="1"/>
  <c r="D39" i="8"/>
  <c r="H37" i="8"/>
  <c r="F84" i="9"/>
  <c r="G37" i="8"/>
  <c r="E143" i="8"/>
  <c r="E144" i="8"/>
  <c r="E156" i="8"/>
  <c r="E146" i="8"/>
  <c r="BE58" i="14"/>
  <c r="BG58" i="14"/>
  <c r="BH58" i="14" s="1"/>
  <c r="AD15" i="15"/>
  <c r="AM15" i="15"/>
  <c r="R16" i="14"/>
  <c r="E23" i="14"/>
  <c r="E34" i="14"/>
  <c r="AM153" i="13"/>
  <c r="AM131" i="13"/>
  <c r="K68" i="13"/>
  <c r="L68" i="13" s="1"/>
  <c r="BA52" i="13"/>
  <c r="K55" i="13"/>
  <c r="AS119" i="13"/>
  <c r="AR119" i="13"/>
  <c r="AQ153" i="13" s="1"/>
  <c r="P153" i="13"/>
  <c r="AT119" i="13"/>
  <c r="P131" i="13"/>
  <c r="K50" i="8"/>
  <c r="H187" i="13"/>
  <c r="K51" i="16"/>
  <c r="K63" i="16" s="1"/>
  <c r="K79" i="16"/>
  <c r="AL163" i="13"/>
  <c r="D51" i="16"/>
  <c r="D63" i="16" s="1"/>
  <c r="D79" i="16"/>
  <c r="BU54" i="13"/>
  <c r="AG236" i="13"/>
  <c r="J148" i="13"/>
  <c r="BE28" i="13"/>
  <c r="S20" i="13"/>
  <c r="M216" i="13"/>
  <c r="CD18" i="13"/>
  <c r="AS31" i="13"/>
  <c r="BX51" i="13"/>
  <c r="CD38" i="13"/>
  <c r="CE38" i="13" s="1"/>
  <c r="W169" i="13"/>
  <c r="Q156" i="13"/>
  <c r="K65" i="8"/>
  <c r="AB169" i="13"/>
  <c r="AX39" i="13"/>
  <c r="AV39" i="13"/>
  <c r="E11" i="8"/>
  <c r="E24" i="8"/>
  <c r="G52" i="8"/>
  <c r="I104" i="11"/>
  <c r="K104" i="11" s="1"/>
  <c r="I4" i="11"/>
  <c r="K4" i="11" s="1"/>
  <c r="I134" i="11"/>
  <c r="L134" i="11" s="1"/>
  <c r="I66" i="11"/>
  <c r="K66" i="11" s="1"/>
  <c r="I149" i="11"/>
  <c r="H25" i="8"/>
  <c r="G25" i="8"/>
  <c r="AL48" i="9"/>
  <c r="AK48" i="9"/>
  <c r="AJ48" i="9"/>
  <c r="I166" i="11"/>
  <c r="K166" i="11" s="1"/>
  <c r="P79" i="14"/>
  <c r="P14" i="16"/>
  <c r="BG51" i="14"/>
  <c r="BH51" i="14" s="1"/>
  <c r="BE51" i="14"/>
  <c r="I163" i="13"/>
  <c r="AX129" i="13"/>
  <c r="AY129" i="13" s="1"/>
  <c r="AO159" i="13"/>
  <c r="BO31" i="13"/>
  <c r="CB19" i="13"/>
  <c r="P102" i="13"/>
  <c r="G209" i="13"/>
  <c r="G204" i="13"/>
  <c r="AM102" i="13"/>
  <c r="BY54" i="13"/>
  <c r="G215" i="13"/>
  <c r="K148" i="13"/>
  <c r="L155" i="13"/>
  <c r="K4" i="8"/>
  <c r="AZ51" i="13"/>
  <c r="I67" i="13"/>
  <c r="J55" i="13"/>
  <c r="E102" i="13"/>
  <c r="E113" i="13"/>
  <c r="BY55" i="13"/>
  <c r="AE169" i="13"/>
  <c r="B55" i="13"/>
  <c r="CB50" i="13"/>
  <c r="W148" i="13"/>
  <c r="AA169" i="13"/>
  <c r="AB236" i="13"/>
  <c r="CC52" i="13"/>
  <c r="I77" i="11"/>
  <c r="K77" i="11" s="1"/>
  <c r="B89" i="11"/>
  <c r="I119" i="10"/>
  <c r="AD119" i="10" s="1"/>
  <c r="I135" i="10"/>
  <c r="I150" i="10" s="1"/>
  <c r="B155" i="11"/>
  <c r="N125" i="10"/>
  <c r="N156" i="10"/>
  <c r="I123" i="11"/>
  <c r="K123" i="11" s="1"/>
  <c r="E14" i="8"/>
  <c r="BX52" i="13"/>
  <c r="CD39" i="13"/>
  <c r="CE39" i="13" s="1"/>
  <c r="CA52" i="13"/>
  <c r="CD43" i="13"/>
  <c r="CE43" i="13" s="1"/>
  <c r="BX56" i="13"/>
  <c r="BZ53" i="13"/>
  <c r="K215" i="13"/>
  <c r="O169" i="13"/>
  <c r="O32" i="13"/>
  <c r="AO157" i="13"/>
  <c r="R154" i="13"/>
  <c r="K75" i="8"/>
  <c r="B169" i="13"/>
  <c r="B32" i="13"/>
  <c r="N211" i="13"/>
  <c r="W236" i="13"/>
  <c r="AA236" i="13"/>
  <c r="V187" i="13"/>
  <c r="V192" i="13"/>
  <c r="AD225" i="13"/>
  <c r="AD236" i="13" s="1"/>
  <c r="O213" i="13"/>
  <c r="AJ169" i="13"/>
  <c r="B147" i="10"/>
  <c r="L121" i="9"/>
  <c r="L120" i="9"/>
  <c r="AR31" i="13"/>
  <c r="AU19" i="13"/>
  <c r="AV19" i="13" s="1"/>
  <c r="E98" i="8"/>
  <c r="E99" i="8"/>
  <c r="D157" i="10"/>
  <c r="B36" i="11"/>
  <c r="D126" i="10"/>
  <c r="B115" i="11"/>
  <c r="K121" i="10"/>
  <c r="K137" i="10"/>
  <c r="K152" i="10" s="1"/>
  <c r="D152" i="8"/>
  <c r="D153" i="8"/>
  <c r="H151" i="8"/>
  <c r="P31" i="16"/>
  <c r="P35" i="16"/>
  <c r="AO63" i="14"/>
  <c r="BC12" i="14"/>
  <c r="P23" i="14"/>
  <c r="U23" i="14"/>
  <c r="AV72" i="14"/>
  <c r="AU72" i="14"/>
  <c r="AK229" i="13" s="1"/>
  <c r="AT72" i="14"/>
  <c r="AJ229" i="13" s="1"/>
  <c r="P9" i="16"/>
  <c r="BF61" i="14"/>
  <c r="BI60" i="14" s="1"/>
  <c r="S62" i="14"/>
  <c r="S63" i="14"/>
  <c r="P63" i="14"/>
  <c r="P46" i="14"/>
  <c r="BE49" i="14"/>
  <c r="BG49" i="14"/>
  <c r="BH49" i="14" s="1"/>
  <c r="C79" i="14"/>
  <c r="BG56" i="14"/>
  <c r="BH56" i="14" s="1"/>
  <c r="BE56" i="14"/>
  <c r="U16" i="14"/>
  <c r="V16" i="14"/>
  <c r="AO212" i="13"/>
  <c r="N16" i="14"/>
  <c r="AF102" i="13"/>
  <c r="AH204" i="13"/>
  <c r="AH209" i="13"/>
  <c r="AH210" i="13"/>
  <c r="AX40" i="13"/>
  <c r="AV40" i="13"/>
  <c r="AJ214" i="13"/>
  <c r="D114" i="13"/>
  <c r="D111" i="13"/>
  <c r="AX41" i="13"/>
  <c r="AV41" i="13"/>
  <c r="I51" i="16"/>
  <c r="I63" i="16" s="1"/>
  <c r="I79" i="16"/>
  <c r="N220" i="13"/>
  <c r="BV50" i="13"/>
  <c r="AX3" i="13"/>
  <c r="AY3" i="13" s="1"/>
  <c r="AV3" i="13"/>
  <c r="M70" i="13"/>
  <c r="N70" i="13" s="1"/>
  <c r="BB54" i="13"/>
  <c r="AX120" i="13"/>
  <c r="AY120" i="13" s="1"/>
  <c r="I154" i="13"/>
  <c r="CB20" i="13"/>
  <c r="B148" i="13"/>
  <c r="BU53" i="13"/>
  <c r="AB148" i="13"/>
  <c r="D144" i="10"/>
  <c r="D147" i="10"/>
  <c r="N147" i="10"/>
  <c r="F150" i="8"/>
  <c r="F152" i="8"/>
  <c r="H148" i="8"/>
  <c r="M51" i="16"/>
  <c r="M63" i="16" s="1"/>
  <c r="M79" i="16"/>
  <c r="D140" i="8"/>
  <c r="D141" i="8"/>
  <c r="I29" i="11"/>
  <c r="K29" i="11" s="1"/>
  <c r="I121" i="11"/>
  <c r="O121" i="11" s="1"/>
  <c r="D164" i="8"/>
  <c r="D165" i="8"/>
  <c r="B53" i="11"/>
  <c r="F119" i="10"/>
  <c r="F135" i="10"/>
  <c r="F150" i="10" s="1"/>
  <c r="G151" i="8"/>
  <c r="E155" i="8"/>
  <c r="E153" i="8"/>
  <c r="E152" i="8"/>
  <c r="E35" i="16"/>
  <c r="E47" i="16" s="1"/>
  <c r="E31" i="16"/>
  <c r="E32" i="16" s="1"/>
  <c r="D79" i="14"/>
  <c r="D224" i="13"/>
  <c r="D236" i="13" s="1"/>
  <c r="K115" i="13"/>
  <c r="AF131" i="13"/>
  <c r="AF153" i="13"/>
  <c r="AF165" i="13" s="1"/>
  <c r="CB56" i="13"/>
  <c r="L102" i="13"/>
  <c r="L113" i="13"/>
  <c r="BX48" i="13"/>
  <c r="CD35" i="13"/>
  <c r="CE35" i="13" s="1"/>
  <c r="CA56" i="13"/>
  <c r="AJ157" i="13"/>
  <c r="I133" i="11"/>
  <c r="K133" i="11" s="1"/>
  <c r="E68" i="8"/>
  <c r="F162" i="8"/>
  <c r="I163" i="11"/>
  <c r="Q163" i="11" s="1"/>
  <c r="I40" i="11"/>
  <c r="K40" i="11" s="1"/>
  <c r="I127" i="11"/>
  <c r="G163" i="8"/>
  <c r="E164" i="8"/>
  <c r="E165" i="8"/>
  <c r="E167" i="8"/>
  <c r="G147" i="10"/>
  <c r="B62" i="11"/>
  <c r="G116" i="10"/>
  <c r="G16" i="10"/>
  <c r="D120" i="8"/>
  <c r="D119" i="8"/>
  <c r="AI15" i="15"/>
  <c r="O96" i="14"/>
  <c r="O97" i="14" s="1"/>
  <c r="AY95" i="14"/>
  <c r="K218" i="13"/>
  <c r="O148" i="13"/>
  <c r="M68" i="13"/>
  <c r="N68" i="13" s="1"/>
  <c r="BB52" i="13"/>
  <c r="BR32" i="13"/>
  <c r="AA148" i="13"/>
  <c r="R159" i="13"/>
  <c r="K80" i="8"/>
  <c r="O159" i="13"/>
  <c r="K44" i="8"/>
  <c r="W102" i="13"/>
  <c r="N153" i="13"/>
  <c r="N131" i="13"/>
  <c r="K26" i="8"/>
  <c r="O215" i="13"/>
  <c r="BY57" i="13"/>
  <c r="BW50" i="13"/>
  <c r="O153" i="13"/>
  <c r="AU122" i="13"/>
  <c r="AV122" i="13" s="1"/>
  <c r="AU121" i="13"/>
  <c r="AV121" i="13" s="1"/>
  <c r="AU128" i="13"/>
  <c r="AV128" i="13" s="1"/>
  <c r="AU126" i="13"/>
  <c r="AV126" i="13" s="1"/>
  <c r="AU119" i="13"/>
  <c r="AV119" i="13" s="1"/>
  <c r="AU120" i="13"/>
  <c r="AV120" i="13" s="1"/>
  <c r="AU130" i="13"/>
  <c r="AV130" i="13" s="1"/>
  <c r="AU129" i="13"/>
  <c r="AV129" i="13" s="1"/>
  <c r="O131" i="13"/>
  <c r="AU124" i="13"/>
  <c r="AV124" i="13" s="1"/>
  <c r="AU123" i="13"/>
  <c r="AV123" i="13" s="1"/>
  <c r="AU127" i="13"/>
  <c r="AV127" i="13" s="1"/>
  <c r="AU125" i="13"/>
  <c r="AV125" i="13" s="1"/>
  <c r="K38" i="8"/>
  <c r="P156" i="13"/>
  <c r="AT122" i="13"/>
  <c r="AS122" i="13"/>
  <c r="AR122" i="13"/>
  <c r="AQ156" i="13" s="1"/>
  <c r="K53" i="8"/>
  <c r="AB102" i="13"/>
  <c r="BD31" i="13"/>
  <c r="N154" i="13"/>
  <c r="K27" i="8"/>
  <c r="Y55" i="13"/>
  <c r="U169" i="13"/>
  <c r="AZ6" i="13"/>
  <c r="AX6" i="13"/>
  <c r="AY6" i="13" s="1"/>
  <c r="P157" i="13"/>
  <c r="AR123" i="13"/>
  <c r="AQ157" i="13" s="1"/>
  <c r="AS123" i="13"/>
  <c r="AT123" i="13"/>
  <c r="K54" i="8"/>
  <c r="E169" i="13"/>
  <c r="E32" i="13"/>
  <c r="S187" i="13"/>
  <c r="S192" i="13"/>
  <c r="BJ32" i="13"/>
  <c r="I94" i="11"/>
  <c r="K94" i="11" s="1"/>
  <c r="B164" i="11"/>
  <c r="O122" i="10"/>
  <c r="AB10" i="10"/>
  <c r="O138" i="10"/>
  <c r="O153" i="10" s="1"/>
  <c r="AC10" i="10"/>
  <c r="H136" i="8"/>
  <c r="F138" i="8"/>
  <c r="I144" i="11"/>
  <c r="K144" i="11" s="1"/>
  <c r="B41" i="11"/>
  <c r="E119" i="10"/>
  <c r="E135" i="10"/>
  <c r="E150" i="10" s="1"/>
  <c r="I43" i="11"/>
  <c r="K43" i="11" s="1"/>
  <c r="G108" i="9"/>
  <c r="G32" i="9"/>
  <c r="G37" i="9"/>
  <c r="AP20" i="9"/>
  <c r="AP32" i="9" s="1"/>
  <c r="B15" i="11"/>
  <c r="C117" i="10"/>
  <c r="C133" i="10"/>
  <c r="C148" i="10" s="1"/>
  <c r="B65" i="11"/>
  <c r="G119" i="10"/>
  <c r="G135" i="10"/>
  <c r="E119" i="8"/>
  <c r="E120" i="8"/>
  <c r="H118" i="10"/>
  <c r="B76" i="11"/>
  <c r="H134" i="10"/>
  <c r="H149" i="10" s="1"/>
  <c r="L31" i="16"/>
  <c r="L32" i="16" s="1"/>
  <c r="L35" i="16"/>
  <c r="L47" i="16" s="1"/>
  <c r="CC53" i="13"/>
  <c r="CC54" i="13"/>
  <c r="I159" i="13"/>
  <c r="AX125" i="13"/>
  <c r="AY125" i="13" s="1"/>
  <c r="AN102" i="13"/>
  <c r="AB153" i="13"/>
  <c r="AB165" i="13" s="1"/>
  <c r="AB131" i="13"/>
  <c r="B236" i="13"/>
  <c r="AZ4" i="13"/>
  <c r="AX4" i="13"/>
  <c r="AY4" i="13" s="1"/>
  <c r="H79" i="14"/>
  <c r="M164" i="13"/>
  <c r="K25" i="8"/>
  <c r="J102" i="13"/>
  <c r="N213" i="13"/>
  <c r="N217" i="13"/>
  <c r="AP153" i="13"/>
  <c r="AP165" i="13" s="1"/>
  <c r="AP170" i="13" s="1"/>
  <c r="AP131" i="13"/>
  <c r="AL161" i="13"/>
  <c r="BZ22" i="13"/>
  <c r="AJ159" i="13"/>
  <c r="AF209" i="13"/>
  <c r="AF204" i="13"/>
  <c r="BW54" i="13"/>
  <c r="AV26" i="13"/>
  <c r="C79" i="16"/>
  <c r="C51" i="16"/>
  <c r="C63" i="16" s="1"/>
  <c r="Y153" i="13"/>
  <c r="Y165" i="13" s="1"/>
  <c r="Y131" i="13"/>
  <c r="X192" i="13"/>
  <c r="X187" i="13"/>
  <c r="U55" i="13"/>
  <c r="U65" i="13" s="1"/>
  <c r="M156" i="13"/>
  <c r="K17" i="8"/>
  <c r="BH31" i="13"/>
  <c r="AD169" i="13"/>
  <c r="AL160" i="13"/>
  <c r="AI55" i="13"/>
  <c r="I102" i="11"/>
  <c r="K102" i="11" s="1"/>
  <c r="I109" i="11"/>
  <c r="K109" i="11" s="1"/>
  <c r="L144" i="10"/>
  <c r="I137" i="11"/>
  <c r="K137" i="11" s="1"/>
  <c r="D22" i="8"/>
  <c r="D26" i="8" s="1"/>
  <c r="F22" i="8"/>
  <c r="I47" i="11"/>
  <c r="E110" i="8"/>
  <c r="E111" i="8"/>
  <c r="E113" i="8"/>
  <c r="B5" i="11"/>
  <c r="B119" i="10"/>
  <c r="B150" i="10"/>
  <c r="M121" i="9"/>
  <c r="M120" i="9"/>
  <c r="M122" i="9"/>
  <c r="E72" i="8"/>
  <c r="E71" i="8"/>
  <c r="I71" i="11"/>
  <c r="K71" i="11" s="1"/>
  <c r="I156" i="13"/>
  <c r="AX122" i="13"/>
  <c r="AY122" i="13" s="1"/>
  <c r="M212" i="13"/>
  <c r="L63" i="14"/>
  <c r="L64" i="14" s="1"/>
  <c r="L65" i="14"/>
  <c r="M63" i="14"/>
  <c r="M64" i="14" s="1"/>
  <c r="M65" i="14"/>
  <c r="AN15" i="15"/>
  <c r="AB63" i="14"/>
  <c r="G31" i="16"/>
  <c r="G32" i="16" s="1"/>
  <c r="G35" i="16"/>
  <c r="G47" i="16" s="1"/>
  <c r="BC3" i="14"/>
  <c r="AQ215" i="13"/>
  <c r="AQ216" i="13"/>
  <c r="BI32" i="14"/>
  <c r="AZ32" i="14"/>
  <c r="D63" i="14"/>
  <c r="D64" i="14" s="1"/>
  <c r="H113" i="13"/>
  <c r="H111" i="13"/>
  <c r="Z187" i="13"/>
  <c r="Z192" i="13"/>
  <c r="AK158" i="13"/>
  <c r="Z102" i="13"/>
  <c r="J131" i="13"/>
  <c r="J153" i="13"/>
  <c r="J165" i="13" s="1"/>
  <c r="AX119" i="13"/>
  <c r="AY119" i="13" s="1"/>
  <c r="I115" i="13"/>
  <c r="BW55" i="13"/>
  <c r="R161" i="13"/>
  <c r="K82" i="8"/>
  <c r="M218" i="13"/>
  <c r="AR127" i="13"/>
  <c r="AQ161" i="13" s="1"/>
  <c r="P161" i="13"/>
  <c r="AT127" i="13"/>
  <c r="AS127" i="13"/>
  <c r="K58" i="8"/>
  <c r="BZ50" i="13"/>
  <c r="R155" i="13"/>
  <c r="K76" i="8"/>
  <c r="J211" i="13"/>
  <c r="G153" i="13"/>
  <c r="G165" i="13" s="1"/>
  <c r="G131" i="13"/>
  <c r="AJ55" i="13"/>
  <c r="AO161" i="13"/>
  <c r="F102" i="13"/>
  <c r="F113" i="13"/>
  <c r="AX42" i="13"/>
  <c r="AV42" i="13"/>
  <c r="AV5" i="13"/>
  <c r="AX5" i="13"/>
  <c r="AY5" i="13" s="1"/>
  <c r="Y148" i="13"/>
  <c r="AC210" i="13"/>
  <c r="L216" i="13"/>
  <c r="L55" i="13"/>
  <c r="M67" i="13"/>
  <c r="BB51" i="13"/>
  <c r="O164" i="13"/>
  <c r="K49" i="8"/>
  <c r="BU48" i="13"/>
  <c r="Z169" i="13"/>
  <c r="I42" i="11"/>
  <c r="K42" i="11" s="1"/>
  <c r="AL39" i="9"/>
  <c r="AK39" i="9"/>
  <c r="AJ39" i="9"/>
  <c r="B31" i="11"/>
  <c r="D152" i="10"/>
  <c r="D121" i="10"/>
  <c r="D16" i="10"/>
  <c r="B38" i="11"/>
  <c r="E147" i="10"/>
  <c r="E116" i="10"/>
  <c r="E16" i="10"/>
  <c r="I135" i="11"/>
  <c r="K135" i="11" s="1"/>
  <c r="C16" i="10"/>
  <c r="AV76" i="14"/>
  <c r="AU76" i="14"/>
  <c r="AK233" i="13" s="1"/>
  <c r="AT76" i="14"/>
  <c r="AJ233" i="13" s="1"/>
  <c r="S79" i="14"/>
  <c r="S224" i="13"/>
  <c r="S236" i="13" s="1"/>
  <c r="J79" i="14"/>
  <c r="AV74" i="14"/>
  <c r="AU74" i="14"/>
  <c r="AK231" i="13" s="1"/>
  <c r="AT74" i="14"/>
  <c r="AJ231" i="13" s="1"/>
  <c r="Z15" i="15"/>
  <c r="T15" i="15"/>
  <c r="L79" i="14"/>
  <c r="AU68" i="14"/>
  <c r="AK225" i="13" s="1"/>
  <c r="AV68" i="14"/>
  <c r="AT68" i="14"/>
  <c r="AJ225" i="13" s="1"/>
  <c r="O17" i="14"/>
  <c r="O16" i="14"/>
  <c r="E79" i="14"/>
  <c r="E224" i="13"/>
  <c r="E236" i="13" s="1"/>
  <c r="H31" i="16"/>
  <c r="H32" i="16" s="1"/>
  <c r="H35" i="16"/>
  <c r="H47" i="16" s="1"/>
  <c r="AC15" i="15"/>
  <c r="AJ164" i="13"/>
  <c r="AL158" i="13"/>
  <c r="O158" i="13"/>
  <c r="K43" i="8"/>
  <c r="M213" i="13"/>
  <c r="T102" i="13"/>
  <c r="P55" i="13"/>
  <c r="BF51" i="13"/>
  <c r="O160" i="13"/>
  <c r="K45" i="8"/>
  <c r="G217" i="13"/>
  <c r="AW52" i="13"/>
  <c r="CA50" i="13"/>
  <c r="R102" i="13"/>
  <c r="CA54" i="13"/>
  <c r="AM162" i="13"/>
  <c r="L131" i="13"/>
  <c r="L153" i="13"/>
  <c r="K2" i="8"/>
  <c r="CD21" i="13"/>
  <c r="J192" i="13"/>
  <c r="J187" i="13"/>
  <c r="O69" i="13"/>
  <c r="P69" i="13" s="1"/>
  <c r="BC53" i="13"/>
  <c r="M155" i="13"/>
  <c r="K16" i="8"/>
  <c r="Q164" i="13"/>
  <c r="K73" i="8"/>
  <c r="CC55" i="13"/>
  <c r="AX14" i="13"/>
  <c r="AY14" i="13" s="1"/>
  <c r="AV14" i="13"/>
  <c r="CB55" i="13"/>
  <c r="Y236" i="13"/>
  <c r="AZ10" i="13"/>
  <c r="AX10" i="13"/>
  <c r="AY10" i="13" s="1"/>
  <c r="BO32" i="13"/>
  <c r="BB53" i="13"/>
  <c r="M69" i="13"/>
  <c r="N69" i="13" s="1"/>
  <c r="Q55" i="13"/>
  <c r="Q65" i="13" s="1"/>
  <c r="BG51" i="13"/>
  <c r="BC52" i="13"/>
  <c r="O68" i="13"/>
  <c r="P68" i="13" s="1"/>
  <c r="E148" i="13"/>
  <c r="F148" i="13"/>
  <c r="AR126" i="13"/>
  <c r="AQ160" i="13" s="1"/>
  <c r="P160" i="13"/>
  <c r="AS126" i="13"/>
  <c r="AT126" i="13"/>
  <c r="K57" i="8"/>
  <c r="I44" i="11"/>
  <c r="P44" i="11" s="1"/>
  <c r="M32" i="13"/>
  <c r="M169" i="13"/>
  <c r="I54" i="11"/>
  <c r="K54" i="11" s="1"/>
  <c r="I80" i="11"/>
  <c r="K80" i="11" s="1"/>
  <c r="I68" i="11"/>
  <c r="K68" i="11" s="1"/>
  <c r="D78" i="8"/>
  <c r="F157" i="10"/>
  <c r="B60" i="11"/>
  <c r="F126" i="10"/>
  <c r="I67" i="11"/>
  <c r="K67" i="11" s="1"/>
  <c r="I78" i="11"/>
  <c r="Q78" i="11" s="1"/>
  <c r="B141" i="11"/>
  <c r="M123" i="10"/>
  <c r="M16" i="10"/>
  <c r="M139" i="10"/>
  <c r="M144" i="10" s="1"/>
  <c r="AJ45" i="9"/>
  <c r="AL45" i="9"/>
  <c r="AK45" i="9"/>
  <c r="J65" i="14"/>
  <c r="J63" i="14"/>
  <c r="J64" i="14" s="1"/>
  <c r="P5" i="16"/>
  <c r="V63" i="14"/>
  <c r="O23" i="14"/>
  <c r="AA15" i="15"/>
  <c r="AM161" i="13"/>
  <c r="N164" i="13"/>
  <c r="K37" i="8"/>
  <c r="E63" i="14"/>
  <c r="E64" i="14" s="1"/>
  <c r="D192" i="13"/>
  <c r="D210" i="13" s="1"/>
  <c r="D187" i="13"/>
  <c r="P158" i="13"/>
  <c r="AR124" i="13"/>
  <c r="AQ158" i="13" s="1"/>
  <c r="AT124" i="13"/>
  <c r="AS124" i="13"/>
  <c r="K55" i="8"/>
  <c r="L157" i="13"/>
  <c r="K6" i="8"/>
  <c r="I164" i="13"/>
  <c r="AX130" i="13"/>
  <c r="AY130" i="13" s="1"/>
  <c r="BU51" i="13"/>
  <c r="BV51" i="13"/>
  <c r="P148" i="13"/>
  <c r="CB49" i="13"/>
  <c r="CB57" i="13"/>
  <c r="M160" i="13"/>
  <c r="K21" i="8"/>
  <c r="AJ155" i="13"/>
  <c r="N109" i="13"/>
  <c r="Q155" i="13"/>
  <c r="K64" i="8"/>
  <c r="N159" i="13"/>
  <c r="K32" i="8"/>
  <c r="CC21" i="13"/>
  <c r="N148" i="13"/>
  <c r="BU52" i="13"/>
  <c r="BE26" i="13"/>
  <c r="I68" i="13"/>
  <c r="J68" i="13" s="1"/>
  <c r="AZ52" i="13"/>
  <c r="AY52" i="13"/>
  <c r="G68" i="13"/>
  <c r="H68" i="13" s="1"/>
  <c r="O216" i="13"/>
  <c r="BF31" i="13"/>
  <c r="BU49" i="13"/>
  <c r="O225" i="13"/>
  <c r="Q148" i="13"/>
  <c r="B192" i="13"/>
  <c r="B187" i="13"/>
  <c r="BV58" i="13"/>
  <c r="BW58" i="13"/>
  <c r="CC20" i="13"/>
  <c r="AC148" i="13"/>
  <c r="I16" i="10"/>
  <c r="I136" i="11"/>
  <c r="K136" i="11" s="1"/>
  <c r="AJ38" i="9"/>
  <c r="AL38" i="9"/>
  <c r="AK38" i="9"/>
  <c r="G76" i="8"/>
  <c r="E78" i="8"/>
  <c r="B96" i="11"/>
  <c r="I157" i="10"/>
  <c r="I126" i="10"/>
  <c r="AH112" i="9"/>
  <c r="AI112" i="9"/>
  <c r="AG112" i="9"/>
  <c r="K219" i="13"/>
  <c r="E55" i="13"/>
  <c r="AU51" i="13"/>
  <c r="BF32" i="13"/>
  <c r="AM160" i="13"/>
  <c r="AI236" i="13"/>
  <c r="I97" i="11"/>
  <c r="I114" i="11"/>
  <c r="K114" i="11" s="1"/>
  <c r="I70" i="11"/>
  <c r="K70" i="11" s="1"/>
  <c r="I79" i="11"/>
  <c r="K79" i="11" s="1"/>
  <c r="I45" i="11"/>
  <c r="K45" i="11" s="1"/>
  <c r="I111" i="11"/>
  <c r="Q111" i="11" s="1"/>
  <c r="G139" i="8"/>
  <c r="E141" i="8"/>
  <c r="E140" i="8"/>
  <c r="I10" i="11"/>
  <c r="K10" i="11" s="1"/>
  <c r="F147" i="10"/>
  <c r="B50" i="11"/>
  <c r="F116" i="10"/>
  <c r="F16" i="10"/>
  <c r="N73" i="9"/>
  <c r="N84" i="9" s="1"/>
  <c r="N109" i="9"/>
  <c r="N38" i="9"/>
  <c r="AW21" i="9"/>
  <c r="AW32" i="9" s="1"/>
  <c r="I147" i="11"/>
  <c r="K147" i="11" s="1"/>
  <c r="I46" i="11"/>
  <c r="K46" i="11" s="1"/>
  <c r="E80" i="8"/>
  <c r="E81" i="8"/>
  <c r="B19" i="11"/>
  <c r="C152" i="10"/>
  <c r="C121" i="10"/>
  <c r="I61" i="11"/>
  <c r="K61" i="11" s="1"/>
  <c r="I125" i="11"/>
  <c r="K125" i="11" s="1"/>
  <c r="I81" i="11"/>
  <c r="K81" i="11" s="1"/>
  <c r="I156" i="11"/>
  <c r="Q156" i="11" s="1"/>
  <c r="M84" i="9"/>
  <c r="E29" i="8"/>
  <c r="L84" i="9"/>
  <c r="AI108" i="9"/>
  <c r="AG108" i="9"/>
  <c r="AH108" i="9"/>
  <c r="K116" i="10"/>
  <c r="K147" i="10"/>
  <c r="B110" i="11"/>
  <c r="K16" i="10"/>
  <c r="I14" i="11"/>
  <c r="Q14" i="11" s="1"/>
  <c r="I152" i="11"/>
  <c r="I128" i="11"/>
  <c r="Q128" i="11" s="1"/>
  <c r="D107" i="8"/>
  <c r="D108" i="8"/>
  <c r="I132" i="11"/>
  <c r="Q132" i="11" s="1"/>
  <c r="F108" i="9"/>
  <c r="F32" i="9"/>
  <c r="F37" i="9"/>
  <c r="AO20" i="9"/>
  <c r="AO32" i="9" s="1"/>
  <c r="L116" i="10"/>
  <c r="L147" i="10"/>
  <c r="B122" i="11"/>
  <c r="L16" i="10"/>
  <c r="H163" i="8"/>
  <c r="F165" i="8"/>
  <c r="F164" i="8"/>
  <c r="I150" i="11"/>
  <c r="O150" i="11" s="1"/>
  <c r="B173" i="11"/>
  <c r="R31" i="13"/>
  <c r="I87" i="11"/>
  <c r="Q87" i="11" s="1"/>
  <c r="AG23" i="14"/>
  <c r="L151" i="10"/>
  <c r="B126" i="11"/>
  <c r="L120" i="10"/>
  <c r="AD120" i="10" s="1"/>
  <c r="M51" i="9"/>
  <c r="M50" i="9"/>
  <c r="M49" i="9"/>
  <c r="E108" i="8"/>
  <c r="E107" i="8"/>
  <c r="G106" i="8"/>
  <c r="I93" i="11"/>
  <c r="K93" i="11" s="1"/>
  <c r="K121" i="9"/>
  <c r="K120" i="9"/>
  <c r="AJ108" i="9"/>
  <c r="K122" i="9"/>
  <c r="H130" i="8"/>
  <c r="I106" i="11"/>
  <c r="K106" i="11" s="1"/>
  <c r="L49" i="9"/>
  <c r="L51" i="9"/>
  <c r="L50" i="9"/>
  <c r="AI119" i="9"/>
  <c r="AH119" i="9"/>
  <c r="AG119" i="9"/>
  <c r="E89" i="8"/>
  <c r="E90" i="8"/>
  <c r="J147" i="10"/>
  <c r="B98" i="11"/>
  <c r="J116" i="10"/>
  <c r="J16" i="10"/>
  <c r="B143" i="11"/>
  <c r="M156" i="10"/>
  <c r="M125" i="10"/>
  <c r="I75" i="11"/>
  <c r="K75" i="11" s="1"/>
  <c r="H106" i="8"/>
  <c r="I139" i="11"/>
  <c r="Q139" i="11" s="1"/>
  <c r="L15" i="9"/>
  <c r="I159" i="11"/>
  <c r="Q159" i="11" s="1"/>
  <c r="B74" i="11"/>
  <c r="H116" i="10"/>
  <c r="H147" i="10"/>
  <c r="H16" i="10"/>
  <c r="J149" i="10"/>
  <c r="B100" i="11"/>
  <c r="J118" i="10"/>
  <c r="B84" i="11"/>
  <c r="H157" i="10"/>
  <c r="H126" i="10"/>
  <c r="BD54" i="13"/>
  <c r="Q70" i="13"/>
  <c r="R70" i="13" s="1"/>
  <c r="AK163" i="13"/>
  <c r="AC153" i="13"/>
  <c r="AC165" i="13" s="1"/>
  <c r="AC131" i="13"/>
  <c r="F153" i="13"/>
  <c r="F165" i="13" s="1"/>
  <c r="F131" i="13"/>
  <c r="Q158" i="13"/>
  <c r="K67" i="8"/>
  <c r="V131" i="13"/>
  <c r="V153" i="13"/>
  <c r="V165" i="13" s="1"/>
  <c r="N169" i="13"/>
  <c r="N32" i="13"/>
  <c r="P79" i="16"/>
  <c r="P51" i="16"/>
  <c r="K69" i="13"/>
  <c r="L69" i="13" s="1"/>
  <c r="BA53" i="13"/>
  <c r="T55" i="13"/>
  <c r="T65" i="13" s="1"/>
  <c r="H51" i="16"/>
  <c r="H63" i="16" s="1"/>
  <c r="H79" i="16"/>
  <c r="AC169" i="13"/>
  <c r="F169" i="13"/>
  <c r="F32" i="13"/>
  <c r="BV53" i="13"/>
  <c r="I25" i="11"/>
  <c r="K25" i="11" s="1"/>
  <c r="I20" i="11"/>
  <c r="K20" i="11" s="1"/>
  <c r="L125" i="10"/>
  <c r="L156" i="10"/>
  <c r="B131" i="11"/>
  <c r="J49" i="9"/>
  <c r="J51" i="9"/>
  <c r="J50" i="9"/>
  <c r="K154" i="10"/>
  <c r="B117" i="11"/>
  <c r="K123" i="10"/>
  <c r="E162" i="8"/>
  <c r="E161" i="8"/>
  <c r="G160" i="8"/>
  <c r="H84" i="9"/>
  <c r="F89" i="8"/>
  <c r="F90" i="8"/>
  <c r="F102" i="8"/>
  <c r="D16" i="14"/>
  <c r="AC63" i="14"/>
  <c r="J31" i="16"/>
  <c r="J32" i="16" s="1"/>
  <c r="J35" i="16"/>
  <c r="J47" i="16" s="1"/>
  <c r="I16" i="14"/>
  <c r="O31" i="16"/>
  <c r="O35" i="16"/>
  <c r="O47" i="16" s="1"/>
  <c r="C35" i="16"/>
  <c r="C47" i="16" s="1"/>
  <c r="C31" i="16"/>
  <c r="C32" i="16" s="1"/>
  <c r="X102" i="13"/>
  <c r="L164" i="13"/>
  <c r="K13" i="8"/>
  <c r="I160" i="13"/>
  <c r="AX126" i="13"/>
  <c r="AY126" i="13" s="1"/>
  <c r="U236" i="13"/>
  <c r="AP55" i="13"/>
  <c r="CB53" i="13"/>
  <c r="Q154" i="13"/>
  <c r="K63" i="8"/>
  <c r="S169" i="13"/>
  <c r="S17" i="13"/>
  <c r="BE22" i="13"/>
  <c r="Q102" i="13"/>
  <c r="CA48" i="13"/>
  <c r="M220" i="13"/>
  <c r="BV57" i="13"/>
  <c r="O155" i="13"/>
  <c r="K40" i="8"/>
  <c r="O163" i="13"/>
  <c r="K48" i="8"/>
  <c r="AC102" i="13"/>
  <c r="R158" i="13"/>
  <c r="K79" i="8"/>
  <c r="AT130" i="13"/>
  <c r="AS130" i="13"/>
  <c r="P164" i="13"/>
  <c r="AR130" i="13"/>
  <c r="AQ164" i="13" s="1"/>
  <c r="K61" i="8"/>
  <c r="O219" i="13"/>
  <c r="BV49" i="13"/>
  <c r="AU21" i="13"/>
  <c r="AV21" i="13" s="1"/>
  <c r="V148" i="13"/>
  <c r="CB21" i="13"/>
  <c r="AM55" i="13"/>
  <c r="AD55" i="13"/>
  <c r="BI31" i="13"/>
  <c r="O70" i="13"/>
  <c r="P70" i="13" s="1"/>
  <c r="BC54" i="13"/>
  <c r="H214" i="13"/>
  <c r="I161" i="11"/>
  <c r="K161" i="11" s="1"/>
  <c r="I35" i="11"/>
  <c r="K35" i="11" s="1"/>
  <c r="I11" i="11"/>
  <c r="K11" i="11" s="1"/>
  <c r="I85" i="11"/>
  <c r="I138" i="11"/>
  <c r="L138" i="11" s="1"/>
  <c r="I56" i="11"/>
  <c r="F45" i="8"/>
  <c r="D131" i="8"/>
  <c r="O38" i="9"/>
  <c r="D162" i="8"/>
  <c r="S23" i="14"/>
  <c r="C192" i="13"/>
  <c r="C187" i="13"/>
  <c r="B153" i="13"/>
  <c r="B165" i="13" s="1"/>
  <c r="B131" i="13"/>
  <c r="U148" i="13"/>
  <c r="K220" i="13"/>
  <c r="AP236" i="13"/>
  <c r="BZ49" i="13"/>
  <c r="CC49" i="13"/>
  <c r="G111" i="13"/>
  <c r="G113" i="13"/>
  <c r="AO162" i="13"/>
  <c r="AJ153" i="13"/>
  <c r="AJ131" i="13"/>
  <c r="M162" i="13"/>
  <c r="K23" i="8"/>
  <c r="S148" i="13"/>
  <c r="N215" i="13"/>
  <c r="M131" i="13"/>
  <c r="M153" i="13"/>
  <c r="K14" i="8"/>
  <c r="CD44" i="13"/>
  <c r="CE44" i="13" s="1"/>
  <c r="BX57" i="13"/>
  <c r="AE102" i="13"/>
  <c r="AX45" i="13"/>
  <c r="AV45" i="13"/>
  <c r="H210" i="13"/>
  <c r="N160" i="13"/>
  <c r="K33" i="8"/>
  <c r="V236" i="13"/>
  <c r="AL159" i="13"/>
  <c r="BE21" i="13"/>
  <c r="G51" i="16"/>
  <c r="G63" i="16" s="1"/>
  <c r="G79" i="16"/>
  <c r="AV51" i="13"/>
  <c r="F55" i="13"/>
  <c r="AB132" i="10"/>
  <c r="C84" i="9"/>
  <c r="I129" i="11"/>
  <c r="B9" i="11"/>
  <c r="B123" i="10"/>
  <c r="B154" i="10"/>
  <c r="CB22" i="13"/>
  <c r="G130" i="8"/>
  <c r="E134" i="8"/>
  <c r="E131" i="8"/>
  <c r="E132" i="8"/>
  <c r="E32" i="8"/>
  <c r="I168" i="11"/>
  <c r="K168" i="11" s="1"/>
  <c r="I58" i="11"/>
  <c r="K58" i="11" s="1"/>
  <c r="AK47" i="9"/>
  <c r="AJ47" i="9"/>
  <c r="AL47" i="9"/>
  <c r="I118" i="10"/>
  <c r="I149" i="10"/>
  <c r="B88" i="11"/>
  <c r="O156" i="10"/>
  <c r="O125" i="10"/>
  <c r="B167" i="11"/>
  <c r="AC13" i="10"/>
  <c r="AB13" i="10"/>
  <c r="C126" i="10"/>
  <c r="B24" i="11"/>
  <c r="C157" i="10"/>
  <c r="AI117" i="9"/>
  <c r="AH117" i="9"/>
  <c r="AG117" i="9"/>
  <c r="S16" i="14"/>
  <c r="O218" i="13"/>
  <c r="AV35" i="13"/>
  <c r="AX35" i="13"/>
  <c r="AH55" i="13"/>
  <c r="AL55" i="13"/>
  <c r="N214" i="13"/>
  <c r="AS47" i="13"/>
  <c r="CB47" i="13"/>
  <c r="N102" i="13"/>
  <c r="BM31" i="13"/>
  <c r="BM33" i="13" s="1"/>
  <c r="BZ19" i="13"/>
  <c r="BU57" i="13"/>
  <c r="BZ57" i="13"/>
  <c r="AK169" i="13"/>
  <c r="BX54" i="13"/>
  <c r="CD41" i="13"/>
  <c r="CE41" i="13" s="1"/>
  <c r="BE54" i="13"/>
  <c r="AM163" i="13"/>
  <c r="AE131" i="13"/>
  <c r="AE153" i="13"/>
  <c r="AE165" i="13" s="1"/>
  <c r="P163" i="13"/>
  <c r="AR129" i="13"/>
  <c r="AQ163" i="13" s="1"/>
  <c r="AT129" i="13"/>
  <c r="AS129" i="13"/>
  <c r="K60" i="8"/>
  <c r="G102" i="13"/>
  <c r="CC58" i="13"/>
  <c r="G70" i="13"/>
  <c r="H70" i="13" s="1"/>
  <c r="AY54" i="13"/>
  <c r="B218" i="13"/>
  <c r="X55" i="13"/>
  <c r="BP32" i="13"/>
  <c r="Q169" i="13"/>
  <c r="AV7" i="13"/>
  <c r="AX7" i="13"/>
  <c r="AY7" i="13" s="1"/>
  <c r="H169" i="13"/>
  <c r="H32" i="13"/>
  <c r="AC236" i="13"/>
  <c r="I101" i="11"/>
  <c r="K101" i="11" s="1"/>
  <c r="I151" i="11"/>
  <c r="K151" i="11" s="1"/>
  <c r="I142" i="11"/>
  <c r="K142" i="11" s="1"/>
  <c r="I37" i="11"/>
  <c r="K37" i="11" s="1"/>
  <c r="I57" i="11"/>
  <c r="K57" i="11" s="1"/>
  <c r="I99" i="11"/>
  <c r="N99" i="11" s="1"/>
  <c r="I51" i="11"/>
  <c r="I92" i="11"/>
  <c r="K92" i="11" s="1"/>
  <c r="I145" i="11"/>
  <c r="Q145" i="11" s="1"/>
  <c r="B169" i="11"/>
  <c r="O158" i="10"/>
  <c r="O127" i="10"/>
  <c r="AC15" i="10"/>
  <c r="AB15" i="10"/>
  <c r="B69" i="11"/>
  <c r="G123" i="10"/>
  <c r="G154" i="10"/>
  <c r="AI118" i="9"/>
  <c r="AH118" i="9"/>
  <c r="AG118" i="9"/>
  <c r="N154" i="10"/>
  <c r="N123" i="10"/>
  <c r="B153" i="11"/>
  <c r="I33" i="11"/>
  <c r="Q33" i="11" s="1"/>
  <c r="I34" i="11"/>
  <c r="K34" i="11" s="1"/>
  <c r="B124" i="11"/>
  <c r="L118" i="10"/>
  <c r="L149" i="10"/>
  <c r="I2" i="11"/>
  <c r="K2" i="11" s="1"/>
  <c r="I83" i="11"/>
  <c r="L87" i="9"/>
  <c r="L88" i="9" s="1"/>
  <c r="I95" i="11"/>
  <c r="K95" i="11" s="1"/>
  <c r="C37" i="9"/>
  <c r="C108" i="9"/>
  <c r="C32" i="9"/>
  <c r="AL20" i="9"/>
  <c r="AL32" i="9" s="1"/>
  <c r="E122" i="8"/>
  <c r="E123" i="8"/>
  <c r="E135" i="8"/>
  <c r="B165" i="11"/>
  <c r="O123" i="10"/>
  <c r="AC11" i="10"/>
  <c r="AB11" i="10"/>
  <c r="K118" i="10"/>
  <c r="K149" i="10"/>
  <c r="B112" i="11"/>
  <c r="I157" i="11"/>
  <c r="K157" i="11" s="1"/>
  <c r="I26" i="11"/>
  <c r="D63" i="8" l="1"/>
  <c r="D54" i="8"/>
  <c r="F62" i="8"/>
  <c r="E56" i="8"/>
  <c r="D53" i="8"/>
  <c r="D35" i="8"/>
  <c r="G58" i="8"/>
  <c r="E69" i="8"/>
  <c r="D51" i="8"/>
  <c r="D38" i="8"/>
  <c r="D132" i="8"/>
  <c r="D149" i="8"/>
  <c r="G133" i="8"/>
  <c r="F77" i="8"/>
  <c r="Y170" i="13"/>
  <c r="F96" i="8"/>
  <c r="AS56" i="13"/>
  <c r="D122" i="8"/>
  <c r="F83" i="8"/>
  <c r="H34" i="8"/>
  <c r="D137" i="8"/>
  <c r="H7" i="8"/>
  <c r="F33" i="8"/>
  <c r="E53" i="8"/>
  <c r="H97" i="8"/>
  <c r="B159" i="10"/>
  <c r="AD126" i="10"/>
  <c r="AD123" i="10"/>
  <c r="AD125" i="10"/>
  <c r="D75" i="8"/>
  <c r="D68" i="8"/>
  <c r="D161" i="8"/>
  <c r="D89" i="8"/>
  <c r="H88" i="8"/>
  <c r="D90" i="8"/>
  <c r="AL214" i="13"/>
  <c r="G88" i="8"/>
  <c r="D102" i="8"/>
  <c r="D77" i="8"/>
  <c r="H73" i="8"/>
  <c r="G157" i="8"/>
  <c r="H157" i="8"/>
  <c r="F75" i="8"/>
  <c r="D50" i="8"/>
  <c r="D158" i="8"/>
  <c r="D11" i="8"/>
  <c r="AU56" i="13"/>
  <c r="D83" i="8"/>
  <c r="K51" i="9"/>
  <c r="K49" i="9"/>
  <c r="AK46" i="9"/>
  <c r="AJ46" i="9"/>
  <c r="AL46" i="9"/>
  <c r="D93" i="8"/>
  <c r="BB55" i="13"/>
  <c r="BH33" i="13"/>
  <c r="H79" i="8"/>
  <c r="F56" i="8"/>
  <c r="H82" i="8"/>
  <c r="G121" i="8"/>
  <c r="D80" i="8"/>
  <c r="G82" i="8"/>
  <c r="F29" i="8"/>
  <c r="E87" i="8"/>
  <c r="F74" i="8"/>
  <c r="F123" i="8"/>
  <c r="H109" i="8"/>
  <c r="F110" i="8"/>
  <c r="F65" i="8"/>
  <c r="E74" i="8"/>
  <c r="D86" i="8"/>
  <c r="G46" i="8"/>
  <c r="D84" i="8"/>
  <c r="BG33" i="13"/>
  <c r="J170" i="13"/>
  <c r="AW55" i="13"/>
  <c r="E75" i="8"/>
  <c r="AL216" i="13"/>
  <c r="H64" i="8"/>
  <c r="AF170" i="13"/>
  <c r="H28" i="8"/>
  <c r="G109" i="8"/>
  <c r="D125" i="8"/>
  <c r="G73" i="8"/>
  <c r="D74" i="8"/>
  <c r="H58" i="8"/>
  <c r="D96" i="8"/>
  <c r="D123" i="8"/>
  <c r="D135" i="8"/>
  <c r="D60" i="8"/>
  <c r="F68" i="8"/>
  <c r="V170" i="13"/>
  <c r="H52" i="8"/>
  <c r="F30" i="8"/>
  <c r="F38" i="8"/>
  <c r="D110" i="8"/>
  <c r="K7" i="11"/>
  <c r="AD121" i="10"/>
  <c r="K128" i="10"/>
  <c r="J128" i="10"/>
  <c r="H121" i="8"/>
  <c r="D101" i="8"/>
  <c r="AG170" i="13"/>
  <c r="E51" i="8"/>
  <c r="D159" i="8"/>
  <c r="F60" i="8"/>
  <c r="T170" i="13"/>
  <c r="F122" i="8"/>
  <c r="H70" i="8"/>
  <c r="D147" i="8"/>
  <c r="D72" i="8"/>
  <c r="E47" i="8"/>
  <c r="E48" i="8"/>
  <c r="E57" i="8"/>
  <c r="AV56" i="13"/>
  <c r="D48" i="8"/>
  <c r="D98" i="8"/>
  <c r="BD56" i="13"/>
  <c r="D99" i="8"/>
  <c r="E30" i="8"/>
  <c r="D111" i="8"/>
  <c r="F48" i="8"/>
  <c r="F125" i="8"/>
  <c r="E23" i="8"/>
  <c r="F72" i="8"/>
  <c r="CE19" i="13"/>
  <c r="CF20" i="13"/>
  <c r="E18" i="8"/>
  <c r="F35" i="8"/>
  <c r="F135" i="8"/>
  <c r="E21" i="8"/>
  <c r="F84" i="8"/>
  <c r="AL213" i="13"/>
  <c r="AL217" i="13"/>
  <c r="K111" i="11"/>
  <c r="K22" i="11"/>
  <c r="D20" i="8"/>
  <c r="K170" i="13"/>
  <c r="AB170" i="13"/>
  <c r="K99" i="11"/>
  <c r="BI51" i="14"/>
  <c r="K156" i="11"/>
  <c r="AU55" i="13"/>
  <c r="AL165" i="13"/>
  <c r="AL170" i="13" s="1"/>
  <c r="AX56" i="13"/>
  <c r="AL211" i="13"/>
  <c r="K78" i="11"/>
  <c r="D170" i="13"/>
  <c r="F134" i="8"/>
  <c r="H133" i="8"/>
  <c r="BI49" i="14"/>
  <c r="D57" i="8"/>
  <c r="BI58" i="14"/>
  <c r="F21" i="8"/>
  <c r="BL33" i="13"/>
  <c r="D159" i="10"/>
  <c r="BO33" i="13"/>
  <c r="K145" i="11"/>
  <c r="Q93" i="11"/>
  <c r="Q146" i="11"/>
  <c r="M128" i="10"/>
  <c r="P108" i="13"/>
  <c r="Q108" i="13" s="1"/>
  <c r="K64" i="11"/>
  <c r="O161" i="11"/>
  <c r="N90" i="11"/>
  <c r="K28" i="11"/>
  <c r="AL40" i="9"/>
  <c r="O144" i="10"/>
  <c r="O159" i="10" s="1"/>
  <c r="AJ40" i="9"/>
  <c r="AK40" i="9"/>
  <c r="I50" i="9"/>
  <c r="AC16" i="10"/>
  <c r="Q30" i="11"/>
  <c r="D32" i="8"/>
  <c r="F11" i="8"/>
  <c r="H10" i="8"/>
  <c r="AA170" i="13"/>
  <c r="F98" i="8"/>
  <c r="F101" i="8"/>
  <c r="F99" i="8"/>
  <c r="M158" i="11"/>
  <c r="C128" i="10"/>
  <c r="Y221" i="13"/>
  <c r="K52" i="11"/>
  <c r="E54" i="8"/>
  <c r="D81" i="8"/>
  <c r="BR33" i="13"/>
  <c r="F54" i="8"/>
  <c r="U19" i="13"/>
  <c r="V19" i="13" s="1"/>
  <c r="O165" i="13"/>
  <c r="O170" i="13" s="1"/>
  <c r="P120" i="11"/>
  <c r="E44" i="8"/>
  <c r="J144" i="10"/>
  <c r="J159" i="10" s="1"/>
  <c r="N144" i="10"/>
  <c r="N159" i="10" s="1"/>
  <c r="C144" i="10"/>
  <c r="C159" i="10" s="1"/>
  <c r="D56" i="8"/>
  <c r="Q80" i="11"/>
  <c r="D59" i="8"/>
  <c r="D42" i="8"/>
  <c r="Q92" i="11"/>
  <c r="O146" i="11"/>
  <c r="D71" i="8"/>
  <c r="O128" i="10"/>
  <c r="Q40" i="11"/>
  <c r="AT55" i="13"/>
  <c r="D146" i="8"/>
  <c r="H145" i="8"/>
  <c r="F146" i="8"/>
  <c r="F147" i="8"/>
  <c r="F159" i="8"/>
  <c r="K132" i="11"/>
  <c r="O144" i="11"/>
  <c r="BE55" i="13"/>
  <c r="O10" i="11"/>
  <c r="H142" i="8"/>
  <c r="AL230" i="13"/>
  <c r="K128" i="11"/>
  <c r="B128" i="10"/>
  <c r="G49" i="8"/>
  <c r="E50" i="8"/>
  <c r="G28" i="8"/>
  <c r="K121" i="11"/>
  <c r="D156" i="8"/>
  <c r="D30" i="8"/>
  <c r="F66" i="8"/>
  <c r="G55" i="8"/>
  <c r="H55" i="8"/>
  <c r="AJ221" i="13"/>
  <c r="F42" i="8"/>
  <c r="F44" i="8"/>
  <c r="AC170" i="13"/>
  <c r="AF221" i="13"/>
  <c r="O158" i="11"/>
  <c r="O16" i="11"/>
  <c r="G142" i="8"/>
  <c r="D143" i="8"/>
  <c r="D69" i="8"/>
  <c r="I121" i="9"/>
  <c r="AG111" i="9"/>
  <c r="AG120" i="9" s="1"/>
  <c r="AE221" i="13"/>
  <c r="H40" i="8"/>
  <c r="E42" i="8"/>
  <c r="G40" i="8"/>
  <c r="D29" i="8"/>
  <c r="H144" i="10"/>
  <c r="H159" i="10" s="1"/>
  <c r="G67" i="8"/>
  <c r="N128" i="10"/>
  <c r="P29" i="11"/>
  <c r="P71" i="11"/>
  <c r="F111" i="8"/>
  <c r="L86" i="11"/>
  <c r="AH111" i="9"/>
  <c r="AI221" i="13"/>
  <c r="E20" i="8"/>
  <c r="U27" i="13"/>
  <c r="V27" i="13" s="1"/>
  <c r="W27" i="13" s="1"/>
  <c r="U25" i="13"/>
  <c r="V25" i="13" s="1"/>
  <c r="U22" i="13"/>
  <c r="N221" i="13"/>
  <c r="D33" i="8"/>
  <c r="Q102" i="11"/>
  <c r="W10" i="16"/>
  <c r="V99" i="9" s="1"/>
  <c r="G19" i="8"/>
  <c r="AE170" i="13"/>
  <c r="D21" i="8"/>
  <c r="N158" i="11"/>
  <c r="AD221" i="13"/>
  <c r="P42" i="16"/>
  <c r="O77" i="13"/>
  <c r="P77" i="13" s="1"/>
  <c r="AI111" i="9"/>
  <c r="AI120" i="9" s="1"/>
  <c r="T29" i="13"/>
  <c r="U221" i="13"/>
  <c r="H16" i="8"/>
  <c r="K103" i="11"/>
  <c r="P148" i="11"/>
  <c r="K32" i="11"/>
  <c r="AL212" i="13"/>
  <c r="G4" i="8"/>
  <c r="K86" i="11"/>
  <c r="L159" i="10"/>
  <c r="P136" i="11"/>
  <c r="Q86" i="11"/>
  <c r="BI57" i="14"/>
  <c r="G144" i="10"/>
  <c r="G159" i="10" s="1"/>
  <c r="BI53" i="14"/>
  <c r="Q35" i="11"/>
  <c r="T23" i="13"/>
  <c r="U23" i="13" s="1"/>
  <c r="P221" i="13"/>
  <c r="BQ33" i="13"/>
  <c r="Q158" i="11"/>
  <c r="L128" i="10"/>
  <c r="N111" i="13"/>
  <c r="AK165" i="13"/>
  <c r="AK170" i="13" s="1"/>
  <c r="D44" i="8"/>
  <c r="D47" i="8"/>
  <c r="O86" i="11"/>
  <c r="BI33" i="13"/>
  <c r="G43" i="8"/>
  <c r="H50" i="9"/>
  <c r="O99" i="9"/>
  <c r="O115" i="9" s="1"/>
  <c r="Q75" i="11"/>
  <c r="H49" i="9"/>
  <c r="BB56" i="13"/>
  <c r="U24" i="13"/>
  <c r="D128" i="10"/>
  <c r="H19" i="8"/>
  <c r="R165" i="13"/>
  <c r="R170" i="13" s="1"/>
  <c r="D8" i="8"/>
  <c r="H43" i="8"/>
  <c r="BI50" i="14"/>
  <c r="AL215" i="13"/>
  <c r="H221" i="13"/>
  <c r="AH221" i="13"/>
  <c r="AY56" i="13"/>
  <c r="O110" i="13"/>
  <c r="B170" i="13"/>
  <c r="CE21" i="13"/>
  <c r="AO165" i="13"/>
  <c r="AO170" i="13" s="1"/>
  <c r="AM165" i="13"/>
  <c r="AM170" i="13" s="1"/>
  <c r="W30" i="13"/>
  <c r="X30" i="13" s="1"/>
  <c r="Y30" i="13" s="1"/>
  <c r="Q66" i="11"/>
  <c r="BI59" i="14"/>
  <c r="CE20" i="13"/>
  <c r="W26" i="13"/>
  <c r="X26" i="13" s="1"/>
  <c r="G16" i="8"/>
  <c r="D18" i="8"/>
  <c r="AH170" i="13"/>
  <c r="AD118" i="10"/>
  <c r="I122" i="9"/>
  <c r="BE31" i="13"/>
  <c r="K134" i="11"/>
  <c r="AC221" i="13"/>
  <c r="U28" i="13"/>
  <c r="V28" i="13" s="1"/>
  <c r="P118" i="11"/>
  <c r="W64" i="13"/>
  <c r="X64" i="13" s="1"/>
  <c r="O73" i="13"/>
  <c r="P73" i="13" s="1"/>
  <c r="P165" i="13"/>
  <c r="P170" i="13" s="1"/>
  <c r="S47" i="11"/>
  <c r="T47" i="11" s="1"/>
  <c r="P47" i="11"/>
  <c r="O47" i="11"/>
  <c r="M47" i="11"/>
  <c r="L47" i="11"/>
  <c r="N47" i="11"/>
  <c r="S83" i="11"/>
  <c r="T83" i="11" s="1"/>
  <c r="J83" i="11"/>
  <c r="Q83" i="11"/>
  <c r="O83" i="11"/>
  <c r="L83" i="11"/>
  <c r="N83" i="11"/>
  <c r="M83" i="11"/>
  <c r="S46" i="11"/>
  <c r="T46" i="11" s="1"/>
  <c r="P46" i="11"/>
  <c r="L46" i="11"/>
  <c r="M46" i="11"/>
  <c r="O46" i="11"/>
  <c r="N46" i="11"/>
  <c r="S166" i="11"/>
  <c r="T166" i="11" s="1"/>
  <c r="L166" i="11"/>
  <c r="Q166" i="11"/>
  <c r="O166" i="11"/>
  <c r="M166" i="11"/>
  <c r="P166" i="11"/>
  <c r="F214" i="13"/>
  <c r="F215" i="13"/>
  <c r="F204" i="13"/>
  <c r="J77" i="11"/>
  <c r="S77" i="11"/>
  <c r="T77" i="11" s="1"/>
  <c r="P77" i="11"/>
  <c r="O77" i="11"/>
  <c r="Q77" i="11"/>
  <c r="N77" i="11"/>
  <c r="M77" i="11"/>
  <c r="L77" i="11"/>
  <c r="W7" i="16"/>
  <c r="V96" i="9" s="1"/>
  <c r="P55" i="16"/>
  <c r="P39" i="16"/>
  <c r="O96" i="9"/>
  <c r="O112" i="9" s="1"/>
  <c r="AJ112" i="9" s="1"/>
  <c r="N165" i="13"/>
  <c r="N170" i="13" s="1"/>
  <c r="AS55" i="13"/>
  <c r="AK236" i="13"/>
  <c r="S64" i="11"/>
  <c r="T64" i="11" s="1"/>
  <c r="N64" i="11"/>
  <c r="L64" i="11"/>
  <c r="P64" i="11"/>
  <c r="M64" i="11"/>
  <c r="O64" i="11"/>
  <c r="L209" i="13"/>
  <c r="L204" i="13"/>
  <c r="S157" i="11"/>
  <c r="T157" i="11" s="1"/>
  <c r="J157" i="11"/>
  <c r="M157" i="11"/>
  <c r="O157" i="11"/>
  <c r="L157" i="11"/>
  <c r="N157" i="11"/>
  <c r="P157" i="11"/>
  <c r="I69" i="11"/>
  <c r="K69" i="11" s="1"/>
  <c r="S142" i="11"/>
  <c r="T142" i="11" s="1"/>
  <c r="O142" i="11"/>
  <c r="N142" i="11"/>
  <c r="M142" i="11"/>
  <c r="L142" i="11"/>
  <c r="P142" i="11"/>
  <c r="Q142" i="11"/>
  <c r="J75" i="11"/>
  <c r="S75" i="11"/>
  <c r="T75" i="11" s="1"/>
  <c r="L75" i="11"/>
  <c r="N75" i="11"/>
  <c r="O75" i="11"/>
  <c r="M75" i="11"/>
  <c r="P75" i="11"/>
  <c r="J125" i="11"/>
  <c r="S125" i="11"/>
  <c r="T125" i="11" s="1"/>
  <c r="Q125" i="11"/>
  <c r="M125" i="11"/>
  <c r="O125" i="11"/>
  <c r="P125" i="11"/>
  <c r="N125" i="11"/>
  <c r="L125" i="11"/>
  <c r="S109" i="11"/>
  <c r="T109" i="11" s="1"/>
  <c r="L109" i="11"/>
  <c r="M109" i="11"/>
  <c r="O109" i="11"/>
  <c r="P109" i="11"/>
  <c r="N109" i="11"/>
  <c r="Q109" i="11"/>
  <c r="I53" i="11"/>
  <c r="K53" i="11" s="1"/>
  <c r="E144" i="10"/>
  <c r="E159" i="10" s="1"/>
  <c r="B121" i="9"/>
  <c r="B122" i="9"/>
  <c r="B120" i="9"/>
  <c r="K71" i="13"/>
  <c r="L71" i="13" s="1"/>
  <c r="L67" i="13"/>
  <c r="D49" i="9"/>
  <c r="D51" i="9"/>
  <c r="D50" i="9"/>
  <c r="AU79" i="14"/>
  <c r="AT79" i="14"/>
  <c r="S152" i="11"/>
  <c r="T152" i="11" s="1"/>
  <c r="Q152" i="11"/>
  <c r="M152" i="11"/>
  <c r="O152" i="11"/>
  <c r="P152" i="11"/>
  <c r="N152" i="11"/>
  <c r="L152" i="11"/>
  <c r="S134" i="11"/>
  <c r="T134" i="11" s="1"/>
  <c r="J134" i="11"/>
  <c r="N134" i="11"/>
  <c r="P134" i="11"/>
  <c r="B204" i="13"/>
  <c r="B210" i="13"/>
  <c r="B221" i="13" s="1"/>
  <c r="J160" i="11"/>
  <c r="S160" i="11"/>
  <c r="T160" i="11" s="1"/>
  <c r="L160" i="11"/>
  <c r="O160" i="11"/>
  <c r="M160" i="11"/>
  <c r="P160" i="11"/>
  <c r="Q160" i="11"/>
  <c r="N160" i="11"/>
  <c r="J129" i="11"/>
  <c r="S129" i="11"/>
  <c r="T129" i="11" s="1"/>
  <c r="O129" i="11"/>
  <c r="L129" i="11"/>
  <c r="P129" i="11"/>
  <c r="M129" i="11"/>
  <c r="N129" i="11"/>
  <c r="E77" i="13"/>
  <c r="AX55" i="13"/>
  <c r="I82" i="11"/>
  <c r="J93" i="11" s="1"/>
  <c r="G150" i="10"/>
  <c r="S123" i="11"/>
  <c r="T123" i="11" s="1"/>
  <c r="N123" i="11"/>
  <c r="O123" i="11"/>
  <c r="Q123" i="11"/>
  <c r="L123" i="11"/>
  <c r="M123" i="11"/>
  <c r="AG209" i="13"/>
  <c r="AG204" i="13"/>
  <c r="AG210" i="13"/>
  <c r="C122" i="9"/>
  <c r="C120" i="9"/>
  <c r="C121" i="9"/>
  <c r="O71" i="13"/>
  <c r="P71" i="13" s="1"/>
  <c r="P67" i="13"/>
  <c r="H155" i="10"/>
  <c r="B148" i="10"/>
  <c r="F51" i="9"/>
  <c r="F49" i="9"/>
  <c r="F50" i="9"/>
  <c r="S156" i="11"/>
  <c r="T156" i="11" s="1"/>
  <c r="J156" i="11"/>
  <c r="P156" i="11"/>
  <c r="L156" i="11"/>
  <c r="M156" i="11"/>
  <c r="O156" i="11"/>
  <c r="N156" i="11"/>
  <c r="I62" i="11"/>
  <c r="J73" i="11" s="1"/>
  <c r="K140" i="11"/>
  <c r="N122" i="9"/>
  <c r="N120" i="9"/>
  <c r="N121" i="9"/>
  <c r="T20" i="13"/>
  <c r="F121" i="9"/>
  <c r="F120" i="9"/>
  <c r="F122" i="9"/>
  <c r="S39" i="11"/>
  <c r="T39" i="11" s="1"/>
  <c r="Q39" i="11"/>
  <c r="N39" i="11"/>
  <c r="P39" i="11"/>
  <c r="L39" i="11"/>
  <c r="M39" i="11"/>
  <c r="O39" i="11"/>
  <c r="AA209" i="13"/>
  <c r="AA204" i="13"/>
  <c r="AA210" i="13"/>
  <c r="AO204" i="13"/>
  <c r="AO209" i="13"/>
  <c r="AO210" i="13"/>
  <c r="S13" i="11"/>
  <c r="T13" i="11" s="1"/>
  <c r="Q13" i="11"/>
  <c r="P13" i="11"/>
  <c r="N13" i="11"/>
  <c r="L13" i="11"/>
  <c r="O13" i="11"/>
  <c r="M13" i="11"/>
  <c r="I24" i="11"/>
  <c r="K24" i="11" s="1"/>
  <c r="F144" i="10"/>
  <c r="F159" i="10" s="1"/>
  <c r="C204" i="13"/>
  <c r="C209" i="13"/>
  <c r="C210" i="13"/>
  <c r="Q47" i="11"/>
  <c r="S20" i="11"/>
  <c r="T20" i="11" s="1"/>
  <c r="N20" i="11"/>
  <c r="L20" i="11"/>
  <c r="M20" i="11"/>
  <c r="P20" i="11"/>
  <c r="O20" i="11"/>
  <c r="I100" i="11"/>
  <c r="J111" i="11" s="1"/>
  <c r="I110" i="11"/>
  <c r="K110" i="11" s="1"/>
  <c r="F128" i="10"/>
  <c r="P45" i="11"/>
  <c r="S45" i="11"/>
  <c r="T45" i="11" s="1"/>
  <c r="Q45" i="11"/>
  <c r="L45" i="11"/>
  <c r="O45" i="11"/>
  <c r="M45" i="11"/>
  <c r="N45" i="11"/>
  <c r="S136" i="11"/>
  <c r="T136" i="11" s="1"/>
  <c r="J136" i="11"/>
  <c r="M136" i="11"/>
  <c r="O136" i="11"/>
  <c r="N136" i="11"/>
  <c r="L136" i="11"/>
  <c r="Q136" i="11"/>
  <c r="S68" i="11"/>
  <c r="T68" i="11" s="1"/>
  <c r="L68" i="11"/>
  <c r="N68" i="11"/>
  <c r="O68" i="11"/>
  <c r="P68" i="11"/>
  <c r="M68" i="11"/>
  <c r="J204" i="13"/>
  <c r="J209" i="13"/>
  <c r="I15" i="11"/>
  <c r="K15" i="11" s="1"/>
  <c r="J144" i="11"/>
  <c r="S144" i="11"/>
  <c r="T144" i="11" s="1"/>
  <c r="M144" i="11"/>
  <c r="L144" i="11"/>
  <c r="Q144" i="11"/>
  <c r="P144" i="11"/>
  <c r="N144" i="11"/>
  <c r="I155" i="11"/>
  <c r="K155" i="11" s="1"/>
  <c r="G221" i="13"/>
  <c r="T209" i="13"/>
  <c r="T204" i="13"/>
  <c r="T210" i="13"/>
  <c r="AW71" i="14"/>
  <c r="AM228" i="13" s="1"/>
  <c r="AL228" i="13"/>
  <c r="B49" i="9"/>
  <c r="B51" i="9"/>
  <c r="B50" i="9"/>
  <c r="I108" i="11"/>
  <c r="K108" i="11" s="1"/>
  <c r="BA56" i="13"/>
  <c r="I48" i="11"/>
  <c r="K48" i="11" s="1"/>
  <c r="D121" i="9"/>
  <c r="D122" i="9"/>
  <c r="D120" i="9"/>
  <c r="I18" i="11"/>
  <c r="AZ56" i="13"/>
  <c r="S90" i="11"/>
  <c r="T90" i="11" s="1"/>
  <c r="J90" i="11"/>
  <c r="O90" i="11"/>
  <c r="P90" i="11"/>
  <c r="Q90" i="11"/>
  <c r="M90" i="11"/>
  <c r="L90" i="11"/>
  <c r="AW75" i="14"/>
  <c r="AM232" i="13" s="1"/>
  <c r="AL232" i="13"/>
  <c r="I117" i="11"/>
  <c r="K117" i="11" s="1"/>
  <c r="S51" i="11"/>
  <c r="T51" i="11" s="1"/>
  <c r="N51" i="11"/>
  <c r="L51" i="11"/>
  <c r="M51" i="11"/>
  <c r="P51" i="11"/>
  <c r="O51" i="11"/>
  <c r="F15" i="8"/>
  <c r="F14" i="8"/>
  <c r="H13" i="8"/>
  <c r="F27" i="8"/>
  <c r="K14" i="11"/>
  <c r="K160" i="11"/>
  <c r="S87" i="11"/>
  <c r="T87" i="11" s="1"/>
  <c r="L87" i="11"/>
  <c r="M87" i="11"/>
  <c r="N87" i="11"/>
  <c r="O87" i="11"/>
  <c r="P87" i="11"/>
  <c r="S67" i="11"/>
  <c r="T67" i="11" s="1"/>
  <c r="N67" i="11"/>
  <c r="M67" i="11"/>
  <c r="P67" i="11"/>
  <c r="O67" i="11"/>
  <c r="L67" i="11"/>
  <c r="S58" i="11"/>
  <c r="T58" i="11" s="1"/>
  <c r="P58" i="11"/>
  <c r="Q58" i="11"/>
  <c r="L58" i="11"/>
  <c r="O58" i="11"/>
  <c r="N58" i="11"/>
  <c r="P37" i="16"/>
  <c r="P53" i="16"/>
  <c r="W5" i="16"/>
  <c r="V94" i="9" s="1"/>
  <c r="O94" i="9"/>
  <c r="O110" i="9" s="1"/>
  <c r="AJ110" i="9" s="1"/>
  <c r="O236" i="13"/>
  <c r="S57" i="11"/>
  <c r="T57" i="11" s="1"/>
  <c r="L57" i="11"/>
  <c r="N57" i="11"/>
  <c r="Q57" i="11"/>
  <c r="O57" i="11"/>
  <c r="M57" i="11"/>
  <c r="P57" i="11"/>
  <c r="I65" i="11"/>
  <c r="S154" i="11"/>
  <c r="T154" i="11" s="1"/>
  <c r="O154" i="11"/>
  <c r="L154" i="11"/>
  <c r="N154" i="11"/>
  <c r="P154" i="11"/>
  <c r="M154" i="11"/>
  <c r="S137" i="11"/>
  <c r="T137" i="11" s="1"/>
  <c r="Q137" i="11"/>
  <c r="P137" i="11"/>
  <c r="N137" i="11"/>
  <c r="O137" i="11"/>
  <c r="M137" i="11"/>
  <c r="L137" i="11"/>
  <c r="I112" i="11"/>
  <c r="K112" i="11" s="1"/>
  <c r="I124" i="11"/>
  <c r="J135" i="11" s="1"/>
  <c r="J151" i="11"/>
  <c r="S151" i="11"/>
  <c r="T151" i="11" s="1"/>
  <c r="N151" i="11"/>
  <c r="Q151" i="11"/>
  <c r="O151" i="11"/>
  <c r="M151" i="11"/>
  <c r="P151" i="11"/>
  <c r="L151" i="11"/>
  <c r="S161" i="11"/>
  <c r="T161" i="11" s="1"/>
  <c r="J161" i="11"/>
  <c r="P161" i="11"/>
  <c r="M161" i="11"/>
  <c r="N161" i="11"/>
  <c r="Q161" i="11"/>
  <c r="L161" i="11"/>
  <c r="S61" i="11"/>
  <c r="T61" i="11" s="1"/>
  <c r="O61" i="11"/>
  <c r="Q61" i="11"/>
  <c r="M61" i="11"/>
  <c r="L61" i="11"/>
  <c r="N61" i="11"/>
  <c r="P61" i="11"/>
  <c r="I50" i="11"/>
  <c r="K50" i="11" s="1"/>
  <c r="AW76" i="14"/>
  <c r="AM233" i="13" s="1"/>
  <c r="AL233" i="13"/>
  <c r="Q129" i="11"/>
  <c r="AX49" i="13"/>
  <c r="AX48" i="13"/>
  <c r="BP33" i="13"/>
  <c r="S146" i="11"/>
  <c r="T146" i="11" s="1"/>
  <c r="J146" i="11"/>
  <c r="L146" i="11"/>
  <c r="N146" i="11"/>
  <c r="P146" i="11"/>
  <c r="K146" i="11"/>
  <c r="BI56" i="14"/>
  <c r="S12" i="11"/>
  <c r="T12" i="11" s="1"/>
  <c r="M12" i="11"/>
  <c r="L12" i="11"/>
  <c r="P12" i="11"/>
  <c r="N12" i="11"/>
  <c r="O12" i="11"/>
  <c r="S23" i="11"/>
  <c r="T23" i="11" s="1"/>
  <c r="O23" i="11"/>
  <c r="N23" i="11"/>
  <c r="Q23" i="11"/>
  <c r="P23" i="11"/>
  <c r="L23" i="11"/>
  <c r="M23" i="11"/>
  <c r="S2" i="11"/>
  <c r="T2" i="11" s="1"/>
  <c r="M2" i="11"/>
  <c r="L2" i="11"/>
  <c r="O2" i="11"/>
  <c r="AW74" i="14"/>
  <c r="AM231" i="13" s="1"/>
  <c r="AL231" i="13"/>
  <c r="C49" i="9"/>
  <c r="C50" i="9"/>
  <c r="C51" i="9"/>
  <c r="BG55" i="13"/>
  <c r="S127" i="11"/>
  <c r="T127" i="11" s="1"/>
  <c r="M127" i="11"/>
  <c r="L127" i="11"/>
  <c r="O127" i="11"/>
  <c r="P127" i="11"/>
  <c r="N127" i="11"/>
  <c r="P83" i="11"/>
  <c r="L210" i="13"/>
  <c r="S16" i="11"/>
  <c r="T16" i="11" s="1"/>
  <c r="L16" i="11"/>
  <c r="N16" i="11"/>
  <c r="P16" i="11"/>
  <c r="M16" i="11"/>
  <c r="Q16" i="11"/>
  <c r="BN33" i="13"/>
  <c r="I17" i="11"/>
  <c r="Q20" i="11"/>
  <c r="AW77" i="14"/>
  <c r="AM234" i="13" s="1"/>
  <c r="AL234" i="13"/>
  <c r="J105" i="11"/>
  <c r="S105" i="11"/>
  <c r="T105" i="11" s="1"/>
  <c r="L105" i="11"/>
  <c r="N105" i="11"/>
  <c r="M105" i="11"/>
  <c r="O105" i="11"/>
  <c r="Q105" i="11"/>
  <c r="S158" i="11"/>
  <c r="T158" i="11" s="1"/>
  <c r="J158" i="11"/>
  <c r="L158" i="11"/>
  <c r="P158" i="11"/>
  <c r="S72" i="11"/>
  <c r="T72" i="11" s="1"/>
  <c r="J72" i="11"/>
  <c r="P72" i="11"/>
  <c r="M72" i="11"/>
  <c r="N72" i="11"/>
  <c r="Q72" i="11"/>
  <c r="L72" i="11"/>
  <c r="S43" i="11"/>
  <c r="T43" i="11" s="1"/>
  <c r="N43" i="11"/>
  <c r="P43" i="11"/>
  <c r="O43" i="11"/>
  <c r="M43" i="11"/>
  <c r="Q43" i="11"/>
  <c r="L43" i="11"/>
  <c r="Q165" i="13"/>
  <c r="Q170" i="13" s="1"/>
  <c r="W11" i="16"/>
  <c r="V100" i="9" s="1"/>
  <c r="P43" i="16"/>
  <c r="P59" i="16"/>
  <c r="O100" i="9"/>
  <c r="O116" i="9" s="1"/>
  <c r="AJ116" i="9" s="1"/>
  <c r="F67" i="13"/>
  <c r="E71" i="13"/>
  <c r="F71" i="13" s="1"/>
  <c r="Q4" i="11"/>
  <c r="K55" i="11"/>
  <c r="S70" i="11"/>
  <c r="T70" i="11" s="1"/>
  <c r="O70" i="11"/>
  <c r="Q70" i="11"/>
  <c r="N70" i="11"/>
  <c r="P70" i="11"/>
  <c r="M70" i="11"/>
  <c r="L70" i="11"/>
  <c r="M159" i="10"/>
  <c r="S54" i="11"/>
  <c r="T54" i="11" s="1"/>
  <c r="L54" i="11"/>
  <c r="Q54" i="11"/>
  <c r="M54" i="11"/>
  <c r="N54" i="11"/>
  <c r="O54" i="11"/>
  <c r="Q127" i="11"/>
  <c r="K127" i="11"/>
  <c r="G77" i="13"/>
  <c r="AY55" i="13"/>
  <c r="AM218" i="13"/>
  <c r="K105" i="11"/>
  <c r="J210" i="13"/>
  <c r="S120" i="11"/>
  <c r="T120" i="11" s="1"/>
  <c r="J120" i="11"/>
  <c r="Q120" i="11"/>
  <c r="O120" i="11"/>
  <c r="M120" i="11"/>
  <c r="L120" i="11"/>
  <c r="N120" i="11"/>
  <c r="W170" i="13"/>
  <c r="I77" i="13"/>
  <c r="AZ55" i="13"/>
  <c r="K152" i="11"/>
  <c r="I9" i="11"/>
  <c r="S104" i="11"/>
  <c r="T104" i="11" s="1"/>
  <c r="J104" i="11"/>
  <c r="M104" i="11"/>
  <c r="P104" i="11"/>
  <c r="Q104" i="11"/>
  <c r="N104" i="11"/>
  <c r="L104" i="11"/>
  <c r="M209" i="13"/>
  <c r="M204" i="13"/>
  <c r="M77" i="13"/>
  <c r="BC55" i="13"/>
  <c r="M65" i="13"/>
  <c r="I3" i="11"/>
  <c r="AW67" i="14"/>
  <c r="AM224" i="13" s="1"/>
  <c r="AL224" i="13"/>
  <c r="S26" i="11"/>
  <c r="T26" i="11" s="1"/>
  <c r="Q26" i="11"/>
  <c r="O26" i="11"/>
  <c r="L26" i="11"/>
  <c r="M26" i="11"/>
  <c r="M165" i="13"/>
  <c r="M170" i="13" s="1"/>
  <c r="M58" i="11"/>
  <c r="AB204" i="13"/>
  <c r="AB209" i="13"/>
  <c r="AB210" i="13"/>
  <c r="I144" i="10"/>
  <c r="I159" i="10" s="1"/>
  <c r="H170" i="13"/>
  <c r="G71" i="13"/>
  <c r="H71" i="13" s="1"/>
  <c r="H67" i="13"/>
  <c r="AD116" i="10"/>
  <c r="S162" i="11"/>
  <c r="T162" i="11" s="1"/>
  <c r="J162" i="11"/>
  <c r="L162" i="11"/>
  <c r="Q162" i="11"/>
  <c r="P162" i="11"/>
  <c r="M162" i="11"/>
  <c r="N162" i="11"/>
  <c r="S73" i="11"/>
  <c r="T73" i="11" s="1"/>
  <c r="M73" i="11"/>
  <c r="N73" i="11"/>
  <c r="O73" i="11"/>
  <c r="L73" i="11"/>
  <c r="Q73" i="11"/>
  <c r="I91" i="11"/>
  <c r="K91" i="11" s="1"/>
  <c r="K72" i="11"/>
  <c r="S78" i="11"/>
  <c r="T78" i="11" s="1"/>
  <c r="J78" i="11"/>
  <c r="M78" i="11"/>
  <c r="O78" i="11"/>
  <c r="N78" i="11"/>
  <c r="L78" i="11"/>
  <c r="P78" i="11"/>
  <c r="S139" i="11"/>
  <c r="T139" i="11" s="1"/>
  <c r="J139" i="11"/>
  <c r="L139" i="11"/>
  <c r="N139" i="11"/>
  <c r="P139" i="11"/>
  <c r="O139" i="11"/>
  <c r="M139" i="11"/>
  <c r="I122" i="11"/>
  <c r="K122" i="11" s="1"/>
  <c r="K12" i="11"/>
  <c r="I119" i="11"/>
  <c r="J130" i="11" s="1"/>
  <c r="K139" i="11"/>
  <c r="K129" i="11"/>
  <c r="K87" i="11"/>
  <c r="F24" i="8"/>
  <c r="F23" i="8"/>
  <c r="H22" i="8"/>
  <c r="F26" i="8"/>
  <c r="F36" i="8"/>
  <c r="S204" i="13"/>
  <c r="S209" i="13"/>
  <c r="S210" i="13"/>
  <c r="P40" i="16"/>
  <c r="P56" i="16"/>
  <c r="W8" i="16"/>
  <c r="V97" i="9" s="1"/>
  <c r="O97" i="9"/>
  <c r="O113" i="9" s="1"/>
  <c r="AJ113" i="9" s="1"/>
  <c r="I131" i="11"/>
  <c r="K131" i="11" s="1"/>
  <c r="S133" i="11"/>
  <c r="T133" i="11" s="1"/>
  <c r="Q133" i="11"/>
  <c r="N133" i="11"/>
  <c r="L133" i="11"/>
  <c r="M133" i="11"/>
  <c r="P133" i="11"/>
  <c r="O133" i="11"/>
  <c r="S6" i="11"/>
  <c r="T6" i="11" s="1"/>
  <c r="P6" i="11"/>
  <c r="N6" i="11"/>
  <c r="M6" i="11"/>
  <c r="O6" i="11"/>
  <c r="L6" i="11"/>
  <c r="AJ236" i="13"/>
  <c r="P54" i="16"/>
  <c r="P38" i="16"/>
  <c r="W6" i="16"/>
  <c r="V95" i="9" s="1"/>
  <c r="O95" i="9"/>
  <c r="O111" i="9" s="1"/>
  <c r="AJ111" i="9" s="1"/>
  <c r="S79" i="11"/>
  <c r="T79" i="11" s="1"/>
  <c r="J79" i="11"/>
  <c r="N79" i="11"/>
  <c r="M79" i="11"/>
  <c r="O79" i="11"/>
  <c r="L79" i="11"/>
  <c r="P79" i="11"/>
  <c r="S33" i="11"/>
  <c r="T33" i="11" s="1"/>
  <c r="M33" i="11"/>
  <c r="L33" i="11"/>
  <c r="P33" i="11"/>
  <c r="O33" i="11"/>
  <c r="N33" i="11"/>
  <c r="AV55" i="13"/>
  <c r="H128" i="10"/>
  <c r="N14" i="11"/>
  <c r="S31" i="13"/>
  <c r="Q67" i="11"/>
  <c r="J132" i="11"/>
  <c r="S132" i="11"/>
  <c r="T132" i="11" s="1"/>
  <c r="M132" i="11"/>
  <c r="L132" i="11"/>
  <c r="N132" i="11"/>
  <c r="O132" i="11"/>
  <c r="P132" i="11"/>
  <c r="M154" i="10"/>
  <c r="S42" i="11"/>
  <c r="T42" i="11" s="1"/>
  <c r="O42" i="11"/>
  <c r="L42" i="11"/>
  <c r="P42" i="11"/>
  <c r="Q42" i="11"/>
  <c r="N42" i="11"/>
  <c r="M42" i="11"/>
  <c r="I5" i="11"/>
  <c r="K5" i="11" s="1"/>
  <c r="P121" i="11"/>
  <c r="S121" i="11"/>
  <c r="T121" i="11" s="1"/>
  <c r="Q121" i="11"/>
  <c r="N121" i="11"/>
  <c r="L121" i="11"/>
  <c r="M121" i="11"/>
  <c r="P14" i="11"/>
  <c r="X170" i="13"/>
  <c r="S103" i="11"/>
  <c r="T103" i="11" s="1"/>
  <c r="J103" i="11"/>
  <c r="N103" i="11"/>
  <c r="L103" i="11"/>
  <c r="M103" i="11"/>
  <c r="Q103" i="11"/>
  <c r="O103" i="11"/>
  <c r="P103" i="11"/>
  <c r="AD170" i="13"/>
  <c r="I128" i="10"/>
  <c r="K162" i="11"/>
  <c r="K73" i="11"/>
  <c r="P73" i="11"/>
  <c r="S85" i="11"/>
  <c r="T85" i="11" s="1"/>
  <c r="P85" i="11"/>
  <c r="O85" i="11"/>
  <c r="L85" i="11"/>
  <c r="M85" i="11"/>
  <c r="N85" i="11"/>
  <c r="W14" i="16"/>
  <c r="V103" i="9" s="1"/>
  <c r="P46" i="16"/>
  <c r="P62" i="16"/>
  <c r="O103" i="9"/>
  <c r="O119" i="9" s="1"/>
  <c r="E51" i="9"/>
  <c r="E49" i="9"/>
  <c r="E50" i="9"/>
  <c r="V209" i="13"/>
  <c r="V204" i="13"/>
  <c r="V210" i="13"/>
  <c r="S27" i="11"/>
  <c r="T27" i="11" s="1"/>
  <c r="N27" i="11"/>
  <c r="M27" i="11"/>
  <c r="P27" i="11"/>
  <c r="O27" i="11"/>
  <c r="L27" i="11"/>
  <c r="S59" i="11"/>
  <c r="T59" i="11" s="1"/>
  <c r="L59" i="11"/>
  <c r="P59" i="11"/>
  <c r="Q59" i="11"/>
  <c r="N59" i="11"/>
  <c r="O59" i="11"/>
  <c r="M59" i="11"/>
  <c r="K83" i="11"/>
  <c r="S35" i="11"/>
  <c r="T35" i="11" s="1"/>
  <c r="O35" i="11"/>
  <c r="M35" i="11"/>
  <c r="L35" i="11"/>
  <c r="P35" i="11"/>
  <c r="N35" i="11"/>
  <c r="G128" i="10"/>
  <c r="S168" i="11"/>
  <c r="T168" i="11" s="1"/>
  <c r="J168" i="11"/>
  <c r="P168" i="11"/>
  <c r="Q168" i="11"/>
  <c r="N168" i="11"/>
  <c r="M168" i="11"/>
  <c r="L168" i="11"/>
  <c r="I41" i="11"/>
  <c r="K41" i="11" s="1"/>
  <c r="S34" i="11"/>
  <c r="T34" i="11" s="1"/>
  <c r="Q34" i="11"/>
  <c r="L34" i="11"/>
  <c r="N34" i="11"/>
  <c r="P34" i="11"/>
  <c r="O34" i="11"/>
  <c r="M34" i="11"/>
  <c r="S25" i="11"/>
  <c r="T25" i="11" s="1"/>
  <c r="N25" i="11"/>
  <c r="P25" i="11"/>
  <c r="Q25" i="11"/>
  <c r="L25" i="11"/>
  <c r="O25" i="11"/>
  <c r="M25" i="11"/>
  <c r="I143" i="11"/>
  <c r="K143" i="11" s="1"/>
  <c r="I167" i="11"/>
  <c r="K167" i="11" s="1"/>
  <c r="S106" i="11"/>
  <c r="T106" i="11" s="1"/>
  <c r="J106" i="11"/>
  <c r="L106" i="11"/>
  <c r="P106" i="11"/>
  <c r="N106" i="11"/>
  <c r="O106" i="11"/>
  <c r="Q106" i="11"/>
  <c r="M106" i="11"/>
  <c r="S135" i="11"/>
  <c r="T135" i="11" s="1"/>
  <c r="N135" i="11"/>
  <c r="O135" i="11"/>
  <c r="M135" i="11"/>
  <c r="Q135" i="11"/>
  <c r="L135" i="11"/>
  <c r="P135" i="11"/>
  <c r="I74" i="11"/>
  <c r="K74" i="11" s="1"/>
  <c r="N26" i="11"/>
  <c r="J114" i="11"/>
  <c r="S114" i="11"/>
  <c r="T114" i="11" s="1"/>
  <c r="O114" i="11"/>
  <c r="M114" i="11"/>
  <c r="P114" i="11"/>
  <c r="N114" i="11"/>
  <c r="Q114" i="11"/>
  <c r="L114" i="11"/>
  <c r="Q68" i="11"/>
  <c r="I141" i="11"/>
  <c r="G170" i="13"/>
  <c r="S40" i="11"/>
  <c r="T40" i="11" s="1"/>
  <c r="O40" i="11"/>
  <c r="L40" i="11"/>
  <c r="M40" i="11"/>
  <c r="N40" i="11"/>
  <c r="P40" i="11"/>
  <c r="I115" i="11"/>
  <c r="K115" i="11" s="1"/>
  <c r="AQ204" i="13"/>
  <c r="AQ209" i="13"/>
  <c r="AQ210" i="13"/>
  <c r="O209" i="13"/>
  <c r="O204" i="13"/>
  <c r="O210" i="13"/>
  <c r="I204" i="13"/>
  <c r="I209" i="13"/>
  <c r="I221" i="13" s="1"/>
  <c r="AW70" i="14"/>
  <c r="AM227" i="13" s="1"/>
  <c r="AL227" i="13"/>
  <c r="Q85" i="11"/>
  <c r="AW69" i="14"/>
  <c r="AM226" i="13" s="1"/>
  <c r="AL226" i="13"/>
  <c r="CE22" i="13"/>
  <c r="Q27" i="11"/>
  <c r="AM192" i="13"/>
  <c r="AM187" i="13"/>
  <c r="S11" i="11"/>
  <c r="T11" i="11" s="1"/>
  <c r="Q11" i="11"/>
  <c r="L11" i="11"/>
  <c r="N11" i="11"/>
  <c r="O11" i="11"/>
  <c r="M11" i="11"/>
  <c r="P11" i="11"/>
  <c r="J140" i="11"/>
  <c r="S140" i="11"/>
  <c r="T140" i="11" s="1"/>
  <c r="P140" i="11"/>
  <c r="N140" i="11"/>
  <c r="L140" i="11"/>
  <c r="O140" i="11"/>
  <c r="M140" i="11"/>
  <c r="BJ33" i="13"/>
  <c r="J148" i="11"/>
  <c r="S148" i="11"/>
  <c r="T148" i="11" s="1"/>
  <c r="N148" i="11"/>
  <c r="O148" i="11"/>
  <c r="L148" i="11"/>
  <c r="Q148" i="11"/>
  <c r="M148" i="11"/>
  <c r="S93" i="11"/>
  <c r="T93" i="11" s="1"/>
  <c r="P93" i="11"/>
  <c r="N93" i="11"/>
  <c r="M93" i="11"/>
  <c r="O93" i="11"/>
  <c r="L93" i="11"/>
  <c r="S56" i="11"/>
  <c r="T56" i="11" s="1"/>
  <c r="P56" i="11"/>
  <c r="L56" i="11"/>
  <c r="N56" i="11"/>
  <c r="O56" i="11"/>
  <c r="M56" i="11"/>
  <c r="O104" i="11"/>
  <c r="S150" i="11"/>
  <c r="T150" i="11" s="1"/>
  <c r="J150" i="11"/>
  <c r="Q150" i="11"/>
  <c r="P150" i="11"/>
  <c r="L150" i="11"/>
  <c r="M150" i="11"/>
  <c r="N150" i="11"/>
  <c r="S97" i="11"/>
  <c r="T97" i="11" s="1"/>
  <c r="J97" i="11"/>
  <c r="O97" i="11"/>
  <c r="M97" i="11"/>
  <c r="Q97" i="11"/>
  <c r="N97" i="11"/>
  <c r="P97" i="11"/>
  <c r="L97" i="11"/>
  <c r="Q46" i="11"/>
  <c r="S163" i="11"/>
  <c r="T163" i="11" s="1"/>
  <c r="J163" i="11"/>
  <c r="O163" i="11"/>
  <c r="L163" i="11"/>
  <c r="P163" i="11"/>
  <c r="N163" i="11"/>
  <c r="M163" i="11"/>
  <c r="J149" i="11"/>
  <c r="S149" i="11"/>
  <c r="T149" i="11" s="1"/>
  <c r="O149" i="11"/>
  <c r="P149" i="11"/>
  <c r="M149" i="11"/>
  <c r="N149" i="11"/>
  <c r="Q149" i="11"/>
  <c r="L149" i="11"/>
  <c r="S21" i="11"/>
  <c r="T21" i="11" s="1"/>
  <c r="L21" i="11"/>
  <c r="Q21" i="11"/>
  <c r="P21" i="11"/>
  <c r="N21" i="11"/>
  <c r="O21" i="11"/>
  <c r="M21" i="11"/>
  <c r="V21" i="13"/>
  <c r="W21" i="13" s="1"/>
  <c r="S8" i="11"/>
  <c r="T8" i="11" s="1"/>
  <c r="P8" i="11"/>
  <c r="M8" i="11"/>
  <c r="L8" i="11"/>
  <c r="Q8" i="11"/>
  <c r="N8" i="11"/>
  <c r="S49" i="11"/>
  <c r="T49" i="11" s="1"/>
  <c r="M49" i="11"/>
  <c r="P49" i="11"/>
  <c r="N49" i="11"/>
  <c r="L49" i="11"/>
  <c r="Q49" i="11"/>
  <c r="O49" i="11"/>
  <c r="Q51" i="11"/>
  <c r="K85" i="11"/>
  <c r="S52" i="11"/>
  <c r="T52" i="11" s="1"/>
  <c r="O52" i="11"/>
  <c r="L52" i="11"/>
  <c r="P52" i="11"/>
  <c r="M52" i="11"/>
  <c r="N52" i="11"/>
  <c r="AW72" i="14"/>
  <c r="AM229" i="13" s="1"/>
  <c r="AL229" i="13"/>
  <c r="I71" i="13"/>
  <c r="J71" i="13" s="1"/>
  <c r="J67" i="13"/>
  <c r="K51" i="11"/>
  <c r="O49" i="9"/>
  <c r="O50" i="9"/>
  <c r="O51" i="9"/>
  <c r="AQ165" i="13"/>
  <c r="AQ170" i="13" s="1"/>
  <c r="K209" i="13"/>
  <c r="K204" i="13"/>
  <c r="K210" i="13"/>
  <c r="D15" i="8"/>
  <c r="D14" i="8"/>
  <c r="G13" i="8"/>
  <c r="D17" i="8"/>
  <c r="Q52" i="11"/>
  <c r="N166" i="11"/>
  <c r="I60" i="11"/>
  <c r="K60" i="11" s="1"/>
  <c r="S28" i="11"/>
  <c r="T28" i="11" s="1"/>
  <c r="N28" i="11"/>
  <c r="L28" i="11"/>
  <c r="M28" i="11"/>
  <c r="O28" i="11"/>
  <c r="P28" i="11"/>
  <c r="J118" i="11"/>
  <c r="S118" i="11"/>
  <c r="T118" i="11" s="1"/>
  <c r="L118" i="11"/>
  <c r="M118" i="11"/>
  <c r="N118" i="11"/>
  <c r="O118" i="11"/>
  <c r="Q118" i="11"/>
  <c r="Q147" i="11"/>
  <c r="S113" i="11"/>
  <c r="T113" i="11" s="1"/>
  <c r="J113" i="11"/>
  <c r="L113" i="11"/>
  <c r="O113" i="11"/>
  <c r="N113" i="11"/>
  <c r="M113" i="11"/>
  <c r="Q113" i="11"/>
  <c r="S138" i="11"/>
  <c r="T138" i="11" s="1"/>
  <c r="Q138" i="11"/>
  <c r="J138" i="11"/>
  <c r="O138" i="11"/>
  <c r="M138" i="11"/>
  <c r="P138" i="11"/>
  <c r="N138" i="11"/>
  <c r="J159" i="11"/>
  <c r="S159" i="11"/>
  <c r="T159" i="11" s="1"/>
  <c r="M159" i="11"/>
  <c r="P159" i="11"/>
  <c r="O159" i="11"/>
  <c r="N159" i="11"/>
  <c r="L159" i="11"/>
  <c r="I126" i="11"/>
  <c r="J137" i="11" s="1"/>
  <c r="O168" i="11"/>
  <c r="S44" i="11"/>
  <c r="T44" i="11" s="1"/>
  <c r="O44" i="11"/>
  <c r="M44" i="11"/>
  <c r="L44" i="11"/>
  <c r="Q44" i="11"/>
  <c r="N44" i="11"/>
  <c r="E128" i="10"/>
  <c r="Z204" i="13"/>
  <c r="Z209" i="13"/>
  <c r="G51" i="9"/>
  <c r="G49" i="9"/>
  <c r="G50" i="9"/>
  <c r="I164" i="11"/>
  <c r="K164" i="11" s="1"/>
  <c r="K163" i="11"/>
  <c r="Q2" i="11"/>
  <c r="BI55" i="14"/>
  <c r="BI52" i="14"/>
  <c r="BI54" i="14"/>
  <c r="Q154" i="11"/>
  <c r="I89" i="11"/>
  <c r="K89" i="11" s="1"/>
  <c r="K149" i="11"/>
  <c r="K21" i="11"/>
  <c r="U170" i="13"/>
  <c r="K113" i="11"/>
  <c r="Q71" i="13"/>
  <c r="R71" i="13" s="1"/>
  <c r="R67" i="13"/>
  <c r="R204" i="13"/>
  <c r="R209" i="13"/>
  <c r="R210" i="13"/>
  <c r="P54" i="11"/>
  <c r="P105" i="11"/>
  <c r="K8" i="11"/>
  <c r="AP204" i="13"/>
  <c r="AP209" i="13"/>
  <c r="AP210" i="13"/>
  <c r="E170" i="13"/>
  <c r="BK33" i="13"/>
  <c r="S7" i="11"/>
  <c r="T7" i="11" s="1"/>
  <c r="L7" i="11"/>
  <c r="N7" i="11"/>
  <c r="O7" i="11"/>
  <c r="Q7" i="11"/>
  <c r="M7" i="11"/>
  <c r="S4" i="11"/>
  <c r="T4" i="11" s="1"/>
  <c r="M4" i="11"/>
  <c r="L4" i="11"/>
  <c r="N4" i="11"/>
  <c r="O4" i="11"/>
  <c r="P4" i="11"/>
  <c r="I165" i="13"/>
  <c r="I170" i="13" s="1"/>
  <c r="M71" i="13"/>
  <c r="N71" i="13" s="1"/>
  <c r="N67" i="13"/>
  <c r="K47" i="11"/>
  <c r="K144" i="10"/>
  <c r="K159" i="10" s="1"/>
  <c r="K77" i="13"/>
  <c r="BA55" i="13"/>
  <c r="L147" i="11"/>
  <c r="I31" i="11"/>
  <c r="K31" i="11" s="1"/>
  <c r="Q134" i="11"/>
  <c r="AK209" i="13"/>
  <c r="AK204" i="13"/>
  <c r="AK210" i="13"/>
  <c r="S81" i="11"/>
  <c r="T81" i="11" s="1"/>
  <c r="J81" i="11"/>
  <c r="L81" i="11"/>
  <c r="N81" i="11"/>
  <c r="O81" i="11"/>
  <c r="M81" i="11"/>
  <c r="P81" i="11"/>
  <c r="AU31" i="13"/>
  <c r="AV31" i="13" s="1"/>
  <c r="K26" i="11"/>
  <c r="M134" i="11"/>
  <c r="L165" i="13"/>
  <c r="L170" i="13" s="1"/>
  <c r="K33" i="11"/>
  <c r="AL108" i="9"/>
  <c r="AM108" i="9"/>
  <c r="AK108" i="9"/>
  <c r="AN108" i="9"/>
  <c r="BD55" i="13"/>
  <c r="N65" i="13"/>
  <c r="I153" i="11"/>
  <c r="K153" i="11" s="1"/>
  <c r="Q157" i="11"/>
  <c r="S130" i="11"/>
  <c r="T130" i="11" s="1"/>
  <c r="L130" i="11"/>
  <c r="O130" i="11"/>
  <c r="N130" i="11"/>
  <c r="Q130" i="11"/>
  <c r="M130" i="11"/>
  <c r="K150" i="11"/>
  <c r="K97" i="11"/>
  <c r="S145" i="11"/>
  <c r="T145" i="11" s="1"/>
  <c r="J145" i="11"/>
  <c r="O145" i="11"/>
  <c r="P145" i="11"/>
  <c r="L145" i="11"/>
  <c r="M145" i="11"/>
  <c r="N145" i="11"/>
  <c r="S101" i="11"/>
  <c r="T101" i="11" s="1"/>
  <c r="J101" i="11"/>
  <c r="L101" i="11"/>
  <c r="P101" i="11"/>
  <c r="Q101" i="11"/>
  <c r="M101" i="11"/>
  <c r="O101" i="11"/>
  <c r="N101" i="11"/>
  <c r="I88" i="11"/>
  <c r="K88" i="11" s="1"/>
  <c r="AJ165" i="13"/>
  <c r="AJ170" i="13" s="1"/>
  <c r="K138" i="11"/>
  <c r="K130" i="11"/>
  <c r="K159" i="11"/>
  <c r="S128" i="11"/>
  <c r="T128" i="11" s="1"/>
  <c r="N128" i="11"/>
  <c r="M128" i="11"/>
  <c r="O128" i="11"/>
  <c r="L128" i="11"/>
  <c r="P128" i="11"/>
  <c r="I19" i="11"/>
  <c r="K19" i="11" s="1"/>
  <c r="P10" i="11"/>
  <c r="S10" i="11"/>
  <c r="T10" i="11" s="1"/>
  <c r="L10" i="11"/>
  <c r="N10" i="11"/>
  <c r="Q10" i="11"/>
  <c r="M10" i="11"/>
  <c r="D204" i="13"/>
  <c r="D209" i="13"/>
  <c r="D221" i="13" s="1"/>
  <c r="K44" i="11"/>
  <c r="S71" i="11"/>
  <c r="T71" i="11" s="1"/>
  <c r="O71" i="11"/>
  <c r="Q71" i="11"/>
  <c r="L71" i="11"/>
  <c r="M71" i="11"/>
  <c r="N71" i="11"/>
  <c r="I76" i="11"/>
  <c r="J87" i="11" s="1"/>
  <c r="S29" i="11"/>
  <c r="T29" i="11" s="1"/>
  <c r="N29" i="11"/>
  <c r="M29" i="11"/>
  <c r="O29" i="11"/>
  <c r="L29" i="11"/>
  <c r="Q29" i="11"/>
  <c r="Q81" i="11"/>
  <c r="P57" i="16"/>
  <c r="P41" i="16"/>
  <c r="W9" i="16"/>
  <c r="V98" i="9" s="1"/>
  <c r="O98" i="9"/>
  <c r="O114" i="9" s="1"/>
  <c r="AJ114" i="9" s="1"/>
  <c r="S30" i="11"/>
  <c r="T30" i="11" s="1"/>
  <c r="O30" i="11"/>
  <c r="P30" i="11"/>
  <c r="N30" i="11"/>
  <c r="M30" i="11"/>
  <c r="L30" i="11"/>
  <c r="W4" i="16"/>
  <c r="V93" i="9" s="1"/>
  <c r="P52" i="16"/>
  <c r="P15" i="16"/>
  <c r="P36" i="16"/>
  <c r="O93" i="9"/>
  <c r="I116" i="11"/>
  <c r="J127" i="11" s="1"/>
  <c r="S86" i="11"/>
  <c r="T86" i="11" s="1"/>
  <c r="J86" i="11"/>
  <c r="P86" i="11"/>
  <c r="N86" i="11"/>
  <c r="AL218" i="13"/>
  <c r="AL219" i="13"/>
  <c r="N2" i="11"/>
  <c r="S22" i="11"/>
  <c r="T22" i="11" s="1"/>
  <c r="N22" i="11"/>
  <c r="L22" i="11"/>
  <c r="P22" i="11"/>
  <c r="M22" i="11"/>
  <c r="O22" i="11"/>
  <c r="P60" i="16"/>
  <c r="P44" i="16"/>
  <c r="W12" i="16"/>
  <c r="V101" i="9" s="1"/>
  <c r="O101" i="9"/>
  <c r="O117" i="9" s="1"/>
  <c r="Z170" i="13"/>
  <c r="S170" i="13"/>
  <c r="I170" i="11"/>
  <c r="K170" i="11" s="1"/>
  <c r="Q204" i="13"/>
  <c r="Q209" i="13"/>
  <c r="Q210" i="13"/>
  <c r="E121" i="9"/>
  <c r="E120" i="9"/>
  <c r="E122" i="9"/>
  <c r="S14" i="11"/>
  <c r="T14" i="11" s="1"/>
  <c r="M14" i="11"/>
  <c r="O14" i="11"/>
  <c r="L14" i="11"/>
  <c r="X209" i="13"/>
  <c r="X204" i="13"/>
  <c r="X210" i="13"/>
  <c r="P45" i="16"/>
  <c r="W13" i="16"/>
  <c r="V102" i="9" s="1"/>
  <c r="P61" i="16"/>
  <c r="O102" i="9"/>
  <c r="O118" i="9" s="1"/>
  <c r="S147" i="11"/>
  <c r="T147" i="11" s="1"/>
  <c r="J147" i="11"/>
  <c r="P147" i="11"/>
  <c r="M147" i="11"/>
  <c r="N147" i="11"/>
  <c r="O147" i="11"/>
  <c r="F17" i="8"/>
  <c r="S99" i="11"/>
  <c r="T99" i="11" s="1"/>
  <c r="O99" i="11"/>
  <c r="M99" i="11"/>
  <c r="Q99" i="11"/>
  <c r="P99" i="11"/>
  <c r="L99" i="11"/>
  <c r="BF55" i="13"/>
  <c r="AN204" i="13"/>
  <c r="AN209" i="13"/>
  <c r="AN210" i="13"/>
  <c r="D24" i="8"/>
  <c r="D23" i="8"/>
  <c r="G22" i="8"/>
  <c r="D36" i="8"/>
  <c r="S55" i="11"/>
  <c r="T55" i="11" s="1"/>
  <c r="M55" i="11"/>
  <c r="Q55" i="11"/>
  <c r="P55" i="11"/>
  <c r="L55" i="11"/>
  <c r="N55" i="11"/>
  <c r="N49" i="9"/>
  <c r="N50" i="9"/>
  <c r="N51" i="9"/>
  <c r="O134" i="11"/>
  <c r="S37" i="11"/>
  <c r="T37" i="11" s="1"/>
  <c r="Q37" i="11"/>
  <c r="L37" i="11"/>
  <c r="O37" i="11"/>
  <c r="P37" i="11"/>
  <c r="N37" i="11"/>
  <c r="M37" i="11"/>
  <c r="S111" i="11"/>
  <c r="T111" i="11" s="1"/>
  <c r="L111" i="11"/>
  <c r="N111" i="11"/>
  <c r="O111" i="11"/>
  <c r="M111" i="11"/>
  <c r="P111" i="11"/>
  <c r="I84" i="11"/>
  <c r="J95" i="11" s="1"/>
  <c r="K6" i="11"/>
  <c r="S80" i="11"/>
  <c r="T80" i="11" s="1"/>
  <c r="O80" i="11"/>
  <c r="M80" i="11"/>
  <c r="L80" i="11"/>
  <c r="P80" i="11"/>
  <c r="N80" i="11"/>
  <c r="S102" i="11"/>
  <c r="T102" i="11" s="1"/>
  <c r="O102" i="11"/>
  <c r="M102" i="11"/>
  <c r="N102" i="11"/>
  <c r="P102" i="11"/>
  <c r="L102" i="11"/>
  <c r="K56" i="11"/>
  <c r="S95" i="11"/>
  <c r="T95" i="11" s="1"/>
  <c r="P95" i="11"/>
  <c r="N95" i="11"/>
  <c r="O95" i="11"/>
  <c r="M95" i="11"/>
  <c r="Q95" i="11"/>
  <c r="L95" i="11"/>
  <c r="P26" i="11"/>
  <c r="Q56" i="11"/>
  <c r="Q79" i="11"/>
  <c r="I169" i="11"/>
  <c r="K169" i="11" s="1"/>
  <c r="I165" i="11"/>
  <c r="K165" i="11" s="1"/>
  <c r="P123" i="11"/>
  <c r="S92" i="11"/>
  <c r="T92" i="11" s="1"/>
  <c r="J92" i="11"/>
  <c r="N92" i="11"/>
  <c r="P92" i="11"/>
  <c r="L92" i="11"/>
  <c r="O92" i="11"/>
  <c r="M92" i="11"/>
  <c r="BC56" i="13"/>
  <c r="F170" i="13"/>
  <c r="I98" i="11"/>
  <c r="K98" i="11" s="1"/>
  <c r="I96" i="11"/>
  <c r="K96" i="11" s="1"/>
  <c r="P2" i="11"/>
  <c r="AW68" i="14"/>
  <c r="AM225" i="13" s="1"/>
  <c r="AL225" i="13"/>
  <c r="I38" i="11"/>
  <c r="K38" i="11" s="1"/>
  <c r="O109" i="13"/>
  <c r="G121" i="9"/>
  <c r="G120" i="9"/>
  <c r="G122" i="9"/>
  <c r="S94" i="11"/>
  <c r="T94" i="11" s="1"/>
  <c r="J94" i="11"/>
  <c r="Q94" i="11"/>
  <c r="L94" i="11"/>
  <c r="O94" i="11"/>
  <c r="P94" i="11"/>
  <c r="M94" i="11"/>
  <c r="N94" i="11"/>
  <c r="Z210" i="13"/>
  <c r="I36" i="11"/>
  <c r="K36" i="11" s="1"/>
  <c r="S66" i="11"/>
  <c r="T66" i="11" s="1"/>
  <c r="O66" i="11"/>
  <c r="L66" i="11"/>
  <c r="N66" i="11"/>
  <c r="M66" i="11"/>
  <c r="P66" i="11"/>
  <c r="E204" i="13"/>
  <c r="E209" i="13"/>
  <c r="E221" i="13" s="1"/>
  <c r="AW78" i="14"/>
  <c r="AM235" i="13" s="1"/>
  <c r="AL235" i="13"/>
  <c r="M210" i="13"/>
  <c r="AL192" i="13"/>
  <c r="AL187" i="13"/>
  <c r="S32" i="11"/>
  <c r="T32" i="11" s="1"/>
  <c r="O32" i="11"/>
  <c r="N32" i="11"/>
  <c r="M32" i="11"/>
  <c r="L32" i="11"/>
  <c r="P32" i="11"/>
  <c r="W209" i="13"/>
  <c r="W204" i="13"/>
  <c r="W210" i="13"/>
  <c r="BE58" i="13" l="1"/>
  <c r="AK49" i="9"/>
  <c r="AJ49" i="9"/>
  <c r="AL49" i="9"/>
  <c r="AQ108" i="9"/>
  <c r="AV57" i="13"/>
  <c r="AX57" i="13"/>
  <c r="BC57" i="13"/>
  <c r="AP108" i="9"/>
  <c r="AR108" i="9"/>
  <c r="AO108" i="9"/>
  <c r="AJ115" i="9"/>
  <c r="AN115" i="9" s="1"/>
  <c r="AH120" i="9"/>
  <c r="AU57" i="13"/>
  <c r="K82" i="11"/>
  <c r="AW57" i="13"/>
  <c r="L221" i="13"/>
  <c r="K119" i="11"/>
  <c r="X221" i="13"/>
  <c r="R221" i="13"/>
  <c r="AA221" i="13"/>
  <c r="J102" i="11"/>
  <c r="J85" i="11"/>
  <c r="AB221" i="13"/>
  <c r="BA57" i="13"/>
  <c r="AP221" i="13"/>
  <c r="AT57" i="13"/>
  <c r="W221" i="13"/>
  <c r="O76" i="13"/>
  <c r="P76" i="13" s="1"/>
  <c r="AO221" i="13"/>
  <c r="W19" i="13"/>
  <c r="X19" i="13" s="1"/>
  <c r="Y19" i="13" s="1"/>
  <c r="O74" i="13"/>
  <c r="P74" i="13" s="1"/>
  <c r="J80" i="11"/>
  <c r="O75" i="13"/>
  <c r="P75" i="13" s="1"/>
  <c r="X27" i="13"/>
  <c r="Y27" i="13" s="1"/>
  <c r="X65" i="13"/>
  <c r="S221" i="13"/>
  <c r="J142" i="11"/>
  <c r="R108" i="13"/>
  <c r="V22" i="13"/>
  <c r="AG221" i="13"/>
  <c r="W65" i="13"/>
  <c r="P47" i="16"/>
  <c r="P109" i="13"/>
  <c r="Q109" i="13" s="1"/>
  <c r="Z221" i="13"/>
  <c r="K100" i="11"/>
  <c r="P63" i="16"/>
  <c r="Y64" i="13"/>
  <c r="U29" i="13"/>
  <c r="V29" i="13" s="1"/>
  <c r="J154" i="11"/>
  <c r="W25" i="13"/>
  <c r="X25" i="13" s="1"/>
  <c r="Y25" i="13" s="1"/>
  <c r="P110" i="13"/>
  <c r="Q110" i="13" s="1"/>
  <c r="BB57" i="13"/>
  <c r="K76" i="11"/>
  <c r="X21" i="13"/>
  <c r="Y21" i="13" s="1"/>
  <c r="AL115" i="9"/>
  <c r="AM115" i="9"/>
  <c r="V24" i="13"/>
  <c r="Y26" i="13"/>
  <c r="Z30" i="13"/>
  <c r="AK221" i="13"/>
  <c r="AQ221" i="13"/>
  <c r="V221" i="13"/>
  <c r="J133" i="11"/>
  <c r="AK115" i="9"/>
  <c r="AA30" i="13"/>
  <c r="M221" i="13"/>
  <c r="J221" i="13"/>
  <c r="AN221" i="13"/>
  <c r="T221" i="13"/>
  <c r="W28" i="13"/>
  <c r="X28" i="13" s="1"/>
  <c r="V23" i="13"/>
  <c r="I74" i="13"/>
  <c r="J74" i="13" s="1"/>
  <c r="I73" i="13"/>
  <c r="J73" i="13" s="1"/>
  <c r="I75" i="13"/>
  <c r="J75" i="13" s="1"/>
  <c r="J77" i="13"/>
  <c r="AN111" i="9"/>
  <c r="AL111" i="9"/>
  <c r="AM111" i="9"/>
  <c r="AK111" i="9"/>
  <c r="S62" i="11"/>
  <c r="T62" i="11" s="1"/>
  <c r="M62" i="11"/>
  <c r="O62" i="11"/>
  <c r="N62" i="11"/>
  <c r="Q62" i="11"/>
  <c r="P62" i="11"/>
  <c r="L62" i="11"/>
  <c r="U20" i="13"/>
  <c r="V20" i="13" s="1"/>
  <c r="T31" i="13"/>
  <c r="J109" i="11"/>
  <c r="BD58" i="13"/>
  <c r="BD57" i="13"/>
  <c r="S60" i="11"/>
  <c r="T60" i="11" s="1"/>
  <c r="N60" i="11"/>
  <c r="L60" i="11"/>
  <c r="P60" i="11"/>
  <c r="M60" i="11"/>
  <c r="O60" i="11"/>
  <c r="Q60" i="11"/>
  <c r="S167" i="11"/>
  <c r="T167" i="11" s="1"/>
  <c r="J167" i="11"/>
  <c r="O167" i="11"/>
  <c r="Q167" i="11"/>
  <c r="M167" i="11"/>
  <c r="L167" i="11"/>
  <c r="N167" i="11"/>
  <c r="P167" i="11"/>
  <c r="S5" i="11"/>
  <c r="T5" i="11" s="1"/>
  <c r="P5" i="11"/>
  <c r="O5" i="11"/>
  <c r="N5" i="11"/>
  <c r="L5" i="11"/>
  <c r="M5" i="11"/>
  <c r="Q5" i="11"/>
  <c r="AN110" i="9"/>
  <c r="AK110" i="9"/>
  <c r="AM110" i="9"/>
  <c r="AL110" i="9"/>
  <c r="K62" i="11"/>
  <c r="AN112" i="9"/>
  <c r="AM112" i="9"/>
  <c r="AL112" i="9"/>
  <c r="AK112" i="9"/>
  <c r="J166" i="11"/>
  <c r="S65" i="11"/>
  <c r="T65" i="11" s="1"/>
  <c r="N65" i="11"/>
  <c r="O65" i="11"/>
  <c r="L65" i="11"/>
  <c r="P65" i="11"/>
  <c r="M65" i="11"/>
  <c r="Q65" i="11"/>
  <c r="Q15" i="11"/>
  <c r="S15" i="11"/>
  <c r="T15" i="11" s="1"/>
  <c r="P15" i="11"/>
  <c r="O15" i="11"/>
  <c r="N15" i="11"/>
  <c r="L15" i="11"/>
  <c r="M15" i="11"/>
  <c r="J88" i="11"/>
  <c r="S88" i="11"/>
  <c r="T88" i="11" s="1"/>
  <c r="O88" i="11"/>
  <c r="N88" i="11"/>
  <c r="Q88" i="11"/>
  <c r="M88" i="11"/>
  <c r="P88" i="11"/>
  <c r="L88" i="11"/>
  <c r="S17" i="11"/>
  <c r="T17" i="11" s="1"/>
  <c r="N17" i="11"/>
  <c r="O17" i="11"/>
  <c r="P17" i="11"/>
  <c r="M17" i="11"/>
  <c r="L17" i="11"/>
  <c r="Q17" i="11"/>
  <c r="O221" i="13"/>
  <c r="S89" i="11"/>
  <c r="T89" i="11" s="1"/>
  <c r="J89" i="11"/>
  <c r="L89" i="11"/>
  <c r="Q89" i="11"/>
  <c r="O89" i="11"/>
  <c r="N89" i="11"/>
  <c r="M89" i="11"/>
  <c r="P89" i="11"/>
  <c r="AY57" i="13"/>
  <c r="S69" i="11"/>
  <c r="T69" i="11" s="1"/>
  <c r="L69" i="11"/>
  <c r="O69" i="11"/>
  <c r="N69" i="11"/>
  <c r="P69" i="11"/>
  <c r="M69" i="11"/>
  <c r="Q69" i="11"/>
  <c r="E74" i="13"/>
  <c r="F74" i="13" s="1"/>
  <c r="E73" i="13"/>
  <c r="F73" i="13" s="1"/>
  <c r="E75" i="13"/>
  <c r="F75" i="13" s="1"/>
  <c r="F77" i="13"/>
  <c r="J141" i="11"/>
  <c r="S141" i="11"/>
  <c r="T141" i="11" s="1"/>
  <c r="M141" i="11"/>
  <c r="N141" i="11"/>
  <c r="O141" i="11"/>
  <c r="P141" i="11"/>
  <c r="L141" i="11"/>
  <c r="Q141" i="11"/>
  <c r="AL236" i="13"/>
  <c r="AM236" i="13"/>
  <c r="S50" i="11"/>
  <c r="T50" i="11" s="1"/>
  <c r="M50" i="11"/>
  <c r="O50" i="11"/>
  <c r="Q50" i="11"/>
  <c r="N50" i="11"/>
  <c r="P50" i="11"/>
  <c r="L50" i="11"/>
  <c r="J98" i="11"/>
  <c r="S98" i="11"/>
  <c r="T98" i="11" s="1"/>
  <c r="L98" i="11"/>
  <c r="P98" i="11"/>
  <c r="N98" i="11"/>
  <c r="M98" i="11"/>
  <c r="O98" i="11"/>
  <c r="Q98" i="11"/>
  <c r="J110" i="11"/>
  <c r="S110" i="11"/>
  <c r="T110" i="11" s="1"/>
  <c r="N110" i="11"/>
  <c r="L110" i="11"/>
  <c r="Q110" i="11"/>
  <c r="O110" i="11"/>
  <c r="P110" i="11"/>
  <c r="M110" i="11"/>
  <c r="M74" i="13"/>
  <c r="N74" i="13" s="1"/>
  <c r="M73" i="13"/>
  <c r="N73" i="13" s="1"/>
  <c r="M75" i="13"/>
  <c r="N75" i="13" s="1"/>
  <c r="N77" i="13"/>
  <c r="M76" i="13"/>
  <c r="N76" i="13" s="1"/>
  <c r="BH53" i="13"/>
  <c r="J143" i="11"/>
  <c r="S143" i="11"/>
  <c r="T143" i="11" s="1"/>
  <c r="M143" i="11"/>
  <c r="L143" i="11"/>
  <c r="N143" i="11"/>
  <c r="Q143" i="11"/>
  <c r="P143" i="11"/>
  <c r="O143" i="11"/>
  <c r="G74" i="13"/>
  <c r="H74" i="13" s="1"/>
  <c r="G73" i="13"/>
  <c r="H73" i="13" s="1"/>
  <c r="G75" i="13"/>
  <c r="H75" i="13" s="1"/>
  <c r="H77" i="13"/>
  <c r="S170" i="11"/>
  <c r="T170" i="11" s="1"/>
  <c r="O170" i="11"/>
  <c r="L170" i="11"/>
  <c r="N170" i="11"/>
  <c r="M170" i="11"/>
  <c r="P170" i="11"/>
  <c r="Q170" i="11"/>
  <c r="S116" i="11"/>
  <c r="T116" i="11" s="1"/>
  <c r="J116" i="11"/>
  <c r="M116" i="11"/>
  <c r="L116" i="11"/>
  <c r="O116" i="11"/>
  <c r="N116" i="11"/>
  <c r="P116" i="11"/>
  <c r="Q116" i="11"/>
  <c r="K116" i="11"/>
  <c r="S31" i="11"/>
  <c r="T31" i="11" s="1"/>
  <c r="P31" i="11"/>
  <c r="N31" i="11"/>
  <c r="M31" i="11"/>
  <c r="L31" i="11"/>
  <c r="O31" i="11"/>
  <c r="Q31" i="11"/>
  <c r="S74" i="11"/>
  <c r="T74" i="11" s="1"/>
  <c r="J74" i="11"/>
  <c r="N74" i="11"/>
  <c r="O74" i="11"/>
  <c r="M74" i="11"/>
  <c r="Q74" i="11"/>
  <c r="L74" i="11"/>
  <c r="P74" i="11"/>
  <c r="J91" i="11"/>
  <c r="S91" i="11"/>
  <c r="T91" i="11" s="1"/>
  <c r="O91" i="11"/>
  <c r="L91" i="11"/>
  <c r="Q91" i="11"/>
  <c r="M91" i="11"/>
  <c r="N91" i="11"/>
  <c r="P91" i="11"/>
  <c r="BH51" i="13"/>
  <c r="S3" i="11"/>
  <c r="T3" i="11" s="1"/>
  <c r="P3" i="11"/>
  <c r="M3" i="11"/>
  <c r="L3" i="11"/>
  <c r="N3" i="11"/>
  <c r="O3" i="11"/>
  <c r="Q3" i="11"/>
  <c r="S117" i="11"/>
  <c r="T117" i="11" s="1"/>
  <c r="J117" i="11"/>
  <c r="O117" i="11"/>
  <c r="P117" i="11"/>
  <c r="N117" i="11"/>
  <c r="M117" i="11"/>
  <c r="L117" i="11"/>
  <c r="Q117" i="11"/>
  <c r="K3" i="11"/>
  <c r="J124" i="11"/>
  <c r="S124" i="11"/>
  <c r="T124" i="11" s="1"/>
  <c r="L124" i="11"/>
  <c r="N124" i="11"/>
  <c r="O124" i="11"/>
  <c r="M124" i="11"/>
  <c r="P124" i="11"/>
  <c r="Q124" i="11"/>
  <c r="S108" i="11"/>
  <c r="T108" i="11" s="1"/>
  <c r="J108" i="11"/>
  <c r="O108" i="11"/>
  <c r="P108" i="11"/>
  <c r="M108" i="11"/>
  <c r="L108" i="11"/>
  <c r="N108" i="11"/>
  <c r="Q108" i="11"/>
  <c r="K124" i="11"/>
  <c r="S84" i="11"/>
  <c r="T84" i="11" s="1"/>
  <c r="J84" i="11"/>
  <c r="Q84" i="11"/>
  <c r="N84" i="11"/>
  <c r="O84" i="11"/>
  <c r="L84" i="11"/>
  <c r="P84" i="11"/>
  <c r="M84" i="11"/>
  <c r="K17" i="11"/>
  <c r="S112" i="11"/>
  <c r="T112" i="11" s="1"/>
  <c r="J112" i="11"/>
  <c r="M112" i="11"/>
  <c r="O112" i="11"/>
  <c r="Q112" i="11"/>
  <c r="P112" i="11"/>
  <c r="L112" i="11"/>
  <c r="N112" i="11"/>
  <c r="S100" i="11"/>
  <c r="T100" i="11" s="1"/>
  <c r="J100" i="11"/>
  <c r="P100" i="11"/>
  <c r="L100" i="11"/>
  <c r="O100" i="11"/>
  <c r="M100" i="11"/>
  <c r="N100" i="11"/>
  <c r="Q100" i="11"/>
  <c r="J152" i="11"/>
  <c r="K84" i="11"/>
  <c r="J153" i="11"/>
  <c r="S153" i="11"/>
  <c r="T153" i="11" s="1"/>
  <c r="P153" i="11"/>
  <c r="O153" i="11"/>
  <c r="N153" i="11"/>
  <c r="L153" i="11"/>
  <c r="M153" i="11"/>
  <c r="Q153" i="11"/>
  <c r="J121" i="11"/>
  <c r="S19" i="11"/>
  <c r="T19" i="11" s="1"/>
  <c r="L19" i="11"/>
  <c r="M19" i="11"/>
  <c r="Q19" i="11"/>
  <c r="P19" i="11"/>
  <c r="O19" i="11"/>
  <c r="N19" i="11"/>
  <c r="AL204" i="13"/>
  <c r="AL209" i="13"/>
  <c r="AL210" i="13"/>
  <c r="O104" i="9"/>
  <c r="O109" i="9"/>
  <c r="AJ109" i="9" s="1"/>
  <c r="S76" i="11"/>
  <c r="T76" i="11" s="1"/>
  <c r="J76" i="11"/>
  <c r="N76" i="11"/>
  <c r="L76" i="11"/>
  <c r="O76" i="11"/>
  <c r="Q76" i="11"/>
  <c r="M76" i="11"/>
  <c r="P76" i="11"/>
  <c r="K126" i="11"/>
  <c r="J115" i="11"/>
  <c r="P115" i="11"/>
  <c r="S115" i="11"/>
  <c r="T115" i="11" s="1"/>
  <c r="L115" i="11"/>
  <c r="M115" i="11"/>
  <c r="N115" i="11"/>
  <c r="O115" i="11"/>
  <c r="Q115" i="11"/>
  <c r="BH54" i="13"/>
  <c r="J155" i="11"/>
  <c r="S155" i="11"/>
  <c r="T155" i="11" s="1"/>
  <c r="O155" i="11"/>
  <c r="N155" i="11"/>
  <c r="M155" i="11"/>
  <c r="L155" i="11"/>
  <c r="P155" i="11"/>
  <c r="Q155" i="11"/>
  <c r="J123" i="11"/>
  <c r="BE57" i="13"/>
  <c r="K141" i="11"/>
  <c r="K65" i="11"/>
  <c r="F221" i="13"/>
  <c r="AM117" i="9"/>
  <c r="AL117" i="9"/>
  <c r="AJ117" i="9"/>
  <c r="AK117" i="9"/>
  <c r="S18" i="11"/>
  <c r="T18" i="11" s="1"/>
  <c r="O18" i="11"/>
  <c r="Q18" i="11"/>
  <c r="L18" i="11"/>
  <c r="N18" i="11"/>
  <c r="P18" i="11"/>
  <c r="M18" i="11"/>
  <c r="C221" i="13"/>
  <c r="Q221" i="13"/>
  <c r="AM118" i="9"/>
  <c r="AL118" i="9"/>
  <c r="AK118" i="9"/>
  <c r="AJ118" i="9"/>
  <c r="AN118" i="9" s="1"/>
  <c r="P16" i="16"/>
  <c r="W15" i="16"/>
  <c r="K73" i="13"/>
  <c r="L73" i="13" s="1"/>
  <c r="K74" i="13"/>
  <c r="L74" i="13" s="1"/>
  <c r="K75" i="13"/>
  <c r="L75" i="13" s="1"/>
  <c r="L77" i="13"/>
  <c r="S119" i="11"/>
  <c r="T119" i="11" s="1"/>
  <c r="Q119" i="11"/>
  <c r="J119" i="11"/>
  <c r="M119" i="11"/>
  <c r="O119" i="11"/>
  <c r="N119" i="11"/>
  <c r="L119" i="11"/>
  <c r="P119" i="11"/>
  <c r="S9" i="11"/>
  <c r="T9" i="11" s="1"/>
  <c r="P9" i="11"/>
  <c r="L9" i="11"/>
  <c r="M9" i="11"/>
  <c r="Q9" i="11"/>
  <c r="N9" i="11"/>
  <c r="O9" i="11"/>
  <c r="K18" i="11"/>
  <c r="S48" i="11"/>
  <c r="T48" i="11" s="1"/>
  <c r="N48" i="11"/>
  <c r="O48" i="11"/>
  <c r="L48" i="11"/>
  <c r="Q48" i="11"/>
  <c r="M48" i="11"/>
  <c r="P48" i="11"/>
  <c r="S96" i="11"/>
  <c r="T96" i="11" s="1"/>
  <c r="J96" i="11"/>
  <c r="O96" i="11"/>
  <c r="M96" i="11"/>
  <c r="P96" i="11"/>
  <c r="L96" i="11"/>
  <c r="N96" i="11"/>
  <c r="J107" i="11"/>
  <c r="Q96" i="11"/>
  <c r="AN114" i="9"/>
  <c r="AM114" i="9"/>
  <c r="AK114" i="9"/>
  <c r="AL114" i="9"/>
  <c r="S36" i="11"/>
  <c r="T36" i="11" s="1"/>
  <c r="M36" i="11"/>
  <c r="P36" i="11"/>
  <c r="N36" i="11"/>
  <c r="L36" i="11"/>
  <c r="O36" i="11"/>
  <c r="Q36" i="11"/>
  <c r="S126" i="11"/>
  <c r="T126" i="11" s="1"/>
  <c r="J126" i="11"/>
  <c r="P126" i="11"/>
  <c r="M126" i="11"/>
  <c r="L126" i="11"/>
  <c r="N126" i="11"/>
  <c r="O126" i="11"/>
  <c r="Q126" i="11"/>
  <c r="AN116" i="9"/>
  <c r="AM116" i="9"/>
  <c r="AL116" i="9"/>
  <c r="AK116" i="9"/>
  <c r="J128" i="11"/>
  <c r="K9" i="11"/>
  <c r="AN113" i="9"/>
  <c r="AL113" i="9"/>
  <c r="AM113" i="9"/>
  <c r="AK113" i="9"/>
  <c r="S41" i="11"/>
  <c r="T41" i="11" s="1"/>
  <c r="L41" i="11"/>
  <c r="O41" i="11"/>
  <c r="N41" i="11"/>
  <c r="P41" i="11"/>
  <c r="M41" i="11"/>
  <c r="Q41" i="11"/>
  <c r="BH52" i="13"/>
  <c r="V104" i="9"/>
  <c r="J99" i="11"/>
  <c r="J165" i="11"/>
  <c r="S165" i="11"/>
  <c r="T165" i="11" s="1"/>
  <c r="O165" i="11"/>
  <c r="L165" i="11"/>
  <c r="N165" i="11"/>
  <c r="M165" i="11"/>
  <c r="Q165" i="11"/>
  <c r="P165" i="11"/>
  <c r="S38" i="11"/>
  <c r="T38" i="11" s="1"/>
  <c r="M38" i="11"/>
  <c r="L38" i="11"/>
  <c r="P38" i="11"/>
  <c r="O38" i="11"/>
  <c r="Q38" i="11"/>
  <c r="N38" i="11"/>
  <c r="S169" i="11"/>
  <c r="T169" i="11" s="1"/>
  <c r="J169" i="11"/>
  <c r="P169" i="11"/>
  <c r="N169" i="11"/>
  <c r="L169" i="11"/>
  <c r="M169" i="11"/>
  <c r="O169" i="11"/>
  <c r="Q169" i="11"/>
  <c r="S164" i="11"/>
  <c r="T164" i="11" s="1"/>
  <c r="J164" i="11"/>
  <c r="P164" i="11"/>
  <c r="Q164" i="11"/>
  <c r="L164" i="11"/>
  <c r="O164" i="11"/>
  <c r="N164" i="11"/>
  <c r="M164" i="11"/>
  <c r="K221" i="13"/>
  <c r="AM204" i="13"/>
  <c r="AM209" i="13"/>
  <c r="AM210" i="13"/>
  <c r="AJ119" i="9"/>
  <c r="AL119" i="9"/>
  <c r="AM119" i="9"/>
  <c r="AK119" i="9"/>
  <c r="S131" i="11"/>
  <c r="T131" i="11" s="1"/>
  <c r="J131" i="11"/>
  <c r="Q131" i="11"/>
  <c r="N131" i="11"/>
  <c r="L131" i="11"/>
  <c r="O131" i="11"/>
  <c r="M131" i="11"/>
  <c r="P131" i="11"/>
  <c r="S122" i="11"/>
  <c r="T122" i="11" s="1"/>
  <c r="J122" i="11"/>
  <c r="N122" i="11"/>
  <c r="M122" i="11"/>
  <c r="P122" i="11"/>
  <c r="L122" i="11"/>
  <c r="O122" i="11"/>
  <c r="Q122" i="11"/>
  <c r="AZ57" i="13"/>
  <c r="S24" i="11"/>
  <c r="T24" i="11" s="1"/>
  <c r="Q24" i="11"/>
  <c r="M24" i="11"/>
  <c r="O24" i="11"/>
  <c r="L24" i="11"/>
  <c r="N24" i="11"/>
  <c r="P24" i="11"/>
  <c r="J82" i="11"/>
  <c r="S82" i="11"/>
  <c r="T82" i="11" s="1"/>
  <c r="M82" i="11"/>
  <c r="O82" i="11"/>
  <c r="L82" i="11"/>
  <c r="P82" i="11"/>
  <c r="N82" i="11"/>
  <c r="Q82" i="11"/>
  <c r="S53" i="11"/>
  <c r="T53" i="11" s="1"/>
  <c r="P53" i="11"/>
  <c r="M53" i="11"/>
  <c r="N53" i="11"/>
  <c r="L53" i="11"/>
  <c r="O53" i="11"/>
  <c r="Q53" i="11"/>
  <c r="AV108" i="9" l="1"/>
  <c r="AS108" i="9"/>
  <c r="AW108" i="9" s="1"/>
  <c r="AT108" i="9"/>
  <c r="AU108" i="9"/>
  <c r="AJ120" i="9"/>
  <c r="AX108" i="9"/>
  <c r="AQ116" i="9"/>
  <c r="AP116" i="9"/>
  <c r="AO116" i="9"/>
  <c r="AR116" i="9"/>
  <c r="AR111" i="9"/>
  <c r="AU116" i="9"/>
  <c r="AR110" i="9"/>
  <c r="AQ110" i="9"/>
  <c r="AO110" i="9"/>
  <c r="AP110" i="9"/>
  <c r="AQ119" i="9"/>
  <c r="AO119" i="9"/>
  <c r="AP119" i="9"/>
  <c r="AP117" i="9"/>
  <c r="AQ117" i="9"/>
  <c r="AO117" i="9"/>
  <c r="AR115" i="9"/>
  <c r="AP115" i="9"/>
  <c r="AQ115" i="9"/>
  <c r="AO115" i="9"/>
  <c r="AT115" i="9" s="1"/>
  <c r="AQ118" i="9"/>
  <c r="AO118" i="9"/>
  <c r="AS118" i="9" s="1"/>
  <c r="AP118" i="9"/>
  <c r="AR114" i="9"/>
  <c r="AP114" i="9"/>
  <c r="AO114" i="9"/>
  <c r="AQ114" i="9"/>
  <c r="AN117" i="9"/>
  <c r="AQ111" i="9"/>
  <c r="AO111" i="9"/>
  <c r="AN119" i="9"/>
  <c r="AR113" i="9"/>
  <c r="AQ113" i="9"/>
  <c r="AO113" i="9"/>
  <c r="AP113" i="9"/>
  <c r="AR112" i="9"/>
  <c r="AO112" i="9"/>
  <c r="AS112" i="9" s="1"/>
  <c r="AP112" i="9"/>
  <c r="AQ112" i="9"/>
  <c r="AP111" i="9"/>
  <c r="AB30" i="13"/>
  <c r="AC30" i="13" s="1"/>
  <c r="AR118" i="9"/>
  <c r="Z25" i="13"/>
  <c r="AA25" i="13" s="1"/>
  <c r="AB25" i="13" s="1"/>
  <c r="AL221" i="13"/>
  <c r="S108" i="13"/>
  <c r="T108" i="13" s="1"/>
  <c r="W22" i="13"/>
  <c r="R109" i="13"/>
  <c r="R110" i="13"/>
  <c r="S110" i="13" s="1"/>
  <c r="Z27" i="13"/>
  <c r="Z26" i="13"/>
  <c r="W29" i="13"/>
  <c r="E76" i="13"/>
  <c r="F76" i="13" s="1"/>
  <c r="W24" i="13"/>
  <c r="W23" i="13"/>
  <c r="Y65" i="13"/>
  <c r="Z64" i="13"/>
  <c r="AM221" i="13"/>
  <c r="Y28" i="13"/>
  <c r="AN109" i="9"/>
  <c r="O121" i="9"/>
  <c r="O120" i="9"/>
  <c r="O122" i="9"/>
  <c r="AL109" i="9"/>
  <c r="AL120" i="9" s="1"/>
  <c r="AK109" i="9"/>
  <c r="AK120" i="9" s="1"/>
  <c r="AM109" i="9"/>
  <c r="AM120" i="9" s="1"/>
  <c r="G76" i="13"/>
  <c r="H76" i="13" s="1"/>
  <c r="I76" i="13"/>
  <c r="J76" i="13" s="1"/>
  <c r="V31" i="13"/>
  <c r="K76" i="13"/>
  <c r="L76" i="13" s="1"/>
  <c r="U31" i="13"/>
  <c r="Z21" i="13"/>
  <c r="W20" i="13"/>
  <c r="X20" i="13" s="1"/>
  <c r="Z19" i="13"/>
  <c r="AA19" i="13" s="1"/>
  <c r="AU114" i="9" l="1"/>
  <c r="AT116" i="9"/>
  <c r="AU117" i="9"/>
  <c r="AT118" i="9"/>
  <c r="AT112" i="9"/>
  <c r="AT113" i="9"/>
  <c r="AU110" i="9"/>
  <c r="AT117" i="9"/>
  <c r="AN120" i="9"/>
  <c r="AT110" i="9"/>
  <c r="AV113" i="9"/>
  <c r="AS113" i="9"/>
  <c r="AW113" i="9" s="1"/>
  <c r="AU113" i="9"/>
  <c r="AU111" i="9"/>
  <c r="AV112" i="9"/>
  <c r="AU112" i="9"/>
  <c r="AV115" i="9"/>
  <c r="AX112" i="9"/>
  <c r="AQ109" i="9"/>
  <c r="AQ120" i="9" s="1"/>
  <c r="AR109" i="9"/>
  <c r="AP109" i="9"/>
  <c r="AP120" i="9" s="1"/>
  <c r="AO109" i="9"/>
  <c r="AV114" i="9"/>
  <c r="AS111" i="9"/>
  <c r="AV111" i="9"/>
  <c r="AT119" i="9"/>
  <c r="AS110" i="9"/>
  <c r="AS115" i="9"/>
  <c r="AW115" i="9" s="1"/>
  <c r="AW112" i="9"/>
  <c r="AX118" i="9"/>
  <c r="AU118" i="9"/>
  <c r="AT114" i="9"/>
  <c r="AV116" i="9"/>
  <c r="AS116" i="9"/>
  <c r="AW116" i="9" s="1"/>
  <c r="AW110" i="9"/>
  <c r="AR117" i="9"/>
  <c r="AV117" i="9" s="1"/>
  <c r="AR119" i="9"/>
  <c r="AW118" i="9"/>
  <c r="AS117" i="9"/>
  <c r="AT111" i="9"/>
  <c r="AS119" i="9"/>
  <c r="AU115" i="9"/>
  <c r="AV110" i="9"/>
  <c r="AS114" i="9"/>
  <c r="AU119" i="9"/>
  <c r="AV118" i="9"/>
  <c r="Z65" i="13"/>
  <c r="AC25" i="13"/>
  <c r="T110" i="13"/>
  <c r="AA27" i="13"/>
  <c r="AB27" i="13" s="1"/>
  <c r="AA64" i="13"/>
  <c r="X24" i="13"/>
  <c r="Z28" i="13"/>
  <c r="AA28" i="13" s="1"/>
  <c r="X29" i="13"/>
  <c r="Y29" i="13" s="1"/>
  <c r="Z29" i="13" s="1"/>
  <c r="U108" i="13"/>
  <c r="AA26" i="13"/>
  <c r="S109" i="13"/>
  <c r="T109" i="13" s="1"/>
  <c r="Y20" i="13"/>
  <c r="Z20" i="13" s="1"/>
  <c r="X23" i="13"/>
  <c r="X22" i="13"/>
  <c r="AD30" i="13"/>
  <c r="AE30" i="13" s="1"/>
  <c r="W31" i="13"/>
  <c r="AA21" i="13"/>
  <c r="AB19" i="13"/>
  <c r="AX114" i="9" l="1"/>
  <c r="AX115" i="9"/>
  <c r="AX113" i="9"/>
  <c r="AX111" i="9"/>
  <c r="AX110" i="9"/>
  <c r="AX116" i="9"/>
  <c r="AW119" i="9"/>
  <c r="AW114" i="9"/>
  <c r="AS109" i="9"/>
  <c r="AS120" i="9" s="1"/>
  <c r="AO120" i="9"/>
  <c r="AR120" i="9"/>
  <c r="AV109" i="9"/>
  <c r="AT109" i="9"/>
  <c r="AT120" i="9" s="1"/>
  <c r="AX119" i="9"/>
  <c r="AW111" i="9"/>
  <c r="AW117" i="9"/>
  <c r="AX117" i="9"/>
  <c r="AW109" i="9"/>
  <c r="AW120" i="9" s="1"/>
  <c r="AV119" i="9"/>
  <c r="AU109" i="9"/>
  <c r="AU120" i="9" s="1"/>
  <c r="V108" i="13"/>
  <c r="W108" i="13" s="1"/>
  <c r="X108" i="13" s="1"/>
  <c r="AA65" i="13"/>
  <c r="AB64" i="13"/>
  <c r="AC27" i="13"/>
  <c r="AD25" i="13"/>
  <c r="U110" i="13"/>
  <c r="AA29" i="13"/>
  <c r="AB29" i="13" s="1"/>
  <c r="Y22" i="13"/>
  <c r="Z22" i="13" s="1"/>
  <c r="AF30" i="13"/>
  <c r="Y24" i="13"/>
  <c r="U109" i="13"/>
  <c r="AB26" i="13"/>
  <c r="Y23" i="13"/>
  <c r="AB28" i="13"/>
  <c r="X31" i="13"/>
  <c r="AB21" i="13"/>
  <c r="AA20" i="13"/>
  <c r="AC19" i="13"/>
  <c r="AX109" i="9" l="1"/>
  <c r="AX120" i="9" s="1"/>
  <c r="AV120" i="9"/>
  <c r="AC64" i="13"/>
  <c r="AG30" i="13"/>
  <c r="AH30" i="13" s="1"/>
  <c r="AD27" i="13"/>
  <c r="Z24" i="13"/>
  <c r="AA24" i="13" s="1"/>
  <c r="AC26" i="13"/>
  <c r="AD26" i="13" s="1"/>
  <c r="AE25" i="13"/>
  <c r="Z23" i="13"/>
  <c r="AA23" i="13" s="1"/>
  <c r="AB23" i="13" s="1"/>
  <c r="AC28" i="13"/>
  <c r="AB65" i="13"/>
  <c r="Y108" i="13"/>
  <c r="AA22" i="13"/>
  <c r="AC29" i="13"/>
  <c r="Y31" i="13"/>
  <c r="V109" i="13"/>
  <c r="V110" i="13"/>
  <c r="AD19" i="13"/>
  <c r="AB20" i="13"/>
  <c r="AC21" i="13"/>
  <c r="Z31" i="13" l="1"/>
  <c r="AF25" i="13"/>
  <c r="AG25" i="13" s="1"/>
  <c r="AC23" i="13"/>
  <c r="AD23" i="13" s="1"/>
  <c r="AD28" i="13"/>
  <c r="AE28" i="13" s="1"/>
  <c r="W110" i="13"/>
  <c r="AB22" i="13"/>
  <c r="AE27" i="13"/>
  <c r="AF27" i="13" s="1"/>
  <c r="Z108" i="13"/>
  <c r="AA108" i="13" s="1"/>
  <c r="AA31" i="13"/>
  <c r="W109" i="13"/>
  <c r="AI30" i="13"/>
  <c r="AJ30" i="13" s="1"/>
  <c r="AE26" i="13"/>
  <c r="AC65" i="13"/>
  <c r="AD64" i="13"/>
  <c r="AB24" i="13"/>
  <c r="AD29" i="13"/>
  <c r="AC20" i="13"/>
  <c r="AD20" i="13" s="1"/>
  <c r="AD21" i="13"/>
  <c r="AE19" i="13"/>
  <c r="AH25" i="13" l="1"/>
  <c r="AI25" i="13" s="1"/>
  <c r="AG27" i="13"/>
  <c r="AH27" i="13" s="1"/>
  <c r="X109" i="13"/>
  <c r="AC24" i="13"/>
  <c r="AK30" i="13"/>
  <c r="AL30" i="13" s="1"/>
  <c r="AF28" i="13"/>
  <c r="AG28" i="13" s="1"/>
  <c r="AH28" i="13" s="1"/>
  <c r="AC22" i="13"/>
  <c r="AE23" i="13"/>
  <c r="AF23" i="13" s="1"/>
  <c r="AD65" i="13"/>
  <c r="AE64" i="13"/>
  <c r="AF26" i="13"/>
  <c r="AB108" i="13"/>
  <c r="X110" i="13"/>
  <c r="AB31" i="13"/>
  <c r="AE29" i="13"/>
  <c r="AF29" i="13" s="1"/>
  <c r="AF19" i="13"/>
  <c r="AE20" i="13"/>
  <c r="AE21" i="13"/>
  <c r="AJ25" i="13" l="1"/>
  <c r="AK25" i="13" s="1"/>
  <c r="AG23" i="13"/>
  <c r="AH23" i="13" s="1"/>
  <c r="AI23" i="13" s="1"/>
  <c r="AJ23" i="13" s="1"/>
  <c r="AK23" i="13" s="1"/>
  <c r="AL25" i="13"/>
  <c r="AM25" i="13" s="1"/>
  <c r="AC31" i="13"/>
  <c r="AD24" i="13"/>
  <c r="AE24" i="13" s="1"/>
  <c r="AG26" i="13"/>
  <c r="AH26" i="13" s="1"/>
  <c r="AI26" i="13" s="1"/>
  <c r="AJ26" i="13" s="1"/>
  <c r="AE65" i="13"/>
  <c r="AF64" i="13"/>
  <c r="AG64" i="13" s="1"/>
  <c r="AH64" i="13" s="1"/>
  <c r="AG29" i="13"/>
  <c r="AI28" i="13"/>
  <c r="AD22" i="13"/>
  <c r="AI27" i="13"/>
  <c r="AJ27" i="13" s="1"/>
  <c r="AK27" i="13" s="1"/>
  <c r="Y110" i="13"/>
  <c r="Y109" i="13"/>
  <c r="AM30" i="13"/>
  <c r="AC108" i="13"/>
  <c r="AD108" i="13" s="1"/>
  <c r="AF20" i="13"/>
  <c r="AF21" i="13"/>
  <c r="AG19" i="13"/>
  <c r="AH19" i="13" s="1"/>
  <c r="AH65" i="13" l="1"/>
  <c r="AE108" i="13"/>
  <c r="AF65" i="13"/>
  <c r="Z109" i="13"/>
  <c r="AN25" i="13"/>
  <c r="AO25" i="13" s="1"/>
  <c r="AP25" i="13" s="1"/>
  <c r="AF24" i="13"/>
  <c r="AG24" i="13" s="1"/>
  <c r="AL23" i="13"/>
  <c r="AN30" i="13"/>
  <c r="AG65" i="13"/>
  <c r="AL27" i="13"/>
  <c r="Z110" i="13"/>
  <c r="AE22" i="13"/>
  <c r="AF22" i="13" s="1"/>
  <c r="AD31" i="13"/>
  <c r="AK26" i="13"/>
  <c r="AL26" i="13" s="1"/>
  <c r="AJ28" i="13"/>
  <c r="AM23" i="13"/>
  <c r="AH29" i="13"/>
  <c r="AI64" i="13"/>
  <c r="AI19" i="13"/>
  <c r="AJ19" i="13" s="1"/>
  <c r="AG21" i="13"/>
  <c r="AG20" i="13"/>
  <c r="AN23" i="13" l="1"/>
  <c r="AO23" i="13" s="1"/>
  <c r="AF31" i="13"/>
  <c r="AM27" i="13"/>
  <c r="AN27" i="13" s="1"/>
  <c r="AI65" i="13"/>
  <c r="AI29" i="13"/>
  <c r="AJ29" i="13" s="1"/>
  <c r="AA110" i="13"/>
  <c r="AM26" i="13"/>
  <c r="AF108" i="13"/>
  <c r="AE31" i="13"/>
  <c r="AG22" i="13"/>
  <c r="AH22" i="13" s="1"/>
  <c r="AK28" i="13"/>
  <c r="AL28" i="13" s="1"/>
  <c r="AA109" i="13"/>
  <c r="AH24" i="13"/>
  <c r="AO30" i="13"/>
  <c r="AP30" i="13" s="1"/>
  <c r="AJ64" i="13"/>
  <c r="AH21" i="13"/>
  <c r="AK19" i="13"/>
  <c r="AH20" i="13"/>
  <c r="AN26" i="13" l="1"/>
  <c r="AO26" i="13" s="1"/>
  <c r="AP23" i="13"/>
  <c r="AB110" i="13"/>
  <c r="AM28" i="13"/>
  <c r="AN28" i="13" s="1"/>
  <c r="AK29" i="13"/>
  <c r="AG108" i="13"/>
  <c r="AI22" i="13"/>
  <c r="AO27" i="13"/>
  <c r="AP27" i="13" s="1"/>
  <c r="AG31" i="13"/>
  <c r="AJ65" i="13"/>
  <c r="AI24" i="13"/>
  <c r="AB109" i="13"/>
  <c r="AK64" i="13"/>
  <c r="AH31" i="13"/>
  <c r="AI20" i="13"/>
  <c r="AI21" i="13"/>
  <c r="AL19" i="13"/>
  <c r="AO28" i="13" l="1"/>
  <c r="AP28" i="13" s="1"/>
  <c r="AJ20" i="13"/>
  <c r="AK20" i="13" s="1"/>
  <c r="AP26" i="13"/>
  <c r="AK65" i="13"/>
  <c r="AL64" i="13"/>
  <c r="AL65" i="13" s="1"/>
  <c r="AH108" i="13"/>
  <c r="AC109" i="13"/>
  <c r="AJ24" i="13"/>
  <c r="AC110" i="13"/>
  <c r="AL29" i="13"/>
  <c r="AM29" i="13" s="1"/>
  <c r="AJ22" i="13"/>
  <c r="AK24" i="13"/>
  <c r="AJ21" i="13"/>
  <c r="AM19" i="13"/>
  <c r="AI31" i="13"/>
  <c r="AJ31" i="13" l="1"/>
  <c r="AL20" i="13"/>
  <c r="AM20" i="13" s="1"/>
  <c r="AN29" i="13"/>
  <c r="AD110" i="13"/>
  <c r="AI108" i="13"/>
  <c r="AJ108" i="13" s="1"/>
  <c r="AK108" i="13" s="1"/>
  <c r="AO29" i="13"/>
  <c r="AD109" i="13"/>
  <c r="AK22" i="13"/>
  <c r="AM64" i="13"/>
  <c r="AM65" i="13" s="1"/>
  <c r="AL24" i="13"/>
  <c r="AM24" i="13" s="1"/>
  <c r="AN24" i="13" s="1"/>
  <c r="AN19" i="13"/>
  <c r="AK21" i="13"/>
  <c r="AN20" i="13" l="1"/>
  <c r="AO20" i="13" s="1"/>
  <c r="AN64" i="13"/>
  <c r="AN65" i="13" s="1"/>
  <c r="AP29" i="13"/>
  <c r="AE110" i="13"/>
  <c r="AO24" i="13"/>
  <c r="AP24" i="13" s="1"/>
  <c r="AL108" i="13"/>
  <c r="AM108" i="13" s="1"/>
  <c r="AN108" i="13" s="1"/>
  <c r="AL22" i="13"/>
  <c r="AE109" i="13"/>
  <c r="AL21" i="13"/>
  <c r="AM21" i="13" s="1"/>
  <c r="AK31" i="13"/>
  <c r="AO19" i="13"/>
  <c r="AP19" i="13" s="1"/>
  <c r="AP20" i="13"/>
  <c r="AO64" i="13" l="1"/>
  <c r="AO65" i="13" s="1"/>
  <c r="AF109" i="13"/>
  <c r="AM22" i="13"/>
  <c r="AM31" i="13" s="1"/>
  <c r="AF110" i="13"/>
  <c r="AO108" i="13"/>
  <c r="AP108" i="13" s="1"/>
  <c r="AL31" i="13"/>
  <c r="AN21" i="13"/>
  <c r="AP64" i="13" l="1"/>
  <c r="AP65" i="13" s="1"/>
  <c r="AG110" i="13"/>
  <c r="AN22" i="13"/>
  <c r="AO22" i="13" s="1"/>
  <c r="AG109" i="13"/>
  <c r="AO21" i="13"/>
  <c r="AN31" i="13" l="1"/>
  <c r="AH109" i="13"/>
  <c r="AP22" i="13"/>
  <c r="AH110" i="13"/>
  <c r="AO31" i="13"/>
  <c r="AP21" i="13"/>
  <c r="AP31" i="13" l="1"/>
  <c r="AI109" i="13"/>
  <c r="AI110" i="13"/>
  <c r="AJ110" i="13" s="1"/>
  <c r="AK110" i="13" s="1"/>
  <c r="AL110" i="13" s="1"/>
  <c r="AM110" i="13" s="1"/>
  <c r="AN110" i="13" s="1"/>
  <c r="AJ109" i="13" l="1"/>
  <c r="AO110" i="13"/>
  <c r="AP110" i="13" s="1"/>
  <c r="AK109" i="13" l="1"/>
  <c r="AL109" i="13" l="1"/>
  <c r="AM109" i="13" l="1"/>
  <c r="AN109" i="13" l="1"/>
  <c r="AO109" i="13" l="1"/>
  <c r="AP109" i="13" l="1"/>
  <c r="O63" i="13" l="1"/>
  <c r="BB63" i="13" s="1"/>
  <c r="O62" i="13"/>
  <c r="BB62" i="13" s="1"/>
  <c r="O61" i="13"/>
  <c r="BB61" i="13" s="1"/>
  <c r="O60" i="13"/>
  <c r="BB60" i="13" l="1"/>
  <c r="O64" i="13"/>
  <c r="O107" i="13"/>
  <c r="P61" i="13"/>
  <c r="BD61" i="13" s="1"/>
  <c r="P60" i="13"/>
  <c r="P64" i="13" l="1"/>
  <c r="BD60" i="13"/>
  <c r="P107" i="13"/>
  <c r="O111" i="13"/>
  <c r="BB64" i="13"/>
  <c r="Q77" i="13"/>
  <c r="R77" i="13" s="1"/>
  <c r="O65" i="13"/>
  <c r="Q75" i="13" l="1"/>
  <c r="R75" i="13" s="1"/>
  <c r="Q74" i="13"/>
  <c r="R74" i="13" s="1"/>
  <c r="Q73" i="13"/>
  <c r="R73" i="13" s="1"/>
  <c r="Q107" i="13"/>
  <c r="P111" i="13"/>
  <c r="BD64" i="13"/>
  <c r="P65" i="13"/>
  <c r="Q76" i="13" l="1"/>
  <c r="R76" i="13" s="1"/>
  <c r="Q111" i="13"/>
  <c r="R107" i="13"/>
  <c r="S107" i="13" s="1"/>
  <c r="T107" i="13" l="1"/>
  <c r="U107" i="13" s="1"/>
  <c r="V107" i="13" s="1"/>
  <c r="W107" i="13" s="1"/>
  <c r="S111" i="13"/>
  <c r="R111" i="13"/>
  <c r="T111" i="13" l="1"/>
  <c r="U111" i="13"/>
  <c r="X107" i="13"/>
  <c r="W111" i="13"/>
  <c r="V111" i="13"/>
  <c r="X111" i="13" l="1"/>
  <c r="Y107" i="13"/>
  <c r="Z107" i="13" s="1"/>
  <c r="Z111" i="13" l="1"/>
  <c r="AA107" i="13"/>
  <c r="AB107" i="13" s="1"/>
  <c r="AC107" i="13" s="1"/>
  <c r="AD107" i="13" s="1"/>
  <c r="Y111" i="13"/>
  <c r="AD111" i="13" l="1"/>
  <c r="AC111" i="13"/>
  <c r="AE107" i="13"/>
  <c r="AB111" i="13"/>
  <c r="AA111" i="13"/>
  <c r="AE111" i="13" l="1"/>
  <c r="AF107" i="13"/>
  <c r="AF111" i="13" l="1"/>
  <c r="AG107" i="13"/>
  <c r="AH107" i="13" s="1"/>
  <c r="AI107" i="13" l="1"/>
  <c r="AI111" i="13" s="1"/>
  <c r="AJ107" i="13"/>
  <c r="AJ111" i="13" s="1"/>
  <c r="AH111" i="13"/>
  <c r="AG111" i="13"/>
  <c r="AK107" i="13" l="1"/>
  <c r="AK111" i="13" l="1"/>
  <c r="AL107" i="13"/>
  <c r="AL111" i="13" l="1"/>
  <c r="AM107" i="13"/>
  <c r="AN107" i="13" s="1"/>
  <c r="AN111" i="13" s="1"/>
  <c r="AM111" i="13" l="1"/>
  <c r="AO107" i="13"/>
  <c r="AO111" i="13" s="1"/>
  <c r="AP107" i="13" l="1"/>
  <c r="AP111" i="13" s="1"/>
  <c r="AA28" i="10" l="1"/>
  <c r="Z28" i="10"/>
  <c r="Y28" i="10"/>
  <c r="X28" i="10"/>
  <c r="C274" i="11" s="1"/>
  <c r="W28" i="10"/>
  <c r="C262" i="11" s="1"/>
  <c r="V28" i="10"/>
  <c r="C250" i="11" s="1"/>
  <c r="U28" i="10"/>
  <c r="T28" i="10"/>
  <c r="C226" i="11" s="1"/>
  <c r="S28" i="10"/>
  <c r="R28" i="10"/>
  <c r="Q28" i="10"/>
  <c r="P28" i="10"/>
  <c r="AA27" i="10"/>
  <c r="Z27" i="10"/>
  <c r="Y27" i="10"/>
  <c r="X27" i="10"/>
  <c r="C273" i="11" s="1"/>
  <c r="W27" i="10"/>
  <c r="V27" i="10"/>
  <c r="U27" i="10"/>
  <c r="T27" i="10"/>
  <c r="S27" i="10"/>
  <c r="R27" i="10"/>
  <c r="Q27" i="10"/>
  <c r="P27" i="10"/>
  <c r="AA26" i="10"/>
  <c r="Z26" i="10"/>
  <c r="Y26" i="10"/>
  <c r="X26" i="10"/>
  <c r="W26" i="10"/>
  <c r="C260" i="11" s="1"/>
  <c r="V26" i="10"/>
  <c r="U26" i="10"/>
  <c r="T26" i="10"/>
  <c r="S26" i="10"/>
  <c r="C212" i="11" s="1"/>
  <c r="R26" i="10"/>
  <c r="Q26" i="10"/>
  <c r="P26" i="10"/>
  <c r="AA25" i="10"/>
  <c r="Z25" i="10"/>
  <c r="C295" i="11" s="1"/>
  <c r="Y25" i="10"/>
  <c r="X25" i="10"/>
  <c r="W25" i="10"/>
  <c r="C259" i="11" s="1"/>
  <c r="V25" i="10"/>
  <c r="U25" i="10"/>
  <c r="T25" i="10"/>
  <c r="S25" i="10"/>
  <c r="R25" i="10"/>
  <c r="Q25" i="10"/>
  <c r="P25" i="10"/>
  <c r="AA24" i="10"/>
  <c r="Z24" i="10"/>
  <c r="Y24" i="10"/>
  <c r="C282" i="11" s="1"/>
  <c r="X24" i="10"/>
  <c r="C270" i="11" s="1"/>
  <c r="W24" i="10"/>
  <c r="V24" i="10"/>
  <c r="U24" i="10"/>
  <c r="C234" i="11" s="1"/>
  <c r="T24" i="10"/>
  <c r="S24" i="10"/>
  <c r="C210" i="11" s="1"/>
  <c r="R24" i="10"/>
  <c r="C198" i="11" s="1"/>
  <c r="Q24" i="10"/>
  <c r="P24" i="10"/>
  <c r="AA23" i="10"/>
  <c r="Z23" i="10"/>
  <c r="Y23" i="10"/>
  <c r="C281" i="11" s="1"/>
  <c r="X23" i="10"/>
  <c r="C269" i="11" s="1"/>
  <c r="W23" i="10"/>
  <c r="V23" i="10"/>
  <c r="U23" i="10"/>
  <c r="T23" i="10"/>
  <c r="C221" i="11" s="1"/>
  <c r="S23" i="10"/>
  <c r="R23" i="10"/>
  <c r="Q23" i="10"/>
  <c r="P23" i="10"/>
  <c r="AA22" i="10"/>
  <c r="Z22" i="10"/>
  <c r="Y22" i="10"/>
  <c r="C280" i="11" s="1"/>
  <c r="X22" i="10"/>
  <c r="W22" i="10"/>
  <c r="V22" i="10"/>
  <c r="U22" i="10"/>
  <c r="T22" i="10"/>
  <c r="S22" i="10"/>
  <c r="R22" i="10"/>
  <c r="Q22" i="10"/>
  <c r="C184" i="11" s="1"/>
  <c r="P22" i="10"/>
  <c r="AA21" i="10"/>
  <c r="Z21" i="10"/>
  <c r="Y21" i="10"/>
  <c r="X21" i="10"/>
  <c r="W21" i="10"/>
  <c r="C255" i="11" s="1"/>
  <c r="V21" i="10"/>
  <c r="U21" i="10"/>
  <c r="T21" i="10"/>
  <c r="S21" i="10"/>
  <c r="R21" i="10"/>
  <c r="Q21" i="10"/>
  <c r="P21" i="10"/>
  <c r="AA20" i="10"/>
  <c r="Z20" i="10"/>
  <c r="Y20" i="10"/>
  <c r="X20" i="10"/>
  <c r="W20" i="10"/>
  <c r="V20" i="10"/>
  <c r="U20" i="10"/>
  <c r="T20" i="10"/>
  <c r="S20" i="10"/>
  <c r="R20" i="10"/>
  <c r="Q20" i="10"/>
  <c r="AA31" i="10"/>
  <c r="Z31" i="10"/>
  <c r="Y31" i="10"/>
  <c r="X31" i="10"/>
  <c r="W31" i="10"/>
  <c r="V31" i="10"/>
  <c r="C253" i="11" s="1"/>
  <c r="U31" i="10"/>
  <c r="C241" i="11" s="1"/>
  <c r="T31" i="10"/>
  <c r="S31" i="10"/>
  <c r="R31" i="10"/>
  <c r="Q31" i="10"/>
  <c r="P31" i="10"/>
  <c r="AA30" i="10"/>
  <c r="Z30" i="10"/>
  <c r="Y30" i="10"/>
  <c r="X30" i="10"/>
  <c r="C276" i="11" s="1"/>
  <c r="W30" i="10"/>
  <c r="V30" i="10"/>
  <c r="U30" i="10"/>
  <c r="T30" i="10"/>
  <c r="S30" i="10"/>
  <c r="R30" i="10"/>
  <c r="Q30" i="10"/>
  <c r="C192" i="11" s="1"/>
  <c r="P30" i="10"/>
  <c r="AA29" i="10"/>
  <c r="Z29" i="10"/>
  <c r="Y29" i="10"/>
  <c r="X29" i="10"/>
  <c r="W29" i="10"/>
  <c r="C263" i="11" s="1"/>
  <c r="V29" i="10"/>
  <c r="U29" i="10"/>
  <c r="C239" i="11" s="1"/>
  <c r="T29" i="10"/>
  <c r="S29" i="10"/>
  <c r="C215" i="11" s="1"/>
  <c r="R29" i="10"/>
  <c r="Q29" i="10"/>
  <c r="C191" i="11" s="1"/>
  <c r="P29" i="10"/>
  <c r="AC57" i="9" l="1"/>
  <c r="AC38" i="9"/>
  <c r="U65" i="9"/>
  <c r="U46" i="9"/>
  <c r="V65" i="9"/>
  <c r="V46" i="9"/>
  <c r="AC58" i="9"/>
  <c r="AC39" i="9"/>
  <c r="AA59" i="9"/>
  <c r="AA40" i="9"/>
  <c r="Y60" i="9"/>
  <c r="Y41" i="9"/>
  <c r="V61" i="9"/>
  <c r="V42" i="9"/>
  <c r="C288" i="11"/>
  <c r="C245" i="11"/>
  <c r="C175" i="11"/>
  <c r="C272" i="11"/>
  <c r="C202" i="11"/>
  <c r="W65" i="9"/>
  <c r="W46" i="9"/>
  <c r="S66" i="9"/>
  <c r="S47" i="9"/>
  <c r="AE58" i="9"/>
  <c r="AB59" i="9"/>
  <c r="AB40" i="9"/>
  <c r="Z60" i="9"/>
  <c r="Z41" i="9"/>
  <c r="W61" i="9"/>
  <c r="W42" i="9"/>
  <c r="T62" i="9"/>
  <c r="T43" i="9"/>
  <c r="Q63" i="9"/>
  <c r="Q44" i="9"/>
  <c r="C300" i="11"/>
  <c r="C230" i="11"/>
  <c r="U32" i="10"/>
  <c r="C257" i="11"/>
  <c r="C187" i="11"/>
  <c r="C284" i="11"/>
  <c r="C214" i="11"/>
  <c r="X65" i="9"/>
  <c r="X46" i="9"/>
  <c r="T66" i="9"/>
  <c r="T47" i="9"/>
  <c r="P67" i="9"/>
  <c r="P48" i="9"/>
  <c r="AF58" i="9"/>
  <c r="AC59" i="9"/>
  <c r="AC40" i="9"/>
  <c r="AA60" i="9"/>
  <c r="AA41" i="9"/>
  <c r="X61" i="9"/>
  <c r="X42" i="9"/>
  <c r="U62" i="9"/>
  <c r="U43" i="9"/>
  <c r="R63" i="9"/>
  <c r="R44" i="9"/>
  <c r="P41" i="9"/>
  <c r="P76" i="9"/>
  <c r="C242" i="11"/>
  <c r="V32" i="10"/>
  <c r="C172" i="11"/>
  <c r="I172" i="11" s="1"/>
  <c r="S172" i="11" s="1"/>
  <c r="T172" i="11" s="1"/>
  <c r="P118" i="10"/>
  <c r="P134" i="10"/>
  <c r="C199" i="11"/>
  <c r="C296" i="11"/>
  <c r="Y65" i="9"/>
  <c r="Y46" i="9"/>
  <c r="U66" i="9"/>
  <c r="U47" i="9"/>
  <c r="Q67" i="9"/>
  <c r="Q48" i="9"/>
  <c r="AE59" i="9"/>
  <c r="AB60" i="9"/>
  <c r="AB41" i="9"/>
  <c r="Y61" i="9"/>
  <c r="Y42" i="9"/>
  <c r="V62" i="9"/>
  <c r="V43" i="9"/>
  <c r="S63" i="9"/>
  <c r="S44" i="9"/>
  <c r="P64" i="9"/>
  <c r="P45" i="9"/>
  <c r="P75" i="9"/>
  <c r="P40" i="9"/>
  <c r="C254" i="11"/>
  <c r="W32" i="10"/>
  <c r="C211" i="11"/>
  <c r="C238" i="11"/>
  <c r="Z65" i="9"/>
  <c r="Z46" i="9"/>
  <c r="V66" i="9"/>
  <c r="V47" i="9"/>
  <c r="R67" i="9"/>
  <c r="R48" i="9"/>
  <c r="AF59" i="9"/>
  <c r="AC60" i="9"/>
  <c r="AC41" i="9"/>
  <c r="Z61" i="9"/>
  <c r="Z42" i="9"/>
  <c r="W62" i="9"/>
  <c r="W43" i="9"/>
  <c r="T63" i="9"/>
  <c r="T44" i="9"/>
  <c r="Q64" i="9"/>
  <c r="Q45" i="9"/>
  <c r="C266" i="11"/>
  <c r="X32" i="10"/>
  <c r="C196" i="11"/>
  <c r="C293" i="11"/>
  <c r="C223" i="11"/>
  <c r="W60" i="9"/>
  <c r="W41" i="9"/>
  <c r="C194" i="11"/>
  <c r="R32" i="10"/>
  <c r="Q66" i="9"/>
  <c r="Q47" i="9"/>
  <c r="S62" i="9"/>
  <c r="S43" i="9"/>
  <c r="AB61" i="9"/>
  <c r="AB42" i="9"/>
  <c r="C171" i="11"/>
  <c r="I171" i="11" s="1"/>
  <c r="S171" i="11" s="1"/>
  <c r="T171" i="11" s="1"/>
  <c r="P117" i="10"/>
  <c r="P32" i="10"/>
  <c r="P133" i="10"/>
  <c r="C268" i="11"/>
  <c r="C225" i="11"/>
  <c r="P63" i="9"/>
  <c r="P44" i="9"/>
  <c r="Z66" i="9"/>
  <c r="Z47" i="9"/>
  <c r="C237" i="11"/>
  <c r="AE60" i="9"/>
  <c r="Y62" i="9"/>
  <c r="Y43" i="9"/>
  <c r="C290" i="11"/>
  <c r="Z32" i="10"/>
  <c r="R56" i="9"/>
  <c r="AC61" i="9"/>
  <c r="AC42" i="9"/>
  <c r="C229" i="11"/>
  <c r="X67" i="9"/>
  <c r="X48" i="9"/>
  <c r="U56" i="9"/>
  <c r="Q58" i="9"/>
  <c r="Q39" i="9"/>
  <c r="Z63" i="9"/>
  <c r="Z44" i="9"/>
  <c r="V56" i="9"/>
  <c r="X64" i="9"/>
  <c r="X45" i="9"/>
  <c r="C183" i="11"/>
  <c r="AD66" i="9"/>
  <c r="Z67" i="9"/>
  <c r="Z48" i="9"/>
  <c r="W56" i="9"/>
  <c r="U57" i="9"/>
  <c r="U38" i="9"/>
  <c r="S58" i="9"/>
  <c r="S39" i="9"/>
  <c r="Q59" i="9"/>
  <c r="Q40" i="9"/>
  <c r="AF62" i="9"/>
  <c r="AB63" i="9"/>
  <c r="AB44" i="9"/>
  <c r="Y64" i="9"/>
  <c r="Y45" i="9"/>
  <c r="C203" i="11"/>
  <c r="C265" i="11"/>
  <c r="C195" i="11"/>
  <c r="C292" i="11"/>
  <c r="C222" i="11"/>
  <c r="C249" i="11"/>
  <c r="C299" i="11"/>
  <c r="AE57" i="9"/>
  <c r="Z59" i="9"/>
  <c r="Z40" i="9"/>
  <c r="X60" i="9"/>
  <c r="X41" i="9"/>
  <c r="U61" i="9"/>
  <c r="U42" i="9"/>
  <c r="C190" i="11"/>
  <c r="AF57" i="9"/>
  <c r="S67" i="9"/>
  <c r="S48" i="9"/>
  <c r="C208" i="11"/>
  <c r="X66" i="9"/>
  <c r="X47" i="9"/>
  <c r="C247" i="11"/>
  <c r="W63" i="9"/>
  <c r="W44" i="9"/>
  <c r="AA32" i="10"/>
  <c r="C189" i="11"/>
  <c r="Q57" i="9"/>
  <c r="Q38" i="9"/>
  <c r="C298" i="11"/>
  <c r="AE62" i="9"/>
  <c r="V57" i="9"/>
  <c r="V38" i="9"/>
  <c r="C180" i="11"/>
  <c r="C277" i="11"/>
  <c r="C207" i="11"/>
  <c r="C261" i="11"/>
  <c r="P66" i="9"/>
  <c r="P47" i="9"/>
  <c r="Q62" i="9"/>
  <c r="Q43" i="9"/>
  <c r="C291" i="11"/>
  <c r="R66" i="9"/>
  <c r="R47" i="9"/>
  <c r="U63" i="9"/>
  <c r="U44" i="9"/>
  <c r="Q56" i="9"/>
  <c r="U67" i="9"/>
  <c r="U48" i="9"/>
  <c r="AD65" i="9"/>
  <c r="S56" i="9"/>
  <c r="AA62" i="9"/>
  <c r="AA43" i="9"/>
  <c r="C244" i="11"/>
  <c r="AF61" i="9"/>
  <c r="C283" i="11"/>
  <c r="AB66" i="9"/>
  <c r="AB47" i="9"/>
  <c r="R59" i="9"/>
  <c r="R40" i="9"/>
  <c r="Z64" i="9"/>
  <c r="Z45" i="9"/>
  <c r="AF66" i="9"/>
  <c r="AB67" i="9"/>
  <c r="AB48" i="9"/>
  <c r="Y56" i="9"/>
  <c r="W57" i="9"/>
  <c r="W38" i="9"/>
  <c r="U58" i="9"/>
  <c r="U39" i="9"/>
  <c r="S59" i="9"/>
  <c r="S40" i="9"/>
  <c r="Q60" i="9"/>
  <c r="Q41" i="9"/>
  <c r="AE63" i="9"/>
  <c r="AA64" i="9"/>
  <c r="AA45" i="9"/>
  <c r="C227" i="11"/>
  <c r="C289" i="11"/>
  <c r="C219" i="11"/>
  <c r="C246" i="11"/>
  <c r="C176" i="11"/>
  <c r="C206" i="11"/>
  <c r="S32" i="10"/>
  <c r="AA61" i="9"/>
  <c r="AA42" i="9"/>
  <c r="C181" i="11"/>
  <c r="T67" i="9"/>
  <c r="T48" i="9"/>
  <c r="V63" i="9"/>
  <c r="V44" i="9"/>
  <c r="AC65" i="9"/>
  <c r="AC46" i="9"/>
  <c r="Z62" i="9"/>
  <c r="Z43" i="9"/>
  <c r="C286" i="11"/>
  <c r="V67" i="9"/>
  <c r="V48" i="9"/>
  <c r="U64" i="9"/>
  <c r="U45" i="9"/>
  <c r="C217" i="11"/>
  <c r="C201" i="11"/>
  <c r="AE65" i="9"/>
  <c r="AE46" i="9"/>
  <c r="Y63" i="9"/>
  <c r="Y44" i="9"/>
  <c r="AF65" i="9"/>
  <c r="AF46" i="9"/>
  <c r="S57" i="9"/>
  <c r="S38" i="9"/>
  <c r="W64" i="9"/>
  <c r="W45" i="9"/>
  <c r="Y67" i="9"/>
  <c r="Y48" i="9"/>
  <c r="X56" i="9"/>
  <c r="AC63" i="9"/>
  <c r="AC44" i="9"/>
  <c r="AC67" i="9"/>
  <c r="AC48" i="9"/>
  <c r="Z56" i="9"/>
  <c r="X57" i="9"/>
  <c r="X38" i="9"/>
  <c r="V58" i="9"/>
  <c r="V39" i="9"/>
  <c r="T59" i="9"/>
  <c r="T40" i="9"/>
  <c r="R60" i="9"/>
  <c r="R41" i="9"/>
  <c r="AF63" i="9"/>
  <c r="AB64" i="9"/>
  <c r="AB45" i="9"/>
  <c r="C204" i="11"/>
  <c r="C301" i="11"/>
  <c r="C231" i="11"/>
  <c r="C258" i="11"/>
  <c r="C188" i="11"/>
  <c r="C285" i="11"/>
  <c r="T65" i="9"/>
  <c r="T46" i="9"/>
  <c r="AF56" i="9"/>
  <c r="AA58" i="9"/>
  <c r="AA39" i="9"/>
  <c r="T61" i="9"/>
  <c r="T42" i="9"/>
  <c r="R62" i="9"/>
  <c r="R43" i="9"/>
  <c r="P73" i="9"/>
  <c r="P38" i="9"/>
  <c r="AF60" i="9"/>
  <c r="C205" i="11"/>
  <c r="AA66" i="9"/>
  <c r="AA47" i="9"/>
  <c r="C256" i="11"/>
  <c r="R58" i="9"/>
  <c r="R39" i="9"/>
  <c r="AA67" i="9"/>
  <c r="AA48" i="9"/>
  <c r="Y57" i="9"/>
  <c r="Y38" i="9"/>
  <c r="U59" i="9"/>
  <c r="U40" i="9"/>
  <c r="AC64" i="9"/>
  <c r="AC45" i="9"/>
  <c r="C251" i="11"/>
  <c r="C216" i="11"/>
  <c r="C243" i="11"/>
  <c r="C173" i="11"/>
  <c r="I173" i="11" s="1"/>
  <c r="S173" i="11" s="1"/>
  <c r="T173" i="11" s="1"/>
  <c r="P135" i="10"/>
  <c r="P119" i="10"/>
  <c r="C200" i="11"/>
  <c r="C297" i="11"/>
  <c r="C264" i="11"/>
  <c r="W66" i="9"/>
  <c r="W47" i="9"/>
  <c r="X62" i="9"/>
  <c r="X43" i="9"/>
  <c r="C235" i="11"/>
  <c r="AB65" i="9"/>
  <c r="AB46" i="9"/>
  <c r="S64" i="9"/>
  <c r="S45" i="9"/>
  <c r="C220" i="11"/>
  <c r="C232" i="11"/>
  <c r="C186" i="11"/>
  <c r="T58" i="9"/>
  <c r="T39" i="9"/>
  <c r="P65" i="9"/>
  <c r="P46" i="9"/>
  <c r="AA56" i="9"/>
  <c r="P61" i="9"/>
  <c r="P42" i="9"/>
  <c r="Q65" i="9"/>
  <c r="Q46" i="9"/>
  <c r="AB56" i="9"/>
  <c r="V59" i="9"/>
  <c r="V40" i="9"/>
  <c r="T60" i="9"/>
  <c r="T41" i="9"/>
  <c r="AE64" i="9"/>
  <c r="C228" i="11"/>
  <c r="C185" i="11"/>
  <c r="C248" i="11"/>
  <c r="C218" i="11"/>
  <c r="T32" i="10"/>
  <c r="AA65" i="9"/>
  <c r="AA46" i="9"/>
  <c r="R64" i="9"/>
  <c r="R45" i="9"/>
  <c r="C278" i="11"/>
  <c r="Y32" i="10"/>
  <c r="C193" i="11"/>
  <c r="C177" i="11"/>
  <c r="Y66" i="9"/>
  <c r="Y47" i="9"/>
  <c r="T64" i="9"/>
  <c r="T45" i="9"/>
  <c r="X63" i="9"/>
  <c r="X44" i="9"/>
  <c r="C271" i="11"/>
  <c r="T56" i="9"/>
  <c r="AB62" i="9"/>
  <c r="AB43" i="9"/>
  <c r="AC62" i="9"/>
  <c r="AC43" i="9"/>
  <c r="AD67" i="9"/>
  <c r="S60" i="9"/>
  <c r="S41" i="9"/>
  <c r="AE67" i="9"/>
  <c r="X58" i="9"/>
  <c r="X39" i="9"/>
  <c r="R65" i="9"/>
  <c r="R46" i="9"/>
  <c r="AF67" i="9"/>
  <c r="AC56" i="9"/>
  <c r="AA57" i="9"/>
  <c r="AA38" i="9"/>
  <c r="Y58" i="9"/>
  <c r="Y39" i="9"/>
  <c r="W59" i="9"/>
  <c r="W40" i="9"/>
  <c r="U60" i="9"/>
  <c r="U41" i="9"/>
  <c r="R61" i="9"/>
  <c r="R42" i="9"/>
  <c r="AF64" i="9"/>
  <c r="C275" i="11"/>
  <c r="C240" i="11"/>
  <c r="C267" i="11"/>
  <c r="C197" i="11"/>
  <c r="C294" i="11"/>
  <c r="C224" i="11"/>
  <c r="Y59" i="9"/>
  <c r="Y40" i="9"/>
  <c r="C178" i="11"/>
  <c r="AB58" i="9"/>
  <c r="AB39" i="9"/>
  <c r="C233" i="11"/>
  <c r="AE61" i="9"/>
  <c r="C174" i="11"/>
  <c r="I174" i="11" s="1"/>
  <c r="S174" i="11" s="1"/>
  <c r="T174" i="11" s="1"/>
  <c r="P136" i="10"/>
  <c r="P120" i="10"/>
  <c r="W67" i="9"/>
  <c r="W48" i="9"/>
  <c r="R57" i="9"/>
  <c r="R38" i="9"/>
  <c r="V64" i="9"/>
  <c r="V45" i="9"/>
  <c r="C213" i="11"/>
  <c r="C179" i="11"/>
  <c r="AC66" i="9"/>
  <c r="AC47" i="9"/>
  <c r="T57" i="9"/>
  <c r="T38" i="9"/>
  <c r="AA63" i="9"/>
  <c r="AA44" i="9"/>
  <c r="AE66" i="9"/>
  <c r="W58" i="9"/>
  <c r="W39" i="9"/>
  <c r="Z57" i="9"/>
  <c r="Z38" i="9"/>
  <c r="Q61" i="9"/>
  <c r="Q42" i="9"/>
  <c r="S65" i="9"/>
  <c r="S46" i="9"/>
  <c r="AE56" i="9"/>
  <c r="AB57" i="9"/>
  <c r="AB38" i="9"/>
  <c r="Z58" i="9"/>
  <c r="Z39" i="9"/>
  <c r="X59" i="9"/>
  <c r="X40" i="9"/>
  <c r="V60" i="9"/>
  <c r="V41" i="9"/>
  <c r="S61" i="9"/>
  <c r="S42" i="9"/>
  <c r="P62" i="9"/>
  <c r="P43" i="9"/>
  <c r="C287" i="11"/>
  <c r="C252" i="11"/>
  <c r="C182" i="11"/>
  <c r="Q32" i="10"/>
  <c r="C279" i="11"/>
  <c r="C209" i="11"/>
  <c r="C236" i="11"/>
  <c r="AC81" i="9" l="1"/>
  <c r="AF81" i="9"/>
  <c r="AE81" i="9"/>
  <c r="AB76" i="9"/>
  <c r="AB73" i="9"/>
  <c r="AB78" i="9"/>
  <c r="AC72" i="9"/>
  <c r="X79" i="9"/>
  <c r="X11" i="10"/>
  <c r="T6" i="10"/>
  <c r="T74" i="9"/>
  <c r="X68" i="9"/>
  <c r="X73" i="9"/>
  <c r="X5" i="10"/>
  <c r="Z37" i="9"/>
  <c r="Z32" i="9"/>
  <c r="Z86" i="9" s="1"/>
  <c r="S37" i="9"/>
  <c r="S32" i="9"/>
  <c r="S86" i="9" s="1"/>
  <c r="X82" i="9"/>
  <c r="X14" i="10"/>
  <c r="Y82" i="9"/>
  <c r="Y14" i="10"/>
  <c r="U15" i="10"/>
  <c r="U83" i="9"/>
  <c r="V7" i="10"/>
  <c r="V75" i="9"/>
  <c r="P10" i="10"/>
  <c r="P78" i="9"/>
  <c r="AB37" i="9"/>
  <c r="AB32" i="9"/>
  <c r="AB86" i="9" s="1"/>
  <c r="Z78" i="9"/>
  <c r="Z10" i="10"/>
  <c r="U11" i="10"/>
  <c r="U79" i="9"/>
  <c r="V37" i="9"/>
  <c r="V32" i="9"/>
  <c r="V86" i="9" s="1"/>
  <c r="Z8" i="10"/>
  <c r="Z76" i="9"/>
  <c r="Y76" i="9"/>
  <c r="Y8" i="10"/>
  <c r="R72" i="9"/>
  <c r="R4" i="10"/>
  <c r="T14" i="10"/>
  <c r="T82" i="9"/>
  <c r="R77" i="9"/>
  <c r="R9" i="10"/>
  <c r="AB68" i="9"/>
  <c r="AB72" i="9"/>
  <c r="AC80" i="9"/>
  <c r="R10" i="10"/>
  <c r="R78" i="9"/>
  <c r="AB80" i="9"/>
  <c r="W12" i="10"/>
  <c r="W80" i="9"/>
  <c r="R7" i="10"/>
  <c r="R75" i="9"/>
  <c r="U9" i="10"/>
  <c r="U77" i="9"/>
  <c r="Y12" i="10"/>
  <c r="Y80" i="9"/>
  <c r="V72" i="9"/>
  <c r="V4" i="10"/>
  <c r="AC76" i="9"/>
  <c r="S11" i="10"/>
  <c r="S79" i="9"/>
  <c r="X13" i="10"/>
  <c r="X81" i="9"/>
  <c r="U6" i="10"/>
  <c r="U74" i="9"/>
  <c r="AA10" i="10"/>
  <c r="AA78" i="9"/>
  <c r="X9" i="10"/>
  <c r="X77" i="9"/>
  <c r="W37" i="9"/>
  <c r="W32" i="9"/>
  <c r="W86" i="9" s="1"/>
  <c r="S72" i="9"/>
  <c r="S4" i="10"/>
  <c r="X37" i="9"/>
  <c r="X32" i="9"/>
  <c r="X86" i="9" s="1"/>
  <c r="S9" i="10"/>
  <c r="S77" i="9"/>
  <c r="AA11" i="10"/>
  <c r="AA79" i="9"/>
  <c r="R12" i="10"/>
  <c r="R80" i="9"/>
  <c r="R14" i="10"/>
  <c r="R82" i="9"/>
  <c r="AB75" i="9"/>
  <c r="AA7" i="10"/>
  <c r="AA75" i="9"/>
  <c r="Q15" i="10"/>
  <c r="Q83" i="9"/>
  <c r="V80" i="9"/>
  <c r="V12" i="10"/>
  <c r="U14" i="10"/>
  <c r="U82" i="9"/>
  <c r="Y13" i="10"/>
  <c r="Y81" i="9"/>
  <c r="W15" i="10"/>
  <c r="W83" i="9"/>
  <c r="AC79" i="9"/>
  <c r="AB83" i="9"/>
  <c r="T11" i="10"/>
  <c r="T79" i="9"/>
  <c r="Z5" i="10"/>
  <c r="Z73" i="9"/>
  <c r="S76" i="9"/>
  <c r="S8" i="10"/>
  <c r="AB81" i="9"/>
  <c r="AB74" i="9"/>
  <c r="U8" i="10"/>
  <c r="U76" i="9"/>
  <c r="AC78" i="9"/>
  <c r="Q81" i="9"/>
  <c r="Q13" i="10"/>
  <c r="X78" i="9"/>
  <c r="X10" i="10"/>
  <c r="U7" i="10"/>
  <c r="U75" i="9"/>
  <c r="T9" i="10"/>
  <c r="T77" i="9"/>
  <c r="S68" i="9"/>
  <c r="S5" i="10"/>
  <c r="S73" i="9"/>
  <c r="AA80" i="9"/>
  <c r="AA12" i="10"/>
  <c r="AB82" i="9"/>
  <c r="Q5" i="10"/>
  <c r="Q73" i="9"/>
  <c r="X8" i="10"/>
  <c r="X76" i="9"/>
  <c r="AB79" i="9"/>
  <c r="Z11" i="10"/>
  <c r="Z79" i="9"/>
  <c r="W8" i="10"/>
  <c r="W76" i="9"/>
  <c r="V78" i="9"/>
  <c r="V10" i="10"/>
  <c r="T12" i="10"/>
  <c r="T80" i="9"/>
  <c r="S15" i="10"/>
  <c r="S83" i="9"/>
  <c r="V76" i="9"/>
  <c r="V8" i="10"/>
  <c r="T73" i="9"/>
  <c r="T5" i="10"/>
  <c r="AA13" i="10"/>
  <c r="AA81" i="9"/>
  <c r="V11" i="10"/>
  <c r="V79" i="9"/>
  <c r="Z14" i="10"/>
  <c r="Z82" i="9"/>
  <c r="AE68" i="9"/>
  <c r="AC68" i="9"/>
  <c r="AC74" i="9"/>
  <c r="AC77" i="9"/>
  <c r="S13" i="10"/>
  <c r="S81" i="9"/>
  <c r="R37" i="9"/>
  <c r="R32" i="9"/>
  <c r="R86" i="9" s="1"/>
  <c r="AB77" i="9"/>
  <c r="Y78" i="9"/>
  <c r="Y10" i="10"/>
  <c r="P12" i="10"/>
  <c r="P80" i="9"/>
  <c r="W7" i="10"/>
  <c r="W75" i="9"/>
  <c r="P9" i="10"/>
  <c r="P68" i="9"/>
  <c r="P87" i="9" s="1"/>
  <c r="P88" i="9" s="1"/>
  <c r="P77" i="9"/>
  <c r="W14" i="10"/>
  <c r="W82" i="9"/>
  <c r="Y5" i="10"/>
  <c r="Y73" i="9"/>
  <c r="AA6" i="10"/>
  <c r="AA74" i="9"/>
  <c r="R8" i="10"/>
  <c r="R76" i="9"/>
  <c r="Z7" i="10"/>
  <c r="Z75" i="9"/>
  <c r="Q6" i="10"/>
  <c r="Q74" i="9"/>
  <c r="R15" i="10"/>
  <c r="R83" i="9"/>
  <c r="Y68" i="9"/>
  <c r="Y77" i="9"/>
  <c r="Y9" i="10"/>
  <c r="Q32" i="9"/>
  <c r="Q86" i="9" s="1"/>
  <c r="Q37" i="9"/>
  <c r="X4" i="10"/>
  <c r="X72" i="9"/>
  <c r="V68" i="9"/>
  <c r="V5" i="10"/>
  <c r="V73" i="9"/>
  <c r="W10" i="10"/>
  <c r="W78" i="9"/>
  <c r="W9" i="10"/>
  <c r="W77" i="9"/>
  <c r="Z68" i="9"/>
  <c r="Z9" i="10"/>
  <c r="Z77" i="9"/>
  <c r="X75" i="9"/>
  <c r="X7" i="10"/>
  <c r="AC82" i="9"/>
  <c r="T32" i="9"/>
  <c r="T86" i="9" s="1"/>
  <c r="T37" i="9"/>
  <c r="AA37" i="9"/>
  <c r="AA32" i="9"/>
  <c r="AA86" i="9" s="1"/>
  <c r="T15" i="10"/>
  <c r="T83" i="9"/>
  <c r="Q10" i="10"/>
  <c r="Q78" i="9"/>
  <c r="U32" i="9"/>
  <c r="U86" i="9" s="1"/>
  <c r="U37" i="9"/>
  <c r="P11" i="10"/>
  <c r="P79" i="9"/>
  <c r="S14" i="10"/>
  <c r="S82" i="9"/>
  <c r="V13" i="10"/>
  <c r="V81" i="9"/>
  <c r="AA14" i="10"/>
  <c r="AA82" i="9"/>
  <c r="W68" i="9"/>
  <c r="W5" i="10"/>
  <c r="W73" i="9"/>
  <c r="P74" i="9"/>
  <c r="P39" i="9"/>
  <c r="P51" i="9" s="1"/>
  <c r="AC83" i="9"/>
  <c r="Z15" i="10"/>
  <c r="Z83" i="9"/>
  <c r="Q12" i="10"/>
  <c r="Q80" i="9"/>
  <c r="Q9" i="10"/>
  <c r="Q77" i="9"/>
  <c r="V15" i="10"/>
  <c r="V83" i="9"/>
  <c r="S78" i="9"/>
  <c r="S10" i="10"/>
  <c r="Y75" i="9"/>
  <c r="Y7" i="10"/>
  <c r="Y74" i="9"/>
  <c r="Y6" i="10"/>
  <c r="T68" i="9"/>
  <c r="T4" i="10"/>
  <c r="T72" i="9"/>
  <c r="AA68" i="9"/>
  <c r="AA4" i="10"/>
  <c r="AA72" i="9"/>
  <c r="AA83" i="9"/>
  <c r="AA15" i="10"/>
  <c r="AF68" i="9"/>
  <c r="T75" i="9"/>
  <c r="T7" i="10"/>
  <c r="Q8" i="10"/>
  <c r="Q76" i="9"/>
  <c r="Q7" i="10"/>
  <c r="Q75" i="9"/>
  <c r="U4" i="10"/>
  <c r="U72" i="9"/>
  <c r="V82" i="9"/>
  <c r="V14" i="10"/>
  <c r="R11" i="10"/>
  <c r="R79" i="9"/>
  <c r="AC75" i="9"/>
  <c r="U80" i="9"/>
  <c r="U12" i="10"/>
  <c r="Q79" i="9"/>
  <c r="Q11" i="10"/>
  <c r="P15" i="10"/>
  <c r="P83" i="9"/>
  <c r="Q82" i="9"/>
  <c r="Q14" i="10"/>
  <c r="X80" i="9"/>
  <c r="X12" i="10"/>
  <c r="Z6" i="10"/>
  <c r="Z74" i="9"/>
  <c r="Y11" i="10"/>
  <c r="Y79" i="9"/>
  <c r="P14" i="10"/>
  <c r="P82" i="9"/>
  <c r="W81" i="9"/>
  <c r="W13" i="10"/>
  <c r="U81" i="9"/>
  <c r="U13" i="10"/>
  <c r="U68" i="9"/>
  <c r="U87" i="9" s="1"/>
  <c r="U88" i="9" s="1"/>
  <c r="U5" i="10"/>
  <c r="U73" i="9"/>
  <c r="AA5" i="10"/>
  <c r="AA73" i="9"/>
  <c r="P81" i="9"/>
  <c r="P13" i="10"/>
  <c r="R6" i="10"/>
  <c r="R74" i="9"/>
  <c r="T13" i="10"/>
  <c r="T81" i="9"/>
  <c r="V6" i="10"/>
  <c r="V74" i="9"/>
  <c r="S7" i="10"/>
  <c r="S75" i="9"/>
  <c r="W11" i="10"/>
  <c r="W79" i="9"/>
  <c r="S6" i="10"/>
  <c r="S74" i="9"/>
  <c r="X15" i="10"/>
  <c r="X83" i="9"/>
  <c r="Z13" i="10"/>
  <c r="Z81" i="9"/>
  <c r="U10" i="10"/>
  <c r="U78" i="9"/>
  <c r="Z4" i="10"/>
  <c r="Z72" i="9"/>
  <c r="W4" i="10"/>
  <c r="W72" i="9"/>
  <c r="AA8" i="10"/>
  <c r="AA76" i="9"/>
  <c r="R68" i="9"/>
  <c r="R73" i="9"/>
  <c r="R5" i="10"/>
  <c r="Y37" i="9"/>
  <c r="Y32" i="9"/>
  <c r="Y86" i="9" s="1"/>
  <c r="R81" i="9"/>
  <c r="R13" i="10"/>
  <c r="Y4" i="10"/>
  <c r="Y72" i="9"/>
  <c r="X6" i="10"/>
  <c r="X74" i="9"/>
  <c r="P50" i="9"/>
  <c r="T78" i="9"/>
  <c r="T10" i="10"/>
  <c r="T8" i="10"/>
  <c r="T76" i="9"/>
  <c r="S12" i="10"/>
  <c r="S80" i="9"/>
  <c r="Q4" i="10"/>
  <c r="Q68" i="9"/>
  <c r="Q72" i="9"/>
  <c r="W6" i="10"/>
  <c r="W74" i="9"/>
  <c r="P32" i="9"/>
  <c r="P86" i="9" s="1"/>
  <c r="V9" i="10"/>
  <c r="V77" i="9"/>
  <c r="Y83" i="9"/>
  <c r="Y15" i="10"/>
  <c r="Z12" i="10"/>
  <c r="Z80" i="9"/>
  <c r="AC37" i="9"/>
  <c r="AC32" i="9"/>
  <c r="AC86" i="9" s="1"/>
  <c r="AA77" i="9"/>
  <c r="AA9" i="10"/>
  <c r="AC73" i="9"/>
  <c r="P84" i="9" l="1"/>
  <c r="Z87" i="9"/>
  <c r="Z88" i="9" s="1"/>
  <c r="Y87" i="9"/>
  <c r="Y88" i="9" s="1"/>
  <c r="R87" i="9"/>
  <c r="R88" i="9" s="1"/>
  <c r="V87" i="9"/>
  <c r="V88" i="9" s="1"/>
  <c r="S87" i="9"/>
  <c r="S88" i="9" s="1"/>
  <c r="AC84" i="9"/>
  <c r="W87" i="9"/>
  <c r="W88" i="9" s="1"/>
  <c r="AB87" i="9"/>
  <c r="AB88" i="9" s="1"/>
  <c r="AA121" i="10"/>
  <c r="AA137" i="10"/>
  <c r="B245" i="11"/>
  <c r="I245" i="11" s="1"/>
  <c r="V119" i="10"/>
  <c r="V135" i="10"/>
  <c r="AA84" i="9"/>
  <c r="AA87" i="9"/>
  <c r="AA88" i="9" s="1"/>
  <c r="B246" i="11"/>
  <c r="I246" i="11" s="1"/>
  <c r="V120" i="10"/>
  <c r="V136" i="10"/>
  <c r="B288" i="11"/>
  <c r="I288" i="11" s="1"/>
  <c r="Y126" i="10"/>
  <c r="Y142" i="10"/>
  <c r="V84" i="9"/>
  <c r="Y84" i="9"/>
  <c r="U141" i="10"/>
  <c r="B239" i="11"/>
  <c r="I239" i="11" s="1"/>
  <c r="U125" i="10"/>
  <c r="R123" i="10"/>
  <c r="B201" i="11"/>
  <c r="I201" i="11" s="1"/>
  <c r="R139" i="10"/>
  <c r="AA126" i="10"/>
  <c r="AA142" i="10"/>
  <c r="B211" i="11"/>
  <c r="I211" i="11" s="1"/>
  <c r="S121" i="10"/>
  <c r="S137" i="10"/>
  <c r="X142" i="10"/>
  <c r="B276" i="11"/>
  <c r="I276" i="11" s="1"/>
  <c r="X126" i="10"/>
  <c r="Y116" i="10"/>
  <c r="B278" i="11"/>
  <c r="I278" i="11" s="1"/>
  <c r="Y16" i="10"/>
  <c r="Y132" i="10"/>
  <c r="B208" i="11"/>
  <c r="I208" i="11" s="1"/>
  <c r="S118" i="10"/>
  <c r="S134" i="10"/>
  <c r="B252" i="11"/>
  <c r="I252" i="11" s="1"/>
  <c r="V126" i="10"/>
  <c r="V142" i="10"/>
  <c r="Y134" i="10"/>
  <c r="Y118" i="10"/>
  <c r="B280" i="11"/>
  <c r="I280" i="11" s="1"/>
  <c r="T121" i="10"/>
  <c r="B223" i="11"/>
  <c r="I223" i="11" s="1"/>
  <c r="T137" i="10"/>
  <c r="W127" i="10"/>
  <c r="B265" i="11"/>
  <c r="I265" i="11" s="1"/>
  <c r="W143" i="10"/>
  <c r="B286" i="11"/>
  <c r="I286" i="11" s="1"/>
  <c r="Y124" i="10"/>
  <c r="Y140" i="10"/>
  <c r="AA50" i="9"/>
  <c r="AA51" i="9"/>
  <c r="AA49" i="9"/>
  <c r="B199" i="11"/>
  <c r="I199" i="11" s="1"/>
  <c r="S199" i="11" s="1"/>
  <c r="T199" i="11" s="1"/>
  <c r="R121" i="10"/>
  <c r="R137" i="10"/>
  <c r="X135" i="10"/>
  <c r="B269" i="11"/>
  <c r="I269" i="11" s="1"/>
  <c r="X119" i="10"/>
  <c r="B298" i="11"/>
  <c r="I298" i="11" s="1"/>
  <c r="Z124" i="10"/>
  <c r="Z140" i="10"/>
  <c r="T87" i="9"/>
  <c r="T88" i="9" s="1"/>
  <c r="B217" i="11"/>
  <c r="I217" i="11" s="1"/>
  <c r="S127" i="10"/>
  <c r="S143" i="10"/>
  <c r="Y136" i="10"/>
  <c r="Y120" i="10"/>
  <c r="B282" i="11"/>
  <c r="I282" i="11" s="1"/>
  <c r="B247" i="11"/>
  <c r="I247" i="11" s="1"/>
  <c r="V121" i="10"/>
  <c r="V137" i="10"/>
  <c r="R125" i="10"/>
  <c r="B203" i="11"/>
  <c r="I203" i="11" s="1"/>
  <c r="R141" i="10"/>
  <c r="W141" i="10"/>
  <c r="B263" i="11"/>
  <c r="I263" i="11" s="1"/>
  <c r="W125" i="10"/>
  <c r="B251" i="11"/>
  <c r="I251" i="11" s="1"/>
  <c r="V125" i="10"/>
  <c r="V141" i="10"/>
  <c r="B293" i="11"/>
  <c r="I293" i="11" s="1"/>
  <c r="Z119" i="10"/>
  <c r="Z135" i="10"/>
  <c r="R51" i="9"/>
  <c r="R50" i="9"/>
  <c r="R49" i="9"/>
  <c r="T140" i="10"/>
  <c r="B226" i="11"/>
  <c r="I226" i="11" s="1"/>
  <c r="T124" i="10"/>
  <c r="X51" i="9"/>
  <c r="X50" i="9"/>
  <c r="X49" i="9"/>
  <c r="B301" i="11"/>
  <c r="I301" i="11" s="1"/>
  <c r="Z127" i="10"/>
  <c r="Z143" i="10"/>
  <c r="B207" i="11"/>
  <c r="I207" i="11" s="1"/>
  <c r="S117" i="10"/>
  <c r="S133" i="10"/>
  <c r="B261" i="11"/>
  <c r="I261" i="11" s="1"/>
  <c r="W123" i="10"/>
  <c r="W139" i="10"/>
  <c r="S51" i="9"/>
  <c r="S50" i="9"/>
  <c r="S49" i="9"/>
  <c r="B230" i="11"/>
  <c r="I230" i="11" s="1"/>
  <c r="U116" i="10"/>
  <c r="U16" i="10"/>
  <c r="U132" i="10"/>
  <c r="S126" i="10"/>
  <c r="B216" i="11"/>
  <c r="I216" i="11" s="1"/>
  <c r="S142" i="10"/>
  <c r="S141" i="10"/>
  <c r="B215" i="11"/>
  <c r="I215" i="11" s="1"/>
  <c r="S125" i="10"/>
  <c r="X122" i="10"/>
  <c r="B272" i="11"/>
  <c r="I272" i="11" s="1"/>
  <c r="X138" i="10"/>
  <c r="B206" i="11"/>
  <c r="I206" i="11" s="1"/>
  <c r="S116" i="10"/>
  <c r="S16" i="10"/>
  <c r="S132" i="10"/>
  <c r="B175" i="11"/>
  <c r="I175" i="11" s="1"/>
  <c r="S175" i="11" s="1"/>
  <c r="T175" i="11" s="1"/>
  <c r="P121" i="10"/>
  <c r="P16" i="10"/>
  <c r="P137" i="10"/>
  <c r="T49" i="9"/>
  <c r="T51" i="9"/>
  <c r="T50" i="9"/>
  <c r="AA124" i="10"/>
  <c r="AA140" i="10"/>
  <c r="B213" i="11"/>
  <c r="I213" i="11" s="1"/>
  <c r="S123" i="10"/>
  <c r="S139" i="10"/>
  <c r="R116" i="10"/>
  <c r="B194" i="11"/>
  <c r="I194" i="11" s="1"/>
  <c r="S194" i="11" s="1"/>
  <c r="T194" i="11" s="1"/>
  <c r="R16" i="10"/>
  <c r="R132" i="10"/>
  <c r="T84" i="9"/>
  <c r="W137" i="10"/>
  <c r="W121" i="10"/>
  <c r="B259" i="11"/>
  <c r="I259" i="11" s="1"/>
  <c r="B294" i="11"/>
  <c r="I294" i="11" s="1"/>
  <c r="Z120" i="10"/>
  <c r="Z136" i="10"/>
  <c r="W118" i="10"/>
  <c r="B256" i="11"/>
  <c r="I256" i="11" s="1"/>
  <c r="W134" i="10"/>
  <c r="Y49" i="9"/>
  <c r="Y51" i="9"/>
  <c r="Y50" i="9"/>
  <c r="B209" i="11"/>
  <c r="I209" i="11" s="1"/>
  <c r="S119" i="10"/>
  <c r="S135" i="10"/>
  <c r="B180" i="11"/>
  <c r="I180" i="11" s="1"/>
  <c r="S180" i="11" s="1"/>
  <c r="T180" i="11" s="1"/>
  <c r="P126" i="10"/>
  <c r="P142" i="10"/>
  <c r="S138" i="10"/>
  <c r="S122" i="10"/>
  <c r="B212" i="11"/>
  <c r="I212" i="11" s="1"/>
  <c r="W138" i="10"/>
  <c r="W122" i="10"/>
  <c r="B260" i="11"/>
  <c r="I260" i="11" s="1"/>
  <c r="R136" i="10"/>
  <c r="B198" i="11"/>
  <c r="I198" i="11" s="1"/>
  <c r="S198" i="11" s="1"/>
  <c r="T198" i="11" s="1"/>
  <c r="R120" i="10"/>
  <c r="B240" i="11"/>
  <c r="I240" i="11" s="1"/>
  <c r="U126" i="10"/>
  <c r="U142" i="10"/>
  <c r="S84" i="9"/>
  <c r="B197" i="11"/>
  <c r="I197" i="11" s="1"/>
  <c r="S197" i="11" s="1"/>
  <c r="T197" i="11" s="1"/>
  <c r="R119" i="10"/>
  <c r="R135" i="10"/>
  <c r="V50" i="9"/>
  <c r="V49" i="9"/>
  <c r="V51" i="9"/>
  <c r="Z49" i="9"/>
  <c r="Z50" i="9"/>
  <c r="Z51" i="9"/>
  <c r="Z84" i="9"/>
  <c r="Z132" i="10"/>
  <c r="Z116" i="10"/>
  <c r="B290" i="11"/>
  <c r="I290" i="11" s="1"/>
  <c r="Z16" i="10"/>
  <c r="B249" i="11"/>
  <c r="I249" i="11" s="1"/>
  <c r="V123" i="10"/>
  <c r="V139" i="10"/>
  <c r="P127" i="10"/>
  <c r="B181" i="11"/>
  <c r="I181" i="11" s="1"/>
  <c r="S181" i="11" s="1"/>
  <c r="T181" i="11" s="1"/>
  <c r="P143" i="10"/>
  <c r="B291" i="11"/>
  <c r="I291" i="11" s="1"/>
  <c r="Z117" i="10"/>
  <c r="Z133" i="10"/>
  <c r="T117" i="10"/>
  <c r="B219" i="11"/>
  <c r="I219" i="11" s="1"/>
  <c r="T133" i="10"/>
  <c r="P124" i="10"/>
  <c r="B178" i="11"/>
  <c r="I178" i="11" s="1"/>
  <c r="S178" i="11" s="1"/>
  <c r="T178" i="11" s="1"/>
  <c r="P140" i="10"/>
  <c r="B299" i="11"/>
  <c r="I299" i="11" s="1"/>
  <c r="Z125" i="10"/>
  <c r="Z141" i="10"/>
  <c r="Q134" i="10"/>
  <c r="Q118" i="10"/>
  <c r="B184" i="11"/>
  <c r="I184" i="11" s="1"/>
  <c r="S184" i="11" s="1"/>
  <c r="T184" i="11" s="1"/>
  <c r="U84" i="9"/>
  <c r="Q84" i="9"/>
  <c r="R117" i="10"/>
  <c r="B195" i="11"/>
  <c r="I195" i="11" s="1"/>
  <c r="S195" i="11" s="1"/>
  <c r="T195" i="11" s="1"/>
  <c r="R133" i="10"/>
  <c r="B185" i="11"/>
  <c r="I185" i="11" s="1"/>
  <c r="S185" i="11" s="1"/>
  <c r="T185" i="11" s="1"/>
  <c r="Q119" i="10"/>
  <c r="Q135" i="10"/>
  <c r="B177" i="11"/>
  <c r="I177" i="11" s="1"/>
  <c r="S177" i="11" s="1"/>
  <c r="T177" i="11" s="1"/>
  <c r="P123" i="10"/>
  <c r="P139" i="10"/>
  <c r="Q141" i="10"/>
  <c r="B191" i="11"/>
  <c r="I191" i="11" s="1"/>
  <c r="S191" i="11" s="1"/>
  <c r="T191" i="11" s="1"/>
  <c r="Q125" i="10"/>
  <c r="V140" i="10"/>
  <c r="B250" i="11"/>
  <c r="I250" i="11" s="1"/>
  <c r="V124" i="10"/>
  <c r="X117" i="10"/>
  <c r="B267" i="11"/>
  <c r="I267" i="11" s="1"/>
  <c r="X133" i="10"/>
  <c r="B232" i="11"/>
  <c r="I232" i="11" s="1"/>
  <c r="U118" i="10"/>
  <c r="U134" i="10"/>
  <c r="B257" i="11"/>
  <c r="I257" i="11" s="1"/>
  <c r="W119" i="10"/>
  <c r="W135" i="10"/>
  <c r="B289" i="11"/>
  <c r="I289" i="11" s="1"/>
  <c r="Y127" i="10"/>
  <c r="Y143" i="10"/>
  <c r="Y135" i="10"/>
  <c r="Y119" i="10"/>
  <c r="B281" i="11"/>
  <c r="I281" i="11" s="1"/>
  <c r="B235" i="11"/>
  <c r="I235" i="11" s="1"/>
  <c r="U121" i="10"/>
  <c r="U137" i="10"/>
  <c r="Q87" i="9"/>
  <c r="Q88" i="9" s="1"/>
  <c r="B244" i="11"/>
  <c r="I244" i="11" s="1"/>
  <c r="V118" i="10"/>
  <c r="V134" i="10"/>
  <c r="B285" i="11"/>
  <c r="I285" i="11" s="1"/>
  <c r="Y123" i="10"/>
  <c r="Y139" i="10"/>
  <c r="U51" i="9"/>
  <c r="U49" i="9"/>
  <c r="U50" i="9"/>
  <c r="B243" i="11"/>
  <c r="I243" i="11" s="1"/>
  <c r="V117" i="10"/>
  <c r="V133" i="10"/>
  <c r="AA118" i="10"/>
  <c r="AA134" i="10"/>
  <c r="B258" i="11"/>
  <c r="I258" i="11" s="1"/>
  <c r="W120" i="10"/>
  <c r="W136" i="10"/>
  <c r="W51" i="9"/>
  <c r="W49" i="9"/>
  <c r="W50" i="9"/>
  <c r="W140" i="10"/>
  <c r="B262" i="11"/>
  <c r="I262" i="11" s="1"/>
  <c r="W124" i="10"/>
  <c r="B237" i="11"/>
  <c r="I237" i="11" s="1"/>
  <c r="U123" i="10"/>
  <c r="U139" i="10"/>
  <c r="B275" i="11"/>
  <c r="I275" i="11" s="1"/>
  <c r="X125" i="10"/>
  <c r="X141" i="10"/>
  <c r="P49" i="9"/>
  <c r="AA116" i="10"/>
  <c r="AA16" i="10"/>
  <c r="AA132" i="10"/>
  <c r="U143" i="10"/>
  <c r="B241" i="11"/>
  <c r="I241" i="11" s="1"/>
  <c r="U127" i="10"/>
  <c r="W133" i="10"/>
  <c r="W117" i="10"/>
  <c r="B255" i="11"/>
  <c r="I255" i="11" s="1"/>
  <c r="V132" i="10"/>
  <c r="V116" i="10"/>
  <c r="B242" i="11"/>
  <c r="I242" i="11" s="1"/>
  <c r="V16" i="10"/>
  <c r="Q16" i="10"/>
  <c r="B182" i="11"/>
  <c r="I182" i="11" s="1"/>
  <c r="S182" i="11" s="1"/>
  <c r="T182" i="11" s="1"/>
  <c r="Q116" i="10"/>
  <c r="Q132" i="10"/>
  <c r="V143" i="10"/>
  <c r="B253" i="11"/>
  <c r="I253" i="11" s="1"/>
  <c r="V127" i="10"/>
  <c r="AC87" i="9"/>
  <c r="AC88" i="9" s="1"/>
  <c r="B296" i="11"/>
  <c r="I296" i="11" s="1"/>
  <c r="Z122" i="10"/>
  <c r="Z138" i="10"/>
  <c r="X87" i="9"/>
  <c r="X88" i="9" s="1"/>
  <c r="Q49" i="9"/>
  <c r="Q51" i="9"/>
  <c r="B176" i="11"/>
  <c r="I176" i="11" s="1"/>
  <c r="S176" i="11" s="1"/>
  <c r="T176" i="11" s="1"/>
  <c r="P122" i="10"/>
  <c r="P138" i="10"/>
  <c r="AA127" i="10"/>
  <c r="AA143" i="10"/>
  <c r="AC49" i="9"/>
  <c r="AC51" i="9"/>
  <c r="AC50" i="9"/>
  <c r="U122" i="10"/>
  <c r="B236" i="11"/>
  <c r="I236" i="11" s="1"/>
  <c r="U138" i="10"/>
  <c r="B189" i="11"/>
  <c r="I189" i="11" s="1"/>
  <c r="S189" i="11" s="1"/>
  <c r="T189" i="11" s="1"/>
  <c r="Q123" i="10"/>
  <c r="Q139" i="10"/>
  <c r="B225" i="11"/>
  <c r="I225" i="11" s="1"/>
  <c r="T123" i="10"/>
  <c r="T139" i="10"/>
  <c r="B284" i="11"/>
  <c r="I284" i="11" s="1"/>
  <c r="Y122" i="10"/>
  <c r="Y138" i="10"/>
  <c r="R84" i="9"/>
  <c r="X118" i="10"/>
  <c r="B268" i="11"/>
  <c r="I268" i="11" s="1"/>
  <c r="X134" i="10"/>
  <c r="B218" i="11"/>
  <c r="I218" i="11" s="1"/>
  <c r="T116" i="10"/>
  <c r="T16" i="10"/>
  <c r="T132" i="10"/>
  <c r="U119" i="10"/>
  <c r="B233" i="11"/>
  <c r="I233" i="11" s="1"/>
  <c r="U135" i="10"/>
  <c r="T125" i="10"/>
  <c r="B227" i="11"/>
  <c r="I227" i="11" s="1"/>
  <c r="T141" i="10"/>
  <c r="B292" i="11"/>
  <c r="I292" i="11" s="1"/>
  <c r="Z118" i="10"/>
  <c r="Z134" i="10"/>
  <c r="Y117" i="10"/>
  <c r="B279" i="11"/>
  <c r="I279" i="11" s="1"/>
  <c r="Y133" i="10"/>
  <c r="Z123" i="10"/>
  <c r="B297" i="11"/>
  <c r="I297" i="11" s="1"/>
  <c r="Z139" i="10"/>
  <c r="Q127" i="10"/>
  <c r="B193" i="11"/>
  <c r="I193" i="11" s="1"/>
  <c r="S193" i="11" s="1"/>
  <c r="T193" i="11" s="1"/>
  <c r="Q143" i="10"/>
  <c r="Y121" i="10"/>
  <c r="B283" i="11"/>
  <c r="I283" i="11" s="1"/>
  <c r="Y137" i="10"/>
  <c r="AA125" i="10"/>
  <c r="AA141" i="10"/>
  <c r="B202" i="11"/>
  <c r="I202" i="11" s="1"/>
  <c r="R124" i="10"/>
  <c r="R140" i="10"/>
  <c r="B231" i="11"/>
  <c r="I231" i="11" s="1"/>
  <c r="U117" i="10"/>
  <c r="U133" i="10"/>
  <c r="AA123" i="10"/>
  <c r="AA139" i="10"/>
  <c r="X127" i="10"/>
  <c r="B277" i="11"/>
  <c r="I277" i="11" s="1"/>
  <c r="X143" i="10"/>
  <c r="S124" i="10"/>
  <c r="B214" i="11"/>
  <c r="I214" i="11" s="1"/>
  <c r="S140" i="10"/>
  <c r="AA120" i="10"/>
  <c r="AA136" i="10"/>
  <c r="X140" i="10"/>
  <c r="B274" i="11"/>
  <c r="I274" i="11" s="1"/>
  <c r="X124" i="10"/>
  <c r="B186" i="11"/>
  <c r="I186" i="11" s="1"/>
  <c r="S186" i="11" s="1"/>
  <c r="T186" i="11" s="1"/>
  <c r="Q120" i="10"/>
  <c r="Q136" i="10"/>
  <c r="Q121" i="10"/>
  <c r="B187" i="11"/>
  <c r="I187" i="11" s="1"/>
  <c r="S187" i="11" s="1"/>
  <c r="T187" i="11" s="1"/>
  <c r="Q137" i="10"/>
  <c r="B188" i="11"/>
  <c r="I188" i="11" s="1"/>
  <c r="S188" i="11" s="1"/>
  <c r="T188" i="11" s="1"/>
  <c r="Q122" i="10"/>
  <c r="Q138" i="10"/>
  <c r="X84" i="9"/>
  <c r="U136" i="10"/>
  <c r="B234" i="11"/>
  <c r="I234" i="11" s="1"/>
  <c r="U120" i="10"/>
  <c r="B271" i="11"/>
  <c r="I271" i="11" s="1"/>
  <c r="X121" i="10"/>
  <c r="X137" i="10"/>
  <c r="B200" i="11"/>
  <c r="I200" i="11" s="1"/>
  <c r="R122" i="10"/>
  <c r="R138" i="10"/>
  <c r="B220" i="11"/>
  <c r="I220" i="11" s="1"/>
  <c r="T118" i="10"/>
  <c r="T134" i="10"/>
  <c r="S136" i="10"/>
  <c r="B210" i="11"/>
  <c r="I210" i="11" s="1"/>
  <c r="S120" i="10"/>
  <c r="Q50" i="9"/>
  <c r="B238" i="11"/>
  <c r="I238" i="11" s="1"/>
  <c r="U124" i="10"/>
  <c r="U140" i="10"/>
  <c r="T126" i="10"/>
  <c r="B228" i="11"/>
  <c r="I228" i="11" s="1"/>
  <c r="T142" i="10"/>
  <c r="B248" i="11"/>
  <c r="I248" i="11" s="1"/>
  <c r="V122" i="10"/>
  <c r="V138" i="10"/>
  <c r="W84" i="9"/>
  <c r="B196" i="11"/>
  <c r="I196" i="11" s="1"/>
  <c r="S196" i="11" s="1"/>
  <c r="T196" i="11" s="1"/>
  <c r="R118" i="10"/>
  <c r="R134" i="10"/>
  <c r="T135" i="10"/>
  <c r="T119" i="10"/>
  <c r="B221" i="11"/>
  <c r="I221" i="11" s="1"/>
  <c r="X116" i="10"/>
  <c r="B266" i="11"/>
  <c r="I266" i="11" s="1"/>
  <c r="X16" i="10"/>
  <c r="X132" i="10"/>
  <c r="B264" i="11"/>
  <c r="I264" i="11" s="1"/>
  <c r="W126" i="10"/>
  <c r="W142" i="10"/>
  <c r="AB51" i="9"/>
  <c r="AB49" i="9"/>
  <c r="AB50" i="9"/>
  <c r="X139" i="10"/>
  <c r="X123" i="10"/>
  <c r="B273" i="11"/>
  <c r="I273" i="11" s="1"/>
  <c r="B224" i="11"/>
  <c r="I224" i="11" s="1"/>
  <c r="T122" i="10"/>
  <c r="T138" i="10"/>
  <c r="Q117" i="10"/>
  <c r="B183" i="11"/>
  <c r="I183" i="11" s="1"/>
  <c r="S183" i="11" s="1"/>
  <c r="T183" i="11" s="1"/>
  <c r="Q133" i="10"/>
  <c r="AA117" i="10"/>
  <c r="AA133" i="10"/>
  <c r="R126" i="10"/>
  <c r="B204" i="11"/>
  <c r="I204" i="11" s="1"/>
  <c r="R142" i="10"/>
  <c r="B205" i="11"/>
  <c r="I205" i="11" s="1"/>
  <c r="R127" i="10"/>
  <c r="R143" i="10"/>
  <c r="Z137" i="10"/>
  <c r="B295" i="11"/>
  <c r="I295" i="11" s="1"/>
  <c r="Z121" i="10"/>
  <c r="B287" i="11"/>
  <c r="I287" i="11" s="1"/>
  <c r="Y125" i="10"/>
  <c r="Y141" i="10"/>
  <c r="T120" i="10"/>
  <c r="B222" i="11"/>
  <c r="I222" i="11" s="1"/>
  <c r="T136" i="10"/>
  <c r="W116" i="10"/>
  <c r="B254" i="11"/>
  <c r="I254" i="11" s="1"/>
  <c r="W16" i="10"/>
  <c r="W132" i="10"/>
  <c r="P125" i="10"/>
  <c r="B179" i="11"/>
  <c r="I179" i="11" s="1"/>
  <c r="S179" i="11" s="1"/>
  <c r="T179" i="11" s="1"/>
  <c r="P141" i="10"/>
  <c r="Q142" i="10"/>
  <c r="Q126" i="10"/>
  <c r="B192" i="11"/>
  <c r="I192" i="11" s="1"/>
  <c r="S192" i="11" s="1"/>
  <c r="T192" i="11" s="1"/>
  <c r="Q124" i="10"/>
  <c r="B190" i="11"/>
  <c r="I190" i="11" s="1"/>
  <c r="S190" i="11" s="1"/>
  <c r="T190" i="11" s="1"/>
  <c r="Q140" i="10"/>
  <c r="B229" i="11"/>
  <c r="I229" i="11" s="1"/>
  <c r="T127" i="10"/>
  <c r="T143" i="10"/>
  <c r="Z126" i="10"/>
  <c r="B300" i="11"/>
  <c r="I300" i="11" s="1"/>
  <c r="Z142" i="10"/>
  <c r="X136" i="10"/>
  <c r="B270" i="11"/>
  <c r="I270" i="11" s="1"/>
  <c r="X120" i="10"/>
  <c r="AA119" i="10"/>
  <c r="AA135" i="10"/>
  <c r="AA122" i="10"/>
  <c r="AA138" i="10"/>
  <c r="AB84" i="9"/>
  <c r="X128" i="10" l="1"/>
  <c r="X144" i="10"/>
  <c r="V128" i="10"/>
  <c r="AD59" i="9"/>
  <c r="T128" i="10"/>
  <c r="Y144" i="10"/>
  <c r="W128" i="10"/>
  <c r="U128" i="10"/>
  <c r="AA128" i="10"/>
  <c r="AD58" i="9"/>
  <c r="AD39" i="9"/>
  <c r="Y128" i="10"/>
  <c r="AD47" i="9"/>
  <c r="AD82" i="9"/>
  <c r="Z128" i="10"/>
  <c r="R144" i="10"/>
  <c r="P144" i="10"/>
  <c r="Z144" i="10"/>
  <c r="V144" i="10"/>
  <c r="T144" i="10"/>
  <c r="S128" i="10"/>
  <c r="R128" i="10"/>
  <c r="AD61" i="9"/>
  <c r="AD42" i="9"/>
  <c r="AD57" i="9"/>
  <c r="AD38" i="9"/>
  <c r="AD63" i="9"/>
  <c r="AD44" i="9"/>
  <c r="U144" i="10"/>
  <c r="Q144" i="10"/>
  <c r="P128" i="10"/>
  <c r="Q128" i="10"/>
  <c r="AA144" i="10"/>
  <c r="S144" i="10"/>
  <c r="W144" i="10"/>
  <c r="AD40" i="9"/>
  <c r="AD77" i="9" l="1"/>
  <c r="AE38" i="9"/>
  <c r="AE73" i="9"/>
  <c r="AF38" i="9"/>
  <c r="AF73" i="9"/>
  <c r="AE42" i="9"/>
  <c r="AE77" i="9"/>
  <c r="AD64" i="9"/>
  <c r="AD45" i="9"/>
  <c r="AD48" i="9"/>
  <c r="AD83" i="9"/>
  <c r="AE39" i="9"/>
  <c r="AE74" i="9"/>
  <c r="AF42" i="9"/>
  <c r="AF77" i="9"/>
  <c r="AD74" i="9"/>
  <c r="AF43" i="9"/>
  <c r="AF78" i="9"/>
  <c r="AE48" i="9"/>
  <c r="AE83" i="9"/>
  <c r="AD62" i="9"/>
  <c r="AD43" i="9"/>
  <c r="AD46" i="9"/>
  <c r="AD81" i="9"/>
  <c r="AD79" i="9"/>
  <c r="AD60" i="9"/>
  <c r="AD41" i="9"/>
  <c r="AD73" i="9"/>
  <c r="AE45" i="9"/>
  <c r="AE80" i="9"/>
  <c r="AE43" i="9"/>
  <c r="AE78" i="9"/>
  <c r="AD56" i="9"/>
  <c r="AD75" i="9"/>
  <c r="AD72" i="9" l="1"/>
  <c r="AD68" i="9"/>
  <c r="AE41" i="9"/>
  <c r="AE76" i="9"/>
  <c r="AE44" i="9"/>
  <c r="AE79" i="9"/>
  <c r="AD76" i="9"/>
  <c r="AF48" i="9"/>
  <c r="AF83" i="9"/>
  <c r="AE37" i="9"/>
  <c r="AE32" i="9"/>
  <c r="AE86" i="9" s="1"/>
  <c r="AE87" i="9" s="1"/>
  <c r="AE88" i="9" s="1"/>
  <c r="AE72" i="9"/>
  <c r="AD80" i="9"/>
  <c r="AF44" i="9"/>
  <c r="AF79" i="9"/>
  <c r="AF47" i="9"/>
  <c r="AF82" i="9"/>
  <c r="AD32" i="9"/>
  <c r="AD86" i="9" s="1"/>
  <c r="AD37" i="9"/>
  <c r="AE40" i="9"/>
  <c r="AE75" i="9"/>
  <c r="AE47" i="9"/>
  <c r="AE82" i="9"/>
  <c r="AF39" i="9"/>
  <c r="AF74" i="9"/>
  <c r="AF45" i="9"/>
  <c r="AF80" i="9"/>
  <c r="AD78" i="9"/>
  <c r="AF37" i="9"/>
  <c r="AF72" i="9"/>
  <c r="AE84" i="9" l="1"/>
  <c r="AD51" i="9"/>
  <c r="AD49" i="9"/>
  <c r="AD50" i="9"/>
  <c r="AF41" i="9"/>
  <c r="AF76" i="9"/>
  <c r="AE51" i="9"/>
  <c r="AE49" i="9"/>
  <c r="AE50" i="9"/>
  <c r="AF40" i="9"/>
  <c r="AF75" i="9"/>
  <c r="AF32" i="9"/>
  <c r="AF86" i="9" s="1"/>
  <c r="AF87" i="9" s="1"/>
  <c r="AF88" i="9" s="1"/>
  <c r="AF50" i="9"/>
  <c r="AF49" i="9"/>
  <c r="AF51" i="9"/>
  <c r="AD87" i="9"/>
  <c r="AD88" i="9" s="1"/>
  <c r="AD84" i="9"/>
  <c r="AF84" i="9" l="1"/>
</calcChain>
</file>

<file path=xl/sharedStrings.xml><?xml version="1.0" encoding="utf-8"?>
<sst xmlns="http://schemas.openxmlformats.org/spreadsheetml/2006/main" count="851" uniqueCount="150">
  <si>
    <t>Biodiesel</t>
  </si>
  <si>
    <t>Renewable Diesel</t>
  </si>
  <si>
    <t>Total Domestic</t>
  </si>
  <si>
    <t>QTR/QTR Change</t>
  </si>
  <si>
    <t>YR/YR Change</t>
  </si>
  <si>
    <t>EPA Domestic Production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</si>
  <si>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</si>
  <si>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</si>
  <si>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</si>
  <si>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</si>
  <si>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</si>
  <si>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</si>
  <si>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</si>
  <si>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</si>
  <si>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</si>
  <si>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</si>
  <si>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</si>
  <si>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</si>
  <si>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Total</t>
  </si>
  <si>
    <t>Feedstock Use</t>
  </si>
  <si>
    <t>Average Feedstock Use per EPA Gallon</t>
  </si>
  <si>
    <t>5-Year Average</t>
  </si>
  <si>
    <t>5-Year Max</t>
  </si>
  <si>
    <t>5-Year Min</t>
  </si>
  <si>
    <t xml:space="preserve">  Average</t>
  </si>
  <si>
    <t xml:space="preserve">  Maximum</t>
  </si>
  <si>
    <t xml:space="preserve">  Minimum</t>
  </si>
  <si>
    <t>Soybean Oil Feedstock Use</t>
  </si>
  <si>
    <t>Soybean Oil Feedstock Use as Percent of Total</t>
  </si>
  <si>
    <t>20% of Total Feedstocks</t>
  </si>
  <si>
    <t>Feedstocks needed to replace SBO</t>
  </si>
  <si>
    <t>Gallons of production lost</t>
  </si>
  <si>
    <t>EIA Production</t>
  </si>
  <si>
    <t>EIA Implied Yields</t>
  </si>
  <si>
    <t>Non-Balance Sheet Feedstocks</t>
  </si>
  <si>
    <t>Used in wldbiodiesel to calculate total feedstock use.</t>
  </si>
  <si>
    <t>Includes the following feedstock totals reported by the EIA: cottonseed oil, palm oil, sunflower oil, lard, and other biofuel feedstocks (nesoi)</t>
  </si>
  <si>
    <t>Includes the following feedstokc</t>
  </si>
  <si>
    <t>U.S. DOMESTIC BIOMASS-BASED DIESEL FEEDSTOCK USE (million pounds)</t>
  </si>
  <si>
    <t>Mo/Mo</t>
  </si>
  <si>
    <t>Yr/Yr</t>
  </si>
  <si>
    <t>Canola Oil Feedstock Use</t>
  </si>
  <si>
    <t>Distillers' Corn Oil Feedstock Use</t>
  </si>
  <si>
    <t>Inedible Tallow Feedstock Use</t>
  </si>
  <si>
    <t>Yellow Grease/Used Cooking Oil Feedstock Use</t>
  </si>
  <si>
    <t>Choice White Grease Feedstock Use</t>
  </si>
  <si>
    <t>Poultry Fat Feedstock Use</t>
  </si>
  <si>
    <t>Soybean Oil Percent</t>
  </si>
  <si>
    <t>5-Yr Avg</t>
  </si>
  <si>
    <t>Total Feedstock Use</t>
  </si>
  <si>
    <t>Vegetable Oil Percent</t>
  </si>
  <si>
    <t>Soybean Oil</t>
  </si>
  <si>
    <t>Canola Oil</t>
  </si>
  <si>
    <t>Distillers' Corn Oil</t>
  </si>
  <si>
    <t>Inedible Tallow</t>
  </si>
  <si>
    <t>Yellow Grease/Used Cooking Oil</t>
  </si>
  <si>
    <t>Choice White Grease</t>
  </si>
  <si>
    <t>Poultry Fat</t>
  </si>
  <si>
    <t>Total</t>
  </si>
  <si>
    <t>Veg Oils</t>
  </si>
  <si>
    <t>Fats and Greases</t>
  </si>
  <si>
    <t>Biodiesel Profit</t>
  </si>
  <si>
    <t>Renewable Diesel Profit</t>
  </si>
  <si>
    <t>EMTS - Domestic Biodiesel</t>
  </si>
  <si>
    <t>Daily Average Production</t>
  </si>
  <si>
    <t>Yr/Yr Change</t>
  </si>
  <si>
    <t>5-Yr Average</t>
  </si>
  <si>
    <t>Delta from 5-Yr Avg</t>
  </si>
  <si>
    <t>Jacobsen Exp</t>
  </si>
  <si>
    <t>Delta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</si>
  <si>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</si>
  <si>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</si>
  <si>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</si>
  <si>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</si>
  <si>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</si>
  <si>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</si>
  <si>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</si>
  <si>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</si>
  <si>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</si>
  <si>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</si>
  <si>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</si>
  <si>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EIA</t>
  </si>
  <si>
    <t>Percent of EIA Biofuel Production</t>
  </si>
  <si>
    <t>Combined Domestic Production</t>
  </si>
  <si>
    <t>SBO per gallon</t>
  </si>
  <si>
    <t>FM Biodiesel Production Estimates</t>
  </si>
  <si>
    <t>Delta to EIA data</t>
  </si>
  <si>
    <t>2-Yr Avg</t>
  </si>
  <si>
    <t>Mo/Mo Change</t>
  </si>
  <si>
    <t>Avg Mo/Mo Delta</t>
  </si>
  <si>
    <t>EMTS Delta</t>
  </si>
  <si>
    <t>Avg EMTS Delta</t>
  </si>
  <si>
    <t>Qtr/Qtr</t>
  </si>
  <si>
    <t>Q1</t>
  </si>
  <si>
    <t>Q2</t>
  </si>
  <si>
    <t>Q3</t>
  </si>
  <si>
    <t>Q4</t>
  </si>
  <si>
    <t>EMTS - All Biodiesel Production</t>
  </si>
  <si>
    <t>Before 5% cut</t>
  </si>
  <si>
    <t>Qtr/Qtr Change</t>
  </si>
  <si>
    <t>EMTS - Quarterly Domestic Biodiesel Production</t>
  </si>
  <si>
    <t>LCFS - Biodiesel Production</t>
  </si>
  <si>
    <t>LCFS - Biodiesel Forecast</t>
  </si>
  <si>
    <t>2019 Forecast</t>
  </si>
  <si>
    <t>2020 Forecast</t>
  </si>
  <si>
    <t>EMTS - Biodiesel Domestic and Imports</t>
  </si>
  <si>
    <t>Quarterly LCFS Comp</t>
  </si>
  <si>
    <t>LCFS Forecast</t>
  </si>
  <si>
    <t>EMTS Biodiesel Imports</t>
  </si>
  <si>
    <t>Mo/Mo 2024</t>
  </si>
  <si>
    <t>Yr/Yr 23/24</t>
  </si>
  <si>
    <t>Percent</t>
  </si>
  <si>
    <t>Cumulative</t>
  </si>
  <si>
    <t>5-Yr Avg (19-23)</t>
  </si>
  <si>
    <t>Diff 24 to Avg</t>
  </si>
  <si>
    <t>EMTS Domestic Biodiesel Production as Percent of Total</t>
  </si>
  <si>
    <t>EMTS BBD Imports</t>
  </si>
  <si>
    <t>Domestic Production</t>
  </si>
  <si>
    <t>Import %</t>
  </si>
  <si>
    <t>BBD Domestic Supply</t>
  </si>
  <si>
    <t>(gallons)</t>
  </si>
  <si>
    <t>Average Daily BBD Supply</t>
  </si>
  <si>
    <t>(gallons per day)</t>
  </si>
  <si>
    <t>Change in Daily Supply</t>
  </si>
  <si>
    <t>Domestic BBD Production</t>
  </si>
  <si>
    <t>EMTS - Renewable Diesel Supply</t>
  </si>
  <si>
    <t>Year-over-Year</t>
  </si>
  <si>
    <t>Month-over-Month</t>
  </si>
  <si>
    <t>Change from Expectations</t>
  </si>
  <si>
    <t>Avg Daily Prod</t>
  </si>
  <si>
    <t>5-Yr Avg D Prod</t>
  </si>
  <si>
    <t>Delta to 5-Yr</t>
  </si>
  <si>
    <t>EMTS - Quarterly Renewable Diesel Supply</t>
  </si>
  <si>
    <t>LCFS - Quarterly Renewable Diesel Supply</t>
  </si>
  <si>
    <t>LCFS - Renewable Diesel Forecast</t>
  </si>
  <si>
    <t>Bob</t>
  </si>
  <si>
    <t>Domestic Renewable Diesel Production</t>
  </si>
  <si>
    <t>Average Daily</t>
  </si>
  <si>
    <t>Domestic RD Production less the Texmark Facility SAF Output</t>
  </si>
  <si>
    <t>Foreign Generation</t>
  </si>
  <si>
    <t>Yield</t>
  </si>
  <si>
    <t>EMTS - Sustainable Aviation Fuel Supply</t>
  </si>
  <si>
    <t>EMTS - Domestic Sustainable Aviavation Fuel Production - D4</t>
  </si>
  <si>
    <t>EMTS - Domestic Sustainable Aviavation Fuel Production - D4 RD EV 1.6 - Texmark Facility</t>
  </si>
  <si>
    <t>U.S. Renewable Plant and Oxygenate Plant Net Production of Renewable Fuels Except Fuel Ethanol</t>
  </si>
  <si>
    <t>Monthly Renewable Plant and Oxygenate Plant Net production of Renewable Fuels Except Fuel Ethanol</t>
  </si>
  <si>
    <t>RD + Bio Prod</t>
  </si>
  <si>
    <t>EIA - EMTS Delta</t>
  </si>
  <si>
    <t>EIA New Format Report - Monthly Biomass-Based Diesel Production Report (gallons)</t>
  </si>
  <si>
    <t>EIA Monthly Biodiesel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</si>
</sst>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_);[Red]\(0.00\)"/>
    <numFmt numFmtId="166" formatCode="[$-409]mmm\-yy;@"/>
    <numFmt numFmtId="167" formatCode="#,##0.0_);[Red]\(#,##0.0\)"/>
    <numFmt numFmtId="168" formatCode="#,##0.000_);[Red]\(#,##0.000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8"/>
      <color rgb="FFFFFFFF"/>
      <name val="Avenir Next LT Pro Demi"/>
      <family val="2"/>
    </font>
    <font>
      <sz val="8"/>
      <color rgb="FFFFFFFF"/>
      <name val="Avenir Next LT Pro Demi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u/>
      <sz val="8"/>
      <color theme="1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name val="Avenir Next LT Pro Demi"/>
      <family val="2"/>
    </font>
    <font>
      <b/>
      <sz val="8"/>
      <name val="Avenir Next LT Pro Demi"/>
      <family val="2"/>
    </font>
    <font>
      <b/>
      <sz val="12"/>
      <color rgb="FFECECEC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rgb="FF8C8C8C"/>
      </top>
      <bottom style="thick">
        <color rgb="FF8C8C8C"/>
      </bottom>
      <diagonal/>
    </border>
    <border>
      <left/>
      <right/>
      <top style="thin">
        <color rgb="FF6F0791"/>
      </top>
      <bottom/>
      <diagonal/>
    </border>
    <border>
      <left/>
      <right/>
      <top style="thick">
        <color rgb="FF8C8C8C"/>
      </top>
      <bottom/>
      <diagonal/>
    </border>
    <border>
      <left/>
      <right/>
      <top style="thick">
        <color rgb="FF6F0791"/>
      </top>
      <bottom/>
      <diagonal/>
    </border>
    <border>
      <left/>
      <right/>
      <top/>
      <bottom style="medium">
        <color rgb="FF8C8C8C"/>
      </bottom>
      <diagonal/>
    </border>
    <border>
      <left/>
      <right/>
      <top style="thin">
        <color rgb="FF8C8C8C"/>
      </top>
      <bottom style="thick">
        <color rgb="FF6F0791"/>
      </bottom>
      <diagonal/>
    </border>
    <border>
      <left/>
      <right/>
      <top style="medium">
        <color rgb="FF6F079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3">
    <xf numFmtId="0" fontId="0" fillId="0" borderId="0" xfId="0"/>
    <xf numFmtId="14" fontId="0" fillId="0" borderId="0" xfId="0" applyNumberFormat="1"/>
    <xf numFmtId="38" fontId="0" fillId="0" borderId="0" xfId="0" applyNumberFormat="1"/>
    <xf numFmtId="9" fontId="0" fillId="0" borderId="0" xfId="1" applyFont="1"/>
    <xf numFmtId="164" fontId="0" fillId="0" borderId="0" xfId="1" applyNumberFormat="1" applyFont="1"/>
    <xf numFmtId="9" fontId="1" fillId="0" borderId="0" xfId="1" applyFont="1"/>
    <xf numFmtId="164" fontId="1" fillId="0" borderId="0" xfId="1" applyNumberFormat="1" applyFont="1"/>
    <xf numFmtId="38" fontId="2" fillId="0" borderId="0" xfId="0" applyNumberFormat="1" applyFont="1"/>
    <xf numFmtId="9" fontId="2" fillId="0" borderId="0" xfId="1" applyFont="1"/>
    <xf numFmtId="164" fontId="2" fillId="0" borderId="0" xfId="1" applyNumberFormat="1" applyFont="1"/>
    <xf numFmtId="10" fontId="0" fillId="0" borderId="0" xfId="1" applyNumberFormat="1" applyFont="1"/>
    <xf numFmtId="164" fontId="3" fillId="0" borderId="0" xfId="1" applyNumberFormat="1" applyFont="1"/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/>
    <xf numFmtId="38" fontId="4" fillId="0" borderId="0" xfId="0" applyNumberFormat="1" applyFont="1"/>
    <xf numFmtId="164" fontId="5" fillId="0" borderId="0" xfId="1" applyNumberFormat="1" applyFont="1"/>
    <xf numFmtId="0" fontId="2" fillId="0" borderId="0" xfId="0" applyFont="1"/>
    <xf numFmtId="164" fontId="6" fillId="0" borderId="0" xfId="1" applyNumberFormat="1" applyFont="1"/>
    <xf numFmtId="38" fontId="7" fillId="0" borderId="0" xfId="0" applyNumberFormat="1" applyFont="1"/>
    <xf numFmtId="40" fontId="0" fillId="0" borderId="0" xfId="0" applyNumberFormat="1"/>
    <xf numFmtId="0" fontId="3" fillId="0" borderId="0" xfId="0" applyFont="1"/>
    <xf numFmtId="38" fontId="3" fillId="0" borderId="0" xfId="0" applyNumberFormat="1" applyFont="1"/>
    <xf numFmtId="38" fontId="8" fillId="0" borderId="0" xfId="0" applyNumberFormat="1" applyFont="1"/>
    <xf numFmtId="168" fontId="3" fillId="0" borderId="0" xfId="0" applyNumberFormat="1" applyFont="1"/>
    <xf numFmtId="164" fontId="8" fillId="0" borderId="0" xfId="1" applyNumberFormat="1" applyFont="1"/>
    <xf numFmtId="168" fontId="8" fillId="0" borderId="0" xfId="0" applyNumberFormat="1" applyFont="1"/>
    <xf numFmtId="9" fontId="8" fillId="0" borderId="0" xfId="1" applyFont="1"/>
    <xf numFmtId="0" fontId="8" fillId="0" borderId="0" xfId="0" applyFont="1"/>
    <xf numFmtId="9" fontId="9" fillId="0" borderId="0" xfId="1" applyFont="1"/>
    <xf numFmtId="9" fontId="3" fillId="0" borderId="0" xfId="1" applyFont="1"/>
    <xf numFmtId="0" fontId="10" fillId="2" borderId="4" xfId="0" applyFont="1" applyFill="1" applyBorder="1"/>
    <xf numFmtId="0" fontId="11" fillId="2" borderId="4" xfId="0" applyFont="1" applyFill="1" applyBorder="1"/>
    <xf numFmtId="0" fontId="12" fillId="0" borderId="0" xfId="0" applyFont="1"/>
    <xf numFmtId="0" fontId="12" fillId="0" borderId="5" xfId="0" applyFont="1" applyBorder="1"/>
    <xf numFmtId="0" fontId="13" fillId="0" borderId="5" xfId="0" applyFont="1" applyBorder="1" applyAlignment="1">
      <alignment horizontal="center"/>
    </xf>
    <xf numFmtId="38" fontId="12" fillId="0" borderId="0" xfId="0" applyNumberFormat="1" applyFont="1"/>
    <xf numFmtId="38" fontId="13" fillId="0" borderId="0" xfId="0" applyNumberFormat="1" applyFont="1"/>
    <xf numFmtId="0" fontId="12" fillId="0" borderId="6" xfId="0" applyFont="1" applyBorder="1"/>
    <xf numFmtId="38" fontId="12" fillId="0" borderId="6" xfId="0" applyNumberFormat="1" applyFont="1" applyBorder="1"/>
    <xf numFmtId="38" fontId="13" fillId="0" borderId="6" xfId="0" applyNumberFormat="1" applyFont="1" applyBorder="1"/>
    <xf numFmtId="0" fontId="12" fillId="0" borderId="4" xfId="0" applyFont="1" applyBorder="1"/>
    <xf numFmtId="0" fontId="15" fillId="0" borderId="0" xfId="0" applyFont="1"/>
    <xf numFmtId="0" fontId="16" fillId="0" borderId="0" xfId="2" applyFont="1"/>
    <xf numFmtId="3" fontId="15" fillId="0" borderId="0" xfId="0" applyNumberFormat="1" applyFont="1"/>
    <xf numFmtId="3" fontId="17" fillId="0" borderId="0" xfId="0" applyNumberFormat="1" applyFont="1"/>
    <xf numFmtId="164" fontId="15" fillId="0" borderId="0" xfId="1" applyNumberFormat="1" applyFont="1"/>
    <xf numFmtId="3" fontId="18" fillId="0" borderId="0" xfId="0" applyNumberFormat="1" applyFont="1"/>
    <xf numFmtId="38" fontId="15" fillId="0" borderId="0" xfId="0" applyNumberFormat="1" applyFont="1"/>
    <xf numFmtId="3" fontId="19" fillId="0" borderId="0" xfId="0" applyNumberFormat="1" applyFont="1"/>
    <xf numFmtId="3" fontId="20" fillId="0" borderId="0" xfId="0" applyNumberFormat="1" applyFont="1"/>
    <xf numFmtId="38" fontId="20" fillId="0" borderId="0" xfId="0" applyNumberFormat="1" applyFont="1"/>
    <xf numFmtId="0" fontId="15" fillId="3" borderId="0" xfId="0" applyFont="1" applyFill="1"/>
    <xf numFmtId="0" fontId="21" fillId="3" borderId="0" xfId="0" applyFont="1" applyFill="1"/>
    <xf numFmtId="0" fontId="20" fillId="3" borderId="0" xfId="0" applyFont="1" applyFill="1" applyAlignment="1">
      <alignment horizontal="center"/>
    </xf>
    <xf numFmtId="0" fontId="15" fillId="3" borderId="7" xfId="0" applyFont="1" applyFill="1" applyBorder="1"/>
    <xf numFmtId="38" fontId="15" fillId="3" borderId="7" xfId="0" applyNumberFormat="1" applyFont="1" applyFill="1" applyBorder="1"/>
    <xf numFmtId="38" fontId="15" fillId="3" borderId="0" xfId="0" applyNumberFormat="1" applyFont="1" applyFill="1"/>
    <xf numFmtId="38" fontId="20" fillId="3" borderId="0" xfId="0" applyNumberFormat="1" applyFont="1" applyFill="1"/>
    <xf numFmtId="0" fontId="15" fillId="3" borderId="2" xfId="0" applyFont="1" applyFill="1" applyBorder="1"/>
    <xf numFmtId="38" fontId="15" fillId="3" borderId="2" xfId="0" applyNumberFormat="1" applyFont="1" applyFill="1" applyBorder="1"/>
    <xf numFmtId="38" fontId="20" fillId="3" borderId="2" xfId="0" applyNumberFormat="1" applyFont="1" applyFill="1" applyBorder="1"/>
    <xf numFmtId="0" fontId="13" fillId="0" borderId="0" xfId="0" applyFont="1"/>
    <xf numFmtId="0" fontId="12" fillId="0" borderId="1" xfId="0" applyFont="1" applyBorder="1"/>
    <xf numFmtId="0" fontId="13" fillId="0" borderId="1" xfId="0" applyFont="1" applyBorder="1"/>
    <xf numFmtId="0" fontId="13" fillId="0" borderId="2" xfId="0" applyFont="1" applyBorder="1"/>
    <xf numFmtId="38" fontId="12" fillId="0" borderId="2" xfId="0" applyNumberFormat="1" applyFont="1" applyBorder="1"/>
    <xf numFmtId="38" fontId="13" fillId="0" borderId="2" xfId="0" applyNumberFormat="1" applyFont="1" applyBorder="1"/>
    <xf numFmtId="0" fontId="13" fillId="0" borderId="3" xfId="0" applyFont="1" applyBorder="1"/>
    <xf numFmtId="2" fontId="12" fillId="0" borderId="3" xfId="0" applyNumberFormat="1" applyFont="1" applyBorder="1"/>
    <xf numFmtId="2" fontId="13" fillId="0" borderId="3" xfId="0" applyNumberFormat="1" applyFont="1" applyBorder="1"/>
    <xf numFmtId="164" fontId="12" fillId="0" borderId="0" xfId="1" applyNumberFormat="1" applyFont="1"/>
    <xf numFmtId="164" fontId="13" fillId="0" borderId="0" xfId="1" applyNumberFormat="1" applyFont="1"/>
    <xf numFmtId="164" fontId="12" fillId="0" borderId="0" xfId="0" applyNumberFormat="1" applyFont="1"/>
    <xf numFmtId="164" fontId="13" fillId="0" borderId="0" xfId="0" applyNumberFormat="1" applyFont="1"/>
    <xf numFmtId="165" fontId="12" fillId="0" borderId="0" xfId="0" applyNumberFormat="1" applyFont="1"/>
    <xf numFmtId="165" fontId="13" fillId="0" borderId="0" xfId="0" applyNumberFormat="1" applyFont="1"/>
    <xf numFmtId="165" fontId="12" fillId="0" borderId="2" xfId="0" applyNumberFormat="1" applyFont="1" applyBorder="1"/>
    <xf numFmtId="165" fontId="13" fillId="0" borderId="2" xfId="0" applyNumberFormat="1" applyFont="1" applyBorder="1"/>
    <xf numFmtId="165" fontId="12" fillId="0" borderId="3" xfId="0" applyNumberFormat="1" applyFont="1" applyBorder="1"/>
    <xf numFmtId="165" fontId="13" fillId="0" borderId="3" xfId="0" applyNumberFormat="1" applyFont="1" applyBorder="1"/>
    <xf numFmtId="164" fontId="13" fillId="0" borderId="2" xfId="0" applyNumberFormat="1" applyFont="1" applyBorder="1"/>
    <xf numFmtId="164" fontId="12" fillId="0" borderId="2" xfId="0" applyNumberFormat="1" applyFont="1" applyBorder="1"/>
    <xf numFmtId="0" fontId="12" fillId="0" borderId="0" xfId="0" applyFont="1" applyAlignment="1">
      <alignment horizontal="right"/>
    </xf>
    <xf numFmtId="168" fontId="12" fillId="0" borderId="0" xfId="0" applyNumberFormat="1" applyFont="1"/>
    <xf numFmtId="168" fontId="13" fillId="0" borderId="0" xfId="0" applyNumberFormat="1" applyFont="1"/>
    <xf numFmtId="9" fontId="12" fillId="0" borderId="0" xfId="1" applyFont="1"/>
    <xf numFmtId="9" fontId="13" fillId="0" borderId="0" xfId="1" applyFont="1"/>
    <xf numFmtId="167" fontId="12" fillId="0" borderId="0" xfId="0" applyNumberFormat="1" applyFont="1"/>
    <xf numFmtId="167" fontId="22" fillId="0" borderId="0" xfId="0" applyNumberFormat="1" applyFont="1"/>
    <xf numFmtId="167" fontId="23" fillId="0" borderId="0" xfId="0" applyNumberFormat="1" applyFont="1"/>
    <xf numFmtId="9" fontId="12" fillId="0" borderId="0" xfId="0" applyNumberFormat="1" applyFont="1"/>
    <xf numFmtId="9" fontId="13" fillId="0" borderId="0" xfId="0" applyNumberFormat="1" applyFont="1"/>
    <xf numFmtId="38" fontId="2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38" fontId="13" fillId="0" borderId="0" xfId="0" applyNumberFormat="1" applyFont="1" applyAlignment="1">
      <alignment horizontal="center" vertical="center"/>
    </xf>
    <xf numFmtId="38" fontId="12" fillId="0" borderId="0" xfId="0" applyNumberFormat="1" applyFont="1" applyAlignment="1">
      <alignment horizontal="right"/>
    </xf>
    <xf numFmtId="38" fontId="13" fillId="0" borderId="0" xfId="0" applyNumberFormat="1" applyFont="1" applyAlignment="1">
      <alignment horizontal="right"/>
    </xf>
    <xf numFmtId="0" fontId="24" fillId="2" borderId="0" xfId="0" applyFont="1" applyFill="1"/>
    <xf numFmtId="0" fontId="12" fillId="2" borderId="0" xfId="0" applyFont="1" applyFill="1"/>
    <xf numFmtId="9" fontId="12" fillId="0" borderId="2" xfId="1" applyFont="1" applyBorder="1"/>
    <xf numFmtId="0" fontId="3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0.xml"/><Relationship Id="rId20" Type="http://schemas.openxmlformats.org/officeDocument/2006/relationships/externalLink" Target="externalLinks/externalLink4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24" Type="http://schemas.openxmlformats.org/officeDocument/2006/relationships/theme" Target="theme/theme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9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4.xml"/><Relationship Id="rId19" Type="http://schemas.openxmlformats.org/officeDocument/2006/relationships/externalLink" Target="externalLinks/externalLink3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latin typeface="Arial" panose="020B0604020202020204" pitchFamily="34" charset="0"/>
                <a:cs typeface="Arial" panose="020B0604020202020204" pitchFamily="34" charset="0"/>
              </a:rPr>
              <a:t>Domestic Biomass-Based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3637357830271"/>
          <c:y val="0.15638321363672272"/>
          <c:w val="0.8681629119276757"/>
          <c:h val="0.60667356772639214"/>
        </c:manualLayout>
      </c:layout>
      <c:lineChart>
        <c:grouping val="standard"/>
        <c:varyColors val="0"/>
        <c:ser>
          <c:idx val="0"/>
          <c:order val="0"/>
          <c:tx>
            <c:strRef>
              <c:f>'Dom Production'!$B$1</c:f>
              <c:strCache>
                <c:ptCount val="1"/>
                <c:pt idx="0">
                  <c:v>Biodiesel</c:v>
                </c:pt>
              </c:strCache>
            </c:strRef>
          </c:tx>
          <c:spPr>
            <a:ln w="38100" cap="rnd">
              <a:solidFill>
                <a:srgbClr val="32323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43-4E8F-A7AC-5CCB6C51C7EB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43-4E8F-A7AC-5CCB6C51C7EB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43-4E8F-A7AC-5CCB6C51C7EB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43-4E8F-A7AC-5CCB6C51C7EB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43-4E8F-A7AC-5CCB6C51C7EB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43-4E8F-A7AC-5CCB6C51C7EB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43-4E8F-A7AC-5CCB6C51C7EB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43-4E8F-A7AC-5CCB6C51C7EB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43-4E8F-A7AC-5CCB6C51C7EB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43-4E8F-A7AC-5CCB6C51C7EB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43-4E8F-A7AC-5CCB6C51C7EB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343-4E8F-A7AC-5CCB6C51C7EB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343-4E8F-A7AC-5CCB6C51C7EB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8343-4E8F-A7AC-5CCB6C51C7EB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8343-4E8F-A7AC-5CCB6C51C7EB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8343-4E8F-A7AC-5CCB6C51C7EB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8343-4E8F-A7AC-5CCB6C51C7EB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8343-4E8F-A7AC-5CCB6C51C7EB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8343-4E8F-A7AC-5CCB6C51C7EB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8343-4E8F-A7AC-5CCB6C51C7EB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8343-4E8F-A7AC-5CCB6C51C7EB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8343-4E8F-A7AC-5CCB6C51C7EB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8343-4E8F-A7AC-5CCB6C51C7EB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8343-4E8F-A7AC-5CCB6C51C7EB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8343-4E8F-A7AC-5CCB6C51C7EB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8343-4E8F-A7AC-5CCB6C51C7EB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8343-4E8F-A7AC-5CCB6C51C7EB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8343-4E8F-A7AC-5CCB6C51C7EB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8343-4E8F-A7AC-5CCB6C51C7EB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8343-4E8F-A7AC-5CCB6C51C7EB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8343-4E8F-A7AC-5CCB6C51C7EB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8343-4E8F-A7AC-5CCB6C51C7EB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8343-4E8F-A7AC-5CCB6C51C7EB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8343-4E8F-A7AC-5CCB6C51C7EB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8343-4E8F-A7AC-5CCB6C51C7EB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8343-4E8F-A7AC-5CCB6C51C7EB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8343-4E8F-A7AC-5CCB6C51C7EB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8343-4E8F-A7AC-5CCB6C51C7EB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8343-4E8F-A7AC-5CCB6C51C7EB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8343-4E8F-A7AC-5CCB6C51C7EB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8343-4E8F-A7AC-5CCB6C51C7EB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8343-4E8F-A7AC-5CCB6C51C7EB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8343-4E8F-A7AC-5CCB6C51C7EB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8100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8343-4E8F-A7AC-5CCB6C51C7EB}"/>
              </c:ext>
            </c:extLst>
          </c:dPt>
          <c:cat>
            <c:numRef>
              <c:f>'Dom Production'!$A$2:$A$73</c:f>
              <c:numCache>
                <c:formatCode>m/d/yyyy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'Dom Production'!$B$2:$B$73</c:f>
              <c:numCache>
                <c:formatCode>#,##0_);[Red]\(#,##0\)</c:formatCode>
                <c:ptCount val="72"/>
                <c:pt idx="0">
                  <c:v>118403817</c:v>
                </c:pt>
                <c:pt idx="1">
                  <c:v>128033003</c:v>
                </c:pt>
                <c:pt idx="2">
                  <c:v>150092678</c:v>
                </c:pt>
                <c:pt idx="3">
                  <c:v>149356126</c:v>
                </c:pt>
                <c:pt idx="4">
                  <c:v>143174223</c:v>
                </c:pt>
                <c:pt idx="5">
                  <c:v>165519330</c:v>
                </c:pt>
                <c:pt idx="6">
                  <c:v>162738265</c:v>
                </c:pt>
                <c:pt idx="7">
                  <c:v>171493499</c:v>
                </c:pt>
                <c:pt idx="8">
                  <c:v>167865219</c:v>
                </c:pt>
                <c:pt idx="9">
                  <c:v>149489760</c:v>
                </c:pt>
                <c:pt idx="10">
                  <c:v>142828517</c:v>
                </c:pt>
                <c:pt idx="11">
                  <c:v>175881221</c:v>
                </c:pt>
                <c:pt idx="12">
                  <c:v>107302585</c:v>
                </c:pt>
                <c:pt idx="13">
                  <c:v>109881050</c:v>
                </c:pt>
                <c:pt idx="14">
                  <c:v>150338931</c:v>
                </c:pt>
                <c:pt idx="15">
                  <c:v>144396494</c:v>
                </c:pt>
                <c:pt idx="16">
                  <c:v>150501950</c:v>
                </c:pt>
                <c:pt idx="17">
                  <c:v>154457118</c:v>
                </c:pt>
                <c:pt idx="18">
                  <c:v>146890338</c:v>
                </c:pt>
                <c:pt idx="19">
                  <c:v>154582245</c:v>
                </c:pt>
                <c:pt idx="20">
                  <c:v>139934774</c:v>
                </c:pt>
                <c:pt idx="21">
                  <c:v>139778878</c:v>
                </c:pt>
                <c:pt idx="22">
                  <c:v>140856752</c:v>
                </c:pt>
                <c:pt idx="23">
                  <c:v>165708240</c:v>
                </c:pt>
                <c:pt idx="24">
                  <c:v>90715015</c:v>
                </c:pt>
                <c:pt idx="25">
                  <c:v>110442650</c:v>
                </c:pt>
                <c:pt idx="26">
                  <c:v>135869438</c:v>
                </c:pt>
                <c:pt idx="27">
                  <c:v>144286382</c:v>
                </c:pt>
                <c:pt idx="28">
                  <c:v>139875243</c:v>
                </c:pt>
                <c:pt idx="29">
                  <c:v>142855221</c:v>
                </c:pt>
                <c:pt idx="30">
                  <c:v>137545866</c:v>
                </c:pt>
                <c:pt idx="31">
                  <c:v>151833118</c:v>
                </c:pt>
                <c:pt idx="32">
                  <c:v>141860945</c:v>
                </c:pt>
                <c:pt idx="33">
                  <c:v>138040230</c:v>
                </c:pt>
                <c:pt idx="34">
                  <c:v>141295576</c:v>
                </c:pt>
                <c:pt idx="35">
                  <c:v>145591401</c:v>
                </c:pt>
                <c:pt idx="36">
                  <c:v>119548309</c:v>
                </c:pt>
                <c:pt idx="37">
                  <c:v>114742607</c:v>
                </c:pt>
                <c:pt idx="38">
                  <c:v>130889308</c:v>
                </c:pt>
                <c:pt idx="39">
                  <c:v>133835520</c:v>
                </c:pt>
                <c:pt idx="40">
                  <c:v>163593533</c:v>
                </c:pt>
                <c:pt idx="41">
                  <c:v>153006295</c:v>
                </c:pt>
                <c:pt idx="42">
                  <c:v>142593233</c:v>
                </c:pt>
                <c:pt idx="43">
                  <c:v>152345476</c:v>
                </c:pt>
                <c:pt idx="44">
                  <c:v>143870897</c:v>
                </c:pt>
                <c:pt idx="45">
                  <c:v>144087366</c:v>
                </c:pt>
                <c:pt idx="46">
                  <c:v>135076229</c:v>
                </c:pt>
                <c:pt idx="47">
                  <c:v>136732063</c:v>
                </c:pt>
                <c:pt idx="48">
                  <c:v>120715672</c:v>
                </c:pt>
                <c:pt idx="49">
                  <c:v>125799224</c:v>
                </c:pt>
                <c:pt idx="50">
                  <c:v>133487105</c:v>
                </c:pt>
                <c:pt idx="51">
                  <c:v>136121554</c:v>
                </c:pt>
                <c:pt idx="52">
                  <c:v>142728755</c:v>
                </c:pt>
                <c:pt idx="53">
                  <c:v>133806992</c:v>
                </c:pt>
                <c:pt idx="54">
                  <c:v>145953904</c:v>
                </c:pt>
                <c:pt idx="55">
                  <c:v>139724190</c:v>
                </c:pt>
                <c:pt idx="56">
                  <c:v>134537885</c:v>
                </c:pt>
                <c:pt idx="57">
                  <c:v>148097836</c:v>
                </c:pt>
                <c:pt idx="58">
                  <c:v>133353588</c:v>
                </c:pt>
                <c:pt idx="59">
                  <c:v>174921835</c:v>
                </c:pt>
                <c:pt idx="60">
                  <c:v>65635810</c:v>
                </c:pt>
                <c:pt idx="61">
                  <c:v>73721896</c:v>
                </c:pt>
                <c:pt idx="62">
                  <c:v>95835418</c:v>
                </c:pt>
                <c:pt idx="63">
                  <c:v>131791986.24915777</c:v>
                </c:pt>
                <c:pt idx="64">
                  <c:v>137920236.89019856</c:v>
                </c:pt>
                <c:pt idx="65">
                  <c:v>139596321.19621357</c:v>
                </c:pt>
                <c:pt idx="66">
                  <c:v>137410035.36067736</c:v>
                </c:pt>
                <c:pt idx="67">
                  <c:v>143738699.39125273</c:v>
                </c:pt>
                <c:pt idx="68">
                  <c:v>135753181.58840644</c:v>
                </c:pt>
                <c:pt idx="69">
                  <c:v>134474043.6377117</c:v>
                </c:pt>
                <c:pt idx="70">
                  <c:v>129676507.59899189</c:v>
                </c:pt>
                <c:pt idx="71">
                  <c:v>258143861.5953773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343-4E8F-A7AC-5CCB6C51C7EB}"/>
            </c:ext>
          </c:extLst>
        </c:ser>
        <c:ser>
          <c:idx val="1"/>
          <c:order val="1"/>
          <c:tx>
            <c:strRef>
              <c:f>'Dom Production'!$C$1</c:f>
              <c:strCache>
                <c:ptCount val="1"/>
                <c:pt idx="0">
                  <c:v>Renewable Diesel</c:v>
                </c:pt>
              </c:strCache>
            </c:strRef>
          </c:tx>
          <c:spPr>
            <a:ln w="38100" cap="rnd">
              <a:solidFill>
                <a:srgbClr val="6F0791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8343-4E8F-A7AC-5CCB6C51C7EB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8343-4E8F-A7AC-5CCB6C51C7EB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8343-4E8F-A7AC-5CCB6C51C7EB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8343-4E8F-A7AC-5CCB6C51C7EB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8343-4E8F-A7AC-5CCB6C51C7EB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8343-4E8F-A7AC-5CCB6C51C7EB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8343-4E8F-A7AC-5CCB6C51C7EB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8343-4E8F-A7AC-5CCB6C51C7EB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8343-4E8F-A7AC-5CCB6C51C7EB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8343-4E8F-A7AC-5CCB6C51C7EB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E-8343-4E8F-A7AC-5CCB6C51C7EB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8343-4E8F-A7AC-5CCB6C51C7EB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8343-4E8F-A7AC-5CCB6C51C7EB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4-8343-4E8F-A7AC-5CCB6C51C7EB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8343-4E8F-A7AC-5CCB6C51C7EB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8-8343-4E8F-A7AC-5CCB6C51C7EB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8343-4E8F-A7AC-5CCB6C51C7EB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C-8343-4E8F-A7AC-5CCB6C51C7EB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E-8343-4E8F-A7AC-5CCB6C51C7EB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0-8343-4E8F-A7AC-5CCB6C51C7EB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2-8343-4E8F-A7AC-5CCB6C51C7EB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4-8343-4E8F-A7AC-5CCB6C51C7EB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6-8343-4E8F-A7AC-5CCB6C51C7EB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8-8343-4E8F-A7AC-5CCB6C51C7EB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A-8343-4E8F-A7AC-5CCB6C51C7EB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C-8343-4E8F-A7AC-5CCB6C51C7EB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E-8343-4E8F-A7AC-5CCB6C51C7EB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0-8343-4E8F-A7AC-5CCB6C51C7EB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2-8343-4E8F-A7AC-5CCB6C51C7EB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4-8343-4E8F-A7AC-5CCB6C51C7EB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6-8343-4E8F-A7AC-5CCB6C51C7EB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8-8343-4E8F-A7AC-5CCB6C51C7EB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A-8343-4E8F-A7AC-5CCB6C51C7EB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C-8343-4E8F-A7AC-5CCB6C51C7EB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E-8343-4E8F-A7AC-5CCB6C51C7EB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0-8343-4E8F-A7AC-5CCB6C51C7EB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2-8343-4E8F-A7AC-5CCB6C51C7EB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4-8343-4E8F-A7AC-5CCB6C51C7EB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6-8343-4E8F-A7AC-5CCB6C51C7EB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8-8343-4E8F-A7AC-5CCB6C51C7EB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A-8343-4E8F-A7AC-5CCB6C51C7EB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C-8343-4E8F-A7AC-5CCB6C51C7EB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E-8343-4E8F-A7AC-5CCB6C51C7EB}"/>
              </c:ext>
            </c:extLst>
          </c:dPt>
          <c:cat>
            <c:numRef>
              <c:f>'Dom Production'!$A$2:$A$73</c:f>
              <c:numCache>
                <c:formatCode>m/d/yyyy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'Dom Production'!$C$2:$C$73</c:f>
              <c:numCache>
                <c:formatCode>#,##0_);[Red]\(#,##0\)</c:formatCode>
                <c:ptCount val="72"/>
                <c:pt idx="0">
                  <c:v>41857492</c:v>
                </c:pt>
                <c:pt idx="1">
                  <c:v>37300666</c:v>
                </c:pt>
                <c:pt idx="2">
                  <c:v>45226785</c:v>
                </c:pt>
                <c:pt idx="3">
                  <c:v>38638856</c:v>
                </c:pt>
                <c:pt idx="4">
                  <c:v>46421171</c:v>
                </c:pt>
                <c:pt idx="5">
                  <c:v>53207936</c:v>
                </c:pt>
                <c:pt idx="6">
                  <c:v>46684399</c:v>
                </c:pt>
                <c:pt idx="7">
                  <c:v>43952654</c:v>
                </c:pt>
                <c:pt idx="8">
                  <c:v>48112771</c:v>
                </c:pt>
                <c:pt idx="9">
                  <c:v>25237496</c:v>
                </c:pt>
                <c:pt idx="10">
                  <c:v>49060129</c:v>
                </c:pt>
                <c:pt idx="11">
                  <c:v>57807992</c:v>
                </c:pt>
                <c:pt idx="12">
                  <c:v>50374630</c:v>
                </c:pt>
                <c:pt idx="13">
                  <c:v>51175710</c:v>
                </c:pt>
                <c:pt idx="14">
                  <c:v>59222033</c:v>
                </c:pt>
                <c:pt idx="15">
                  <c:v>50634433</c:v>
                </c:pt>
                <c:pt idx="16">
                  <c:v>60051437</c:v>
                </c:pt>
                <c:pt idx="17">
                  <c:v>68859545</c:v>
                </c:pt>
                <c:pt idx="18">
                  <c:v>69500573</c:v>
                </c:pt>
                <c:pt idx="19">
                  <c:v>82392520</c:v>
                </c:pt>
                <c:pt idx="20">
                  <c:v>55747506</c:v>
                </c:pt>
                <c:pt idx="21">
                  <c:v>77344974</c:v>
                </c:pt>
                <c:pt idx="22">
                  <c:v>101861084</c:v>
                </c:pt>
                <c:pt idx="23">
                  <c:v>118270462</c:v>
                </c:pt>
                <c:pt idx="24">
                  <c:v>87010244</c:v>
                </c:pt>
                <c:pt idx="25">
                  <c:v>101396491</c:v>
                </c:pt>
                <c:pt idx="26">
                  <c:v>110055959</c:v>
                </c:pt>
                <c:pt idx="27">
                  <c:v>106480662</c:v>
                </c:pt>
                <c:pt idx="28">
                  <c:v>136075722</c:v>
                </c:pt>
                <c:pt idx="29">
                  <c:v>116253275</c:v>
                </c:pt>
                <c:pt idx="30">
                  <c:v>108975538</c:v>
                </c:pt>
                <c:pt idx="31">
                  <c:v>122248954</c:v>
                </c:pt>
                <c:pt idx="32">
                  <c:v>127613378</c:v>
                </c:pt>
                <c:pt idx="33">
                  <c:v>113679693</c:v>
                </c:pt>
                <c:pt idx="34">
                  <c:v>171787630</c:v>
                </c:pt>
                <c:pt idx="35">
                  <c:v>153759160</c:v>
                </c:pt>
                <c:pt idx="36">
                  <c:v>148278375</c:v>
                </c:pt>
                <c:pt idx="37">
                  <c:v>141070359</c:v>
                </c:pt>
                <c:pt idx="38">
                  <c:v>184175802</c:v>
                </c:pt>
                <c:pt idx="39">
                  <c:v>174407540</c:v>
                </c:pt>
                <c:pt idx="40">
                  <c:v>229265334</c:v>
                </c:pt>
                <c:pt idx="41">
                  <c:v>202490999</c:v>
                </c:pt>
                <c:pt idx="42">
                  <c:v>182796774</c:v>
                </c:pt>
                <c:pt idx="43">
                  <c:v>236476280</c:v>
                </c:pt>
                <c:pt idx="44">
                  <c:v>234008508</c:v>
                </c:pt>
                <c:pt idx="45">
                  <c:v>214031283</c:v>
                </c:pt>
                <c:pt idx="46">
                  <c:v>205619514</c:v>
                </c:pt>
                <c:pt idx="47">
                  <c:v>274816428</c:v>
                </c:pt>
                <c:pt idx="48">
                  <c:v>230210264</c:v>
                </c:pt>
                <c:pt idx="49">
                  <c:v>230073636</c:v>
                </c:pt>
                <c:pt idx="50">
                  <c:v>215239327</c:v>
                </c:pt>
                <c:pt idx="51">
                  <c:v>283042186</c:v>
                </c:pt>
                <c:pt idx="52">
                  <c:v>220402735</c:v>
                </c:pt>
                <c:pt idx="53">
                  <c:v>282589564</c:v>
                </c:pt>
                <c:pt idx="54">
                  <c:v>292633360</c:v>
                </c:pt>
                <c:pt idx="55">
                  <c:v>260490373</c:v>
                </c:pt>
                <c:pt idx="56">
                  <c:v>257927937</c:v>
                </c:pt>
                <c:pt idx="57">
                  <c:v>289557293</c:v>
                </c:pt>
                <c:pt idx="58">
                  <c:v>261189424</c:v>
                </c:pt>
                <c:pt idx="59">
                  <c:v>314111589</c:v>
                </c:pt>
                <c:pt idx="60">
                  <c:v>217367275</c:v>
                </c:pt>
                <c:pt idx="61">
                  <c:v>186102792</c:v>
                </c:pt>
                <c:pt idx="62">
                  <c:v>229400517</c:v>
                </c:pt>
                <c:pt idx="63">
                  <c:v>201331356.4815461</c:v>
                </c:pt>
                <c:pt idx="64">
                  <c:v>198336988.21685207</c:v>
                </c:pt>
                <c:pt idx="65">
                  <c:v>195595310.42807597</c:v>
                </c:pt>
                <c:pt idx="66">
                  <c:v>192075200.21665865</c:v>
                </c:pt>
                <c:pt idx="67">
                  <c:v>196758801.69768375</c:v>
                </c:pt>
                <c:pt idx="68">
                  <c:v>199567496.23015037</c:v>
                </c:pt>
                <c:pt idx="69">
                  <c:v>216647542.43543953</c:v>
                </c:pt>
                <c:pt idx="70">
                  <c:v>233980933.73434195</c:v>
                </c:pt>
                <c:pt idx="71">
                  <c:v>283976602.73018843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8343-4E8F-A7AC-5CCB6C51C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599976"/>
        <c:axId val="1765602272"/>
      </c:lineChart>
      <c:dateAx>
        <c:axId val="1765599976"/>
        <c:scaling>
          <c:orientation val="minMax"/>
          <c:max val="45992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65602272"/>
        <c:crosses val="autoZero"/>
        <c:auto val="1"/>
        <c:lblOffset val="100"/>
        <c:baseTimeUnit val="months"/>
        <c:majorUnit val="3"/>
        <c:majorTimeUnit val="months"/>
      </c:dateAx>
      <c:valAx>
        <c:axId val="17656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65599976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323232"/>
          </a:solidFill>
        </a:ln>
        <a:effectLst/>
      </c:spPr>
    </c:plotArea>
    <c:legend>
      <c:legendPos val="b"/>
      <c:layout>
        <c:manualLayout>
          <c:xMode val="edge"/>
          <c:yMode val="edge"/>
          <c:x val="0.13748291507192101"/>
          <c:y val="0.24428992828427964"/>
          <c:w val="0.35183566372451486"/>
          <c:h val="9.6794866192058002E-2"/>
        </c:manualLayout>
      </c:layout>
      <c:overlay val="0"/>
      <c:spPr>
        <a:solidFill>
          <a:schemeClr val="bg1"/>
        </a:solidFill>
        <a:ln w="22225">
          <a:solidFill>
            <a:srgbClr val="32323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Biomass-Based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6771760630112235E-2"/>
          <c:y val="9.8905890372047056E-2"/>
          <c:w val="0.90852752698664097"/>
          <c:h val="0.753230368268485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'Dom Production'!$B$1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2FF-4D12-AFFD-B5FF92451DCE}"/>
              </c:ext>
            </c:extLst>
          </c:dPt>
          <c:dPt>
            <c:idx val="14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2FF-4D12-AFFD-B5FF92451DCE}"/>
              </c:ext>
            </c:extLst>
          </c:dPt>
          <c:dPt>
            <c:idx val="1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2FF-4D12-AFFD-B5FF92451DCE}"/>
              </c:ext>
            </c:extLst>
          </c:dPt>
          <c:dPt>
            <c:idx val="16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2FF-4D12-AFFD-B5FF92451DCE}"/>
              </c:ext>
            </c:extLst>
          </c:dPt>
          <c:dPt>
            <c:idx val="17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2FF-4D12-AFFD-B5FF92451DCE}"/>
              </c:ext>
            </c:extLst>
          </c:dPt>
          <c:dPt>
            <c:idx val="18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2FF-4D12-AFFD-B5FF92451DCE}"/>
              </c:ext>
            </c:extLst>
          </c:dPt>
          <c:dPt>
            <c:idx val="1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2FF-4D12-AFFD-B5FF92451DCE}"/>
              </c:ext>
            </c:extLst>
          </c:dPt>
          <c:dPt>
            <c:idx val="20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2FF-4D12-AFFD-B5FF92451DCE}"/>
              </c:ext>
            </c:extLst>
          </c:dPt>
          <c:dPt>
            <c:idx val="21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2FF-4D12-AFFD-B5FF92451DCE}"/>
              </c:ext>
            </c:extLst>
          </c:dPt>
          <c:dPt>
            <c:idx val="22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2FF-4D12-AFFD-B5FF92451DCE}"/>
              </c:ext>
            </c:extLst>
          </c:dPt>
          <c:dPt>
            <c:idx val="23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2FF-4D12-AFFD-B5FF92451DCE}"/>
              </c:ext>
            </c:extLst>
          </c:dPt>
          <c:dPt>
            <c:idx val="2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FF-4D12-AFFD-B5FF92451DCE}"/>
              </c:ext>
            </c:extLst>
          </c:dPt>
          <c:dPt>
            <c:idx val="26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FF-4D12-AFFD-B5FF92451DCE}"/>
              </c:ext>
            </c:extLst>
          </c:dPt>
          <c:dPt>
            <c:idx val="27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FF-4D12-AFFD-B5FF92451DCE}"/>
              </c:ext>
            </c:extLst>
          </c:dPt>
          <c:dPt>
            <c:idx val="28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2FF-4D12-AFFD-B5FF92451DCE}"/>
              </c:ext>
            </c:extLst>
          </c:dPt>
          <c:dPt>
            <c:idx val="2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2FF-4D12-AFFD-B5FF92451DCE}"/>
              </c:ext>
            </c:extLst>
          </c:dPt>
          <c:dPt>
            <c:idx val="30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2FF-4D12-AFFD-B5FF92451DCE}"/>
              </c:ext>
            </c:extLst>
          </c:dPt>
          <c:dPt>
            <c:idx val="31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E2FF-4D12-AFFD-B5FF92451DCE}"/>
              </c:ext>
            </c:extLst>
          </c:dPt>
          <c:dPt>
            <c:idx val="32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E2FF-4D12-AFFD-B5FF92451DCE}"/>
              </c:ext>
            </c:extLst>
          </c:dPt>
          <c:dPt>
            <c:idx val="33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E2FF-4D12-AFFD-B5FF92451DCE}"/>
              </c:ext>
            </c:extLst>
          </c:dPt>
          <c:dPt>
            <c:idx val="34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E2FF-4D12-AFFD-B5FF92451DCE}"/>
              </c:ext>
            </c:extLst>
          </c:dPt>
          <c:dPt>
            <c:idx val="3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2FF-4D12-AFFD-B5FF92451DCE}"/>
              </c:ext>
            </c:extLst>
          </c:dPt>
          <c:dPt>
            <c:idx val="36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2FF-4D12-AFFD-B5FF92451DCE}"/>
              </c:ext>
            </c:extLst>
          </c:dPt>
          <c:dPt>
            <c:idx val="37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E2FF-4D12-AFFD-B5FF92451DCE}"/>
              </c:ext>
            </c:extLst>
          </c:dPt>
          <c:dPt>
            <c:idx val="38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E2FF-4D12-AFFD-B5FF92451DCE}"/>
              </c:ext>
            </c:extLst>
          </c:dPt>
          <c:dPt>
            <c:idx val="3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E2FF-4D12-AFFD-B5FF92451DCE}"/>
              </c:ext>
            </c:extLst>
          </c:dPt>
          <c:dPt>
            <c:idx val="40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E2FF-4D12-AFFD-B5FF92451DCE}"/>
              </c:ext>
            </c:extLst>
          </c:dPt>
          <c:dPt>
            <c:idx val="41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E2FF-4D12-AFFD-B5FF92451DCE}"/>
              </c:ext>
            </c:extLst>
          </c:dPt>
          <c:dPt>
            <c:idx val="42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E2FF-4D12-AFFD-B5FF92451DCE}"/>
              </c:ext>
            </c:extLst>
          </c:dPt>
          <c:dPt>
            <c:idx val="43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E2FF-4D12-AFFD-B5FF92451DCE}"/>
              </c:ext>
            </c:extLst>
          </c:dPt>
          <c:dPt>
            <c:idx val="44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E2FF-4D12-AFFD-B5FF92451DCE}"/>
              </c:ext>
            </c:extLst>
          </c:dPt>
          <c:dPt>
            <c:idx val="45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E2FF-4D12-AFFD-B5FF92451DCE}"/>
              </c:ext>
            </c:extLst>
          </c:dPt>
          <c:dPt>
            <c:idx val="46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E2FF-4D12-AFFD-B5FF92451DCE}"/>
              </c:ext>
            </c:extLst>
          </c:dPt>
          <c:dPt>
            <c:idx val="47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E2FF-4D12-AFFD-B5FF92451DCE}"/>
              </c:ext>
            </c:extLst>
          </c:dPt>
          <c:dLbls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E2FF-4D12-AFFD-B5FF92451DCE}"/>
                </c:ext>
              </c:extLst>
            </c:dLbl>
            <c:dLbl>
              <c:idx val="4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E2FF-4D12-AFFD-B5FF92451DCE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E2FF-4D12-AFFD-B5FF92451DCE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C-E2FF-4D12-AFFD-B5FF92451DCE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E-E2FF-4D12-AFFD-B5FF92451DCE}"/>
                </c:ext>
              </c:extLst>
            </c:dLbl>
            <c:dLbl>
              <c:idx val="4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0-E2FF-4D12-AFFD-B5FF92451DCE}"/>
                </c:ext>
              </c:extLst>
            </c:dLbl>
            <c:dLbl>
              <c:idx val="4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2-E2FF-4D12-AFFD-B5FF92451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'Dom Production'!$A$14:$A$61</c:f>
              <c:numCache>
                <c:formatCode>m/d/yyyy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'Dom Production'!$B$14:$B$61</c:f>
              <c:numCache>
                <c:formatCode>#,##0_);[Red]\(#,##0\)</c:formatCode>
                <c:ptCount val="48"/>
                <c:pt idx="0">
                  <c:v>107302585</c:v>
                </c:pt>
                <c:pt idx="1">
                  <c:v>109881050</c:v>
                </c:pt>
                <c:pt idx="2">
                  <c:v>150338931</c:v>
                </c:pt>
                <c:pt idx="3">
                  <c:v>144396494</c:v>
                </c:pt>
                <c:pt idx="4">
                  <c:v>150501950</c:v>
                </c:pt>
                <c:pt idx="5">
                  <c:v>154457118</c:v>
                </c:pt>
                <c:pt idx="6">
                  <c:v>146890338</c:v>
                </c:pt>
                <c:pt idx="7">
                  <c:v>154582245</c:v>
                </c:pt>
                <c:pt idx="8">
                  <c:v>139934774</c:v>
                </c:pt>
                <c:pt idx="9">
                  <c:v>139778878</c:v>
                </c:pt>
                <c:pt idx="10">
                  <c:v>140856752</c:v>
                </c:pt>
                <c:pt idx="11">
                  <c:v>165708240</c:v>
                </c:pt>
                <c:pt idx="12">
                  <c:v>90715015</c:v>
                </c:pt>
                <c:pt idx="13">
                  <c:v>110442650</c:v>
                </c:pt>
                <c:pt idx="14">
                  <c:v>135869438</c:v>
                </c:pt>
                <c:pt idx="15">
                  <c:v>144286382</c:v>
                </c:pt>
                <c:pt idx="16">
                  <c:v>139875243</c:v>
                </c:pt>
                <c:pt idx="17">
                  <c:v>142855221</c:v>
                </c:pt>
                <c:pt idx="18">
                  <c:v>137545866</c:v>
                </c:pt>
                <c:pt idx="19">
                  <c:v>151833118</c:v>
                </c:pt>
                <c:pt idx="20">
                  <c:v>141860945</c:v>
                </c:pt>
                <c:pt idx="21">
                  <c:v>138040230</c:v>
                </c:pt>
                <c:pt idx="22">
                  <c:v>141295576</c:v>
                </c:pt>
                <c:pt idx="23">
                  <c:v>145591401</c:v>
                </c:pt>
                <c:pt idx="24">
                  <c:v>119548309</c:v>
                </c:pt>
                <c:pt idx="25">
                  <c:v>114742607</c:v>
                </c:pt>
                <c:pt idx="26">
                  <c:v>130889308</c:v>
                </c:pt>
                <c:pt idx="27">
                  <c:v>133835520</c:v>
                </c:pt>
                <c:pt idx="28">
                  <c:v>163593533</c:v>
                </c:pt>
                <c:pt idx="29">
                  <c:v>153006295</c:v>
                </c:pt>
                <c:pt idx="30">
                  <c:v>142593233</c:v>
                </c:pt>
                <c:pt idx="31">
                  <c:v>152345476</c:v>
                </c:pt>
                <c:pt idx="32">
                  <c:v>143870897</c:v>
                </c:pt>
                <c:pt idx="33">
                  <c:v>144087366</c:v>
                </c:pt>
                <c:pt idx="34">
                  <c:v>135076229</c:v>
                </c:pt>
                <c:pt idx="35">
                  <c:v>136732063</c:v>
                </c:pt>
                <c:pt idx="36">
                  <c:v>120715672</c:v>
                </c:pt>
                <c:pt idx="37">
                  <c:v>125799224</c:v>
                </c:pt>
                <c:pt idx="38">
                  <c:v>133487105</c:v>
                </c:pt>
                <c:pt idx="39">
                  <c:v>136121554</c:v>
                </c:pt>
                <c:pt idx="40">
                  <c:v>142728755</c:v>
                </c:pt>
                <c:pt idx="41">
                  <c:v>133806992</c:v>
                </c:pt>
                <c:pt idx="42">
                  <c:v>145953904</c:v>
                </c:pt>
                <c:pt idx="43">
                  <c:v>139724190</c:v>
                </c:pt>
                <c:pt idx="44">
                  <c:v>134537885</c:v>
                </c:pt>
                <c:pt idx="45">
                  <c:v>148097836</c:v>
                </c:pt>
                <c:pt idx="46">
                  <c:v>133353588</c:v>
                </c:pt>
                <c:pt idx="47">
                  <c:v>174921835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2FF-4D12-AFFD-B5FF92451DCE}"/>
            </c:ext>
          </c:extLst>
        </c:ser>
        <c:ser>
          <c:idx val="1"/>
          <c:order val="1"/>
          <c:tx>
            <c:strRef>
              <c:f>'Dom Production'!$C$1</c:f>
              <c:strCache>
                <c:ptCount val="1"/>
                <c:pt idx="0">
                  <c:v>Renewable Diesel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E2FF-4D12-AFFD-B5FF92451DCE}"/>
              </c:ext>
            </c:extLst>
          </c:dPt>
          <c:dPt>
            <c:idx val="14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E2FF-4D12-AFFD-B5FF92451DCE}"/>
              </c:ext>
            </c:extLst>
          </c:dPt>
          <c:dPt>
            <c:idx val="15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E2FF-4D12-AFFD-B5FF92451DCE}"/>
              </c:ext>
            </c:extLst>
          </c:dPt>
          <c:dPt>
            <c:idx val="16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E2FF-4D12-AFFD-B5FF92451DCE}"/>
              </c:ext>
            </c:extLst>
          </c:dPt>
          <c:dPt>
            <c:idx val="1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E2FF-4D12-AFFD-B5FF92451DCE}"/>
              </c:ext>
            </c:extLst>
          </c:dPt>
          <c:dPt>
            <c:idx val="1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E2FF-4D12-AFFD-B5FF92451DCE}"/>
              </c:ext>
            </c:extLst>
          </c:dPt>
          <c:dPt>
            <c:idx val="1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E2FF-4D12-AFFD-B5FF92451DCE}"/>
              </c:ext>
            </c:extLst>
          </c:dPt>
          <c:dPt>
            <c:idx val="2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E2FF-4D12-AFFD-B5FF92451DCE}"/>
              </c:ext>
            </c:extLst>
          </c:dPt>
          <c:dPt>
            <c:idx val="2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E2FF-4D12-AFFD-B5FF92451DCE}"/>
              </c:ext>
            </c:extLst>
          </c:dPt>
          <c:dPt>
            <c:idx val="2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E2FF-4D12-AFFD-B5FF92451DCE}"/>
              </c:ext>
            </c:extLst>
          </c:dPt>
          <c:dPt>
            <c:idx val="23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E2FF-4D12-AFFD-B5FF92451DCE}"/>
              </c:ext>
            </c:extLst>
          </c:dPt>
          <c:dPt>
            <c:idx val="25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E2FF-4D12-AFFD-B5FF92451DCE}"/>
              </c:ext>
            </c:extLst>
          </c:dPt>
          <c:dPt>
            <c:idx val="26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E2FF-4D12-AFFD-B5FF92451DCE}"/>
              </c:ext>
            </c:extLst>
          </c:dPt>
          <c:dPt>
            <c:idx val="2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E2FF-4D12-AFFD-B5FF92451DCE}"/>
              </c:ext>
            </c:extLst>
          </c:dPt>
          <c:dPt>
            <c:idx val="2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E2FF-4D12-AFFD-B5FF92451DCE}"/>
              </c:ext>
            </c:extLst>
          </c:dPt>
          <c:dPt>
            <c:idx val="2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E2FF-4D12-AFFD-B5FF92451DCE}"/>
              </c:ext>
            </c:extLst>
          </c:dPt>
          <c:dPt>
            <c:idx val="3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E2FF-4D12-AFFD-B5FF92451DCE}"/>
              </c:ext>
            </c:extLst>
          </c:dPt>
          <c:dPt>
            <c:idx val="3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E2FF-4D12-AFFD-B5FF92451DCE}"/>
              </c:ext>
            </c:extLst>
          </c:dPt>
          <c:dPt>
            <c:idx val="3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E2FF-4D12-AFFD-B5FF92451DCE}"/>
              </c:ext>
            </c:extLst>
          </c:dPt>
          <c:dPt>
            <c:idx val="33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E2FF-4D12-AFFD-B5FF92451DCE}"/>
              </c:ext>
            </c:extLst>
          </c:dPt>
          <c:dPt>
            <c:idx val="34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E2FF-4D12-AFFD-B5FF92451DCE}"/>
              </c:ext>
            </c:extLst>
          </c:dPt>
          <c:dPt>
            <c:idx val="35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E2FF-4D12-AFFD-B5FF92451DCE}"/>
              </c:ext>
            </c:extLst>
          </c:dPt>
          <c:dPt>
            <c:idx val="36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E2FF-4D12-AFFD-B5FF92451DCE}"/>
              </c:ext>
            </c:extLst>
          </c:dPt>
          <c:dPt>
            <c:idx val="3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E2FF-4D12-AFFD-B5FF92451DCE}"/>
              </c:ext>
            </c:extLst>
          </c:dPt>
          <c:dPt>
            <c:idx val="3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E2FF-4D12-AFFD-B5FF92451DCE}"/>
              </c:ext>
            </c:extLst>
          </c:dPt>
          <c:dPt>
            <c:idx val="3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E2FF-4D12-AFFD-B5FF92451DCE}"/>
              </c:ext>
            </c:extLst>
          </c:dPt>
          <c:dPt>
            <c:idx val="4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E2FF-4D12-AFFD-B5FF92451DCE}"/>
              </c:ext>
            </c:extLst>
          </c:dPt>
          <c:dPt>
            <c:idx val="4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E2FF-4D12-AFFD-B5FF92451DCE}"/>
              </c:ext>
            </c:extLst>
          </c:dPt>
          <c:dPt>
            <c:idx val="4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E2FF-4D12-AFFD-B5FF92451DCE}"/>
              </c:ext>
            </c:extLst>
          </c:dPt>
          <c:dPt>
            <c:idx val="43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E2FF-4D12-AFFD-B5FF92451DCE}"/>
              </c:ext>
            </c:extLst>
          </c:dPt>
          <c:dPt>
            <c:idx val="44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E2FF-4D12-AFFD-B5FF92451DCE}"/>
              </c:ext>
            </c:extLst>
          </c:dPt>
          <c:dPt>
            <c:idx val="45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E2FF-4D12-AFFD-B5FF92451DCE}"/>
              </c:ext>
            </c:extLst>
          </c:dPt>
          <c:dPt>
            <c:idx val="46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E2FF-4D12-AFFD-B5FF92451DCE}"/>
              </c:ext>
            </c:extLst>
          </c:dPt>
          <c:dPt>
            <c:idx val="47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E2FF-4D12-AFFD-B5FF92451DCE}"/>
              </c:ext>
            </c:extLst>
          </c:dPt>
          <c:dLbls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7E-E2FF-4D12-AFFD-B5FF92451DCE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0-E2FF-4D12-AFFD-B5FF92451DCE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2-E2FF-4D12-AFFD-B5FF92451DCE}"/>
                </c:ext>
              </c:extLst>
            </c:dLbl>
            <c:dLbl>
              <c:idx val="4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4-E2FF-4D12-AFFD-B5FF92451DCE}"/>
                </c:ext>
              </c:extLst>
            </c:dLbl>
            <c:dLbl>
              <c:idx val="4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86-E2FF-4D12-AFFD-B5FF92451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'Dom Production'!$A$14:$A$61</c:f>
              <c:numCache>
                <c:formatCode>m/d/yyyy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'Dom Production'!$C$14:$C$61</c:f>
              <c:numCache>
                <c:formatCode>#,##0_);[Red]\(#,##0\)</c:formatCode>
                <c:ptCount val="48"/>
                <c:pt idx="0">
                  <c:v>50374630</c:v>
                </c:pt>
                <c:pt idx="1">
                  <c:v>51175710</c:v>
                </c:pt>
                <c:pt idx="2">
                  <c:v>59222033</c:v>
                </c:pt>
                <c:pt idx="3">
                  <c:v>50634433</c:v>
                </c:pt>
                <c:pt idx="4">
                  <c:v>60051437</c:v>
                </c:pt>
                <c:pt idx="5">
                  <c:v>68859545</c:v>
                </c:pt>
                <c:pt idx="6">
                  <c:v>69500573</c:v>
                </c:pt>
                <c:pt idx="7">
                  <c:v>82392520</c:v>
                </c:pt>
                <c:pt idx="8">
                  <c:v>55747506</c:v>
                </c:pt>
                <c:pt idx="9">
                  <c:v>77344974</c:v>
                </c:pt>
                <c:pt idx="10">
                  <c:v>101861084</c:v>
                </c:pt>
                <c:pt idx="11">
                  <c:v>118270462</c:v>
                </c:pt>
                <c:pt idx="12">
                  <c:v>87010244</c:v>
                </c:pt>
                <c:pt idx="13">
                  <c:v>101396491</c:v>
                </c:pt>
                <c:pt idx="14">
                  <c:v>110055959</c:v>
                </c:pt>
                <c:pt idx="15">
                  <c:v>106480662</c:v>
                </c:pt>
                <c:pt idx="16">
                  <c:v>136075722</c:v>
                </c:pt>
                <c:pt idx="17">
                  <c:v>116253275</c:v>
                </c:pt>
                <c:pt idx="18">
                  <c:v>108975538</c:v>
                </c:pt>
                <c:pt idx="19">
                  <c:v>122248954</c:v>
                </c:pt>
                <c:pt idx="20">
                  <c:v>127613378</c:v>
                </c:pt>
                <c:pt idx="21">
                  <c:v>113679693</c:v>
                </c:pt>
                <c:pt idx="22">
                  <c:v>171787630</c:v>
                </c:pt>
                <c:pt idx="23">
                  <c:v>153759160</c:v>
                </c:pt>
                <c:pt idx="24">
                  <c:v>148278375</c:v>
                </c:pt>
                <c:pt idx="25">
                  <c:v>141070359</c:v>
                </c:pt>
                <c:pt idx="26">
                  <c:v>184175802</c:v>
                </c:pt>
                <c:pt idx="27">
                  <c:v>174407540</c:v>
                </c:pt>
                <c:pt idx="28">
                  <c:v>229265334</c:v>
                </c:pt>
                <c:pt idx="29">
                  <c:v>202490999</c:v>
                </c:pt>
                <c:pt idx="30">
                  <c:v>182796774</c:v>
                </c:pt>
                <c:pt idx="31">
                  <c:v>236476280</c:v>
                </c:pt>
                <c:pt idx="32">
                  <c:v>234008508</c:v>
                </c:pt>
                <c:pt idx="33">
                  <c:v>214031283</c:v>
                </c:pt>
                <c:pt idx="34">
                  <c:v>205619514</c:v>
                </c:pt>
                <c:pt idx="35">
                  <c:v>274816428</c:v>
                </c:pt>
                <c:pt idx="36">
                  <c:v>230210264</c:v>
                </c:pt>
                <c:pt idx="37">
                  <c:v>230073636</c:v>
                </c:pt>
                <c:pt idx="38">
                  <c:v>215239327</c:v>
                </c:pt>
                <c:pt idx="39">
                  <c:v>283042186</c:v>
                </c:pt>
                <c:pt idx="40">
                  <c:v>220402735</c:v>
                </c:pt>
                <c:pt idx="41">
                  <c:v>282589564</c:v>
                </c:pt>
                <c:pt idx="42">
                  <c:v>292633360</c:v>
                </c:pt>
                <c:pt idx="43">
                  <c:v>260490373</c:v>
                </c:pt>
                <c:pt idx="44">
                  <c:v>257927937</c:v>
                </c:pt>
                <c:pt idx="45">
                  <c:v>289557293</c:v>
                </c:pt>
                <c:pt idx="46">
                  <c:v>261189424</c:v>
                </c:pt>
                <c:pt idx="47">
                  <c:v>314111589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E2FF-4D12-AFFD-B5FF92451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1281410560"/>
        <c:axId val="1281405312"/>
      </c:barChart>
      <c:dateAx>
        <c:axId val="128141056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81405312"/>
        <c:crosses val="autoZero"/>
        <c:auto val="1"/>
        <c:lblOffset val="100"/>
        <c:baseTimeUnit val="months"/>
      </c:dateAx>
      <c:valAx>
        <c:axId val="12814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81410560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5761504786617153"/>
          <c:y val="0.20610180739040926"/>
          <c:w val="0.33462217488671031"/>
          <c:h val="6.956354699369260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EPA U.S. Domestic Renewable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770405557505026E-2"/>
          <c:y val="9.7734606183076667E-2"/>
          <c:w val="0.91354705758327326"/>
          <c:h val="0.792437600167235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'Renewable Diesel'!$K$48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'Feedstock Yields'!$A$20:$A$31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Diesel'!$K$49:$K$60</c:f>
              <c:numCache>
                <c:formatCode>#,##0_);[Red]\(#,##0\)</c:formatCode>
                <c:ptCount val="12"/>
                <c:pt idx="0">
                  <c:v>36487021</c:v>
                </c:pt>
                <c:pt idx="1">
                  <c:v>40173701</c:v>
                </c:pt>
                <c:pt idx="2">
                  <c:v>35740265</c:v>
                </c:pt>
                <c:pt idx="3">
                  <c:v>38557434</c:v>
                </c:pt>
                <c:pt idx="4">
                  <c:v>40382855</c:v>
                </c:pt>
                <c:pt idx="5">
                  <c:v>39760652</c:v>
                </c:pt>
                <c:pt idx="6">
                  <c:v>46282285</c:v>
                </c:pt>
                <c:pt idx="7">
                  <c:v>30180616</c:v>
                </c:pt>
                <c:pt idx="8">
                  <c:v>40692380</c:v>
                </c:pt>
                <c:pt idx="9">
                  <c:v>48569223</c:v>
                </c:pt>
                <c:pt idx="10">
                  <c:v>42514597</c:v>
                </c:pt>
                <c:pt idx="11">
                  <c:v>52796160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E7C-4EF1-8F35-1B0492396716}"/>
            </c:ext>
          </c:extLst>
        </c:ser>
        <c:ser>
          <c:idx val="1"/>
          <c:order val="1"/>
          <c:tx>
            <c:strRef>
              <c:f>'Renewable Diesel'!$L$48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'Feedstock Yields'!$A$20:$A$31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Diesel'!$L$49:$L$60</c:f>
              <c:numCache>
                <c:formatCode>#,##0_);[Red]\(#,##0\)</c:formatCode>
                <c:ptCount val="12"/>
                <c:pt idx="0">
                  <c:v>41857492</c:v>
                </c:pt>
                <c:pt idx="1">
                  <c:v>37300666</c:v>
                </c:pt>
                <c:pt idx="2">
                  <c:v>45226785</c:v>
                </c:pt>
                <c:pt idx="3">
                  <c:v>38638856</c:v>
                </c:pt>
                <c:pt idx="4">
                  <c:v>46421171</c:v>
                </c:pt>
                <c:pt idx="5">
                  <c:v>53207936</c:v>
                </c:pt>
                <c:pt idx="6">
                  <c:v>46684399</c:v>
                </c:pt>
                <c:pt idx="7">
                  <c:v>43952654</c:v>
                </c:pt>
                <c:pt idx="8">
                  <c:v>48112771</c:v>
                </c:pt>
                <c:pt idx="9">
                  <c:v>25237496</c:v>
                </c:pt>
                <c:pt idx="10">
                  <c:v>49060129</c:v>
                </c:pt>
                <c:pt idx="11">
                  <c:v>57807992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E7C-4EF1-8F35-1B0492396716}"/>
            </c:ext>
          </c:extLst>
        </c:ser>
        <c:ser>
          <c:idx val="2"/>
          <c:order val="2"/>
          <c:tx>
            <c:strRef>
              <c:f>'Renewable Diesel'!$M$48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'Feedstock Yields'!$A$20:$A$31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Diesel'!$M$49:$M$60</c:f>
              <c:numCache>
                <c:formatCode>#,##0_);[Red]\(#,##0\)</c:formatCode>
                <c:ptCount val="12"/>
                <c:pt idx="0">
                  <c:v>50374630</c:v>
                </c:pt>
                <c:pt idx="1">
                  <c:v>51175710</c:v>
                </c:pt>
                <c:pt idx="2">
                  <c:v>59222033</c:v>
                </c:pt>
                <c:pt idx="3">
                  <c:v>50634433</c:v>
                </c:pt>
                <c:pt idx="4">
                  <c:v>60051437</c:v>
                </c:pt>
                <c:pt idx="5">
                  <c:v>68859545</c:v>
                </c:pt>
                <c:pt idx="6">
                  <c:v>69500573</c:v>
                </c:pt>
                <c:pt idx="7">
                  <c:v>82392520</c:v>
                </c:pt>
                <c:pt idx="8">
                  <c:v>55747506</c:v>
                </c:pt>
                <c:pt idx="9">
                  <c:v>77344974</c:v>
                </c:pt>
                <c:pt idx="10">
                  <c:v>101861084</c:v>
                </c:pt>
                <c:pt idx="11">
                  <c:v>118270462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C-4EF1-8F35-1B0492396716}"/>
            </c:ext>
          </c:extLst>
        </c:ser>
        <c:ser>
          <c:idx val="4"/>
          <c:order val="4"/>
          <c:tx>
            <c:strRef>
              <c:f>'Renewable Diesel'!$O$48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tx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E7C-4EF1-8F35-1B049239671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E7C-4EF1-8F35-1B049239671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E7C-4EF1-8F35-1B049239671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E7C-4EF1-8F35-1B049239671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E7C-4EF1-8F35-1B0492396716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E7C-4EF1-8F35-1B0492396716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E7C-4EF1-8F35-1B0492396716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E7C-4EF1-8F35-1B0492396716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E7C-4EF1-8F35-1B0492396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E7C-4EF1-8F35-1B0492396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E7C-4EF1-8F35-1B0492396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E7C-4EF1-8F35-1B04923967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'Feedstock Yields'!$A$20:$A$31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Diesel'!$O$49:$O$60</c:f>
              <c:numCache>
                <c:formatCode>#,##0_);[Red]\(#,##0\)</c:formatCode>
                <c:ptCount val="12"/>
                <c:pt idx="0">
                  <c:v>148278375</c:v>
                </c:pt>
                <c:pt idx="1">
                  <c:v>141070359</c:v>
                </c:pt>
                <c:pt idx="2">
                  <c:v>184175802</c:v>
                </c:pt>
                <c:pt idx="3">
                  <c:v>174407540</c:v>
                </c:pt>
                <c:pt idx="4">
                  <c:v>229265334</c:v>
                </c:pt>
                <c:pt idx="5">
                  <c:v>202490999</c:v>
                </c:pt>
                <c:pt idx="6">
                  <c:v>182796774</c:v>
                </c:pt>
                <c:pt idx="7">
                  <c:v>236476280</c:v>
                </c:pt>
                <c:pt idx="8">
                  <c:v>234008508</c:v>
                </c:pt>
                <c:pt idx="9">
                  <c:v>214031283</c:v>
                </c:pt>
                <c:pt idx="10">
                  <c:v>205619514</c:v>
                </c:pt>
                <c:pt idx="11">
                  <c:v>274816428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E7C-4EF1-8F35-1B0492396716}"/>
            </c:ext>
          </c:extLst>
        </c:ser>
        <c:ser>
          <c:idx val="5"/>
          <c:order val="5"/>
          <c:tx>
            <c:strRef>
              <c:f>'Renewable Diesel'!$P$2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E7C-4EF1-8F35-1B0492396716}"/>
              </c:ext>
            </c:extLst>
          </c:dPt>
          <c:dPt>
            <c:idx val="8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E7C-4EF1-8F35-1B0492396716}"/>
              </c:ext>
            </c:extLst>
          </c:dPt>
          <c:dPt>
            <c:idx val="9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E7C-4EF1-8F35-1B0492396716}"/>
              </c:ext>
            </c:extLst>
          </c:dPt>
          <c:dPt>
            <c:idx val="10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E7C-4EF1-8F35-1B0492396716}"/>
              </c:ext>
            </c:extLst>
          </c:dPt>
          <c:dPt>
            <c:idx val="11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E7C-4EF1-8F35-1B0492396716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4E7C-4EF1-8F35-1B049239671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4E7C-4EF1-8F35-1B049239671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4E7C-4EF1-8F35-1B049239671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4E7C-4EF1-8F35-1B049239671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4E7C-4EF1-8F35-1B0492396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'Renewable Diesel'!$P$49:$P$60</c:f>
              <c:numCache>
                <c:formatCode>#,##0_);[Red]\(#,##0\)</c:formatCode>
                <c:ptCount val="12"/>
                <c:pt idx="0">
                  <c:v>230210264</c:v>
                </c:pt>
                <c:pt idx="1">
                  <c:v>230073636</c:v>
                </c:pt>
                <c:pt idx="2">
                  <c:v>215239327</c:v>
                </c:pt>
                <c:pt idx="3">
                  <c:v>283042186</c:v>
                </c:pt>
                <c:pt idx="4">
                  <c:v>220402735</c:v>
                </c:pt>
                <c:pt idx="5">
                  <c:v>282589564</c:v>
                </c:pt>
                <c:pt idx="6">
                  <c:v>292633360</c:v>
                </c:pt>
                <c:pt idx="7">
                  <c:v>260490373</c:v>
                </c:pt>
                <c:pt idx="8">
                  <c:v>257927937</c:v>
                </c:pt>
                <c:pt idx="9">
                  <c:v>289557293</c:v>
                </c:pt>
                <c:pt idx="10">
                  <c:v>261189424</c:v>
                </c:pt>
                <c:pt idx="11">
                  <c:v>314111589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E7C-4EF1-8F35-1B0492396716}"/>
            </c:ext>
          </c:extLst>
        </c:ser>
        <c:ser>
          <c:idx val="6"/>
          <c:order val="6"/>
          <c:tx>
            <c:strRef>
              <c:f>'Renewable Diesel'!$Q$48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E7C-4EF1-8F35-1B0492396716}"/>
              </c:ext>
            </c:extLst>
          </c:dPt>
          <c:dPt>
            <c:idx val="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E7C-4EF1-8F35-1B0492396716}"/>
              </c:ext>
            </c:extLst>
          </c:dPt>
          <c:dPt>
            <c:idx val="2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E7C-4EF1-8F35-1B0492396716}"/>
              </c:ext>
            </c:extLst>
          </c:dPt>
          <c:dPt>
            <c:idx val="3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4E7C-4EF1-8F35-1B0492396716}"/>
              </c:ext>
            </c:extLst>
          </c:dPt>
          <c:dPt>
            <c:idx val="4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4E7C-4EF1-8F35-1B0492396716}"/>
              </c:ext>
            </c:extLst>
          </c:dPt>
          <c:dPt>
            <c:idx val="5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4E7C-4EF1-8F35-1B0492396716}"/>
              </c:ext>
            </c:extLst>
          </c:dPt>
          <c:dPt>
            <c:idx val="6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4E7C-4EF1-8F35-1B0492396716}"/>
              </c:ext>
            </c:extLst>
          </c:dPt>
          <c:dPt>
            <c:idx val="7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4E7C-4EF1-8F35-1B0492396716}"/>
              </c:ext>
            </c:extLst>
          </c:dPt>
          <c:dPt>
            <c:idx val="8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4E7C-4EF1-8F35-1B0492396716}"/>
              </c:ext>
            </c:extLst>
          </c:dPt>
          <c:dPt>
            <c:idx val="9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4E7C-4EF1-8F35-1B0492396716}"/>
              </c:ext>
            </c:extLst>
          </c:dPt>
          <c:dPt>
            <c:idx val="10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4E7C-4EF1-8F35-1B0492396716}"/>
              </c:ext>
            </c:extLst>
          </c:dPt>
          <c:dPt>
            <c:idx val="1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4E7C-4EF1-8F35-1B049239671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4E7C-4EF1-8F35-1B049239671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4E7C-4EF1-8F35-1B049239671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4E7C-4EF1-8F35-1B049239671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4E7C-4EF1-8F35-1B049239671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4E7C-4EF1-8F35-1B049239671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4E7C-4EF1-8F35-1B049239671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4E7C-4EF1-8F35-1B049239671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4E7C-4EF1-8F35-1B049239671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4E7C-4EF1-8F35-1B049239671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4E7C-4EF1-8F35-1B049239671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C-4E7C-4EF1-8F35-1B049239671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E-4E7C-4EF1-8F35-1B0492396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'Renewable Diesel'!$Q$49:$Q$60</c:f>
              <c:numCache>
                <c:formatCode>#,##0_);[Red]\(#,##0\)</c:formatCode>
                <c:ptCount val="12"/>
                <c:pt idx="0">
                  <c:v>217367275</c:v>
                </c:pt>
                <c:pt idx="1">
                  <c:v>186102792</c:v>
                </c:pt>
                <c:pt idx="2">
                  <c:v>229400517</c:v>
                </c:pt>
                <c:pt idx="3">
                  <c:v>201331356.4815461</c:v>
                </c:pt>
                <c:pt idx="4">
                  <c:v>198336988.21685207</c:v>
                </c:pt>
                <c:pt idx="5">
                  <c:v>195595310.42807597</c:v>
                </c:pt>
                <c:pt idx="6">
                  <c:v>192075200.21665865</c:v>
                </c:pt>
                <c:pt idx="7">
                  <c:v>196758801.69768375</c:v>
                </c:pt>
                <c:pt idx="8">
                  <c:v>199567496.23015037</c:v>
                </c:pt>
                <c:pt idx="9">
                  <c:v>216647542.43543953</c:v>
                </c:pt>
                <c:pt idx="10">
                  <c:v>233980933.73434195</c:v>
                </c:pt>
                <c:pt idx="11">
                  <c:v>283976602.73018843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4E7C-4EF1-8F35-1B0492396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7"/>
        <c:axId val="2140046024"/>
        <c:axId val="214004700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2022</c:v>
                </c:tx>
                <c:spPr>
                  <a:solidFill>
                    <a:srgbClr val="6F0791"/>
                  </a:solidFill>
                  <a:ln>
                    <a:solidFill>
                      <a:srgbClr val="323232"/>
                    </a:solidFill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4E7C-4EF1-8F35-1B0492396716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4E7C-4EF1-8F35-1B0492396716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4E7C-4EF1-8F35-1B0492396716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4E7C-4EF1-8F35-1B0492396716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4E7C-4EF1-8F35-1B0492396716}"/>
                    </c:ext>
                  </c:extLst>
                </c:dPt>
                <c:dPt>
                  <c:idx val="5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4E7C-4EF1-8F35-1B0492396716}"/>
                    </c:ext>
                  </c:extLst>
                </c:dPt>
                <c:dPt>
                  <c:idx val="6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4E7C-4EF1-8F35-1B0492396716}"/>
                    </c:ext>
                  </c:extLst>
                </c:dPt>
                <c:dPt>
                  <c:idx val="7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4E7C-4EF1-8F35-1B0492396716}"/>
                    </c:ext>
                  </c:extLst>
                </c:dPt>
                <c:dPt>
                  <c:idx val="8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4E7C-4EF1-8F35-1B0492396716}"/>
                    </c:ext>
                  </c:extLst>
                </c:dPt>
                <c:dPt>
                  <c:idx val="9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4E7C-4EF1-8F35-1B0492396716}"/>
                    </c:ext>
                  </c:extLst>
                </c:dPt>
                <c:dPt>
                  <c:idx val="10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5-4E7C-4EF1-8F35-1B0492396716}"/>
                    </c:ext>
                  </c:extLst>
                </c:dPt>
                <c:dPt>
                  <c:idx val="11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7-4E7C-4EF1-8F35-1B049239671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ysClr val="windowText" lastClr="000000"/>
                          </a:solidFill>
                          <a:latin typeface="Aptos Display" panose="020B00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'Feedstock Yields'!$A$20:$A$31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'Renewable Diesel'!$N$49:$N$60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87010244</c:v>
                      </c:pt>
                      <c:pt idx="1">
                        <c:v>101396491</c:v>
                      </c:pt>
                      <c:pt idx="2">
                        <c:v>110055959</c:v>
                      </c:pt>
                      <c:pt idx="3">
                        <c:v>106480662</c:v>
                      </c:pt>
                      <c:pt idx="4">
                        <c:v>136075722</c:v>
                      </c:pt>
                      <c:pt idx="5">
                        <c:v>116253275</c:v>
                      </c:pt>
                      <c:pt idx="6">
                        <c:v>108975538</c:v>
                      </c:pt>
                      <c:pt idx="7">
                        <c:v>122248954</c:v>
                      </c:pt>
                      <c:pt idx="8">
                        <c:v>127613378</c:v>
                      </c:pt>
                      <c:pt idx="9">
                        <c:v>113679693</c:v>
                      </c:pt>
                      <c:pt idx="10">
                        <c:v>171787630</c:v>
                      </c:pt>
                      <c:pt idx="11">
                        <c:v>153759160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8-4E7C-4EF1-8F35-1B0492396716}"/>
                  </c:ext>
                </c:extLst>
              </c15:ser>
            </c15:filteredBarSeries>
          </c:ext>
        </c:extLst>
      </c:barChart>
      <c:catAx>
        <c:axId val="214004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40047008"/>
        <c:crosses val="autoZero"/>
        <c:auto val="1"/>
        <c:lblAlgn val="ctr"/>
        <c:lblOffset val="100"/>
        <c:noMultiLvlLbl val="0"/>
      </c:catAx>
      <c:valAx>
        <c:axId val="21400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40046024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8786506786466199E-2"/>
          <c:y val="0.11327411821737463"/>
          <c:w val="0.28767995947679437"/>
          <c:h val="6.074689872385981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EPA U.S. Domestic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9130666559908636E-2"/>
          <c:y val="9.7734606183076667E-2"/>
          <c:w val="0.90615853356609388"/>
          <c:h val="0.82377408441353461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Biodiesel!$O$2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99-42B4-B256-1D7A8802F436}"/>
              </c:ext>
            </c:extLst>
          </c:dPt>
          <c:dPt>
            <c:idx val="1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99-42B4-B256-1D7A8802F436}"/>
              </c:ext>
            </c:extLst>
          </c:dPt>
          <c:dPt>
            <c:idx val="2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99-42B4-B256-1D7A8802F436}"/>
              </c:ext>
            </c:extLst>
          </c:dPt>
          <c:dPt>
            <c:idx val="3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99-42B4-B256-1D7A8802F436}"/>
              </c:ext>
            </c:extLst>
          </c:dPt>
          <c:dPt>
            <c:idx val="4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99-42B4-B256-1D7A8802F436}"/>
              </c:ext>
            </c:extLst>
          </c:dPt>
          <c:dPt>
            <c:idx val="5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99-42B4-B256-1D7A8802F436}"/>
              </c:ext>
            </c:extLst>
          </c:dPt>
          <c:dPt>
            <c:idx val="6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99-42B4-B256-1D7A8802F436}"/>
              </c:ext>
            </c:extLst>
          </c:dPt>
          <c:dPt>
            <c:idx val="7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99-42B4-B256-1D7A8802F436}"/>
              </c:ext>
            </c:extLst>
          </c:dPt>
          <c:dPt>
            <c:idx val="8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99-42B4-B256-1D7A8802F436}"/>
              </c:ext>
            </c:extLst>
          </c:dPt>
          <c:dPt>
            <c:idx val="9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799-42B4-B256-1D7A8802F436}"/>
              </c:ext>
            </c:extLst>
          </c:dPt>
          <c:dPt>
            <c:idx val="10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799-42B4-B256-1D7A8802F436}"/>
              </c:ext>
            </c:extLst>
          </c:dPt>
          <c:dPt>
            <c:idx val="11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799-42B4-B256-1D7A8802F4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'Feedstock Use'!$A$4:$A$15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Biodiesel!$O$3:$O$14</c:f>
              <c:numCache>
                <c:formatCode>#,##0_);[Red]\(#,##0\)</c:formatCode>
                <c:ptCount val="12"/>
                <c:pt idx="0">
                  <c:v>119548309</c:v>
                </c:pt>
                <c:pt idx="1">
                  <c:v>114742607</c:v>
                </c:pt>
                <c:pt idx="2">
                  <c:v>130889308</c:v>
                </c:pt>
                <c:pt idx="3">
                  <c:v>133835520</c:v>
                </c:pt>
                <c:pt idx="4">
                  <c:v>163593533</c:v>
                </c:pt>
                <c:pt idx="5">
                  <c:v>153006295</c:v>
                </c:pt>
                <c:pt idx="6">
                  <c:v>142593233</c:v>
                </c:pt>
                <c:pt idx="7">
                  <c:v>152345476</c:v>
                </c:pt>
                <c:pt idx="8">
                  <c:v>143870897</c:v>
                </c:pt>
                <c:pt idx="9">
                  <c:v>144087366</c:v>
                </c:pt>
                <c:pt idx="10">
                  <c:v>135076229</c:v>
                </c:pt>
                <c:pt idx="11">
                  <c:v>136732063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799-42B4-B256-1D7A8802F436}"/>
            </c:ext>
          </c:extLst>
        </c:ser>
        <c:ser>
          <c:idx val="5"/>
          <c:order val="5"/>
          <c:tx>
            <c:strRef>
              <c:f>Biodiesel!$P$2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799-42B4-B256-1D7A8802F436}"/>
              </c:ext>
            </c:extLst>
          </c:dPt>
          <c:dPt>
            <c:idx val="7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799-42B4-B256-1D7A8802F436}"/>
              </c:ext>
            </c:extLst>
          </c:dPt>
          <c:dPt>
            <c:idx val="8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799-42B4-B256-1D7A8802F436}"/>
              </c:ext>
            </c:extLst>
          </c:dPt>
          <c:dPt>
            <c:idx val="9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799-42B4-B256-1D7A8802F436}"/>
              </c:ext>
            </c:extLst>
          </c:dPt>
          <c:dPt>
            <c:idx val="10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799-42B4-B256-1D7A8802F436}"/>
              </c:ext>
            </c:extLst>
          </c:dPt>
          <c:dPt>
            <c:idx val="11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799-42B4-B256-1D7A8802F436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5799-42B4-B256-1D7A8802F43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5799-42B4-B256-1D7A8802F43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5799-42B4-B256-1D7A8802F43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5799-42B4-B256-1D7A8802F43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5799-42B4-B256-1D7A8802F43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5799-42B4-B256-1D7A8802F4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'Feedstock Use'!$A$4:$A$15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Biodiesel!$P$3:$P$14</c:f>
              <c:numCache>
                <c:formatCode>#,##0_);[Red]\(#,##0\)</c:formatCode>
                <c:ptCount val="12"/>
                <c:pt idx="0">
                  <c:v>120715672</c:v>
                </c:pt>
                <c:pt idx="1">
                  <c:v>125799224</c:v>
                </c:pt>
                <c:pt idx="2">
                  <c:v>133487105</c:v>
                </c:pt>
                <c:pt idx="3">
                  <c:v>136121554</c:v>
                </c:pt>
                <c:pt idx="4">
                  <c:v>142728755</c:v>
                </c:pt>
                <c:pt idx="5">
                  <c:v>133806992</c:v>
                </c:pt>
                <c:pt idx="6">
                  <c:v>145953904</c:v>
                </c:pt>
                <c:pt idx="7">
                  <c:v>139724190</c:v>
                </c:pt>
                <c:pt idx="8">
                  <c:v>134537885</c:v>
                </c:pt>
                <c:pt idx="9">
                  <c:v>148097836</c:v>
                </c:pt>
                <c:pt idx="10">
                  <c:v>133353588</c:v>
                </c:pt>
                <c:pt idx="11">
                  <c:v>174921835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5799-42B4-B256-1D7A8802F436}"/>
            </c:ext>
          </c:extLst>
        </c:ser>
        <c:ser>
          <c:idx val="6"/>
          <c:order val="6"/>
          <c:tx>
            <c:strRef>
              <c:f>Biodiesel!$Q$2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799-42B4-B256-1D7A8802F436}"/>
              </c:ext>
            </c:extLst>
          </c:dPt>
          <c:dPt>
            <c:idx val="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799-42B4-B256-1D7A8802F436}"/>
              </c:ext>
            </c:extLst>
          </c:dPt>
          <c:dPt>
            <c:idx val="2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799-42B4-B256-1D7A8802F436}"/>
              </c:ext>
            </c:extLst>
          </c:dPt>
          <c:dPt>
            <c:idx val="3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799-42B4-B256-1D7A8802F436}"/>
              </c:ext>
            </c:extLst>
          </c:dPt>
          <c:dPt>
            <c:idx val="4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799-42B4-B256-1D7A8802F436}"/>
              </c:ext>
            </c:extLst>
          </c:dPt>
          <c:dPt>
            <c:idx val="5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799-42B4-B256-1D7A8802F436}"/>
              </c:ext>
            </c:extLst>
          </c:dPt>
          <c:dPt>
            <c:idx val="6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799-42B4-B256-1D7A8802F436}"/>
              </c:ext>
            </c:extLst>
          </c:dPt>
          <c:dPt>
            <c:idx val="7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799-42B4-B256-1D7A8802F436}"/>
              </c:ext>
            </c:extLst>
          </c:dPt>
          <c:dPt>
            <c:idx val="8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799-42B4-B256-1D7A8802F436}"/>
              </c:ext>
            </c:extLst>
          </c:dPt>
          <c:dPt>
            <c:idx val="9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799-42B4-B256-1D7A8802F436}"/>
              </c:ext>
            </c:extLst>
          </c:dPt>
          <c:dPt>
            <c:idx val="10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799-42B4-B256-1D7A8802F436}"/>
              </c:ext>
            </c:extLst>
          </c:dPt>
          <c:dPt>
            <c:idx val="1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799-42B4-B256-1D7A8802F43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5799-42B4-B256-1D7A8802F43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5799-42B4-B256-1D7A8802F43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5799-42B4-B256-1D7A8802F43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5799-42B4-B256-1D7A8802F43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5799-42B4-B256-1D7A8802F43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5799-42B4-B256-1D7A8802F43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5799-42B4-B256-1D7A8802F43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5799-42B4-B256-1D7A8802F43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5799-42B4-B256-1D7A8802F43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9-5799-42B4-B256-1D7A8802F43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B-5799-42B4-B256-1D7A8802F43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5799-42B4-B256-1D7A8802F4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'Feedstock Use'!$A$4:$A$15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Biodiesel!$Q$3:$Q$14</c:f>
              <c:numCache>
                <c:formatCode>#,##0_);[Red]\(#,##0\)</c:formatCode>
                <c:ptCount val="12"/>
                <c:pt idx="0">
                  <c:v>65635810</c:v>
                </c:pt>
                <c:pt idx="1">
                  <c:v>73721896</c:v>
                </c:pt>
                <c:pt idx="2">
                  <c:v>95835418</c:v>
                </c:pt>
                <c:pt idx="3">
                  <c:v>131791986.24915777</c:v>
                </c:pt>
                <c:pt idx="4">
                  <c:v>137920236.89019856</c:v>
                </c:pt>
                <c:pt idx="5">
                  <c:v>139596321.19621357</c:v>
                </c:pt>
                <c:pt idx="6">
                  <c:v>137410035.36067736</c:v>
                </c:pt>
                <c:pt idx="7">
                  <c:v>143738699.39125273</c:v>
                </c:pt>
                <c:pt idx="8">
                  <c:v>135753181.58840644</c:v>
                </c:pt>
                <c:pt idx="9">
                  <c:v>134474043.6377117</c:v>
                </c:pt>
                <c:pt idx="10">
                  <c:v>129676507.59899189</c:v>
                </c:pt>
                <c:pt idx="11">
                  <c:v>258143861.5953773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799-42B4-B256-1D7A8802F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7"/>
        <c:axId val="2140046024"/>
        <c:axId val="2140047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'Renewable Diesel'!$K$48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'Feedstock Use'!$A$4:$A$15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Biodiesel!$K$3:$K$14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107668977</c:v>
                      </c:pt>
                      <c:pt idx="1">
                        <c:v>117330452</c:v>
                      </c:pt>
                      <c:pt idx="2">
                        <c:v>147660816</c:v>
                      </c:pt>
                      <c:pt idx="3">
                        <c:v>160899734</c:v>
                      </c:pt>
                      <c:pt idx="4">
                        <c:v>164042436</c:v>
                      </c:pt>
                      <c:pt idx="5">
                        <c:v>144102423</c:v>
                      </c:pt>
                      <c:pt idx="6">
                        <c:v>169452631</c:v>
                      </c:pt>
                      <c:pt idx="7">
                        <c:v>153598697</c:v>
                      </c:pt>
                      <c:pt idx="8">
                        <c:v>143659811</c:v>
                      </c:pt>
                      <c:pt idx="9">
                        <c:v>146618360</c:v>
                      </c:pt>
                      <c:pt idx="10">
                        <c:v>119139678</c:v>
                      </c:pt>
                      <c:pt idx="11">
                        <c:v>139601581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F-5799-42B4-B256-1D7A8802F43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Biodiesel!$L$2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'Feedstock Use'!$A$4:$A$15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Biodiesel!$L$3:$L$14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118403817</c:v>
                      </c:pt>
                      <c:pt idx="1">
                        <c:v>128033003</c:v>
                      </c:pt>
                      <c:pt idx="2">
                        <c:v>150092678</c:v>
                      </c:pt>
                      <c:pt idx="3">
                        <c:v>149356126</c:v>
                      </c:pt>
                      <c:pt idx="4">
                        <c:v>143174223</c:v>
                      </c:pt>
                      <c:pt idx="5">
                        <c:v>165519330</c:v>
                      </c:pt>
                      <c:pt idx="6">
                        <c:v>162738265</c:v>
                      </c:pt>
                      <c:pt idx="7">
                        <c:v>171493499</c:v>
                      </c:pt>
                      <c:pt idx="8">
                        <c:v>167865219</c:v>
                      </c:pt>
                      <c:pt idx="9">
                        <c:v>149489760</c:v>
                      </c:pt>
                      <c:pt idx="10">
                        <c:v>142828517</c:v>
                      </c:pt>
                      <c:pt idx="11">
                        <c:v>175881221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5799-42B4-B256-1D7A8802F43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Biodiesel!$M$2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solidFill>
                    <a:srgbClr val="8C8C8C"/>
                  </a:solidFill>
                  <a:ln>
                    <a:solidFill>
                      <a:srgbClr val="323232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Aptos Display" panose="020B00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'Feedstock Use'!$A$4:$A$15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Biodiesel!$M$3:$M$14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107302585</c:v>
                      </c:pt>
                      <c:pt idx="1">
                        <c:v>109881050</c:v>
                      </c:pt>
                      <c:pt idx="2">
                        <c:v>150338931</c:v>
                      </c:pt>
                      <c:pt idx="3">
                        <c:v>144396494</c:v>
                      </c:pt>
                      <c:pt idx="4">
                        <c:v>150501950</c:v>
                      </c:pt>
                      <c:pt idx="5">
                        <c:v>154457118</c:v>
                      </c:pt>
                      <c:pt idx="6">
                        <c:v>146890338</c:v>
                      </c:pt>
                      <c:pt idx="7">
                        <c:v>154582245</c:v>
                      </c:pt>
                      <c:pt idx="8">
                        <c:v>139934774</c:v>
                      </c:pt>
                      <c:pt idx="9">
                        <c:v>139778878</c:v>
                      </c:pt>
                      <c:pt idx="10">
                        <c:v>140856752</c:v>
                      </c:pt>
                      <c:pt idx="11">
                        <c:v>165708240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5799-42B4-B256-1D7A8802F43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Biodiesel!$N$2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solidFill>
                    <a:srgbClr val="6F0791"/>
                  </a:solidFill>
                  <a:ln>
                    <a:noFill/>
                  </a:ln>
                  <a:effectLst/>
                </c:spPr>
                <c:invertIfNegative val="0"/>
                <c:dPt>
                  <c:idx val="11"/>
                  <c:invertIfNegative val="0"/>
                  <c:bubble3D val="0"/>
                  <c:spPr>
                    <a:solidFill>
                      <a:srgbClr val="6F0791"/>
                    </a:solidFill>
                    <a:ln>
                      <a:solidFill>
                        <a:srgbClr val="323232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5799-42B4-B256-1D7A8802F43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Aptos Display" panose="020B00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'Feedstock Use'!$A$4:$A$15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Biodiesel!$N$3:$N$14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90715015</c:v>
                      </c:pt>
                      <c:pt idx="1">
                        <c:v>110442650</c:v>
                      </c:pt>
                      <c:pt idx="2">
                        <c:v>135869438</c:v>
                      </c:pt>
                      <c:pt idx="3">
                        <c:v>144286382</c:v>
                      </c:pt>
                      <c:pt idx="4">
                        <c:v>139875243</c:v>
                      </c:pt>
                      <c:pt idx="5">
                        <c:v>142855221</c:v>
                      </c:pt>
                      <c:pt idx="6">
                        <c:v>137545866</c:v>
                      </c:pt>
                      <c:pt idx="7">
                        <c:v>151833118</c:v>
                      </c:pt>
                      <c:pt idx="8">
                        <c:v>141860945</c:v>
                      </c:pt>
                      <c:pt idx="9">
                        <c:v>138040230</c:v>
                      </c:pt>
                      <c:pt idx="10">
                        <c:v>141295576</c:v>
                      </c:pt>
                      <c:pt idx="11">
                        <c:v>145591401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5799-42B4-B256-1D7A8802F436}"/>
                  </c:ext>
                </c:extLst>
              </c15:ser>
            </c15:filteredBarSeries>
          </c:ext>
        </c:extLst>
      </c:barChart>
      <c:catAx>
        <c:axId val="214004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40047008"/>
        <c:crosses val="autoZero"/>
        <c:auto val="1"/>
        <c:lblAlgn val="ctr"/>
        <c:lblOffset val="100"/>
        <c:noMultiLvlLbl val="0"/>
      </c:catAx>
      <c:valAx>
        <c:axId val="21400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40046024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1837888635221508"/>
          <c:y val="0.16234194470266752"/>
          <c:w val="0.22403259815207394"/>
          <c:h val="4.7880055092856928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U.S. Renewable Diesel Production and Margins</a:t>
            </a:r>
          </a:p>
        </c:rich>
      </c:tx>
      <c:layout>
        <c:manualLayout>
          <c:xMode val="edge"/>
          <c:yMode val="edge"/>
          <c:x val="0.16128463108778068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46811165263931E-2"/>
          <c:y val="0.10525677868291416"/>
          <c:w val="0.83656093395840292"/>
          <c:h val="0.751478553288931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'BBD Prod and Profit - data'!$C$1</c:f>
              <c:strCache>
                <c:ptCount val="1"/>
                <c:pt idx="0">
                  <c:v>Renewable Diesel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D7-46AA-AA59-D6EFF09349F9}"/>
              </c:ext>
            </c:extLst>
          </c:dPt>
          <c:dPt>
            <c:idx val="62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D7-46AA-AA59-D6EFF09349F9}"/>
              </c:ext>
            </c:extLst>
          </c:dPt>
          <c:dPt>
            <c:idx val="63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D7-46AA-AA59-D6EFF09349F9}"/>
              </c:ext>
            </c:extLst>
          </c:dPt>
          <c:dPt>
            <c:idx val="64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D7-46AA-AA59-D6EFF09349F9}"/>
              </c:ext>
            </c:extLst>
          </c:dPt>
          <c:dPt>
            <c:idx val="65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D7-46AA-AA59-D6EFF09349F9}"/>
              </c:ext>
            </c:extLst>
          </c:dPt>
          <c:dPt>
            <c:idx val="66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D7-46AA-AA59-D6EFF09349F9}"/>
              </c:ext>
            </c:extLst>
          </c:dPt>
          <c:dPt>
            <c:idx val="67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D7-46AA-AA59-D6EFF09349F9}"/>
              </c:ext>
            </c:extLst>
          </c:dPt>
          <c:dPt>
            <c:idx val="68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D7-46AA-AA59-D6EFF09349F9}"/>
              </c:ext>
            </c:extLst>
          </c:dPt>
          <c:dPt>
            <c:idx val="69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8D7-46AA-AA59-D6EFF09349F9}"/>
              </c:ext>
            </c:extLst>
          </c:dPt>
          <c:dPt>
            <c:idx val="70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8D7-46AA-AA59-D6EFF09349F9}"/>
              </c:ext>
            </c:extLst>
          </c:dPt>
          <c:dPt>
            <c:idx val="71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8D7-46AA-AA59-D6EFF09349F9}"/>
              </c:ext>
            </c:extLst>
          </c:dPt>
          <c:dPt>
            <c:idx val="72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8D7-46AA-AA59-D6EFF09349F9}"/>
              </c:ext>
            </c:extLst>
          </c:dPt>
          <c:dPt>
            <c:idx val="73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8D7-46AA-AA59-D6EFF09349F9}"/>
              </c:ext>
            </c:extLst>
          </c:dPt>
          <c:dPt>
            <c:idx val="74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8D7-46AA-AA59-D6EFF09349F9}"/>
              </c:ext>
            </c:extLst>
          </c:dPt>
          <c:dPt>
            <c:idx val="75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8D7-46AA-AA59-D6EFF09349F9}"/>
              </c:ext>
            </c:extLst>
          </c:dPt>
          <c:cat>
            <c:numRef>
              <c:f>'BBD Prod and Profit - data'!$A$8:$A$83</c:f>
              <c:numCache>
                <c:formatCode>m/d/yyyy</c:formatCode>
                <c:ptCount val="76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  <c:pt idx="13">
                  <c:v>44044</c:v>
                </c:pt>
                <c:pt idx="14">
                  <c:v>44075</c:v>
                </c:pt>
                <c:pt idx="15">
                  <c:v>44105</c:v>
                </c:pt>
                <c:pt idx="16">
                  <c:v>44136</c:v>
                </c:pt>
                <c:pt idx="17">
                  <c:v>44166</c:v>
                </c:pt>
                <c:pt idx="18">
                  <c:v>44197</c:v>
                </c:pt>
                <c:pt idx="19">
                  <c:v>44228</c:v>
                </c:pt>
                <c:pt idx="20">
                  <c:v>44256</c:v>
                </c:pt>
                <c:pt idx="21">
                  <c:v>44287</c:v>
                </c:pt>
                <c:pt idx="22">
                  <c:v>44317</c:v>
                </c:pt>
                <c:pt idx="23">
                  <c:v>44348</c:v>
                </c:pt>
                <c:pt idx="24">
                  <c:v>44378</c:v>
                </c:pt>
                <c:pt idx="25">
                  <c:v>44409</c:v>
                </c:pt>
                <c:pt idx="26">
                  <c:v>44440</c:v>
                </c:pt>
                <c:pt idx="27">
                  <c:v>44470</c:v>
                </c:pt>
                <c:pt idx="28">
                  <c:v>44501</c:v>
                </c:pt>
                <c:pt idx="29">
                  <c:v>44531</c:v>
                </c:pt>
                <c:pt idx="30">
                  <c:v>44562</c:v>
                </c:pt>
                <c:pt idx="31">
                  <c:v>44593</c:v>
                </c:pt>
                <c:pt idx="32">
                  <c:v>44621</c:v>
                </c:pt>
                <c:pt idx="33">
                  <c:v>44652</c:v>
                </c:pt>
                <c:pt idx="34">
                  <c:v>44682</c:v>
                </c:pt>
                <c:pt idx="35">
                  <c:v>44713</c:v>
                </c:pt>
                <c:pt idx="36">
                  <c:v>44743</c:v>
                </c:pt>
                <c:pt idx="37">
                  <c:v>44774</c:v>
                </c:pt>
                <c:pt idx="38">
                  <c:v>44805</c:v>
                </c:pt>
                <c:pt idx="39">
                  <c:v>44835</c:v>
                </c:pt>
                <c:pt idx="40">
                  <c:v>44866</c:v>
                </c:pt>
                <c:pt idx="41">
                  <c:v>44896</c:v>
                </c:pt>
                <c:pt idx="42">
                  <c:v>44927</c:v>
                </c:pt>
                <c:pt idx="43">
                  <c:v>44958</c:v>
                </c:pt>
                <c:pt idx="44">
                  <c:v>44986</c:v>
                </c:pt>
                <c:pt idx="45">
                  <c:v>45017</c:v>
                </c:pt>
                <c:pt idx="46">
                  <c:v>45047</c:v>
                </c:pt>
                <c:pt idx="47">
                  <c:v>45078</c:v>
                </c:pt>
                <c:pt idx="48">
                  <c:v>45108</c:v>
                </c:pt>
                <c:pt idx="49">
                  <c:v>45139</c:v>
                </c:pt>
                <c:pt idx="50">
                  <c:v>45170</c:v>
                </c:pt>
                <c:pt idx="51">
                  <c:v>45200</c:v>
                </c:pt>
                <c:pt idx="52">
                  <c:v>45231</c:v>
                </c:pt>
                <c:pt idx="53">
                  <c:v>45261</c:v>
                </c:pt>
                <c:pt idx="54">
                  <c:v>45292</c:v>
                </c:pt>
                <c:pt idx="55">
                  <c:v>45323</c:v>
                </c:pt>
                <c:pt idx="56">
                  <c:v>45352</c:v>
                </c:pt>
                <c:pt idx="57">
                  <c:v>45383</c:v>
                </c:pt>
                <c:pt idx="58">
                  <c:v>45413</c:v>
                </c:pt>
                <c:pt idx="59">
                  <c:v>45444</c:v>
                </c:pt>
                <c:pt idx="60">
                  <c:v>45474</c:v>
                </c:pt>
                <c:pt idx="61">
                  <c:v>45505</c:v>
                </c:pt>
                <c:pt idx="62">
                  <c:v>45536</c:v>
                </c:pt>
                <c:pt idx="63">
                  <c:v>45566</c:v>
                </c:pt>
                <c:pt idx="64">
                  <c:v>45597</c:v>
                </c:pt>
                <c:pt idx="65">
                  <c:v>45627</c:v>
                </c:pt>
                <c:pt idx="66">
                  <c:v>45658</c:v>
                </c:pt>
                <c:pt idx="67">
                  <c:v>45689</c:v>
                </c:pt>
                <c:pt idx="68">
                  <c:v>45717</c:v>
                </c:pt>
                <c:pt idx="69">
                  <c:v>45748</c:v>
                </c:pt>
                <c:pt idx="70">
                  <c:v>45778</c:v>
                </c:pt>
                <c:pt idx="71">
                  <c:v>45809</c:v>
                </c:pt>
                <c:pt idx="72">
                  <c:v>45839</c:v>
                </c:pt>
                <c:pt idx="73">
                  <c:v>45870</c:v>
                </c:pt>
                <c:pt idx="74">
                  <c:v>45901</c:v>
                </c:pt>
                <c:pt idx="75">
                  <c:v>45931</c:v>
                </c:pt>
              </c:numCache>
            </c:numRef>
          </c:cat>
          <c:val>
            <c:numRef>
              <c:f>'BBD Prod and Profit - data'!$F$8:$F$83</c:f>
              <c:numCache>
                <c:formatCode>#,##0_);[Red]\(#,##0\)</c:formatCode>
                <c:ptCount val="76"/>
                <c:pt idx="0">
                  <c:v>46282285</c:v>
                </c:pt>
                <c:pt idx="1">
                  <c:v>30180616</c:v>
                </c:pt>
                <c:pt idx="2">
                  <c:v>40692380</c:v>
                </c:pt>
                <c:pt idx="3">
                  <c:v>48569223</c:v>
                </c:pt>
                <c:pt idx="4">
                  <c:v>42514597</c:v>
                </c:pt>
                <c:pt idx="5">
                  <c:v>52796160</c:v>
                </c:pt>
                <c:pt idx="6">
                  <c:v>41857492</c:v>
                </c:pt>
                <c:pt idx="7">
                  <c:v>37300666</c:v>
                </c:pt>
                <c:pt idx="8">
                  <c:v>45226785</c:v>
                </c:pt>
                <c:pt idx="9">
                  <c:v>38638856</c:v>
                </c:pt>
                <c:pt idx="10">
                  <c:v>46421171</c:v>
                </c:pt>
                <c:pt idx="11">
                  <c:v>53207936</c:v>
                </c:pt>
                <c:pt idx="12">
                  <c:v>46684399</c:v>
                </c:pt>
                <c:pt idx="13">
                  <c:v>43952654</c:v>
                </c:pt>
                <c:pt idx="14">
                  <c:v>48112771</c:v>
                </c:pt>
                <c:pt idx="15">
                  <c:v>25237496</c:v>
                </c:pt>
                <c:pt idx="16">
                  <c:v>49060129</c:v>
                </c:pt>
                <c:pt idx="17">
                  <c:v>57807992</c:v>
                </c:pt>
                <c:pt idx="18">
                  <c:v>50374630</c:v>
                </c:pt>
                <c:pt idx="19">
                  <c:v>51175710</c:v>
                </c:pt>
                <c:pt idx="20">
                  <c:v>59222033</c:v>
                </c:pt>
                <c:pt idx="21">
                  <c:v>50634433</c:v>
                </c:pt>
                <c:pt idx="22">
                  <c:v>60051437</c:v>
                </c:pt>
                <c:pt idx="23">
                  <c:v>68859545</c:v>
                </c:pt>
                <c:pt idx="24">
                  <c:v>69500573</c:v>
                </c:pt>
                <c:pt idx="25">
                  <c:v>82392520</c:v>
                </c:pt>
                <c:pt idx="26">
                  <c:v>55747506</c:v>
                </c:pt>
                <c:pt idx="27">
                  <c:v>77344974</c:v>
                </c:pt>
                <c:pt idx="28">
                  <c:v>101861084</c:v>
                </c:pt>
                <c:pt idx="29">
                  <c:v>118270462</c:v>
                </c:pt>
                <c:pt idx="30">
                  <c:v>87010244</c:v>
                </c:pt>
                <c:pt idx="31">
                  <c:v>101396491</c:v>
                </c:pt>
                <c:pt idx="32">
                  <c:v>110055959</c:v>
                </c:pt>
                <c:pt idx="33">
                  <c:v>106480662</c:v>
                </c:pt>
                <c:pt idx="34">
                  <c:v>136075722</c:v>
                </c:pt>
                <c:pt idx="35">
                  <c:v>116253275</c:v>
                </c:pt>
                <c:pt idx="36">
                  <c:v>108975538</c:v>
                </c:pt>
                <c:pt idx="37">
                  <c:v>122248954</c:v>
                </c:pt>
                <c:pt idx="38">
                  <c:v>127613378</c:v>
                </c:pt>
                <c:pt idx="39">
                  <c:v>113679693</c:v>
                </c:pt>
                <c:pt idx="40">
                  <c:v>171787630</c:v>
                </c:pt>
                <c:pt idx="41">
                  <c:v>153759160</c:v>
                </c:pt>
                <c:pt idx="42">
                  <c:v>148278375</c:v>
                </c:pt>
                <c:pt idx="43">
                  <c:v>141070359</c:v>
                </c:pt>
                <c:pt idx="44">
                  <c:v>184175802</c:v>
                </c:pt>
                <c:pt idx="45">
                  <c:v>174407540</c:v>
                </c:pt>
                <c:pt idx="46">
                  <c:v>229265334</c:v>
                </c:pt>
                <c:pt idx="47">
                  <c:v>202490999</c:v>
                </c:pt>
                <c:pt idx="48">
                  <c:v>182796774</c:v>
                </c:pt>
                <c:pt idx="49">
                  <c:v>236476280</c:v>
                </c:pt>
                <c:pt idx="50">
                  <c:v>234008508</c:v>
                </c:pt>
                <c:pt idx="51">
                  <c:v>214031283</c:v>
                </c:pt>
                <c:pt idx="52">
                  <c:v>205619514</c:v>
                </c:pt>
                <c:pt idx="53">
                  <c:v>274816428</c:v>
                </c:pt>
                <c:pt idx="54">
                  <c:v>230210264</c:v>
                </c:pt>
                <c:pt idx="55">
                  <c:v>230073636</c:v>
                </c:pt>
                <c:pt idx="56">
                  <c:v>215239327</c:v>
                </c:pt>
                <c:pt idx="57">
                  <c:v>283042186</c:v>
                </c:pt>
                <c:pt idx="58">
                  <c:v>220402735</c:v>
                </c:pt>
                <c:pt idx="59">
                  <c:v>282589564</c:v>
                </c:pt>
                <c:pt idx="60">
                  <c:v>288735600</c:v>
                </c:pt>
                <c:pt idx="61">
                  <c:v>276037244.57198423</c:v>
                </c:pt>
                <c:pt idx="62">
                  <c:v>276263022.5859074</c:v>
                </c:pt>
                <c:pt idx="63">
                  <c:v>284099898.97044694</c:v>
                </c:pt>
                <c:pt idx="64">
                  <c:v>278892259.13631201</c:v>
                </c:pt>
                <c:pt idx="65">
                  <c:v>271192865.13990861</c:v>
                </c:pt>
                <c:pt idx="66">
                  <c:v>285456958.46751118</c:v>
                </c:pt>
                <c:pt idx="67">
                  <c:v>272546702.9283728</c:v>
                </c:pt>
                <c:pt idx="68">
                  <c:v>278624309.40370905</c:v>
                </c:pt>
                <c:pt idx="69">
                  <c:v>283869015.24399775</c:v>
                </c:pt>
                <c:pt idx="70">
                  <c:v>279078776.88125658</c:v>
                </c:pt>
                <c:pt idx="71">
                  <c:v>282361569.64702278</c:v>
                </c:pt>
                <c:pt idx="72">
                  <c:v>281992984.65336317</c:v>
                </c:pt>
                <c:pt idx="73">
                  <c:v>288394151.46351153</c:v>
                </c:pt>
                <c:pt idx="74">
                  <c:v>285651492.18971997</c:v>
                </c:pt>
                <c:pt idx="75">
                  <c:v>276991773.19140428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8D7-46AA-AA59-D6EFF093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06966208"/>
        <c:axId val="27685695"/>
      </c:barChart>
      <c:lineChart>
        <c:grouping val="standard"/>
        <c:varyColors val="0"/>
        <c:ser>
          <c:idx val="1"/>
          <c:order val="1"/>
          <c:tx>
            <c:strRef>
              <c:f>'BBD Prod and Profit - data'!$E$1</c:f>
              <c:strCache>
                <c:ptCount val="1"/>
                <c:pt idx="0">
                  <c:v>Renewable Diesel Profit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C8D7-46AA-AA59-D6EFF09349F9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C8D7-46AA-AA59-D6EFF09349F9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C8D7-46AA-AA59-D6EFF09349F9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C8D7-46AA-AA59-D6EFF09349F9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C8D7-46AA-AA59-D6EFF09349F9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C8D7-46AA-AA59-D6EFF09349F9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C8D7-46AA-AA59-D6EFF09349F9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C8D7-46AA-AA59-D6EFF09349F9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C8D7-46AA-AA59-D6EFF09349F9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C8D7-46AA-AA59-D6EFF09349F9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C8D7-46AA-AA59-D6EFF09349F9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C8D7-46AA-AA59-D6EFF09349F9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C8D7-46AA-AA59-D6EFF09349F9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C8D7-46AA-AA59-D6EFF09349F9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C8D7-46AA-AA59-D6EFF09349F9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C8D7-46AA-AA59-D6EFF09349F9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C8D7-46AA-AA59-D6EFF09349F9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C8D7-46AA-AA59-D6EFF09349F9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C8D7-46AA-AA59-D6EFF09349F9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C8D7-46AA-AA59-D6EFF09349F9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C8D7-46AA-AA59-D6EFF09349F9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C8D7-46AA-AA59-D6EFF09349F9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C8D7-46AA-AA59-D6EFF09349F9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C8D7-46AA-AA59-D6EFF09349F9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C8D7-46AA-AA59-D6EFF09349F9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C8D7-46AA-AA59-D6EFF09349F9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C8D7-46AA-AA59-D6EFF09349F9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C8D7-46AA-AA59-D6EFF09349F9}"/>
              </c:ext>
            </c:extLst>
          </c:dPt>
          <c:cat>
            <c:numRef>
              <c:f>'BBD Prod and Profit - data'!$A$8:$A$83</c:f>
              <c:numCache>
                <c:formatCode>m/d/yyyy</c:formatCode>
                <c:ptCount val="76"/>
                <c:pt idx="0">
                  <c:v>43647</c:v>
                </c:pt>
                <c:pt idx="1">
                  <c:v>43678</c:v>
                </c:pt>
                <c:pt idx="2">
                  <c:v>43709</c:v>
                </c:pt>
                <c:pt idx="3">
                  <c:v>43739</c:v>
                </c:pt>
                <c:pt idx="4">
                  <c:v>43770</c:v>
                </c:pt>
                <c:pt idx="5">
                  <c:v>43800</c:v>
                </c:pt>
                <c:pt idx="6">
                  <c:v>43831</c:v>
                </c:pt>
                <c:pt idx="7">
                  <c:v>43862</c:v>
                </c:pt>
                <c:pt idx="8">
                  <c:v>43891</c:v>
                </c:pt>
                <c:pt idx="9">
                  <c:v>43922</c:v>
                </c:pt>
                <c:pt idx="10">
                  <c:v>43952</c:v>
                </c:pt>
                <c:pt idx="11">
                  <c:v>43983</c:v>
                </c:pt>
                <c:pt idx="12">
                  <c:v>44013</c:v>
                </c:pt>
                <c:pt idx="13">
                  <c:v>44044</c:v>
                </c:pt>
                <c:pt idx="14">
                  <c:v>44075</c:v>
                </c:pt>
                <c:pt idx="15">
                  <c:v>44105</c:v>
                </c:pt>
                <c:pt idx="16">
                  <c:v>44136</c:v>
                </c:pt>
                <c:pt idx="17">
                  <c:v>44166</c:v>
                </c:pt>
                <c:pt idx="18">
                  <c:v>44197</c:v>
                </c:pt>
                <c:pt idx="19">
                  <c:v>44228</c:v>
                </c:pt>
                <c:pt idx="20">
                  <c:v>44256</c:v>
                </c:pt>
                <c:pt idx="21">
                  <c:v>44287</c:v>
                </c:pt>
                <c:pt idx="22">
                  <c:v>44317</c:v>
                </c:pt>
                <c:pt idx="23">
                  <c:v>44348</c:v>
                </c:pt>
                <c:pt idx="24">
                  <c:v>44378</c:v>
                </c:pt>
                <c:pt idx="25">
                  <c:v>44409</c:v>
                </c:pt>
                <c:pt idx="26">
                  <c:v>44440</c:v>
                </c:pt>
                <c:pt idx="27">
                  <c:v>44470</c:v>
                </c:pt>
                <c:pt idx="28">
                  <c:v>44501</c:v>
                </c:pt>
                <c:pt idx="29">
                  <c:v>44531</c:v>
                </c:pt>
                <c:pt idx="30">
                  <c:v>44562</c:v>
                </c:pt>
                <c:pt idx="31">
                  <c:v>44593</c:v>
                </c:pt>
                <c:pt idx="32">
                  <c:v>44621</c:v>
                </c:pt>
                <c:pt idx="33">
                  <c:v>44652</c:v>
                </c:pt>
                <c:pt idx="34">
                  <c:v>44682</c:v>
                </c:pt>
                <c:pt idx="35">
                  <c:v>44713</c:v>
                </c:pt>
                <c:pt idx="36">
                  <c:v>44743</c:v>
                </c:pt>
                <c:pt idx="37">
                  <c:v>44774</c:v>
                </c:pt>
                <c:pt idx="38">
                  <c:v>44805</c:v>
                </c:pt>
                <c:pt idx="39">
                  <c:v>44835</c:v>
                </c:pt>
                <c:pt idx="40">
                  <c:v>44866</c:v>
                </c:pt>
                <c:pt idx="41">
                  <c:v>44896</c:v>
                </c:pt>
                <c:pt idx="42">
                  <c:v>44927</c:v>
                </c:pt>
                <c:pt idx="43">
                  <c:v>44958</c:v>
                </c:pt>
                <c:pt idx="44">
                  <c:v>44986</c:v>
                </c:pt>
                <c:pt idx="45">
                  <c:v>45017</c:v>
                </c:pt>
                <c:pt idx="46">
                  <c:v>45047</c:v>
                </c:pt>
                <c:pt idx="47">
                  <c:v>45078</c:v>
                </c:pt>
                <c:pt idx="48">
                  <c:v>45108</c:v>
                </c:pt>
                <c:pt idx="49">
                  <c:v>45139</c:v>
                </c:pt>
                <c:pt idx="50">
                  <c:v>45170</c:v>
                </c:pt>
                <c:pt idx="51">
                  <c:v>45200</c:v>
                </c:pt>
                <c:pt idx="52">
                  <c:v>45231</c:v>
                </c:pt>
                <c:pt idx="53">
                  <c:v>45261</c:v>
                </c:pt>
                <c:pt idx="54">
                  <c:v>45292</c:v>
                </c:pt>
                <c:pt idx="55">
                  <c:v>45323</c:v>
                </c:pt>
                <c:pt idx="56">
                  <c:v>45352</c:v>
                </c:pt>
                <c:pt idx="57">
                  <c:v>45383</c:v>
                </c:pt>
                <c:pt idx="58">
                  <c:v>45413</c:v>
                </c:pt>
                <c:pt idx="59">
                  <c:v>45444</c:v>
                </c:pt>
                <c:pt idx="60">
                  <c:v>45474</c:v>
                </c:pt>
                <c:pt idx="61">
                  <c:v>45505</c:v>
                </c:pt>
                <c:pt idx="62">
                  <c:v>45536</c:v>
                </c:pt>
                <c:pt idx="63">
                  <c:v>45566</c:v>
                </c:pt>
                <c:pt idx="64">
                  <c:v>45597</c:v>
                </c:pt>
                <c:pt idx="65">
                  <c:v>45627</c:v>
                </c:pt>
                <c:pt idx="66">
                  <c:v>45658</c:v>
                </c:pt>
                <c:pt idx="67">
                  <c:v>45689</c:v>
                </c:pt>
                <c:pt idx="68">
                  <c:v>45717</c:v>
                </c:pt>
                <c:pt idx="69">
                  <c:v>45748</c:v>
                </c:pt>
                <c:pt idx="70">
                  <c:v>45778</c:v>
                </c:pt>
                <c:pt idx="71">
                  <c:v>45809</c:v>
                </c:pt>
                <c:pt idx="72">
                  <c:v>45839</c:v>
                </c:pt>
                <c:pt idx="73">
                  <c:v>45870</c:v>
                </c:pt>
                <c:pt idx="74">
                  <c:v>45901</c:v>
                </c:pt>
                <c:pt idx="75">
                  <c:v>45931</c:v>
                </c:pt>
              </c:numCache>
            </c:numRef>
          </c:cat>
          <c:val>
            <c:numRef>
              <c:f>'BBD Prod and Profit - data'!$E$8:$E$83</c:f>
              <c:numCache>
                <c:formatCode>#,##0.00_);[Red]\(#,##0.00\)</c:formatCode>
                <c:ptCount val="76"/>
                <c:pt idx="0">
                  <c:v>2.6721150610209987</c:v>
                </c:pt>
                <c:pt idx="1">
                  <c:v>2.638043771684953</c:v>
                </c:pt>
                <c:pt idx="2">
                  <c:v>2.9421584972922523</c:v>
                </c:pt>
                <c:pt idx="3">
                  <c:v>3.161954647223896</c:v>
                </c:pt>
                <c:pt idx="4">
                  <c:v>3.3629505995688911</c:v>
                </c:pt>
                <c:pt idx="5">
                  <c:v>3.0939278659117337</c:v>
                </c:pt>
                <c:pt idx="6">
                  <c:v>2.7623783775595525</c:v>
                </c:pt>
                <c:pt idx="7">
                  <c:v>2.34728112654187</c:v>
                </c:pt>
                <c:pt idx="8">
                  <c:v>1.87472491902821</c:v>
                </c:pt>
                <c:pt idx="9">
                  <c:v>1.6921815657901746</c:v>
                </c:pt>
                <c:pt idx="10">
                  <c:v>1.6525784740675509</c:v>
                </c:pt>
                <c:pt idx="11">
                  <c:v>2.3463817306336043</c:v>
                </c:pt>
                <c:pt idx="12">
                  <c:v>2.5125428891441501</c:v>
                </c:pt>
                <c:pt idx="13">
                  <c:v>2.2921425963451778</c:v>
                </c:pt>
                <c:pt idx="14">
                  <c:v>2.2927496283470639</c:v>
                </c:pt>
                <c:pt idx="15">
                  <c:v>2.2604731313147619</c:v>
                </c:pt>
                <c:pt idx="16">
                  <c:v>2.4727279497464059</c:v>
                </c:pt>
                <c:pt idx="17">
                  <c:v>2.6336432469151547</c:v>
                </c:pt>
                <c:pt idx="18">
                  <c:v>2.5535517233651159</c:v>
                </c:pt>
                <c:pt idx="19">
                  <c:v>2.5698286546840863</c:v>
                </c:pt>
                <c:pt idx="20">
                  <c:v>2.7795708868212681</c:v>
                </c:pt>
                <c:pt idx="21">
                  <c:v>2.4943223595551798</c:v>
                </c:pt>
                <c:pt idx="22">
                  <c:v>3.3620200825924513</c:v>
                </c:pt>
                <c:pt idx="23">
                  <c:v>3.1953934660263252</c:v>
                </c:pt>
                <c:pt idx="24">
                  <c:v>2.6278055963040594</c:v>
                </c:pt>
                <c:pt idx="25">
                  <c:v>2.4059289364402536</c:v>
                </c:pt>
                <c:pt idx="26">
                  <c:v>2.3109276738437128</c:v>
                </c:pt>
                <c:pt idx="27">
                  <c:v>2.3438349461471057</c:v>
                </c:pt>
                <c:pt idx="28">
                  <c:v>1.9254162523422698</c:v>
                </c:pt>
                <c:pt idx="29">
                  <c:v>1.9623688375730379</c:v>
                </c:pt>
                <c:pt idx="30">
                  <c:v>1.954574986704511</c:v>
                </c:pt>
                <c:pt idx="31">
                  <c:v>1.923519063224236</c:v>
                </c:pt>
                <c:pt idx="32">
                  <c:v>2.2743834143490371</c:v>
                </c:pt>
                <c:pt idx="33">
                  <c:v>2.6493530361076125</c:v>
                </c:pt>
                <c:pt idx="34">
                  <c:v>2.6700832716098173</c:v>
                </c:pt>
                <c:pt idx="35">
                  <c:v>2.7512809391405337</c:v>
                </c:pt>
                <c:pt idx="36">
                  <c:v>2.3450298610328142</c:v>
                </c:pt>
                <c:pt idx="37">
                  <c:v>2.3688001307179283</c:v>
                </c:pt>
                <c:pt idx="38">
                  <c:v>2.2464463616233639</c:v>
                </c:pt>
                <c:pt idx="39">
                  <c:v>2.6869255032921791</c:v>
                </c:pt>
                <c:pt idx="40">
                  <c:v>2.5760059684286203</c:v>
                </c:pt>
                <c:pt idx="41">
                  <c:v>2.0307330607661322</c:v>
                </c:pt>
                <c:pt idx="42">
                  <c:v>2.0164636266104692</c:v>
                </c:pt>
                <c:pt idx="43">
                  <c:v>2.2643429802354262</c:v>
                </c:pt>
                <c:pt idx="44">
                  <c:v>2.5072819481690791</c:v>
                </c:pt>
                <c:pt idx="45">
                  <c:v>2.5041132465928277</c:v>
                </c:pt>
                <c:pt idx="46">
                  <c:v>2.0087243199721065</c:v>
                </c:pt>
                <c:pt idx="47">
                  <c:v>1.7053365581225082</c:v>
                </c:pt>
                <c:pt idx="48">
                  <c:v>1.5937295282004389</c:v>
                </c:pt>
                <c:pt idx="49">
                  <c:v>1.9778641278798765</c:v>
                </c:pt>
                <c:pt idx="50">
                  <c:v>2.1046603232367582</c:v>
                </c:pt>
                <c:pt idx="51">
                  <c:v>1.5532525961766694</c:v>
                </c:pt>
                <c:pt idx="52">
                  <c:v>1.7474112877336017</c:v>
                </c:pt>
                <c:pt idx="53">
                  <c:v>1.7757544384359669</c:v>
                </c:pt>
                <c:pt idx="54">
                  <c:v>1.7206520082358829</c:v>
                </c:pt>
                <c:pt idx="55">
                  <c:v>1.4005826283767351</c:v>
                </c:pt>
                <c:pt idx="56">
                  <c:v>1.5484641397633456</c:v>
                </c:pt>
                <c:pt idx="57">
                  <c:v>1.4763957894394553</c:v>
                </c:pt>
                <c:pt idx="58">
                  <c:v>1.1731268888593864</c:v>
                </c:pt>
                <c:pt idx="59">
                  <c:v>1.0110367919931178</c:v>
                </c:pt>
                <c:pt idx="60">
                  <c:v>0.87258703520651426</c:v>
                </c:pt>
                <c:pt idx="61">
                  <c:v>0.73561334528938782</c:v>
                </c:pt>
                <c:pt idx="62">
                  <c:v>0.69551548178320943</c:v>
                </c:pt>
                <c:pt idx="63">
                  <c:v>1.0790111422017279</c:v>
                </c:pt>
                <c:pt idx="64">
                  <c:v>1.2171730343889</c:v>
                </c:pt>
                <c:pt idx="65">
                  <c:v>1.3374600093273963</c:v>
                </c:pt>
                <c:pt idx="66">
                  <c:v>1.3127381201971209</c:v>
                </c:pt>
                <c:pt idx="67">
                  <c:v>0.93847545796613552</c:v>
                </c:pt>
                <c:pt idx="68">
                  <c:v>0.71193495711293875</c:v>
                </c:pt>
                <c:pt idx="69">
                  <c:v>1.1695296006569862</c:v>
                </c:pt>
                <c:pt idx="70">
                  <c:v>1.235961318118175</c:v>
                </c:pt>
                <c:pt idx="71">
                  <c:v>1.0002269068464746</c:v>
                </c:pt>
                <c:pt idx="72">
                  <c:v>1.0975604922683631</c:v>
                </c:pt>
                <c:pt idx="73">
                  <c:v>1.1282314962748465</c:v>
                </c:pt>
                <c:pt idx="74">
                  <c:v>0.76604183921423541</c:v>
                </c:pt>
                <c:pt idx="75">
                  <c:v>0.43781392994989632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8D7-46AA-AA59-D6EFF093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203503"/>
        <c:axId val="115268815"/>
      </c:lineChart>
      <c:dateAx>
        <c:axId val="706966208"/>
        <c:scaling>
          <c:orientation val="minMax"/>
          <c:min val="44105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7685695"/>
        <c:crosses val="autoZero"/>
        <c:auto val="1"/>
        <c:lblOffset val="100"/>
        <c:baseTimeUnit val="months"/>
        <c:majorUnit val="3"/>
        <c:majorTimeUnit val="months"/>
      </c:dateAx>
      <c:valAx>
        <c:axId val="276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06966208"/>
        <c:crosses val="autoZero"/>
        <c:crossBetween val="between"/>
        <c:dispUnits>
          <c:builtInUnit val="millions"/>
        </c:dispUnits>
      </c:valAx>
      <c:valAx>
        <c:axId val="115268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USD per 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317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64203503"/>
        <c:crosses val="max"/>
        <c:crossBetween val="between"/>
      </c:valAx>
      <c:dateAx>
        <c:axId val="46420350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5268815"/>
        <c:crosses val="autoZero"/>
        <c:auto val="1"/>
        <c:lblOffset val="100"/>
        <c:baseTimeUnit val="months"/>
      </c:date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U.S. Biodiesel Production and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034029428254004E-2"/>
          <c:y val="0.11423367320622844"/>
          <c:w val="0.8292627716765093"/>
          <c:h val="0.71705550400733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'BBD Prod and Profit - data'!$B$1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54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D8-441C-B6A5-EDB4BDE094FD}"/>
              </c:ext>
            </c:extLst>
          </c:dPt>
          <c:dPt>
            <c:idx val="5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D8-441C-B6A5-EDB4BDE094FD}"/>
              </c:ext>
            </c:extLst>
          </c:dPt>
          <c:dPt>
            <c:idx val="56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D8-441C-B6A5-EDB4BDE094FD}"/>
              </c:ext>
            </c:extLst>
          </c:dPt>
          <c:dPt>
            <c:idx val="57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D8-441C-B6A5-EDB4BDE094FD}"/>
              </c:ext>
            </c:extLst>
          </c:dPt>
          <c:dPt>
            <c:idx val="58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D8-441C-B6A5-EDB4BDE094FD}"/>
              </c:ext>
            </c:extLst>
          </c:dPt>
          <c:dPt>
            <c:idx val="5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D8-441C-B6A5-EDB4BDE094FD}"/>
              </c:ext>
            </c:extLst>
          </c:dPt>
          <c:dPt>
            <c:idx val="60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D8-441C-B6A5-EDB4BDE094FD}"/>
              </c:ext>
            </c:extLst>
          </c:dPt>
          <c:dPt>
            <c:idx val="61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D8-441C-B6A5-EDB4BDE094FD}"/>
              </c:ext>
            </c:extLst>
          </c:dPt>
          <c:dPt>
            <c:idx val="62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D8-441C-B6A5-EDB4BDE094FD}"/>
              </c:ext>
            </c:extLst>
          </c:dPt>
          <c:dPt>
            <c:idx val="63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DD8-441C-B6A5-EDB4BDE094FD}"/>
              </c:ext>
            </c:extLst>
          </c:dPt>
          <c:dPt>
            <c:idx val="64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DD8-441C-B6A5-EDB4BDE094FD}"/>
              </c:ext>
            </c:extLst>
          </c:dPt>
          <c:dPt>
            <c:idx val="6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DD8-441C-B6A5-EDB4BDE094FD}"/>
              </c:ext>
            </c:extLst>
          </c:dPt>
          <c:dPt>
            <c:idx val="66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DD8-441C-B6A5-EDB4BDE094FD}"/>
              </c:ext>
            </c:extLst>
          </c:dPt>
          <c:dPt>
            <c:idx val="67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DD8-441C-B6A5-EDB4BDE094FD}"/>
              </c:ext>
            </c:extLst>
          </c:dPt>
          <c:dPt>
            <c:idx val="68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DD8-441C-B6A5-EDB4BDE094FD}"/>
              </c:ext>
            </c:extLst>
          </c:dPt>
          <c:dPt>
            <c:idx val="6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DD8-441C-B6A5-EDB4BDE094FD}"/>
              </c:ext>
            </c:extLst>
          </c:dPt>
          <c:dPt>
            <c:idx val="70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DD8-441C-B6A5-EDB4BDE094FD}"/>
              </c:ext>
            </c:extLst>
          </c:dPt>
          <c:dPt>
            <c:idx val="71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DD8-441C-B6A5-EDB4BDE094FD}"/>
              </c:ext>
            </c:extLst>
          </c:dPt>
          <c:dPt>
            <c:idx val="72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DD8-441C-B6A5-EDB4BDE094FD}"/>
              </c:ext>
            </c:extLst>
          </c:dPt>
          <c:dPt>
            <c:idx val="73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DD8-441C-B6A5-EDB4BDE094FD}"/>
              </c:ext>
            </c:extLst>
          </c:dPt>
          <c:dPt>
            <c:idx val="74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DD8-441C-B6A5-EDB4BDE094FD}"/>
              </c:ext>
            </c:extLst>
          </c:dPt>
          <c:dPt>
            <c:idx val="75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DD8-441C-B6A5-EDB4BDE094FD}"/>
              </c:ext>
            </c:extLst>
          </c:dPt>
          <c:dPt>
            <c:idx val="76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DD8-441C-B6A5-EDB4BDE094FD}"/>
              </c:ext>
            </c:extLst>
          </c:dPt>
          <c:dPt>
            <c:idx val="77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DD8-441C-B6A5-EDB4BDE094FD}"/>
              </c:ext>
            </c:extLst>
          </c:dPt>
          <c:dPt>
            <c:idx val="78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DD8-441C-B6A5-EDB4BDE094FD}"/>
              </c:ext>
            </c:extLst>
          </c:dPt>
          <c:dPt>
            <c:idx val="79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DD8-441C-B6A5-EDB4BDE094FD}"/>
              </c:ext>
            </c:extLst>
          </c:dPt>
          <c:dPt>
            <c:idx val="80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DD8-441C-B6A5-EDB4BDE094FD}"/>
              </c:ext>
            </c:extLst>
          </c:dPt>
          <c:dPt>
            <c:idx val="81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DD8-441C-B6A5-EDB4BDE094FD}"/>
              </c:ext>
            </c:extLst>
          </c:dPt>
          <c:cat>
            <c:numRef>
              <c:f>'BBD Prod and Profit - data'!$A$2:$A$83</c:f>
              <c:numCache>
                <c:formatCode>m/d/yyyy</c:formatCode>
                <c:ptCount val="8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</c:numCache>
            </c:numRef>
          </c:cat>
          <c:val>
            <c:numRef>
              <c:f>'BBD Prod and Profit - data'!$B$2:$B$83</c:f>
              <c:numCache>
                <c:formatCode>#,##0_);[Red]\(#,##0\)</c:formatCode>
                <c:ptCount val="82"/>
                <c:pt idx="0">
                  <c:v>107668977</c:v>
                </c:pt>
                <c:pt idx="1">
                  <c:v>117330452</c:v>
                </c:pt>
                <c:pt idx="2">
                  <c:v>147660816</c:v>
                </c:pt>
                <c:pt idx="3">
                  <c:v>160899734</c:v>
                </c:pt>
                <c:pt idx="4">
                  <c:v>164042436</c:v>
                </c:pt>
                <c:pt idx="5">
                  <c:v>144102423</c:v>
                </c:pt>
                <c:pt idx="6">
                  <c:v>169452631</c:v>
                </c:pt>
                <c:pt idx="7">
                  <c:v>153598697</c:v>
                </c:pt>
                <c:pt idx="8">
                  <c:v>143659811</c:v>
                </c:pt>
                <c:pt idx="9">
                  <c:v>146618360</c:v>
                </c:pt>
                <c:pt idx="10">
                  <c:v>119139678</c:v>
                </c:pt>
                <c:pt idx="11">
                  <c:v>139601581</c:v>
                </c:pt>
                <c:pt idx="12">
                  <c:v>118403817</c:v>
                </c:pt>
                <c:pt idx="13">
                  <c:v>128033003</c:v>
                </c:pt>
                <c:pt idx="14">
                  <c:v>150092678</c:v>
                </c:pt>
                <c:pt idx="15">
                  <c:v>149356126</c:v>
                </c:pt>
                <c:pt idx="16">
                  <c:v>143174223</c:v>
                </c:pt>
                <c:pt idx="17">
                  <c:v>165519330</c:v>
                </c:pt>
                <c:pt idx="18">
                  <c:v>162738265</c:v>
                </c:pt>
                <c:pt idx="19">
                  <c:v>171493499</c:v>
                </c:pt>
                <c:pt idx="20">
                  <c:v>167865219</c:v>
                </c:pt>
                <c:pt idx="21">
                  <c:v>149489760</c:v>
                </c:pt>
                <c:pt idx="22">
                  <c:v>142828517</c:v>
                </c:pt>
                <c:pt idx="23">
                  <c:v>175881221</c:v>
                </c:pt>
                <c:pt idx="24">
                  <c:v>107302585</c:v>
                </c:pt>
                <c:pt idx="25">
                  <c:v>109881050</c:v>
                </c:pt>
                <c:pt idx="26">
                  <c:v>150338931</c:v>
                </c:pt>
                <c:pt idx="27">
                  <c:v>144396494</c:v>
                </c:pt>
                <c:pt idx="28">
                  <c:v>150501950</c:v>
                </c:pt>
                <c:pt idx="29">
                  <c:v>154457118</c:v>
                </c:pt>
                <c:pt idx="30">
                  <c:v>146890338</c:v>
                </c:pt>
                <c:pt idx="31">
                  <c:v>154582245</c:v>
                </c:pt>
                <c:pt idx="32">
                  <c:v>139934774</c:v>
                </c:pt>
                <c:pt idx="33">
                  <c:v>139778878</c:v>
                </c:pt>
                <c:pt idx="34">
                  <c:v>140856752</c:v>
                </c:pt>
                <c:pt idx="35">
                  <c:v>165708240</c:v>
                </c:pt>
                <c:pt idx="36">
                  <c:v>90715015</c:v>
                </c:pt>
                <c:pt idx="37">
                  <c:v>110442650</c:v>
                </c:pt>
                <c:pt idx="38">
                  <c:v>135869438</c:v>
                </c:pt>
                <c:pt idx="39">
                  <c:v>144286382</c:v>
                </c:pt>
                <c:pt idx="40">
                  <c:v>139875243</c:v>
                </c:pt>
                <c:pt idx="41">
                  <c:v>142855221</c:v>
                </c:pt>
                <c:pt idx="42">
                  <c:v>137545866</c:v>
                </c:pt>
                <c:pt idx="43">
                  <c:v>151833118</c:v>
                </c:pt>
                <c:pt idx="44">
                  <c:v>141860945</c:v>
                </c:pt>
                <c:pt idx="45">
                  <c:v>138040230</c:v>
                </c:pt>
                <c:pt idx="46">
                  <c:v>141295576</c:v>
                </c:pt>
                <c:pt idx="47">
                  <c:v>145591401</c:v>
                </c:pt>
                <c:pt idx="48">
                  <c:v>119548309</c:v>
                </c:pt>
                <c:pt idx="49">
                  <c:v>114742607</c:v>
                </c:pt>
                <c:pt idx="50">
                  <c:v>130889308</c:v>
                </c:pt>
                <c:pt idx="51">
                  <c:v>133835520</c:v>
                </c:pt>
                <c:pt idx="52">
                  <c:v>163593533</c:v>
                </c:pt>
                <c:pt idx="53">
                  <c:v>153006295</c:v>
                </c:pt>
                <c:pt idx="54">
                  <c:v>142593233</c:v>
                </c:pt>
                <c:pt idx="55">
                  <c:v>152345476</c:v>
                </c:pt>
                <c:pt idx="56">
                  <c:v>143870897</c:v>
                </c:pt>
                <c:pt idx="57">
                  <c:v>144087366</c:v>
                </c:pt>
                <c:pt idx="58">
                  <c:v>135076229</c:v>
                </c:pt>
                <c:pt idx="59">
                  <c:v>136732063</c:v>
                </c:pt>
                <c:pt idx="60">
                  <c:v>120715672</c:v>
                </c:pt>
                <c:pt idx="61">
                  <c:v>125799224</c:v>
                </c:pt>
                <c:pt idx="62">
                  <c:v>133487105</c:v>
                </c:pt>
                <c:pt idx="63">
                  <c:v>136121554</c:v>
                </c:pt>
                <c:pt idx="64">
                  <c:v>142728755</c:v>
                </c:pt>
                <c:pt idx="65">
                  <c:v>133806992</c:v>
                </c:pt>
                <c:pt idx="66">
                  <c:v>145953904</c:v>
                </c:pt>
                <c:pt idx="67">
                  <c:v>139724190</c:v>
                </c:pt>
                <c:pt idx="68">
                  <c:v>134537885</c:v>
                </c:pt>
                <c:pt idx="69">
                  <c:v>148097836</c:v>
                </c:pt>
                <c:pt idx="70">
                  <c:v>133353588</c:v>
                </c:pt>
                <c:pt idx="71">
                  <c:v>174921835</c:v>
                </c:pt>
                <c:pt idx="72">
                  <c:v>65635810</c:v>
                </c:pt>
                <c:pt idx="73">
                  <c:v>73721896</c:v>
                </c:pt>
                <c:pt idx="74">
                  <c:v>95835418</c:v>
                </c:pt>
                <c:pt idx="75">
                  <c:v>131791986.24915777</c:v>
                </c:pt>
                <c:pt idx="76">
                  <c:v>137920236.89019856</c:v>
                </c:pt>
                <c:pt idx="77">
                  <c:v>139596321.19621357</c:v>
                </c:pt>
                <c:pt idx="78">
                  <c:v>137410035.36067736</c:v>
                </c:pt>
                <c:pt idx="79">
                  <c:v>143738699.39125273</c:v>
                </c:pt>
                <c:pt idx="80">
                  <c:v>135753181.58840644</c:v>
                </c:pt>
                <c:pt idx="81">
                  <c:v>134474043.6377117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5DD8-441C-B6A5-EDB4BDE09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06966208"/>
        <c:axId val="27685695"/>
      </c:barChart>
      <c:lineChart>
        <c:grouping val="standard"/>
        <c:varyColors val="0"/>
        <c:ser>
          <c:idx val="1"/>
          <c:order val="1"/>
          <c:tx>
            <c:v>Biodiesel Profitability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5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5DD8-441C-B6A5-EDB4BDE094FD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5DD8-441C-B6A5-EDB4BDE094FD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5DD8-441C-B6A5-EDB4BDE094FD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5DD8-441C-B6A5-EDB4BDE094FD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5DD8-441C-B6A5-EDB4BDE094FD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5DD8-441C-B6A5-EDB4BDE094FD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5DD8-441C-B6A5-EDB4BDE094FD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5DD8-441C-B6A5-EDB4BDE094FD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5DD8-441C-B6A5-EDB4BDE094FD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5DD8-441C-B6A5-EDB4BDE094FD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5DD8-441C-B6A5-EDB4BDE094FD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5DD8-441C-B6A5-EDB4BDE094FD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5DD8-441C-B6A5-EDB4BDE094FD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5DD8-441C-B6A5-EDB4BDE094FD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5DD8-441C-B6A5-EDB4BDE094FD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5DD8-441C-B6A5-EDB4BDE094FD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5DD8-441C-B6A5-EDB4BDE094FD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5DD8-441C-B6A5-EDB4BDE094FD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5DD8-441C-B6A5-EDB4BDE094FD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5DD8-441C-B6A5-EDB4BDE094FD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5DD8-441C-B6A5-EDB4BDE094FD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5DD8-441C-B6A5-EDB4BDE094FD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5DD8-441C-B6A5-EDB4BDE094FD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5DD8-441C-B6A5-EDB4BDE094FD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5DD8-441C-B6A5-EDB4BDE094FD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5DD8-441C-B6A5-EDB4BDE094FD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E-5DD8-441C-B6A5-EDB4BDE094FD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5DD8-441C-B6A5-EDB4BDE094FD}"/>
              </c:ext>
            </c:extLst>
          </c:dPt>
          <c:cat>
            <c:numRef>
              <c:f>'BBD Prod and Profit - data'!$A$2:$A$83</c:f>
              <c:numCache>
                <c:formatCode>m/d/yyyy</c:formatCode>
                <c:ptCount val="8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</c:numCache>
            </c:numRef>
          </c:cat>
          <c:val>
            <c:numRef>
              <c:f>'BBD Prod and Profit - data'!$D$2:$D$83</c:f>
              <c:numCache>
                <c:formatCode>#,##0.00_);[Red]\(#,##0.00\)</c:formatCode>
                <c:ptCount val="82"/>
                <c:pt idx="0">
                  <c:v>9.9487109375000216E-2</c:v>
                </c:pt>
                <c:pt idx="1">
                  <c:v>0.10253603515624986</c:v>
                </c:pt>
                <c:pt idx="2">
                  <c:v>0.17785648437499985</c:v>
                </c:pt>
                <c:pt idx="3">
                  <c:v>0.20115588867187528</c:v>
                </c:pt>
                <c:pt idx="4">
                  <c:v>0.23332225781250018</c:v>
                </c:pt>
                <c:pt idx="5">
                  <c:v>0.16873113281250021</c:v>
                </c:pt>
                <c:pt idx="6">
                  <c:v>0.20969506835937526</c:v>
                </c:pt>
                <c:pt idx="7">
                  <c:v>0.27096679687500019</c:v>
                </c:pt>
                <c:pt idx="8">
                  <c:v>0.30907017578125023</c:v>
                </c:pt>
                <c:pt idx="9">
                  <c:v>0.21626386718749971</c:v>
                </c:pt>
                <c:pt idx="10">
                  <c:v>0.24853543593749991</c:v>
                </c:pt>
                <c:pt idx="11">
                  <c:v>0.19867684570312527</c:v>
                </c:pt>
                <c:pt idx="12">
                  <c:v>7.8307666015625207E-2</c:v>
                </c:pt>
                <c:pt idx="13">
                  <c:v>0.12987765043749994</c:v>
                </c:pt>
                <c:pt idx="14">
                  <c:v>0.318521484375</c:v>
                </c:pt>
                <c:pt idx="15">
                  <c:v>0.46066177734375013</c:v>
                </c:pt>
                <c:pt idx="16">
                  <c:v>0.49430810937500003</c:v>
                </c:pt>
                <c:pt idx="17">
                  <c:v>0.51622007812500015</c:v>
                </c:pt>
                <c:pt idx="18">
                  <c:v>0.48591327148437513</c:v>
                </c:pt>
                <c:pt idx="19">
                  <c:v>0.32128970312500033</c:v>
                </c:pt>
                <c:pt idx="20">
                  <c:v>0.40326930664062521</c:v>
                </c:pt>
                <c:pt idx="21">
                  <c:v>0.51155395312500007</c:v>
                </c:pt>
                <c:pt idx="22">
                  <c:v>0.42481586914062491</c:v>
                </c:pt>
                <c:pt idx="23">
                  <c:v>0.4441492675781249</c:v>
                </c:pt>
                <c:pt idx="24">
                  <c:v>0.38612319531249994</c:v>
                </c:pt>
                <c:pt idx="25">
                  <c:v>0.48357373046875041</c:v>
                </c:pt>
                <c:pt idx="26">
                  <c:v>0.25950019531249985</c:v>
                </c:pt>
                <c:pt idx="27">
                  <c:v>0.22841440429687454</c:v>
                </c:pt>
                <c:pt idx="28">
                  <c:v>-0.78270078125000031</c:v>
                </c:pt>
                <c:pt idx="29">
                  <c:v>-0.80581544921875059</c:v>
                </c:pt>
                <c:pt idx="30">
                  <c:v>-0.59549066406249929</c:v>
                </c:pt>
                <c:pt idx="31">
                  <c:v>-7.5037695312500152E-2</c:v>
                </c:pt>
                <c:pt idx="32">
                  <c:v>0.17308232421875025</c:v>
                </c:pt>
                <c:pt idx="33">
                  <c:v>-4.4291453124999866E-2</c:v>
                </c:pt>
                <c:pt idx="34">
                  <c:v>0.29745240429687453</c:v>
                </c:pt>
                <c:pt idx="35">
                  <c:v>0.36822954101562427</c:v>
                </c:pt>
                <c:pt idx="36">
                  <c:v>0.20728572656250041</c:v>
                </c:pt>
                <c:pt idx="37">
                  <c:v>0.32033804687500023</c:v>
                </c:pt>
                <c:pt idx="38">
                  <c:v>7.2898164062499632E-2</c:v>
                </c:pt>
                <c:pt idx="39">
                  <c:v>0.4831014453125001</c:v>
                </c:pt>
                <c:pt idx="40">
                  <c:v>0.11767703125000054</c:v>
                </c:pt>
                <c:pt idx="41">
                  <c:v>0.27459118164062479</c:v>
                </c:pt>
                <c:pt idx="42">
                  <c:v>1.0311620703124995</c:v>
                </c:pt>
                <c:pt idx="43">
                  <c:v>0.79750257812499969</c:v>
                </c:pt>
                <c:pt idx="44">
                  <c:v>0.99801367187499979</c:v>
                </c:pt>
                <c:pt idx="45">
                  <c:v>1.2858740156249993</c:v>
                </c:pt>
                <c:pt idx="46">
                  <c:v>0.97461835742187442</c:v>
                </c:pt>
                <c:pt idx="47">
                  <c:v>1.2411080937499996</c:v>
                </c:pt>
                <c:pt idx="48">
                  <c:v>1.3073287988281252</c:v>
                </c:pt>
                <c:pt idx="49">
                  <c:v>1.1511378808593742</c:v>
                </c:pt>
                <c:pt idx="50">
                  <c:v>0.87526437499999998</c:v>
                </c:pt>
                <c:pt idx="51">
                  <c:v>0.62540899218750001</c:v>
                </c:pt>
                <c:pt idx="52">
                  <c:v>0.66023046875000013</c:v>
                </c:pt>
                <c:pt idx="53">
                  <c:v>0.1930188476562501</c:v>
                </c:pt>
                <c:pt idx="54">
                  <c:v>-0.55246213281250056</c:v>
                </c:pt>
                <c:pt idx="55">
                  <c:v>0.2835313281249992</c:v>
                </c:pt>
                <c:pt idx="56">
                  <c:v>0.32834207031249962</c:v>
                </c:pt>
                <c:pt idx="57">
                  <c:v>0.41336191406249939</c:v>
                </c:pt>
                <c:pt idx="58">
                  <c:v>0.47293024414062435</c:v>
                </c:pt>
                <c:pt idx="59">
                  <c:v>0.51020721093749954</c:v>
                </c:pt>
                <c:pt idx="60">
                  <c:v>0.60561944335937423</c:v>
                </c:pt>
                <c:pt idx="61">
                  <c:v>0.55786055664062484</c:v>
                </c:pt>
                <c:pt idx="62">
                  <c:v>0.24875062500000009</c:v>
                </c:pt>
                <c:pt idx="63">
                  <c:v>0.36844707031249996</c:v>
                </c:pt>
                <c:pt idx="64">
                  <c:v>0.13147949218749969</c:v>
                </c:pt>
                <c:pt idx="65">
                  <c:v>0.13891789062499998</c:v>
                </c:pt>
                <c:pt idx="66">
                  <c:v>0.22146005859374968</c:v>
                </c:pt>
                <c:pt idx="67">
                  <c:v>0.29496398437499965</c:v>
                </c:pt>
                <c:pt idx="68">
                  <c:v>0.11069033203124956</c:v>
                </c:pt>
                <c:pt idx="69">
                  <c:v>0.32174257812499973</c:v>
                </c:pt>
                <c:pt idx="70">
                  <c:v>0.46131515625000008</c:v>
                </c:pt>
                <c:pt idx="71">
                  <c:v>0.78884511718750006</c:v>
                </c:pt>
                <c:pt idx="72">
                  <c:v>-0.20892944335937524</c:v>
                </c:pt>
                <c:pt idx="73">
                  <c:v>-0.70930825195312575</c:v>
                </c:pt>
                <c:pt idx="74">
                  <c:v>-0.83513632812500016</c:v>
                </c:pt>
                <c:pt idx="75">
                  <c:v>-0.59962753906250055</c:v>
                </c:pt>
                <c:pt idx="76">
                  <c:v>-0.59719273437499898</c:v>
                </c:pt>
                <c:pt idx="77">
                  <c:v>-0.65950273437499796</c:v>
                </c:pt>
                <c:pt idx="78">
                  <c:v>-0.76552460937499878</c:v>
                </c:pt>
                <c:pt idx="79">
                  <c:v>-0.73424773437499835</c:v>
                </c:pt>
                <c:pt idx="80">
                  <c:v>-0.83522128906249837</c:v>
                </c:pt>
                <c:pt idx="81">
                  <c:v>-0.34355976562499885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5DD8-441C-B6A5-EDB4BDE09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203503"/>
        <c:axId val="115268815"/>
      </c:lineChart>
      <c:dateAx>
        <c:axId val="70696620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7685695"/>
        <c:crosses val="autoZero"/>
        <c:auto val="1"/>
        <c:lblOffset val="100"/>
        <c:baseTimeUnit val="months"/>
      </c:dateAx>
      <c:valAx>
        <c:axId val="276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06966208"/>
        <c:crosses val="autoZero"/>
        <c:crossBetween val="between"/>
        <c:dispUnits>
          <c:builtInUnit val="millions"/>
        </c:dispUnits>
      </c:valAx>
      <c:valAx>
        <c:axId val="115268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cents per 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317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64203503"/>
        <c:crosses val="max"/>
        <c:crossBetween val="between"/>
      </c:valAx>
      <c:dateAx>
        <c:axId val="46420350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5268815"/>
        <c:crosses val="autoZero"/>
        <c:auto val="1"/>
        <c:lblOffset val="100"/>
        <c:baseTimeUnit val="months"/>
      </c:date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Domestic Biomass-Based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701771653543308"/>
          <c:y val="8.46749727121833E-2"/>
          <c:w val="0.81414315398075243"/>
          <c:h val="0.74543443788276464"/>
        </c:manualLayout>
      </c:layout>
      <c:barChart>
        <c:barDir val="col"/>
        <c:grouping val="clustered"/>
        <c:varyColors val="0"/>
        <c:ser>
          <c:idx val="0"/>
          <c:order val="0"/>
          <c:tx>
            <c:v>Biodiesel</c:v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9-463F-9043-5C9323469497}"/>
              </c:ext>
            </c:extLst>
          </c:dPt>
          <c:dPt>
            <c:idx val="7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9-463F-9043-5C9323469497}"/>
              </c:ext>
            </c:extLst>
          </c:dPt>
          <c:dPt>
            <c:idx val="8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D9-463F-9043-5C9323469497}"/>
              </c:ext>
            </c:extLst>
          </c:dPt>
          <c:dPt>
            <c:idx val="9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D9-463F-9043-5C9323469497}"/>
              </c:ext>
            </c:extLst>
          </c:dPt>
          <c:dPt>
            <c:idx val="10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D9-463F-9043-5C9323469497}"/>
              </c:ext>
            </c:extLst>
          </c:dPt>
          <c:dPt>
            <c:idx val="1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D9-463F-9043-5C9323469497}"/>
              </c:ext>
            </c:extLst>
          </c:dPt>
          <c:dPt>
            <c:idx val="12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D9-463F-9043-5C9323469497}"/>
              </c:ext>
            </c:extLst>
          </c:dPt>
          <c:dPt>
            <c:idx val="13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D9-463F-9043-5C9323469497}"/>
              </c:ext>
            </c:extLst>
          </c:dPt>
          <c:dPt>
            <c:idx val="14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D9-463F-9043-5C9323469497}"/>
              </c:ext>
            </c:extLst>
          </c:dPt>
          <c:dPt>
            <c:idx val="15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D9-463F-9043-5C9323469497}"/>
              </c:ext>
            </c:extLst>
          </c:dPt>
          <c:dPt>
            <c:idx val="16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D9-463F-9043-5C9323469497}"/>
              </c:ext>
            </c:extLst>
          </c:dPt>
          <c:dPt>
            <c:idx val="17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CD9-463F-9043-5C9323469497}"/>
              </c:ext>
            </c:extLst>
          </c:dPt>
          <c:dPt>
            <c:idx val="18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CD9-463F-9043-5C9323469497}"/>
              </c:ext>
            </c:extLst>
          </c:dPt>
          <c:dPt>
            <c:idx val="19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CD9-463F-9043-5C9323469497}"/>
              </c:ext>
            </c:extLst>
          </c:dPt>
          <c:dPt>
            <c:idx val="20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CD9-463F-9043-5C9323469497}"/>
              </c:ext>
            </c:extLst>
          </c:dPt>
          <c:dPt>
            <c:idx val="2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CD9-463F-9043-5C9323469497}"/>
              </c:ext>
            </c:extLst>
          </c:dPt>
          <c:dPt>
            <c:idx val="22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CD9-463F-9043-5C9323469497}"/>
              </c:ext>
            </c:extLst>
          </c:dPt>
          <c:dPt>
            <c:idx val="23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CD9-463F-9043-5C9323469497}"/>
              </c:ext>
            </c:extLst>
          </c:dPt>
          <c:dLbls>
            <c:dLbl>
              <c:idx val="7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CD9-463F-9043-5C9323469497}"/>
                </c:ext>
              </c:extLst>
            </c:dLbl>
            <c:dLbl>
              <c:idx val="8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CD9-463F-9043-5C9323469497}"/>
                </c:ext>
              </c:extLst>
            </c:dLbl>
            <c:dLbl>
              <c:idx val="9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CD9-463F-9043-5C9323469497}"/>
                </c:ext>
              </c:extLst>
            </c:dLbl>
            <c:dLbl>
              <c:idx val="10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BCD9-463F-9043-5C9323469497}"/>
                </c:ext>
              </c:extLst>
            </c:dLbl>
            <c:dLbl>
              <c:idx val="11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BCD9-463F-9043-5C9323469497}"/>
                </c:ext>
              </c:extLst>
            </c:dLbl>
            <c:dLbl>
              <c:idx val="1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BCD9-463F-9043-5C9323469497}"/>
                </c:ext>
              </c:extLst>
            </c:dLbl>
            <c:dLbl>
              <c:idx val="1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BCD9-463F-9043-5C9323469497}"/>
                </c:ext>
              </c:extLst>
            </c:dLbl>
            <c:dLbl>
              <c:idx val="14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BCD9-463F-9043-5C9323469497}"/>
                </c:ext>
              </c:extLst>
            </c:dLbl>
            <c:dLbl>
              <c:idx val="15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BCD9-463F-9043-5C9323469497}"/>
                </c:ext>
              </c:extLst>
            </c:dLbl>
            <c:dLbl>
              <c:idx val="16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BCD9-463F-9043-5C9323469497}"/>
                </c:ext>
              </c:extLst>
            </c:dLbl>
            <c:dLbl>
              <c:idx val="17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BCD9-463F-9043-5C9323469497}"/>
                </c:ext>
              </c:extLst>
            </c:dLbl>
            <c:dLbl>
              <c:idx val="18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BCD9-463F-9043-5C9323469497}"/>
                </c:ext>
              </c:extLst>
            </c:dLbl>
            <c:dLbl>
              <c:idx val="19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BCD9-463F-9043-5C9323469497}"/>
                </c:ext>
              </c:extLst>
            </c:dLbl>
            <c:dLbl>
              <c:idx val="20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BCD9-463F-9043-5C9323469497}"/>
                </c:ext>
              </c:extLst>
            </c:dLbl>
            <c:dLbl>
              <c:idx val="21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BCD9-463F-9043-5C9323469497}"/>
                </c:ext>
              </c:extLst>
            </c:dLbl>
            <c:dLbl>
              <c:idx val="2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BCD9-463F-9043-5C9323469497}"/>
                </c:ext>
              </c:extLst>
            </c:dLbl>
            <c:dLbl>
              <c:idx val="2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BCD9-463F-9043-5C932346949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Biodiesel!$I$2:$AF$2</c:f>
              <c:numCache>
                <c:formatCode>General</c:formatCod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numCache>
            </c:numRef>
          </c:cat>
          <c:val>
            <c:numRef>
              <c:f>Biodiesel!$I$15:$AF$15</c:f>
              <c:numCache>
                <c:formatCode>#,##0_);[Red]\(#,##0\)</c:formatCode>
                <c:ptCount val="24"/>
                <c:pt idx="0">
                  <c:v>1588251757</c:v>
                </c:pt>
                <c:pt idx="1">
                  <c:v>1855122841</c:v>
                </c:pt>
                <c:pt idx="2">
                  <c:v>1713775596</c:v>
                </c:pt>
                <c:pt idx="3">
                  <c:v>1824875658</c:v>
                </c:pt>
                <c:pt idx="4">
                  <c:v>1704629355</c:v>
                </c:pt>
                <c:pt idx="5">
                  <c:v>1620211085</c:v>
                </c:pt>
                <c:pt idx="6">
                  <c:v>1670320836</c:v>
                </c:pt>
                <c:pt idx="7">
                  <c:v>1669248540</c:v>
                </c:pt>
                <c:pt idx="8">
                  <c:v>1583697997.5079873</c:v>
                </c:pt>
                <c:pt idx="9">
                  <c:v>1460842585.3604758</c:v>
                </c:pt>
                <c:pt idx="10">
                  <c:v>1470286060.4745083</c:v>
                </c:pt>
                <c:pt idx="11">
                  <c:v>1171958387.8512294</c:v>
                </c:pt>
                <c:pt idx="12">
                  <c:v>1351081445.4218287</c:v>
                </c:pt>
                <c:pt idx="13">
                  <c:v>1367656114.7320323</c:v>
                </c:pt>
                <c:pt idx="14">
                  <c:v>1359803005.7684138</c:v>
                </c:pt>
                <c:pt idx="15">
                  <c:v>1438892054.3258986</c:v>
                </c:pt>
                <c:pt idx="16">
                  <c:v>1351162113.0410497</c:v>
                </c:pt>
                <c:pt idx="17">
                  <c:v>1320113061.1881897</c:v>
                </c:pt>
                <c:pt idx="18">
                  <c:v>1267843991.3080239</c:v>
                </c:pt>
                <c:pt idx="19">
                  <c:v>1062212994.4981396</c:v>
                </c:pt>
                <c:pt idx="20">
                  <c:v>861614031.38410616</c:v>
                </c:pt>
                <c:pt idx="21">
                  <c:v>845262192.38442278</c:v>
                </c:pt>
                <c:pt idx="22">
                  <c:v>702814957.57267106</c:v>
                </c:pt>
                <c:pt idx="23">
                  <c:v>422332419.50028104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CD9-463F-9043-5C9323469497}"/>
            </c:ext>
          </c:extLst>
        </c:ser>
        <c:ser>
          <c:idx val="1"/>
          <c:order val="1"/>
          <c:tx>
            <c:v>Renewable Diesel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BCD9-463F-9043-5C9323469497}"/>
              </c:ext>
            </c:extLst>
          </c:dPt>
          <c:dPt>
            <c:idx val="2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BCD9-463F-9043-5C9323469497}"/>
              </c:ext>
            </c:extLst>
          </c:dPt>
          <c:dPt>
            <c:idx val="3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CD9-463F-9043-5C9323469497}"/>
              </c:ext>
            </c:extLst>
          </c:dPt>
          <c:dPt>
            <c:idx val="4"/>
            <c:invertIfNegative val="0"/>
            <c:bubble3D val="0"/>
            <c:spPr>
              <a:pattFill prst="pct7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BCD9-463F-9043-5C9323469497}"/>
              </c:ext>
            </c:extLst>
          </c:dPt>
          <c:dLbls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323232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BCD9-463F-9043-5C9323469497}"/>
                </c:ext>
              </c:extLst>
            </c:dLbl>
            <c:dLbl>
              <c:idx val="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323232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BCD9-463F-9043-5C9323469497}"/>
                </c:ext>
              </c:extLst>
            </c:dLbl>
            <c:dLbl>
              <c:idx val="4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323232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BCD9-463F-9043-5C932346949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8C8C8C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Biodiesel!$I$2:$AF$2</c:f>
              <c:numCache>
                <c:formatCode>General</c:formatCod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numCache>
            </c:numRef>
          </c:cat>
          <c:val>
            <c:numRef>
              <c:f>'Renewable Diesel'!$I$61:$AF$61</c:f>
              <c:numCache>
                <c:formatCode>#,##0_);[Red]\(#,##0\)</c:formatCode>
                <c:ptCount val="24"/>
                <c:pt idx="0">
                  <c:v>258342125</c:v>
                </c:pt>
                <c:pt idx="1">
                  <c:v>305484447</c:v>
                </c:pt>
                <c:pt idx="2">
                  <c:v>492137189</c:v>
                </c:pt>
                <c:pt idx="3">
                  <c:v>533508347</c:v>
                </c:pt>
                <c:pt idx="4">
                  <c:v>845434907</c:v>
                </c:pt>
                <c:pt idx="5">
                  <c:v>1455336706</c:v>
                </c:pt>
                <c:pt idx="6">
                  <c:v>2427246505</c:v>
                </c:pt>
                <c:pt idx="7">
                  <c:v>3137467688</c:v>
                </c:pt>
                <c:pt idx="8">
                  <c:v>2551140816.1709371</c:v>
                </c:pt>
                <c:pt idx="9">
                  <c:v>2689043243.0486603</c:v>
                </c:pt>
                <c:pt idx="10">
                  <c:v>2966218765.0645237</c:v>
                </c:pt>
                <c:pt idx="11">
                  <c:v>3023265933.1846147</c:v>
                </c:pt>
                <c:pt idx="12">
                  <c:v>3047349421.5416126</c:v>
                </c:pt>
                <c:pt idx="13">
                  <c:v>3193048359.6640577</c:v>
                </c:pt>
                <c:pt idx="14">
                  <c:v>3461678212.6955152</c:v>
                </c:pt>
                <c:pt idx="15">
                  <c:v>4105476216.6252842</c:v>
                </c:pt>
                <c:pt idx="16">
                  <c:v>4085067494.9750652</c:v>
                </c:pt>
                <c:pt idx="17">
                  <c:v>3972106585.4107871</c:v>
                </c:pt>
                <c:pt idx="18">
                  <c:v>4208182753.9501262</c:v>
                </c:pt>
                <c:pt idx="19">
                  <c:v>4546612891.6658516</c:v>
                </c:pt>
                <c:pt idx="20">
                  <c:v>5173507422.3503914</c:v>
                </c:pt>
                <c:pt idx="21">
                  <c:v>5706954929.60359</c:v>
                </c:pt>
                <c:pt idx="22">
                  <c:v>5726165474.5493517</c:v>
                </c:pt>
                <c:pt idx="23">
                  <c:v>5035161549.3486919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CD9-463F-9043-5C932346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1335126688"/>
        <c:axId val="1335127672"/>
      </c:barChart>
      <c:catAx>
        <c:axId val="133512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35127672"/>
        <c:crosses val="autoZero"/>
        <c:auto val="1"/>
        <c:lblAlgn val="ctr"/>
        <c:lblOffset val="100"/>
        <c:noMultiLvlLbl val="0"/>
      </c:catAx>
      <c:valAx>
        <c:axId val="133512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 w="2222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35126688"/>
        <c:crosses val="autoZero"/>
        <c:crossBetween val="between"/>
        <c:dispUnits>
          <c:builtInUnit val="b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8675543161271504"/>
          <c:y val="0.11175278871391076"/>
          <c:w val="0.44588509769612134"/>
          <c:h val="5.0673898100597088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Biomass-Based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673349750164404E-2"/>
          <c:y val="9.8905890372047056E-2"/>
          <c:w val="0.89362579580081725"/>
          <c:h val="0.698873044603921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'Dom Production'!$B$1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269-4B2C-A8B2-55BFC7A9787E}"/>
              </c:ext>
            </c:extLst>
          </c:dPt>
          <c:dPt>
            <c:idx val="14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69-4B2C-A8B2-55BFC7A9787E}"/>
              </c:ext>
            </c:extLst>
          </c:dPt>
          <c:dPt>
            <c:idx val="15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269-4B2C-A8B2-55BFC7A9787E}"/>
              </c:ext>
            </c:extLst>
          </c:dPt>
          <c:dPt>
            <c:idx val="16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69-4B2C-A8B2-55BFC7A9787E}"/>
              </c:ext>
            </c:extLst>
          </c:dPt>
          <c:dPt>
            <c:idx val="17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269-4B2C-A8B2-55BFC7A9787E}"/>
              </c:ext>
            </c:extLst>
          </c:dPt>
          <c:dPt>
            <c:idx val="18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269-4B2C-A8B2-55BFC7A9787E}"/>
              </c:ext>
            </c:extLst>
          </c:dPt>
          <c:dPt>
            <c:idx val="19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269-4B2C-A8B2-55BFC7A9787E}"/>
              </c:ext>
            </c:extLst>
          </c:dPt>
          <c:dPt>
            <c:idx val="20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269-4B2C-A8B2-55BFC7A9787E}"/>
              </c:ext>
            </c:extLst>
          </c:dPt>
          <c:dPt>
            <c:idx val="21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269-4B2C-A8B2-55BFC7A9787E}"/>
              </c:ext>
            </c:extLst>
          </c:dPt>
          <c:dPt>
            <c:idx val="22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269-4B2C-A8B2-55BFC7A9787E}"/>
              </c:ext>
            </c:extLst>
          </c:dPt>
          <c:dPt>
            <c:idx val="23"/>
            <c:invertIfNegative val="0"/>
            <c:bubble3D val="0"/>
            <c:spPr>
              <a:solidFill>
                <a:srgbClr val="6F079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269-4B2C-A8B2-55BFC7A9787E}"/>
              </c:ext>
            </c:extLst>
          </c:dPt>
          <c:cat>
            <c:numRef>
              <c:f>'Dom Production'!$A$14:$A$169</c:f>
              <c:numCache>
                <c:formatCode>m/d/yyyy</c:formatCode>
                <c:ptCount val="156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  <c:pt idx="84">
                  <c:v>46753</c:v>
                </c:pt>
                <c:pt idx="85">
                  <c:v>46784</c:v>
                </c:pt>
                <c:pt idx="86">
                  <c:v>46813</c:v>
                </c:pt>
                <c:pt idx="87">
                  <c:v>46844</c:v>
                </c:pt>
                <c:pt idx="88">
                  <c:v>46874</c:v>
                </c:pt>
                <c:pt idx="89">
                  <c:v>46905</c:v>
                </c:pt>
                <c:pt idx="90">
                  <c:v>46935</c:v>
                </c:pt>
                <c:pt idx="91">
                  <c:v>46966</c:v>
                </c:pt>
                <c:pt idx="92">
                  <c:v>46997</c:v>
                </c:pt>
                <c:pt idx="93">
                  <c:v>47027</c:v>
                </c:pt>
                <c:pt idx="94">
                  <c:v>47058</c:v>
                </c:pt>
                <c:pt idx="95">
                  <c:v>47088</c:v>
                </c:pt>
                <c:pt idx="96">
                  <c:v>47119</c:v>
                </c:pt>
                <c:pt idx="97">
                  <c:v>47150</c:v>
                </c:pt>
                <c:pt idx="98">
                  <c:v>47178</c:v>
                </c:pt>
                <c:pt idx="99">
                  <c:v>47209</c:v>
                </c:pt>
                <c:pt idx="100">
                  <c:v>47239</c:v>
                </c:pt>
                <c:pt idx="101">
                  <c:v>47270</c:v>
                </c:pt>
                <c:pt idx="102">
                  <c:v>47300</c:v>
                </c:pt>
                <c:pt idx="103">
                  <c:v>47331</c:v>
                </c:pt>
                <c:pt idx="104">
                  <c:v>47362</c:v>
                </c:pt>
                <c:pt idx="105">
                  <c:v>47392</c:v>
                </c:pt>
                <c:pt idx="106">
                  <c:v>47423</c:v>
                </c:pt>
                <c:pt idx="107">
                  <c:v>47453</c:v>
                </c:pt>
                <c:pt idx="108">
                  <c:v>47484</c:v>
                </c:pt>
                <c:pt idx="109">
                  <c:v>47515</c:v>
                </c:pt>
                <c:pt idx="110">
                  <c:v>47543</c:v>
                </c:pt>
                <c:pt idx="111">
                  <c:v>47574</c:v>
                </c:pt>
                <c:pt idx="112">
                  <c:v>47604</c:v>
                </c:pt>
                <c:pt idx="113">
                  <c:v>47635</c:v>
                </c:pt>
                <c:pt idx="114">
                  <c:v>47665</c:v>
                </c:pt>
                <c:pt idx="115">
                  <c:v>47696</c:v>
                </c:pt>
                <c:pt idx="116">
                  <c:v>47727</c:v>
                </c:pt>
                <c:pt idx="117">
                  <c:v>47757</c:v>
                </c:pt>
                <c:pt idx="118">
                  <c:v>47788</c:v>
                </c:pt>
                <c:pt idx="119">
                  <c:v>47818</c:v>
                </c:pt>
                <c:pt idx="120">
                  <c:v>47849</c:v>
                </c:pt>
                <c:pt idx="121">
                  <c:v>47880</c:v>
                </c:pt>
                <c:pt idx="122">
                  <c:v>47908</c:v>
                </c:pt>
                <c:pt idx="123">
                  <c:v>47939</c:v>
                </c:pt>
                <c:pt idx="124">
                  <c:v>47969</c:v>
                </c:pt>
                <c:pt idx="125">
                  <c:v>48000</c:v>
                </c:pt>
                <c:pt idx="126">
                  <c:v>48030</c:v>
                </c:pt>
                <c:pt idx="127">
                  <c:v>48061</c:v>
                </c:pt>
                <c:pt idx="128">
                  <c:v>48092</c:v>
                </c:pt>
                <c:pt idx="129">
                  <c:v>48122</c:v>
                </c:pt>
                <c:pt idx="130">
                  <c:v>48153</c:v>
                </c:pt>
                <c:pt idx="131">
                  <c:v>48183</c:v>
                </c:pt>
                <c:pt idx="132">
                  <c:v>48214</c:v>
                </c:pt>
                <c:pt idx="133">
                  <c:v>48245</c:v>
                </c:pt>
                <c:pt idx="134">
                  <c:v>48274</c:v>
                </c:pt>
                <c:pt idx="135">
                  <c:v>48305</c:v>
                </c:pt>
                <c:pt idx="136">
                  <c:v>48335</c:v>
                </c:pt>
                <c:pt idx="137">
                  <c:v>48366</c:v>
                </c:pt>
                <c:pt idx="138">
                  <c:v>48396</c:v>
                </c:pt>
                <c:pt idx="139">
                  <c:v>48427</c:v>
                </c:pt>
                <c:pt idx="140">
                  <c:v>48458</c:v>
                </c:pt>
                <c:pt idx="141">
                  <c:v>48488</c:v>
                </c:pt>
                <c:pt idx="142">
                  <c:v>48519</c:v>
                </c:pt>
                <c:pt idx="143">
                  <c:v>48549</c:v>
                </c:pt>
                <c:pt idx="144">
                  <c:v>48580</c:v>
                </c:pt>
                <c:pt idx="145">
                  <c:v>48611</c:v>
                </c:pt>
                <c:pt idx="146">
                  <c:v>48639</c:v>
                </c:pt>
                <c:pt idx="147">
                  <c:v>48670</c:v>
                </c:pt>
                <c:pt idx="148">
                  <c:v>48700</c:v>
                </c:pt>
                <c:pt idx="149">
                  <c:v>48731</c:v>
                </c:pt>
                <c:pt idx="150">
                  <c:v>48761</c:v>
                </c:pt>
                <c:pt idx="151">
                  <c:v>48792</c:v>
                </c:pt>
                <c:pt idx="152">
                  <c:v>48823</c:v>
                </c:pt>
                <c:pt idx="153">
                  <c:v>48853</c:v>
                </c:pt>
                <c:pt idx="154">
                  <c:v>48884</c:v>
                </c:pt>
                <c:pt idx="155">
                  <c:v>48914</c:v>
                </c:pt>
              </c:numCache>
            </c:numRef>
          </c:cat>
          <c:val>
            <c:numRef>
              <c:f>'Dom Production'!$B$14:$B$169</c:f>
              <c:numCache>
                <c:formatCode>#,##0_);[Red]\(#,##0\)</c:formatCode>
                <c:ptCount val="156"/>
                <c:pt idx="0">
                  <c:v>107302585</c:v>
                </c:pt>
                <c:pt idx="1">
                  <c:v>109881050</c:v>
                </c:pt>
                <c:pt idx="2">
                  <c:v>150338931</c:v>
                </c:pt>
                <c:pt idx="3">
                  <c:v>144396494</c:v>
                </c:pt>
                <c:pt idx="4">
                  <c:v>150501950</c:v>
                </c:pt>
                <c:pt idx="5">
                  <c:v>154457118</c:v>
                </c:pt>
                <c:pt idx="6">
                  <c:v>146890338</c:v>
                </c:pt>
                <c:pt idx="7">
                  <c:v>154582245</c:v>
                </c:pt>
                <c:pt idx="8">
                  <c:v>139934774</c:v>
                </c:pt>
                <c:pt idx="9">
                  <c:v>139778878</c:v>
                </c:pt>
                <c:pt idx="10">
                  <c:v>140856752</c:v>
                </c:pt>
                <c:pt idx="11">
                  <c:v>165708240</c:v>
                </c:pt>
                <c:pt idx="12">
                  <c:v>90715015</c:v>
                </c:pt>
                <c:pt idx="13">
                  <c:v>110442650</c:v>
                </c:pt>
                <c:pt idx="14">
                  <c:v>135869438</c:v>
                </c:pt>
                <c:pt idx="15">
                  <c:v>144286382</c:v>
                </c:pt>
                <c:pt idx="16">
                  <c:v>139875243</c:v>
                </c:pt>
                <c:pt idx="17">
                  <c:v>142855221</c:v>
                </c:pt>
                <c:pt idx="18">
                  <c:v>137545866</c:v>
                </c:pt>
                <c:pt idx="19">
                  <c:v>151833118</c:v>
                </c:pt>
                <c:pt idx="20">
                  <c:v>141860945</c:v>
                </c:pt>
                <c:pt idx="21">
                  <c:v>138040230</c:v>
                </c:pt>
                <c:pt idx="22">
                  <c:v>141295576</c:v>
                </c:pt>
                <c:pt idx="23">
                  <c:v>145591401</c:v>
                </c:pt>
                <c:pt idx="24">
                  <c:v>119548309</c:v>
                </c:pt>
                <c:pt idx="25">
                  <c:v>114742607</c:v>
                </c:pt>
                <c:pt idx="26">
                  <c:v>130889308</c:v>
                </c:pt>
                <c:pt idx="27">
                  <c:v>133835520</c:v>
                </c:pt>
                <c:pt idx="28">
                  <c:v>163593533</c:v>
                </c:pt>
                <c:pt idx="29">
                  <c:v>153006295</c:v>
                </c:pt>
                <c:pt idx="30">
                  <c:v>142593233</c:v>
                </c:pt>
                <c:pt idx="31">
                  <c:v>152345476</c:v>
                </c:pt>
                <c:pt idx="32">
                  <c:v>143870897</c:v>
                </c:pt>
                <c:pt idx="33">
                  <c:v>144087366</c:v>
                </c:pt>
                <c:pt idx="34">
                  <c:v>135076229</c:v>
                </c:pt>
                <c:pt idx="35">
                  <c:v>136732063</c:v>
                </c:pt>
                <c:pt idx="36">
                  <c:v>120715672</c:v>
                </c:pt>
                <c:pt idx="37">
                  <c:v>125799224</c:v>
                </c:pt>
                <c:pt idx="38">
                  <c:v>133487105</c:v>
                </c:pt>
                <c:pt idx="39">
                  <c:v>136121554</c:v>
                </c:pt>
                <c:pt idx="40">
                  <c:v>142728755</c:v>
                </c:pt>
                <c:pt idx="41">
                  <c:v>133806992</c:v>
                </c:pt>
                <c:pt idx="42">
                  <c:v>145953904</c:v>
                </c:pt>
                <c:pt idx="43">
                  <c:v>139724190</c:v>
                </c:pt>
                <c:pt idx="44">
                  <c:v>134537885</c:v>
                </c:pt>
                <c:pt idx="45">
                  <c:v>148097836</c:v>
                </c:pt>
                <c:pt idx="46">
                  <c:v>133353588</c:v>
                </c:pt>
                <c:pt idx="47">
                  <c:v>174921835</c:v>
                </c:pt>
                <c:pt idx="48">
                  <c:v>65635810</c:v>
                </c:pt>
                <c:pt idx="49">
                  <c:v>73721896</c:v>
                </c:pt>
                <c:pt idx="50">
                  <c:v>95835418</c:v>
                </c:pt>
                <c:pt idx="51">
                  <c:v>131791986.24915777</c:v>
                </c:pt>
                <c:pt idx="52">
                  <c:v>137920236.89019856</c:v>
                </c:pt>
                <c:pt idx="53">
                  <c:v>139596321.19621357</c:v>
                </c:pt>
                <c:pt idx="54">
                  <c:v>137410035.36067736</c:v>
                </c:pt>
                <c:pt idx="55">
                  <c:v>143738699.39125273</c:v>
                </c:pt>
                <c:pt idx="56">
                  <c:v>135753181.58840644</c:v>
                </c:pt>
                <c:pt idx="57">
                  <c:v>134474043.6377117</c:v>
                </c:pt>
                <c:pt idx="58">
                  <c:v>129676507.59899189</c:v>
                </c:pt>
                <c:pt idx="59">
                  <c:v>258143861.5953773</c:v>
                </c:pt>
                <c:pt idx="60">
                  <c:v>98015663.363137141</c:v>
                </c:pt>
                <c:pt idx="61">
                  <c:v>103981212.43447548</c:v>
                </c:pt>
                <c:pt idx="62">
                  <c:v>114303432.64373817</c:v>
                </c:pt>
                <c:pt idx="63">
                  <c:v>122281171.98496304</c:v>
                </c:pt>
                <c:pt idx="64">
                  <c:v>130181095.56558153</c:v>
                </c:pt>
                <c:pt idx="65">
                  <c:v>128327443.75111075</c:v>
                </c:pt>
                <c:pt idx="66">
                  <c:v>125884935.60488664</c:v>
                </c:pt>
                <c:pt idx="67">
                  <c:v>131459720.50294538</c:v>
                </c:pt>
                <c:pt idx="68">
                  <c:v>123115291.15353051</c:v>
                </c:pt>
                <c:pt idx="69">
                  <c:v>124925106.8480117</c:v>
                </c:pt>
                <c:pt idx="70">
                  <c:v>120705638.08168112</c:v>
                </c:pt>
                <c:pt idx="71">
                  <c:v>137661873.42641428</c:v>
                </c:pt>
                <c:pt idx="72">
                  <c:v>90708468.784077719</c:v>
                </c:pt>
                <c:pt idx="73">
                  <c:v>96954079.202789247</c:v>
                </c:pt>
                <c:pt idx="74">
                  <c:v>111936384.2928541</c:v>
                </c:pt>
                <c:pt idx="75">
                  <c:v>122758168.92761807</c:v>
                </c:pt>
                <c:pt idx="76">
                  <c:v>131279988.11683463</c:v>
                </c:pt>
                <c:pt idx="77">
                  <c:v>128291100.9364365</c:v>
                </c:pt>
                <c:pt idx="78">
                  <c:v>126697521.14974993</c:v>
                </c:pt>
                <c:pt idx="79">
                  <c:v>132090665.22020352</c:v>
                </c:pt>
                <c:pt idx="80">
                  <c:v>124592502.84535326</c:v>
                </c:pt>
                <c:pt idx="81">
                  <c:v>126829966.22731104</c:v>
                </c:pt>
                <c:pt idx="82">
                  <c:v>121482247.02564251</c:v>
                </c:pt>
                <c:pt idx="83">
                  <c:v>156664967.74563795</c:v>
                </c:pt>
                <c:pt idx="84">
                  <c:v>73650931.236886859</c:v>
                </c:pt>
                <c:pt idx="85">
                  <c:v>76714622.401454777</c:v>
                </c:pt>
                <c:pt idx="86">
                  <c:v>87324865.1273157</c:v>
                </c:pt>
                <c:pt idx="87">
                  <c:v>96509092.511040851</c:v>
                </c:pt>
                <c:pt idx="88">
                  <c:v>105356930.12711979</c:v>
                </c:pt>
                <c:pt idx="89">
                  <c:v>102051082.81149849</c:v>
                </c:pt>
                <c:pt idx="90">
                  <c:v>101311751.51358101</c:v>
                </c:pt>
                <c:pt idx="91">
                  <c:v>104368498.00468701</c:v>
                </c:pt>
                <c:pt idx="92">
                  <c:v>98648565.200392768</c:v>
                </c:pt>
                <c:pt idx="93">
                  <c:v>101367330.09276886</c:v>
                </c:pt>
                <c:pt idx="94">
                  <c:v>95745955.405538946</c:v>
                </c:pt>
                <c:pt idx="95">
                  <c:v>128908763.41894458</c:v>
                </c:pt>
                <c:pt idx="96">
                  <c:v>82344485.293023407</c:v>
                </c:pt>
                <c:pt idx="97">
                  <c:v>87564249.538713023</c:v>
                </c:pt>
                <c:pt idx="98">
                  <c:v>99623800.395883515</c:v>
                </c:pt>
                <c:pt idx="99">
                  <c:v>111919015.22006534</c:v>
                </c:pt>
                <c:pt idx="100">
                  <c:v>118974466.32869288</c:v>
                </c:pt>
                <c:pt idx="101">
                  <c:v>116194869.4194393</c:v>
                </c:pt>
                <c:pt idx="102">
                  <c:v>117053362.6174828</c:v>
                </c:pt>
                <c:pt idx="103">
                  <c:v>119582994.88862705</c:v>
                </c:pt>
                <c:pt idx="104">
                  <c:v>113039666.74188949</c:v>
                </c:pt>
                <c:pt idx="105">
                  <c:v>116849668.93225507</c:v>
                </c:pt>
                <c:pt idx="106">
                  <c:v>110546272.79410225</c:v>
                </c:pt>
                <c:pt idx="107">
                  <c:v>157388593.25165468</c:v>
                </c:pt>
                <c:pt idx="108">
                  <c:v>79639224.581323087</c:v>
                </c:pt>
                <c:pt idx="109">
                  <c:v>85185989.865512088</c:v>
                </c:pt>
                <c:pt idx="110">
                  <c:v>98788266.673304528</c:v>
                </c:pt>
                <c:pt idx="111">
                  <c:v>113782283.60542427</c:v>
                </c:pt>
                <c:pt idx="112">
                  <c:v>121238596.32327715</c:v>
                </c:pt>
                <c:pt idx="113">
                  <c:v>119512100.43965368</c:v>
                </c:pt>
                <c:pt idx="114">
                  <c:v>118250207.24527477</c:v>
                </c:pt>
                <c:pt idx="115">
                  <c:v>122698327.46870466</c:v>
                </c:pt>
                <c:pt idx="116">
                  <c:v>115693624.97106646</c:v>
                </c:pt>
                <c:pt idx="117">
                  <c:v>117497730.54929785</c:v>
                </c:pt>
                <c:pt idx="118">
                  <c:v>112401811.4875498</c:v>
                </c:pt>
                <c:pt idx="119">
                  <c:v>162967951.52164388</c:v>
                </c:pt>
                <c:pt idx="120">
                  <c:v>84515444.617420524</c:v>
                </c:pt>
                <c:pt idx="121">
                  <c:v>89701855.18186897</c:v>
                </c:pt>
                <c:pt idx="122">
                  <c:v>101965483.45301311</c:v>
                </c:pt>
                <c:pt idx="123">
                  <c:v>113073119.63273118</c:v>
                </c:pt>
                <c:pt idx="124">
                  <c:v>121002717.39010131</c:v>
                </c:pt>
                <c:pt idx="125">
                  <c:v>118507037.85269792</c:v>
                </c:pt>
                <c:pt idx="126">
                  <c:v>117478901.26538534</c:v>
                </c:pt>
                <c:pt idx="127">
                  <c:v>121666952.63630889</c:v>
                </c:pt>
                <c:pt idx="128">
                  <c:v>114674093.80411504</c:v>
                </c:pt>
                <c:pt idx="129">
                  <c:v>117139597.50267988</c:v>
                </c:pt>
                <c:pt idx="130">
                  <c:v>111848852.90908106</c:v>
                </c:pt>
                <c:pt idx="131">
                  <c:v>148228949.52301049</c:v>
                </c:pt>
                <c:pt idx="132">
                  <c:v>87891592.070975751</c:v>
                </c:pt>
                <c:pt idx="133">
                  <c:v>93295735.701281473</c:v>
                </c:pt>
                <c:pt idx="134">
                  <c:v>106883481.69804786</c:v>
                </c:pt>
                <c:pt idx="135">
                  <c:v>119477064.91385268</c:v>
                </c:pt>
                <c:pt idx="136">
                  <c:v>128000262.53811045</c:v>
                </c:pt>
                <c:pt idx="137">
                  <c:v>125180524.38988824</c:v>
                </c:pt>
                <c:pt idx="138">
                  <c:v>124378517.04396257</c:v>
                </c:pt>
                <c:pt idx="139">
                  <c:v>128579959.17383428</c:v>
                </c:pt>
                <c:pt idx="140">
                  <c:v>121357948.27251801</c:v>
                </c:pt>
                <c:pt idx="141">
                  <c:v>124146466.09239797</c:v>
                </c:pt>
                <c:pt idx="142">
                  <c:v>118234092.67355746</c:v>
                </c:pt>
                <c:pt idx="143">
                  <c:v>161466409.75747168</c:v>
                </c:pt>
                <c:pt idx="144">
                  <c:v>102340019.60040376</c:v>
                </c:pt>
                <c:pt idx="145">
                  <c:v>87267964.936471209</c:v>
                </c:pt>
                <c:pt idx="146">
                  <c:v>99804035.947552264</c:v>
                </c:pt>
                <c:pt idx="147">
                  <c:v>112056825.71491881</c:v>
                </c:pt>
                <c:pt idx="148">
                  <c:v>120098135.06316507</c:v>
                </c:pt>
                <c:pt idx="149">
                  <c:v>117476305.05333263</c:v>
                </c:pt>
                <c:pt idx="150">
                  <c:v>116880023.40248293</c:v>
                </c:pt>
                <c:pt idx="151">
                  <c:v>120603607.1044246</c:v>
                </c:pt>
                <c:pt idx="152">
                  <c:v>113846748.21757419</c:v>
                </c:pt>
                <c:pt idx="153">
                  <c:v>116588344.91828558</c:v>
                </c:pt>
                <c:pt idx="154">
                  <c:v>110897954.82215808</c:v>
                </c:pt>
                <c:pt idx="155">
                  <c:v>133302148.2602807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69-4B2C-A8B2-55BFC7A9787E}"/>
            </c:ext>
          </c:extLst>
        </c:ser>
        <c:ser>
          <c:idx val="1"/>
          <c:order val="1"/>
          <c:tx>
            <c:strRef>
              <c:f>'Dom Production'!$C$1</c:f>
              <c:strCache>
                <c:ptCount val="1"/>
                <c:pt idx="0">
                  <c:v>Renewable Diesel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9269-4B2C-A8B2-55BFC7A9787E}"/>
              </c:ext>
            </c:extLst>
          </c:dPt>
          <c:dPt>
            <c:idx val="14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269-4B2C-A8B2-55BFC7A9787E}"/>
              </c:ext>
            </c:extLst>
          </c:dPt>
          <c:dPt>
            <c:idx val="15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269-4B2C-A8B2-55BFC7A9787E}"/>
              </c:ext>
            </c:extLst>
          </c:dPt>
          <c:dPt>
            <c:idx val="16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9269-4B2C-A8B2-55BFC7A9787E}"/>
              </c:ext>
            </c:extLst>
          </c:dPt>
          <c:dPt>
            <c:idx val="1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9269-4B2C-A8B2-55BFC7A9787E}"/>
              </c:ext>
            </c:extLst>
          </c:dPt>
          <c:dPt>
            <c:idx val="1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9269-4B2C-A8B2-55BFC7A9787E}"/>
              </c:ext>
            </c:extLst>
          </c:dPt>
          <c:dPt>
            <c:idx val="1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9269-4B2C-A8B2-55BFC7A9787E}"/>
              </c:ext>
            </c:extLst>
          </c:dPt>
          <c:dPt>
            <c:idx val="2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9269-4B2C-A8B2-55BFC7A9787E}"/>
              </c:ext>
            </c:extLst>
          </c:dPt>
          <c:dPt>
            <c:idx val="2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9269-4B2C-A8B2-55BFC7A9787E}"/>
              </c:ext>
            </c:extLst>
          </c:dPt>
          <c:dPt>
            <c:idx val="2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9269-4B2C-A8B2-55BFC7A9787E}"/>
              </c:ext>
            </c:extLst>
          </c:dPt>
          <c:dPt>
            <c:idx val="23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9269-4B2C-A8B2-55BFC7A9787E}"/>
              </c:ext>
            </c:extLst>
          </c:dPt>
          <c:cat>
            <c:numRef>
              <c:f>'Dom Production'!$A$14:$A$169</c:f>
              <c:numCache>
                <c:formatCode>m/d/yyyy</c:formatCode>
                <c:ptCount val="156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  <c:pt idx="84">
                  <c:v>46753</c:v>
                </c:pt>
                <c:pt idx="85">
                  <c:v>46784</c:v>
                </c:pt>
                <c:pt idx="86">
                  <c:v>46813</c:v>
                </c:pt>
                <c:pt idx="87">
                  <c:v>46844</c:v>
                </c:pt>
                <c:pt idx="88">
                  <c:v>46874</c:v>
                </c:pt>
                <c:pt idx="89">
                  <c:v>46905</c:v>
                </c:pt>
                <c:pt idx="90">
                  <c:v>46935</c:v>
                </c:pt>
                <c:pt idx="91">
                  <c:v>46966</c:v>
                </c:pt>
                <c:pt idx="92">
                  <c:v>46997</c:v>
                </c:pt>
                <c:pt idx="93">
                  <c:v>47027</c:v>
                </c:pt>
                <c:pt idx="94">
                  <c:v>47058</c:v>
                </c:pt>
                <c:pt idx="95">
                  <c:v>47088</c:v>
                </c:pt>
                <c:pt idx="96">
                  <c:v>47119</c:v>
                </c:pt>
                <c:pt idx="97">
                  <c:v>47150</c:v>
                </c:pt>
                <c:pt idx="98">
                  <c:v>47178</c:v>
                </c:pt>
                <c:pt idx="99">
                  <c:v>47209</c:v>
                </c:pt>
                <c:pt idx="100">
                  <c:v>47239</c:v>
                </c:pt>
                <c:pt idx="101">
                  <c:v>47270</c:v>
                </c:pt>
                <c:pt idx="102">
                  <c:v>47300</c:v>
                </c:pt>
                <c:pt idx="103">
                  <c:v>47331</c:v>
                </c:pt>
                <c:pt idx="104">
                  <c:v>47362</c:v>
                </c:pt>
                <c:pt idx="105">
                  <c:v>47392</c:v>
                </c:pt>
                <c:pt idx="106">
                  <c:v>47423</c:v>
                </c:pt>
                <c:pt idx="107">
                  <c:v>47453</c:v>
                </c:pt>
                <c:pt idx="108">
                  <c:v>47484</c:v>
                </c:pt>
                <c:pt idx="109">
                  <c:v>47515</c:v>
                </c:pt>
                <c:pt idx="110">
                  <c:v>47543</c:v>
                </c:pt>
                <c:pt idx="111">
                  <c:v>47574</c:v>
                </c:pt>
                <c:pt idx="112">
                  <c:v>47604</c:v>
                </c:pt>
                <c:pt idx="113">
                  <c:v>47635</c:v>
                </c:pt>
                <c:pt idx="114">
                  <c:v>47665</c:v>
                </c:pt>
                <c:pt idx="115">
                  <c:v>47696</c:v>
                </c:pt>
                <c:pt idx="116">
                  <c:v>47727</c:v>
                </c:pt>
                <c:pt idx="117">
                  <c:v>47757</c:v>
                </c:pt>
                <c:pt idx="118">
                  <c:v>47788</c:v>
                </c:pt>
                <c:pt idx="119">
                  <c:v>47818</c:v>
                </c:pt>
                <c:pt idx="120">
                  <c:v>47849</c:v>
                </c:pt>
                <c:pt idx="121">
                  <c:v>47880</c:v>
                </c:pt>
                <c:pt idx="122">
                  <c:v>47908</c:v>
                </c:pt>
                <c:pt idx="123">
                  <c:v>47939</c:v>
                </c:pt>
                <c:pt idx="124">
                  <c:v>47969</c:v>
                </c:pt>
                <c:pt idx="125">
                  <c:v>48000</c:v>
                </c:pt>
                <c:pt idx="126">
                  <c:v>48030</c:v>
                </c:pt>
                <c:pt idx="127">
                  <c:v>48061</c:v>
                </c:pt>
                <c:pt idx="128">
                  <c:v>48092</c:v>
                </c:pt>
                <c:pt idx="129">
                  <c:v>48122</c:v>
                </c:pt>
                <c:pt idx="130">
                  <c:v>48153</c:v>
                </c:pt>
                <c:pt idx="131">
                  <c:v>48183</c:v>
                </c:pt>
                <c:pt idx="132">
                  <c:v>48214</c:v>
                </c:pt>
                <c:pt idx="133">
                  <c:v>48245</c:v>
                </c:pt>
                <c:pt idx="134">
                  <c:v>48274</c:v>
                </c:pt>
                <c:pt idx="135">
                  <c:v>48305</c:v>
                </c:pt>
                <c:pt idx="136">
                  <c:v>48335</c:v>
                </c:pt>
                <c:pt idx="137">
                  <c:v>48366</c:v>
                </c:pt>
                <c:pt idx="138">
                  <c:v>48396</c:v>
                </c:pt>
                <c:pt idx="139">
                  <c:v>48427</c:v>
                </c:pt>
                <c:pt idx="140">
                  <c:v>48458</c:v>
                </c:pt>
                <c:pt idx="141">
                  <c:v>48488</c:v>
                </c:pt>
                <c:pt idx="142">
                  <c:v>48519</c:v>
                </c:pt>
                <c:pt idx="143">
                  <c:v>48549</c:v>
                </c:pt>
                <c:pt idx="144">
                  <c:v>48580</c:v>
                </c:pt>
                <c:pt idx="145">
                  <c:v>48611</c:v>
                </c:pt>
                <c:pt idx="146">
                  <c:v>48639</c:v>
                </c:pt>
                <c:pt idx="147">
                  <c:v>48670</c:v>
                </c:pt>
                <c:pt idx="148">
                  <c:v>48700</c:v>
                </c:pt>
                <c:pt idx="149">
                  <c:v>48731</c:v>
                </c:pt>
                <c:pt idx="150">
                  <c:v>48761</c:v>
                </c:pt>
                <c:pt idx="151">
                  <c:v>48792</c:v>
                </c:pt>
                <c:pt idx="152">
                  <c:v>48823</c:v>
                </c:pt>
                <c:pt idx="153">
                  <c:v>48853</c:v>
                </c:pt>
                <c:pt idx="154">
                  <c:v>48884</c:v>
                </c:pt>
                <c:pt idx="155">
                  <c:v>48914</c:v>
                </c:pt>
              </c:numCache>
            </c:numRef>
          </c:cat>
          <c:val>
            <c:numRef>
              <c:f>'Dom Production'!$C$14:$C$169</c:f>
              <c:numCache>
                <c:formatCode>#,##0_);[Red]\(#,##0\)</c:formatCode>
                <c:ptCount val="156"/>
                <c:pt idx="0">
                  <c:v>50374630</c:v>
                </c:pt>
                <c:pt idx="1">
                  <c:v>51175710</c:v>
                </c:pt>
                <c:pt idx="2">
                  <c:v>59222033</c:v>
                </c:pt>
                <c:pt idx="3">
                  <c:v>50634433</c:v>
                </c:pt>
                <c:pt idx="4">
                  <c:v>60051437</c:v>
                </c:pt>
                <c:pt idx="5">
                  <c:v>68859545</c:v>
                </c:pt>
                <c:pt idx="6">
                  <c:v>69500573</c:v>
                </c:pt>
                <c:pt idx="7">
                  <c:v>82392520</c:v>
                </c:pt>
                <c:pt idx="8">
                  <c:v>55747506</c:v>
                </c:pt>
                <c:pt idx="9">
                  <c:v>77344974</c:v>
                </c:pt>
                <c:pt idx="10">
                  <c:v>101861084</c:v>
                </c:pt>
                <c:pt idx="11">
                  <c:v>118270462</c:v>
                </c:pt>
                <c:pt idx="12">
                  <c:v>87010244</c:v>
                </c:pt>
                <c:pt idx="13">
                  <c:v>101396491</c:v>
                </c:pt>
                <c:pt idx="14">
                  <c:v>110055959</c:v>
                </c:pt>
                <c:pt idx="15">
                  <c:v>106480662</c:v>
                </c:pt>
                <c:pt idx="16">
                  <c:v>136075722</c:v>
                </c:pt>
                <c:pt idx="17">
                  <c:v>116253275</c:v>
                </c:pt>
                <c:pt idx="18">
                  <c:v>108975538</c:v>
                </c:pt>
                <c:pt idx="19">
                  <c:v>122248954</c:v>
                </c:pt>
                <c:pt idx="20">
                  <c:v>127613378</c:v>
                </c:pt>
                <c:pt idx="21">
                  <c:v>113679693</c:v>
                </c:pt>
                <c:pt idx="22">
                  <c:v>171787630</c:v>
                </c:pt>
                <c:pt idx="23">
                  <c:v>153759160</c:v>
                </c:pt>
                <c:pt idx="24">
                  <c:v>148278375</c:v>
                </c:pt>
                <c:pt idx="25">
                  <c:v>141070359</c:v>
                </c:pt>
                <c:pt idx="26">
                  <c:v>184175802</c:v>
                </c:pt>
                <c:pt idx="27">
                  <c:v>174407540</c:v>
                </c:pt>
                <c:pt idx="28">
                  <c:v>229265334</c:v>
                </c:pt>
                <c:pt idx="29">
                  <c:v>202490999</c:v>
                </c:pt>
                <c:pt idx="30">
                  <c:v>182796774</c:v>
                </c:pt>
                <c:pt idx="31">
                  <c:v>236476280</c:v>
                </c:pt>
                <c:pt idx="32">
                  <c:v>234008508</c:v>
                </c:pt>
                <c:pt idx="33">
                  <c:v>214031283</c:v>
                </c:pt>
                <c:pt idx="34">
                  <c:v>205619514</c:v>
                </c:pt>
                <c:pt idx="35">
                  <c:v>274816428</c:v>
                </c:pt>
                <c:pt idx="36">
                  <c:v>230210264</c:v>
                </c:pt>
                <c:pt idx="37">
                  <c:v>230073636</c:v>
                </c:pt>
                <c:pt idx="38">
                  <c:v>215239327</c:v>
                </c:pt>
                <c:pt idx="39">
                  <c:v>283042186</c:v>
                </c:pt>
                <c:pt idx="40">
                  <c:v>220402735</c:v>
                </c:pt>
                <c:pt idx="41">
                  <c:v>282589564</c:v>
                </c:pt>
                <c:pt idx="42">
                  <c:v>292633360</c:v>
                </c:pt>
                <c:pt idx="43">
                  <c:v>260490373</c:v>
                </c:pt>
                <c:pt idx="44">
                  <c:v>257927937</c:v>
                </c:pt>
                <c:pt idx="45">
                  <c:v>289557293</c:v>
                </c:pt>
                <c:pt idx="46">
                  <c:v>261189424</c:v>
                </c:pt>
                <c:pt idx="47">
                  <c:v>314111589</c:v>
                </c:pt>
                <c:pt idx="48">
                  <c:v>217367275</c:v>
                </c:pt>
                <c:pt idx="49">
                  <c:v>186102792</c:v>
                </c:pt>
                <c:pt idx="50">
                  <c:v>229400517</c:v>
                </c:pt>
                <c:pt idx="51">
                  <c:v>201331356.4815461</c:v>
                </c:pt>
                <c:pt idx="52">
                  <c:v>198336988.21685207</c:v>
                </c:pt>
                <c:pt idx="53">
                  <c:v>195595310.42807597</c:v>
                </c:pt>
                <c:pt idx="54">
                  <c:v>192075200.21665865</c:v>
                </c:pt>
                <c:pt idx="55">
                  <c:v>196758801.69768375</c:v>
                </c:pt>
                <c:pt idx="56">
                  <c:v>199567496.23015037</c:v>
                </c:pt>
                <c:pt idx="57">
                  <c:v>216647542.43543953</c:v>
                </c:pt>
                <c:pt idx="58">
                  <c:v>233980933.73434195</c:v>
                </c:pt>
                <c:pt idx="59">
                  <c:v>283976602.73018843</c:v>
                </c:pt>
                <c:pt idx="60">
                  <c:v>173301039.9201065</c:v>
                </c:pt>
                <c:pt idx="61">
                  <c:v>188920877.88275504</c:v>
                </c:pt>
                <c:pt idx="62">
                  <c:v>201087551.47234574</c:v>
                </c:pt>
                <c:pt idx="63">
                  <c:v>193344202.49970382</c:v>
                </c:pt>
                <c:pt idx="64">
                  <c:v>216099681.58198112</c:v>
                </c:pt>
                <c:pt idx="65">
                  <c:v>215722928.55995023</c:v>
                </c:pt>
                <c:pt idx="66">
                  <c:v>210519340.09415069</c:v>
                </c:pt>
                <c:pt idx="67">
                  <c:v>216241453.26312792</c:v>
                </c:pt>
                <c:pt idx="68">
                  <c:v>219228704.34448102</c:v>
                </c:pt>
                <c:pt idx="69">
                  <c:v>238583297.33016378</c:v>
                </c:pt>
                <c:pt idx="70">
                  <c:v>288005904.49351925</c:v>
                </c:pt>
                <c:pt idx="71">
                  <c:v>327988261.60637504</c:v>
                </c:pt>
                <c:pt idx="72">
                  <c:v>190327727.21764925</c:v>
                </c:pt>
                <c:pt idx="73">
                  <c:v>208087458.74720728</c:v>
                </c:pt>
                <c:pt idx="74">
                  <c:v>222331474.36161846</c:v>
                </c:pt>
                <c:pt idx="75">
                  <c:v>213396859.74068043</c:v>
                </c:pt>
                <c:pt idx="76">
                  <c:v>238853185.10802394</c:v>
                </c:pt>
                <c:pt idx="77">
                  <c:v>238366010.68480831</c:v>
                </c:pt>
                <c:pt idx="78">
                  <c:v>232082093.56796181</c:v>
                </c:pt>
                <c:pt idx="79">
                  <c:v>238636897.18670946</c:v>
                </c:pt>
                <c:pt idx="80">
                  <c:v>242156755.52030525</c:v>
                </c:pt>
                <c:pt idx="81">
                  <c:v>263133733.24879843</c:v>
                </c:pt>
                <c:pt idx="82">
                  <c:v>318437765.19553727</c:v>
                </c:pt>
                <c:pt idx="83">
                  <c:v>360408804.48522425</c:v>
                </c:pt>
                <c:pt idx="84">
                  <c:v>194312790.4450902</c:v>
                </c:pt>
                <c:pt idx="85">
                  <c:v>211940257.3015556</c:v>
                </c:pt>
                <c:pt idx="86">
                  <c:v>227266907.74707708</c:v>
                </c:pt>
                <c:pt idx="87">
                  <c:v>217371467.25445896</c:v>
                </c:pt>
                <c:pt idx="88">
                  <c:v>242702114.27576911</c:v>
                </c:pt>
                <c:pt idx="89">
                  <c:v>243606682.90877292</c:v>
                </c:pt>
                <c:pt idx="90">
                  <c:v>236773522.09535536</c:v>
                </c:pt>
                <c:pt idx="91">
                  <c:v>243626568.18724155</c:v>
                </c:pt>
                <c:pt idx="92">
                  <c:v>246630143.23247263</c:v>
                </c:pt>
                <c:pt idx="93">
                  <c:v>268323811.52612466</c:v>
                </c:pt>
                <c:pt idx="94">
                  <c:v>324105784.34622979</c:v>
                </c:pt>
                <c:pt idx="95">
                  <c:v>366605883.8644672</c:v>
                </c:pt>
                <c:pt idx="96">
                  <c:v>196315383.19321719</c:v>
                </c:pt>
                <c:pt idx="97">
                  <c:v>214020412.68485782</c:v>
                </c:pt>
                <c:pt idx="98">
                  <c:v>228580293.88394293</c:v>
                </c:pt>
                <c:pt idx="99">
                  <c:v>218955341.14504278</c:v>
                </c:pt>
                <c:pt idx="100">
                  <c:v>244000037.58973342</c:v>
                </c:pt>
                <c:pt idx="101">
                  <c:v>244970522.4732177</c:v>
                </c:pt>
                <c:pt idx="102">
                  <c:v>238956910.24844706</c:v>
                </c:pt>
                <c:pt idx="103">
                  <c:v>245851134.01359108</c:v>
                </c:pt>
                <c:pt idx="104">
                  <c:v>248718331.233812</c:v>
                </c:pt>
                <c:pt idx="105">
                  <c:v>270208426.65035695</c:v>
                </c:pt>
                <c:pt idx="106">
                  <c:v>326915957.51048094</c:v>
                </c:pt>
                <c:pt idx="107">
                  <c:v>369856670.91491246</c:v>
                </c:pt>
                <c:pt idx="108">
                  <c:v>205707631.69478792</c:v>
                </c:pt>
                <c:pt idx="109">
                  <c:v>224248992.3909564</c:v>
                </c:pt>
                <c:pt idx="110">
                  <c:v>239819467.50720793</c:v>
                </c:pt>
                <c:pt idx="111">
                  <c:v>229462278.14924833</c:v>
                </c:pt>
                <c:pt idx="112">
                  <c:v>256351694.14983538</c:v>
                </c:pt>
                <c:pt idx="113">
                  <c:v>256708443.04556444</c:v>
                </c:pt>
                <c:pt idx="114">
                  <c:v>250033211.12136015</c:v>
                </c:pt>
                <c:pt idx="115">
                  <c:v>257412084.30610371</c:v>
                </c:pt>
                <c:pt idx="116">
                  <c:v>260670373.02903578</c:v>
                </c:pt>
                <c:pt idx="117">
                  <c:v>283206545.38055897</c:v>
                </c:pt>
                <c:pt idx="118">
                  <c:v>342127884.18371904</c:v>
                </c:pt>
                <c:pt idx="119">
                  <c:v>387299754.70567995</c:v>
                </c:pt>
                <c:pt idx="120">
                  <c:v>222782293.77920413</c:v>
                </c:pt>
                <c:pt idx="121">
                  <c:v>242941688.091079</c:v>
                </c:pt>
                <c:pt idx="122">
                  <c:v>259742588.4406063</c:v>
                </c:pt>
                <c:pt idx="123">
                  <c:v>248826445.36842561</c:v>
                </c:pt>
                <c:pt idx="124">
                  <c:v>277936054.80820769</c:v>
                </c:pt>
                <c:pt idx="125">
                  <c:v>278342482.54892325</c:v>
                </c:pt>
                <c:pt idx="126">
                  <c:v>271095635.63357651</c:v>
                </c:pt>
                <c:pt idx="127">
                  <c:v>278979038.75780982</c:v>
                </c:pt>
                <c:pt idx="128">
                  <c:v>282559598.33993489</c:v>
                </c:pt>
                <c:pt idx="129">
                  <c:v>307061170.11684263</c:v>
                </c:pt>
                <c:pt idx="130">
                  <c:v>371062267.34164441</c:v>
                </c:pt>
                <c:pt idx="131">
                  <c:v>420348949.46926063</c:v>
                </c:pt>
                <c:pt idx="132">
                  <c:v>264059013.18170139</c:v>
                </c:pt>
                <c:pt idx="133">
                  <c:v>288186763.80865526</c:v>
                </c:pt>
                <c:pt idx="134">
                  <c:v>308030377.58673579</c:v>
                </c:pt>
                <c:pt idx="135">
                  <c:v>295175326.88767368</c:v>
                </c:pt>
                <c:pt idx="136">
                  <c:v>329674933.86319137</c:v>
                </c:pt>
                <c:pt idx="137">
                  <c:v>330115541.04007667</c:v>
                </c:pt>
                <c:pt idx="138">
                  <c:v>321538833.71866876</c:v>
                </c:pt>
                <c:pt idx="139">
                  <c:v>330667683.35045755</c:v>
                </c:pt>
                <c:pt idx="140">
                  <c:v>334977538.00954771</c:v>
                </c:pt>
                <c:pt idx="141">
                  <c:v>364211403.58770156</c:v>
                </c:pt>
                <c:pt idx="142">
                  <c:v>440363381.72453421</c:v>
                </c:pt>
                <c:pt idx="143">
                  <c:v>498475419.86634046</c:v>
                </c:pt>
                <c:pt idx="144">
                  <c:v>262890228.64060161</c:v>
                </c:pt>
                <c:pt idx="145">
                  <c:v>286740408.06441188</c:v>
                </c:pt>
                <c:pt idx="146">
                  <c:v>306629223.56984639</c:v>
                </c:pt>
                <c:pt idx="147">
                  <c:v>293643197.48746473</c:v>
                </c:pt>
                <c:pt idx="148">
                  <c:v>327838041.39430302</c:v>
                </c:pt>
                <c:pt idx="149">
                  <c:v>328556808.6677587</c:v>
                </c:pt>
                <c:pt idx="150">
                  <c:v>319993427.68153834</c:v>
                </c:pt>
                <c:pt idx="151">
                  <c:v>329211311.18897265</c:v>
                </c:pt>
                <c:pt idx="152">
                  <c:v>333356989.57658458</c:v>
                </c:pt>
                <c:pt idx="153">
                  <c:v>362381018.27605021</c:v>
                </c:pt>
                <c:pt idx="154">
                  <c:v>438022232.40879124</c:v>
                </c:pt>
                <c:pt idx="155">
                  <c:v>495804608.01874244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269-4B2C-A8B2-55BFC7A97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1281410560"/>
        <c:axId val="1281405312"/>
      </c:barChart>
      <c:dateAx>
        <c:axId val="128141056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81405312"/>
        <c:crosses val="autoZero"/>
        <c:auto val="1"/>
        <c:lblOffset val="100"/>
        <c:baseTimeUnit val="months"/>
      </c:dateAx>
      <c:valAx>
        <c:axId val="12814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81410560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4759764858881129E-2"/>
          <c:y val="0.11642635820964861"/>
          <c:w val="0.28431849664625253"/>
          <c:h val="0.1077580927384077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Biomass-Based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673349750164404E-2"/>
          <c:y val="9.8905890372047056E-2"/>
          <c:w val="0.89362579580081725"/>
          <c:h val="0.698873044603921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'Dom Production'!$B$1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7D-4C46-A7DC-7DF588953ED9}"/>
              </c:ext>
            </c:extLst>
          </c:dPt>
          <c:dPt>
            <c:idx val="42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7D-4C46-A7DC-7DF588953ED9}"/>
              </c:ext>
            </c:extLst>
          </c:dPt>
          <c:dPt>
            <c:idx val="43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7D-4C46-A7DC-7DF588953ED9}"/>
              </c:ext>
            </c:extLst>
          </c:dPt>
          <c:dPt>
            <c:idx val="44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7D-4C46-A7DC-7DF588953ED9}"/>
              </c:ext>
            </c:extLst>
          </c:dPt>
          <c:dPt>
            <c:idx val="45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7D-4C46-A7DC-7DF588953ED9}"/>
              </c:ext>
            </c:extLst>
          </c:dPt>
          <c:dPt>
            <c:idx val="46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7D-4C46-A7DC-7DF588953ED9}"/>
              </c:ext>
            </c:extLst>
          </c:dPt>
          <c:dPt>
            <c:idx val="47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C7D-4C46-A7DC-7DF588953ED9}"/>
              </c:ext>
            </c:extLst>
          </c:dPt>
          <c:dPt>
            <c:idx val="48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C7D-4C46-A7DC-7DF588953ED9}"/>
              </c:ext>
            </c:extLst>
          </c:dPt>
          <c:dPt>
            <c:idx val="49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C7D-4C46-A7DC-7DF588953ED9}"/>
              </c:ext>
            </c:extLst>
          </c:dPt>
          <c:dPt>
            <c:idx val="50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C7D-4C46-A7DC-7DF588953ED9}"/>
              </c:ext>
            </c:extLst>
          </c:dPt>
          <c:dPt>
            <c:idx val="51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C7D-4C46-A7DC-7DF588953ED9}"/>
              </c:ext>
            </c:extLst>
          </c:dPt>
          <c:dPt>
            <c:idx val="52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C7D-4C46-A7DC-7DF588953ED9}"/>
              </c:ext>
            </c:extLst>
          </c:dPt>
          <c:dPt>
            <c:idx val="53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C7D-4C46-A7DC-7DF588953ED9}"/>
              </c:ext>
            </c:extLst>
          </c:dPt>
          <c:dPt>
            <c:idx val="54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C7D-4C46-A7DC-7DF588953ED9}"/>
              </c:ext>
            </c:extLst>
          </c:dPt>
          <c:dPt>
            <c:idx val="55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C7D-4C46-A7DC-7DF588953ED9}"/>
              </c:ext>
            </c:extLst>
          </c:dPt>
          <c:dPt>
            <c:idx val="56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C7D-4C46-A7DC-7DF588953ED9}"/>
              </c:ext>
            </c:extLst>
          </c:dPt>
          <c:dPt>
            <c:idx val="57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C7D-4C46-A7DC-7DF588953ED9}"/>
              </c:ext>
            </c:extLst>
          </c:dPt>
          <c:dPt>
            <c:idx val="58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C7D-4C46-A7DC-7DF588953ED9}"/>
              </c:ext>
            </c:extLst>
          </c:dPt>
          <c:dPt>
            <c:idx val="59"/>
            <c:invertIfNegative val="0"/>
            <c:bubble3D val="0"/>
            <c:spPr>
              <a:pattFill prst="pct5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C7D-4C46-A7DC-7DF588953ED9}"/>
              </c:ext>
            </c:extLst>
          </c:dPt>
          <c:cat>
            <c:numRef>
              <c:f>'Dom Production'!$A$14:$A$73</c:f>
              <c:numCache>
                <c:formatCode>m/d/yyyy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'Dom Production'!$B$14:$B$73</c:f>
              <c:numCache>
                <c:formatCode>#,##0_);[Red]\(#,##0\)</c:formatCode>
                <c:ptCount val="60"/>
                <c:pt idx="0">
                  <c:v>107302585</c:v>
                </c:pt>
                <c:pt idx="1">
                  <c:v>109881050</c:v>
                </c:pt>
                <c:pt idx="2">
                  <c:v>150338931</c:v>
                </c:pt>
                <c:pt idx="3">
                  <c:v>144396494</c:v>
                </c:pt>
                <c:pt idx="4">
                  <c:v>150501950</c:v>
                </c:pt>
                <c:pt idx="5">
                  <c:v>154457118</c:v>
                </c:pt>
                <c:pt idx="6">
                  <c:v>146890338</c:v>
                </c:pt>
                <c:pt idx="7">
                  <c:v>154582245</c:v>
                </c:pt>
                <c:pt idx="8">
                  <c:v>139934774</c:v>
                </c:pt>
                <c:pt idx="9">
                  <c:v>139778878</c:v>
                </c:pt>
                <c:pt idx="10">
                  <c:v>140856752</c:v>
                </c:pt>
                <c:pt idx="11">
                  <c:v>165708240</c:v>
                </c:pt>
                <c:pt idx="12">
                  <c:v>90715015</c:v>
                </c:pt>
                <c:pt idx="13">
                  <c:v>110442650</c:v>
                </c:pt>
                <c:pt idx="14">
                  <c:v>135869438</c:v>
                </c:pt>
                <c:pt idx="15">
                  <c:v>144286382</c:v>
                </c:pt>
                <c:pt idx="16">
                  <c:v>139875243</c:v>
                </c:pt>
                <c:pt idx="17">
                  <c:v>142855221</c:v>
                </c:pt>
                <c:pt idx="18">
                  <c:v>137545866</c:v>
                </c:pt>
                <c:pt idx="19">
                  <c:v>151833118</c:v>
                </c:pt>
                <c:pt idx="20">
                  <c:v>141860945</c:v>
                </c:pt>
                <c:pt idx="21">
                  <c:v>138040230</c:v>
                </c:pt>
                <c:pt idx="22">
                  <c:v>141295576</c:v>
                </c:pt>
                <c:pt idx="23">
                  <c:v>145591401</c:v>
                </c:pt>
                <c:pt idx="24">
                  <c:v>119548309</c:v>
                </c:pt>
                <c:pt idx="25">
                  <c:v>114742607</c:v>
                </c:pt>
                <c:pt idx="26">
                  <c:v>130889308</c:v>
                </c:pt>
                <c:pt idx="27">
                  <c:v>133835520</c:v>
                </c:pt>
                <c:pt idx="28">
                  <c:v>163593533</c:v>
                </c:pt>
                <c:pt idx="29">
                  <c:v>153006295</c:v>
                </c:pt>
                <c:pt idx="30">
                  <c:v>142593233</c:v>
                </c:pt>
                <c:pt idx="31">
                  <c:v>152345476</c:v>
                </c:pt>
                <c:pt idx="32">
                  <c:v>143870897</c:v>
                </c:pt>
                <c:pt idx="33">
                  <c:v>144087366</c:v>
                </c:pt>
                <c:pt idx="34">
                  <c:v>135076229</c:v>
                </c:pt>
                <c:pt idx="35">
                  <c:v>136732063</c:v>
                </c:pt>
                <c:pt idx="36">
                  <c:v>120715672</c:v>
                </c:pt>
                <c:pt idx="37">
                  <c:v>125799224</c:v>
                </c:pt>
                <c:pt idx="38">
                  <c:v>133487105</c:v>
                </c:pt>
                <c:pt idx="39">
                  <c:v>136121554</c:v>
                </c:pt>
                <c:pt idx="40">
                  <c:v>142728755</c:v>
                </c:pt>
                <c:pt idx="41">
                  <c:v>133806992</c:v>
                </c:pt>
                <c:pt idx="42">
                  <c:v>145953904</c:v>
                </c:pt>
                <c:pt idx="43">
                  <c:v>139724190</c:v>
                </c:pt>
                <c:pt idx="44">
                  <c:v>134537885</c:v>
                </c:pt>
                <c:pt idx="45">
                  <c:v>148097836</c:v>
                </c:pt>
                <c:pt idx="46">
                  <c:v>133353588</c:v>
                </c:pt>
                <c:pt idx="47">
                  <c:v>174921835</c:v>
                </c:pt>
                <c:pt idx="48">
                  <c:v>65635810</c:v>
                </c:pt>
                <c:pt idx="49">
                  <c:v>73721896</c:v>
                </c:pt>
                <c:pt idx="50">
                  <c:v>95835418</c:v>
                </c:pt>
                <c:pt idx="51">
                  <c:v>131791986.24915777</c:v>
                </c:pt>
                <c:pt idx="52">
                  <c:v>137920236.89019856</c:v>
                </c:pt>
                <c:pt idx="53">
                  <c:v>139596321.19621357</c:v>
                </c:pt>
                <c:pt idx="54">
                  <c:v>137410035.36067736</c:v>
                </c:pt>
                <c:pt idx="55">
                  <c:v>143738699.39125273</c:v>
                </c:pt>
                <c:pt idx="56">
                  <c:v>135753181.58840644</c:v>
                </c:pt>
                <c:pt idx="57">
                  <c:v>134474043.6377117</c:v>
                </c:pt>
                <c:pt idx="58">
                  <c:v>129676507.59899189</c:v>
                </c:pt>
                <c:pt idx="59">
                  <c:v>258143861.5953773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C7D-4C46-A7DC-7DF588953ED9}"/>
            </c:ext>
          </c:extLst>
        </c:ser>
        <c:ser>
          <c:idx val="1"/>
          <c:order val="1"/>
          <c:tx>
            <c:strRef>
              <c:f>'Dom Production'!$C$1</c:f>
              <c:strCache>
                <c:ptCount val="1"/>
                <c:pt idx="0">
                  <c:v>Renewable Diesel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C7D-4C46-A7DC-7DF588953ED9}"/>
              </c:ext>
            </c:extLst>
          </c:dPt>
          <c:dPt>
            <c:idx val="42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0C7D-4C46-A7DC-7DF588953ED9}"/>
              </c:ext>
            </c:extLst>
          </c:dPt>
          <c:dPt>
            <c:idx val="4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0C7D-4C46-A7DC-7DF588953ED9}"/>
              </c:ext>
            </c:extLst>
          </c:dPt>
          <c:dPt>
            <c:idx val="44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0C7D-4C46-A7DC-7DF588953ED9}"/>
              </c:ext>
            </c:extLst>
          </c:dPt>
          <c:dPt>
            <c:idx val="45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0C7D-4C46-A7DC-7DF588953ED9}"/>
              </c:ext>
            </c:extLst>
          </c:dPt>
          <c:dPt>
            <c:idx val="46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0C7D-4C46-A7DC-7DF588953ED9}"/>
              </c:ext>
            </c:extLst>
          </c:dPt>
          <c:dPt>
            <c:idx val="47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0C7D-4C46-A7DC-7DF588953ED9}"/>
              </c:ext>
            </c:extLst>
          </c:dPt>
          <c:dPt>
            <c:idx val="48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0C7D-4C46-A7DC-7DF588953ED9}"/>
              </c:ext>
            </c:extLst>
          </c:dPt>
          <c:dPt>
            <c:idx val="49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0C7D-4C46-A7DC-7DF588953ED9}"/>
              </c:ext>
            </c:extLst>
          </c:dPt>
          <c:dPt>
            <c:idx val="50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0C7D-4C46-A7DC-7DF588953ED9}"/>
              </c:ext>
            </c:extLst>
          </c:dPt>
          <c:dPt>
            <c:idx val="51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0C7D-4C46-A7DC-7DF588953ED9}"/>
              </c:ext>
            </c:extLst>
          </c:dPt>
          <c:dPt>
            <c:idx val="52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0C7D-4C46-A7DC-7DF588953ED9}"/>
              </c:ext>
            </c:extLst>
          </c:dPt>
          <c:dPt>
            <c:idx val="53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0C7D-4C46-A7DC-7DF588953ED9}"/>
              </c:ext>
            </c:extLst>
          </c:dPt>
          <c:dPt>
            <c:idx val="54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0C7D-4C46-A7DC-7DF588953ED9}"/>
              </c:ext>
            </c:extLst>
          </c:dPt>
          <c:dPt>
            <c:idx val="55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0C7D-4C46-A7DC-7DF588953ED9}"/>
              </c:ext>
            </c:extLst>
          </c:dPt>
          <c:dPt>
            <c:idx val="56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0C7D-4C46-A7DC-7DF588953ED9}"/>
              </c:ext>
            </c:extLst>
          </c:dPt>
          <c:dPt>
            <c:idx val="57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0C7D-4C46-A7DC-7DF588953ED9}"/>
              </c:ext>
            </c:extLst>
          </c:dPt>
          <c:dPt>
            <c:idx val="58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0C7D-4C46-A7DC-7DF588953ED9}"/>
              </c:ext>
            </c:extLst>
          </c:dPt>
          <c:dPt>
            <c:idx val="59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0C7D-4C46-A7DC-7DF588953ED9}"/>
              </c:ext>
            </c:extLst>
          </c:dPt>
          <c:cat>
            <c:numRef>
              <c:f>'Dom Production'!$A$14:$A$73</c:f>
              <c:numCache>
                <c:formatCode>m/d/yyyy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'Dom Production'!$C$14:$C$73</c:f>
              <c:numCache>
                <c:formatCode>#,##0_);[Red]\(#,##0\)</c:formatCode>
                <c:ptCount val="60"/>
                <c:pt idx="0">
                  <c:v>50374630</c:v>
                </c:pt>
                <c:pt idx="1">
                  <c:v>51175710</c:v>
                </c:pt>
                <c:pt idx="2">
                  <c:v>59222033</c:v>
                </c:pt>
                <c:pt idx="3">
                  <c:v>50634433</c:v>
                </c:pt>
                <c:pt idx="4">
                  <c:v>60051437</c:v>
                </c:pt>
                <c:pt idx="5">
                  <c:v>68859545</c:v>
                </c:pt>
                <c:pt idx="6">
                  <c:v>69500573</c:v>
                </c:pt>
                <c:pt idx="7">
                  <c:v>82392520</c:v>
                </c:pt>
                <c:pt idx="8">
                  <c:v>55747506</c:v>
                </c:pt>
                <c:pt idx="9">
                  <c:v>77344974</c:v>
                </c:pt>
                <c:pt idx="10">
                  <c:v>101861084</c:v>
                </c:pt>
                <c:pt idx="11">
                  <c:v>118270462</c:v>
                </c:pt>
                <c:pt idx="12">
                  <c:v>87010244</c:v>
                </c:pt>
                <c:pt idx="13">
                  <c:v>101396491</c:v>
                </c:pt>
                <c:pt idx="14">
                  <c:v>110055959</c:v>
                </c:pt>
                <c:pt idx="15">
                  <c:v>106480662</c:v>
                </c:pt>
                <c:pt idx="16">
                  <c:v>136075722</c:v>
                </c:pt>
                <c:pt idx="17">
                  <c:v>116253275</c:v>
                </c:pt>
                <c:pt idx="18">
                  <c:v>108975538</c:v>
                </c:pt>
                <c:pt idx="19">
                  <c:v>122248954</c:v>
                </c:pt>
                <c:pt idx="20">
                  <c:v>127613378</c:v>
                </c:pt>
                <c:pt idx="21">
                  <c:v>113679693</c:v>
                </c:pt>
                <c:pt idx="22">
                  <c:v>171787630</c:v>
                </c:pt>
                <c:pt idx="23">
                  <c:v>153759160</c:v>
                </c:pt>
                <c:pt idx="24">
                  <c:v>148278375</c:v>
                </c:pt>
                <c:pt idx="25">
                  <c:v>141070359</c:v>
                </c:pt>
                <c:pt idx="26">
                  <c:v>184175802</c:v>
                </c:pt>
                <c:pt idx="27">
                  <c:v>174407540</c:v>
                </c:pt>
                <c:pt idx="28">
                  <c:v>229265334</c:v>
                </c:pt>
                <c:pt idx="29">
                  <c:v>202490999</c:v>
                </c:pt>
                <c:pt idx="30">
                  <c:v>182796774</c:v>
                </c:pt>
                <c:pt idx="31">
                  <c:v>236476280</c:v>
                </c:pt>
                <c:pt idx="32">
                  <c:v>234008508</c:v>
                </c:pt>
                <c:pt idx="33">
                  <c:v>214031283</c:v>
                </c:pt>
                <c:pt idx="34">
                  <c:v>205619514</c:v>
                </c:pt>
                <c:pt idx="35">
                  <c:v>274816428</c:v>
                </c:pt>
                <c:pt idx="36">
                  <c:v>230210264</c:v>
                </c:pt>
                <c:pt idx="37">
                  <c:v>230073636</c:v>
                </c:pt>
                <c:pt idx="38">
                  <c:v>215239327</c:v>
                </c:pt>
                <c:pt idx="39">
                  <c:v>283042186</c:v>
                </c:pt>
                <c:pt idx="40">
                  <c:v>220402735</c:v>
                </c:pt>
                <c:pt idx="41">
                  <c:v>282589564</c:v>
                </c:pt>
                <c:pt idx="42">
                  <c:v>292633360</c:v>
                </c:pt>
                <c:pt idx="43">
                  <c:v>260490373</c:v>
                </c:pt>
                <c:pt idx="44">
                  <c:v>257927937</c:v>
                </c:pt>
                <c:pt idx="45">
                  <c:v>289557293</c:v>
                </c:pt>
                <c:pt idx="46">
                  <c:v>261189424</c:v>
                </c:pt>
                <c:pt idx="47">
                  <c:v>314111589</c:v>
                </c:pt>
                <c:pt idx="48">
                  <c:v>217367275</c:v>
                </c:pt>
                <c:pt idx="49">
                  <c:v>186102792</c:v>
                </c:pt>
                <c:pt idx="50">
                  <c:v>229400517</c:v>
                </c:pt>
                <c:pt idx="51">
                  <c:v>201331356.4815461</c:v>
                </c:pt>
                <c:pt idx="52">
                  <c:v>198336988.21685207</c:v>
                </c:pt>
                <c:pt idx="53">
                  <c:v>195595310.42807597</c:v>
                </c:pt>
                <c:pt idx="54">
                  <c:v>192075200.21665865</c:v>
                </c:pt>
                <c:pt idx="55">
                  <c:v>196758801.69768375</c:v>
                </c:pt>
                <c:pt idx="56">
                  <c:v>199567496.23015037</c:v>
                </c:pt>
                <c:pt idx="57">
                  <c:v>216647542.43543953</c:v>
                </c:pt>
                <c:pt idx="58">
                  <c:v>233980933.73434195</c:v>
                </c:pt>
                <c:pt idx="59">
                  <c:v>283976602.73018843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0C7D-4C46-A7DC-7DF58895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281410560"/>
        <c:axId val="1281405312"/>
      </c:barChart>
      <c:dateAx>
        <c:axId val="128141056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81405312"/>
        <c:crosses val="autoZero"/>
        <c:auto val="1"/>
        <c:lblOffset val="100"/>
        <c:baseTimeUnit val="months"/>
      </c:dateAx>
      <c:valAx>
        <c:axId val="12814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81410560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1724846894138233"/>
          <c:y val="0.11544920166229221"/>
          <c:w val="0.33462217488671031"/>
          <c:h val="6.956354699369260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Domestic Biomass-Based Diesel Feedstock Yields</a:t>
            </a:r>
          </a:p>
          <a:p>
            <a:pPr>
              <a:defRPr/>
            </a:pPr>
            <a:r>
              <a:rPr lang="en-US"/>
              <a:t>(based on EPA production data)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869088994207484E-2"/>
          <c:y val="0.14722112860892389"/>
          <c:w val="0.89141790416008426"/>
          <c:h val="0.7417601706036745"/>
        </c:manualLayout>
      </c:layout>
      <c:lineChart>
        <c:grouping val="standard"/>
        <c:varyColors val="0"/>
        <c:ser>
          <c:idx val="0"/>
          <c:order val="0"/>
          <c:tx>
            <c:strRef>
              <c:f>'Feedstock Yields'!$K$36</c:f>
              <c:strCache>
                <c:ptCount val="1"/>
                <c:pt idx="0">
                  <c:v>2020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Yields'!$K$37:$K$48</c:f>
              <c:numCache>
                <c:formatCode>0.00_);[Red]\(0.00\)</c:formatCode>
                <c:ptCount val="12"/>
                <c:pt idx="0">
                  <c:v>6.2640427304760289</c:v>
                </c:pt>
                <c:pt idx="1">
                  <c:v>5.8851576473520328</c:v>
                </c:pt>
                <c:pt idx="2">
                  <c:v>5.7181460555213386</c:v>
                </c:pt>
                <c:pt idx="3">
                  <c:v>5.5321638538793394</c:v>
                </c:pt>
                <c:pt idx="4">
                  <c:v>5.9840987137303339</c:v>
                </c:pt>
                <c:pt idx="5">
                  <c:v>5.1028715029538887</c:v>
                </c:pt>
                <c:pt idx="6">
                  <c:v>5.7264635942028121</c:v>
                </c:pt>
                <c:pt idx="7">
                  <c:v>5.5768788174158423</c:v>
                </c:pt>
                <c:pt idx="8">
                  <c:v>5.3642526164353876</c:v>
                </c:pt>
                <c:pt idx="9">
                  <c:v>6.5548385637376745</c:v>
                </c:pt>
                <c:pt idx="10">
                  <c:v>5.8117416961115538</c:v>
                </c:pt>
                <c:pt idx="11">
                  <c:v>4.9408988060082173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A-4CAC-BDA3-F81A917A8A97}"/>
            </c:ext>
          </c:extLst>
        </c:ser>
        <c:ser>
          <c:idx val="1"/>
          <c:order val="1"/>
          <c:tx>
            <c:strRef>
              <c:f>'Feedstock Yields'!$L$36</c:f>
              <c:strCache>
                <c:ptCount val="1"/>
                <c:pt idx="0">
                  <c:v>2021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Yields'!$L$37:$L$48</c:f>
              <c:numCache>
                <c:formatCode>0.00_);[Red]\(0.00\)</c:formatCode>
                <c:ptCount val="12"/>
                <c:pt idx="0">
                  <c:v>6.6078129509455463</c:v>
                </c:pt>
                <c:pt idx="1">
                  <c:v>4.0889200046722713</c:v>
                </c:pt>
                <c:pt idx="2">
                  <c:v>4.5167113871078586</c:v>
                </c:pt>
                <c:pt idx="3">
                  <c:v>5.465502090742322</c:v>
                </c:pt>
                <c:pt idx="4">
                  <c:v>5.4301421494139976</c:v>
                </c:pt>
                <c:pt idx="5">
                  <c:v>4.7798219237590525</c:v>
                </c:pt>
                <c:pt idx="6">
                  <c:v>4.937131366862495</c:v>
                </c:pt>
                <c:pt idx="7">
                  <c:v>3.7642781876078031</c:v>
                </c:pt>
                <c:pt idx="8">
                  <c:v>4.6937635337629526</c:v>
                </c:pt>
                <c:pt idx="9">
                  <c:v>5.0011000446050353</c:v>
                </c:pt>
                <c:pt idx="10">
                  <c:v>3.9917704517485211</c:v>
                </c:pt>
                <c:pt idx="11">
                  <c:v>3.9699097828369236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A-4CAC-BDA3-F81A917A8A97}"/>
            </c:ext>
          </c:extLst>
        </c:ser>
        <c:ser>
          <c:idx val="2"/>
          <c:order val="2"/>
          <c:tx>
            <c:strRef>
              <c:f>'Feedstock Yields'!$M$36</c:f>
              <c:strCache>
                <c:ptCount val="1"/>
                <c:pt idx="0">
                  <c:v>2022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4A-4CAC-BDA3-F81A917A8A9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4A-4CAC-BDA3-F81A917A8A9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4A-4CAC-BDA3-F81A917A8A9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4A-4CAC-BDA3-F81A917A8A97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4A-4CAC-BDA3-F81A917A8A97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74A-4CAC-BDA3-F81A917A8A97}"/>
              </c:ext>
            </c:extLst>
          </c:dPt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Yields'!$M$37:$M$48</c:f>
              <c:numCache>
                <c:formatCode>0.00_);[Red]\(0.00\)</c:formatCode>
                <c:ptCount val="12"/>
                <c:pt idx="0">
                  <c:v>5.3055846449772925</c:v>
                </c:pt>
                <c:pt idx="1">
                  <c:v>4.3434516189313568</c:v>
                </c:pt>
                <c:pt idx="2">
                  <c:v>4.366830129940265</c:v>
                </c:pt>
                <c:pt idx="3">
                  <c:v>4.0227757361346459</c:v>
                </c:pt>
                <c:pt idx="4">
                  <c:v>3.7887628594276253</c:v>
                </c:pt>
                <c:pt idx="5">
                  <c:v>3.9918111601532971</c:v>
                </c:pt>
                <c:pt idx="6">
                  <c:v>4.59011194785404</c:v>
                </c:pt>
                <c:pt idx="7">
                  <c:v>4.1307473697622115</c:v>
                </c:pt>
                <c:pt idx="8">
                  <c:v>3.9521884868440607</c:v>
                </c:pt>
                <c:pt idx="9">
                  <c:v>4.4670119524154099</c:v>
                </c:pt>
                <c:pt idx="10">
                  <c:v>3.3536507601163148</c:v>
                </c:pt>
                <c:pt idx="11">
                  <c:v>3.443536350814834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4A-4CAC-BDA3-F81A917A8A97}"/>
            </c:ext>
          </c:extLst>
        </c:ser>
        <c:ser>
          <c:idx val="3"/>
          <c:order val="3"/>
          <c:tx>
            <c:strRef>
              <c:f>'Feedstock Yields'!$AJ$36</c:f>
              <c:strCache>
                <c:ptCount val="1"/>
                <c:pt idx="0">
                  <c:v>5-Year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'Feedstock Yields'!$AJ$37:$AJ$48</c:f>
              <c:numCache>
                <c:formatCode>0.00_);[Red]\(0.00\)</c:formatCode>
                <c:ptCount val="12"/>
                <c:pt idx="0">
                  <c:v>6.6228963338270415</c:v>
                </c:pt>
                <c:pt idx="1">
                  <c:v>5.435172272544551</c:v>
                </c:pt>
                <c:pt idx="2">
                  <c:v>5.35870013118726</c:v>
                </c:pt>
                <c:pt idx="3">
                  <c:v>5.3866060674030036</c:v>
                </c:pt>
                <c:pt idx="4">
                  <c:v>5.3587727684215398</c:v>
                </c:pt>
                <c:pt idx="5">
                  <c:v>5.2889215184763758</c:v>
                </c:pt>
                <c:pt idx="6">
                  <c:v>5.5221878258470856</c:v>
                </c:pt>
                <c:pt idx="7">
                  <c:v>5.2707533495309784</c:v>
                </c:pt>
                <c:pt idx="8">
                  <c:v>5.2146722569824231</c:v>
                </c:pt>
                <c:pt idx="9">
                  <c:v>5.4462162207453613</c:v>
                </c:pt>
                <c:pt idx="10">
                  <c:v>5.0670217200044947</c:v>
                </c:pt>
                <c:pt idx="11">
                  <c:v>4.5876905564508323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4A-4CAC-BDA3-F81A917A8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740543"/>
        <c:axId val="368736607"/>
      </c:lineChart>
      <c:catAx>
        <c:axId val="3687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8736607"/>
        <c:crosses val="autoZero"/>
        <c:auto val="1"/>
        <c:lblAlgn val="ctr"/>
        <c:lblOffset val="100"/>
        <c:noMultiLvlLbl val="0"/>
      </c:catAx>
      <c:valAx>
        <c:axId val="368736607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pounds per 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8740543"/>
        <c:crosses val="autoZero"/>
        <c:crossBetween val="between"/>
      </c:valAx>
      <c:spPr>
        <a:noFill/>
        <a:ln w="2222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0865886555847188"/>
          <c:y val="0.18517716535433071"/>
          <c:w val="0.47107709320695101"/>
          <c:h val="9.2628412256267403E-2"/>
        </c:manualLayout>
      </c:layout>
      <c:overlay val="0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Domestic Biomass-Based Diesel Feedstock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035104986876641"/>
          <c:y val="0.13971511373578302"/>
          <c:w val="0.81214311752697577"/>
          <c:h val="0.73621691819772528"/>
        </c:manualLayout>
      </c:layout>
      <c:areaChart>
        <c:grouping val="standard"/>
        <c:varyColors val="0"/>
        <c:ser>
          <c:idx val="2"/>
          <c:order val="1"/>
          <c:tx>
            <c:v>5-Year Range</c:v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Yields'!$AK$37:$AK$48</c:f>
              <c:numCache>
                <c:formatCode>0.00_);[Red]\(0.00\)</c:formatCode>
                <c:ptCount val="12"/>
                <c:pt idx="0">
                  <c:v>7.5291352080958855</c:v>
                </c:pt>
                <c:pt idx="1">
                  <c:v>6.7642705593070573</c:v>
                </c:pt>
                <c:pt idx="2">
                  <c:v>6.4417924496280445</c:v>
                </c:pt>
                <c:pt idx="3">
                  <c:v>6.2266059895440238</c:v>
                </c:pt>
                <c:pt idx="4">
                  <c:v>6.0093100362830834</c:v>
                </c:pt>
                <c:pt idx="5">
                  <c:v>6.7794351403121471</c:v>
                </c:pt>
                <c:pt idx="6">
                  <c:v>6.8772071026897326</c:v>
                </c:pt>
                <c:pt idx="7">
                  <c:v>6.5746311865001879</c:v>
                </c:pt>
                <c:pt idx="8">
                  <c:v>6.4291628156857632</c:v>
                </c:pt>
                <c:pt idx="9">
                  <c:v>6.5548385637376745</c:v>
                </c:pt>
                <c:pt idx="10">
                  <c:v>6.2578908008518246</c:v>
                </c:pt>
                <c:pt idx="11">
                  <c:v>5.4369686332497356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5-477B-A195-F33C21C75CF5}"/>
            </c:ext>
          </c:extLst>
        </c:ser>
        <c:ser>
          <c:idx val="3"/>
          <c:order val="2"/>
          <c:spPr>
            <a:solidFill>
              <a:schemeClr val="bg1"/>
            </a:solidFill>
            <a:ln w="22225">
              <a:solidFill>
                <a:srgbClr val="323232"/>
              </a:solidFill>
              <a:prstDash val="solid"/>
            </a:ln>
            <a:effectLst/>
          </c:spPr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Yields'!$AL$37:$AL$48</c:f>
              <c:numCache>
                <c:formatCode>0.00_);[Red]\(0.00\)</c:formatCode>
                <c:ptCount val="12"/>
                <c:pt idx="0">
                  <c:v>5.3055846449772925</c:v>
                </c:pt>
                <c:pt idx="1">
                  <c:v>4.0889200046722713</c:v>
                </c:pt>
                <c:pt idx="2">
                  <c:v>4.366830129940265</c:v>
                </c:pt>
                <c:pt idx="3">
                  <c:v>4.0227757361346459</c:v>
                </c:pt>
                <c:pt idx="4">
                  <c:v>3.7887628594276253</c:v>
                </c:pt>
                <c:pt idx="5">
                  <c:v>3.9918111601532971</c:v>
                </c:pt>
                <c:pt idx="6">
                  <c:v>4.59011194785404</c:v>
                </c:pt>
                <c:pt idx="7">
                  <c:v>3.7642781876078031</c:v>
                </c:pt>
                <c:pt idx="8">
                  <c:v>3.9521884868440607</c:v>
                </c:pt>
                <c:pt idx="9">
                  <c:v>4.4670119524154099</c:v>
                </c:pt>
                <c:pt idx="10">
                  <c:v>3.3536507601163148</c:v>
                </c:pt>
                <c:pt idx="11">
                  <c:v>3.443536350814834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5-477B-A195-F33C21C7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43639"/>
        <c:axId val="220646591"/>
      </c:areaChart>
      <c:lineChart>
        <c:grouping val="standard"/>
        <c:varyColors val="0"/>
        <c:ser>
          <c:idx val="1"/>
          <c:order val="0"/>
          <c:tx>
            <c:strRef>
              <c:f>'Feedstock Yields'!$AJ$36</c:f>
              <c:strCache>
                <c:ptCount val="1"/>
                <c:pt idx="0">
                  <c:v>5-Year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Yields'!$AJ$37:$AJ$48</c:f>
              <c:numCache>
                <c:formatCode>0.00_);[Red]\(0.00\)</c:formatCode>
                <c:ptCount val="12"/>
                <c:pt idx="0">
                  <c:v>6.6228963338270415</c:v>
                </c:pt>
                <c:pt idx="1">
                  <c:v>5.435172272544551</c:v>
                </c:pt>
                <c:pt idx="2">
                  <c:v>5.35870013118726</c:v>
                </c:pt>
                <c:pt idx="3">
                  <c:v>5.3866060674030036</c:v>
                </c:pt>
                <c:pt idx="4">
                  <c:v>5.3587727684215398</c:v>
                </c:pt>
                <c:pt idx="5">
                  <c:v>5.2889215184763758</c:v>
                </c:pt>
                <c:pt idx="6">
                  <c:v>5.5221878258470856</c:v>
                </c:pt>
                <c:pt idx="7">
                  <c:v>5.2707533495309784</c:v>
                </c:pt>
                <c:pt idx="8">
                  <c:v>5.2146722569824231</c:v>
                </c:pt>
                <c:pt idx="9">
                  <c:v>5.4462162207453613</c:v>
                </c:pt>
                <c:pt idx="10">
                  <c:v>5.0670217200044947</c:v>
                </c:pt>
                <c:pt idx="11">
                  <c:v>4.5876905564508323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D5-477B-A195-F33C21C75CF5}"/>
            </c:ext>
          </c:extLst>
        </c:ser>
        <c:ser>
          <c:idx val="0"/>
          <c:order val="4"/>
          <c:tx>
            <c:strRef>
              <c:f>'Feedstock Yields'!$M$36</c:f>
              <c:strCache>
                <c:ptCount val="1"/>
                <c:pt idx="0">
                  <c:v>2022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6"/>
            <c:marker>
              <c:symbol val="circle"/>
              <c:size val="9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D5-477B-A195-F33C21C75CF5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9D5-477B-A195-F33C21C75CF5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9D5-477B-A195-F33C21C75CF5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E9D5-477B-A195-F33C21C75CF5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9D5-477B-A195-F33C21C75CF5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9D5-477B-A195-F33C21C75CF5}"/>
              </c:ext>
            </c:extLst>
          </c:dPt>
          <c:cat>
            <c:strRef>
              <c:f>'Feedstock Yields'!$A$37:$A$48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Yields'!$M$37:$M$48</c:f>
              <c:numCache>
                <c:formatCode>0.00_);[Red]\(0.00\)</c:formatCode>
                <c:ptCount val="12"/>
                <c:pt idx="0">
                  <c:v>5.3055846449772925</c:v>
                </c:pt>
                <c:pt idx="1">
                  <c:v>4.3434516189313568</c:v>
                </c:pt>
                <c:pt idx="2">
                  <c:v>4.366830129940265</c:v>
                </c:pt>
                <c:pt idx="3">
                  <c:v>4.0227757361346459</c:v>
                </c:pt>
                <c:pt idx="4">
                  <c:v>3.7887628594276253</c:v>
                </c:pt>
                <c:pt idx="5">
                  <c:v>3.9918111601532971</c:v>
                </c:pt>
                <c:pt idx="6">
                  <c:v>4.59011194785404</c:v>
                </c:pt>
                <c:pt idx="7">
                  <c:v>4.1307473697622115</c:v>
                </c:pt>
                <c:pt idx="8">
                  <c:v>3.9521884868440607</c:v>
                </c:pt>
                <c:pt idx="9">
                  <c:v>4.4670119524154099</c:v>
                </c:pt>
                <c:pt idx="10">
                  <c:v>3.3536507601163148</c:v>
                </c:pt>
                <c:pt idx="11">
                  <c:v>3.443536350814834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D5-477B-A195-F33C21C75CF5}"/>
            </c:ext>
          </c:extLst>
        </c:ser>
        <c:ser>
          <c:idx val="5"/>
          <c:order val="5"/>
          <c:tx>
            <c:strRef>
              <c:f>'Feedstock Yields'!$N$36</c:f>
              <c:strCache>
                <c:ptCount val="1"/>
                <c:pt idx="0">
                  <c:v>2023</c:v>
                </c:pt>
              </c:strCache>
            </c:strRef>
          </c:tx>
          <c:spPr>
            <a:ln w="15875" cap="rnd">
              <a:solidFill>
                <a:srgbClr val="CF3C5E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CF3C5E"/>
              </a:solidFill>
              <a:ln w="15875">
                <a:solidFill>
                  <a:srgbClr val="CF3C5E"/>
                </a:solidFill>
              </a:ln>
              <a:effectLst/>
            </c:spPr>
          </c:marker>
          <c:dPt>
            <c:idx val="1"/>
            <c:marker>
              <c:symbol val="circle"/>
              <c:size val="9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9D5-477B-A195-F33C21C75CF5}"/>
              </c:ext>
            </c:extLst>
          </c:dPt>
          <c:dPt>
            <c:idx val="2"/>
            <c:marker>
              <c:symbol val="circle"/>
              <c:size val="9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9D5-477B-A195-F33C21C75CF5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9D5-477B-A195-F33C21C75CF5}"/>
              </c:ext>
            </c:extLst>
          </c:dPt>
          <c:dPt>
            <c:idx val="4"/>
            <c:marker>
              <c:symbol val="circle"/>
              <c:size val="9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9D5-477B-A195-F33C21C75CF5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E9D5-477B-A195-F33C21C75CF5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E9D5-477B-A195-F33C21C75CF5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E9D5-477B-A195-F33C21C75CF5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E9D5-477B-A195-F33C21C75CF5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E9D5-477B-A195-F33C21C75CF5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E9D5-477B-A195-F33C21C75CF5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E9D5-477B-A195-F33C21C75CF5}"/>
              </c:ext>
            </c:extLst>
          </c:dPt>
          <c:val>
            <c:numRef>
              <c:f>'Feedstock Yields'!$N$37:$N$48</c:f>
              <c:numCache>
                <c:formatCode>0.00_);[Red]\(0.00\)</c:formatCode>
                <c:ptCount val="12"/>
                <c:pt idx="0">
                  <c:v>3.6932396718890677</c:v>
                </c:pt>
                <c:pt idx="1">
                  <c:v>3.5356977117455854</c:v>
                </c:pt>
                <c:pt idx="2">
                  <c:v>3.5747942830437771</c:v>
                </c:pt>
                <c:pt idx="3">
                  <c:v>3.4239479138820683</c:v>
                </c:pt>
                <c:pt idx="4">
                  <c:v>3.1242927036544268</c:v>
                </c:pt>
                <c:pt idx="5">
                  <c:v>3.2734535886457672</c:v>
                </c:pt>
                <c:pt idx="6">
                  <c:v>3.5685819279141313</c:v>
                </c:pt>
                <c:pt idx="7">
                  <c:v>2.8936696216497837</c:v>
                </c:pt>
                <c:pt idx="8">
                  <c:v>2.9680070485580963</c:v>
                </c:pt>
                <c:pt idx="9">
                  <c:v>3.0937320710915621</c:v>
                </c:pt>
                <c:pt idx="10">
                  <c:v>3.0892749042109298</c:v>
                </c:pt>
                <c:pt idx="11">
                  <c:v>2.463887586194466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9D5-477B-A195-F33C21C7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43639"/>
        <c:axId val="220646591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'Feedstock Yields'!$L$36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15875" cap="rnd">
                    <a:solidFill>
                      <a:srgbClr val="ECECEC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23232"/>
                    </a:solidFill>
                    <a:ln w="15875">
                      <a:solidFill>
                        <a:srgbClr val="ECECEC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'Feedstock Yields'!$L$37:$L$48</c15:sqref>
                        </c15:formulaRef>
                      </c:ext>
                    </c:extLst>
                    <c:numCache>
                      <c:formatCode>0.00_);[Red]\(0.00\)</c:formatCode>
                      <c:ptCount val="12"/>
                      <c:pt idx="0">
                        <c:v>6.6078129509455463</c:v>
                      </c:pt>
                      <c:pt idx="1">
                        <c:v>4.0889200046722713</c:v>
                      </c:pt>
                      <c:pt idx="2">
                        <c:v>4.5167113871078586</c:v>
                      </c:pt>
                      <c:pt idx="3">
                        <c:v>5.465502090742322</c:v>
                      </c:pt>
                      <c:pt idx="4">
                        <c:v>5.4301421494139976</c:v>
                      </c:pt>
                      <c:pt idx="5">
                        <c:v>4.7798219237590525</c:v>
                      </c:pt>
                      <c:pt idx="6">
                        <c:v>4.937131366862495</c:v>
                      </c:pt>
                      <c:pt idx="7">
                        <c:v>3.7642781876078031</c:v>
                      </c:pt>
                      <c:pt idx="8">
                        <c:v>4.6937635337629526</c:v>
                      </c:pt>
                      <c:pt idx="9">
                        <c:v>5.0011000446050353</c:v>
                      </c:pt>
                      <c:pt idx="10">
                        <c:v>3.9917704517485211</c:v>
                      </c:pt>
                      <c:pt idx="11">
                        <c:v>3.9699097828369236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7-E9D5-477B-A195-F33C21C75CF5}"/>
                  </c:ext>
                </c:extLst>
              </c15:ser>
            </c15:filteredLineSeries>
          </c:ext>
        </c:extLst>
      </c:lineChart>
      <c:catAx>
        <c:axId val="220643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0646591"/>
        <c:crosses val="autoZero"/>
        <c:auto val="1"/>
        <c:lblAlgn val="ctr"/>
        <c:lblOffset val="100"/>
        <c:noMultiLvlLbl val="0"/>
      </c:catAx>
      <c:valAx>
        <c:axId val="220646591"/>
        <c:scaling>
          <c:orientation val="minMax"/>
          <c:max val="10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pounds per 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0643639"/>
        <c:crosses val="autoZero"/>
        <c:crossBetween val="midCat"/>
      </c:valAx>
      <c:spPr>
        <a:noFill/>
        <a:ln w="22225">
          <a:solidFill>
            <a:srgbClr val="323232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9321839534351083"/>
          <c:y val="0.24182974473323579"/>
          <c:w val="0.56120487446591749"/>
          <c:h val="0.11667104111986"/>
        </c:manualLayout>
      </c:layout>
      <c:overlay val="0"/>
      <c:spPr>
        <a:noFill/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Domestic Renewable Fuel Yields</a:t>
            </a:r>
          </a:p>
          <a:p>
            <a:pPr>
              <a:defRPr/>
            </a:pPr>
            <a:r>
              <a:rPr lang="en-US"/>
              <a:t>(based on EIA data, excluding ethanol)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192512394284048"/>
          <c:y val="0.14119969378827646"/>
          <c:w val="0.79362459900845728"/>
          <c:h val="0.72853936990515877"/>
        </c:manualLayout>
      </c:layout>
      <c:areaChart>
        <c:grouping val="standard"/>
        <c:varyColors val="0"/>
        <c:ser>
          <c:idx val="1"/>
          <c:order val="1"/>
          <c:tx>
            <c:v>5-Year Range</c:v>
          </c:tx>
          <c:spPr>
            <a:solidFill>
              <a:srgbClr val="8C8C8C"/>
            </a:solidFill>
            <a:ln>
              <a:noFill/>
            </a:ln>
            <a:effectLst/>
          </c:spPr>
          <c:val>
            <c:numRef>
              <c:f>'Feedstock Yields'!$AH$108:$AH$119</c:f>
              <c:numCache>
                <c:formatCode>0.00_);[Red]\(0.00\)</c:formatCode>
                <c:ptCount val="12"/>
                <c:pt idx="0">
                  <c:v>7.5407478427612666</c:v>
                </c:pt>
                <c:pt idx="1">
                  <c:v>7.3803812745954867</c:v>
                </c:pt>
                <c:pt idx="2">
                  <c:v>7.4883899279962503</c:v>
                </c:pt>
                <c:pt idx="3">
                  <c:v>7.4531104188846387</c:v>
                </c:pt>
                <c:pt idx="4">
                  <c:v>7.4554938252101435</c:v>
                </c:pt>
                <c:pt idx="5">
                  <c:v>7.5221845414723765</c:v>
                </c:pt>
                <c:pt idx="6">
                  <c:v>7.4566500077974691</c:v>
                </c:pt>
                <c:pt idx="7">
                  <c:v>7.5047015393188001</c:v>
                </c:pt>
                <c:pt idx="8">
                  <c:v>7.4016959875416681</c:v>
                </c:pt>
                <c:pt idx="9">
                  <c:v>7.3903123903123902</c:v>
                </c:pt>
                <c:pt idx="10">
                  <c:v>7.5101404824387998</c:v>
                </c:pt>
                <c:pt idx="11">
                  <c:v>7.4741650067606837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9-4039-A6A1-9DF5D1A04DD8}"/>
            </c:ext>
          </c:extLst>
        </c:ser>
        <c:ser>
          <c:idx val="2"/>
          <c:order val="2"/>
          <c:tx>
            <c:strRef>
              <c:f>'Feedstock Yields'!$AI$107</c:f>
              <c:strCache>
                <c:ptCount val="1"/>
                <c:pt idx="0">
                  <c:v>5-Year Min</c:v>
                </c:pt>
              </c:strCache>
            </c:strRef>
          </c:tx>
          <c:spPr>
            <a:solidFill>
              <a:schemeClr val="bg1"/>
            </a:solidFill>
            <a:ln w="22225">
              <a:solidFill>
                <a:srgbClr val="323232"/>
              </a:solidFill>
            </a:ln>
            <a:effectLst/>
          </c:spPr>
          <c:val>
            <c:numRef>
              <c:f>'Feedstock Yields'!$AI$108:$AI$119</c:f>
              <c:numCache>
                <c:formatCode>0.00_);[Red]\(0.00\)</c:formatCode>
                <c:ptCount val="12"/>
                <c:pt idx="0">
                  <c:v>3.8715066028420844</c:v>
                </c:pt>
                <c:pt idx="1">
                  <c:v>4.1210409721303076</c:v>
                </c:pt>
                <c:pt idx="2">
                  <c:v>4.234745158981692</c:v>
                </c:pt>
                <c:pt idx="3">
                  <c:v>3.8821014108899967</c:v>
                </c:pt>
                <c:pt idx="4">
                  <c:v>3.7831551860443353</c:v>
                </c:pt>
                <c:pt idx="5">
                  <c:v>3.7437641562181874</c:v>
                </c:pt>
                <c:pt idx="6">
                  <c:v>3.8482966443642503</c:v>
                </c:pt>
                <c:pt idx="7">
                  <c:v>3.9929315516324824</c:v>
                </c:pt>
                <c:pt idx="8">
                  <c:v>3.619391939088596</c:v>
                </c:pt>
                <c:pt idx="9">
                  <c:v>3.9198072394271999</c:v>
                </c:pt>
                <c:pt idx="10">
                  <c:v>3.4325589656981772</c:v>
                </c:pt>
                <c:pt idx="11">
                  <c:v>3.3433376095131493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9-4039-A6A1-9DF5D1A0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239096"/>
        <c:axId val="1596239424"/>
      </c:areaChart>
      <c:lineChart>
        <c:grouping val="standard"/>
        <c:varyColors val="0"/>
        <c:ser>
          <c:idx val="0"/>
          <c:order val="0"/>
          <c:tx>
            <c:strRef>
              <c:f>'Feedstock Yields'!$AG$107</c:f>
              <c:strCache>
                <c:ptCount val="1"/>
                <c:pt idx="0">
                  <c:v>5-Year Average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'Feedstock Yields'!$A$108:$A$119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Yields'!$AG$108:$AG$119</c:f>
              <c:numCache>
                <c:formatCode>0.00_);[Red]\(0.00\)</c:formatCode>
                <c:ptCount val="12"/>
                <c:pt idx="0">
                  <c:v>6.3150635995375568</c:v>
                </c:pt>
                <c:pt idx="1">
                  <c:v>6.0609711552579002</c:v>
                </c:pt>
                <c:pt idx="2">
                  <c:v>6.237015916459125</c:v>
                </c:pt>
                <c:pt idx="3">
                  <c:v>6.3176282260658407</c:v>
                </c:pt>
                <c:pt idx="4">
                  <c:v>6.2658224611224478</c:v>
                </c:pt>
                <c:pt idx="5">
                  <c:v>6.3032351535582425</c:v>
                </c:pt>
                <c:pt idx="6">
                  <c:v>6.2201808229302351</c:v>
                </c:pt>
                <c:pt idx="7">
                  <c:v>6.0901185640011892</c:v>
                </c:pt>
                <c:pt idx="8">
                  <c:v>6.1315416693395814</c:v>
                </c:pt>
                <c:pt idx="9">
                  <c:v>6.0317328920584155</c:v>
                </c:pt>
                <c:pt idx="10">
                  <c:v>5.9373690940803341</c:v>
                </c:pt>
                <c:pt idx="11">
                  <c:v>5.9254186847979033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039-A6A1-9DF5D1A04DD8}"/>
            </c:ext>
          </c:extLst>
        </c:ser>
        <c:ser>
          <c:idx val="5"/>
          <c:order val="5"/>
          <c:tx>
            <c:strRef>
              <c:f>'Feedstock Yields'!$M$107</c:f>
              <c:strCache>
                <c:ptCount val="1"/>
                <c:pt idx="0">
                  <c:v>2022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'Feedstock Yields'!$M$108:$M$119</c:f>
              <c:numCache>
                <c:formatCode>0.00_);[Red]\(0.00\)</c:formatCode>
                <c:ptCount val="12"/>
                <c:pt idx="0">
                  <c:v>3.8715066028420844</c:v>
                </c:pt>
                <c:pt idx="1">
                  <c:v>4.1210409721303076</c:v>
                </c:pt>
                <c:pt idx="2">
                  <c:v>4.234745158981692</c:v>
                </c:pt>
                <c:pt idx="3">
                  <c:v>3.8821014108899967</c:v>
                </c:pt>
                <c:pt idx="4">
                  <c:v>3.7831551860443353</c:v>
                </c:pt>
                <c:pt idx="5">
                  <c:v>3.7437641562181874</c:v>
                </c:pt>
                <c:pt idx="6">
                  <c:v>3.8482966443642503</c:v>
                </c:pt>
                <c:pt idx="7">
                  <c:v>3.9929315516324824</c:v>
                </c:pt>
                <c:pt idx="8">
                  <c:v>3.619391939088596</c:v>
                </c:pt>
                <c:pt idx="9">
                  <c:v>3.9198072394271999</c:v>
                </c:pt>
                <c:pt idx="10">
                  <c:v>3.4325589656981772</c:v>
                </c:pt>
                <c:pt idx="11">
                  <c:v>3.3433376095131493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039-A6A1-9DF5D1A04DD8}"/>
            </c:ext>
          </c:extLst>
        </c:ser>
        <c:ser>
          <c:idx val="6"/>
          <c:order val="6"/>
          <c:tx>
            <c:strRef>
              <c:f>'Feedstock Yields'!$N$107</c:f>
              <c:strCache>
                <c:ptCount val="1"/>
                <c:pt idx="0">
                  <c:v>2023</c:v>
                </c:pt>
              </c:strCache>
            </c:strRef>
          </c:tx>
          <c:spPr>
            <a:ln w="15875" cap="rnd">
              <a:solidFill>
                <a:srgbClr val="CF3C5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F3C5E"/>
              </a:solidFill>
              <a:ln w="15875">
                <a:solidFill>
                  <a:srgbClr val="CF3C5E"/>
                </a:solidFill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99-4039-A6A1-9DF5D1A04DD8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99-4039-A6A1-9DF5D1A04DD8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99-4039-A6A1-9DF5D1A04DD8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99-4039-A6A1-9DF5D1A04DD8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99-4039-A6A1-9DF5D1A04DD8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299-4039-A6A1-9DF5D1A04DD8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CF3C5E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99-4039-A6A1-9DF5D1A04DD8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299-4039-A6A1-9DF5D1A04DD8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A299-4039-A6A1-9DF5D1A04DD8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299-4039-A6A1-9DF5D1A04DD8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CF3C5E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A299-4039-A6A1-9DF5D1A04DD8}"/>
              </c:ext>
            </c:extLst>
          </c:dPt>
          <c:val>
            <c:numRef>
              <c:f>'Feedstock Yields'!$N$108:$N$119</c:f>
              <c:numCache>
                <c:formatCode>0.00_);[Red]\(0.00\)</c:formatCode>
                <c:ptCount val="12"/>
                <c:pt idx="0">
                  <c:v>3.0201520980327583</c:v>
                </c:pt>
                <c:pt idx="1">
                  <c:v>3.0348328988868691</c:v>
                </c:pt>
                <c:pt idx="2">
                  <c:v>3.1055586456408268</c:v>
                </c:pt>
                <c:pt idx="3">
                  <c:v>2.9929450028801279</c:v>
                </c:pt>
                <c:pt idx="4">
                  <c:v>3.0240019210571512</c:v>
                </c:pt>
                <c:pt idx="5">
                  <c:v>2.8464388270817054</c:v>
                </c:pt>
                <c:pt idx="6">
                  <c:v>3.0129865137419891</c:v>
                </c:pt>
                <c:pt idx="7">
                  <c:v>2.7402426339863526</c:v>
                </c:pt>
                <c:pt idx="8">
                  <c:v>2.6684861966740892</c:v>
                </c:pt>
                <c:pt idx="9">
                  <c:v>2.8589056693536108</c:v>
                </c:pt>
                <c:pt idx="10">
                  <c:v>2.7405501625354032</c:v>
                </c:pt>
                <c:pt idx="11">
                  <c:v>2.3152164001953643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299-4039-A6A1-9DF5D1A0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239096"/>
        <c:axId val="159623942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'Feedstock Yields'!$K$107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'Feedstock Yields'!$K$108:$K$119</c15:sqref>
                        </c15:formulaRef>
                      </c:ext>
                    </c:extLst>
                    <c:numCache>
                      <c:formatCode>0.00_);[Red]\(0.00\)</c:formatCode>
                      <c:ptCount val="12"/>
                      <c:pt idx="0">
                        <c:v>7.4787210770756793</c:v>
                      </c:pt>
                      <c:pt idx="1">
                        <c:v>7.3803812745954867</c:v>
                      </c:pt>
                      <c:pt idx="2">
                        <c:v>7.3990063924000058</c:v>
                      </c:pt>
                      <c:pt idx="3">
                        <c:v>7.2362239022786525</c:v>
                      </c:pt>
                      <c:pt idx="4">
                        <c:v>7.4416735757877195</c:v>
                      </c:pt>
                      <c:pt idx="5">
                        <c:v>7.4024216248203665</c:v>
                      </c:pt>
                      <c:pt idx="6">
                        <c:v>7.4184467282594611</c:v>
                      </c:pt>
                      <c:pt idx="7">
                        <c:v>7.3883134528693963</c:v>
                      </c:pt>
                      <c:pt idx="8">
                        <c:v>7.2783044223517779</c:v>
                      </c:pt>
                      <c:pt idx="9">
                        <c:v>7.285402311393109</c:v>
                      </c:pt>
                      <c:pt idx="10">
                        <c:v>7.332933844692926</c:v>
                      </c:pt>
                      <c:pt idx="11">
                        <c:v>7.3095728940422386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B-A299-4039-A6A1-9DF5D1A04DD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'Feedstock Yields'!$L$107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15875" cap="rnd">
                    <a:solidFill>
                      <a:srgbClr val="ECECE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23232"/>
                    </a:solidFill>
                    <a:ln w="15875">
                      <a:solidFill>
                        <a:srgbClr val="ECECEC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'Feedstock Yields'!$L$108:$L$119</c15:sqref>
                        </c15:formulaRef>
                      </c:ext>
                    </c:extLst>
                    <c:numCache>
                      <c:formatCode>0.00_);[Red]\(0.00\)</c:formatCode>
                      <c:ptCount val="12"/>
                      <c:pt idx="0">
                        <c:v>5.3567651918541985</c:v>
                      </c:pt>
                      <c:pt idx="1">
                        <c:v>4.1991749423043139</c:v>
                      </c:pt>
                      <c:pt idx="2">
                        <c:v>4.7088054066030889</c:v>
                      </c:pt>
                      <c:pt idx="3">
                        <c:v>5.571804606543898</c:v>
                      </c:pt>
                      <c:pt idx="4">
                        <c:v>5.2684841597803702</c:v>
                      </c:pt>
                      <c:pt idx="5">
                        <c:v>5.4690372782650973</c:v>
                      </c:pt>
                      <c:pt idx="6">
                        <c:v>4.9229559116096215</c:v>
                      </c:pt>
                      <c:pt idx="7">
                        <c:v>4.1296951885733968</c:v>
                      </c:pt>
                      <c:pt idx="8">
                        <c:v>5.035395491746935</c:v>
                      </c:pt>
                      <c:pt idx="9">
                        <c:v>4.5421230545879645</c:v>
                      </c:pt>
                      <c:pt idx="10">
                        <c:v>3.9493966536109415</c:v>
                      </c:pt>
                      <c:pt idx="11">
                        <c:v>4.0455371126677839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299-4039-A6A1-9DF5D1A04DD8}"/>
                  </c:ext>
                </c:extLst>
              </c15:ser>
            </c15:filteredLineSeries>
          </c:ext>
        </c:extLst>
      </c:lineChart>
      <c:catAx>
        <c:axId val="1596239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9424"/>
        <c:crosses val="autoZero"/>
        <c:auto val="1"/>
        <c:lblAlgn val="ctr"/>
        <c:lblOffset val="100"/>
        <c:noMultiLvlLbl val="0"/>
      </c:catAx>
      <c:valAx>
        <c:axId val="1596239424"/>
        <c:scaling>
          <c:orientation val="minMax"/>
          <c:max val="12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pounds per 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9096"/>
        <c:crosses val="autoZero"/>
        <c:crossBetween val="midCat"/>
      </c:valAx>
      <c:spPr>
        <a:noFill/>
        <a:ln w="22225">
          <a:solidFill>
            <a:srgbClr val="323232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7222550306211721"/>
          <c:y val="0.17972085520559933"/>
          <c:w val="0.56120487446591749"/>
          <c:h val="0.20000437445319333"/>
        </c:manualLayout>
      </c:layout>
      <c:overlay val="0"/>
      <c:spPr>
        <a:solidFill>
          <a:schemeClr val="bg1"/>
        </a:solidFill>
        <a:ln w="15875">
          <a:solidFill>
            <a:srgbClr val="32323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Soybean Oil Percent of Total Feedstocks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370217170856931E-2"/>
          <c:y val="0.10886452350280407"/>
          <c:w val="0.92289614578812562"/>
          <c:h val="0.75356435914260722"/>
        </c:manualLayout>
      </c:layout>
      <c:lineChart>
        <c:grouping val="standard"/>
        <c:varyColors val="0"/>
        <c:ser>
          <c:idx val="0"/>
          <c:order val="0"/>
          <c:tx>
            <c:strRef>
              <c:f>'Feedstock Use'!$L$115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'Feedstock Use'!$A$116:$A$127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Use'!$L$116:$L$127</c:f>
              <c:numCache>
                <c:formatCode>0%</c:formatCode>
                <c:ptCount val="12"/>
                <c:pt idx="0">
                  <c:v>0.40480900593760166</c:v>
                </c:pt>
                <c:pt idx="1">
                  <c:v>0.42740612276094214</c:v>
                </c:pt>
                <c:pt idx="2">
                  <c:v>0.48979461214070069</c:v>
                </c:pt>
                <c:pt idx="3">
                  <c:v>0.45741979905361163</c:v>
                </c:pt>
                <c:pt idx="4">
                  <c:v>0.47999958967183903</c:v>
                </c:pt>
                <c:pt idx="5">
                  <c:v>0.37105204325680813</c:v>
                </c:pt>
                <c:pt idx="6">
                  <c:v>0.50558547165961132</c:v>
                </c:pt>
                <c:pt idx="7">
                  <c:v>0.48653629222275946</c:v>
                </c:pt>
                <c:pt idx="8">
                  <c:v>0.56279459344382066</c:v>
                </c:pt>
                <c:pt idx="9">
                  <c:v>0.44041904335207804</c:v>
                </c:pt>
                <c:pt idx="10">
                  <c:v>0.35015595446220843</c:v>
                </c:pt>
                <c:pt idx="11">
                  <c:v>0.3725890981150784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C-4A02-ABD6-A372829FA00E}"/>
            </c:ext>
          </c:extLst>
        </c:ser>
        <c:ser>
          <c:idx val="1"/>
          <c:order val="1"/>
          <c:tx>
            <c:strRef>
              <c:f>'Feedstock Use'!$M$115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'Feedstock Use'!$A$116:$A$127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Use'!$M$116:$M$127</c:f>
              <c:numCache>
                <c:formatCode>0%</c:formatCode>
                <c:ptCount val="12"/>
                <c:pt idx="0">
                  <c:v>0.37901144050421098</c:v>
                </c:pt>
                <c:pt idx="1">
                  <c:v>0.34244378350599164</c:v>
                </c:pt>
                <c:pt idx="2">
                  <c:v>0.38595313102818163</c:v>
                </c:pt>
                <c:pt idx="3">
                  <c:v>0.35619794727368187</c:v>
                </c:pt>
                <c:pt idx="4">
                  <c:v>0.31535099570855019</c:v>
                </c:pt>
                <c:pt idx="5">
                  <c:v>0.31662848484373274</c:v>
                </c:pt>
                <c:pt idx="6">
                  <c:v>0.37118856044466042</c:v>
                </c:pt>
                <c:pt idx="7">
                  <c:v>0.34432368156365539</c:v>
                </c:pt>
                <c:pt idx="8">
                  <c:v>0.32486534721743215</c:v>
                </c:pt>
                <c:pt idx="9">
                  <c:v>0.35230244192782545</c:v>
                </c:pt>
                <c:pt idx="10">
                  <c:v>0.28366256344937513</c:v>
                </c:pt>
                <c:pt idx="11">
                  <c:v>0.28429701892045584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C-4A02-ABD6-A372829FA00E}"/>
            </c:ext>
          </c:extLst>
        </c:ser>
        <c:ser>
          <c:idx val="2"/>
          <c:order val="2"/>
          <c:tx>
            <c:strRef>
              <c:f>'Feedstock Use'!$N$115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2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C-4A02-ABD6-A372829FA00E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AC-4A02-ABD6-A372829FA00E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AC-4A02-ABD6-A372829FA00E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AC-4A02-ABD6-A372829FA00E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FAC-4A02-ABD6-A372829FA00E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FAC-4A02-ABD6-A372829FA00E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FAC-4A02-ABD6-A372829FA00E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FAC-4A02-ABD6-A372829FA00E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FAC-4A02-ABD6-A372829FA00E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FAC-4A02-ABD6-A372829FA00E}"/>
              </c:ext>
            </c:extLst>
          </c:dPt>
          <c:cat>
            <c:strRef>
              <c:f>'Feedstock Use'!$A$116:$A$127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Use'!$N$116:$N$127</c:f>
              <c:numCache>
                <c:formatCode>0%</c:formatCode>
                <c:ptCount val="12"/>
                <c:pt idx="0">
                  <c:v>0.3436320548447282</c:v>
                </c:pt>
                <c:pt idx="1">
                  <c:v>0.35348718574439886</c:v>
                </c:pt>
                <c:pt idx="2">
                  <c:v>0.27573159872002312</c:v>
                </c:pt>
                <c:pt idx="3">
                  <c:v>0.29110781620909298</c:v>
                </c:pt>
                <c:pt idx="4">
                  <c:v>0.27699008168117845</c:v>
                </c:pt>
                <c:pt idx="5">
                  <c:v>0.2986817829036757</c:v>
                </c:pt>
                <c:pt idx="6">
                  <c:v>0.34486925645475691</c:v>
                </c:pt>
                <c:pt idx="7">
                  <c:v>0.28285898002379539</c:v>
                </c:pt>
                <c:pt idx="8">
                  <c:v>0.30022960111991503</c:v>
                </c:pt>
                <c:pt idx="9">
                  <c:v>0.35996463134232592</c:v>
                </c:pt>
                <c:pt idx="10">
                  <c:v>0.35380544154030297</c:v>
                </c:pt>
                <c:pt idx="11">
                  <c:v>0.33129489268327039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AC-4A02-ABD6-A372829FA00E}"/>
            </c:ext>
          </c:extLst>
        </c:ser>
        <c:ser>
          <c:idx val="3"/>
          <c:order val="3"/>
          <c:tx>
            <c:strRef>
              <c:f>'Feedstock Use'!$AD$115</c:f>
              <c:strCache>
                <c:ptCount val="1"/>
                <c:pt idx="0">
                  <c:v>5-Yr Avg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'Feedstock Use'!$A$116:$A$127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'Feedstock Use'!$AD$116:$AD$127</c:f>
              <c:numCache>
                <c:formatCode>0%</c:formatCode>
                <c:ptCount val="12"/>
                <c:pt idx="0">
                  <c:v>0.44841606941267675</c:v>
                </c:pt>
                <c:pt idx="1">
                  <c:v>0.46403576064714896</c:v>
                </c:pt>
                <c:pt idx="2">
                  <c:v>0.49320084359605582</c:v>
                </c:pt>
                <c:pt idx="3">
                  <c:v>0.47286700493408312</c:v>
                </c:pt>
                <c:pt idx="4">
                  <c:v>0.4917462431836796</c:v>
                </c:pt>
                <c:pt idx="5">
                  <c:v>0.46248098371457197</c:v>
                </c:pt>
                <c:pt idx="6">
                  <c:v>0.50659828854062572</c:v>
                </c:pt>
                <c:pt idx="7">
                  <c:v>0.49584408403008895</c:v>
                </c:pt>
                <c:pt idx="8">
                  <c:v>0.50470967381873588</c:v>
                </c:pt>
                <c:pt idx="9">
                  <c:v>0.47597392878498923</c:v>
                </c:pt>
                <c:pt idx="10">
                  <c:v>0.44332345626167458</c:v>
                </c:pt>
                <c:pt idx="11">
                  <c:v>0.45731949532957605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FAC-4A02-ABD6-A372829F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554511"/>
        <c:axId val="678556311"/>
      </c:lineChart>
      <c:catAx>
        <c:axId val="6785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78556311"/>
        <c:crosses val="autoZero"/>
        <c:auto val="1"/>
        <c:lblAlgn val="ctr"/>
        <c:lblOffset val="100"/>
        <c:noMultiLvlLbl val="0"/>
      </c:catAx>
      <c:valAx>
        <c:axId val="678556311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78554511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28515815162021496"/>
          <c:y val="0.12859796065314846"/>
          <c:w val="0.39698936003598506"/>
          <c:h val="7.21117989746371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Monthly Feedstock Use in Renewable Fuel Production (excluding ethanol)</a:t>
            </a:r>
          </a:p>
        </c:rich>
      </c:tx>
      <c:layout>
        <c:manualLayout>
          <c:xMode val="edge"/>
          <c:yMode val="edge"/>
          <c:x val="0.1603645377661125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877697579469234"/>
          <c:y val="0.13314493230566657"/>
          <c:w val="0.68216353164187815"/>
          <c:h val="0.67773102580927391"/>
        </c:manualLayout>
      </c:layout>
      <c:areaChart>
        <c:grouping val="stacked"/>
        <c:varyColors val="0"/>
        <c:ser>
          <c:idx val="0"/>
          <c:order val="0"/>
          <c:tx>
            <c:strRef>
              <c:f>'Feedstock Use - chart data'!$B$1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data'!$B$2:$B$277</c15:sqref>
                  </c15:fullRef>
                </c:ext>
              </c:extLst>
              <c:f>'Feedstock Use - chart data'!$B$98:$B$169</c:f>
              <c:numCache>
                <c:formatCode>#,##0_);[Red]\(#,##0\)</c:formatCode>
                <c:ptCount val="72"/>
                <c:pt idx="0">
                  <c:v>622.80999999999995</c:v>
                </c:pt>
                <c:pt idx="1">
                  <c:v>559.57000000000005</c:v>
                </c:pt>
                <c:pt idx="2">
                  <c:v>617.01</c:v>
                </c:pt>
                <c:pt idx="3">
                  <c:v>631.84</c:v>
                </c:pt>
                <c:pt idx="4">
                  <c:v>659.05</c:v>
                </c:pt>
                <c:pt idx="5">
                  <c:v>594.15</c:v>
                </c:pt>
                <c:pt idx="6">
                  <c:v>708.5</c:v>
                </c:pt>
                <c:pt idx="7">
                  <c:v>701.14</c:v>
                </c:pt>
                <c:pt idx="8">
                  <c:v>598.79999999999995</c:v>
                </c:pt>
                <c:pt idx="9">
                  <c:v>557.52</c:v>
                </c:pt>
                <c:pt idx="10">
                  <c:v>526.53</c:v>
                </c:pt>
                <c:pt idx="11">
                  <c:v>541.04999999999995</c:v>
                </c:pt>
                <c:pt idx="12">
                  <c:v>521</c:v>
                </c:pt>
                <c:pt idx="13">
                  <c:v>574.78</c:v>
                </c:pt>
                <c:pt idx="14">
                  <c:v>656.02</c:v>
                </c:pt>
                <c:pt idx="15">
                  <c:v>671.81</c:v>
                </c:pt>
                <c:pt idx="16">
                  <c:v>805.35</c:v>
                </c:pt>
                <c:pt idx="17">
                  <c:v>747.07</c:v>
                </c:pt>
                <c:pt idx="18">
                  <c:v>774.83</c:v>
                </c:pt>
                <c:pt idx="19">
                  <c:v>745.33</c:v>
                </c:pt>
                <c:pt idx="20">
                  <c:v>736.53</c:v>
                </c:pt>
                <c:pt idx="21">
                  <c:v>723</c:v>
                </c:pt>
                <c:pt idx="22">
                  <c:v>683</c:v>
                </c:pt>
                <c:pt idx="23">
                  <c:v>744</c:v>
                </c:pt>
                <c:pt idx="24">
                  <c:v>464.92010627046363</c:v>
                </c:pt>
                <c:pt idx="25">
                  <c:v>319.20156533980185</c:v>
                </c:pt>
                <c:pt idx="26">
                  <c:v>516.98119277223532</c:v>
                </c:pt>
                <c:pt idx="27">
                  <c:v>545.27086158299016</c:v>
                </c:pt>
                <c:pt idx="28">
                  <c:v>607.24367577257226</c:v>
                </c:pt>
                <c:pt idx="29">
                  <c:v>447.52073891518546</c:v>
                </c:pt>
                <c:pt idx="30">
                  <c:v>622.37633218578083</c:v>
                </c:pt>
                <c:pt idx="31">
                  <c:v>513.57724767128968</c:v>
                </c:pt>
                <c:pt idx="32">
                  <c:v>572.51958262530229</c:v>
                </c:pt>
                <c:pt idx="33">
                  <c:v>650.4058749447114</c:v>
                </c:pt>
                <c:pt idx="34">
                  <c:v>492.70689999400793</c:v>
                </c:pt>
                <c:pt idx="35">
                  <c:v>647.82612356375694</c:v>
                </c:pt>
                <c:pt idx="36">
                  <c:v>543.04</c:v>
                </c:pt>
                <c:pt idx="37">
                  <c:v>536.60199999999998</c:v>
                </c:pt>
                <c:pt idx="38">
                  <c:v>657.06299999999999</c:v>
                </c:pt>
                <c:pt idx="39">
                  <c:v>578.07399999999996</c:v>
                </c:pt>
                <c:pt idx="40">
                  <c:v>593.74400000000003</c:v>
                </c:pt>
                <c:pt idx="41">
                  <c:v>559.88699999999994</c:v>
                </c:pt>
                <c:pt idx="42">
                  <c:v>625.98500000000001</c:v>
                </c:pt>
                <c:pt idx="43">
                  <c:v>642.899</c:v>
                </c:pt>
                <c:pt idx="44">
                  <c:v>595.70399999999995</c:v>
                </c:pt>
                <c:pt idx="45">
                  <c:v>640.09400000000005</c:v>
                </c:pt>
                <c:pt idx="46">
                  <c:v>593.81100000000004</c:v>
                </c:pt>
                <c:pt idx="47">
                  <c:v>533.59299999999996</c:v>
                </c:pt>
                <c:pt idx="48">
                  <c:v>556.82899999999995</c:v>
                </c:pt>
                <c:pt idx="49">
                  <c:v>536.27599999999995</c:v>
                </c:pt>
                <c:pt idx="50">
                  <c:v>592.54200000000003</c:v>
                </c:pt>
                <c:pt idx="51">
                  <c:v>578.74400000000003</c:v>
                </c:pt>
                <c:pt idx="52">
                  <c:v>662.75699999999995</c:v>
                </c:pt>
                <c:pt idx="53">
                  <c:v>627.38300000000004</c:v>
                </c:pt>
                <c:pt idx="54">
                  <c:v>678.70100000000002</c:v>
                </c:pt>
                <c:pt idx="55">
                  <c:v>617.53700000000003</c:v>
                </c:pt>
                <c:pt idx="56">
                  <c:v>619.99400000000003</c:v>
                </c:pt>
                <c:pt idx="57">
                  <c:v>645.47</c:v>
                </c:pt>
                <c:pt idx="58">
                  <c:v>612.95299999999997</c:v>
                </c:pt>
                <c:pt idx="59">
                  <c:v>603</c:v>
                </c:pt>
                <c:pt idx="60">
                  <c:v>544.50800000000004</c:v>
                </c:pt>
                <c:pt idx="61">
                  <c:v>521.55999999999995</c:v>
                </c:pt>
                <c:pt idx="62">
                  <c:v>547.69156099999998</c:v>
                </c:pt>
                <c:pt idx="63">
                  <c:v>504.93900000000002</c:v>
                </c:pt>
                <c:pt idx="64">
                  <c:v>596.85599999999999</c:v>
                </c:pt>
                <c:pt idx="65">
                  <c:v>577.89058302499996</c:v>
                </c:pt>
                <c:pt idx="66">
                  <c:v>641.88599999999997</c:v>
                </c:pt>
                <c:pt idx="67">
                  <c:v>636.02</c:v>
                </c:pt>
                <c:pt idx="68">
                  <c:v>673.00900000000001</c:v>
                </c:pt>
                <c:pt idx="69">
                  <c:v>518.05399999999997</c:v>
                </c:pt>
                <c:pt idx="70">
                  <c:v>467.47699999999998</c:v>
                </c:pt>
                <c:pt idx="71">
                  <c:v>399.74799999999999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3-443E-9D83-7B2E94386224}"/>
            </c:ext>
          </c:extLst>
        </c:ser>
        <c:ser>
          <c:idx val="1"/>
          <c:order val="1"/>
          <c:tx>
            <c:strRef>
              <c:f>'Feedstock Use - chart data'!$C$1</c:f>
              <c:strCache>
                <c:ptCount val="1"/>
                <c:pt idx="0">
                  <c:v>Canola Oil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data'!$C$2:$C$277</c15:sqref>
                  </c15:fullRef>
                </c:ext>
              </c:extLst>
              <c:f>'Feedstock Use - chart data'!$C$98:$C$169</c:f>
              <c:numCache>
                <c:formatCode>#,##0_);[Red]\(#,##0\)</c:formatCode>
                <c:ptCount val="72"/>
                <c:pt idx="0">
                  <c:v>95.188333333333389</c:v>
                </c:pt>
                <c:pt idx="1">
                  <c:v>53.819999999999936</c:v>
                </c:pt>
                <c:pt idx="2">
                  <c:v>83.11</c:v>
                </c:pt>
                <c:pt idx="3">
                  <c:v>120.72</c:v>
                </c:pt>
                <c:pt idx="4">
                  <c:v>102.51964195412279</c:v>
                </c:pt>
                <c:pt idx="5">
                  <c:v>109.85892381575638</c:v>
                </c:pt>
                <c:pt idx="6">
                  <c:v>118.13</c:v>
                </c:pt>
                <c:pt idx="7">
                  <c:v>108.21</c:v>
                </c:pt>
                <c:pt idx="8">
                  <c:v>124.46</c:v>
                </c:pt>
                <c:pt idx="9">
                  <c:v>114.98</c:v>
                </c:pt>
                <c:pt idx="10">
                  <c:v>100.08</c:v>
                </c:pt>
                <c:pt idx="11">
                  <c:v>99.18</c:v>
                </c:pt>
                <c:pt idx="12">
                  <c:v>109</c:v>
                </c:pt>
                <c:pt idx="13">
                  <c:v>93.39</c:v>
                </c:pt>
                <c:pt idx="14">
                  <c:v>131.41</c:v>
                </c:pt>
                <c:pt idx="15">
                  <c:v>138.44999999999999</c:v>
                </c:pt>
                <c:pt idx="16">
                  <c:v>129.75</c:v>
                </c:pt>
                <c:pt idx="17">
                  <c:v>110.15</c:v>
                </c:pt>
                <c:pt idx="18">
                  <c:v>86.754540830143696</c:v>
                </c:pt>
                <c:pt idx="19">
                  <c:v>101.86899900356093</c:v>
                </c:pt>
                <c:pt idx="20">
                  <c:v>73.455392023463219</c:v>
                </c:pt>
                <c:pt idx="21">
                  <c:v>80.385273001550331</c:v>
                </c:pt>
                <c:pt idx="22">
                  <c:v>87.207244968589521</c:v>
                </c:pt>
                <c:pt idx="23">
                  <c:v>75.634753488699971</c:v>
                </c:pt>
                <c:pt idx="24">
                  <c:v>227.95051681497193</c:v>
                </c:pt>
                <c:pt idx="25">
                  <c:v>85.328000000000003</c:v>
                </c:pt>
                <c:pt idx="26">
                  <c:v>122.631</c:v>
                </c:pt>
                <c:pt idx="27">
                  <c:v>216.88422028148534</c:v>
                </c:pt>
                <c:pt idx="28">
                  <c:v>174.67826625670898</c:v>
                </c:pt>
                <c:pt idx="29">
                  <c:v>271.87014493241782</c:v>
                </c:pt>
                <c:pt idx="30">
                  <c:v>122.929</c:v>
                </c:pt>
                <c:pt idx="31">
                  <c:v>141.64099999999999</c:v>
                </c:pt>
                <c:pt idx="32">
                  <c:v>105.514</c:v>
                </c:pt>
                <c:pt idx="33">
                  <c:v>115.738</c:v>
                </c:pt>
                <c:pt idx="34">
                  <c:v>132.672888</c:v>
                </c:pt>
                <c:pt idx="35">
                  <c:v>126.211</c:v>
                </c:pt>
                <c:pt idx="36">
                  <c:v>63.920999999999999</c:v>
                </c:pt>
                <c:pt idx="37">
                  <c:v>59.081998216759644</c:v>
                </c:pt>
                <c:pt idx="38">
                  <c:v>68.572284573221395</c:v>
                </c:pt>
                <c:pt idx="39">
                  <c:v>101.556</c:v>
                </c:pt>
                <c:pt idx="40">
                  <c:v>121.788</c:v>
                </c:pt>
                <c:pt idx="41">
                  <c:v>125.13800000000001</c:v>
                </c:pt>
                <c:pt idx="42">
                  <c:v>132.958</c:v>
                </c:pt>
                <c:pt idx="43">
                  <c:v>133.40799999999999</c:v>
                </c:pt>
                <c:pt idx="44">
                  <c:v>131.62100000000001</c:v>
                </c:pt>
                <c:pt idx="45">
                  <c:v>167.27600000000001</c:v>
                </c:pt>
                <c:pt idx="46">
                  <c:v>113.45</c:v>
                </c:pt>
                <c:pt idx="47">
                  <c:v>119.591805422766</c:v>
                </c:pt>
                <c:pt idx="48">
                  <c:v>95.943749308474011</c:v>
                </c:pt>
                <c:pt idx="49">
                  <c:v>66.343073137521245</c:v>
                </c:pt>
                <c:pt idx="50">
                  <c:v>190.37899999999999</c:v>
                </c:pt>
                <c:pt idx="51">
                  <c:v>155.17699999999999</c:v>
                </c:pt>
                <c:pt idx="52">
                  <c:v>171.66900000000001</c:v>
                </c:pt>
                <c:pt idx="53">
                  <c:v>195.203</c:v>
                </c:pt>
                <c:pt idx="54">
                  <c:v>164.44</c:v>
                </c:pt>
                <c:pt idx="55">
                  <c:v>174.27099999999999</c:v>
                </c:pt>
                <c:pt idx="56">
                  <c:v>161.12799999999999</c:v>
                </c:pt>
                <c:pt idx="57">
                  <c:v>165.429</c:v>
                </c:pt>
                <c:pt idx="58">
                  <c:v>137.553</c:v>
                </c:pt>
                <c:pt idx="59">
                  <c:v>150.333786</c:v>
                </c:pt>
                <c:pt idx="60">
                  <c:v>152.648</c:v>
                </c:pt>
                <c:pt idx="61">
                  <c:v>129.77799999999999</c:v>
                </c:pt>
                <c:pt idx="62">
                  <c:v>144.564888</c:v>
                </c:pt>
                <c:pt idx="63">
                  <c:v>175.02799999999999</c:v>
                </c:pt>
                <c:pt idx="64">
                  <c:v>157.65700000000001</c:v>
                </c:pt>
                <c:pt idx="65">
                  <c:v>162.12700000000001</c:v>
                </c:pt>
                <c:pt idx="66">
                  <c:v>139.11799999999999</c:v>
                </c:pt>
                <c:pt idx="67">
                  <c:v>168.06899999999999</c:v>
                </c:pt>
                <c:pt idx="68">
                  <c:v>127.221</c:v>
                </c:pt>
                <c:pt idx="69">
                  <c:v>138.16900000000001</c:v>
                </c:pt>
                <c:pt idx="70">
                  <c:v>120.133</c:v>
                </c:pt>
                <c:pt idx="71">
                  <c:v>132.01599999999999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3-443E-9D83-7B2E94386224}"/>
            </c:ext>
          </c:extLst>
        </c:ser>
        <c:ser>
          <c:idx val="2"/>
          <c:order val="2"/>
          <c:tx>
            <c:strRef>
              <c:f>'Feedstock Use - chart data'!$D$1</c:f>
              <c:strCache>
                <c:ptCount val="1"/>
                <c:pt idx="0">
                  <c:v>Distillers' Corn Oil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data'!$D$2:$D$277</c15:sqref>
                  </c15:fullRef>
                </c:ext>
              </c:extLst>
              <c:f>'Feedstock Use - chart data'!$D$98:$D$169</c:f>
              <c:numCache>
                <c:formatCode>#,##0_);[Red]\(#,##0\)</c:formatCode>
                <c:ptCount val="72"/>
                <c:pt idx="0">
                  <c:v>144.58000000000001</c:v>
                </c:pt>
                <c:pt idx="1">
                  <c:v>136.61000000000001</c:v>
                </c:pt>
                <c:pt idx="2">
                  <c:v>140.68</c:v>
                </c:pt>
                <c:pt idx="3">
                  <c:v>154.05000000000001</c:v>
                </c:pt>
                <c:pt idx="4">
                  <c:v>144.38999999999999</c:v>
                </c:pt>
                <c:pt idx="5">
                  <c:v>154.85</c:v>
                </c:pt>
                <c:pt idx="6">
                  <c:v>154.28</c:v>
                </c:pt>
                <c:pt idx="7">
                  <c:v>162.37</c:v>
                </c:pt>
                <c:pt idx="8">
                  <c:v>133.77000000000001</c:v>
                </c:pt>
                <c:pt idx="9">
                  <c:v>131.25</c:v>
                </c:pt>
                <c:pt idx="10">
                  <c:v>141.57</c:v>
                </c:pt>
                <c:pt idx="11">
                  <c:v>161.32</c:v>
                </c:pt>
                <c:pt idx="12">
                  <c:v>177</c:v>
                </c:pt>
                <c:pt idx="13">
                  <c:v>133.87</c:v>
                </c:pt>
                <c:pt idx="14">
                  <c:v>144.85</c:v>
                </c:pt>
                <c:pt idx="15">
                  <c:v>83.67</c:v>
                </c:pt>
                <c:pt idx="16">
                  <c:v>84.36</c:v>
                </c:pt>
                <c:pt idx="17">
                  <c:v>94.13</c:v>
                </c:pt>
                <c:pt idx="18">
                  <c:v>133.43</c:v>
                </c:pt>
                <c:pt idx="19">
                  <c:v>148.41999999999999</c:v>
                </c:pt>
                <c:pt idx="20">
                  <c:v>135.94999999999999</c:v>
                </c:pt>
                <c:pt idx="21">
                  <c:v>101</c:v>
                </c:pt>
                <c:pt idx="22">
                  <c:v>133</c:v>
                </c:pt>
                <c:pt idx="23">
                  <c:v>147</c:v>
                </c:pt>
                <c:pt idx="24">
                  <c:v>112.66256969861432</c:v>
                </c:pt>
                <c:pt idx="25">
                  <c:v>79.493695352216392</c:v>
                </c:pt>
                <c:pt idx="26">
                  <c:v>95.26608662118052</c:v>
                </c:pt>
                <c:pt idx="27">
                  <c:v>109.8520735023011</c:v>
                </c:pt>
                <c:pt idx="28">
                  <c:v>156.3439605572656</c:v>
                </c:pt>
                <c:pt idx="29">
                  <c:v>140.08574075212724</c:v>
                </c:pt>
                <c:pt idx="30">
                  <c:v>135.56058547432329</c:v>
                </c:pt>
                <c:pt idx="31">
                  <c:v>72.740445753841811</c:v>
                </c:pt>
                <c:pt idx="32">
                  <c:v>66.280529424396377</c:v>
                </c:pt>
                <c:pt idx="33">
                  <c:v>116.78623301776037</c:v>
                </c:pt>
                <c:pt idx="34">
                  <c:v>143.27134692397613</c:v>
                </c:pt>
                <c:pt idx="35">
                  <c:v>150.29797397803216</c:v>
                </c:pt>
                <c:pt idx="36">
                  <c:v>153.07208812566179</c:v>
                </c:pt>
                <c:pt idx="37">
                  <c:v>134.68609331312609</c:v>
                </c:pt>
                <c:pt idx="38">
                  <c:v>164.3963753382962</c:v>
                </c:pt>
                <c:pt idx="39">
                  <c:v>157.76216516262048</c:v>
                </c:pt>
                <c:pt idx="40">
                  <c:v>148.10802853691865</c:v>
                </c:pt>
                <c:pt idx="41">
                  <c:v>174.29355895617817</c:v>
                </c:pt>
                <c:pt idx="42">
                  <c:v>154.27151619947387</c:v>
                </c:pt>
                <c:pt idx="43">
                  <c:v>166.45136479140911</c:v>
                </c:pt>
                <c:pt idx="44">
                  <c:v>133.406418281404</c:v>
                </c:pt>
                <c:pt idx="45">
                  <c:v>106.99013809186347</c:v>
                </c:pt>
                <c:pt idx="46">
                  <c:v>102.55446605916929</c:v>
                </c:pt>
                <c:pt idx="47">
                  <c:v>110.42206778143442</c:v>
                </c:pt>
                <c:pt idx="48">
                  <c:v>111.878</c:v>
                </c:pt>
                <c:pt idx="49">
                  <c:v>95.100999999999999</c:v>
                </c:pt>
                <c:pt idx="50">
                  <c:v>87.424999999999997</c:v>
                </c:pt>
                <c:pt idx="51">
                  <c:v>83.272999999999996</c:v>
                </c:pt>
                <c:pt idx="52">
                  <c:v>96.176000000000002</c:v>
                </c:pt>
                <c:pt idx="53">
                  <c:v>97.825000000000003</c:v>
                </c:pt>
                <c:pt idx="54">
                  <c:v>89.481999999999999</c:v>
                </c:pt>
                <c:pt idx="55">
                  <c:v>87.953000000000003</c:v>
                </c:pt>
                <c:pt idx="56">
                  <c:v>73.75</c:v>
                </c:pt>
                <c:pt idx="57">
                  <c:v>76.281999999999996</c:v>
                </c:pt>
                <c:pt idx="58">
                  <c:v>85</c:v>
                </c:pt>
                <c:pt idx="59">
                  <c:v>63.088000000000001</c:v>
                </c:pt>
                <c:pt idx="60">
                  <c:v>71.075999999999993</c:v>
                </c:pt>
                <c:pt idx="61">
                  <c:v>73.781000000000006</c:v>
                </c:pt>
                <c:pt idx="62">
                  <c:v>83.418310000000005</c:v>
                </c:pt>
                <c:pt idx="63">
                  <c:v>96.388298992940378</c:v>
                </c:pt>
                <c:pt idx="64">
                  <c:v>81.438000000000002</c:v>
                </c:pt>
                <c:pt idx="65">
                  <c:v>79.507999999999996</c:v>
                </c:pt>
                <c:pt idx="66">
                  <c:v>84.588999999999999</c:v>
                </c:pt>
                <c:pt idx="67">
                  <c:v>90.349000000000004</c:v>
                </c:pt>
                <c:pt idx="68">
                  <c:v>69.864999999999995</c:v>
                </c:pt>
                <c:pt idx="69">
                  <c:v>65.177999999999997</c:v>
                </c:pt>
                <c:pt idx="70">
                  <c:v>62.813000000000002</c:v>
                </c:pt>
                <c:pt idx="71">
                  <c:v>66.537000000000006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3-443E-9D83-7B2E94386224}"/>
            </c:ext>
          </c:extLst>
        </c:ser>
        <c:ser>
          <c:idx val="3"/>
          <c:order val="3"/>
          <c:tx>
            <c:strRef>
              <c:f>'Feedstock Use - chart data'!$E$1</c:f>
              <c:strCache>
                <c:ptCount val="1"/>
                <c:pt idx="0">
                  <c:v>Inedible Tallow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dLbls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33-443E-9D83-7B2E9438622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33-443E-9D83-7B2E94386224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33-443E-9D83-7B2E9438622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33-443E-9D83-7B2E9438622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33-443E-9D83-7B2E9438622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333-443E-9D83-7B2E9438622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33-443E-9D83-7B2E94386224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333-443E-9D83-7B2E94386224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333-443E-9D83-7B2E94386224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333-443E-9D83-7B2E94386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data'!$E$2:$E$277</c15:sqref>
                  </c15:fullRef>
                </c:ext>
              </c:extLst>
              <c:f>'Feedstock Use - chart data'!$E$98:$E$169</c:f>
              <c:numCache>
                <c:formatCode>#,##0_);[Red]\(#,##0\)</c:formatCode>
                <c:ptCount val="72"/>
                <c:pt idx="0">
                  <c:v>24.38</c:v>
                </c:pt>
                <c:pt idx="1">
                  <c:v>20.38</c:v>
                </c:pt>
                <c:pt idx="2">
                  <c:v>23.94</c:v>
                </c:pt>
                <c:pt idx="3">
                  <c:v>25.88</c:v>
                </c:pt>
                <c:pt idx="4">
                  <c:v>29.35</c:v>
                </c:pt>
                <c:pt idx="5">
                  <c:v>22.5</c:v>
                </c:pt>
                <c:pt idx="6">
                  <c:v>21.6</c:v>
                </c:pt>
                <c:pt idx="7">
                  <c:v>23.94</c:v>
                </c:pt>
                <c:pt idx="8">
                  <c:v>24.25</c:v>
                </c:pt>
                <c:pt idx="9">
                  <c:v>28.55</c:v>
                </c:pt>
                <c:pt idx="10">
                  <c:v>26.33</c:v>
                </c:pt>
                <c:pt idx="11">
                  <c:v>21.31</c:v>
                </c:pt>
                <c:pt idx="12">
                  <c:v>20.756643763975227</c:v>
                </c:pt>
                <c:pt idx="13">
                  <c:v>20.78</c:v>
                </c:pt>
                <c:pt idx="14">
                  <c:v>19.946638707440083</c:v>
                </c:pt>
                <c:pt idx="15">
                  <c:v>24.05</c:v>
                </c:pt>
                <c:pt idx="16">
                  <c:v>11.74</c:v>
                </c:pt>
                <c:pt idx="17">
                  <c:v>21.4</c:v>
                </c:pt>
                <c:pt idx="18">
                  <c:v>54.3</c:v>
                </c:pt>
                <c:pt idx="19">
                  <c:v>44.12</c:v>
                </c:pt>
                <c:pt idx="20">
                  <c:v>27.41</c:v>
                </c:pt>
                <c:pt idx="21">
                  <c:v>52</c:v>
                </c:pt>
                <c:pt idx="22">
                  <c:v>33</c:v>
                </c:pt>
                <c:pt idx="23">
                  <c:v>38</c:v>
                </c:pt>
                <c:pt idx="24">
                  <c:v>34.87645999055772</c:v>
                </c:pt>
                <c:pt idx="25">
                  <c:v>17.651621377404553</c:v>
                </c:pt>
                <c:pt idx="26">
                  <c:v>26.547811991464474</c:v>
                </c:pt>
                <c:pt idx="27">
                  <c:v>21.363774467652096</c:v>
                </c:pt>
                <c:pt idx="28">
                  <c:v>25.392375458331561</c:v>
                </c:pt>
                <c:pt idx="29">
                  <c:v>32.680021748384746</c:v>
                </c:pt>
                <c:pt idx="30">
                  <c:v>27.395879169331749</c:v>
                </c:pt>
                <c:pt idx="31">
                  <c:v>24.758974566951753</c:v>
                </c:pt>
                <c:pt idx="32">
                  <c:v>25.388351974495912</c:v>
                </c:pt>
                <c:pt idx="33">
                  <c:v>36.393954469162871</c:v>
                </c:pt>
                <c:pt idx="34">
                  <c:v>32.371481818907306</c:v>
                </c:pt>
                <c:pt idx="35">
                  <c:v>46.93825971606968</c:v>
                </c:pt>
                <c:pt idx="36">
                  <c:v>52.167653173468828</c:v>
                </c:pt>
                <c:pt idx="37">
                  <c:v>35.037082005240109</c:v>
                </c:pt>
                <c:pt idx="38">
                  <c:v>33.436403587412826</c:v>
                </c:pt>
                <c:pt idx="39">
                  <c:v>34.742019646143326</c:v>
                </c:pt>
                <c:pt idx="40">
                  <c:v>26.180596370130456</c:v>
                </c:pt>
                <c:pt idx="41">
                  <c:v>44.125254716974446</c:v>
                </c:pt>
                <c:pt idx="42">
                  <c:v>53.705097905498256</c:v>
                </c:pt>
                <c:pt idx="43">
                  <c:v>41.34410230160276</c:v>
                </c:pt>
                <c:pt idx="44">
                  <c:v>51.602875113423359</c:v>
                </c:pt>
                <c:pt idx="45">
                  <c:v>54.835067504636712</c:v>
                </c:pt>
                <c:pt idx="46">
                  <c:v>59.214329663939431</c:v>
                </c:pt>
                <c:pt idx="47">
                  <c:v>76.13872767261681</c:v>
                </c:pt>
                <c:pt idx="48">
                  <c:v>66.012282677561259</c:v>
                </c:pt>
                <c:pt idx="49">
                  <c:v>59.944033865187315</c:v>
                </c:pt>
                <c:pt idx="50">
                  <c:v>91.523085954609073</c:v>
                </c:pt>
                <c:pt idx="51">
                  <c:v>72.594399409519482</c:v>
                </c:pt>
                <c:pt idx="52">
                  <c:v>87.359508103225821</c:v>
                </c:pt>
                <c:pt idx="53">
                  <c:v>82.546761291824581</c:v>
                </c:pt>
                <c:pt idx="54">
                  <c:v>91.02308875409372</c:v>
                </c:pt>
                <c:pt idx="55">
                  <c:v>103.63008670702204</c:v>
                </c:pt>
                <c:pt idx="56">
                  <c:v>114.22391630840667</c:v>
                </c:pt>
                <c:pt idx="57">
                  <c:v>54.998405648361405</c:v>
                </c:pt>
                <c:pt idx="58">
                  <c:v>57.781512307298065</c:v>
                </c:pt>
                <c:pt idx="59">
                  <c:v>55.560636930267734</c:v>
                </c:pt>
                <c:pt idx="60">
                  <c:v>72.590086245091967</c:v>
                </c:pt>
                <c:pt idx="61">
                  <c:v>77.980262967164947</c:v>
                </c:pt>
                <c:pt idx="62">
                  <c:v>82.974981291108975</c:v>
                </c:pt>
                <c:pt idx="63">
                  <c:v>66.115810659397127</c:v>
                </c:pt>
                <c:pt idx="64">
                  <c:v>67.180565093294831</c:v>
                </c:pt>
                <c:pt idx="65">
                  <c:v>68.630729380506381</c:v>
                </c:pt>
                <c:pt idx="66">
                  <c:v>60.615335366791165</c:v>
                </c:pt>
                <c:pt idx="67">
                  <c:v>67.478324706507806</c:v>
                </c:pt>
                <c:pt idx="68">
                  <c:v>49.541812152161917</c:v>
                </c:pt>
                <c:pt idx="69">
                  <c:v>68.829830185646358</c:v>
                </c:pt>
                <c:pt idx="70">
                  <c:v>77.655615187255918</c:v>
                </c:pt>
                <c:pt idx="71">
                  <c:v>87.464534815173636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33-443E-9D83-7B2E94386224}"/>
            </c:ext>
          </c:extLst>
        </c:ser>
        <c:ser>
          <c:idx val="4"/>
          <c:order val="4"/>
          <c:tx>
            <c:strRef>
              <c:f>'Feedstock Use - chart data'!$F$1</c:f>
              <c:strCache>
                <c:ptCount val="1"/>
                <c:pt idx="0">
                  <c:v>Yellow Grease/Used Cooking Oil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dLbls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333-443E-9D83-7B2E94386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 algn="ctr"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data'!$F$2:$F$277</c15:sqref>
                  </c15:fullRef>
                </c:ext>
              </c:extLst>
              <c:f>'Feedstock Use - chart data'!$F$98:$F$169</c:f>
              <c:numCache>
                <c:formatCode>#,##0_);[Red]\(#,##0\)</c:formatCode>
                <c:ptCount val="72"/>
                <c:pt idx="0">
                  <c:v>236.12311132810498</c:v>
                </c:pt>
                <c:pt idx="1">
                  <c:v>245.40453085705451</c:v>
                </c:pt>
                <c:pt idx="2">
                  <c:v>235.61711166017574</c:v>
                </c:pt>
                <c:pt idx="3">
                  <c:v>260.07367959492717</c:v>
                </c:pt>
                <c:pt idx="4">
                  <c:v>268.82963976695663</c:v>
                </c:pt>
                <c:pt idx="5">
                  <c:v>237.57471269479015</c:v>
                </c:pt>
                <c:pt idx="6">
                  <c:v>242.04570869412447</c:v>
                </c:pt>
                <c:pt idx="7">
                  <c:v>219.62182911128599</c:v>
                </c:pt>
                <c:pt idx="8">
                  <c:v>231.23306429200417</c:v>
                </c:pt>
                <c:pt idx="9">
                  <c:v>212.98584692430256</c:v>
                </c:pt>
                <c:pt idx="10">
                  <c:v>199.20907476897884</c:v>
                </c:pt>
                <c:pt idx="11">
                  <c:v>213.1477034845885</c:v>
                </c:pt>
                <c:pt idx="12">
                  <c:v>206.20132977054516</c:v>
                </c:pt>
                <c:pt idx="13">
                  <c:v>163.87420628095725</c:v>
                </c:pt>
                <c:pt idx="14">
                  <c:v>189.01096201833761</c:v>
                </c:pt>
                <c:pt idx="15">
                  <c:v>137.01043869910427</c:v>
                </c:pt>
                <c:pt idx="16">
                  <c:v>108.62122173057573</c:v>
                </c:pt>
                <c:pt idx="17">
                  <c:v>145.56526266015331</c:v>
                </c:pt>
                <c:pt idx="18">
                  <c:v>155.84730772248238</c:v>
                </c:pt>
                <c:pt idx="19">
                  <c:v>147.67795302851059</c:v>
                </c:pt>
                <c:pt idx="20">
                  <c:v>155.77911264315759</c:v>
                </c:pt>
                <c:pt idx="21">
                  <c:v>198.37605047497402</c:v>
                </c:pt>
                <c:pt idx="22">
                  <c:v>230.838805064837</c:v>
                </c:pt>
                <c:pt idx="23">
                  <c:v>192.66859005437243</c:v>
                </c:pt>
                <c:pt idx="24">
                  <c:v>228.03635095055751</c:v>
                </c:pt>
                <c:pt idx="25">
                  <c:v>187.49914464860089</c:v>
                </c:pt>
                <c:pt idx="26">
                  <c:v>219.19457260697058</c:v>
                </c:pt>
                <c:pt idx="27">
                  <c:v>241.12883021696916</c:v>
                </c:pt>
                <c:pt idx="28">
                  <c:v>250.89675313333822</c:v>
                </c:pt>
                <c:pt idx="29">
                  <c:v>266.80766165855226</c:v>
                </c:pt>
                <c:pt idx="30">
                  <c:v>282.53128421786363</c:v>
                </c:pt>
                <c:pt idx="31">
                  <c:v>270.03679974264185</c:v>
                </c:pt>
                <c:pt idx="32">
                  <c:v>214.71321987608576</c:v>
                </c:pt>
                <c:pt idx="33">
                  <c:v>501.35217295584437</c:v>
                </c:pt>
                <c:pt idx="34">
                  <c:v>555.79120042705199</c:v>
                </c:pt>
                <c:pt idx="35">
                  <c:v>708.39189367229676</c:v>
                </c:pt>
                <c:pt idx="36">
                  <c:v>588.66354740120664</c:v>
                </c:pt>
                <c:pt idx="37">
                  <c:v>772.19566545965677</c:v>
                </c:pt>
                <c:pt idx="38">
                  <c:v>745.42103016163753</c:v>
                </c:pt>
                <c:pt idx="39">
                  <c:v>721.61793528706937</c:v>
                </c:pt>
                <c:pt idx="40">
                  <c:v>964.64577762173019</c:v>
                </c:pt>
                <c:pt idx="41">
                  <c:v>835.70210586801147</c:v>
                </c:pt>
                <c:pt idx="42">
                  <c:v>690.40517407751429</c:v>
                </c:pt>
                <c:pt idx="43">
                  <c:v>852.35160611574304</c:v>
                </c:pt>
                <c:pt idx="44">
                  <c:v>891.2715033856756</c:v>
                </c:pt>
                <c:pt idx="45">
                  <c:v>815.31321202909578</c:v>
                </c:pt>
                <c:pt idx="46">
                  <c:v>1188.94847449339</c:v>
                </c:pt>
                <c:pt idx="47">
                  <c:v>998.35235937177436</c:v>
                </c:pt>
                <c:pt idx="48">
                  <c:v>759.11132592933086</c:v>
                </c:pt>
                <c:pt idx="49">
                  <c:v>736.1244510620262</c:v>
                </c:pt>
                <c:pt idx="50">
                  <c:v>1153.6083492262737</c:v>
                </c:pt>
                <c:pt idx="51">
                  <c:v>1057.7499570489874</c:v>
                </c:pt>
                <c:pt idx="52">
                  <c:v>1318.1899525913916</c:v>
                </c:pt>
                <c:pt idx="53">
                  <c:v>1063.9093675508134</c:v>
                </c:pt>
                <c:pt idx="54">
                  <c:v>910.92278681794824</c:v>
                </c:pt>
                <c:pt idx="55">
                  <c:v>1145.854995618093</c:v>
                </c:pt>
                <c:pt idx="56">
                  <c:v>1053.3741035494511</c:v>
                </c:pt>
                <c:pt idx="57">
                  <c:v>824.7167274217129</c:v>
                </c:pt>
                <c:pt idx="58">
                  <c:v>807.6554000000001</c:v>
                </c:pt>
                <c:pt idx="59">
                  <c:v>932.77785698604123</c:v>
                </c:pt>
                <c:pt idx="60">
                  <c:v>790.10363482109813</c:v>
                </c:pt>
                <c:pt idx="61">
                  <c:v>848.82893966469157</c:v>
                </c:pt>
                <c:pt idx="62">
                  <c:v>750.30971602176635</c:v>
                </c:pt>
                <c:pt idx="63">
                  <c:v>1306.9110898520216</c:v>
                </c:pt>
                <c:pt idx="64">
                  <c:v>896.81106876712249</c:v>
                </c:pt>
                <c:pt idx="65">
                  <c:v>1126.0796371185875</c:v>
                </c:pt>
                <c:pt idx="66">
                  <c:v>1091.9598411871709</c:v>
                </c:pt>
                <c:pt idx="67">
                  <c:v>980.44806086608298</c:v>
                </c:pt>
                <c:pt idx="68">
                  <c:v>1272.120005979845</c:v>
                </c:pt>
                <c:pt idx="69">
                  <c:v>1257.4594475317954</c:v>
                </c:pt>
                <c:pt idx="70">
                  <c:v>894.57345259842054</c:v>
                </c:pt>
                <c:pt idx="71">
                  <c:v>1276.4008288691691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333-443E-9D83-7B2E94386224}"/>
            </c:ext>
          </c:extLst>
        </c:ser>
        <c:ser>
          <c:idx val="5"/>
          <c:order val="5"/>
          <c:tx>
            <c:strRef>
              <c:f>'Feedstock Use - chart data'!$G$1</c:f>
              <c:strCache>
                <c:ptCount val="1"/>
                <c:pt idx="0">
                  <c:v>Choice White Grease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rgbClr val="323232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data'!$G$2:$G$277</c15:sqref>
                  </c15:fullRef>
                </c:ext>
              </c:extLst>
              <c:f>'Feedstock Use - chart data'!$G$98:$G$169</c:f>
              <c:numCache>
                <c:formatCode>#,##0_);[Red]\(#,##0\)</c:formatCode>
                <c:ptCount val="72"/>
                <c:pt idx="0">
                  <c:v>62.9</c:v>
                </c:pt>
                <c:pt idx="1">
                  <c:v>49.46</c:v>
                </c:pt>
                <c:pt idx="2">
                  <c:v>58.48</c:v>
                </c:pt>
                <c:pt idx="3">
                  <c:v>57.04</c:v>
                </c:pt>
                <c:pt idx="4">
                  <c:v>42.99</c:v>
                </c:pt>
                <c:pt idx="5">
                  <c:v>44.81</c:v>
                </c:pt>
                <c:pt idx="6">
                  <c:v>40.270000000000003</c:v>
                </c:pt>
                <c:pt idx="7">
                  <c:v>29.61</c:v>
                </c:pt>
                <c:pt idx="8">
                  <c:v>26.9</c:v>
                </c:pt>
                <c:pt idx="9">
                  <c:v>46.44</c:v>
                </c:pt>
                <c:pt idx="10">
                  <c:v>36.49</c:v>
                </c:pt>
                <c:pt idx="11">
                  <c:v>40.71</c:v>
                </c:pt>
                <c:pt idx="12">
                  <c:v>48</c:v>
                </c:pt>
                <c:pt idx="13">
                  <c:v>43.36</c:v>
                </c:pt>
                <c:pt idx="14">
                  <c:v>36</c:v>
                </c:pt>
                <c:pt idx="15">
                  <c:v>41.88</c:v>
                </c:pt>
                <c:pt idx="16">
                  <c:v>39.71</c:v>
                </c:pt>
                <c:pt idx="17">
                  <c:v>52.95</c:v>
                </c:pt>
                <c:pt idx="18">
                  <c:v>55.38</c:v>
                </c:pt>
                <c:pt idx="19">
                  <c:v>54.52</c:v>
                </c:pt>
                <c:pt idx="20">
                  <c:v>73.08</c:v>
                </c:pt>
                <c:pt idx="21">
                  <c:v>57</c:v>
                </c:pt>
                <c:pt idx="22">
                  <c:v>53</c:v>
                </c:pt>
                <c:pt idx="23">
                  <c:v>57</c:v>
                </c:pt>
                <c:pt idx="24">
                  <c:v>46.51149385066099</c:v>
                </c:pt>
                <c:pt idx="25">
                  <c:v>23.415303304755309</c:v>
                </c:pt>
                <c:pt idx="26">
                  <c:v>31.727419492229764</c:v>
                </c:pt>
                <c:pt idx="27">
                  <c:v>21.139088583794067</c:v>
                </c:pt>
                <c:pt idx="28">
                  <c:v>18.700041479024726</c:v>
                </c:pt>
                <c:pt idx="29">
                  <c:v>27.632865208265326</c:v>
                </c:pt>
                <c:pt idx="30">
                  <c:v>19.176138475083587</c:v>
                </c:pt>
                <c:pt idx="31">
                  <c:v>14.715028424302634</c:v>
                </c:pt>
                <c:pt idx="32">
                  <c:v>15.515162820757276</c:v>
                </c:pt>
                <c:pt idx="33">
                  <c:v>42.256396960623931</c:v>
                </c:pt>
                <c:pt idx="34">
                  <c:v>34.81884158560392</c:v>
                </c:pt>
                <c:pt idx="35">
                  <c:v>40.391914002886487</c:v>
                </c:pt>
                <c:pt idx="36">
                  <c:v>18.10479481541778</c:v>
                </c:pt>
                <c:pt idx="37">
                  <c:v>17.735924180117653</c:v>
                </c:pt>
                <c:pt idx="38">
                  <c:v>19.608091188659177</c:v>
                </c:pt>
                <c:pt idx="39">
                  <c:v>17.532824255587588</c:v>
                </c:pt>
                <c:pt idx="40">
                  <c:v>20.553320262475836</c:v>
                </c:pt>
                <c:pt idx="41">
                  <c:v>21.490937486635943</c:v>
                </c:pt>
                <c:pt idx="42">
                  <c:v>19.659876578107184</c:v>
                </c:pt>
                <c:pt idx="43">
                  <c:v>19.731583582260278</c:v>
                </c:pt>
                <c:pt idx="44">
                  <c:v>17.589755161114937</c:v>
                </c:pt>
                <c:pt idx="45">
                  <c:v>18.342527144698717</c:v>
                </c:pt>
                <c:pt idx="46">
                  <c:v>19.026145053098343</c:v>
                </c:pt>
                <c:pt idx="47">
                  <c:v>22.833451805726607</c:v>
                </c:pt>
                <c:pt idx="48">
                  <c:v>17.979682322250461</c:v>
                </c:pt>
                <c:pt idx="49">
                  <c:v>13.712724760479736</c:v>
                </c:pt>
                <c:pt idx="50">
                  <c:v>26.566346423946968</c:v>
                </c:pt>
                <c:pt idx="51">
                  <c:v>33.64198191490825</c:v>
                </c:pt>
                <c:pt idx="52">
                  <c:v>48.676772042633772</c:v>
                </c:pt>
                <c:pt idx="53">
                  <c:v>24.272817833821286</c:v>
                </c:pt>
                <c:pt idx="54">
                  <c:v>26.558214183198217</c:v>
                </c:pt>
                <c:pt idx="55">
                  <c:v>40.577882091969094</c:v>
                </c:pt>
                <c:pt idx="56">
                  <c:v>28.447345668360651</c:v>
                </c:pt>
                <c:pt idx="57">
                  <c:v>12.854891234883162</c:v>
                </c:pt>
                <c:pt idx="58">
                  <c:v>13.667000000000002</c:v>
                </c:pt>
                <c:pt idx="59">
                  <c:v>2.4820046687072925</c:v>
                </c:pt>
                <c:pt idx="60">
                  <c:v>4.6272370370542362</c:v>
                </c:pt>
                <c:pt idx="61">
                  <c:v>15.304777894846277</c:v>
                </c:pt>
                <c:pt idx="62">
                  <c:v>9.335565909043515</c:v>
                </c:pt>
                <c:pt idx="63">
                  <c:v>9.5585545551382758</c:v>
                </c:pt>
                <c:pt idx="64">
                  <c:v>21.709939631642687</c:v>
                </c:pt>
                <c:pt idx="65">
                  <c:v>3.2582435156062619</c:v>
                </c:pt>
                <c:pt idx="66">
                  <c:v>13.168262905898681</c:v>
                </c:pt>
                <c:pt idx="67">
                  <c:v>9.0076143998447691</c:v>
                </c:pt>
                <c:pt idx="68">
                  <c:v>-1.0099043615745145</c:v>
                </c:pt>
                <c:pt idx="69">
                  <c:v>3.5428347112779726</c:v>
                </c:pt>
                <c:pt idx="70">
                  <c:v>43.216498237065878</c:v>
                </c:pt>
                <c:pt idx="71">
                  <c:v>37.751700312783285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333-443E-9D83-7B2E94386224}"/>
            </c:ext>
          </c:extLst>
        </c:ser>
        <c:ser>
          <c:idx val="6"/>
          <c:order val="6"/>
          <c:tx>
            <c:strRef>
              <c:f>'Feedstock Use - chart data'!$H$1</c:f>
              <c:strCache>
                <c:ptCount val="1"/>
                <c:pt idx="0">
                  <c:v>Poultry Fat</c:v>
                </c:pt>
              </c:strCache>
            </c:strRef>
          </c:tx>
          <c:spPr>
            <a:solidFill>
              <a:srgbClr val="D886DA"/>
            </a:solidFill>
            <a:ln>
              <a:solidFill>
                <a:srgbClr val="323232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'Feedstock Use - chart data'!$A$2:$A$277</c15:sqref>
                  </c15:fullRef>
                </c:ext>
              </c:extLst>
              <c:f>'Feedstock Use - chart data'!$A$98:$A$169</c:f>
              <c:numCache>
                <c:formatCode>[$-409]mmm\-yy;@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'Feedstock Use - chart data'!$H$2:$H$277</c15:sqref>
                  </c15:fullRef>
                </c:ext>
              </c:extLst>
              <c:f>'Feedstock Use - chart data'!$H$98:$H$169</c:f>
              <c:numCache>
                <c:formatCode>#,##0_);[Red]\(#,##0\)</c:formatCode>
                <c:ptCount val="72"/>
                <c:pt idx="0">
                  <c:v>13.3016666666667</c:v>
                </c:pt>
                <c:pt idx="1">
                  <c:v>16</c:v>
                </c:pt>
                <c:pt idx="2">
                  <c:v>8</c:v>
                </c:pt>
                <c:pt idx="3">
                  <c:v>9.27</c:v>
                </c:pt>
                <c:pt idx="4">
                  <c:v>19.079999999999998</c:v>
                </c:pt>
                <c:pt idx="5">
                  <c:v>15.52</c:v>
                </c:pt>
                <c:pt idx="6">
                  <c:v>17.57</c:v>
                </c:pt>
                <c:pt idx="7">
                  <c:v>15.52</c:v>
                </c:pt>
                <c:pt idx="8">
                  <c:v>10.51</c:v>
                </c:pt>
                <c:pt idx="9">
                  <c:v>14.99</c:v>
                </c:pt>
                <c:pt idx="10">
                  <c:v>12.42</c:v>
                </c:pt>
                <c:pt idx="11">
                  <c:v>10.82</c:v>
                </c:pt>
                <c:pt idx="12">
                  <c:v>11</c:v>
                </c:pt>
                <c:pt idx="13">
                  <c:v>11.87</c:v>
                </c:pt>
                <c:pt idx="14">
                  <c:v>23.6</c:v>
                </c:pt>
                <c:pt idx="15">
                  <c:v>8.3990441310971509</c:v>
                </c:pt>
                <c:pt idx="16">
                  <c:v>8.5299999999999994</c:v>
                </c:pt>
                <c:pt idx="17">
                  <c:v>7.2971325904147903</c:v>
                </c:pt>
                <c:pt idx="18">
                  <c:v>9.5444244326531162</c:v>
                </c:pt>
                <c:pt idx="19">
                  <c:v>22.863427142127684</c:v>
                </c:pt>
                <c:pt idx="20">
                  <c:v>22.84</c:v>
                </c:pt>
                <c:pt idx="21">
                  <c:v>21</c:v>
                </c:pt>
                <c:pt idx="22">
                  <c:v>14</c:v>
                </c:pt>
                <c:pt idx="23">
                  <c:v>7</c:v>
                </c:pt>
                <c:pt idx="24">
                  <c:v>33.534999999999997</c:v>
                </c:pt>
                <c:pt idx="25">
                  <c:v>34.244999999999997</c:v>
                </c:pt>
                <c:pt idx="26">
                  <c:v>43.158000000000001</c:v>
                </c:pt>
                <c:pt idx="27">
                  <c:v>36.418999999999997</c:v>
                </c:pt>
                <c:pt idx="28">
                  <c:v>31.837</c:v>
                </c:pt>
                <c:pt idx="29">
                  <c:v>19.489000000000001</c:v>
                </c:pt>
                <c:pt idx="30">
                  <c:v>21.032</c:v>
                </c:pt>
                <c:pt idx="31">
                  <c:v>18.109000000000002</c:v>
                </c:pt>
                <c:pt idx="32">
                  <c:v>17.348973118689422</c:v>
                </c:pt>
                <c:pt idx="33">
                  <c:v>13.856086855318358</c:v>
                </c:pt>
                <c:pt idx="34">
                  <c:v>15.474356610903197</c:v>
                </c:pt>
                <c:pt idx="35">
                  <c:v>18.657485713200082</c:v>
                </c:pt>
                <c:pt idx="36">
                  <c:v>13.810885546858449</c:v>
                </c:pt>
                <c:pt idx="37">
                  <c:v>11.639601875815378</c:v>
                </c:pt>
                <c:pt idx="38">
                  <c:v>13.945280767206244</c:v>
                </c:pt>
                <c:pt idx="39">
                  <c:v>11.616042093179136</c:v>
                </c:pt>
                <c:pt idx="40">
                  <c:v>7.7839089713121261</c:v>
                </c:pt>
                <c:pt idx="41">
                  <c:v>7.6405620942472385</c:v>
                </c:pt>
                <c:pt idx="42">
                  <c:v>9.4493116801392887</c:v>
                </c:pt>
                <c:pt idx="43">
                  <c:v>10.949932258344866</c:v>
                </c:pt>
                <c:pt idx="44">
                  <c:v>12.499562364605062</c:v>
                </c:pt>
                <c:pt idx="45">
                  <c:v>14.036830680131867</c:v>
                </c:pt>
                <c:pt idx="46">
                  <c:v>16.366640745613111</c:v>
                </c:pt>
                <c:pt idx="47">
                  <c:v>15.954255006775046</c:v>
                </c:pt>
                <c:pt idx="48">
                  <c:v>12.668129782598223</c:v>
                </c:pt>
                <c:pt idx="49">
                  <c:v>9.6003876941036772</c:v>
                </c:pt>
                <c:pt idx="50">
                  <c:v>6.9373389872466005</c:v>
                </c:pt>
                <c:pt idx="51">
                  <c:v>6.8940717767666522</c:v>
                </c:pt>
                <c:pt idx="52">
                  <c:v>7.8819898722625243</c:v>
                </c:pt>
                <c:pt idx="53">
                  <c:v>9.3664648656530964</c:v>
                </c:pt>
                <c:pt idx="54">
                  <c:v>6.8679904007033183</c:v>
                </c:pt>
                <c:pt idx="55">
                  <c:v>13.37347180378473</c:v>
                </c:pt>
                <c:pt idx="56">
                  <c:v>14.148829436907954</c:v>
                </c:pt>
                <c:pt idx="57">
                  <c:v>13.397368060732608</c:v>
                </c:pt>
                <c:pt idx="58">
                  <c:v>17.847896514098561</c:v>
                </c:pt>
                <c:pt idx="59">
                  <c:v>12.888400545977545</c:v>
                </c:pt>
                <c:pt idx="60">
                  <c:v>15.967255106517104</c:v>
                </c:pt>
                <c:pt idx="61">
                  <c:v>9.868403647004131</c:v>
                </c:pt>
                <c:pt idx="62">
                  <c:v>17.858638578776393</c:v>
                </c:pt>
                <c:pt idx="63">
                  <c:v>24.533619768693136</c:v>
                </c:pt>
                <c:pt idx="64">
                  <c:v>18.369841190357018</c:v>
                </c:pt>
                <c:pt idx="65">
                  <c:v>18.674778867115887</c:v>
                </c:pt>
                <c:pt idx="66">
                  <c:v>20.385783219984223</c:v>
                </c:pt>
                <c:pt idx="67">
                  <c:v>22.050831728015009</c:v>
                </c:pt>
                <c:pt idx="68">
                  <c:v>23.073462483975153</c:v>
                </c:pt>
                <c:pt idx="69">
                  <c:v>21.908444806482599</c:v>
                </c:pt>
                <c:pt idx="70">
                  <c:v>19.237162671071015</c:v>
                </c:pt>
                <c:pt idx="71">
                  <c:v>13.64741544633336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333-443E-9D83-7B2E94386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237784"/>
        <c:axId val="1596238112"/>
      </c:areaChart>
      <c:dateAx>
        <c:axId val="1596237784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8112"/>
        <c:crosses val="autoZero"/>
        <c:auto val="1"/>
        <c:lblOffset val="100"/>
        <c:baseTimeUnit val="months"/>
      </c:dateAx>
      <c:valAx>
        <c:axId val="15962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pounds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7784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81559347987074049"/>
          <c:y val="0.18655238407699037"/>
          <c:w val="0.17577745173946963"/>
          <c:h val="0.56082677165354333"/>
        </c:manualLayout>
      </c:layout>
      <c:overlay val="0"/>
      <c:spPr>
        <a:solidFill>
          <a:schemeClr val="bg1"/>
        </a:solidFill>
        <a:ln w="2222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Monthly Feedstock Use in Renewable Fuel Production </a:t>
            </a:r>
          </a:p>
          <a:p>
            <a:pPr>
              <a:defRPr/>
            </a:pPr>
            <a:r>
              <a:rPr lang="en-US"/>
              <a:t>(excluding ethanol)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342601615909195E-2"/>
          <c:y val="0.21583625295395908"/>
          <c:w val="0.73126950277048697"/>
          <c:h val="0.55717519685039374"/>
        </c:manualLayout>
      </c:layout>
      <c:areaChart>
        <c:grouping val="percentStacked"/>
        <c:varyColors val="0"/>
        <c:ser>
          <c:idx val="0"/>
          <c:order val="0"/>
          <c:tx>
            <c:strRef>
              <c:f>'Feedstock Use - chart data'!$B$1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data'!$B$2:$B$181</c:f>
              <c:numCache>
                <c:formatCode>#,##0_);[Red]\(#,##0\)</c:formatCode>
                <c:ptCount val="180"/>
                <c:pt idx="0">
                  <c:v>150</c:v>
                </c:pt>
                <c:pt idx="1">
                  <c:v>150</c:v>
                </c:pt>
                <c:pt idx="2">
                  <c:v>190</c:v>
                </c:pt>
                <c:pt idx="3">
                  <c:v>236</c:v>
                </c:pt>
                <c:pt idx="4">
                  <c:v>264</c:v>
                </c:pt>
                <c:pt idx="5">
                  <c:v>311</c:v>
                </c:pt>
                <c:pt idx="6">
                  <c:v>367</c:v>
                </c:pt>
                <c:pt idx="7">
                  <c:v>398</c:v>
                </c:pt>
                <c:pt idx="8">
                  <c:v>430</c:v>
                </c:pt>
                <c:pt idx="9">
                  <c:v>527</c:v>
                </c:pt>
                <c:pt idx="10">
                  <c:v>538</c:v>
                </c:pt>
                <c:pt idx="11">
                  <c:v>592</c:v>
                </c:pt>
                <c:pt idx="12">
                  <c:v>306</c:v>
                </c:pt>
                <c:pt idx="13">
                  <c:v>321</c:v>
                </c:pt>
                <c:pt idx="14">
                  <c:v>388</c:v>
                </c:pt>
                <c:pt idx="15">
                  <c:v>350</c:v>
                </c:pt>
                <c:pt idx="16">
                  <c:v>429</c:v>
                </c:pt>
                <c:pt idx="17">
                  <c:v>369</c:v>
                </c:pt>
                <c:pt idx="18">
                  <c:v>347</c:v>
                </c:pt>
                <c:pt idx="19">
                  <c:v>385</c:v>
                </c:pt>
                <c:pt idx="20">
                  <c:v>322</c:v>
                </c:pt>
                <c:pt idx="21">
                  <c:v>307</c:v>
                </c:pt>
                <c:pt idx="22">
                  <c:v>246</c:v>
                </c:pt>
                <c:pt idx="23">
                  <c:v>273</c:v>
                </c:pt>
                <c:pt idx="24">
                  <c:v>313</c:v>
                </c:pt>
                <c:pt idx="25">
                  <c:v>287</c:v>
                </c:pt>
                <c:pt idx="26">
                  <c:v>443</c:v>
                </c:pt>
                <c:pt idx="27">
                  <c:v>423</c:v>
                </c:pt>
                <c:pt idx="28">
                  <c:v>416</c:v>
                </c:pt>
                <c:pt idx="29">
                  <c:v>486</c:v>
                </c:pt>
                <c:pt idx="30">
                  <c:v>480</c:v>
                </c:pt>
                <c:pt idx="31">
                  <c:v>513</c:v>
                </c:pt>
                <c:pt idx="32">
                  <c:v>502</c:v>
                </c:pt>
                <c:pt idx="33">
                  <c:v>551</c:v>
                </c:pt>
                <c:pt idx="34">
                  <c:v>535</c:v>
                </c:pt>
                <c:pt idx="35">
                  <c:v>559</c:v>
                </c:pt>
                <c:pt idx="36">
                  <c:v>241</c:v>
                </c:pt>
                <c:pt idx="37">
                  <c:v>277</c:v>
                </c:pt>
                <c:pt idx="38">
                  <c:v>379</c:v>
                </c:pt>
                <c:pt idx="39">
                  <c:v>360</c:v>
                </c:pt>
                <c:pt idx="40">
                  <c:v>364</c:v>
                </c:pt>
                <c:pt idx="41">
                  <c:v>466.61</c:v>
                </c:pt>
                <c:pt idx="42">
                  <c:v>434.63</c:v>
                </c:pt>
                <c:pt idx="43">
                  <c:v>447.81</c:v>
                </c:pt>
                <c:pt idx="44">
                  <c:v>395.21</c:v>
                </c:pt>
                <c:pt idx="45">
                  <c:v>458.81</c:v>
                </c:pt>
                <c:pt idx="46">
                  <c:v>447.12</c:v>
                </c:pt>
                <c:pt idx="47">
                  <c:v>531.30999999999995</c:v>
                </c:pt>
                <c:pt idx="48">
                  <c:v>306</c:v>
                </c:pt>
                <c:pt idx="49">
                  <c:v>311</c:v>
                </c:pt>
                <c:pt idx="50">
                  <c:v>381</c:v>
                </c:pt>
                <c:pt idx="51">
                  <c:v>384.6</c:v>
                </c:pt>
                <c:pt idx="52">
                  <c:v>443</c:v>
                </c:pt>
                <c:pt idx="53">
                  <c:v>474</c:v>
                </c:pt>
                <c:pt idx="54">
                  <c:v>446</c:v>
                </c:pt>
                <c:pt idx="55">
                  <c:v>463.6</c:v>
                </c:pt>
                <c:pt idx="56">
                  <c:v>390</c:v>
                </c:pt>
                <c:pt idx="57">
                  <c:v>408</c:v>
                </c:pt>
                <c:pt idx="58">
                  <c:v>464</c:v>
                </c:pt>
                <c:pt idx="59">
                  <c:v>436</c:v>
                </c:pt>
                <c:pt idx="60">
                  <c:v>392.27</c:v>
                </c:pt>
                <c:pt idx="61">
                  <c:v>416</c:v>
                </c:pt>
                <c:pt idx="62">
                  <c:v>464.48</c:v>
                </c:pt>
                <c:pt idx="63">
                  <c:v>414.75</c:v>
                </c:pt>
                <c:pt idx="64">
                  <c:v>543.78</c:v>
                </c:pt>
                <c:pt idx="65">
                  <c:v>519.69000000000005</c:v>
                </c:pt>
                <c:pt idx="66">
                  <c:v>535.6</c:v>
                </c:pt>
                <c:pt idx="67">
                  <c:v>561.04</c:v>
                </c:pt>
                <c:pt idx="68">
                  <c:v>536.84</c:v>
                </c:pt>
                <c:pt idx="69">
                  <c:v>525.96</c:v>
                </c:pt>
                <c:pt idx="70">
                  <c:v>595.83000000000004</c:v>
                </c:pt>
                <c:pt idx="71">
                  <c:v>610.47</c:v>
                </c:pt>
                <c:pt idx="72">
                  <c:v>390.11</c:v>
                </c:pt>
                <c:pt idx="73">
                  <c:v>369.18</c:v>
                </c:pt>
                <c:pt idx="74">
                  <c:v>369.46</c:v>
                </c:pt>
                <c:pt idx="75">
                  <c:v>426.71</c:v>
                </c:pt>
                <c:pt idx="76">
                  <c:v>545.51</c:v>
                </c:pt>
                <c:pt idx="77">
                  <c:v>548.84</c:v>
                </c:pt>
                <c:pt idx="78">
                  <c:v>606.15</c:v>
                </c:pt>
                <c:pt idx="79">
                  <c:v>608.16999999999996</c:v>
                </c:pt>
                <c:pt idx="80">
                  <c:v>603.91</c:v>
                </c:pt>
                <c:pt idx="81">
                  <c:v>577.42999999999995</c:v>
                </c:pt>
                <c:pt idx="82">
                  <c:v>590.79999999999995</c:v>
                </c:pt>
                <c:pt idx="83">
                  <c:v>593.99</c:v>
                </c:pt>
                <c:pt idx="84">
                  <c:v>462.12</c:v>
                </c:pt>
                <c:pt idx="85">
                  <c:v>495.59</c:v>
                </c:pt>
                <c:pt idx="86">
                  <c:v>624.15</c:v>
                </c:pt>
                <c:pt idx="87">
                  <c:v>519.55999999999995</c:v>
                </c:pt>
                <c:pt idx="88">
                  <c:v>581.33000000000004</c:v>
                </c:pt>
                <c:pt idx="89">
                  <c:v>623.61</c:v>
                </c:pt>
                <c:pt idx="90">
                  <c:v>671.27</c:v>
                </c:pt>
                <c:pt idx="91">
                  <c:v>705.13</c:v>
                </c:pt>
                <c:pt idx="92">
                  <c:v>688.71</c:v>
                </c:pt>
                <c:pt idx="93">
                  <c:v>698.88</c:v>
                </c:pt>
                <c:pt idx="94">
                  <c:v>703.79</c:v>
                </c:pt>
                <c:pt idx="95">
                  <c:v>767.76</c:v>
                </c:pt>
                <c:pt idx="96">
                  <c:v>622.80999999999995</c:v>
                </c:pt>
                <c:pt idx="97">
                  <c:v>559.57000000000005</c:v>
                </c:pt>
                <c:pt idx="98">
                  <c:v>617.01</c:v>
                </c:pt>
                <c:pt idx="99">
                  <c:v>631.84</c:v>
                </c:pt>
                <c:pt idx="100">
                  <c:v>659.05</c:v>
                </c:pt>
                <c:pt idx="101">
                  <c:v>594.15</c:v>
                </c:pt>
                <c:pt idx="102">
                  <c:v>708.5</c:v>
                </c:pt>
                <c:pt idx="103">
                  <c:v>701.14</c:v>
                </c:pt>
                <c:pt idx="104">
                  <c:v>598.79999999999995</c:v>
                </c:pt>
                <c:pt idx="105">
                  <c:v>557.52</c:v>
                </c:pt>
                <c:pt idx="106">
                  <c:v>526.53</c:v>
                </c:pt>
                <c:pt idx="107">
                  <c:v>541.04999999999995</c:v>
                </c:pt>
                <c:pt idx="108">
                  <c:v>521</c:v>
                </c:pt>
                <c:pt idx="109">
                  <c:v>574.78</c:v>
                </c:pt>
                <c:pt idx="110">
                  <c:v>656.02</c:v>
                </c:pt>
                <c:pt idx="111">
                  <c:v>671.81</c:v>
                </c:pt>
                <c:pt idx="112">
                  <c:v>805.35</c:v>
                </c:pt>
                <c:pt idx="113">
                  <c:v>747.07</c:v>
                </c:pt>
                <c:pt idx="114">
                  <c:v>774.83</c:v>
                </c:pt>
                <c:pt idx="115">
                  <c:v>745.33</c:v>
                </c:pt>
                <c:pt idx="116">
                  <c:v>736.53</c:v>
                </c:pt>
                <c:pt idx="117">
                  <c:v>723</c:v>
                </c:pt>
                <c:pt idx="118">
                  <c:v>683</c:v>
                </c:pt>
                <c:pt idx="119">
                  <c:v>744</c:v>
                </c:pt>
                <c:pt idx="120">
                  <c:v>464.92010627046363</c:v>
                </c:pt>
                <c:pt idx="121">
                  <c:v>319.20156533980185</c:v>
                </c:pt>
                <c:pt idx="122">
                  <c:v>516.98119277223532</c:v>
                </c:pt>
                <c:pt idx="123">
                  <c:v>545.27086158299016</c:v>
                </c:pt>
                <c:pt idx="124">
                  <c:v>607.24367577257226</c:v>
                </c:pt>
                <c:pt idx="125">
                  <c:v>447.52073891518546</c:v>
                </c:pt>
                <c:pt idx="126">
                  <c:v>622.37633218578083</c:v>
                </c:pt>
                <c:pt idx="127">
                  <c:v>513.57724767128968</c:v>
                </c:pt>
                <c:pt idx="128">
                  <c:v>572.51958262530229</c:v>
                </c:pt>
                <c:pt idx="129">
                  <c:v>650.4058749447114</c:v>
                </c:pt>
                <c:pt idx="130">
                  <c:v>492.70689999400793</c:v>
                </c:pt>
                <c:pt idx="131">
                  <c:v>647.82612356375694</c:v>
                </c:pt>
                <c:pt idx="132">
                  <c:v>543.04</c:v>
                </c:pt>
                <c:pt idx="133">
                  <c:v>536.60199999999998</c:v>
                </c:pt>
                <c:pt idx="134">
                  <c:v>657.06299999999999</c:v>
                </c:pt>
                <c:pt idx="135">
                  <c:v>578.07399999999996</c:v>
                </c:pt>
                <c:pt idx="136">
                  <c:v>593.74400000000003</c:v>
                </c:pt>
                <c:pt idx="137">
                  <c:v>559.88699999999994</c:v>
                </c:pt>
                <c:pt idx="138">
                  <c:v>625.98500000000001</c:v>
                </c:pt>
                <c:pt idx="139">
                  <c:v>642.899</c:v>
                </c:pt>
                <c:pt idx="140">
                  <c:v>595.70399999999995</c:v>
                </c:pt>
                <c:pt idx="141">
                  <c:v>640.09400000000005</c:v>
                </c:pt>
                <c:pt idx="142">
                  <c:v>593.81100000000004</c:v>
                </c:pt>
                <c:pt idx="143">
                  <c:v>533.59299999999996</c:v>
                </c:pt>
                <c:pt idx="144">
                  <c:v>556.82899999999995</c:v>
                </c:pt>
                <c:pt idx="145">
                  <c:v>536.27599999999995</c:v>
                </c:pt>
                <c:pt idx="146">
                  <c:v>592.54200000000003</c:v>
                </c:pt>
                <c:pt idx="147">
                  <c:v>578.74400000000003</c:v>
                </c:pt>
                <c:pt idx="148">
                  <c:v>662.75699999999995</c:v>
                </c:pt>
                <c:pt idx="149">
                  <c:v>627.38300000000004</c:v>
                </c:pt>
                <c:pt idx="150">
                  <c:v>678.70100000000002</c:v>
                </c:pt>
                <c:pt idx="151">
                  <c:v>617.53700000000003</c:v>
                </c:pt>
                <c:pt idx="152">
                  <c:v>619.99400000000003</c:v>
                </c:pt>
                <c:pt idx="153">
                  <c:v>645.47</c:v>
                </c:pt>
                <c:pt idx="154">
                  <c:v>612.95299999999997</c:v>
                </c:pt>
                <c:pt idx="155">
                  <c:v>603</c:v>
                </c:pt>
                <c:pt idx="156">
                  <c:v>544.50800000000004</c:v>
                </c:pt>
                <c:pt idx="157">
                  <c:v>521.55999999999995</c:v>
                </c:pt>
                <c:pt idx="158">
                  <c:v>547.69156099999998</c:v>
                </c:pt>
                <c:pt idx="159">
                  <c:v>504.93900000000002</c:v>
                </c:pt>
                <c:pt idx="160">
                  <c:v>596.85599999999999</c:v>
                </c:pt>
                <c:pt idx="161">
                  <c:v>577.89058302499996</c:v>
                </c:pt>
                <c:pt idx="162">
                  <c:v>641.88599999999997</c:v>
                </c:pt>
                <c:pt idx="163">
                  <c:v>636.02</c:v>
                </c:pt>
                <c:pt idx="164">
                  <c:v>673.00900000000001</c:v>
                </c:pt>
                <c:pt idx="165">
                  <c:v>518.05399999999997</c:v>
                </c:pt>
                <c:pt idx="166">
                  <c:v>467.47699999999998</c:v>
                </c:pt>
                <c:pt idx="167">
                  <c:v>399.74799999999999</c:v>
                </c:pt>
                <c:pt idx="168">
                  <c:v>384.27600000000001</c:v>
                </c:pt>
                <c:pt idx="169">
                  <c:v>425.12799999999999</c:v>
                </c:pt>
                <c:pt idx="170">
                  <c:v>501.69099999999997</c:v>
                </c:pt>
                <c:pt idx="171">
                  <c:v>574.79999999999995</c:v>
                </c:pt>
                <c:pt idx="172">
                  <c:v>581.18600000000004</c:v>
                </c:pt>
                <c:pt idx="173">
                  <c:v>577.89058302499996</c:v>
                </c:pt>
                <c:pt idx="174">
                  <c:v>560.31575386306213</c:v>
                </c:pt>
                <c:pt idx="175">
                  <c:v>555.61878854051258</c:v>
                </c:pt>
                <c:pt idx="176">
                  <c:v>561.14771744976179</c:v>
                </c:pt>
                <c:pt idx="177">
                  <c:v>533.66914165410537</c:v>
                </c:pt>
                <c:pt idx="178">
                  <c:v>510.64365685281876</c:v>
                </c:pt>
                <c:pt idx="179">
                  <c:v>956.09398905716296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A-45E0-B5BB-882BEC9AE46B}"/>
            </c:ext>
          </c:extLst>
        </c:ser>
        <c:ser>
          <c:idx val="1"/>
          <c:order val="1"/>
          <c:tx>
            <c:strRef>
              <c:f>'Feedstock Use - chart data'!$C$1</c:f>
              <c:strCache>
                <c:ptCount val="1"/>
                <c:pt idx="0">
                  <c:v>Canola Oil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data'!$C$2:$C$181</c:f>
              <c:numCache>
                <c:formatCode>#,##0_);[Red]\(#,##0\)</c:formatCode>
                <c:ptCount val="180"/>
                <c:pt idx="0">
                  <c:v>8</c:v>
                </c:pt>
                <c:pt idx="1">
                  <c:v>26</c:v>
                </c:pt>
                <c:pt idx="2">
                  <c:v>68</c:v>
                </c:pt>
                <c:pt idx="3">
                  <c:v>88</c:v>
                </c:pt>
                <c:pt idx="4">
                  <c:v>113</c:v>
                </c:pt>
                <c:pt idx="5">
                  <c:v>75</c:v>
                </c:pt>
                <c:pt idx="6">
                  <c:v>77</c:v>
                </c:pt>
                <c:pt idx="7">
                  <c:v>84</c:v>
                </c:pt>
                <c:pt idx="8">
                  <c:v>84</c:v>
                </c:pt>
                <c:pt idx="9">
                  <c:v>69</c:v>
                </c:pt>
                <c:pt idx="10">
                  <c:v>84</c:v>
                </c:pt>
                <c:pt idx="11">
                  <c:v>71</c:v>
                </c:pt>
                <c:pt idx="12">
                  <c:v>73</c:v>
                </c:pt>
                <c:pt idx="13">
                  <c:v>90</c:v>
                </c:pt>
                <c:pt idx="14">
                  <c:v>117</c:v>
                </c:pt>
                <c:pt idx="15">
                  <c:v>112</c:v>
                </c:pt>
                <c:pt idx="16">
                  <c:v>85</c:v>
                </c:pt>
                <c:pt idx="17">
                  <c:v>103</c:v>
                </c:pt>
                <c:pt idx="18">
                  <c:v>66</c:v>
                </c:pt>
                <c:pt idx="19">
                  <c:v>48</c:v>
                </c:pt>
                <c:pt idx="20">
                  <c:v>46</c:v>
                </c:pt>
                <c:pt idx="21">
                  <c:v>16</c:v>
                </c:pt>
                <c:pt idx="22">
                  <c:v>18</c:v>
                </c:pt>
                <c:pt idx="23">
                  <c:v>16</c:v>
                </c:pt>
                <c:pt idx="24">
                  <c:v>16</c:v>
                </c:pt>
                <c:pt idx="25">
                  <c:v>38</c:v>
                </c:pt>
                <c:pt idx="26">
                  <c:v>39</c:v>
                </c:pt>
                <c:pt idx="27">
                  <c:v>47</c:v>
                </c:pt>
                <c:pt idx="28">
                  <c:v>33</c:v>
                </c:pt>
                <c:pt idx="29">
                  <c:v>28</c:v>
                </c:pt>
                <c:pt idx="30">
                  <c:v>55</c:v>
                </c:pt>
                <c:pt idx="31">
                  <c:v>79</c:v>
                </c:pt>
                <c:pt idx="32">
                  <c:v>44</c:v>
                </c:pt>
                <c:pt idx="33">
                  <c:v>82</c:v>
                </c:pt>
                <c:pt idx="34">
                  <c:v>80</c:v>
                </c:pt>
                <c:pt idx="35">
                  <c:v>105</c:v>
                </c:pt>
                <c:pt idx="36">
                  <c:v>36</c:v>
                </c:pt>
                <c:pt idx="37">
                  <c:v>27</c:v>
                </c:pt>
                <c:pt idx="38">
                  <c:v>32</c:v>
                </c:pt>
                <c:pt idx="39">
                  <c:v>58</c:v>
                </c:pt>
                <c:pt idx="40">
                  <c:v>68</c:v>
                </c:pt>
                <c:pt idx="41">
                  <c:v>90.85</c:v>
                </c:pt>
                <c:pt idx="42">
                  <c:v>134.62</c:v>
                </c:pt>
                <c:pt idx="43">
                  <c:v>136.19999999999999</c:v>
                </c:pt>
                <c:pt idx="44">
                  <c:v>126.05</c:v>
                </c:pt>
                <c:pt idx="45">
                  <c:v>132.9</c:v>
                </c:pt>
                <c:pt idx="46">
                  <c:v>121.03</c:v>
                </c:pt>
                <c:pt idx="47">
                  <c:v>84.59</c:v>
                </c:pt>
                <c:pt idx="48">
                  <c:v>65</c:v>
                </c:pt>
                <c:pt idx="49">
                  <c:v>30</c:v>
                </c:pt>
                <c:pt idx="50">
                  <c:v>80</c:v>
                </c:pt>
                <c:pt idx="51">
                  <c:v>94</c:v>
                </c:pt>
                <c:pt idx="52">
                  <c:v>55</c:v>
                </c:pt>
                <c:pt idx="53">
                  <c:v>56</c:v>
                </c:pt>
                <c:pt idx="54">
                  <c:v>76</c:v>
                </c:pt>
                <c:pt idx="55">
                  <c:v>73</c:v>
                </c:pt>
                <c:pt idx="56">
                  <c:v>68</c:v>
                </c:pt>
                <c:pt idx="57">
                  <c:v>60</c:v>
                </c:pt>
                <c:pt idx="58">
                  <c:v>40</c:v>
                </c:pt>
                <c:pt idx="59">
                  <c:v>48</c:v>
                </c:pt>
                <c:pt idx="60">
                  <c:v>60.83</c:v>
                </c:pt>
                <c:pt idx="61">
                  <c:v>47.28</c:v>
                </c:pt>
                <c:pt idx="62">
                  <c:v>68.19</c:v>
                </c:pt>
                <c:pt idx="63">
                  <c:v>91.57</c:v>
                </c:pt>
                <c:pt idx="64">
                  <c:v>122.35</c:v>
                </c:pt>
                <c:pt idx="65">
                  <c:v>129.16</c:v>
                </c:pt>
                <c:pt idx="66">
                  <c:v>114.53</c:v>
                </c:pt>
                <c:pt idx="67">
                  <c:v>109.06</c:v>
                </c:pt>
                <c:pt idx="68">
                  <c:v>116.88</c:v>
                </c:pt>
                <c:pt idx="69">
                  <c:v>116.95</c:v>
                </c:pt>
                <c:pt idx="70">
                  <c:v>98.44</c:v>
                </c:pt>
                <c:pt idx="71">
                  <c:v>55.23</c:v>
                </c:pt>
                <c:pt idx="72">
                  <c:v>37.909999999999997</c:v>
                </c:pt>
                <c:pt idx="73">
                  <c:v>69</c:v>
                </c:pt>
                <c:pt idx="74">
                  <c:v>129.93</c:v>
                </c:pt>
                <c:pt idx="75">
                  <c:v>119.74</c:v>
                </c:pt>
                <c:pt idx="76">
                  <c:v>130.58000000000001</c:v>
                </c:pt>
                <c:pt idx="77">
                  <c:v>152.97</c:v>
                </c:pt>
                <c:pt idx="78">
                  <c:v>157.13</c:v>
                </c:pt>
                <c:pt idx="79">
                  <c:v>142.85</c:v>
                </c:pt>
                <c:pt idx="80">
                  <c:v>83.64</c:v>
                </c:pt>
                <c:pt idx="81">
                  <c:v>159.29</c:v>
                </c:pt>
                <c:pt idx="82">
                  <c:v>140.78</c:v>
                </c:pt>
                <c:pt idx="83">
                  <c:v>127.85</c:v>
                </c:pt>
                <c:pt idx="84">
                  <c:v>128.03</c:v>
                </c:pt>
                <c:pt idx="85">
                  <c:v>102.36</c:v>
                </c:pt>
                <c:pt idx="86">
                  <c:v>100.98</c:v>
                </c:pt>
                <c:pt idx="87">
                  <c:v>116.42</c:v>
                </c:pt>
                <c:pt idx="88">
                  <c:v>101.31005859375</c:v>
                </c:pt>
                <c:pt idx="89">
                  <c:v>108.282958984375</c:v>
                </c:pt>
                <c:pt idx="90">
                  <c:v>101.530029296875</c:v>
                </c:pt>
                <c:pt idx="91">
                  <c:v>107.96</c:v>
                </c:pt>
                <c:pt idx="92">
                  <c:v>96.17</c:v>
                </c:pt>
                <c:pt idx="93">
                  <c:v>100.71</c:v>
                </c:pt>
                <c:pt idx="94">
                  <c:v>75.10009765625</c:v>
                </c:pt>
                <c:pt idx="95">
                  <c:v>85.650146484375</c:v>
                </c:pt>
                <c:pt idx="96">
                  <c:v>95.188333333333389</c:v>
                </c:pt>
                <c:pt idx="97">
                  <c:v>53.819999999999936</c:v>
                </c:pt>
                <c:pt idx="98">
                  <c:v>83.11</c:v>
                </c:pt>
                <c:pt idx="99">
                  <c:v>120.72</c:v>
                </c:pt>
                <c:pt idx="100">
                  <c:v>102.51964195412279</c:v>
                </c:pt>
                <c:pt idx="101">
                  <c:v>109.85892381575638</c:v>
                </c:pt>
                <c:pt idx="102">
                  <c:v>118.13</c:v>
                </c:pt>
                <c:pt idx="103">
                  <c:v>108.21</c:v>
                </c:pt>
                <c:pt idx="104">
                  <c:v>124.46</c:v>
                </c:pt>
                <c:pt idx="105">
                  <c:v>114.98</c:v>
                </c:pt>
                <c:pt idx="106">
                  <c:v>100.08</c:v>
                </c:pt>
                <c:pt idx="107">
                  <c:v>99.18</c:v>
                </c:pt>
                <c:pt idx="108">
                  <c:v>109</c:v>
                </c:pt>
                <c:pt idx="109">
                  <c:v>93.39</c:v>
                </c:pt>
                <c:pt idx="110">
                  <c:v>131.41</c:v>
                </c:pt>
                <c:pt idx="111">
                  <c:v>138.44999999999999</c:v>
                </c:pt>
                <c:pt idx="112">
                  <c:v>129.75</c:v>
                </c:pt>
                <c:pt idx="113">
                  <c:v>110.15</c:v>
                </c:pt>
                <c:pt idx="114">
                  <c:v>86.754540830143696</c:v>
                </c:pt>
                <c:pt idx="115">
                  <c:v>101.86899900356093</c:v>
                </c:pt>
                <c:pt idx="116">
                  <c:v>73.455392023463219</c:v>
                </c:pt>
                <c:pt idx="117">
                  <c:v>80.385273001550331</c:v>
                </c:pt>
                <c:pt idx="118">
                  <c:v>87.207244968589521</c:v>
                </c:pt>
                <c:pt idx="119">
                  <c:v>75.634753488699971</c:v>
                </c:pt>
                <c:pt idx="120">
                  <c:v>227.95051681497193</c:v>
                </c:pt>
                <c:pt idx="121">
                  <c:v>85.328000000000003</c:v>
                </c:pt>
                <c:pt idx="122">
                  <c:v>122.631</c:v>
                </c:pt>
                <c:pt idx="123">
                  <c:v>216.88422028148534</c:v>
                </c:pt>
                <c:pt idx="124">
                  <c:v>174.67826625670898</c:v>
                </c:pt>
                <c:pt idx="125">
                  <c:v>271.87014493241782</c:v>
                </c:pt>
                <c:pt idx="126">
                  <c:v>122.929</c:v>
                </c:pt>
                <c:pt idx="127">
                  <c:v>141.64099999999999</c:v>
                </c:pt>
                <c:pt idx="128">
                  <c:v>105.514</c:v>
                </c:pt>
                <c:pt idx="129">
                  <c:v>115.738</c:v>
                </c:pt>
                <c:pt idx="130">
                  <c:v>132.672888</c:v>
                </c:pt>
                <c:pt idx="131">
                  <c:v>126.211</c:v>
                </c:pt>
                <c:pt idx="132">
                  <c:v>63.920999999999999</c:v>
                </c:pt>
                <c:pt idx="133">
                  <c:v>59.081998216759644</c:v>
                </c:pt>
                <c:pt idx="134">
                  <c:v>68.572284573221395</c:v>
                </c:pt>
                <c:pt idx="135">
                  <c:v>101.556</c:v>
                </c:pt>
                <c:pt idx="136">
                  <c:v>121.788</c:v>
                </c:pt>
                <c:pt idx="137">
                  <c:v>125.13800000000001</c:v>
                </c:pt>
                <c:pt idx="138">
                  <c:v>132.958</c:v>
                </c:pt>
                <c:pt idx="139">
                  <c:v>133.40799999999999</c:v>
                </c:pt>
                <c:pt idx="140">
                  <c:v>131.62100000000001</c:v>
                </c:pt>
                <c:pt idx="141">
                  <c:v>167.27600000000001</c:v>
                </c:pt>
                <c:pt idx="142">
                  <c:v>113.45</c:v>
                </c:pt>
                <c:pt idx="143">
                  <c:v>119.591805422766</c:v>
                </c:pt>
                <c:pt idx="144">
                  <c:v>95.943749308474011</c:v>
                </c:pt>
                <c:pt idx="145">
                  <c:v>66.343073137521245</c:v>
                </c:pt>
                <c:pt idx="146">
                  <c:v>190.37899999999999</c:v>
                </c:pt>
                <c:pt idx="147">
                  <c:v>155.17699999999999</c:v>
                </c:pt>
                <c:pt idx="148">
                  <c:v>171.66900000000001</c:v>
                </c:pt>
                <c:pt idx="149">
                  <c:v>195.203</c:v>
                </c:pt>
                <c:pt idx="150">
                  <c:v>164.44</c:v>
                </c:pt>
                <c:pt idx="151">
                  <c:v>174.27099999999999</c:v>
                </c:pt>
                <c:pt idx="152">
                  <c:v>161.12799999999999</c:v>
                </c:pt>
                <c:pt idx="153">
                  <c:v>165.429</c:v>
                </c:pt>
                <c:pt idx="154">
                  <c:v>137.553</c:v>
                </c:pt>
                <c:pt idx="155">
                  <c:v>150.333786</c:v>
                </c:pt>
                <c:pt idx="156">
                  <c:v>152.648</c:v>
                </c:pt>
                <c:pt idx="157">
                  <c:v>129.77799999999999</c:v>
                </c:pt>
                <c:pt idx="158">
                  <c:v>144.564888</c:v>
                </c:pt>
                <c:pt idx="159">
                  <c:v>175.02799999999999</c:v>
                </c:pt>
                <c:pt idx="160">
                  <c:v>157.65700000000001</c:v>
                </c:pt>
                <c:pt idx="161">
                  <c:v>162.12700000000001</c:v>
                </c:pt>
                <c:pt idx="162">
                  <c:v>139.11799999999999</c:v>
                </c:pt>
                <c:pt idx="163">
                  <c:v>168.06899999999999</c:v>
                </c:pt>
                <c:pt idx="164">
                  <c:v>127.221</c:v>
                </c:pt>
                <c:pt idx="165">
                  <c:v>138.16900000000001</c:v>
                </c:pt>
                <c:pt idx="166">
                  <c:v>120.133</c:v>
                </c:pt>
                <c:pt idx="167">
                  <c:v>132.01599999999999</c:v>
                </c:pt>
                <c:pt idx="168">
                  <c:v>48.89</c:v>
                </c:pt>
                <c:pt idx="169">
                  <c:v>50</c:v>
                </c:pt>
                <c:pt idx="170">
                  <c:v>150</c:v>
                </c:pt>
                <c:pt idx="171">
                  <c:v>75</c:v>
                </c:pt>
                <c:pt idx="172">
                  <c:v>75</c:v>
                </c:pt>
                <c:pt idx="173">
                  <c:v>175</c:v>
                </c:pt>
                <c:pt idx="174">
                  <c:v>147.43362639613079</c:v>
                </c:pt>
                <c:pt idx="175">
                  <c:v>175.54309029429749</c:v>
                </c:pt>
                <c:pt idx="176">
                  <c:v>143.51880612057573</c:v>
                </c:pt>
                <c:pt idx="177">
                  <c:v>140.84869416942905</c:v>
                </c:pt>
                <c:pt idx="178">
                  <c:v>131.68779259178785</c:v>
                </c:pt>
                <c:pt idx="179">
                  <c:v>251.94125775652333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A-45E0-B5BB-882BEC9AE46B}"/>
            </c:ext>
          </c:extLst>
        </c:ser>
        <c:ser>
          <c:idx val="2"/>
          <c:order val="2"/>
          <c:tx>
            <c:strRef>
              <c:f>'Feedstock Use - chart data'!$D$1</c:f>
              <c:strCache>
                <c:ptCount val="1"/>
                <c:pt idx="0">
                  <c:v>Distillers' Corn Oil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data'!$D$2:$D$181</c:f>
              <c:numCache>
                <c:formatCode>#,##0_);[Red]\(#,##0\)</c:formatCode>
                <c:ptCount val="180"/>
                <c:pt idx="0">
                  <c:v>17</c:v>
                </c:pt>
                <c:pt idx="1">
                  <c:v>13</c:v>
                </c:pt>
                <c:pt idx="2">
                  <c:v>14</c:v>
                </c:pt>
                <c:pt idx="3">
                  <c:v>20</c:v>
                </c:pt>
                <c:pt idx="4">
                  <c:v>21</c:v>
                </c:pt>
                <c:pt idx="5">
                  <c:v>34</c:v>
                </c:pt>
                <c:pt idx="6">
                  <c:v>35</c:v>
                </c:pt>
                <c:pt idx="7">
                  <c:v>37</c:v>
                </c:pt>
                <c:pt idx="8">
                  <c:v>27</c:v>
                </c:pt>
                <c:pt idx="9">
                  <c:v>30</c:v>
                </c:pt>
                <c:pt idx="10">
                  <c:v>27</c:v>
                </c:pt>
                <c:pt idx="11">
                  <c:v>30</c:v>
                </c:pt>
                <c:pt idx="12">
                  <c:v>50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56</c:v>
                </c:pt>
                <c:pt idx="17">
                  <c:v>55</c:v>
                </c:pt>
                <c:pt idx="18">
                  <c:v>54</c:v>
                </c:pt>
                <c:pt idx="19">
                  <c:v>59</c:v>
                </c:pt>
                <c:pt idx="20">
                  <c:v>55</c:v>
                </c:pt>
                <c:pt idx="21">
                  <c:v>59</c:v>
                </c:pt>
                <c:pt idx="22">
                  <c:v>48</c:v>
                </c:pt>
                <c:pt idx="23">
                  <c:v>50</c:v>
                </c:pt>
                <c:pt idx="24">
                  <c:v>60</c:v>
                </c:pt>
                <c:pt idx="25">
                  <c:v>61</c:v>
                </c:pt>
                <c:pt idx="26">
                  <c:v>71</c:v>
                </c:pt>
                <c:pt idx="27">
                  <c:v>71</c:v>
                </c:pt>
                <c:pt idx="28">
                  <c:v>91</c:v>
                </c:pt>
                <c:pt idx="29">
                  <c:v>98</c:v>
                </c:pt>
                <c:pt idx="30">
                  <c:v>108</c:v>
                </c:pt>
                <c:pt idx="31">
                  <c:v>106</c:v>
                </c:pt>
                <c:pt idx="32">
                  <c:v>95</c:v>
                </c:pt>
                <c:pt idx="33">
                  <c:v>103</c:v>
                </c:pt>
                <c:pt idx="34">
                  <c:v>98</c:v>
                </c:pt>
                <c:pt idx="35">
                  <c:v>104</c:v>
                </c:pt>
                <c:pt idx="36">
                  <c:v>73</c:v>
                </c:pt>
                <c:pt idx="37">
                  <c:v>54</c:v>
                </c:pt>
                <c:pt idx="38">
                  <c:v>77</c:v>
                </c:pt>
                <c:pt idx="39">
                  <c:v>66</c:v>
                </c:pt>
                <c:pt idx="40">
                  <c:v>87</c:v>
                </c:pt>
                <c:pt idx="41">
                  <c:v>75.36</c:v>
                </c:pt>
                <c:pt idx="42">
                  <c:v>90.71</c:v>
                </c:pt>
                <c:pt idx="43">
                  <c:v>90.76</c:v>
                </c:pt>
                <c:pt idx="44">
                  <c:v>91.86</c:v>
                </c:pt>
                <c:pt idx="45">
                  <c:v>86.27</c:v>
                </c:pt>
                <c:pt idx="46">
                  <c:v>84.13</c:v>
                </c:pt>
                <c:pt idx="47">
                  <c:v>94.22</c:v>
                </c:pt>
                <c:pt idx="48">
                  <c:v>54</c:v>
                </c:pt>
                <c:pt idx="49">
                  <c:v>63</c:v>
                </c:pt>
                <c:pt idx="50">
                  <c:v>72</c:v>
                </c:pt>
                <c:pt idx="51">
                  <c:v>94</c:v>
                </c:pt>
                <c:pt idx="52">
                  <c:v>87</c:v>
                </c:pt>
                <c:pt idx="53">
                  <c:v>78</c:v>
                </c:pt>
                <c:pt idx="54">
                  <c:v>105.4</c:v>
                </c:pt>
                <c:pt idx="55">
                  <c:v>107.6</c:v>
                </c:pt>
                <c:pt idx="56">
                  <c:v>92</c:v>
                </c:pt>
                <c:pt idx="57">
                  <c:v>102</c:v>
                </c:pt>
                <c:pt idx="58">
                  <c:v>89</c:v>
                </c:pt>
                <c:pt idx="59">
                  <c:v>100</c:v>
                </c:pt>
                <c:pt idx="60">
                  <c:v>93.66</c:v>
                </c:pt>
                <c:pt idx="61">
                  <c:v>88.13</c:v>
                </c:pt>
                <c:pt idx="62">
                  <c:v>93.09</c:v>
                </c:pt>
                <c:pt idx="63">
                  <c:v>87.28</c:v>
                </c:pt>
                <c:pt idx="64">
                  <c:v>94.22</c:v>
                </c:pt>
                <c:pt idx="65">
                  <c:v>103.12</c:v>
                </c:pt>
                <c:pt idx="66">
                  <c:v>126.6</c:v>
                </c:pt>
                <c:pt idx="67">
                  <c:v>123.25</c:v>
                </c:pt>
                <c:pt idx="68">
                  <c:v>106.17</c:v>
                </c:pt>
                <c:pt idx="69">
                  <c:v>119.72</c:v>
                </c:pt>
                <c:pt idx="70">
                  <c:v>136.1</c:v>
                </c:pt>
                <c:pt idx="71">
                  <c:v>135.04</c:v>
                </c:pt>
                <c:pt idx="72">
                  <c:v>111.88</c:v>
                </c:pt>
                <c:pt idx="73">
                  <c:v>111.55</c:v>
                </c:pt>
                <c:pt idx="74">
                  <c:v>121.53</c:v>
                </c:pt>
                <c:pt idx="75">
                  <c:v>128.58000000000001</c:v>
                </c:pt>
                <c:pt idx="76">
                  <c:v>124.39</c:v>
                </c:pt>
                <c:pt idx="77">
                  <c:v>113.42</c:v>
                </c:pt>
                <c:pt idx="78">
                  <c:v>130.30000000000001</c:v>
                </c:pt>
                <c:pt idx="79">
                  <c:v>143</c:v>
                </c:pt>
                <c:pt idx="80">
                  <c:v>144.19999999999999</c:v>
                </c:pt>
                <c:pt idx="81">
                  <c:v>131.61000000000001</c:v>
                </c:pt>
                <c:pt idx="82">
                  <c:v>153.29</c:v>
                </c:pt>
                <c:pt idx="83">
                  <c:v>165.18</c:v>
                </c:pt>
                <c:pt idx="84">
                  <c:v>152.88999999999999</c:v>
                </c:pt>
                <c:pt idx="85">
                  <c:v>143.28</c:v>
                </c:pt>
                <c:pt idx="86">
                  <c:v>154.71</c:v>
                </c:pt>
                <c:pt idx="87">
                  <c:v>177.52</c:v>
                </c:pt>
                <c:pt idx="88">
                  <c:v>178.48</c:v>
                </c:pt>
                <c:pt idx="89">
                  <c:v>170.09</c:v>
                </c:pt>
                <c:pt idx="90">
                  <c:v>192.9</c:v>
                </c:pt>
                <c:pt idx="91">
                  <c:v>202.34</c:v>
                </c:pt>
                <c:pt idx="92">
                  <c:v>168.79</c:v>
                </c:pt>
                <c:pt idx="93">
                  <c:v>177.77</c:v>
                </c:pt>
                <c:pt idx="94">
                  <c:v>185.38</c:v>
                </c:pt>
                <c:pt idx="95">
                  <c:v>180.82</c:v>
                </c:pt>
                <c:pt idx="96">
                  <c:v>144.58000000000001</c:v>
                </c:pt>
                <c:pt idx="97">
                  <c:v>136.61000000000001</c:v>
                </c:pt>
                <c:pt idx="98">
                  <c:v>140.68</c:v>
                </c:pt>
                <c:pt idx="99">
                  <c:v>154.05000000000001</c:v>
                </c:pt>
                <c:pt idx="100">
                  <c:v>144.38999999999999</c:v>
                </c:pt>
                <c:pt idx="101">
                  <c:v>154.85</c:v>
                </c:pt>
                <c:pt idx="102">
                  <c:v>154.28</c:v>
                </c:pt>
                <c:pt idx="103">
                  <c:v>162.37</c:v>
                </c:pt>
                <c:pt idx="104">
                  <c:v>133.77000000000001</c:v>
                </c:pt>
                <c:pt idx="105">
                  <c:v>131.25</c:v>
                </c:pt>
                <c:pt idx="106">
                  <c:v>141.57</c:v>
                </c:pt>
                <c:pt idx="107">
                  <c:v>161.32</c:v>
                </c:pt>
                <c:pt idx="108">
                  <c:v>177</c:v>
                </c:pt>
                <c:pt idx="109">
                  <c:v>133.87</c:v>
                </c:pt>
                <c:pt idx="110">
                  <c:v>144.85</c:v>
                </c:pt>
                <c:pt idx="111">
                  <c:v>83.67</c:v>
                </c:pt>
                <c:pt idx="112">
                  <c:v>84.36</c:v>
                </c:pt>
                <c:pt idx="113">
                  <c:v>94.13</c:v>
                </c:pt>
                <c:pt idx="114">
                  <c:v>133.43</c:v>
                </c:pt>
                <c:pt idx="115">
                  <c:v>148.41999999999999</c:v>
                </c:pt>
                <c:pt idx="116">
                  <c:v>135.94999999999999</c:v>
                </c:pt>
                <c:pt idx="117">
                  <c:v>101</c:v>
                </c:pt>
                <c:pt idx="118">
                  <c:v>133</c:v>
                </c:pt>
                <c:pt idx="119">
                  <c:v>147</c:v>
                </c:pt>
                <c:pt idx="120">
                  <c:v>112.66256969861432</c:v>
                </c:pt>
                <c:pt idx="121">
                  <c:v>79.493695352216392</c:v>
                </c:pt>
                <c:pt idx="122">
                  <c:v>95.26608662118052</c:v>
                </c:pt>
                <c:pt idx="123">
                  <c:v>109.8520735023011</c:v>
                </c:pt>
                <c:pt idx="124">
                  <c:v>156.3439605572656</c:v>
                </c:pt>
                <c:pt idx="125">
                  <c:v>140.08574075212724</c:v>
                </c:pt>
                <c:pt idx="126">
                  <c:v>135.56058547432329</c:v>
                </c:pt>
                <c:pt idx="127">
                  <c:v>72.740445753841811</c:v>
                </c:pt>
                <c:pt idx="128">
                  <c:v>66.280529424396377</c:v>
                </c:pt>
                <c:pt idx="129">
                  <c:v>116.78623301776037</c:v>
                </c:pt>
                <c:pt idx="130">
                  <c:v>143.27134692397613</c:v>
                </c:pt>
                <c:pt idx="131">
                  <c:v>150.29797397803216</c:v>
                </c:pt>
                <c:pt idx="132">
                  <c:v>153.07208812566179</c:v>
                </c:pt>
                <c:pt idx="133">
                  <c:v>134.68609331312609</c:v>
                </c:pt>
                <c:pt idx="134">
                  <c:v>164.3963753382962</c:v>
                </c:pt>
                <c:pt idx="135">
                  <c:v>157.76216516262048</c:v>
                </c:pt>
                <c:pt idx="136">
                  <c:v>148.10802853691865</c:v>
                </c:pt>
                <c:pt idx="137">
                  <c:v>174.29355895617817</c:v>
                </c:pt>
                <c:pt idx="138">
                  <c:v>154.27151619947387</c:v>
                </c:pt>
                <c:pt idx="139">
                  <c:v>166.45136479140911</c:v>
                </c:pt>
                <c:pt idx="140">
                  <c:v>133.406418281404</c:v>
                </c:pt>
                <c:pt idx="141">
                  <c:v>106.99013809186347</c:v>
                </c:pt>
                <c:pt idx="142">
                  <c:v>102.55446605916929</c:v>
                </c:pt>
                <c:pt idx="143">
                  <c:v>110.42206778143442</c:v>
                </c:pt>
                <c:pt idx="144">
                  <c:v>111.878</c:v>
                </c:pt>
                <c:pt idx="145">
                  <c:v>95.100999999999999</c:v>
                </c:pt>
                <c:pt idx="146">
                  <c:v>87.424999999999997</c:v>
                </c:pt>
                <c:pt idx="147">
                  <c:v>83.272999999999996</c:v>
                </c:pt>
                <c:pt idx="148">
                  <c:v>96.176000000000002</c:v>
                </c:pt>
                <c:pt idx="149">
                  <c:v>97.825000000000003</c:v>
                </c:pt>
                <c:pt idx="150">
                  <c:v>89.481999999999999</c:v>
                </c:pt>
                <c:pt idx="151">
                  <c:v>87.953000000000003</c:v>
                </c:pt>
                <c:pt idx="152">
                  <c:v>73.75</c:v>
                </c:pt>
                <c:pt idx="153">
                  <c:v>76.281999999999996</c:v>
                </c:pt>
                <c:pt idx="154">
                  <c:v>85</c:v>
                </c:pt>
                <c:pt idx="155">
                  <c:v>63.088000000000001</c:v>
                </c:pt>
                <c:pt idx="156">
                  <c:v>71.075999999999993</c:v>
                </c:pt>
                <c:pt idx="157">
                  <c:v>73.781000000000006</c:v>
                </c:pt>
                <c:pt idx="158">
                  <c:v>83.418310000000005</c:v>
                </c:pt>
                <c:pt idx="159">
                  <c:v>96.388298992940378</c:v>
                </c:pt>
                <c:pt idx="160">
                  <c:v>81.438000000000002</c:v>
                </c:pt>
                <c:pt idx="161">
                  <c:v>79.507999999999996</c:v>
                </c:pt>
                <c:pt idx="162">
                  <c:v>84.588999999999999</c:v>
                </c:pt>
                <c:pt idx="163">
                  <c:v>90.349000000000004</c:v>
                </c:pt>
                <c:pt idx="164">
                  <c:v>69.864999999999995</c:v>
                </c:pt>
                <c:pt idx="165">
                  <c:v>65.177999999999997</c:v>
                </c:pt>
                <c:pt idx="166">
                  <c:v>62.813000000000002</c:v>
                </c:pt>
                <c:pt idx="167">
                  <c:v>66.537000000000006</c:v>
                </c:pt>
                <c:pt idx="168">
                  <c:v>58.406999999999996</c:v>
                </c:pt>
                <c:pt idx="169">
                  <c:v>58.213158564022265</c:v>
                </c:pt>
                <c:pt idx="170">
                  <c:v>69.99980952137814</c:v>
                </c:pt>
                <c:pt idx="171">
                  <c:v>93.531399069412231</c:v>
                </c:pt>
                <c:pt idx="172">
                  <c:v>97.072703853490125</c:v>
                </c:pt>
                <c:pt idx="173">
                  <c:v>102.9082594462066</c:v>
                </c:pt>
                <c:pt idx="174">
                  <c:v>97.497107016940404</c:v>
                </c:pt>
                <c:pt idx="175">
                  <c:v>97.020601038494149</c:v>
                </c:pt>
                <c:pt idx="176">
                  <c:v>81.300004787190488</c:v>
                </c:pt>
                <c:pt idx="177">
                  <c:v>61.289471702144539</c:v>
                </c:pt>
                <c:pt idx="178">
                  <c:v>72.908507830113379</c:v>
                </c:pt>
                <c:pt idx="179">
                  <c:v>137.33212525216979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A-45E0-B5BB-882BEC9AE46B}"/>
            </c:ext>
          </c:extLst>
        </c:ser>
        <c:ser>
          <c:idx val="3"/>
          <c:order val="3"/>
          <c:tx>
            <c:strRef>
              <c:f>'Feedstock Use - chart data'!$E$1</c:f>
              <c:strCache>
                <c:ptCount val="1"/>
                <c:pt idx="0">
                  <c:v>Inedible Tallow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data'!$E$2:$E$181</c:f>
              <c:numCache>
                <c:formatCode>#,##0_);[Red]\(#,##0\)</c:formatCode>
                <c:ptCount val="180"/>
                <c:pt idx="0">
                  <c:v>11</c:v>
                </c:pt>
                <c:pt idx="1">
                  <c:v>11</c:v>
                </c:pt>
                <c:pt idx="2">
                  <c:v>27</c:v>
                </c:pt>
                <c:pt idx="3">
                  <c:v>47</c:v>
                </c:pt>
                <c:pt idx="4">
                  <c:v>36</c:v>
                </c:pt>
                <c:pt idx="5">
                  <c:v>49</c:v>
                </c:pt>
                <c:pt idx="6">
                  <c:v>64</c:v>
                </c:pt>
                <c:pt idx="7">
                  <c:v>38</c:v>
                </c:pt>
                <c:pt idx="8">
                  <c:v>49</c:v>
                </c:pt>
                <c:pt idx="9">
                  <c:v>39</c:v>
                </c:pt>
                <c:pt idx="10">
                  <c:v>31</c:v>
                </c:pt>
                <c:pt idx="11">
                  <c:v>27</c:v>
                </c:pt>
                <c:pt idx="12">
                  <c:v>26</c:v>
                </c:pt>
                <c:pt idx="13">
                  <c:v>20</c:v>
                </c:pt>
                <c:pt idx="14">
                  <c:v>24</c:v>
                </c:pt>
                <c:pt idx="15">
                  <c:v>45</c:v>
                </c:pt>
                <c:pt idx="16">
                  <c:v>50</c:v>
                </c:pt>
                <c:pt idx="17">
                  <c:v>28</c:v>
                </c:pt>
                <c:pt idx="18">
                  <c:v>30</c:v>
                </c:pt>
                <c:pt idx="19">
                  <c:v>44</c:v>
                </c:pt>
                <c:pt idx="20">
                  <c:v>49</c:v>
                </c:pt>
                <c:pt idx="21">
                  <c:v>44</c:v>
                </c:pt>
                <c:pt idx="22">
                  <c:v>22</c:v>
                </c:pt>
                <c:pt idx="23">
                  <c:v>3</c:v>
                </c:pt>
                <c:pt idx="24">
                  <c:v>15</c:v>
                </c:pt>
                <c:pt idx="25">
                  <c:v>28</c:v>
                </c:pt>
                <c:pt idx="26">
                  <c:v>53</c:v>
                </c:pt>
                <c:pt idx="27">
                  <c:v>56</c:v>
                </c:pt>
                <c:pt idx="28">
                  <c:v>61</c:v>
                </c:pt>
                <c:pt idx="29">
                  <c:v>58</c:v>
                </c:pt>
                <c:pt idx="30">
                  <c:v>50</c:v>
                </c:pt>
                <c:pt idx="31">
                  <c:v>51</c:v>
                </c:pt>
                <c:pt idx="32">
                  <c:v>50</c:v>
                </c:pt>
                <c:pt idx="33">
                  <c:v>23</c:v>
                </c:pt>
                <c:pt idx="34">
                  <c:v>12</c:v>
                </c:pt>
                <c:pt idx="35">
                  <c:v>8</c:v>
                </c:pt>
                <c:pt idx="36">
                  <c:v>5</c:v>
                </c:pt>
                <c:pt idx="37">
                  <c:v>21</c:v>
                </c:pt>
                <c:pt idx="38">
                  <c:v>43</c:v>
                </c:pt>
                <c:pt idx="39">
                  <c:v>33</c:v>
                </c:pt>
                <c:pt idx="40">
                  <c:v>48</c:v>
                </c:pt>
                <c:pt idx="41">
                  <c:v>20.81</c:v>
                </c:pt>
                <c:pt idx="42">
                  <c:v>41.78</c:v>
                </c:pt>
                <c:pt idx="43">
                  <c:v>35.36</c:v>
                </c:pt>
                <c:pt idx="44">
                  <c:v>45.95</c:v>
                </c:pt>
                <c:pt idx="45">
                  <c:v>28.74</c:v>
                </c:pt>
                <c:pt idx="46">
                  <c:v>12.3</c:v>
                </c:pt>
                <c:pt idx="47">
                  <c:v>21</c:v>
                </c:pt>
                <c:pt idx="48">
                  <c:v>19</c:v>
                </c:pt>
                <c:pt idx="49">
                  <c:v>9</c:v>
                </c:pt>
                <c:pt idx="50">
                  <c:v>34</c:v>
                </c:pt>
                <c:pt idx="51">
                  <c:v>31</c:v>
                </c:pt>
                <c:pt idx="52">
                  <c:v>49</c:v>
                </c:pt>
                <c:pt idx="53">
                  <c:v>57</c:v>
                </c:pt>
                <c:pt idx="54">
                  <c:v>47</c:v>
                </c:pt>
                <c:pt idx="55">
                  <c:v>44</c:v>
                </c:pt>
                <c:pt idx="56">
                  <c:v>40</c:v>
                </c:pt>
                <c:pt idx="57">
                  <c:v>42</c:v>
                </c:pt>
                <c:pt idx="58">
                  <c:v>24</c:v>
                </c:pt>
                <c:pt idx="59">
                  <c:v>33</c:v>
                </c:pt>
                <c:pt idx="60">
                  <c:v>22.98</c:v>
                </c:pt>
                <c:pt idx="61">
                  <c:v>19.100000000000001</c:v>
                </c:pt>
                <c:pt idx="62">
                  <c:v>15.14</c:v>
                </c:pt>
                <c:pt idx="63">
                  <c:v>38.04</c:v>
                </c:pt>
                <c:pt idx="64">
                  <c:v>24</c:v>
                </c:pt>
                <c:pt idx="65">
                  <c:v>35.75</c:v>
                </c:pt>
                <c:pt idx="66">
                  <c:v>36.44</c:v>
                </c:pt>
                <c:pt idx="67">
                  <c:v>31.66</c:v>
                </c:pt>
                <c:pt idx="68">
                  <c:v>29.07</c:v>
                </c:pt>
                <c:pt idx="69">
                  <c:v>31.44</c:v>
                </c:pt>
                <c:pt idx="70">
                  <c:v>24.93</c:v>
                </c:pt>
                <c:pt idx="71">
                  <c:v>23.31</c:v>
                </c:pt>
                <c:pt idx="72">
                  <c:v>27</c:v>
                </c:pt>
                <c:pt idx="73">
                  <c:v>15.13</c:v>
                </c:pt>
                <c:pt idx="74">
                  <c:v>20</c:v>
                </c:pt>
                <c:pt idx="75">
                  <c:v>44.6</c:v>
                </c:pt>
                <c:pt idx="76">
                  <c:v>40.86</c:v>
                </c:pt>
                <c:pt idx="77">
                  <c:v>34.43</c:v>
                </c:pt>
                <c:pt idx="78">
                  <c:v>36.090000000000003</c:v>
                </c:pt>
                <c:pt idx="79">
                  <c:v>38.590000000000003</c:v>
                </c:pt>
                <c:pt idx="80">
                  <c:v>32.880000000000003</c:v>
                </c:pt>
                <c:pt idx="81">
                  <c:v>37.6</c:v>
                </c:pt>
                <c:pt idx="82">
                  <c:v>33.51</c:v>
                </c:pt>
                <c:pt idx="83">
                  <c:v>30.27</c:v>
                </c:pt>
                <c:pt idx="84">
                  <c:v>21.0693969726562</c:v>
                </c:pt>
                <c:pt idx="85">
                  <c:v>11.0693969726562</c:v>
                </c:pt>
                <c:pt idx="86">
                  <c:v>22.92</c:v>
                </c:pt>
                <c:pt idx="87">
                  <c:v>42.93</c:v>
                </c:pt>
                <c:pt idx="88">
                  <c:v>49.05</c:v>
                </c:pt>
                <c:pt idx="89">
                  <c:v>51.06</c:v>
                </c:pt>
                <c:pt idx="90">
                  <c:v>56.37</c:v>
                </c:pt>
                <c:pt idx="91">
                  <c:v>54.14</c:v>
                </c:pt>
                <c:pt idx="92">
                  <c:v>49.28</c:v>
                </c:pt>
                <c:pt idx="93">
                  <c:v>59.32</c:v>
                </c:pt>
                <c:pt idx="94">
                  <c:v>30.37</c:v>
                </c:pt>
                <c:pt idx="95">
                  <c:v>21.36</c:v>
                </c:pt>
                <c:pt idx="96">
                  <c:v>24.38</c:v>
                </c:pt>
                <c:pt idx="97">
                  <c:v>20.38</c:v>
                </c:pt>
                <c:pt idx="98">
                  <c:v>23.94</c:v>
                </c:pt>
                <c:pt idx="99">
                  <c:v>25.88</c:v>
                </c:pt>
                <c:pt idx="100">
                  <c:v>29.35</c:v>
                </c:pt>
                <c:pt idx="101">
                  <c:v>22.5</c:v>
                </c:pt>
                <c:pt idx="102">
                  <c:v>21.6</c:v>
                </c:pt>
                <c:pt idx="103">
                  <c:v>23.94</c:v>
                </c:pt>
                <c:pt idx="104">
                  <c:v>24.25</c:v>
                </c:pt>
                <c:pt idx="105">
                  <c:v>28.55</c:v>
                </c:pt>
                <c:pt idx="106">
                  <c:v>26.33</c:v>
                </c:pt>
                <c:pt idx="107">
                  <c:v>21.31</c:v>
                </c:pt>
                <c:pt idx="108">
                  <c:v>20.756643763975227</c:v>
                </c:pt>
                <c:pt idx="109">
                  <c:v>20.78</c:v>
                </c:pt>
                <c:pt idx="110">
                  <c:v>19.946638707440083</c:v>
                </c:pt>
                <c:pt idx="111">
                  <c:v>24.05</c:v>
                </c:pt>
                <c:pt idx="112">
                  <c:v>11.74</c:v>
                </c:pt>
                <c:pt idx="113">
                  <c:v>21.4</c:v>
                </c:pt>
                <c:pt idx="114">
                  <c:v>54.3</c:v>
                </c:pt>
                <c:pt idx="115">
                  <c:v>44.12</c:v>
                </c:pt>
                <c:pt idx="116">
                  <c:v>27.41</c:v>
                </c:pt>
                <c:pt idx="117">
                  <c:v>52</c:v>
                </c:pt>
                <c:pt idx="118">
                  <c:v>33</c:v>
                </c:pt>
                <c:pt idx="119">
                  <c:v>38</c:v>
                </c:pt>
                <c:pt idx="120">
                  <c:v>34.87645999055772</c:v>
                </c:pt>
                <c:pt idx="121">
                  <c:v>17.651621377404553</c:v>
                </c:pt>
                <c:pt idx="122">
                  <c:v>26.547811991464474</c:v>
                </c:pt>
                <c:pt idx="123">
                  <c:v>21.363774467652096</c:v>
                </c:pt>
                <c:pt idx="124">
                  <c:v>25.392375458331561</c:v>
                </c:pt>
                <c:pt idx="125">
                  <c:v>32.680021748384746</c:v>
                </c:pt>
                <c:pt idx="126">
                  <c:v>27.395879169331749</c:v>
                </c:pt>
                <c:pt idx="127">
                  <c:v>24.758974566951753</c:v>
                </c:pt>
                <c:pt idx="128">
                  <c:v>25.388351974495912</c:v>
                </c:pt>
                <c:pt idx="129">
                  <c:v>36.393954469162871</c:v>
                </c:pt>
                <c:pt idx="130">
                  <c:v>32.371481818907306</c:v>
                </c:pt>
                <c:pt idx="131">
                  <c:v>46.93825971606968</c:v>
                </c:pt>
                <c:pt idx="132">
                  <c:v>52.167653173468828</c:v>
                </c:pt>
                <c:pt idx="133">
                  <c:v>35.037082005240109</c:v>
                </c:pt>
                <c:pt idx="134">
                  <c:v>33.436403587412826</c:v>
                </c:pt>
                <c:pt idx="135">
                  <c:v>34.742019646143326</c:v>
                </c:pt>
                <c:pt idx="136">
                  <c:v>26.180596370130456</c:v>
                </c:pt>
                <c:pt idx="137">
                  <c:v>44.125254716974446</c:v>
                </c:pt>
                <c:pt idx="138">
                  <c:v>53.705097905498256</c:v>
                </c:pt>
                <c:pt idx="139">
                  <c:v>41.34410230160276</c:v>
                </c:pt>
                <c:pt idx="140">
                  <c:v>51.602875113423359</c:v>
                </c:pt>
                <c:pt idx="141">
                  <c:v>54.835067504636712</c:v>
                </c:pt>
                <c:pt idx="142">
                  <c:v>59.214329663939431</c:v>
                </c:pt>
                <c:pt idx="143">
                  <c:v>76.13872767261681</c:v>
                </c:pt>
                <c:pt idx="144">
                  <c:v>66.012282677561259</c:v>
                </c:pt>
                <c:pt idx="145">
                  <c:v>59.944033865187315</c:v>
                </c:pt>
                <c:pt idx="146">
                  <c:v>91.523085954609073</c:v>
                </c:pt>
                <c:pt idx="147">
                  <c:v>72.594399409519482</c:v>
                </c:pt>
                <c:pt idx="148">
                  <c:v>87.359508103225821</c:v>
                </c:pt>
                <c:pt idx="149">
                  <c:v>82.546761291824581</c:v>
                </c:pt>
                <c:pt idx="150">
                  <c:v>91.02308875409372</c:v>
                </c:pt>
                <c:pt idx="151">
                  <c:v>103.63008670702204</c:v>
                </c:pt>
                <c:pt idx="152">
                  <c:v>114.22391630840667</c:v>
                </c:pt>
                <c:pt idx="153">
                  <c:v>54.998405648361405</c:v>
                </c:pt>
                <c:pt idx="154">
                  <c:v>57.781512307298065</c:v>
                </c:pt>
                <c:pt idx="155">
                  <c:v>55.560636930267734</c:v>
                </c:pt>
                <c:pt idx="156">
                  <c:v>72.590086245091967</c:v>
                </c:pt>
                <c:pt idx="157">
                  <c:v>77.980262967164947</c:v>
                </c:pt>
                <c:pt idx="158">
                  <c:v>82.974981291108975</c:v>
                </c:pt>
                <c:pt idx="159">
                  <c:v>66.115810659397127</c:v>
                </c:pt>
                <c:pt idx="160">
                  <c:v>67.180565093294831</c:v>
                </c:pt>
                <c:pt idx="161">
                  <c:v>68.630729380506381</c:v>
                </c:pt>
                <c:pt idx="162">
                  <c:v>60.615335366791165</c:v>
                </c:pt>
                <c:pt idx="163">
                  <c:v>67.478324706507806</c:v>
                </c:pt>
                <c:pt idx="164">
                  <c:v>49.541812152161917</c:v>
                </c:pt>
                <c:pt idx="165">
                  <c:v>68.829830185646358</c:v>
                </c:pt>
                <c:pt idx="166">
                  <c:v>77.655615187255918</c:v>
                </c:pt>
                <c:pt idx="167">
                  <c:v>87.464534815173636</c:v>
                </c:pt>
                <c:pt idx="168">
                  <c:v>52.538280832739439</c:v>
                </c:pt>
                <c:pt idx="169">
                  <c:v>31.220722896054166</c:v>
                </c:pt>
                <c:pt idx="170">
                  <c:v>40.077029250027053</c:v>
                </c:pt>
                <c:pt idx="171">
                  <c:v>48.122420616202291</c:v>
                </c:pt>
                <c:pt idx="172">
                  <c:v>45.822234927004025</c:v>
                </c:pt>
                <c:pt idx="173">
                  <c:v>53.135320392222347</c:v>
                </c:pt>
                <c:pt idx="174">
                  <c:v>57.015160242127585</c:v>
                </c:pt>
                <c:pt idx="175">
                  <c:v>58.927436691474448</c:v>
                </c:pt>
                <c:pt idx="176">
                  <c:v>55.442528504594407</c:v>
                </c:pt>
                <c:pt idx="177">
                  <c:v>47.183938321712631</c:v>
                </c:pt>
                <c:pt idx="178">
                  <c:v>48.202406335448018</c:v>
                </c:pt>
                <c:pt idx="179">
                  <c:v>107.04224059602016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A-45E0-B5BB-882BEC9AE46B}"/>
            </c:ext>
          </c:extLst>
        </c:ser>
        <c:ser>
          <c:idx val="4"/>
          <c:order val="4"/>
          <c:tx>
            <c:strRef>
              <c:f>'Feedstock Use - chart data'!$F$1</c:f>
              <c:strCache>
                <c:ptCount val="1"/>
                <c:pt idx="0">
                  <c:v>Yellow Grease/Used Cooking Oil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data'!$F$2:$F$181</c:f>
              <c:numCache>
                <c:formatCode>#,##0_);[Red]\(#,##0\)</c:formatCode>
                <c:ptCount val="180"/>
                <c:pt idx="0">
                  <c:v>27</c:v>
                </c:pt>
                <c:pt idx="1">
                  <c:v>28.5</c:v>
                </c:pt>
                <c:pt idx="2">
                  <c:v>49.5</c:v>
                </c:pt>
                <c:pt idx="3">
                  <c:v>78</c:v>
                </c:pt>
                <c:pt idx="4">
                  <c:v>61.5</c:v>
                </c:pt>
                <c:pt idx="5">
                  <c:v>75</c:v>
                </c:pt>
                <c:pt idx="6">
                  <c:v>67.5</c:v>
                </c:pt>
                <c:pt idx="7">
                  <c:v>70.5</c:v>
                </c:pt>
                <c:pt idx="8">
                  <c:v>75</c:v>
                </c:pt>
                <c:pt idx="9">
                  <c:v>88.301100571359115</c:v>
                </c:pt>
                <c:pt idx="10">
                  <c:v>74.731359083185168</c:v>
                </c:pt>
                <c:pt idx="11">
                  <c:v>76.786872832693035</c:v>
                </c:pt>
                <c:pt idx="12">
                  <c:v>71.749922246681862</c:v>
                </c:pt>
                <c:pt idx="13">
                  <c:v>67.933079223477421</c:v>
                </c:pt>
                <c:pt idx="14">
                  <c:v>112.13597405656884</c:v>
                </c:pt>
                <c:pt idx="15">
                  <c:v>114.45766544235175</c:v>
                </c:pt>
                <c:pt idx="16">
                  <c:v>106.22835254688174</c:v>
                </c:pt>
                <c:pt idx="17">
                  <c:v>109.51967654786384</c:v>
                </c:pt>
                <c:pt idx="18">
                  <c:v>122.60877093292811</c:v>
                </c:pt>
                <c:pt idx="19">
                  <c:v>123.6313848771066</c:v>
                </c:pt>
                <c:pt idx="20">
                  <c:v>109.33792938081203</c:v>
                </c:pt>
                <c:pt idx="21">
                  <c:v>101.99418103725806</c:v>
                </c:pt>
                <c:pt idx="22">
                  <c:v>70.122541748585405</c:v>
                </c:pt>
                <c:pt idx="23">
                  <c:v>74.593220759376976</c:v>
                </c:pt>
                <c:pt idx="24">
                  <c:v>84.837973530370633</c:v>
                </c:pt>
                <c:pt idx="25">
                  <c:v>91.612444216057696</c:v>
                </c:pt>
                <c:pt idx="26">
                  <c:v>120.67604776264768</c:v>
                </c:pt>
                <c:pt idx="27">
                  <c:v>130.4908950834924</c:v>
                </c:pt>
                <c:pt idx="28">
                  <c:v>142.24048537704158</c:v>
                </c:pt>
                <c:pt idx="29">
                  <c:v>148.01671350566491</c:v>
                </c:pt>
                <c:pt idx="30">
                  <c:v>201.30648973579014</c:v>
                </c:pt>
                <c:pt idx="31">
                  <c:v>184.49413127436313</c:v>
                </c:pt>
                <c:pt idx="32">
                  <c:v>204.84610174582969</c:v>
                </c:pt>
                <c:pt idx="33">
                  <c:v>208.9829475830652</c:v>
                </c:pt>
                <c:pt idx="34">
                  <c:v>185.88381369663469</c:v>
                </c:pt>
                <c:pt idx="35">
                  <c:v>184.4639026570886</c:v>
                </c:pt>
                <c:pt idx="36">
                  <c:v>134.27819366392629</c:v>
                </c:pt>
                <c:pt idx="37">
                  <c:v>165.62733342402439</c:v>
                </c:pt>
                <c:pt idx="38">
                  <c:v>201.85156949541152</c:v>
                </c:pt>
                <c:pt idx="39">
                  <c:v>184.95888883899568</c:v>
                </c:pt>
                <c:pt idx="40">
                  <c:v>225.30109494107646</c:v>
                </c:pt>
                <c:pt idx="41">
                  <c:v>194.61952490600132</c:v>
                </c:pt>
                <c:pt idx="42">
                  <c:v>202.88168854871856</c:v>
                </c:pt>
                <c:pt idx="43">
                  <c:v>162.95368595858972</c:v>
                </c:pt>
                <c:pt idx="44">
                  <c:v>180.55054721682976</c:v>
                </c:pt>
                <c:pt idx="45">
                  <c:v>204.89480276308342</c:v>
                </c:pt>
                <c:pt idx="46">
                  <c:v>169.65083737578541</c:v>
                </c:pt>
                <c:pt idx="47">
                  <c:v>209.18800872780702</c:v>
                </c:pt>
                <c:pt idx="48">
                  <c:v>124.36921027734351</c:v>
                </c:pt>
                <c:pt idx="49">
                  <c:v>149.00799987922707</c:v>
                </c:pt>
                <c:pt idx="50">
                  <c:v>179.20735817944154</c:v>
                </c:pt>
                <c:pt idx="51">
                  <c:v>196.58184048849608</c:v>
                </c:pt>
                <c:pt idx="52">
                  <c:v>206.18492590202177</c:v>
                </c:pt>
                <c:pt idx="53">
                  <c:v>232.10882758832668</c:v>
                </c:pt>
                <c:pt idx="54">
                  <c:v>232.2354693303445</c:v>
                </c:pt>
                <c:pt idx="55">
                  <c:v>213.19329642272709</c:v>
                </c:pt>
                <c:pt idx="56">
                  <c:v>198.03901013472833</c:v>
                </c:pt>
                <c:pt idx="57">
                  <c:v>240.06644760886127</c:v>
                </c:pt>
                <c:pt idx="58">
                  <c:v>146.31259959507287</c:v>
                </c:pt>
                <c:pt idx="59">
                  <c:v>151.42428412700627</c:v>
                </c:pt>
                <c:pt idx="60">
                  <c:v>131.40176807535505</c:v>
                </c:pt>
                <c:pt idx="61">
                  <c:v>137.30987828967372</c:v>
                </c:pt>
                <c:pt idx="62">
                  <c:v>159.07068567428144</c:v>
                </c:pt>
                <c:pt idx="63">
                  <c:v>172.43241837495799</c:v>
                </c:pt>
                <c:pt idx="64">
                  <c:v>158.2094231611006</c:v>
                </c:pt>
                <c:pt idx="65">
                  <c:v>162.23872782574767</c:v>
                </c:pt>
                <c:pt idx="66">
                  <c:v>175.58845195538908</c:v>
                </c:pt>
                <c:pt idx="67">
                  <c:v>181.97129746803938</c:v>
                </c:pt>
                <c:pt idx="68">
                  <c:v>161.76642963373914</c:v>
                </c:pt>
                <c:pt idx="69">
                  <c:v>261.61264027413915</c:v>
                </c:pt>
                <c:pt idx="70">
                  <c:v>240.7471589512752</c:v>
                </c:pt>
                <c:pt idx="71">
                  <c:v>232.18543753160367</c:v>
                </c:pt>
                <c:pt idx="72">
                  <c:v>170.71750139328145</c:v>
                </c:pt>
                <c:pt idx="73">
                  <c:v>171.27973649869654</c:v>
                </c:pt>
                <c:pt idx="74">
                  <c:v>217.72202971002039</c:v>
                </c:pt>
                <c:pt idx="75">
                  <c:v>253.64053077959215</c:v>
                </c:pt>
                <c:pt idx="76">
                  <c:v>258.45521445841928</c:v>
                </c:pt>
                <c:pt idx="77">
                  <c:v>264.85662292057708</c:v>
                </c:pt>
                <c:pt idx="78">
                  <c:v>256.00164319331299</c:v>
                </c:pt>
                <c:pt idx="79">
                  <c:v>265.10085482986011</c:v>
                </c:pt>
                <c:pt idx="80">
                  <c:v>247.48441374395836</c:v>
                </c:pt>
                <c:pt idx="81">
                  <c:v>258.417950156475</c:v>
                </c:pt>
                <c:pt idx="82">
                  <c:v>255.93041619616557</c:v>
                </c:pt>
                <c:pt idx="83">
                  <c:v>248.62508396103962</c:v>
                </c:pt>
                <c:pt idx="84">
                  <c:v>185.54228205123096</c:v>
                </c:pt>
                <c:pt idx="85">
                  <c:v>227.49672195993929</c:v>
                </c:pt>
                <c:pt idx="86">
                  <c:v>254.67116942806319</c:v>
                </c:pt>
                <c:pt idx="87">
                  <c:v>259.77114488736976</c:v>
                </c:pt>
                <c:pt idx="88">
                  <c:v>278.92567333458635</c:v>
                </c:pt>
                <c:pt idx="89">
                  <c:v>261.07252302418414</c:v>
                </c:pt>
                <c:pt idx="90">
                  <c:v>252.06781234089323</c:v>
                </c:pt>
                <c:pt idx="91">
                  <c:v>258.8296869413922</c:v>
                </c:pt>
                <c:pt idx="92">
                  <c:v>262.23313369773268</c:v>
                </c:pt>
                <c:pt idx="93">
                  <c:v>293.97247375753579</c:v>
                </c:pt>
                <c:pt idx="94">
                  <c:v>286.74863423772422</c:v>
                </c:pt>
                <c:pt idx="95">
                  <c:v>304.62925596657408</c:v>
                </c:pt>
                <c:pt idx="96">
                  <c:v>236.12311132810498</c:v>
                </c:pt>
                <c:pt idx="97">
                  <c:v>245.40453085705451</c:v>
                </c:pt>
                <c:pt idx="98">
                  <c:v>235.61711166017574</c:v>
                </c:pt>
                <c:pt idx="99">
                  <c:v>260.07367959492717</c:v>
                </c:pt>
                <c:pt idx="100">
                  <c:v>268.82963976695663</c:v>
                </c:pt>
                <c:pt idx="101">
                  <c:v>237.57471269479015</c:v>
                </c:pt>
                <c:pt idx="102">
                  <c:v>242.04570869412447</c:v>
                </c:pt>
                <c:pt idx="103">
                  <c:v>219.62182911128599</c:v>
                </c:pt>
                <c:pt idx="104">
                  <c:v>231.23306429200417</c:v>
                </c:pt>
                <c:pt idx="105">
                  <c:v>212.98584692430256</c:v>
                </c:pt>
                <c:pt idx="106">
                  <c:v>199.20907476897884</c:v>
                </c:pt>
                <c:pt idx="107">
                  <c:v>213.1477034845885</c:v>
                </c:pt>
                <c:pt idx="108">
                  <c:v>206.20132977054516</c:v>
                </c:pt>
                <c:pt idx="109">
                  <c:v>163.87420628095725</c:v>
                </c:pt>
                <c:pt idx="110">
                  <c:v>189.01096201833761</c:v>
                </c:pt>
                <c:pt idx="111">
                  <c:v>137.01043869910427</c:v>
                </c:pt>
                <c:pt idx="112">
                  <c:v>108.62122173057573</c:v>
                </c:pt>
                <c:pt idx="113">
                  <c:v>145.56526266015331</c:v>
                </c:pt>
                <c:pt idx="114">
                  <c:v>155.84730772248238</c:v>
                </c:pt>
                <c:pt idx="115">
                  <c:v>147.67795302851059</c:v>
                </c:pt>
                <c:pt idx="116">
                  <c:v>155.77911264315759</c:v>
                </c:pt>
                <c:pt idx="117">
                  <c:v>198.37605047497402</c:v>
                </c:pt>
                <c:pt idx="118">
                  <c:v>230.838805064837</c:v>
                </c:pt>
                <c:pt idx="119">
                  <c:v>192.66859005437243</c:v>
                </c:pt>
                <c:pt idx="120">
                  <c:v>228.03635095055751</c:v>
                </c:pt>
                <c:pt idx="121">
                  <c:v>187.49914464860089</c:v>
                </c:pt>
                <c:pt idx="122">
                  <c:v>219.19457260697058</c:v>
                </c:pt>
                <c:pt idx="123">
                  <c:v>241.12883021696916</c:v>
                </c:pt>
                <c:pt idx="124">
                  <c:v>250.89675313333822</c:v>
                </c:pt>
                <c:pt idx="125">
                  <c:v>266.80766165855226</c:v>
                </c:pt>
                <c:pt idx="126">
                  <c:v>282.53128421786363</c:v>
                </c:pt>
                <c:pt idx="127">
                  <c:v>270.03679974264185</c:v>
                </c:pt>
                <c:pt idx="128">
                  <c:v>214.71321987608576</c:v>
                </c:pt>
                <c:pt idx="129">
                  <c:v>501.35217295584437</c:v>
                </c:pt>
                <c:pt idx="130">
                  <c:v>555.79120042705199</c:v>
                </c:pt>
                <c:pt idx="131">
                  <c:v>708.39189367229676</c:v>
                </c:pt>
                <c:pt idx="132">
                  <c:v>588.66354740120664</c:v>
                </c:pt>
                <c:pt idx="133">
                  <c:v>772.19566545965677</c:v>
                </c:pt>
                <c:pt idx="134">
                  <c:v>745.42103016163753</c:v>
                </c:pt>
                <c:pt idx="135">
                  <c:v>721.61793528706937</c:v>
                </c:pt>
                <c:pt idx="136">
                  <c:v>964.64577762173019</c:v>
                </c:pt>
                <c:pt idx="137">
                  <c:v>835.70210586801147</c:v>
                </c:pt>
                <c:pt idx="138">
                  <c:v>690.40517407751429</c:v>
                </c:pt>
                <c:pt idx="139">
                  <c:v>852.35160611574304</c:v>
                </c:pt>
                <c:pt idx="140">
                  <c:v>891.2715033856756</c:v>
                </c:pt>
                <c:pt idx="141">
                  <c:v>815.31321202909578</c:v>
                </c:pt>
                <c:pt idx="142">
                  <c:v>1188.94847449339</c:v>
                </c:pt>
                <c:pt idx="143">
                  <c:v>998.35235937177436</c:v>
                </c:pt>
                <c:pt idx="144">
                  <c:v>759.11132592933086</c:v>
                </c:pt>
                <c:pt idx="145">
                  <c:v>736.1244510620262</c:v>
                </c:pt>
                <c:pt idx="146">
                  <c:v>1153.6083492262737</c:v>
                </c:pt>
                <c:pt idx="147">
                  <c:v>1057.7499570489874</c:v>
                </c:pt>
                <c:pt idx="148">
                  <c:v>1318.1899525913916</c:v>
                </c:pt>
                <c:pt idx="149">
                  <c:v>1063.9093675508134</c:v>
                </c:pt>
                <c:pt idx="150">
                  <c:v>910.92278681794824</c:v>
                </c:pt>
                <c:pt idx="151">
                  <c:v>1145.854995618093</c:v>
                </c:pt>
                <c:pt idx="152">
                  <c:v>1053.3741035494511</c:v>
                </c:pt>
                <c:pt idx="153">
                  <c:v>824.7167274217129</c:v>
                </c:pt>
                <c:pt idx="154">
                  <c:v>807.6554000000001</c:v>
                </c:pt>
                <c:pt idx="155">
                  <c:v>932.77785698604123</c:v>
                </c:pt>
                <c:pt idx="156">
                  <c:v>790.10363482109813</c:v>
                </c:pt>
                <c:pt idx="157">
                  <c:v>848.82893966469157</c:v>
                </c:pt>
                <c:pt idx="158">
                  <c:v>750.30971602176635</c:v>
                </c:pt>
                <c:pt idx="159">
                  <c:v>1306.9110898520216</c:v>
                </c:pt>
                <c:pt idx="160">
                  <c:v>896.81106876712249</c:v>
                </c:pt>
                <c:pt idx="161">
                  <c:v>1126.0796371185875</c:v>
                </c:pt>
                <c:pt idx="162">
                  <c:v>1091.9598411871709</c:v>
                </c:pt>
                <c:pt idx="163">
                  <c:v>980.44806086608298</c:v>
                </c:pt>
                <c:pt idx="164">
                  <c:v>1272.120005979845</c:v>
                </c:pt>
                <c:pt idx="165">
                  <c:v>1257.4594475317954</c:v>
                </c:pt>
                <c:pt idx="166">
                  <c:v>894.57345259842054</c:v>
                </c:pt>
                <c:pt idx="167">
                  <c:v>1276.4008288691691</c:v>
                </c:pt>
                <c:pt idx="168">
                  <c:v>755.2342361579083</c:v>
                </c:pt>
                <c:pt idx="169">
                  <c:v>805.38808073978885</c:v>
                </c:pt>
                <c:pt idx="170">
                  <c:v>939.95680704812958</c:v>
                </c:pt>
                <c:pt idx="171">
                  <c:v>1107.6142124395428</c:v>
                </c:pt>
                <c:pt idx="172">
                  <c:v>1099.4072515235534</c:v>
                </c:pt>
                <c:pt idx="173">
                  <c:v>1117.4058837887869</c:v>
                </c:pt>
                <c:pt idx="174">
                  <c:v>1050.1806204751163</c:v>
                </c:pt>
                <c:pt idx="175">
                  <c:v>1081.2902812378584</c:v>
                </c:pt>
                <c:pt idx="176">
                  <c:v>1159.7078831963731</c:v>
                </c:pt>
                <c:pt idx="177">
                  <c:v>1087.9178174056944</c:v>
                </c:pt>
                <c:pt idx="178">
                  <c:v>994.98264347527493</c:v>
                </c:pt>
                <c:pt idx="179">
                  <c:v>1380.3829102140016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2A-45E0-B5BB-882BEC9AE46B}"/>
            </c:ext>
          </c:extLst>
        </c:ser>
        <c:ser>
          <c:idx val="5"/>
          <c:order val="5"/>
          <c:tx>
            <c:strRef>
              <c:f>'Feedstock Use - chart data'!$G$1</c:f>
              <c:strCache>
                <c:ptCount val="1"/>
                <c:pt idx="0">
                  <c:v>Choice White Grease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data'!$G$2:$G$181</c:f>
              <c:numCache>
                <c:formatCode>#,##0_);[Red]\(#,##0\)</c:formatCode>
                <c:ptCount val="180"/>
                <c:pt idx="0">
                  <c:v>31</c:v>
                </c:pt>
                <c:pt idx="1">
                  <c:v>48</c:v>
                </c:pt>
                <c:pt idx="2">
                  <c:v>60</c:v>
                </c:pt>
                <c:pt idx="3">
                  <c:v>55</c:v>
                </c:pt>
                <c:pt idx="4">
                  <c:v>57</c:v>
                </c:pt>
                <c:pt idx="5">
                  <c:v>55</c:v>
                </c:pt>
                <c:pt idx="6">
                  <c:v>49</c:v>
                </c:pt>
                <c:pt idx="7">
                  <c:v>48</c:v>
                </c:pt>
                <c:pt idx="8">
                  <c:v>40</c:v>
                </c:pt>
                <c:pt idx="9">
                  <c:v>29</c:v>
                </c:pt>
                <c:pt idx="10">
                  <c:v>35</c:v>
                </c:pt>
                <c:pt idx="11">
                  <c:v>26</c:v>
                </c:pt>
                <c:pt idx="12">
                  <c:v>29</c:v>
                </c:pt>
                <c:pt idx="13">
                  <c:v>29</c:v>
                </c:pt>
                <c:pt idx="14">
                  <c:v>31</c:v>
                </c:pt>
                <c:pt idx="15">
                  <c:v>41</c:v>
                </c:pt>
                <c:pt idx="16">
                  <c:v>38</c:v>
                </c:pt>
                <c:pt idx="17">
                  <c:v>39</c:v>
                </c:pt>
                <c:pt idx="18">
                  <c:v>31</c:v>
                </c:pt>
                <c:pt idx="19">
                  <c:v>34</c:v>
                </c:pt>
                <c:pt idx="20">
                  <c:v>33</c:v>
                </c:pt>
                <c:pt idx="21">
                  <c:v>41</c:v>
                </c:pt>
                <c:pt idx="22">
                  <c:v>28</c:v>
                </c:pt>
                <c:pt idx="23">
                  <c:v>35</c:v>
                </c:pt>
                <c:pt idx="24">
                  <c:v>31</c:v>
                </c:pt>
                <c:pt idx="25">
                  <c:v>32</c:v>
                </c:pt>
                <c:pt idx="26">
                  <c:v>36</c:v>
                </c:pt>
                <c:pt idx="27">
                  <c:v>48</c:v>
                </c:pt>
                <c:pt idx="28">
                  <c:v>41</c:v>
                </c:pt>
                <c:pt idx="29">
                  <c:v>41</c:v>
                </c:pt>
                <c:pt idx="30">
                  <c:v>43</c:v>
                </c:pt>
                <c:pt idx="31">
                  <c:v>41</c:v>
                </c:pt>
                <c:pt idx="32">
                  <c:v>38</c:v>
                </c:pt>
                <c:pt idx="33">
                  <c:v>36</c:v>
                </c:pt>
                <c:pt idx="34">
                  <c:v>34</c:v>
                </c:pt>
                <c:pt idx="35">
                  <c:v>45</c:v>
                </c:pt>
                <c:pt idx="36">
                  <c:v>25</c:v>
                </c:pt>
                <c:pt idx="37">
                  <c:v>41</c:v>
                </c:pt>
                <c:pt idx="38">
                  <c:v>41</c:v>
                </c:pt>
                <c:pt idx="39">
                  <c:v>39</c:v>
                </c:pt>
                <c:pt idx="40">
                  <c:v>46</c:v>
                </c:pt>
                <c:pt idx="41">
                  <c:v>28.62</c:v>
                </c:pt>
                <c:pt idx="42">
                  <c:v>36.67</c:v>
                </c:pt>
                <c:pt idx="43">
                  <c:v>36.380000000000003</c:v>
                </c:pt>
                <c:pt idx="44">
                  <c:v>40.76</c:v>
                </c:pt>
                <c:pt idx="45">
                  <c:v>33.450000000000003</c:v>
                </c:pt>
                <c:pt idx="46">
                  <c:v>23.92</c:v>
                </c:pt>
                <c:pt idx="47">
                  <c:v>35.6</c:v>
                </c:pt>
                <c:pt idx="48">
                  <c:v>28</c:v>
                </c:pt>
                <c:pt idx="49">
                  <c:v>33</c:v>
                </c:pt>
                <c:pt idx="50">
                  <c:v>43</c:v>
                </c:pt>
                <c:pt idx="51">
                  <c:v>57</c:v>
                </c:pt>
                <c:pt idx="52">
                  <c:v>60</c:v>
                </c:pt>
                <c:pt idx="53">
                  <c:v>56</c:v>
                </c:pt>
                <c:pt idx="54">
                  <c:v>49</c:v>
                </c:pt>
                <c:pt idx="55">
                  <c:v>54</c:v>
                </c:pt>
                <c:pt idx="56">
                  <c:v>54</c:v>
                </c:pt>
                <c:pt idx="57">
                  <c:v>52</c:v>
                </c:pt>
                <c:pt idx="58">
                  <c:v>45</c:v>
                </c:pt>
                <c:pt idx="59">
                  <c:v>58</c:v>
                </c:pt>
                <c:pt idx="60">
                  <c:v>57.13</c:v>
                </c:pt>
                <c:pt idx="61">
                  <c:v>53.46</c:v>
                </c:pt>
                <c:pt idx="62">
                  <c:v>43.63</c:v>
                </c:pt>
                <c:pt idx="63">
                  <c:v>52.8</c:v>
                </c:pt>
                <c:pt idx="64">
                  <c:v>46.67</c:v>
                </c:pt>
                <c:pt idx="65">
                  <c:v>42.2</c:v>
                </c:pt>
                <c:pt idx="66">
                  <c:v>37.93</c:v>
                </c:pt>
                <c:pt idx="67">
                  <c:v>38.28</c:v>
                </c:pt>
                <c:pt idx="68">
                  <c:v>36</c:v>
                </c:pt>
                <c:pt idx="69">
                  <c:v>47.25</c:v>
                </c:pt>
                <c:pt idx="70">
                  <c:v>48.66</c:v>
                </c:pt>
                <c:pt idx="71">
                  <c:v>74.02</c:v>
                </c:pt>
                <c:pt idx="72">
                  <c:v>47.41</c:v>
                </c:pt>
                <c:pt idx="73">
                  <c:v>54.87</c:v>
                </c:pt>
                <c:pt idx="74">
                  <c:v>67.47</c:v>
                </c:pt>
                <c:pt idx="75">
                  <c:v>59.35</c:v>
                </c:pt>
                <c:pt idx="76">
                  <c:v>48.64</c:v>
                </c:pt>
                <c:pt idx="77">
                  <c:v>43.7</c:v>
                </c:pt>
                <c:pt idx="78">
                  <c:v>33.29</c:v>
                </c:pt>
                <c:pt idx="79">
                  <c:v>35.130000000000003</c:v>
                </c:pt>
                <c:pt idx="80">
                  <c:v>45.87</c:v>
                </c:pt>
                <c:pt idx="81">
                  <c:v>49.41</c:v>
                </c:pt>
                <c:pt idx="82">
                  <c:v>49.23</c:v>
                </c:pt>
                <c:pt idx="83">
                  <c:v>56.22</c:v>
                </c:pt>
                <c:pt idx="84">
                  <c:v>44.21</c:v>
                </c:pt>
                <c:pt idx="85">
                  <c:v>43.86</c:v>
                </c:pt>
                <c:pt idx="86">
                  <c:v>49.31</c:v>
                </c:pt>
                <c:pt idx="87">
                  <c:v>54</c:v>
                </c:pt>
                <c:pt idx="88">
                  <c:v>52.71</c:v>
                </c:pt>
                <c:pt idx="89">
                  <c:v>56.86</c:v>
                </c:pt>
                <c:pt idx="90">
                  <c:v>50.96</c:v>
                </c:pt>
                <c:pt idx="91">
                  <c:v>54.77</c:v>
                </c:pt>
                <c:pt idx="92">
                  <c:v>58.35</c:v>
                </c:pt>
                <c:pt idx="93">
                  <c:v>59.01</c:v>
                </c:pt>
                <c:pt idx="94">
                  <c:v>48.18</c:v>
                </c:pt>
                <c:pt idx="95">
                  <c:v>45.48</c:v>
                </c:pt>
                <c:pt idx="96">
                  <c:v>62.9</c:v>
                </c:pt>
                <c:pt idx="97">
                  <c:v>49.46</c:v>
                </c:pt>
                <c:pt idx="98">
                  <c:v>58.48</c:v>
                </c:pt>
                <c:pt idx="99">
                  <c:v>57.04</c:v>
                </c:pt>
                <c:pt idx="100">
                  <c:v>42.99</c:v>
                </c:pt>
                <c:pt idx="101">
                  <c:v>44.81</c:v>
                </c:pt>
                <c:pt idx="102">
                  <c:v>40.270000000000003</c:v>
                </c:pt>
                <c:pt idx="103">
                  <c:v>29.61</c:v>
                </c:pt>
                <c:pt idx="104">
                  <c:v>26.9</c:v>
                </c:pt>
                <c:pt idx="105">
                  <c:v>46.44</c:v>
                </c:pt>
                <c:pt idx="106">
                  <c:v>36.49</c:v>
                </c:pt>
                <c:pt idx="107">
                  <c:v>40.71</c:v>
                </c:pt>
                <c:pt idx="108">
                  <c:v>48</c:v>
                </c:pt>
                <c:pt idx="109">
                  <c:v>43.36</c:v>
                </c:pt>
                <c:pt idx="110">
                  <c:v>36</c:v>
                </c:pt>
                <c:pt idx="111">
                  <c:v>41.88</c:v>
                </c:pt>
                <c:pt idx="112">
                  <c:v>39.71</c:v>
                </c:pt>
                <c:pt idx="113">
                  <c:v>52.95</c:v>
                </c:pt>
                <c:pt idx="114">
                  <c:v>55.38</c:v>
                </c:pt>
                <c:pt idx="115">
                  <c:v>54.52</c:v>
                </c:pt>
                <c:pt idx="116">
                  <c:v>73.08</c:v>
                </c:pt>
                <c:pt idx="117">
                  <c:v>57</c:v>
                </c:pt>
                <c:pt idx="118">
                  <c:v>53</c:v>
                </c:pt>
                <c:pt idx="119">
                  <c:v>57</c:v>
                </c:pt>
                <c:pt idx="120">
                  <c:v>46.51149385066099</c:v>
                </c:pt>
                <c:pt idx="121">
                  <c:v>23.415303304755309</c:v>
                </c:pt>
                <c:pt idx="122">
                  <c:v>31.727419492229764</c:v>
                </c:pt>
                <c:pt idx="123">
                  <c:v>21.139088583794067</c:v>
                </c:pt>
                <c:pt idx="124">
                  <c:v>18.700041479024726</c:v>
                </c:pt>
                <c:pt idx="125">
                  <c:v>27.632865208265326</c:v>
                </c:pt>
                <c:pt idx="126">
                  <c:v>19.176138475083587</c:v>
                </c:pt>
                <c:pt idx="127">
                  <c:v>14.715028424302634</c:v>
                </c:pt>
                <c:pt idx="128">
                  <c:v>15.515162820757276</c:v>
                </c:pt>
                <c:pt idx="129">
                  <c:v>42.256396960623931</c:v>
                </c:pt>
                <c:pt idx="130">
                  <c:v>34.81884158560392</c:v>
                </c:pt>
                <c:pt idx="131">
                  <c:v>40.391914002886487</c:v>
                </c:pt>
                <c:pt idx="132">
                  <c:v>18.10479481541778</c:v>
                </c:pt>
                <c:pt idx="133">
                  <c:v>17.735924180117653</c:v>
                </c:pt>
                <c:pt idx="134">
                  <c:v>19.608091188659177</c:v>
                </c:pt>
                <c:pt idx="135">
                  <c:v>17.532824255587588</c:v>
                </c:pt>
                <c:pt idx="136">
                  <c:v>20.553320262475836</c:v>
                </c:pt>
                <c:pt idx="137">
                  <c:v>21.490937486635943</c:v>
                </c:pt>
                <c:pt idx="138">
                  <c:v>19.659876578107184</c:v>
                </c:pt>
                <c:pt idx="139">
                  <c:v>19.731583582260278</c:v>
                </c:pt>
                <c:pt idx="140">
                  <c:v>17.589755161114937</c:v>
                </c:pt>
                <c:pt idx="141">
                  <c:v>18.342527144698717</c:v>
                </c:pt>
                <c:pt idx="142">
                  <c:v>19.026145053098343</c:v>
                </c:pt>
                <c:pt idx="143">
                  <c:v>22.833451805726607</c:v>
                </c:pt>
                <c:pt idx="144">
                  <c:v>17.979682322250461</c:v>
                </c:pt>
                <c:pt idx="145">
                  <c:v>13.712724760479736</c:v>
                </c:pt>
                <c:pt idx="146">
                  <c:v>26.566346423946968</c:v>
                </c:pt>
                <c:pt idx="147">
                  <c:v>33.64198191490825</c:v>
                </c:pt>
                <c:pt idx="148">
                  <c:v>48.676772042633772</c:v>
                </c:pt>
                <c:pt idx="149">
                  <c:v>24.272817833821286</c:v>
                </c:pt>
                <c:pt idx="150">
                  <c:v>26.558214183198217</c:v>
                </c:pt>
                <c:pt idx="151">
                  <c:v>40.577882091969094</c:v>
                </c:pt>
                <c:pt idx="152">
                  <c:v>28.447345668360651</c:v>
                </c:pt>
                <c:pt idx="153">
                  <c:v>12.854891234883162</c:v>
                </c:pt>
                <c:pt idx="154">
                  <c:v>13.667000000000002</c:v>
                </c:pt>
                <c:pt idx="155">
                  <c:v>2.4820046687072925</c:v>
                </c:pt>
                <c:pt idx="156">
                  <c:v>4.6272370370542362</c:v>
                </c:pt>
                <c:pt idx="157">
                  <c:v>15.304777894846277</c:v>
                </c:pt>
                <c:pt idx="158">
                  <c:v>9.335565909043515</c:v>
                </c:pt>
                <c:pt idx="159">
                  <c:v>9.5585545551382758</c:v>
                </c:pt>
                <c:pt idx="160">
                  <c:v>21.709939631642687</c:v>
                </c:pt>
                <c:pt idx="161">
                  <c:v>3.2582435156062619</c:v>
                </c:pt>
                <c:pt idx="162">
                  <c:v>13.168262905898681</c:v>
                </c:pt>
                <c:pt idx="163">
                  <c:v>9.0076143998447691</c:v>
                </c:pt>
                <c:pt idx="164">
                  <c:v>-1.0099043615745145</c:v>
                </c:pt>
                <c:pt idx="165">
                  <c:v>3.5428347112779726</c:v>
                </c:pt>
                <c:pt idx="166">
                  <c:v>43.216498237065878</c:v>
                </c:pt>
                <c:pt idx="167">
                  <c:v>37.751700312783285</c:v>
                </c:pt>
                <c:pt idx="168">
                  <c:v>4.9599164132293243</c:v>
                </c:pt>
                <c:pt idx="169">
                  <c:v>15.030759101716283</c:v>
                </c:pt>
                <c:pt idx="170">
                  <c:v>17.442874118250892</c:v>
                </c:pt>
                <c:pt idx="171">
                  <c:v>25.309511817903953</c:v>
                </c:pt>
                <c:pt idx="172">
                  <c:v>29.359548236314293</c:v>
                </c:pt>
                <c:pt idx="173">
                  <c:v>26.365907897027085</c:v>
                </c:pt>
                <c:pt idx="174">
                  <c:v>25.164594437807782</c:v>
                </c:pt>
                <c:pt idx="175">
                  <c:v>27.576938692997565</c:v>
                </c:pt>
                <c:pt idx="176">
                  <c:v>25.806522835024026</c:v>
                </c:pt>
                <c:pt idx="177">
                  <c:v>23.28281824770534</c:v>
                </c:pt>
                <c:pt idx="178">
                  <c:v>30.380511927629161</c:v>
                </c:pt>
                <c:pt idx="179">
                  <c:v>55.275789712474428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2A-45E0-B5BB-882BEC9AE46B}"/>
            </c:ext>
          </c:extLst>
        </c:ser>
        <c:ser>
          <c:idx val="6"/>
          <c:order val="6"/>
          <c:tx>
            <c:strRef>
              <c:f>'Feedstock Use - chart data'!$H$1</c:f>
              <c:strCache>
                <c:ptCount val="1"/>
                <c:pt idx="0">
                  <c:v>Poultry Fat</c:v>
                </c:pt>
              </c:strCache>
            </c:strRef>
          </c:tx>
          <c:spPr>
            <a:solidFill>
              <a:srgbClr val="D886DA"/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data'!$A$2:$A$181</c:f>
              <c:numCache>
                <c:formatCode>[$-409]mmm\-yy;@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'Feedstock Use - chart data'!$H$2:$H$181</c:f>
              <c:numCache>
                <c:formatCode>#,##0_);[Red]\(#,##0\)</c:formatCode>
                <c:ptCount val="180"/>
                <c:pt idx="0">
                  <c:v>14</c:v>
                </c:pt>
                <c:pt idx="1">
                  <c:v>14</c:v>
                </c:pt>
                <c:pt idx="2">
                  <c:v>19</c:v>
                </c:pt>
                <c:pt idx="3">
                  <c:v>15</c:v>
                </c:pt>
                <c:pt idx="4">
                  <c:v>16</c:v>
                </c:pt>
                <c:pt idx="5">
                  <c:v>23</c:v>
                </c:pt>
                <c:pt idx="6">
                  <c:v>26</c:v>
                </c:pt>
                <c:pt idx="7">
                  <c:v>34</c:v>
                </c:pt>
                <c:pt idx="8">
                  <c:v>20</c:v>
                </c:pt>
                <c:pt idx="9">
                  <c:v>31</c:v>
                </c:pt>
                <c:pt idx="10">
                  <c:v>13</c:v>
                </c:pt>
                <c:pt idx="11">
                  <c:v>15</c:v>
                </c:pt>
                <c:pt idx="12">
                  <c:v>20</c:v>
                </c:pt>
                <c:pt idx="13">
                  <c:v>8</c:v>
                </c:pt>
                <c:pt idx="14">
                  <c:v>11</c:v>
                </c:pt>
                <c:pt idx="15">
                  <c:v>13</c:v>
                </c:pt>
                <c:pt idx="16">
                  <c:v>16</c:v>
                </c:pt>
                <c:pt idx="17">
                  <c:v>14</c:v>
                </c:pt>
                <c:pt idx="18">
                  <c:v>20</c:v>
                </c:pt>
                <c:pt idx="19">
                  <c:v>21</c:v>
                </c:pt>
                <c:pt idx="20">
                  <c:v>19</c:v>
                </c:pt>
                <c:pt idx="21">
                  <c:v>14</c:v>
                </c:pt>
                <c:pt idx="22">
                  <c:v>11</c:v>
                </c:pt>
                <c:pt idx="23">
                  <c:v>9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15</c:v>
                </c:pt>
                <c:pt idx="28">
                  <c:v>20</c:v>
                </c:pt>
                <c:pt idx="29">
                  <c:v>19</c:v>
                </c:pt>
                <c:pt idx="30">
                  <c:v>17</c:v>
                </c:pt>
                <c:pt idx="31">
                  <c:v>17</c:v>
                </c:pt>
                <c:pt idx="32">
                  <c:v>14</c:v>
                </c:pt>
                <c:pt idx="33">
                  <c:v>13</c:v>
                </c:pt>
                <c:pt idx="34">
                  <c:v>11</c:v>
                </c:pt>
                <c:pt idx="35">
                  <c:v>11</c:v>
                </c:pt>
                <c:pt idx="36">
                  <c:v>2</c:v>
                </c:pt>
                <c:pt idx="37">
                  <c:v>6</c:v>
                </c:pt>
                <c:pt idx="38">
                  <c:v>13</c:v>
                </c:pt>
                <c:pt idx="39">
                  <c:v>17</c:v>
                </c:pt>
                <c:pt idx="40">
                  <c:v>23</c:v>
                </c:pt>
                <c:pt idx="41">
                  <c:v>17.78</c:v>
                </c:pt>
                <c:pt idx="42">
                  <c:v>21.67</c:v>
                </c:pt>
                <c:pt idx="43">
                  <c:v>15.43</c:v>
                </c:pt>
                <c:pt idx="44">
                  <c:v>17.54</c:v>
                </c:pt>
                <c:pt idx="45">
                  <c:v>12.46</c:v>
                </c:pt>
                <c:pt idx="46">
                  <c:v>14.9</c:v>
                </c:pt>
                <c:pt idx="47">
                  <c:v>11.83</c:v>
                </c:pt>
                <c:pt idx="48">
                  <c:v>11</c:v>
                </c:pt>
                <c:pt idx="49">
                  <c:v>9</c:v>
                </c:pt>
                <c:pt idx="50">
                  <c:v>8</c:v>
                </c:pt>
                <c:pt idx="51">
                  <c:v>16</c:v>
                </c:pt>
                <c:pt idx="52">
                  <c:v>14</c:v>
                </c:pt>
                <c:pt idx="53">
                  <c:v>20</c:v>
                </c:pt>
                <c:pt idx="54">
                  <c:v>18</c:v>
                </c:pt>
                <c:pt idx="55">
                  <c:v>21</c:v>
                </c:pt>
                <c:pt idx="56">
                  <c:v>23</c:v>
                </c:pt>
                <c:pt idx="57">
                  <c:v>18</c:v>
                </c:pt>
                <c:pt idx="58">
                  <c:v>17</c:v>
                </c:pt>
                <c:pt idx="59">
                  <c:v>15</c:v>
                </c:pt>
                <c:pt idx="60">
                  <c:v>10.55</c:v>
                </c:pt>
                <c:pt idx="61">
                  <c:v>11.39</c:v>
                </c:pt>
                <c:pt idx="62">
                  <c:v>14.77</c:v>
                </c:pt>
                <c:pt idx="63">
                  <c:v>19.149999999999999</c:v>
                </c:pt>
                <c:pt idx="64">
                  <c:v>20.41</c:v>
                </c:pt>
                <c:pt idx="65">
                  <c:v>17.46</c:v>
                </c:pt>
                <c:pt idx="66">
                  <c:v>20.59</c:v>
                </c:pt>
                <c:pt idx="67">
                  <c:v>26.83</c:v>
                </c:pt>
                <c:pt idx="68">
                  <c:v>21.03</c:v>
                </c:pt>
                <c:pt idx="69">
                  <c:v>20.2</c:v>
                </c:pt>
                <c:pt idx="70">
                  <c:v>20.21</c:v>
                </c:pt>
                <c:pt idx="71">
                  <c:v>17.079999999999998</c:v>
                </c:pt>
                <c:pt idx="72">
                  <c:v>6.92</c:v>
                </c:pt>
                <c:pt idx="73">
                  <c:v>9.74</c:v>
                </c:pt>
                <c:pt idx="74">
                  <c:v>13.22</c:v>
                </c:pt>
                <c:pt idx="75">
                  <c:v>13.39</c:v>
                </c:pt>
                <c:pt idx="76">
                  <c:v>12.64</c:v>
                </c:pt>
                <c:pt idx="77">
                  <c:v>15.21</c:v>
                </c:pt>
                <c:pt idx="78">
                  <c:v>17</c:v>
                </c:pt>
                <c:pt idx="79">
                  <c:v>18.13</c:v>
                </c:pt>
                <c:pt idx="80">
                  <c:v>13.09</c:v>
                </c:pt>
                <c:pt idx="81">
                  <c:v>19.579999999999998</c:v>
                </c:pt>
                <c:pt idx="82">
                  <c:v>23.51</c:v>
                </c:pt>
                <c:pt idx="83">
                  <c:v>12.53</c:v>
                </c:pt>
                <c:pt idx="84">
                  <c:v>5.85</c:v>
                </c:pt>
                <c:pt idx="85">
                  <c:v>6.35</c:v>
                </c:pt>
                <c:pt idx="86">
                  <c:v>4.81005859375</c:v>
                </c:pt>
                <c:pt idx="87">
                  <c:v>7.9830322265625</c:v>
                </c:pt>
                <c:pt idx="88">
                  <c:v>8.31</c:v>
                </c:pt>
                <c:pt idx="89">
                  <c:v>9.51</c:v>
                </c:pt>
                <c:pt idx="90">
                  <c:v>11.67</c:v>
                </c:pt>
                <c:pt idx="91">
                  <c:v>19.25</c:v>
                </c:pt>
                <c:pt idx="92">
                  <c:v>16.55</c:v>
                </c:pt>
                <c:pt idx="93">
                  <c:v>16.82</c:v>
                </c:pt>
                <c:pt idx="94">
                  <c:v>12.69</c:v>
                </c:pt>
                <c:pt idx="95">
                  <c:v>9.93</c:v>
                </c:pt>
                <c:pt idx="96">
                  <c:v>13.3016666666667</c:v>
                </c:pt>
                <c:pt idx="97">
                  <c:v>16</c:v>
                </c:pt>
                <c:pt idx="98">
                  <c:v>8</c:v>
                </c:pt>
                <c:pt idx="99">
                  <c:v>9.27</c:v>
                </c:pt>
                <c:pt idx="100">
                  <c:v>19.079999999999998</c:v>
                </c:pt>
                <c:pt idx="101">
                  <c:v>15.52</c:v>
                </c:pt>
                <c:pt idx="102">
                  <c:v>17.57</c:v>
                </c:pt>
                <c:pt idx="103">
                  <c:v>15.52</c:v>
                </c:pt>
                <c:pt idx="104">
                  <c:v>10.51</c:v>
                </c:pt>
                <c:pt idx="105">
                  <c:v>14.99</c:v>
                </c:pt>
                <c:pt idx="106">
                  <c:v>12.42</c:v>
                </c:pt>
                <c:pt idx="107">
                  <c:v>10.82</c:v>
                </c:pt>
                <c:pt idx="108">
                  <c:v>11</c:v>
                </c:pt>
                <c:pt idx="109">
                  <c:v>11.87</c:v>
                </c:pt>
                <c:pt idx="110">
                  <c:v>23.6</c:v>
                </c:pt>
                <c:pt idx="111">
                  <c:v>8.3990441310971509</c:v>
                </c:pt>
                <c:pt idx="112">
                  <c:v>8.5299999999999994</c:v>
                </c:pt>
                <c:pt idx="113">
                  <c:v>7.2971325904147903</c:v>
                </c:pt>
                <c:pt idx="114">
                  <c:v>9.5444244326531162</c:v>
                </c:pt>
                <c:pt idx="115">
                  <c:v>22.863427142127684</c:v>
                </c:pt>
                <c:pt idx="116">
                  <c:v>22.84</c:v>
                </c:pt>
                <c:pt idx="117">
                  <c:v>21</c:v>
                </c:pt>
                <c:pt idx="118">
                  <c:v>14</c:v>
                </c:pt>
                <c:pt idx="119">
                  <c:v>7</c:v>
                </c:pt>
                <c:pt idx="120">
                  <c:v>33.534999999999997</c:v>
                </c:pt>
                <c:pt idx="121">
                  <c:v>34.244999999999997</c:v>
                </c:pt>
                <c:pt idx="122">
                  <c:v>43.158000000000001</c:v>
                </c:pt>
                <c:pt idx="123">
                  <c:v>36.418999999999997</c:v>
                </c:pt>
                <c:pt idx="124">
                  <c:v>31.837</c:v>
                </c:pt>
                <c:pt idx="125">
                  <c:v>19.489000000000001</c:v>
                </c:pt>
                <c:pt idx="126">
                  <c:v>21.032</c:v>
                </c:pt>
                <c:pt idx="127">
                  <c:v>18.109000000000002</c:v>
                </c:pt>
                <c:pt idx="128">
                  <c:v>17.348973118689422</c:v>
                </c:pt>
                <c:pt idx="129">
                  <c:v>13.856086855318358</c:v>
                </c:pt>
                <c:pt idx="130">
                  <c:v>15.474356610903197</c:v>
                </c:pt>
                <c:pt idx="131">
                  <c:v>18.657485713200082</c:v>
                </c:pt>
                <c:pt idx="132">
                  <c:v>13.810885546858449</c:v>
                </c:pt>
                <c:pt idx="133">
                  <c:v>11.639601875815378</c:v>
                </c:pt>
                <c:pt idx="134">
                  <c:v>13.945280767206244</c:v>
                </c:pt>
                <c:pt idx="135">
                  <c:v>11.616042093179136</c:v>
                </c:pt>
                <c:pt idx="136">
                  <c:v>7.7839089713121261</c:v>
                </c:pt>
                <c:pt idx="137">
                  <c:v>7.6405620942472385</c:v>
                </c:pt>
                <c:pt idx="138">
                  <c:v>9.4493116801392887</c:v>
                </c:pt>
                <c:pt idx="139">
                  <c:v>10.949932258344866</c:v>
                </c:pt>
                <c:pt idx="140">
                  <c:v>12.499562364605062</c:v>
                </c:pt>
                <c:pt idx="141">
                  <c:v>14.036830680131867</c:v>
                </c:pt>
                <c:pt idx="142">
                  <c:v>16.366640745613111</c:v>
                </c:pt>
                <c:pt idx="143">
                  <c:v>15.954255006775046</c:v>
                </c:pt>
                <c:pt idx="144">
                  <c:v>12.668129782598223</c:v>
                </c:pt>
                <c:pt idx="145">
                  <c:v>9.6003876941036772</c:v>
                </c:pt>
                <c:pt idx="146">
                  <c:v>6.9373389872466005</c:v>
                </c:pt>
                <c:pt idx="147">
                  <c:v>6.8940717767666522</c:v>
                </c:pt>
                <c:pt idx="148">
                  <c:v>7.8819898722625243</c:v>
                </c:pt>
                <c:pt idx="149">
                  <c:v>9.3664648656530964</c:v>
                </c:pt>
                <c:pt idx="150">
                  <c:v>6.8679904007033183</c:v>
                </c:pt>
                <c:pt idx="151">
                  <c:v>13.37347180378473</c:v>
                </c:pt>
                <c:pt idx="152">
                  <c:v>14.148829436907954</c:v>
                </c:pt>
                <c:pt idx="153">
                  <c:v>13.397368060732608</c:v>
                </c:pt>
                <c:pt idx="154">
                  <c:v>17.847896514098561</c:v>
                </c:pt>
                <c:pt idx="155">
                  <c:v>12.888400545977545</c:v>
                </c:pt>
                <c:pt idx="156">
                  <c:v>15.967255106517104</c:v>
                </c:pt>
                <c:pt idx="157">
                  <c:v>9.868403647004131</c:v>
                </c:pt>
                <c:pt idx="158">
                  <c:v>17.858638578776393</c:v>
                </c:pt>
                <c:pt idx="159">
                  <c:v>24.533619768693136</c:v>
                </c:pt>
                <c:pt idx="160">
                  <c:v>18.369841190357018</c:v>
                </c:pt>
                <c:pt idx="161">
                  <c:v>18.674778867115887</c:v>
                </c:pt>
                <c:pt idx="162">
                  <c:v>20.385783219984223</c:v>
                </c:pt>
                <c:pt idx="163">
                  <c:v>22.050831728015009</c:v>
                </c:pt>
                <c:pt idx="164">
                  <c:v>23.073462483975153</c:v>
                </c:pt>
                <c:pt idx="165">
                  <c:v>21.908444806482599</c:v>
                </c:pt>
                <c:pt idx="166">
                  <c:v>19.237162671071015</c:v>
                </c:pt>
                <c:pt idx="167">
                  <c:v>13.64741544633336</c:v>
                </c:pt>
                <c:pt idx="168">
                  <c:v>16.180423627331475</c:v>
                </c:pt>
                <c:pt idx="169">
                  <c:v>10.221550460502892</c:v>
                </c:pt>
                <c:pt idx="170">
                  <c:v>14.394613433946333</c:v>
                </c:pt>
                <c:pt idx="171">
                  <c:v>11.186231930932186</c:v>
                </c:pt>
                <c:pt idx="172">
                  <c:v>9.2415305284072531</c:v>
                </c:pt>
                <c:pt idx="173">
                  <c:v>12.184285865948224</c:v>
                </c:pt>
                <c:pt idx="174">
                  <c:v>12.40917082096659</c:v>
                </c:pt>
                <c:pt idx="175">
                  <c:v>16.969755690647993</c:v>
                </c:pt>
                <c:pt idx="176">
                  <c:v>17.203593915142502</c:v>
                </c:pt>
                <c:pt idx="177">
                  <c:v>14.900730858933818</c:v>
                </c:pt>
                <c:pt idx="178">
                  <c:v>15.368052922590573</c:v>
                </c:pt>
                <c:pt idx="179">
                  <c:v>23.633255679763931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2A-45E0-B5BB-882BEC9AE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237784"/>
        <c:axId val="1596238112"/>
      </c:areaChart>
      <c:dateAx>
        <c:axId val="1596237784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1587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8112"/>
        <c:crosses val="autoZero"/>
        <c:auto val="1"/>
        <c:lblOffset val="100"/>
        <c:baseTimeUnit val="months"/>
      </c:dateAx>
      <c:valAx>
        <c:axId val="15962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587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7784"/>
        <c:crosses val="autoZero"/>
        <c:crossBetween val="midCat"/>
      </c:valAx>
      <c:spPr>
        <a:noFill/>
        <a:ln w="15875">
          <a:solidFill>
            <a:srgbClr val="323232"/>
          </a:solidFill>
        </a:ln>
        <a:effectLst/>
      </c:spPr>
    </c:plotArea>
    <c:legend>
      <c:legendPos val="b"/>
      <c:layout>
        <c:manualLayout>
          <c:xMode val="edge"/>
          <c:yMode val="edge"/>
          <c:x val="0.80720308398950136"/>
          <c:y val="0.16282452974628167"/>
          <c:w val="0.18900645231846017"/>
          <c:h val="0.8362584755030622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Biofuel Production Excluding Ethanol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967957130358704"/>
          <c:y val="9.5374724177176962E-2"/>
          <c:w val="0.85591845290172042"/>
          <c:h val="0.8065968922026337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'Renewable Fuel - EIA'!$M$2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17C-4CE4-956F-3C101958FFD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17C-4CE4-956F-3C101958FFD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17C-4CE4-956F-3C101958FFD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17C-4CE4-956F-3C101958FFD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17C-4CE4-956F-3C101958FFD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17C-4CE4-956F-3C101958FFDE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17C-4CE4-956F-3C101958FFDE}"/>
              </c:ext>
            </c:extLst>
          </c:dPt>
          <c:cat>
            <c:strRef>
              <c:f>'Renewable Fuel - EIA'!$B$3:$B$14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Fuel - EIA'!$M$3:$M$14</c:f>
              <c:numCache>
                <c:formatCode>#,##0</c:formatCode>
                <c:ptCount val="12"/>
                <c:pt idx="0">
                  <c:v>194502000</c:v>
                </c:pt>
                <c:pt idx="1">
                  <c:v>156828000</c:v>
                </c:pt>
                <c:pt idx="2">
                  <c:v>201012000</c:v>
                </c:pt>
                <c:pt idx="3">
                  <c:v>191310000</c:v>
                </c:pt>
                <c:pt idx="4">
                  <c:v>217014000</c:v>
                </c:pt>
                <c:pt idx="5">
                  <c:v>195174000</c:v>
                </c:pt>
                <c:pt idx="6">
                  <c:v>217014000</c:v>
                </c:pt>
                <c:pt idx="7">
                  <c:v>216006000</c:v>
                </c:pt>
                <c:pt idx="8">
                  <c:v>182406000</c:v>
                </c:pt>
                <c:pt idx="9">
                  <c:v>239064000</c:v>
                </c:pt>
                <c:pt idx="10">
                  <c:v>245322000</c:v>
                </c:pt>
                <c:pt idx="11">
                  <c:v>278670000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7C-4CE4-956F-3C101958FFDE}"/>
            </c:ext>
          </c:extLst>
        </c:ser>
        <c:ser>
          <c:idx val="3"/>
          <c:order val="3"/>
          <c:tx>
            <c:strRef>
              <c:f>'Renewable Fuel - EIA'!$N$2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B17C-4CE4-956F-3C101958FFD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17C-4CE4-956F-3C101958FFDE}"/>
              </c:ext>
            </c:extLst>
          </c:dPt>
          <c:dPt>
            <c:idx val="2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7C-4CE4-956F-3C101958FFDE}"/>
              </c:ext>
            </c:extLst>
          </c:dPt>
          <c:dPt>
            <c:idx val="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7C-4CE4-956F-3C101958FFDE}"/>
              </c:ext>
            </c:extLst>
          </c:dPt>
          <c:dPt>
            <c:idx val="4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7C-4CE4-956F-3C101958FFDE}"/>
              </c:ext>
            </c:extLst>
          </c:dPt>
          <c:dPt>
            <c:idx val="5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17C-4CE4-956F-3C101958FFDE}"/>
              </c:ext>
            </c:extLst>
          </c:dPt>
          <c:dPt>
            <c:idx val="6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7C-4CE4-956F-3C101958FFDE}"/>
              </c:ext>
            </c:extLst>
          </c:dPt>
          <c:dPt>
            <c:idx val="7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17C-4CE4-956F-3C101958FFDE}"/>
              </c:ext>
            </c:extLst>
          </c:dPt>
          <c:dPt>
            <c:idx val="8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17C-4CE4-956F-3C101958FFDE}"/>
              </c:ext>
            </c:extLst>
          </c:dPt>
          <c:dPt>
            <c:idx val="9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17C-4CE4-956F-3C101958FFDE}"/>
              </c:ext>
            </c:extLst>
          </c:dPt>
          <c:dPt>
            <c:idx val="1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17C-4CE4-956F-3C101958FFDE}"/>
              </c:ext>
            </c:extLst>
          </c:dPt>
          <c:dPt>
            <c:idx val="1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17C-4CE4-956F-3C101958FFDE}"/>
              </c:ext>
            </c:extLst>
          </c:dPt>
          <c:val>
            <c:numRef>
              <c:f>'Renewable Fuel - EIA'!$N$3:$N$14</c:f>
              <c:numCache>
                <c:formatCode>#,##0</c:formatCode>
                <c:ptCount val="12"/>
                <c:pt idx="0">
                  <c:v>243558000</c:v>
                </c:pt>
                <c:pt idx="1">
                  <c:v>223272000</c:v>
                </c:pt>
                <c:pt idx="2">
                  <c:v>253596000</c:v>
                </c:pt>
                <c:pt idx="3">
                  <c:v>259854000</c:v>
                </c:pt>
                <c:pt idx="4">
                  <c:v>276360000</c:v>
                </c:pt>
                <c:pt idx="5">
                  <c:v>276276000</c:v>
                </c:pt>
                <c:pt idx="6">
                  <c:v>294042000</c:v>
                </c:pt>
                <c:pt idx="7">
                  <c:v>283542000</c:v>
                </c:pt>
                <c:pt idx="8">
                  <c:v>294252000</c:v>
                </c:pt>
                <c:pt idx="9">
                  <c:v>286860000</c:v>
                </c:pt>
                <c:pt idx="10">
                  <c:v>305886000</c:v>
                </c:pt>
                <c:pt idx="11">
                  <c:v>308322000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17C-4CE4-956F-3C101958FFDE}"/>
            </c:ext>
          </c:extLst>
        </c:ser>
        <c:ser>
          <c:idx val="4"/>
          <c:order val="4"/>
          <c:tx>
            <c:strRef>
              <c:f>'Renewable Fuel - EIA'!$O$2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B17C-4CE4-956F-3C101958FFDE}"/>
              </c:ext>
            </c:extLst>
          </c:dPt>
          <c:dPt>
            <c:idx val="1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B17C-4CE4-956F-3C101958FFDE}"/>
              </c:ext>
            </c:extLst>
          </c:dPt>
          <c:dPt>
            <c:idx val="2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17C-4CE4-956F-3C101958FFDE}"/>
              </c:ext>
            </c:extLst>
          </c:dPt>
          <c:dPt>
            <c:idx val="3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B17C-4CE4-956F-3C101958FFDE}"/>
              </c:ext>
            </c:extLst>
          </c:dPt>
          <c:dPt>
            <c:idx val="4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B17C-4CE4-956F-3C101958FFDE}"/>
              </c:ext>
            </c:extLst>
          </c:dPt>
          <c:dPt>
            <c:idx val="5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17C-4CE4-956F-3C101958FFDE}"/>
              </c:ext>
            </c:extLst>
          </c:dPt>
          <c:dPt>
            <c:idx val="6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B17C-4CE4-956F-3C101958FFDE}"/>
              </c:ext>
            </c:extLst>
          </c:dPt>
          <c:dPt>
            <c:idx val="7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B17C-4CE4-956F-3C101958FFDE}"/>
              </c:ext>
            </c:extLst>
          </c:dPt>
          <c:dPt>
            <c:idx val="8"/>
            <c:invertIfNegative val="0"/>
            <c:bubble3D val="0"/>
            <c:spPr>
              <a:pattFill prst="wdDnDiag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B17C-4CE4-956F-3C101958FFDE}"/>
              </c:ext>
            </c:extLst>
          </c:dPt>
          <c:dPt>
            <c:idx val="9"/>
            <c:invertIfNegative val="0"/>
            <c:bubble3D val="0"/>
            <c:spPr>
              <a:pattFill prst="wdDnDiag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B17C-4CE4-956F-3C101958FFDE}"/>
              </c:ext>
            </c:extLst>
          </c:dPt>
          <c:dPt>
            <c:idx val="10"/>
            <c:invertIfNegative val="0"/>
            <c:bubble3D val="0"/>
            <c:spPr>
              <a:pattFill prst="wdDnDiag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B17C-4CE4-956F-3C101958FFDE}"/>
              </c:ext>
            </c:extLst>
          </c:dPt>
          <c:dPt>
            <c:idx val="11"/>
            <c:invertIfNegative val="0"/>
            <c:bubble3D val="0"/>
            <c:spPr>
              <a:pattFill prst="wdDnDiag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B17C-4CE4-956F-3C101958FFDE}"/>
              </c:ext>
            </c:extLst>
          </c:dPt>
          <c:val>
            <c:numRef>
              <c:f>'Renewable Fuel - EIA'!$O$3:$O$14</c:f>
              <c:numCache>
                <c:formatCode>#,##0</c:formatCode>
                <c:ptCount val="12"/>
                <c:pt idx="0">
                  <c:v>327516000</c:v>
                </c:pt>
                <c:pt idx="1">
                  <c:v>298032000</c:v>
                </c:pt>
                <c:pt idx="2">
                  <c:v>362670000</c:v>
                </c:pt>
                <c:pt idx="3">
                  <c:v>352632000</c:v>
                </c:pt>
                <c:pt idx="4">
                  <c:v>405888000</c:v>
                </c:pt>
                <c:pt idx="5">
                  <c:v>408828000</c:v>
                </c:pt>
                <c:pt idx="6">
                  <c:v>385392000</c:v>
                </c:pt>
                <c:pt idx="7">
                  <c:v>410592000</c:v>
                </c:pt>
                <c:pt idx="8">
                  <c:v>420294000</c:v>
                </c:pt>
                <c:pt idx="9">
                  <c:v>387534000</c:v>
                </c:pt>
                <c:pt idx="10">
                  <c:v>384048000</c:v>
                </c:pt>
                <c:pt idx="11">
                  <c:v>437976000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B17C-4CE4-956F-3C101958F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2140046024"/>
        <c:axId val="2140047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'Renewable Fuel - EIA'!$K$2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solidFill>
                      <a:srgbClr val="6F079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'Renewable Fuel - EIA'!$B$3:$B$14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'Renewable Fuel - EIA'!$K$3:$K$14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143934000</c:v>
                      </c:pt>
                      <c:pt idx="1">
                        <c:v>130536000</c:v>
                      </c:pt>
                      <c:pt idx="2">
                        <c:v>140826000</c:v>
                      </c:pt>
                      <c:pt idx="3">
                        <c:v>152166000</c:v>
                      </c:pt>
                      <c:pt idx="4">
                        <c:v>154602000</c:v>
                      </c:pt>
                      <c:pt idx="5">
                        <c:v>141540000</c:v>
                      </c:pt>
                      <c:pt idx="6">
                        <c:v>158592000</c:v>
                      </c:pt>
                      <c:pt idx="7">
                        <c:v>155904000</c:v>
                      </c:pt>
                      <c:pt idx="8">
                        <c:v>141834000</c:v>
                      </c:pt>
                      <c:pt idx="9">
                        <c:v>144312000</c:v>
                      </c:pt>
                      <c:pt idx="10">
                        <c:v>127428000</c:v>
                      </c:pt>
                      <c:pt idx="11">
                        <c:v>132846000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8-B17C-4CE4-956F-3C101958FFD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'Renewable Fuel - EIA'!$L$2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'Renewable Fuel - EIA'!$B$3:$B$14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'Renewable Fuel - EIA'!$L$3:$L$14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134232000</c:v>
                      </c:pt>
                      <c:pt idx="1">
                        <c:v>131838000</c:v>
                      </c:pt>
                      <c:pt idx="2">
                        <c:v>150948000</c:v>
                      </c:pt>
                      <c:pt idx="3">
                        <c:v>143724000</c:v>
                      </c:pt>
                      <c:pt idx="4">
                        <c:v>152460000</c:v>
                      </c:pt>
                      <c:pt idx="5">
                        <c:v>150780000</c:v>
                      </c:pt>
                      <c:pt idx="6">
                        <c:v>161658000</c:v>
                      </c:pt>
                      <c:pt idx="7">
                        <c:v>162624000</c:v>
                      </c:pt>
                      <c:pt idx="8">
                        <c:v>159180000</c:v>
                      </c:pt>
                      <c:pt idx="9">
                        <c:v>157206000</c:v>
                      </c:pt>
                      <c:pt idx="10">
                        <c:v>152082000</c:v>
                      </c:pt>
                      <c:pt idx="11">
                        <c:v>157962000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B17C-4CE4-956F-3C101958FFDE}"/>
                  </c:ext>
                </c:extLst>
              </c15:ser>
            </c15:filteredBarSeries>
          </c:ext>
        </c:extLst>
      </c:barChart>
      <c:catAx>
        <c:axId val="214004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40047008"/>
        <c:crosses val="autoZero"/>
        <c:auto val="1"/>
        <c:lblAlgn val="ctr"/>
        <c:lblOffset val="100"/>
        <c:noMultiLvlLbl val="0"/>
      </c:catAx>
      <c:valAx>
        <c:axId val="21400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40046024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3715498200638659"/>
          <c:y val="0.12362587489063867"/>
          <c:w val="0.30796861329833769"/>
          <c:h val="6.1115485564304461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Foreign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080234762321377"/>
          <c:y val="0.13506944444444444"/>
          <c:w val="0.84373468941382324"/>
          <c:h val="0.7358798118985127"/>
        </c:manualLayout>
      </c:layout>
      <c:lineChart>
        <c:grouping val="standard"/>
        <c:varyColors val="0"/>
        <c:ser>
          <c:idx val="0"/>
          <c:order val="0"/>
          <c:tx>
            <c:strRef>
              <c:f>'Renewable Diesel'!$M$82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Diesel'!$M$83:$M$94</c:f>
              <c:numCache>
                <c:formatCode>#,##0_);[Red]\(#,##0\)</c:formatCode>
                <c:ptCount val="12"/>
                <c:pt idx="0">
                  <c:v>29766577</c:v>
                </c:pt>
                <c:pt idx="1">
                  <c:v>29679663</c:v>
                </c:pt>
                <c:pt idx="2">
                  <c:v>38324986</c:v>
                </c:pt>
                <c:pt idx="3">
                  <c:v>40230238</c:v>
                </c:pt>
                <c:pt idx="4">
                  <c:v>38319787</c:v>
                </c:pt>
                <c:pt idx="5">
                  <c:v>43794216</c:v>
                </c:pt>
                <c:pt idx="6">
                  <c:v>10928155</c:v>
                </c:pt>
                <c:pt idx="7">
                  <c:v>34357948</c:v>
                </c:pt>
                <c:pt idx="8">
                  <c:v>51888046</c:v>
                </c:pt>
                <c:pt idx="9">
                  <c:v>42634631</c:v>
                </c:pt>
                <c:pt idx="10">
                  <c:v>31295689</c:v>
                </c:pt>
                <c:pt idx="11">
                  <c:v>52164246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A-472D-92CF-C05A8EFE74A5}"/>
            </c:ext>
          </c:extLst>
        </c:ser>
        <c:ser>
          <c:idx val="1"/>
          <c:order val="1"/>
          <c:tx>
            <c:strRef>
              <c:f>'Renewable Diesel'!$N$82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Diesel'!$N$83:$N$94</c:f>
              <c:numCache>
                <c:formatCode>#,##0_);[Red]\(#,##0\)</c:formatCode>
                <c:ptCount val="12"/>
                <c:pt idx="0">
                  <c:v>34682153</c:v>
                </c:pt>
                <c:pt idx="1">
                  <c:v>30274954</c:v>
                </c:pt>
                <c:pt idx="2">
                  <c:v>40481924</c:v>
                </c:pt>
                <c:pt idx="3">
                  <c:v>41439888</c:v>
                </c:pt>
                <c:pt idx="4">
                  <c:v>44793746</c:v>
                </c:pt>
                <c:pt idx="5">
                  <c:v>37873247</c:v>
                </c:pt>
                <c:pt idx="6">
                  <c:v>19083361</c:v>
                </c:pt>
                <c:pt idx="7">
                  <c:v>21091330</c:v>
                </c:pt>
                <c:pt idx="8">
                  <c:v>37588428</c:v>
                </c:pt>
                <c:pt idx="9">
                  <c:v>37818997</c:v>
                </c:pt>
                <c:pt idx="10">
                  <c:v>27012384</c:v>
                </c:pt>
                <c:pt idx="11">
                  <c:v>40398460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A-472D-92CF-C05A8EFE74A5}"/>
            </c:ext>
          </c:extLst>
        </c:ser>
        <c:ser>
          <c:idx val="2"/>
          <c:order val="2"/>
          <c:tx>
            <c:strRef>
              <c:f>'Renewable Diesel'!$O$82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9A-472D-92CF-C05A8EFE74A5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9A-472D-92CF-C05A8EFE74A5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9A-472D-92CF-C05A8EFE74A5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9A-472D-92CF-C05A8EFE74A5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49A-472D-92CF-C05A8EFE74A5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49A-472D-92CF-C05A8EFE74A5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49A-472D-92CF-C05A8EFE74A5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49A-472D-92CF-C05A8EFE74A5}"/>
              </c:ext>
            </c:extLst>
          </c:dPt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Diesel'!$O$83:$O$94</c:f>
              <c:numCache>
                <c:formatCode>#,##0_);[Red]\(#,##0\)</c:formatCode>
                <c:ptCount val="12"/>
                <c:pt idx="0">
                  <c:v>37899137</c:v>
                </c:pt>
                <c:pt idx="1">
                  <c:v>27487584</c:v>
                </c:pt>
                <c:pt idx="2">
                  <c:v>35665832</c:v>
                </c:pt>
                <c:pt idx="3">
                  <c:v>45063278</c:v>
                </c:pt>
                <c:pt idx="4">
                  <c:v>48678398</c:v>
                </c:pt>
                <c:pt idx="5">
                  <c:v>44223259</c:v>
                </c:pt>
                <c:pt idx="6">
                  <c:v>53757888</c:v>
                </c:pt>
                <c:pt idx="7">
                  <c:v>25472526</c:v>
                </c:pt>
                <c:pt idx="8">
                  <c:v>14917676</c:v>
                </c:pt>
                <c:pt idx="9">
                  <c:v>53574873</c:v>
                </c:pt>
                <c:pt idx="10">
                  <c:v>45390288</c:v>
                </c:pt>
                <c:pt idx="11">
                  <c:v>48623210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9A-472D-92CF-C05A8EFE74A5}"/>
            </c:ext>
          </c:extLst>
        </c:ser>
        <c:ser>
          <c:idx val="3"/>
          <c:order val="3"/>
          <c:tx>
            <c:strRef>
              <c:f>'Renewable Diesel'!$BA$82</c:f>
              <c:strCache>
                <c:ptCount val="1"/>
                <c:pt idx="0">
                  <c:v>5-Yr Avg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'Renewable Diesel'!$BA$83:$BA$94</c:f>
              <c:numCache>
                <c:formatCode>#,##0_);[Red]\(#,##0\)</c:formatCode>
                <c:ptCount val="12"/>
                <c:pt idx="0">
                  <c:v>23739149.199999999</c:v>
                </c:pt>
                <c:pt idx="1">
                  <c:v>24365928.800000001</c:v>
                </c:pt>
                <c:pt idx="2">
                  <c:v>28681311.600000001</c:v>
                </c:pt>
                <c:pt idx="3">
                  <c:v>37255592.600000001</c:v>
                </c:pt>
                <c:pt idx="4">
                  <c:v>41940230.399999999</c:v>
                </c:pt>
                <c:pt idx="5">
                  <c:v>38198105.200000003</c:v>
                </c:pt>
                <c:pt idx="6">
                  <c:v>26774411.199999999</c:v>
                </c:pt>
                <c:pt idx="7">
                  <c:v>28716844</c:v>
                </c:pt>
                <c:pt idx="8">
                  <c:v>39826710</c:v>
                </c:pt>
                <c:pt idx="9">
                  <c:v>32285950</c:v>
                </c:pt>
                <c:pt idx="10">
                  <c:v>29991670.800000001</c:v>
                </c:pt>
                <c:pt idx="11">
                  <c:v>39421132.799999997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9A-472D-92CF-C05A8EFE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159847"/>
        <c:axId val="402161287"/>
      </c:lineChart>
      <c:catAx>
        <c:axId val="40215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2161287"/>
        <c:crosses val="autoZero"/>
        <c:auto val="1"/>
        <c:lblAlgn val="ctr"/>
        <c:lblOffset val="100"/>
        <c:noMultiLvlLbl val="0"/>
      </c:catAx>
      <c:valAx>
        <c:axId val="40216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2159847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3838072324292797"/>
          <c:y val="0.72691026902887157"/>
          <c:w val="0.59337088072324284"/>
          <c:h val="5.072141406190889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U.S. Biodiesel Imports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321219106456361E-2"/>
          <c:y val="0.11958355571934659"/>
          <c:w val="0.91596092234722981"/>
          <c:h val="0.76024018991657016"/>
        </c:manualLayout>
      </c:layout>
      <c:lineChart>
        <c:grouping val="standard"/>
        <c:varyColors val="0"/>
        <c:ser>
          <c:idx val="0"/>
          <c:order val="0"/>
          <c:tx>
            <c:strRef>
              <c:f>Biodiesel!$M$118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Biodiesel!$M$119:$M$130</c:f>
              <c:numCache>
                <c:formatCode>#,##0_);[Red]\(#,##0\)</c:formatCode>
                <c:ptCount val="12"/>
                <c:pt idx="0">
                  <c:v>8536219</c:v>
                </c:pt>
                <c:pt idx="1">
                  <c:v>7661613</c:v>
                </c:pt>
                <c:pt idx="2">
                  <c:v>15146974</c:v>
                </c:pt>
                <c:pt idx="3">
                  <c:v>17336621</c:v>
                </c:pt>
                <c:pt idx="4">
                  <c:v>13326443</c:v>
                </c:pt>
                <c:pt idx="5">
                  <c:v>17588416</c:v>
                </c:pt>
                <c:pt idx="6">
                  <c:v>15382342</c:v>
                </c:pt>
                <c:pt idx="7">
                  <c:v>11048139</c:v>
                </c:pt>
                <c:pt idx="8">
                  <c:v>11792295</c:v>
                </c:pt>
                <c:pt idx="9">
                  <c:v>17888148</c:v>
                </c:pt>
                <c:pt idx="10">
                  <c:v>21482583</c:v>
                </c:pt>
                <c:pt idx="11">
                  <c:v>51260934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F-4EC3-9A87-C525755E1B59}"/>
            </c:ext>
          </c:extLst>
        </c:ser>
        <c:ser>
          <c:idx val="1"/>
          <c:order val="1"/>
          <c:tx>
            <c:strRef>
              <c:f>Biodiesel!$N$118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Biodiesel!$N$119:$N$130</c:f>
              <c:numCache>
                <c:formatCode>#,##0_);[Red]\(#,##0\)</c:formatCode>
                <c:ptCount val="12"/>
                <c:pt idx="0">
                  <c:v>12701046</c:v>
                </c:pt>
                <c:pt idx="1">
                  <c:v>6743825</c:v>
                </c:pt>
                <c:pt idx="2">
                  <c:v>22680677</c:v>
                </c:pt>
                <c:pt idx="3">
                  <c:v>29873220</c:v>
                </c:pt>
                <c:pt idx="4">
                  <c:v>11776660</c:v>
                </c:pt>
                <c:pt idx="5">
                  <c:v>19314836</c:v>
                </c:pt>
                <c:pt idx="6">
                  <c:v>8715707</c:v>
                </c:pt>
                <c:pt idx="7">
                  <c:v>15269993</c:v>
                </c:pt>
                <c:pt idx="8">
                  <c:v>19091391</c:v>
                </c:pt>
                <c:pt idx="9">
                  <c:v>17330959</c:v>
                </c:pt>
                <c:pt idx="10">
                  <c:v>33817396</c:v>
                </c:pt>
                <c:pt idx="11">
                  <c:v>43008881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F-4EC3-9A87-C525755E1B59}"/>
            </c:ext>
          </c:extLst>
        </c:ser>
        <c:ser>
          <c:idx val="2"/>
          <c:order val="2"/>
          <c:tx>
            <c:strRef>
              <c:f>Biodiesel!$O$118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6F-4EC3-9A87-C525755E1B59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6F-4EC3-9A87-C525755E1B59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6F-4EC3-9A87-C525755E1B59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6F-4EC3-9A87-C525755E1B59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06F-4EC3-9A87-C525755E1B59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06F-4EC3-9A87-C525755E1B59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06F-4EC3-9A87-C525755E1B59}"/>
              </c:ext>
            </c:extLst>
          </c:dPt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Biodiesel!$O$119:$O$130</c:f>
              <c:numCache>
                <c:formatCode>#,##0_);[Red]\(#,##0\)</c:formatCode>
                <c:ptCount val="12"/>
                <c:pt idx="0">
                  <c:v>24582474</c:v>
                </c:pt>
                <c:pt idx="1">
                  <c:v>40796313</c:v>
                </c:pt>
                <c:pt idx="2">
                  <c:v>44788401</c:v>
                </c:pt>
                <c:pt idx="3">
                  <c:v>34964458</c:v>
                </c:pt>
                <c:pt idx="4">
                  <c:v>39419838</c:v>
                </c:pt>
                <c:pt idx="5">
                  <c:v>41179873</c:v>
                </c:pt>
                <c:pt idx="6">
                  <c:v>30319251</c:v>
                </c:pt>
                <c:pt idx="7">
                  <c:v>44239929</c:v>
                </c:pt>
                <c:pt idx="8">
                  <c:v>40464493</c:v>
                </c:pt>
                <c:pt idx="9">
                  <c:v>57044013</c:v>
                </c:pt>
                <c:pt idx="10">
                  <c:v>42541477</c:v>
                </c:pt>
                <c:pt idx="11">
                  <c:v>64593783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06F-4EC3-9A87-C525755E1B59}"/>
            </c:ext>
          </c:extLst>
        </c:ser>
        <c:ser>
          <c:idx val="3"/>
          <c:order val="3"/>
          <c:tx>
            <c:strRef>
              <c:f>Biodiesel!$AX$118</c:f>
              <c:strCache>
                <c:ptCount val="1"/>
                <c:pt idx="0">
                  <c:v>5-Yr Avg (19-23)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'Renewable Diesel'!$AZ$83:$AZ$94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Biodiesel!$AX$119:$AX$129</c:f>
              <c:numCache>
                <c:formatCode>#,##0_);[Red]\(#,##0\)</c:formatCode>
                <c:ptCount val="11"/>
                <c:pt idx="0">
                  <c:v>13677158.333333334</c:v>
                </c:pt>
                <c:pt idx="1">
                  <c:v>13032895.833333334</c:v>
                </c:pt>
                <c:pt idx="2">
                  <c:v>20775720.333333332</c:v>
                </c:pt>
                <c:pt idx="3">
                  <c:v>20700593.833333332</c:v>
                </c:pt>
                <c:pt idx="4">
                  <c:v>19082325.5</c:v>
                </c:pt>
                <c:pt idx="5">
                  <c:v>28173109.833333332</c:v>
                </c:pt>
                <c:pt idx="6">
                  <c:v>20060289.666666668</c:v>
                </c:pt>
                <c:pt idx="7">
                  <c:v>19425665.5</c:v>
                </c:pt>
                <c:pt idx="8">
                  <c:v>16584815.333333334</c:v>
                </c:pt>
                <c:pt idx="9">
                  <c:v>20215019</c:v>
                </c:pt>
                <c:pt idx="10">
                  <c:v>21630444.5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06F-4EC3-9A87-C525755E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159847"/>
        <c:axId val="402161287"/>
      </c:lineChart>
      <c:catAx>
        <c:axId val="40215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2161287"/>
        <c:crosses val="autoZero"/>
        <c:auto val="1"/>
        <c:lblAlgn val="ctr"/>
        <c:lblOffset val="100"/>
        <c:noMultiLvlLbl val="0"/>
      </c:catAx>
      <c:valAx>
        <c:axId val="40216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2159847"/>
        <c:crosses val="autoZero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0365849932626553"/>
          <c:y val="0.17482693887892892"/>
          <c:w val="0.65818569553805761"/>
          <c:h val="5.072141406190889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/>
              <a:t>U.S. Monthly Feedstock Use in </a:t>
            </a:r>
            <a:br>
              <a:rPr lang="en-US" sz="1600"/>
            </a:br>
            <a:r>
              <a:rPr lang="en-US" sz="1600"/>
              <a:t>Renewable Fuel Production </a:t>
            </a:r>
          </a:p>
          <a:p>
            <a:pPr>
              <a:defRPr sz="1800"/>
            </a:pPr>
            <a:r>
              <a:rPr lang="en-US" sz="1100"/>
              <a:t>(excluding ethanol)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720290172061827"/>
          <c:y val="0.22519603018372703"/>
          <c:w val="0.69332203266258396"/>
          <c:h val="0.57738899825021872"/>
        </c:manualLayout>
      </c:layout>
      <c:areaChart>
        <c:grouping val="stacked"/>
        <c:varyColors val="0"/>
        <c:ser>
          <c:idx val="0"/>
          <c:order val="0"/>
          <c:tx>
            <c:strRef>
              <c:f>'Feedstock Use - chart data'!$B$1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F4-49E4-A853-DF90DFBCCB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F4-49E4-A853-DF90DFBCCB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F4-49E4-A853-DF90DFBCCB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F4-49E4-A853-DF90DFBCCB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F4-49E4-A853-DF90DFBCCB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F4-49E4-A853-DF90DFBCCB7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F4-49E4-A853-DF90DFBCCB7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F4-49E4-A853-DF90DFBCCB7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F4-49E4-A853-DF90DFBCCB7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F4-49E4-A853-DF90DFBCCB7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F4-49E4-A853-DF90DFBCCB7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F4-49E4-A853-DF90DFBCCB7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F4-49E4-A853-DF90DFBCCB7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F4-49E4-A853-DF90DFBCCB7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CF4-49E4-A853-DF90DFBCCB7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CF4-49E4-A853-DF90DFBCCB7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F4-49E4-A853-DF90DFBCCB7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CF4-49E4-A853-DF90DFBCCB7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F4-49E4-A853-DF90DFBCCB7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F4-49E4-A853-DF90DFBCCB7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F4-49E4-A853-DF90DFBCCB7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F4-49E4-A853-DF90DFBCCB7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F4-49E4-A853-DF90DFBCCB7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F4-49E4-A853-DF90DFBCCB7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CF4-49E4-A853-DF90DFBCCB7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F4-49E4-A853-DF90DFBCCB7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F4-49E4-A853-DF90DFBCCB7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F4-49E4-A853-DF90DFBCCB7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F4-49E4-A853-DF90DFBCCB7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F4-49E4-A853-DF90DFBCCB7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CF4-49E4-A853-DF90DFBCCB7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CF4-49E4-A853-DF90DFBCCB7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CF4-49E4-A853-DF90DFBCCB7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F4-49E4-A853-DF90DFBCCB7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F4-49E4-A853-DF90DFBCCB7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F4-49E4-A853-DF90DFBCCB7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F4-49E4-A853-DF90DFBCCB7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F4-49E4-A853-DF90DFBCCB7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F4-49E4-A853-DF90DFBCCB7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F4-49E4-A853-DF90DFBCCB7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CF4-49E4-A853-DF90DFBCCB7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F4-49E4-A853-DF90DFBCCB7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F4-49E4-A853-DF90DFBCCB7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F4-49E4-A853-DF90DFBCCB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data'!$B$122:$B$169</c:f>
              <c:numCache>
                <c:formatCode>#,##0_);[Red]\(#,##0\)</c:formatCode>
                <c:ptCount val="48"/>
                <c:pt idx="0">
                  <c:v>464.92010627046363</c:v>
                </c:pt>
                <c:pt idx="1">
                  <c:v>319.20156533980185</c:v>
                </c:pt>
                <c:pt idx="2">
                  <c:v>516.98119277223532</c:v>
                </c:pt>
                <c:pt idx="3">
                  <c:v>545.27086158299016</c:v>
                </c:pt>
                <c:pt idx="4">
                  <c:v>607.24367577257226</c:v>
                </c:pt>
                <c:pt idx="5">
                  <c:v>447.52073891518546</c:v>
                </c:pt>
                <c:pt idx="6">
                  <c:v>622.37633218578083</c:v>
                </c:pt>
                <c:pt idx="7">
                  <c:v>513.57724767128968</c:v>
                </c:pt>
                <c:pt idx="8">
                  <c:v>572.51958262530229</c:v>
                </c:pt>
                <c:pt idx="9">
                  <c:v>650.4058749447114</c:v>
                </c:pt>
                <c:pt idx="10">
                  <c:v>492.70689999400793</c:v>
                </c:pt>
                <c:pt idx="11">
                  <c:v>647.82612356375694</c:v>
                </c:pt>
                <c:pt idx="12">
                  <c:v>543.04</c:v>
                </c:pt>
                <c:pt idx="13">
                  <c:v>536.60199999999998</c:v>
                </c:pt>
                <c:pt idx="14">
                  <c:v>657.06299999999999</c:v>
                </c:pt>
                <c:pt idx="15">
                  <c:v>578.07399999999996</c:v>
                </c:pt>
                <c:pt idx="16">
                  <c:v>593.74400000000003</c:v>
                </c:pt>
                <c:pt idx="17">
                  <c:v>559.88699999999994</c:v>
                </c:pt>
                <c:pt idx="18">
                  <c:v>625.98500000000001</c:v>
                </c:pt>
                <c:pt idx="19">
                  <c:v>642.899</c:v>
                </c:pt>
                <c:pt idx="20">
                  <c:v>595.70399999999995</c:v>
                </c:pt>
                <c:pt idx="21">
                  <c:v>640.09400000000005</c:v>
                </c:pt>
                <c:pt idx="22">
                  <c:v>593.81100000000004</c:v>
                </c:pt>
                <c:pt idx="23">
                  <c:v>533.59299999999996</c:v>
                </c:pt>
                <c:pt idx="24">
                  <c:v>556.82899999999995</c:v>
                </c:pt>
                <c:pt idx="25">
                  <c:v>536.27599999999995</c:v>
                </c:pt>
                <c:pt idx="26">
                  <c:v>592.54200000000003</c:v>
                </c:pt>
                <c:pt idx="27">
                  <c:v>578.74400000000003</c:v>
                </c:pt>
                <c:pt idx="28">
                  <c:v>662.75699999999995</c:v>
                </c:pt>
                <c:pt idx="29">
                  <c:v>627.38300000000004</c:v>
                </c:pt>
                <c:pt idx="30">
                  <c:v>678.70100000000002</c:v>
                </c:pt>
                <c:pt idx="31">
                  <c:v>617.53700000000003</c:v>
                </c:pt>
                <c:pt idx="32">
                  <c:v>619.99400000000003</c:v>
                </c:pt>
                <c:pt idx="33">
                  <c:v>645.47</c:v>
                </c:pt>
                <c:pt idx="34">
                  <c:v>612.95299999999997</c:v>
                </c:pt>
                <c:pt idx="35">
                  <c:v>603</c:v>
                </c:pt>
                <c:pt idx="36">
                  <c:v>544.50800000000004</c:v>
                </c:pt>
                <c:pt idx="37">
                  <c:v>521.55999999999995</c:v>
                </c:pt>
                <c:pt idx="38">
                  <c:v>547.69156099999998</c:v>
                </c:pt>
                <c:pt idx="39">
                  <c:v>504.93900000000002</c:v>
                </c:pt>
                <c:pt idx="40">
                  <c:v>596.85599999999999</c:v>
                </c:pt>
                <c:pt idx="41">
                  <c:v>577.89058302499996</c:v>
                </c:pt>
                <c:pt idx="42">
                  <c:v>641.88599999999997</c:v>
                </c:pt>
                <c:pt idx="43">
                  <c:v>636.02</c:v>
                </c:pt>
                <c:pt idx="44">
                  <c:v>673.00900000000001</c:v>
                </c:pt>
                <c:pt idx="45">
                  <c:v>518.05399999999997</c:v>
                </c:pt>
                <c:pt idx="46">
                  <c:v>467.47699999999998</c:v>
                </c:pt>
                <c:pt idx="47">
                  <c:v>399.74799999999999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CF4-49E4-A853-DF90DFBCCB7A}"/>
            </c:ext>
          </c:extLst>
        </c:ser>
        <c:ser>
          <c:idx val="1"/>
          <c:order val="1"/>
          <c:tx>
            <c:strRef>
              <c:f>'Feedstock Use - chart data'!$C$1</c:f>
              <c:strCache>
                <c:ptCount val="1"/>
                <c:pt idx="0">
                  <c:v>Canola Oil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data'!$C$122:$C$169</c:f>
              <c:numCache>
                <c:formatCode>#,##0_);[Red]\(#,##0\)</c:formatCode>
                <c:ptCount val="48"/>
                <c:pt idx="0">
                  <c:v>227.95051681497193</c:v>
                </c:pt>
                <c:pt idx="1">
                  <c:v>85.328000000000003</c:v>
                </c:pt>
                <c:pt idx="2">
                  <c:v>122.631</c:v>
                </c:pt>
                <c:pt idx="3">
                  <c:v>216.88422028148534</c:v>
                </c:pt>
                <c:pt idx="4">
                  <c:v>174.67826625670898</c:v>
                </c:pt>
                <c:pt idx="5">
                  <c:v>271.87014493241782</c:v>
                </c:pt>
                <c:pt idx="6">
                  <c:v>122.929</c:v>
                </c:pt>
                <c:pt idx="7">
                  <c:v>141.64099999999999</c:v>
                </c:pt>
                <c:pt idx="8">
                  <c:v>105.514</c:v>
                </c:pt>
                <c:pt idx="9">
                  <c:v>115.738</c:v>
                </c:pt>
                <c:pt idx="10">
                  <c:v>132.672888</c:v>
                </c:pt>
                <c:pt idx="11">
                  <c:v>126.211</c:v>
                </c:pt>
                <c:pt idx="12">
                  <c:v>63.920999999999999</c:v>
                </c:pt>
                <c:pt idx="13">
                  <c:v>59.081998216759644</c:v>
                </c:pt>
                <c:pt idx="14">
                  <c:v>68.572284573221395</c:v>
                </c:pt>
                <c:pt idx="15">
                  <c:v>101.556</c:v>
                </c:pt>
                <c:pt idx="16">
                  <c:v>121.788</c:v>
                </c:pt>
                <c:pt idx="17">
                  <c:v>125.13800000000001</c:v>
                </c:pt>
                <c:pt idx="18">
                  <c:v>132.958</c:v>
                </c:pt>
                <c:pt idx="19">
                  <c:v>133.40799999999999</c:v>
                </c:pt>
                <c:pt idx="20">
                  <c:v>131.62100000000001</c:v>
                </c:pt>
                <c:pt idx="21">
                  <c:v>167.27600000000001</c:v>
                </c:pt>
                <c:pt idx="22">
                  <c:v>113.45</c:v>
                </c:pt>
                <c:pt idx="23">
                  <c:v>119.591805422766</c:v>
                </c:pt>
                <c:pt idx="24">
                  <c:v>95.943749308474011</c:v>
                </c:pt>
                <c:pt idx="25">
                  <c:v>66.343073137521245</c:v>
                </c:pt>
                <c:pt idx="26">
                  <c:v>190.37899999999999</c:v>
                </c:pt>
                <c:pt idx="27">
                  <c:v>155.17699999999999</c:v>
                </c:pt>
                <c:pt idx="28">
                  <c:v>171.66900000000001</c:v>
                </c:pt>
                <c:pt idx="29">
                  <c:v>195.203</c:v>
                </c:pt>
                <c:pt idx="30">
                  <c:v>164.44</c:v>
                </c:pt>
                <c:pt idx="31">
                  <c:v>174.27099999999999</c:v>
                </c:pt>
                <c:pt idx="32">
                  <c:v>161.12799999999999</c:v>
                </c:pt>
                <c:pt idx="33">
                  <c:v>165.429</c:v>
                </c:pt>
                <c:pt idx="34">
                  <c:v>137.553</c:v>
                </c:pt>
                <c:pt idx="35">
                  <c:v>150.333786</c:v>
                </c:pt>
                <c:pt idx="36">
                  <c:v>152.648</c:v>
                </c:pt>
                <c:pt idx="37">
                  <c:v>129.77799999999999</c:v>
                </c:pt>
                <c:pt idx="38">
                  <c:v>144.564888</c:v>
                </c:pt>
                <c:pt idx="39">
                  <c:v>175.02799999999999</c:v>
                </c:pt>
                <c:pt idx="40">
                  <c:v>157.65700000000001</c:v>
                </c:pt>
                <c:pt idx="41">
                  <c:v>162.12700000000001</c:v>
                </c:pt>
                <c:pt idx="42">
                  <c:v>139.11799999999999</c:v>
                </c:pt>
                <c:pt idx="43">
                  <c:v>168.06899999999999</c:v>
                </c:pt>
                <c:pt idx="44">
                  <c:v>127.221</c:v>
                </c:pt>
                <c:pt idx="45">
                  <c:v>138.16900000000001</c:v>
                </c:pt>
                <c:pt idx="46">
                  <c:v>120.133</c:v>
                </c:pt>
                <c:pt idx="47">
                  <c:v>132.01599999999999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CF4-49E4-A853-DF90DFBCCB7A}"/>
            </c:ext>
          </c:extLst>
        </c:ser>
        <c:ser>
          <c:idx val="2"/>
          <c:order val="2"/>
          <c:tx>
            <c:strRef>
              <c:f>'Feedstock Use - chart data'!$D$1</c:f>
              <c:strCache>
                <c:ptCount val="1"/>
                <c:pt idx="0">
                  <c:v>Distillers' Corn Oil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data'!$D$122:$D$169</c:f>
              <c:numCache>
                <c:formatCode>#,##0_);[Red]\(#,##0\)</c:formatCode>
                <c:ptCount val="48"/>
                <c:pt idx="0">
                  <c:v>112.66256969861432</c:v>
                </c:pt>
                <c:pt idx="1">
                  <c:v>79.493695352216392</c:v>
                </c:pt>
                <c:pt idx="2">
                  <c:v>95.26608662118052</c:v>
                </c:pt>
                <c:pt idx="3">
                  <c:v>109.8520735023011</c:v>
                </c:pt>
                <c:pt idx="4">
                  <c:v>156.3439605572656</c:v>
                </c:pt>
                <c:pt idx="5">
                  <c:v>140.08574075212724</c:v>
                </c:pt>
                <c:pt idx="6">
                  <c:v>135.56058547432329</c:v>
                </c:pt>
                <c:pt idx="7">
                  <c:v>72.740445753841811</c:v>
                </c:pt>
                <c:pt idx="8">
                  <c:v>66.280529424396377</c:v>
                </c:pt>
                <c:pt idx="9">
                  <c:v>116.78623301776037</c:v>
                </c:pt>
                <c:pt idx="10">
                  <c:v>143.27134692397613</c:v>
                </c:pt>
                <c:pt idx="11">
                  <c:v>150.29797397803216</c:v>
                </c:pt>
                <c:pt idx="12">
                  <c:v>153.07208812566179</c:v>
                </c:pt>
                <c:pt idx="13">
                  <c:v>134.68609331312609</c:v>
                </c:pt>
                <c:pt idx="14">
                  <c:v>164.3963753382962</c:v>
                </c:pt>
                <c:pt idx="15">
                  <c:v>157.76216516262048</c:v>
                </c:pt>
                <c:pt idx="16">
                  <c:v>148.10802853691865</c:v>
                </c:pt>
                <c:pt idx="17">
                  <c:v>174.29355895617817</c:v>
                </c:pt>
                <c:pt idx="18">
                  <c:v>154.27151619947387</c:v>
                </c:pt>
                <c:pt idx="19">
                  <c:v>166.45136479140911</c:v>
                </c:pt>
                <c:pt idx="20">
                  <c:v>133.406418281404</c:v>
                </c:pt>
                <c:pt idx="21">
                  <c:v>106.99013809186347</c:v>
                </c:pt>
                <c:pt idx="22">
                  <c:v>102.55446605916929</c:v>
                </c:pt>
                <c:pt idx="23">
                  <c:v>110.42206778143442</c:v>
                </c:pt>
                <c:pt idx="24">
                  <c:v>111.878</c:v>
                </c:pt>
                <c:pt idx="25">
                  <c:v>95.100999999999999</c:v>
                </c:pt>
                <c:pt idx="26">
                  <c:v>87.424999999999997</c:v>
                </c:pt>
                <c:pt idx="27">
                  <c:v>83.272999999999996</c:v>
                </c:pt>
                <c:pt idx="28">
                  <c:v>96.176000000000002</c:v>
                </c:pt>
                <c:pt idx="29">
                  <c:v>97.825000000000003</c:v>
                </c:pt>
                <c:pt idx="30">
                  <c:v>89.481999999999999</c:v>
                </c:pt>
                <c:pt idx="31">
                  <c:v>87.953000000000003</c:v>
                </c:pt>
                <c:pt idx="32">
                  <c:v>73.75</c:v>
                </c:pt>
                <c:pt idx="33">
                  <c:v>76.281999999999996</c:v>
                </c:pt>
                <c:pt idx="34">
                  <c:v>85</c:v>
                </c:pt>
                <c:pt idx="35">
                  <c:v>63.088000000000001</c:v>
                </c:pt>
                <c:pt idx="36">
                  <c:v>71.075999999999993</c:v>
                </c:pt>
                <c:pt idx="37">
                  <c:v>73.781000000000006</c:v>
                </c:pt>
                <c:pt idx="38">
                  <c:v>83.418310000000005</c:v>
                </c:pt>
                <c:pt idx="39">
                  <c:v>96.388298992940378</c:v>
                </c:pt>
                <c:pt idx="40">
                  <c:v>81.438000000000002</c:v>
                </c:pt>
                <c:pt idx="41">
                  <c:v>79.507999999999996</c:v>
                </c:pt>
                <c:pt idx="42">
                  <c:v>84.588999999999999</c:v>
                </c:pt>
                <c:pt idx="43">
                  <c:v>90.349000000000004</c:v>
                </c:pt>
                <c:pt idx="44">
                  <c:v>69.864999999999995</c:v>
                </c:pt>
                <c:pt idx="45">
                  <c:v>65.177999999999997</c:v>
                </c:pt>
                <c:pt idx="46">
                  <c:v>62.813000000000002</c:v>
                </c:pt>
                <c:pt idx="47">
                  <c:v>66.537000000000006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CF4-49E4-A853-DF90DFBCCB7A}"/>
            </c:ext>
          </c:extLst>
        </c:ser>
        <c:ser>
          <c:idx val="3"/>
          <c:order val="3"/>
          <c:tx>
            <c:strRef>
              <c:f>'Feedstock Use - chart data'!$E$1</c:f>
              <c:strCache>
                <c:ptCount val="1"/>
                <c:pt idx="0">
                  <c:v>Inedible Tallow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F4-49E4-A853-DF90DFBCCB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CF4-49E4-A853-DF90DFBCCB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F4-49E4-A853-DF90DFBCCB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F4-49E4-A853-DF90DFBCCB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F4-49E4-A853-DF90DFBCCB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F4-49E4-A853-DF90DFBCCB7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F4-49E4-A853-DF90DFBCCB7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F4-49E4-A853-DF90DFBCCB7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F4-49E4-A853-DF90DFBCCB7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F4-49E4-A853-DF90DFBCCB7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F4-49E4-A853-DF90DFBCCB7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CF4-49E4-A853-DF90DFBCCB7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CF4-49E4-A853-DF90DFBCCB7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CF4-49E4-A853-DF90DFBCCB7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CF4-49E4-A853-DF90DFBCCB7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F4-49E4-A853-DF90DFBCCB7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F4-49E4-A853-DF90DFBCCB7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F4-49E4-A853-DF90DFBCCB7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F4-49E4-A853-DF90DFBCCB7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F4-49E4-A853-DF90DFBCCB7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F4-49E4-A853-DF90DFBCCB7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F4-49E4-A853-DF90DFBCCB7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F4-49E4-A853-DF90DFBCCB7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F4-49E4-A853-DF90DFBCCB7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F4-49E4-A853-DF90DFBCCB7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ECF4-49E4-A853-DF90DFBCCB7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CF4-49E4-A853-DF90DFBCCB7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ECF4-49E4-A853-DF90DFBCCB7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CF4-49E4-A853-DF90DFBCCB7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ECF4-49E4-A853-DF90DFBCCB7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CF4-49E4-A853-DF90DFBCCB7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ECF4-49E4-A853-DF90DFBCCB7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CF4-49E4-A853-DF90DFBCCB7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ECF4-49E4-A853-DF90DFBCCB7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CF4-49E4-A853-DF90DFBCCB7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ECF4-49E4-A853-DF90DFBCCB7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CF4-49E4-A853-DF90DFBCCB7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ECF4-49E4-A853-DF90DFBCCB7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CF4-49E4-A853-DF90DFBCCB7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ECF4-49E4-A853-DF90DFBCCB7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CF4-49E4-A853-DF90DFBCCB7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ECF4-49E4-A853-DF90DFBCCB7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CF4-49E4-A853-DF90DFBCCB7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ECF4-49E4-A853-DF90DFBCCB7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CF4-49E4-A853-DF90DFBCCB7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ECF4-49E4-A853-DF90DFBCCB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data'!$E$122:$E$169</c:f>
              <c:numCache>
                <c:formatCode>#,##0_);[Red]\(#,##0\)</c:formatCode>
                <c:ptCount val="48"/>
                <c:pt idx="0">
                  <c:v>34.87645999055772</c:v>
                </c:pt>
                <c:pt idx="1">
                  <c:v>17.651621377404553</c:v>
                </c:pt>
                <c:pt idx="2">
                  <c:v>26.547811991464474</c:v>
                </c:pt>
                <c:pt idx="3">
                  <c:v>21.363774467652096</c:v>
                </c:pt>
                <c:pt idx="4">
                  <c:v>25.392375458331561</c:v>
                </c:pt>
                <c:pt idx="5">
                  <c:v>32.680021748384746</c:v>
                </c:pt>
                <c:pt idx="6">
                  <c:v>27.395879169331749</c:v>
                </c:pt>
                <c:pt idx="7">
                  <c:v>24.758974566951753</c:v>
                </c:pt>
                <c:pt idx="8">
                  <c:v>25.388351974495912</c:v>
                </c:pt>
                <c:pt idx="9">
                  <c:v>36.393954469162871</c:v>
                </c:pt>
                <c:pt idx="10">
                  <c:v>32.371481818907306</c:v>
                </c:pt>
                <c:pt idx="11">
                  <c:v>46.93825971606968</c:v>
                </c:pt>
                <c:pt idx="12">
                  <c:v>52.167653173468828</c:v>
                </c:pt>
                <c:pt idx="13">
                  <c:v>35.037082005240109</c:v>
                </c:pt>
                <c:pt idx="14">
                  <c:v>33.436403587412826</c:v>
                </c:pt>
                <c:pt idx="15">
                  <c:v>34.742019646143326</c:v>
                </c:pt>
                <c:pt idx="16">
                  <c:v>26.180596370130456</c:v>
                </c:pt>
                <c:pt idx="17">
                  <c:v>44.125254716974446</c:v>
                </c:pt>
                <c:pt idx="18">
                  <c:v>53.705097905498256</c:v>
                </c:pt>
                <c:pt idx="19">
                  <c:v>41.34410230160276</c:v>
                </c:pt>
                <c:pt idx="20">
                  <c:v>51.602875113423359</c:v>
                </c:pt>
                <c:pt idx="21">
                  <c:v>54.835067504636712</c:v>
                </c:pt>
                <c:pt idx="22">
                  <c:v>59.214329663939431</c:v>
                </c:pt>
                <c:pt idx="23">
                  <c:v>76.13872767261681</c:v>
                </c:pt>
                <c:pt idx="24">
                  <c:v>66.012282677561259</c:v>
                </c:pt>
                <c:pt idx="25">
                  <c:v>59.944033865187315</c:v>
                </c:pt>
                <c:pt idx="26">
                  <c:v>91.523085954609073</c:v>
                </c:pt>
                <c:pt idx="27">
                  <c:v>72.594399409519482</c:v>
                </c:pt>
                <c:pt idx="28">
                  <c:v>87.359508103225821</c:v>
                </c:pt>
                <c:pt idx="29">
                  <c:v>82.546761291824581</c:v>
                </c:pt>
                <c:pt idx="30">
                  <c:v>91.02308875409372</c:v>
                </c:pt>
                <c:pt idx="31">
                  <c:v>103.63008670702204</c:v>
                </c:pt>
                <c:pt idx="32">
                  <c:v>114.22391630840667</c:v>
                </c:pt>
                <c:pt idx="33">
                  <c:v>54.998405648361405</c:v>
                </c:pt>
                <c:pt idx="34">
                  <c:v>57.781512307298065</c:v>
                </c:pt>
                <c:pt idx="35">
                  <c:v>55.560636930267734</c:v>
                </c:pt>
                <c:pt idx="36">
                  <c:v>72.590086245091967</c:v>
                </c:pt>
                <c:pt idx="37">
                  <c:v>77.980262967164947</c:v>
                </c:pt>
                <c:pt idx="38">
                  <c:v>82.974981291108975</c:v>
                </c:pt>
                <c:pt idx="39">
                  <c:v>66.115810659397127</c:v>
                </c:pt>
                <c:pt idx="40">
                  <c:v>67.180565093294831</c:v>
                </c:pt>
                <c:pt idx="41">
                  <c:v>68.630729380506381</c:v>
                </c:pt>
                <c:pt idx="42">
                  <c:v>60.615335366791165</c:v>
                </c:pt>
                <c:pt idx="43">
                  <c:v>67.478324706507806</c:v>
                </c:pt>
                <c:pt idx="44">
                  <c:v>49.541812152161917</c:v>
                </c:pt>
                <c:pt idx="45">
                  <c:v>68.829830185646358</c:v>
                </c:pt>
                <c:pt idx="46">
                  <c:v>77.655615187255918</c:v>
                </c:pt>
                <c:pt idx="47">
                  <c:v>87.464534815173636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ECF4-49E4-A853-DF90DFBCCB7A}"/>
            </c:ext>
          </c:extLst>
        </c:ser>
        <c:ser>
          <c:idx val="4"/>
          <c:order val="4"/>
          <c:tx>
            <c:strRef>
              <c:f>'Feedstock Use - chart data'!$F$1</c:f>
              <c:strCache>
                <c:ptCount val="1"/>
                <c:pt idx="0">
                  <c:v>Yellow Grease/Used Cooking Oil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ECF4-49E4-A853-DF90DFBCCB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CF4-49E4-A853-DF90DFBCCB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ECF4-49E4-A853-DF90DFBCCB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CF4-49E4-A853-DF90DFBCCB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ECF4-49E4-A853-DF90DFBCCB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CF4-49E4-A853-DF90DFBCCB7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ECF4-49E4-A853-DF90DFBCCB7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CF4-49E4-A853-DF90DFBCCB7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ECF4-49E4-A853-DF90DFBCCB7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CF4-49E4-A853-DF90DFBCCB7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ECF4-49E4-A853-DF90DFBCCB7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ECF4-49E4-A853-DF90DFBCCB7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ECF4-49E4-A853-DF90DFBCCB7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ECF4-49E4-A853-DF90DFBCCB7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ECF4-49E4-A853-DF90DFBCCB7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ECF4-49E4-A853-DF90DFBCCB7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ECF4-49E4-A853-DF90DFBCCB7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ECF4-49E4-A853-DF90DFBCCB7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ECF4-49E4-A853-DF90DFBCCB7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ECF4-49E4-A853-DF90DFBCCB7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ECF4-49E4-A853-DF90DFBCCB7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ECF4-49E4-A853-DF90DFBCCB7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ECF4-49E4-A853-DF90DFBCCB7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ECF4-49E4-A853-DF90DFBCCB7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ECF4-49E4-A853-DF90DFBCCB7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ECF4-49E4-A853-DF90DFBCCB7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ECF4-49E4-A853-DF90DFBCCB7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ECF4-49E4-A853-DF90DFBCCB7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ECF4-49E4-A853-DF90DFBCCB7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ECF4-49E4-A853-DF90DFBCCB7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ECF4-49E4-A853-DF90DFBCCB7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ECF4-49E4-A853-DF90DFBCCB7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ECF4-49E4-A853-DF90DFBCCB7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ECF4-49E4-A853-DF90DFBCCB7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ECF4-49E4-A853-DF90DFBCCB7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ECF4-49E4-A853-DF90DFBCCB7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ECF4-49E4-A853-DF90DFBCCB7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ECF4-49E4-A853-DF90DFBCCB7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ECF4-49E4-A853-DF90DFBCCB7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ECF4-49E4-A853-DF90DFBCCB7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ECF4-49E4-A853-DF90DFBCCB7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ECF4-49E4-A853-DF90DFBCCB7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ECF4-49E4-A853-DF90DFBCCB7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ECF4-49E4-A853-DF90DFBCCB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data'!$F$122:$F$169</c:f>
              <c:numCache>
                <c:formatCode>#,##0_);[Red]\(#,##0\)</c:formatCode>
                <c:ptCount val="48"/>
                <c:pt idx="0">
                  <c:v>228.03635095055751</c:v>
                </c:pt>
                <c:pt idx="1">
                  <c:v>187.49914464860089</c:v>
                </c:pt>
                <c:pt idx="2">
                  <c:v>219.19457260697058</c:v>
                </c:pt>
                <c:pt idx="3">
                  <c:v>241.12883021696916</c:v>
                </c:pt>
                <c:pt idx="4">
                  <c:v>250.89675313333822</c:v>
                </c:pt>
                <c:pt idx="5">
                  <c:v>266.80766165855226</c:v>
                </c:pt>
                <c:pt idx="6">
                  <c:v>282.53128421786363</c:v>
                </c:pt>
                <c:pt idx="7">
                  <c:v>270.03679974264185</c:v>
                </c:pt>
                <c:pt idx="8">
                  <c:v>214.71321987608576</c:v>
                </c:pt>
                <c:pt idx="9">
                  <c:v>501.35217295584437</c:v>
                </c:pt>
                <c:pt idx="10">
                  <c:v>555.79120042705199</c:v>
                </c:pt>
                <c:pt idx="11">
                  <c:v>708.39189367229676</c:v>
                </c:pt>
                <c:pt idx="12">
                  <c:v>588.66354740120664</c:v>
                </c:pt>
                <c:pt idx="13">
                  <c:v>772.19566545965677</c:v>
                </c:pt>
                <c:pt idx="14">
                  <c:v>745.42103016163753</c:v>
                </c:pt>
                <c:pt idx="15">
                  <c:v>721.61793528706937</c:v>
                </c:pt>
                <c:pt idx="16">
                  <c:v>964.64577762173019</c:v>
                </c:pt>
                <c:pt idx="17">
                  <c:v>835.70210586801147</c:v>
                </c:pt>
                <c:pt idx="18">
                  <c:v>690.40517407751429</c:v>
                </c:pt>
                <c:pt idx="19">
                  <c:v>852.35160611574304</c:v>
                </c:pt>
                <c:pt idx="20">
                  <c:v>891.2715033856756</c:v>
                </c:pt>
                <c:pt idx="21">
                  <c:v>815.31321202909578</c:v>
                </c:pt>
                <c:pt idx="22">
                  <c:v>1188.94847449339</c:v>
                </c:pt>
                <c:pt idx="23">
                  <c:v>998.35235937177436</c:v>
                </c:pt>
                <c:pt idx="24">
                  <c:v>759.11132592933086</c:v>
                </c:pt>
                <c:pt idx="25">
                  <c:v>736.1244510620262</c:v>
                </c:pt>
                <c:pt idx="26">
                  <c:v>1153.6083492262737</c:v>
                </c:pt>
                <c:pt idx="27">
                  <c:v>1057.7499570489874</c:v>
                </c:pt>
                <c:pt idx="28">
                  <c:v>1318.1899525913916</c:v>
                </c:pt>
                <c:pt idx="29">
                  <c:v>1063.9093675508134</c:v>
                </c:pt>
                <c:pt idx="30">
                  <c:v>910.92278681794824</c:v>
                </c:pt>
                <c:pt idx="31">
                  <c:v>1145.854995618093</c:v>
                </c:pt>
                <c:pt idx="32">
                  <c:v>1053.3741035494511</c:v>
                </c:pt>
                <c:pt idx="33">
                  <c:v>824.7167274217129</c:v>
                </c:pt>
                <c:pt idx="34">
                  <c:v>807.6554000000001</c:v>
                </c:pt>
                <c:pt idx="35">
                  <c:v>932.77785698604123</c:v>
                </c:pt>
                <c:pt idx="36">
                  <c:v>790.10363482109813</c:v>
                </c:pt>
                <c:pt idx="37">
                  <c:v>848.82893966469157</c:v>
                </c:pt>
                <c:pt idx="38">
                  <c:v>750.30971602176635</c:v>
                </c:pt>
                <c:pt idx="39">
                  <c:v>1306.9110898520216</c:v>
                </c:pt>
                <c:pt idx="40">
                  <c:v>896.81106876712249</c:v>
                </c:pt>
                <c:pt idx="41">
                  <c:v>1126.0796371185875</c:v>
                </c:pt>
                <c:pt idx="42">
                  <c:v>1091.9598411871709</c:v>
                </c:pt>
                <c:pt idx="43">
                  <c:v>980.44806086608298</c:v>
                </c:pt>
                <c:pt idx="44">
                  <c:v>1272.120005979845</c:v>
                </c:pt>
                <c:pt idx="45">
                  <c:v>1257.4594475317954</c:v>
                </c:pt>
                <c:pt idx="46">
                  <c:v>894.57345259842054</c:v>
                </c:pt>
                <c:pt idx="47">
                  <c:v>1276.4008288691691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ECF4-49E4-A853-DF90DFBCCB7A}"/>
            </c:ext>
          </c:extLst>
        </c:ser>
        <c:ser>
          <c:idx val="5"/>
          <c:order val="5"/>
          <c:tx>
            <c:strRef>
              <c:f>'Feedstock Use - chart data'!$G$1</c:f>
              <c:strCache>
                <c:ptCount val="1"/>
                <c:pt idx="0">
                  <c:v>Choice White Grease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data'!$G$122:$G$169</c:f>
              <c:numCache>
                <c:formatCode>#,##0_);[Red]\(#,##0\)</c:formatCode>
                <c:ptCount val="48"/>
                <c:pt idx="0">
                  <c:v>46.51149385066099</c:v>
                </c:pt>
                <c:pt idx="1">
                  <c:v>23.415303304755309</c:v>
                </c:pt>
                <c:pt idx="2">
                  <c:v>31.727419492229764</c:v>
                </c:pt>
                <c:pt idx="3">
                  <c:v>21.139088583794067</c:v>
                </c:pt>
                <c:pt idx="4">
                  <c:v>18.700041479024726</c:v>
                </c:pt>
                <c:pt idx="5">
                  <c:v>27.632865208265326</c:v>
                </c:pt>
                <c:pt idx="6">
                  <c:v>19.176138475083587</c:v>
                </c:pt>
                <c:pt idx="7">
                  <c:v>14.715028424302634</c:v>
                </c:pt>
                <c:pt idx="8">
                  <c:v>15.515162820757276</c:v>
                </c:pt>
                <c:pt idx="9">
                  <c:v>42.256396960623931</c:v>
                </c:pt>
                <c:pt idx="10">
                  <c:v>34.81884158560392</c:v>
                </c:pt>
                <c:pt idx="11">
                  <c:v>40.391914002886487</c:v>
                </c:pt>
                <c:pt idx="12">
                  <c:v>18.10479481541778</c:v>
                </c:pt>
                <c:pt idx="13">
                  <c:v>17.735924180117653</c:v>
                </c:pt>
                <c:pt idx="14">
                  <c:v>19.608091188659177</c:v>
                </c:pt>
                <c:pt idx="15">
                  <c:v>17.532824255587588</c:v>
                </c:pt>
                <c:pt idx="16">
                  <c:v>20.553320262475836</c:v>
                </c:pt>
                <c:pt idx="17">
                  <c:v>21.490937486635943</c:v>
                </c:pt>
                <c:pt idx="18">
                  <c:v>19.659876578107184</c:v>
                </c:pt>
                <c:pt idx="19">
                  <c:v>19.731583582260278</c:v>
                </c:pt>
                <c:pt idx="20">
                  <c:v>17.589755161114937</c:v>
                </c:pt>
                <c:pt idx="21">
                  <c:v>18.342527144698717</c:v>
                </c:pt>
                <c:pt idx="22">
                  <c:v>19.026145053098343</c:v>
                </c:pt>
                <c:pt idx="23">
                  <c:v>22.833451805726607</c:v>
                </c:pt>
                <c:pt idx="24">
                  <c:v>17.979682322250461</c:v>
                </c:pt>
                <c:pt idx="25">
                  <c:v>13.712724760479736</c:v>
                </c:pt>
                <c:pt idx="26">
                  <c:v>26.566346423946968</c:v>
                </c:pt>
                <c:pt idx="27">
                  <c:v>33.64198191490825</c:v>
                </c:pt>
                <c:pt idx="28">
                  <c:v>48.676772042633772</c:v>
                </c:pt>
                <c:pt idx="29">
                  <c:v>24.272817833821286</c:v>
                </c:pt>
                <c:pt idx="30">
                  <c:v>26.558214183198217</c:v>
                </c:pt>
                <c:pt idx="31">
                  <c:v>40.577882091969094</c:v>
                </c:pt>
                <c:pt idx="32">
                  <c:v>28.447345668360651</c:v>
                </c:pt>
                <c:pt idx="33">
                  <c:v>12.854891234883162</c:v>
                </c:pt>
                <c:pt idx="34">
                  <c:v>13.667000000000002</c:v>
                </c:pt>
                <c:pt idx="35">
                  <c:v>2.4820046687072925</c:v>
                </c:pt>
                <c:pt idx="36">
                  <c:v>4.6272370370542362</c:v>
                </c:pt>
                <c:pt idx="37">
                  <c:v>15.304777894846277</c:v>
                </c:pt>
                <c:pt idx="38">
                  <c:v>9.335565909043515</c:v>
                </c:pt>
                <c:pt idx="39">
                  <c:v>9.5585545551382758</c:v>
                </c:pt>
                <c:pt idx="40">
                  <c:v>21.709939631642687</c:v>
                </c:pt>
                <c:pt idx="41">
                  <c:v>3.2582435156062619</c:v>
                </c:pt>
                <c:pt idx="42">
                  <c:v>13.168262905898681</c:v>
                </c:pt>
                <c:pt idx="43">
                  <c:v>9.0076143998447691</c:v>
                </c:pt>
                <c:pt idx="44">
                  <c:v>-1.0099043615745145</c:v>
                </c:pt>
                <c:pt idx="45">
                  <c:v>3.5428347112779726</c:v>
                </c:pt>
                <c:pt idx="46">
                  <c:v>43.216498237065878</c:v>
                </c:pt>
                <c:pt idx="47">
                  <c:v>37.751700312783285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ECF4-49E4-A853-DF90DFBCCB7A}"/>
            </c:ext>
          </c:extLst>
        </c:ser>
        <c:ser>
          <c:idx val="6"/>
          <c:order val="6"/>
          <c:tx>
            <c:strRef>
              <c:f>'Feedstock Use - chart data'!$H$1</c:f>
              <c:strCache>
                <c:ptCount val="1"/>
                <c:pt idx="0">
                  <c:v>Poultry Fat</c:v>
                </c:pt>
              </c:strCache>
            </c:strRef>
          </c:tx>
          <c:spPr>
            <a:solidFill>
              <a:srgbClr val="D886DA"/>
            </a:solidFill>
            <a:ln>
              <a:solidFill>
                <a:srgbClr val="323232"/>
              </a:solidFill>
            </a:ln>
            <a:effectLst/>
          </c:spPr>
          <c:cat>
            <c:numRef>
              <c:f>'Feedstock Use - chart data'!$A$122:$A$169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'Feedstock Use - chart data'!$H$122:$H$169</c:f>
              <c:numCache>
                <c:formatCode>#,##0_);[Red]\(#,##0\)</c:formatCode>
                <c:ptCount val="48"/>
                <c:pt idx="0">
                  <c:v>33.534999999999997</c:v>
                </c:pt>
                <c:pt idx="1">
                  <c:v>34.244999999999997</c:v>
                </c:pt>
                <c:pt idx="2">
                  <c:v>43.158000000000001</c:v>
                </c:pt>
                <c:pt idx="3">
                  <c:v>36.418999999999997</c:v>
                </c:pt>
                <c:pt idx="4">
                  <c:v>31.837</c:v>
                </c:pt>
                <c:pt idx="5">
                  <c:v>19.489000000000001</c:v>
                </c:pt>
                <c:pt idx="6">
                  <c:v>21.032</c:v>
                </c:pt>
                <c:pt idx="7">
                  <c:v>18.109000000000002</c:v>
                </c:pt>
                <c:pt idx="8">
                  <c:v>17.348973118689422</c:v>
                </c:pt>
                <c:pt idx="9">
                  <c:v>13.856086855318358</c:v>
                </c:pt>
                <c:pt idx="10">
                  <c:v>15.474356610903197</c:v>
                </c:pt>
                <c:pt idx="11">
                  <c:v>18.657485713200082</c:v>
                </c:pt>
                <c:pt idx="12">
                  <c:v>13.810885546858449</c:v>
                </c:pt>
                <c:pt idx="13">
                  <c:v>11.639601875815378</c:v>
                </c:pt>
                <c:pt idx="14">
                  <c:v>13.945280767206244</c:v>
                </c:pt>
                <c:pt idx="15">
                  <c:v>11.616042093179136</c:v>
                </c:pt>
                <c:pt idx="16">
                  <c:v>7.7839089713121261</c:v>
                </c:pt>
                <c:pt idx="17">
                  <c:v>7.6405620942472385</c:v>
                </c:pt>
                <c:pt idx="18">
                  <c:v>9.4493116801392887</c:v>
                </c:pt>
                <c:pt idx="19">
                  <c:v>10.949932258344866</c:v>
                </c:pt>
                <c:pt idx="20">
                  <c:v>12.499562364605062</c:v>
                </c:pt>
                <c:pt idx="21">
                  <c:v>14.036830680131867</c:v>
                </c:pt>
                <c:pt idx="22">
                  <c:v>16.366640745613111</c:v>
                </c:pt>
                <c:pt idx="23">
                  <c:v>15.954255006775046</c:v>
                </c:pt>
                <c:pt idx="24">
                  <c:v>12.668129782598223</c:v>
                </c:pt>
                <c:pt idx="25">
                  <c:v>9.6003876941036772</c:v>
                </c:pt>
                <c:pt idx="26">
                  <c:v>6.9373389872466005</c:v>
                </c:pt>
                <c:pt idx="27">
                  <c:v>6.8940717767666522</c:v>
                </c:pt>
                <c:pt idx="28">
                  <c:v>7.8819898722625243</c:v>
                </c:pt>
                <c:pt idx="29">
                  <c:v>9.3664648656530964</c:v>
                </c:pt>
                <c:pt idx="30">
                  <c:v>6.8679904007033183</c:v>
                </c:pt>
                <c:pt idx="31">
                  <c:v>13.37347180378473</c:v>
                </c:pt>
                <c:pt idx="32">
                  <c:v>14.148829436907954</c:v>
                </c:pt>
                <c:pt idx="33">
                  <c:v>13.397368060732608</c:v>
                </c:pt>
                <c:pt idx="34">
                  <c:v>17.847896514098561</c:v>
                </c:pt>
                <c:pt idx="35">
                  <c:v>12.888400545977545</c:v>
                </c:pt>
                <c:pt idx="36">
                  <c:v>15.967255106517104</c:v>
                </c:pt>
                <c:pt idx="37">
                  <c:v>9.868403647004131</c:v>
                </c:pt>
                <c:pt idx="38">
                  <c:v>17.858638578776393</c:v>
                </c:pt>
                <c:pt idx="39">
                  <c:v>24.533619768693136</c:v>
                </c:pt>
                <c:pt idx="40">
                  <c:v>18.369841190357018</c:v>
                </c:pt>
                <c:pt idx="41">
                  <c:v>18.674778867115887</c:v>
                </c:pt>
                <c:pt idx="42">
                  <c:v>20.385783219984223</c:v>
                </c:pt>
                <c:pt idx="43">
                  <c:v>22.050831728015009</c:v>
                </c:pt>
                <c:pt idx="44">
                  <c:v>23.073462483975153</c:v>
                </c:pt>
                <c:pt idx="45">
                  <c:v>21.908444806482599</c:v>
                </c:pt>
                <c:pt idx="46">
                  <c:v>19.237162671071015</c:v>
                </c:pt>
                <c:pt idx="47">
                  <c:v>13.64741544633336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ECF4-49E4-A853-DF90DFBC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237784"/>
        <c:axId val="1596238112"/>
      </c:areaChart>
      <c:dateAx>
        <c:axId val="1596237784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8112"/>
        <c:crosses val="autoZero"/>
        <c:auto val="1"/>
        <c:lblOffset val="100"/>
        <c:baseTimeUnit val="months"/>
      </c:dateAx>
      <c:valAx>
        <c:axId val="15962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pounds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6237784"/>
        <c:crosses val="autoZero"/>
        <c:crossBetween val="midCat"/>
      </c:valAx>
      <c:spPr>
        <a:noFill/>
        <a:ln w="15875">
          <a:solidFill>
            <a:srgbClr val="323232"/>
          </a:solidFill>
        </a:ln>
        <a:effectLst/>
      </c:spPr>
    </c:plotArea>
    <c:legend>
      <c:legendPos val="b"/>
      <c:layout>
        <c:manualLayout>
          <c:xMode val="edge"/>
          <c:yMode val="edge"/>
          <c:x val="0.81304778787723631"/>
          <c:y val="0.16388041338582679"/>
          <c:w val="0.18422914886243247"/>
          <c:h val="0.83559055118110237"/>
        </c:manualLayout>
      </c:layout>
      <c:overlay val="0"/>
      <c:spPr>
        <a:solidFill>
          <a:schemeClr val="bg1"/>
        </a:solidFill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'BBD Prod and Profit - data'!$B$1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'BBD Prod and Profit - data'!$A$2:$A$66</c:f>
              <c:numCache>
                <c:formatCode>m/d/yyyy</c:formatCode>
                <c:ptCount val="6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</c:numCache>
            </c:numRef>
          </c:cat>
          <c:val>
            <c:numRef>
              <c:f>'BBD Prod and Profit - data'!$B$2:$B$66</c:f>
              <c:numCache>
                <c:formatCode>#,##0_);[Red]\(#,##0\)</c:formatCode>
                <c:ptCount val="65"/>
                <c:pt idx="0">
                  <c:v>107668977</c:v>
                </c:pt>
                <c:pt idx="1">
                  <c:v>117330452</c:v>
                </c:pt>
                <c:pt idx="2">
                  <c:v>147660816</c:v>
                </c:pt>
                <c:pt idx="3">
                  <c:v>160899734</c:v>
                </c:pt>
                <c:pt idx="4">
                  <c:v>164042436</c:v>
                </c:pt>
                <c:pt idx="5">
                  <c:v>144102423</c:v>
                </c:pt>
                <c:pt idx="6">
                  <c:v>169452631</c:v>
                </c:pt>
                <c:pt idx="7">
                  <c:v>153598697</c:v>
                </c:pt>
                <c:pt idx="8">
                  <c:v>143659811</c:v>
                </c:pt>
                <c:pt idx="9">
                  <c:v>146618360</c:v>
                </c:pt>
                <c:pt idx="10">
                  <c:v>119139678</c:v>
                </c:pt>
                <c:pt idx="11">
                  <c:v>139601581</c:v>
                </c:pt>
                <c:pt idx="12">
                  <c:v>118403817</c:v>
                </c:pt>
                <c:pt idx="13">
                  <c:v>128033003</c:v>
                </c:pt>
                <c:pt idx="14">
                  <c:v>150092678</c:v>
                </c:pt>
                <c:pt idx="15">
                  <c:v>149356126</c:v>
                </c:pt>
                <c:pt idx="16">
                  <c:v>143174223</c:v>
                </c:pt>
                <c:pt idx="17">
                  <c:v>165519330</c:v>
                </c:pt>
                <c:pt idx="18">
                  <c:v>162738265</c:v>
                </c:pt>
                <c:pt idx="19">
                  <c:v>171493499</c:v>
                </c:pt>
                <c:pt idx="20">
                  <c:v>167865219</c:v>
                </c:pt>
                <c:pt idx="21">
                  <c:v>149489760</c:v>
                </c:pt>
                <c:pt idx="22">
                  <c:v>142828517</c:v>
                </c:pt>
                <c:pt idx="23">
                  <c:v>175881221</c:v>
                </c:pt>
                <c:pt idx="24">
                  <c:v>107302585</c:v>
                </c:pt>
                <c:pt idx="25">
                  <c:v>109881050</c:v>
                </c:pt>
                <c:pt idx="26">
                  <c:v>150338931</c:v>
                </c:pt>
                <c:pt idx="27">
                  <c:v>144396494</c:v>
                </c:pt>
                <c:pt idx="28">
                  <c:v>150501950</c:v>
                </c:pt>
                <c:pt idx="29">
                  <c:v>154457118</c:v>
                </c:pt>
                <c:pt idx="30">
                  <c:v>146890338</c:v>
                </c:pt>
                <c:pt idx="31">
                  <c:v>154582245</c:v>
                </c:pt>
                <c:pt idx="32">
                  <c:v>139934774</c:v>
                </c:pt>
                <c:pt idx="33">
                  <c:v>139778878</c:v>
                </c:pt>
                <c:pt idx="34">
                  <c:v>140856752</c:v>
                </c:pt>
                <c:pt idx="35">
                  <c:v>165708240</c:v>
                </c:pt>
                <c:pt idx="36">
                  <c:v>90715015</c:v>
                </c:pt>
                <c:pt idx="37">
                  <c:v>110442650</c:v>
                </c:pt>
                <c:pt idx="38">
                  <c:v>135869438</c:v>
                </c:pt>
                <c:pt idx="39">
                  <c:v>144286382</c:v>
                </c:pt>
                <c:pt idx="40">
                  <c:v>139875243</c:v>
                </c:pt>
                <c:pt idx="41">
                  <c:v>142855221</c:v>
                </c:pt>
                <c:pt idx="42">
                  <c:v>137545866</c:v>
                </c:pt>
                <c:pt idx="43">
                  <c:v>151833118</c:v>
                </c:pt>
                <c:pt idx="44">
                  <c:v>141860945</c:v>
                </c:pt>
                <c:pt idx="45">
                  <c:v>138040230</c:v>
                </c:pt>
                <c:pt idx="46">
                  <c:v>141295576</c:v>
                </c:pt>
                <c:pt idx="47">
                  <c:v>145591401</c:v>
                </c:pt>
                <c:pt idx="48">
                  <c:v>119548309</c:v>
                </c:pt>
                <c:pt idx="49">
                  <c:v>114742607</c:v>
                </c:pt>
                <c:pt idx="50">
                  <c:v>130889308</c:v>
                </c:pt>
                <c:pt idx="51">
                  <c:v>133835520</c:v>
                </c:pt>
                <c:pt idx="52">
                  <c:v>163593533</c:v>
                </c:pt>
                <c:pt idx="53">
                  <c:v>153006295</c:v>
                </c:pt>
                <c:pt idx="54">
                  <c:v>142593233</c:v>
                </c:pt>
                <c:pt idx="55">
                  <c:v>152345476</c:v>
                </c:pt>
                <c:pt idx="56">
                  <c:v>143870897</c:v>
                </c:pt>
                <c:pt idx="57">
                  <c:v>144087366</c:v>
                </c:pt>
                <c:pt idx="58">
                  <c:v>135076229</c:v>
                </c:pt>
                <c:pt idx="59">
                  <c:v>136732063</c:v>
                </c:pt>
                <c:pt idx="60">
                  <c:v>120715672</c:v>
                </c:pt>
                <c:pt idx="61">
                  <c:v>125799224</c:v>
                </c:pt>
                <c:pt idx="62">
                  <c:v>133487105</c:v>
                </c:pt>
                <c:pt idx="63">
                  <c:v>136121554</c:v>
                </c:pt>
                <c:pt idx="64">
                  <c:v>142728755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1-42EB-A870-A4F633245352}"/>
            </c:ext>
          </c:extLst>
        </c:ser>
        <c:ser>
          <c:idx val="1"/>
          <c:order val="1"/>
          <c:tx>
            <c:strRef>
              <c:f>'BBD Prod and Profit - data'!$C$1</c:f>
              <c:strCache>
                <c:ptCount val="1"/>
                <c:pt idx="0">
                  <c:v>Renewable Diesel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'BBD Prod and Profit - data'!$A$2:$A$66</c:f>
              <c:numCache>
                <c:formatCode>m/d/yyyy</c:formatCode>
                <c:ptCount val="6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</c:numCache>
            </c:numRef>
          </c:cat>
          <c:val>
            <c:numRef>
              <c:f>'BBD Prod and Profit - data'!$C$2:$C$66</c:f>
              <c:numCache>
                <c:formatCode>#,##0_);[Red]\(#,##0\)</c:formatCode>
                <c:ptCount val="65"/>
                <c:pt idx="0">
                  <c:v>36487021</c:v>
                </c:pt>
                <c:pt idx="1">
                  <c:v>40173701</c:v>
                </c:pt>
                <c:pt idx="2">
                  <c:v>35740265</c:v>
                </c:pt>
                <c:pt idx="3">
                  <c:v>38557434</c:v>
                </c:pt>
                <c:pt idx="4">
                  <c:v>40382855</c:v>
                </c:pt>
                <c:pt idx="5">
                  <c:v>39760652</c:v>
                </c:pt>
                <c:pt idx="6">
                  <c:v>46282285</c:v>
                </c:pt>
                <c:pt idx="7">
                  <c:v>30180616</c:v>
                </c:pt>
                <c:pt idx="8">
                  <c:v>40692380</c:v>
                </c:pt>
                <c:pt idx="9">
                  <c:v>48569223</c:v>
                </c:pt>
                <c:pt idx="10">
                  <c:v>42514597</c:v>
                </c:pt>
                <c:pt idx="11">
                  <c:v>52796160</c:v>
                </c:pt>
                <c:pt idx="12">
                  <c:v>41857492</c:v>
                </c:pt>
                <c:pt idx="13">
                  <c:v>37300666</c:v>
                </c:pt>
                <c:pt idx="14">
                  <c:v>45226785</c:v>
                </c:pt>
                <c:pt idx="15">
                  <c:v>38638856</c:v>
                </c:pt>
                <c:pt idx="16">
                  <c:v>46421171</c:v>
                </c:pt>
                <c:pt idx="17">
                  <c:v>53207936</c:v>
                </c:pt>
                <c:pt idx="18">
                  <c:v>46684399</c:v>
                </c:pt>
                <c:pt idx="19">
                  <c:v>43952654</c:v>
                </c:pt>
                <c:pt idx="20">
                  <c:v>48112771</c:v>
                </c:pt>
                <c:pt idx="21">
                  <c:v>25237496</c:v>
                </c:pt>
                <c:pt idx="22">
                  <c:v>49060129</c:v>
                </c:pt>
                <c:pt idx="23">
                  <c:v>57807992</c:v>
                </c:pt>
                <c:pt idx="24">
                  <c:v>50374630</c:v>
                </c:pt>
                <c:pt idx="25">
                  <c:v>51175710</c:v>
                </c:pt>
                <c:pt idx="26">
                  <c:v>59222033</c:v>
                </c:pt>
                <c:pt idx="27">
                  <c:v>50634433</c:v>
                </c:pt>
                <c:pt idx="28">
                  <c:v>60051437</c:v>
                </c:pt>
                <c:pt idx="29">
                  <c:v>68859545</c:v>
                </c:pt>
                <c:pt idx="30">
                  <c:v>69500573</c:v>
                </c:pt>
                <c:pt idx="31">
                  <c:v>82392520</c:v>
                </c:pt>
                <c:pt idx="32">
                  <c:v>55747506</c:v>
                </c:pt>
                <c:pt idx="33">
                  <c:v>77344974</c:v>
                </c:pt>
                <c:pt idx="34">
                  <c:v>101861084</c:v>
                </c:pt>
                <c:pt idx="35">
                  <c:v>118270462</c:v>
                </c:pt>
                <c:pt idx="36">
                  <c:v>87010244</c:v>
                </c:pt>
                <c:pt idx="37">
                  <c:v>101396491</c:v>
                </c:pt>
                <c:pt idx="38">
                  <c:v>110055959</c:v>
                </c:pt>
                <c:pt idx="39">
                  <c:v>106480662</c:v>
                </c:pt>
                <c:pt idx="40">
                  <c:v>136075722</c:v>
                </c:pt>
                <c:pt idx="41">
                  <c:v>116253275</c:v>
                </c:pt>
                <c:pt idx="42">
                  <c:v>108975538</c:v>
                </c:pt>
                <c:pt idx="43">
                  <c:v>122248954</c:v>
                </c:pt>
                <c:pt idx="44">
                  <c:v>127613378</c:v>
                </c:pt>
                <c:pt idx="45">
                  <c:v>113679693</c:v>
                </c:pt>
                <c:pt idx="46">
                  <c:v>171787630</c:v>
                </c:pt>
                <c:pt idx="47">
                  <c:v>153759160</c:v>
                </c:pt>
                <c:pt idx="48">
                  <c:v>148278375</c:v>
                </c:pt>
                <c:pt idx="49">
                  <c:v>141070359</c:v>
                </c:pt>
                <c:pt idx="50">
                  <c:v>184175802</c:v>
                </c:pt>
                <c:pt idx="51">
                  <c:v>174407540</c:v>
                </c:pt>
                <c:pt idx="52">
                  <c:v>229265334</c:v>
                </c:pt>
                <c:pt idx="53">
                  <c:v>202490999</c:v>
                </c:pt>
                <c:pt idx="54">
                  <c:v>182796774</c:v>
                </c:pt>
                <c:pt idx="55">
                  <c:v>236476280</c:v>
                </c:pt>
                <c:pt idx="56">
                  <c:v>234008508</c:v>
                </c:pt>
                <c:pt idx="57">
                  <c:v>214031283</c:v>
                </c:pt>
                <c:pt idx="58">
                  <c:v>205619514</c:v>
                </c:pt>
                <c:pt idx="59">
                  <c:v>274816428</c:v>
                </c:pt>
                <c:pt idx="60">
                  <c:v>230210264</c:v>
                </c:pt>
                <c:pt idx="61">
                  <c:v>230073636</c:v>
                </c:pt>
                <c:pt idx="62">
                  <c:v>215239327</c:v>
                </c:pt>
                <c:pt idx="63">
                  <c:v>283042186</c:v>
                </c:pt>
                <c:pt idx="64">
                  <c:v>220402735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1-42EB-A870-A4F633245352}"/>
            </c:ext>
          </c:extLst>
        </c:ser>
        <c:ser>
          <c:idx val="2"/>
          <c:order val="2"/>
          <c:tx>
            <c:strRef>
              <c:f>'BBD Prod and Profit - data'!$D$1</c:f>
              <c:strCache>
                <c:ptCount val="1"/>
                <c:pt idx="0">
                  <c:v>Biodiesel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'BBD Prod and Profit - data'!$A$2:$A$66</c:f>
              <c:numCache>
                <c:formatCode>m/d/yyyy</c:formatCode>
                <c:ptCount val="6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</c:numCache>
            </c:numRef>
          </c:cat>
          <c:val>
            <c:numRef>
              <c:f>'BBD Prod and Profit - data'!$D$2:$D$66</c:f>
              <c:numCache>
                <c:formatCode>#,##0.00_);[Red]\(#,##0.00\)</c:formatCode>
                <c:ptCount val="65"/>
                <c:pt idx="0">
                  <c:v>9.9487109375000216E-2</c:v>
                </c:pt>
                <c:pt idx="1">
                  <c:v>0.10253603515624986</c:v>
                </c:pt>
                <c:pt idx="2">
                  <c:v>0.17785648437499985</c:v>
                </c:pt>
                <c:pt idx="3">
                  <c:v>0.20115588867187528</c:v>
                </c:pt>
                <c:pt idx="4">
                  <c:v>0.23332225781250018</c:v>
                </c:pt>
                <c:pt idx="5">
                  <c:v>0.16873113281250021</c:v>
                </c:pt>
                <c:pt idx="6">
                  <c:v>0.20969506835937526</c:v>
                </c:pt>
                <c:pt idx="7">
                  <c:v>0.27096679687500019</c:v>
                </c:pt>
                <c:pt idx="8">
                  <c:v>0.30907017578125023</c:v>
                </c:pt>
                <c:pt idx="9">
                  <c:v>0.21626386718749971</c:v>
                </c:pt>
                <c:pt idx="10">
                  <c:v>0.24853543593749991</c:v>
                </c:pt>
                <c:pt idx="11">
                  <c:v>0.19867684570312527</c:v>
                </c:pt>
                <c:pt idx="12">
                  <c:v>7.8307666015625207E-2</c:v>
                </c:pt>
                <c:pt idx="13">
                  <c:v>0.12987765043749994</c:v>
                </c:pt>
                <c:pt idx="14">
                  <c:v>0.318521484375</c:v>
                </c:pt>
                <c:pt idx="15">
                  <c:v>0.46066177734375013</c:v>
                </c:pt>
                <c:pt idx="16">
                  <c:v>0.49430810937500003</c:v>
                </c:pt>
                <c:pt idx="17">
                  <c:v>0.51622007812500015</c:v>
                </c:pt>
                <c:pt idx="18">
                  <c:v>0.48591327148437513</c:v>
                </c:pt>
                <c:pt idx="19">
                  <c:v>0.32128970312500033</c:v>
                </c:pt>
                <c:pt idx="20">
                  <c:v>0.40326930664062521</c:v>
                </c:pt>
                <c:pt idx="21">
                  <c:v>0.51155395312500007</c:v>
                </c:pt>
                <c:pt idx="22">
                  <c:v>0.42481586914062491</c:v>
                </c:pt>
                <c:pt idx="23">
                  <c:v>0.4441492675781249</c:v>
                </c:pt>
                <c:pt idx="24">
                  <c:v>0.38612319531249994</c:v>
                </c:pt>
                <c:pt idx="25">
                  <c:v>0.48357373046875041</c:v>
                </c:pt>
                <c:pt idx="26">
                  <c:v>0.25950019531249985</c:v>
                </c:pt>
                <c:pt idx="27">
                  <c:v>0.22841440429687454</c:v>
                </c:pt>
                <c:pt idx="28">
                  <c:v>-0.78270078125000031</c:v>
                </c:pt>
                <c:pt idx="29">
                  <c:v>-0.80581544921875059</c:v>
                </c:pt>
                <c:pt idx="30">
                  <c:v>-0.59549066406249929</c:v>
                </c:pt>
                <c:pt idx="31">
                  <c:v>-7.5037695312500152E-2</c:v>
                </c:pt>
                <c:pt idx="32">
                  <c:v>0.17308232421875025</c:v>
                </c:pt>
                <c:pt idx="33">
                  <c:v>-4.4291453124999866E-2</c:v>
                </c:pt>
                <c:pt idx="34">
                  <c:v>0.29745240429687453</c:v>
                </c:pt>
                <c:pt idx="35">
                  <c:v>0.36822954101562427</c:v>
                </c:pt>
                <c:pt idx="36">
                  <c:v>0.20728572656250041</c:v>
                </c:pt>
                <c:pt idx="37">
                  <c:v>0.32033804687500023</c:v>
                </c:pt>
                <c:pt idx="38">
                  <c:v>7.2898164062499632E-2</c:v>
                </c:pt>
                <c:pt idx="39">
                  <c:v>0.4831014453125001</c:v>
                </c:pt>
                <c:pt idx="40">
                  <c:v>0.11767703125000054</c:v>
                </c:pt>
                <c:pt idx="41">
                  <c:v>0.27459118164062479</c:v>
                </c:pt>
                <c:pt idx="42">
                  <c:v>1.0311620703124995</c:v>
                </c:pt>
                <c:pt idx="43">
                  <c:v>0.79750257812499969</c:v>
                </c:pt>
                <c:pt idx="44">
                  <c:v>0.99801367187499979</c:v>
                </c:pt>
                <c:pt idx="45">
                  <c:v>1.2858740156249993</c:v>
                </c:pt>
                <c:pt idx="46">
                  <c:v>0.97461835742187442</c:v>
                </c:pt>
                <c:pt idx="47">
                  <c:v>1.2411080937499996</c:v>
                </c:pt>
                <c:pt idx="48">
                  <c:v>1.3073287988281252</c:v>
                </c:pt>
                <c:pt idx="49">
                  <c:v>1.1511378808593742</c:v>
                </c:pt>
                <c:pt idx="50">
                  <c:v>0.87526437499999998</c:v>
                </c:pt>
                <c:pt idx="51">
                  <c:v>0.62540899218750001</c:v>
                </c:pt>
                <c:pt idx="52">
                  <c:v>0.66023046875000013</c:v>
                </c:pt>
                <c:pt idx="53">
                  <c:v>0.1930188476562501</c:v>
                </c:pt>
                <c:pt idx="54">
                  <c:v>-0.55246213281250056</c:v>
                </c:pt>
                <c:pt idx="55">
                  <c:v>0.2835313281249992</c:v>
                </c:pt>
                <c:pt idx="56">
                  <c:v>0.32834207031249962</c:v>
                </c:pt>
                <c:pt idx="57">
                  <c:v>0.41336191406249939</c:v>
                </c:pt>
                <c:pt idx="58">
                  <c:v>0.47293024414062435</c:v>
                </c:pt>
                <c:pt idx="59">
                  <c:v>0.51020721093749954</c:v>
                </c:pt>
                <c:pt idx="60">
                  <c:v>0.60561944335937423</c:v>
                </c:pt>
                <c:pt idx="61">
                  <c:v>0.55786055664062484</c:v>
                </c:pt>
                <c:pt idx="62">
                  <c:v>0.24875062500000009</c:v>
                </c:pt>
                <c:pt idx="63">
                  <c:v>0.36844707031249996</c:v>
                </c:pt>
                <c:pt idx="64">
                  <c:v>0.13147949218749969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71-42EB-A870-A4F633245352}"/>
            </c:ext>
          </c:extLst>
        </c:ser>
        <c:ser>
          <c:idx val="3"/>
          <c:order val="3"/>
          <c:tx>
            <c:strRef>
              <c:f>'BBD Prod and Profit - data'!$E$1</c:f>
              <c:strCache>
                <c:ptCount val="1"/>
                <c:pt idx="0">
                  <c:v>Renewable Diesel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'BBD Prod and Profit - data'!$A$2:$A$66</c:f>
              <c:numCache>
                <c:formatCode>m/d/yyyy</c:formatCode>
                <c:ptCount val="6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</c:numCache>
            </c:numRef>
          </c:cat>
          <c:val>
            <c:numRef>
              <c:f>'BBD Prod and Profit - data'!$E$2:$E$66</c:f>
              <c:numCache>
                <c:formatCode>#,##0.00_);[Red]\(#,##0.00\)</c:formatCode>
                <c:ptCount val="65"/>
                <c:pt idx="6">
                  <c:v>2.6721150610209987</c:v>
                </c:pt>
                <c:pt idx="7">
                  <c:v>2.638043771684953</c:v>
                </c:pt>
                <c:pt idx="8">
                  <c:v>2.9421584972922523</c:v>
                </c:pt>
                <c:pt idx="9">
                  <c:v>3.161954647223896</c:v>
                </c:pt>
                <c:pt idx="10">
                  <c:v>3.3629505995688911</c:v>
                </c:pt>
                <c:pt idx="11">
                  <c:v>3.0939278659117337</c:v>
                </c:pt>
                <c:pt idx="12">
                  <c:v>2.7623783775595525</c:v>
                </c:pt>
                <c:pt idx="13">
                  <c:v>2.34728112654187</c:v>
                </c:pt>
                <c:pt idx="14">
                  <c:v>1.87472491902821</c:v>
                </c:pt>
                <c:pt idx="15">
                  <c:v>1.6921815657901746</c:v>
                </c:pt>
                <c:pt idx="16">
                  <c:v>1.6525784740675509</c:v>
                </c:pt>
                <c:pt idx="17">
                  <c:v>2.3463817306336043</c:v>
                </c:pt>
                <c:pt idx="18">
                  <c:v>2.5125428891441501</c:v>
                </c:pt>
                <c:pt idx="19">
                  <c:v>2.2921425963451778</c:v>
                </c:pt>
                <c:pt idx="20">
                  <c:v>2.2927496283470639</c:v>
                </c:pt>
                <c:pt idx="21">
                  <c:v>2.2604731313147619</c:v>
                </c:pt>
                <c:pt idx="22">
                  <c:v>2.4727279497464059</c:v>
                </c:pt>
                <c:pt idx="23">
                  <c:v>2.6336432469151547</c:v>
                </c:pt>
                <c:pt idx="24">
                  <c:v>2.5535517233651159</c:v>
                </c:pt>
                <c:pt idx="25">
                  <c:v>2.5698286546840863</c:v>
                </c:pt>
                <c:pt idx="26">
                  <c:v>2.7795708868212681</c:v>
                </c:pt>
                <c:pt idx="27">
                  <c:v>2.4943223595551798</c:v>
                </c:pt>
                <c:pt idx="28">
                  <c:v>3.3620200825924513</c:v>
                </c:pt>
                <c:pt idx="29">
                  <c:v>3.1953934660263252</c:v>
                </c:pt>
                <c:pt idx="30">
                  <c:v>2.6278055963040594</c:v>
                </c:pt>
                <c:pt idx="31">
                  <c:v>2.4059289364402536</c:v>
                </c:pt>
                <c:pt idx="32">
                  <c:v>2.3109276738437128</c:v>
                </c:pt>
                <c:pt idx="33">
                  <c:v>2.3438349461471057</c:v>
                </c:pt>
                <c:pt idx="34">
                  <c:v>1.9254162523422698</c:v>
                </c:pt>
                <c:pt idx="35">
                  <c:v>1.9623688375730379</c:v>
                </c:pt>
                <c:pt idx="36">
                  <c:v>1.954574986704511</c:v>
                </c:pt>
                <c:pt idx="37">
                  <c:v>1.923519063224236</c:v>
                </c:pt>
                <c:pt idx="38">
                  <c:v>2.2743834143490371</c:v>
                </c:pt>
                <c:pt idx="39">
                  <c:v>2.6493530361076125</c:v>
                </c:pt>
                <c:pt idx="40">
                  <c:v>2.6700832716098173</c:v>
                </c:pt>
                <c:pt idx="41">
                  <c:v>2.7512809391405337</c:v>
                </c:pt>
                <c:pt idx="42">
                  <c:v>2.3450298610328142</c:v>
                </c:pt>
                <c:pt idx="43">
                  <c:v>2.3688001307179283</c:v>
                </c:pt>
                <c:pt idx="44">
                  <c:v>2.2464463616233639</c:v>
                </c:pt>
                <c:pt idx="45">
                  <c:v>2.6869255032921791</c:v>
                </c:pt>
                <c:pt idx="46">
                  <c:v>2.5760059684286203</c:v>
                </c:pt>
                <c:pt idx="47">
                  <c:v>2.0307330607661322</c:v>
                </c:pt>
                <c:pt idx="48">
                  <c:v>2.0164636266104692</c:v>
                </c:pt>
                <c:pt idx="49">
                  <c:v>2.2643429802354262</c:v>
                </c:pt>
                <c:pt idx="50">
                  <c:v>2.5072819481690791</c:v>
                </c:pt>
                <c:pt idx="51">
                  <c:v>2.5041132465928277</c:v>
                </c:pt>
                <c:pt idx="52">
                  <c:v>2.0087243199721065</c:v>
                </c:pt>
                <c:pt idx="53">
                  <c:v>1.7053365581225082</c:v>
                </c:pt>
                <c:pt idx="54">
                  <c:v>1.5937295282004389</c:v>
                </c:pt>
                <c:pt idx="55">
                  <c:v>1.9778641278798765</c:v>
                </c:pt>
                <c:pt idx="56">
                  <c:v>2.1046603232367582</c:v>
                </c:pt>
                <c:pt idx="57">
                  <c:v>1.5532525961766694</c:v>
                </c:pt>
                <c:pt idx="58">
                  <c:v>1.7474112877336017</c:v>
                </c:pt>
                <c:pt idx="59">
                  <c:v>1.7757544384359669</c:v>
                </c:pt>
                <c:pt idx="60">
                  <c:v>1.7206520082358829</c:v>
                </c:pt>
                <c:pt idx="61">
                  <c:v>1.4005826283767351</c:v>
                </c:pt>
                <c:pt idx="62">
                  <c:v>1.5484641397633456</c:v>
                </c:pt>
                <c:pt idx="63">
                  <c:v>1.4763957894394553</c:v>
                </c:pt>
                <c:pt idx="64">
                  <c:v>1.1731268888593864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71-42EB-A870-A4F63324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865519"/>
        <c:axId val="655820112"/>
      </c:barChart>
      <c:dateAx>
        <c:axId val="368865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20112"/>
        <c:crosses val="autoZero"/>
        <c:auto val="1"/>
        <c:lblOffset val="100"/>
        <c:baseTimeUnit val="months"/>
      </c:dateAx>
      <c:valAx>
        <c:axId val="655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86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A44CB7-AF82-432A-B91D-BAEBE82D6D6F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7F2367-BD56-4A81-B5CD-15B3F74A6B24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B4CB64-25BB-4AEA-BED4-9DAF333405DA}">
  <sheetPr/>
  <sheetViews>
    <sheetView zoomScale="110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232385-8745-4654-B7FF-75C5548CC3F6}">
  <sheetPr/>
  <sheetViews>
    <sheetView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D2F17D-5346-4E5F-9FC8-B6A12210224F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436EF7-0087-4CC1-A304-D6A01BFA835E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DFDFF-4644-207F-D598-E6000D911D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0.95796</cdr:y>
    </cdr:from>
    <cdr:to>
      <cdr:x>0.35764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FA4C32-446F-4D33-AF7C-6BC8A3D45DF4}"/>
            </a:ext>
          </a:extLst>
        </cdr:cNvPr>
        <cdr:cNvSpPr txBox="1"/>
      </cdr:nvSpPr>
      <cdr:spPr>
        <a:xfrm xmlns:a="http://schemas.openxmlformats.org/drawingml/2006/main">
          <a:off x="0" y="5808907"/>
          <a:ext cx="3324957" cy="254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254C5-C665-62A6-8511-05E42A4091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0.9616</cdr:y>
    </cdr:from>
    <cdr:to>
      <cdr:x>0.34375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B2718A-909F-4E0D-8BA5-7447D0E6CDBE}"/>
            </a:ext>
          </a:extLst>
        </cdr:cNvPr>
        <cdr:cNvSpPr txBox="1"/>
      </cdr:nvSpPr>
      <cdr:spPr>
        <a:xfrm xmlns:a="http://schemas.openxmlformats.org/drawingml/2006/main">
          <a:off x="0" y="5841352"/>
          <a:ext cx="3197375" cy="233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6CB19-B42B-7C8F-7119-30A54DB9C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0.95853</cdr:y>
    </cdr:from>
    <cdr:to>
      <cdr:x>0.3559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F4D55-F9E7-47E0-B0A7-B8E8EE5CE7D8}"/>
            </a:ext>
          </a:extLst>
        </cdr:cNvPr>
        <cdr:cNvSpPr txBox="1"/>
      </cdr:nvSpPr>
      <cdr:spPr>
        <a:xfrm xmlns:a="http://schemas.openxmlformats.org/drawingml/2006/main">
          <a:off x="0" y="5827059"/>
          <a:ext cx="3313508" cy="252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9B13C-9EE4-213B-A8FF-AC7A09A657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0.9616</cdr:y>
    </cdr:from>
    <cdr:to>
      <cdr:x>0.44097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F4D55-F9E7-47E0-B0A7-B8E8EE5CE7D8}"/>
            </a:ext>
          </a:extLst>
        </cdr:cNvPr>
        <cdr:cNvSpPr txBox="1"/>
      </cdr:nvSpPr>
      <cdr:spPr>
        <a:xfrm xmlns:a="http://schemas.openxmlformats.org/drawingml/2006/main">
          <a:off x="0" y="5845735"/>
          <a:ext cx="4105528" cy="233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4FB78-90D5-91CB-AE1E-C2F9CAF460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0.01387</cdr:x>
      <cdr:y>0.94676</cdr:y>
    </cdr:from>
    <cdr:to>
      <cdr:x>0.4062</cdr:x>
      <cdr:y>0.99856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42967F3-D105-4ABF-9596-BE28BE0E75CE}"/>
            </a:ext>
          </a:extLst>
        </cdr:cNvPr>
        <cdr:cNvSpPr txBox="1"/>
      </cdr:nvSpPr>
      <cdr:spPr>
        <a:xfrm xmlns:a="http://schemas.openxmlformats.org/drawingml/2006/main">
          <a:off x="131646" y="5095488"/>
          <a:ext cx="3724817" cy="278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  <cdr:relSizeAnchor xmlns:cdr="http://schemas.openxmlformats.org/drawingml/2006/chartDrawing">
    <cdr:from>
      <cdr:x>0.35231</cdr:x>
      <cdr:y>0.23052</cdr:y>
    </cdr:from>
    <cdr:to>
      <cdr:x>0.70826</cdr:x>
      <cdr:y>0.30204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CCF6448-6002-1DC0-639F-2ABB95359601}"/>
            </a:ext>
          </a:extLst>
        </cdr:cNvPr>
        <cdr:cNvSpPr txBox="1"/>
      </cdr:nvSpPr>
      <cdr:spPr>
        <a:xfrm xmlns:a="http://schemas.openxmlformats.org/drawingml/2006/main">
          <a:off x="3277816" y="1401692"/>
          <a:ext cx="3311656" cy="434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6F0791"/>
              </a:solidFill>
              <a:latin typeface="Aptos Display" panose="020B0004020202020204" pitchFamily="34" charset="0"/>
            </a:rPr>
            <a:t>Renewable</a:t>
          </a:r>
          <a:r>
            <a:rPr lang="en-US" sz="1200" b="1" baseline="0">
              <a:solidFill>
                <a:srgbClr val="6F0791"/>
              </a:solidFill>
              <a:latin typeface="Aptos Display" panose="020B0004020202020204" pitchFamily="34" charset="0"/>
            </a:rPr>
            <a:t> Diesel Margins</a:t>
          </a:r>
          <a:endParaRPr lang="en-US" sz="1200" b="1">
            <a:solidFill>
              <a:srgbClr val="6F0791"/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0.10665</cdr:x>
      <cdr:y>0.54047</cdr:y>
    </cdr:from>
    <cdr:to>
      <cdr:x>0.46841</cdr:x>
      <cdr:y>0.59291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F8BFE94-15B1-CDFA-8F9D-59CB4874F3EA}"/>
            </a:ext>
          </a:extLst>
        </cdr:cNvPr>
        <cdr:cNvSpPr txBox="1"/>
      </cdr:nvSpPr>
      <cdr:spPr>
        <a:xfrm xmlns:a="http://schemas.openxmlformats.org/drawingml/2006/main">
          <a:off x="992075" y="3288083"/>
          <a:ext cx="3365177" cy="319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8C8C8C"/>
              </a:solidFill>
              <a:latin typeface="Aptos Display" panose="020B0004020202020204" pitchFamily="34" charset="0"/>
            </a:rPr>
            <a:t>Renewable</a:t>
          </a:r>
          <a:r>
            <a:rPr lang="en-US" sz="1200" b="1" baseline="0">
              <a:solidFill>
                <a:srgbClr val="8C8C8C"/>
              </a:solidFill>
              <a:latin typeface="Aptos Display" panose="020B0004020202020204" pitchFamily="34" charset="0"/>
            </a:rPr>
            <a:t> Diesel Production</a:t>
          </a:r>
          <a:endParaRPr lang="en-US" sz="1200" b="1">
            <a:solidFill>
              <a:srgbClr val="8C8C8C"/>
            </a:solidFill>
            <a:latin typeface="Aptos Display" panose="020B00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CEBEE-EBC3-50DC-FF19-9E8CFC110C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0.01387</cdr:x>
      <cdr:y>0.94676</cdr:y>
    </cdr:from>
    <cdr:to>
      <cdr:x>0.4062</cdr:x>
      <cdr:y>0.99856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42967F3-D105-4ABF-9596-BE28BE0E75CE}"/>
            </a:ext>
          </a:extLst>
        </cdr:cNvPr>
        <cdr:cNvSpPr txBox="1"/>
      </cdr:nvSpPr>
      <cdr:spPr>
        <a:xfrm xmlns:a="http://schemas.openxmlformats.org/drawingml/2006/main">
          <a:off x="131646" y="5095488"/>
          <a:ext cx="3724817" cy="278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  <cdr:relSizeAnchor xmlns:cdr="http://schemas.openxmlformats.org/drawingml/2006/chartDrawing">
    <cdr:from>
      <cdr:x>0.58682</cdr:x>
      <cdr:y>0.17682</cdr:y>
    </cdr:from>
    <cdr:to>
      <cdr:x>0.81057</cdr:x>
      <cdr:y>0.24605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2287EF1-A7CF-1DA7-C9F8-B00E52ED2EA8}"/>
            </a:ext>
          </a:extLst>
        </cdr:cNvPr>
        <cdr:cNvSpPr txBox="1"/>
      </cdr:nvSpPr>
      <cdr:spPr>
        <a:xfrm xmlns:a="http://schemas.openxmlformats.org/drawingml/2006/main">
          <a:off x="5459648" y="1075162"/>
          <a:ext cx="2081705" cy="420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baseline="0">
              <a:solidFill>
                <a:srgbClr val="6F0791"/>
              </a:solidFill>
              <a:latin typeface="Aptos Display" panose="020B0004020202020204" pitchFamily="34" charset="0"/>
            </a:rPr>
            <a:t>Biodiesel Margins</a:t>
          </a:r>
          <a:endParaRPr lang="en-US" sz="1200" b="1">
            <a:solidFill>
              <a:srgbClr val="6F0791"/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0.31476</cdr:x>
      <cdr:y>0.19581</cdr:y>
    </cdr:from>
    <cdr:to>
      <cdr:x>0.57596</cdr:x>
      <cdr:y>0.24232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A7D2B87-ECBA-A24A-21FA-7BA1187FA23E}"/>
            </a:ext>
          </a:extLst>
        </cdr:cNvPr>
        <cdr:cNvSpPr txBox="1"/>
      </cdr:nvSpPr>
      <cdr:spPr>
        <a:xfrm xmlns:a="http://schemas.openxmlformats.org/drawingml/2006/main">
          <a:off x="2927974" y="1191228"/>
          <a:ext cx="2429745" cy="2829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baseline="0">
              <a:solidFill>
                <a:srgbClr val="8C8C8C"/>
              </a:solidFill>
              <a:latin typeface="Aptos Display" panose="020B0004020202020204" pitchFamily="34" charset="0"/>
            </a:rPr>
            <a:t>Biodiesel Production</a:t>
          </a:r>
          <a:endParaRPr lang="en-US" sz="1200" b="1">
            <a:solidFill>
              <a:srgbClr val="8C8C8C"/>
            </a:solidFill>
            <a:latin typeface="Aptos Display" panose="020B00040202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133350</xdr:rowOff>
    </xdr:from>
    <xdr:to>
      <xdr:col>9</xdr:col>
      <xdr:colOff>485775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C8AE9-43E7-4E8E-8D5D-2E2359CAB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21</xdr:row>
      <xdr:rowOff>0</xdr:rowOff>
    </xdr:from>
    <xdr:to>
      <xdr:col>9</xdr:col>
      <xdr:colOff>581025</xdr:colOff>
      <xdr:row>40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7107846-C4CD-46A7-9EBF-A3D32620B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20</xdr:row>
      <xdr:rowOff>171450</xdr:rowOff>
    </xdr:from>
    <xdr:to>
      <xdr:col>19</xdr:col>
      <xdr:colOff>57150</xdr:colOff>
      <xdr:row>40</xdr:row>
      <xdr:rowOff>19050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F8933E4-EEC5-49E9-B7B9-4BDB5552E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209550</xdr:colOff>
      <xdr:row>20</xdr:row>
      <xdr:rowOff>114300</xdr:rowOff>
    </xdr:from>
    <xdr:to>
      <xdr:col>28</xdr:col>
      <xdr:colOff>209550</xdr:colOff>
      <xdr:row>39</xdr:row>
      <xdr:rowOff>152400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443A108-5387-4A7F-AB9B-EE205572A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590550</xdr:colOff>
      <xdr:row>41</xdr:row>
      <xdr:rowOff>9525</xdr:rowOff>
    </xdr:from>
    <xdr:to>
      <xdr:col>9</xdr:col>
      <xdr:colOff>590550</xdr:colOff>
      <xdr:row>60</xdr:row>
      <xdr:rowOff>47625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E534655-8A60-43B1-9A24-47E6FEF34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100012</xdr:colOff>
      <xdr:row>41</xdr:row>
      <xdr:rowOff>19050</xdr:rowOff>
    </xdr:from>
    <xdr:to>
      <xdr:col>19</xdr:col>
      <xdr:colOff>100012</xdr:colOff>
      <xdr:row>60</xdr:row>
      <xdr:rowOff>57150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297B362-9AFC-496D-95C0-1717BCFDF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176212</xdr:colOff>
      <xdr:row>40</xdr:row>
      <xdr:rowOff>133350</xdr:rowOff>
    </xdr:from>
    <xdr:to>
      <xdr:col>28</xdr:col>
      <xdr:colOff>176212</xdr:colOff>
      <xdr:row>59</xdr:row>
      <xdr:rowOff>171450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A010E00-A12B-48BD-B6B9-DE528BF35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595312</xdr:colOff>
      <xdr:row>61</xdr:row>
      <xdr:rowOff>19050</xdr:rowOff>
    </xdr:from>
    <xdr:to>
      <xdr:col>9</xdr:col>
      <xdr:colOff>595312</xdr:colOff>
      <xdr:row>80</xdr:row>
      <xdr:rowOff>57150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DF2DB04F-F7B4-4F83-AF2C-9842E0791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223837</xdr:colOff>
      <xdr:row>61</xdr:row>
      <xdr:rowOff>19050</xdr:rowOff>
    </xdr:from>
    <xdr:to>
      <xdr:col>28</xdr:col>
      <xdr:colOff>223837</xdr:colOff>
      <xdr:row>80</xdr:row>
      <xdr:rowOff>57150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952FA4D3-A958-404B-8A37-AA93D39FB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157162</xdr:colOff>
      <xdr:row>80</xdr:row>
      <xdr:rowOff>133350</xdr:rowOff>
    </xdr:from>
    <xdr:to>
      <xdr:col>28</xdr:col>
      <xdr:colOff>157162</xdr:colOff>
      <xdr:row>99</xdr:row>
      <xdr:rowOff>171450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EE753BA3-CD52-460B-855D-7C888973B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28575</xdr:colOff>
      <xdr:row>100</xdr:row>
      <xdr:rowOff>161925</xdr:rowOff>
    </xdr:from>
    <xdr:to>
      <xdr:col>19</xdr:col>
      <xdr:colOff>28575</xdr:colOff>
      <xdr:row>120</xdr:row>
      <xdr:rowOff>9525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C96C9FC-6216-4CB6-9F4F-EC45A6C56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581025</xdr:colOff>
      <xdr:row>122</xdr:row>
      <xdr:rowOff>9525</xdr:rowOff>
    </xdr:from>
    <xdr:to>
      <xdr:col>9</xdr:col>
      <xdr:colOff>581025</xdr:colOff>
      <xdr:row>141</xdr:row>
      <xdr:rowOff>47625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1D86AE54-DBA0-44D7-883E-AB190F9DC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476250</xdr:colOff>
      <xdr:row>62</xdr:row>
      <xdr:rowOff>57150</xdr:rowOff>
    </xdr:from>
    <xdr:to>
      <xdr:col>18</xdr:col>
      <xdr:colOff>207308</xdr:colOff>
      <xdr:row>79</xdr:row>
      <xdr:rowOff>33618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D2253D6C-2009-4024-9E31-A0AF3EF39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0.94271</cdr:y>
    </cdr:from>
    <cdr:to>
      <cdr:x>0.33507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04FDE8-E740-4DD2-864E-8215990AC6B4}"/>
            </a:ext>
          </a:extLst>
        </cdr:cNvPr>
        <cdr:cNvSpPr txBox="1"/>
      </cdr:nvSpPr>
      <cdr:spPr>
        <a:xfrm xmlns:a="http://schemas.openxmlformats.org/drawingml/2006/main">
          <a:off x="0" y="3448051"/>
          <a:ext cx="1838324" cy="209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Aptos Display" panose="020B0004020202020204" pitchFamily="34" charset="0"/>
              <a:cs typeface="Arial" panose="020B0604020202020204" pitchFamily="34" charset="0"/>
            </a:rPr>
            <a:t>Source: EPA,</a:t>
          </a:r>
          <a:r>
            <a:rPr lang="en-US" sz="1100" b="1" baseline="0">
              <a:latin typeface="Aptos Display" panose="020B0004020202020204" pitchFamily="34" charset="0"/>
              <a:cs typeface="Arial" panose="020B0604020202020204" pitchFamily="34" charset="0"/>
            </a:rPr>
            <a:t> Fastmarkets</a:t>
          </a:r>
          <a:endParaRPr lang="en-US" sz="1100" b="1"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0.9349</cdr:y>
    </cdr:from>
    <cdr:to>
      <cdr:x>0.38889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B2718A-909F-4E0D-8BA5-7447D0E6CDBE}"/>
            </a:ext>
          </a:extLst>
        </cdr:cNvPr>
        <cdr:cNvSpPr txBox="1"/>
      </cdr:nvSpPr>
      <cdr:spPr>
        <a:xfrm xmlns:a="http://schemas.openxmlformats.org/drawingml/2006/main">
          <a:off x="0" y="3419475"/>
          <a:ext cx="21336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The Jacobsen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0.9375</cdr:y>
    </cdr:from>
    <cdr:to>
      <cdr:x>0.32465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B2718A-909F-4E0D-8BA5-7447D0E6CDBE}"/>
            </a:ext>
          </a:extLst>
        </cdr:cNvPr>
        <cdr:cNvSpPr txBox="1"/>
      </cdr:nvSpPr>
      <cdr:spPr>
        <a:xfrm xmlns:a="http://schemas.openxmlformats.org/drawingml/2006/main">
          <a:off x="0" y="3429000"/>
          <a:ext cx="17811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0.94531</cdr:y>
    </cdr:from>
    <cdr:to>
      <cdr:x>0.43576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88A05A-98F3-E5A6-C768-D0F0EB5B1534}"/>
            </a:ext>
          </a:extLst>
        </cdr:cNvPr>
        <cdr:cNvSpPr txBox="1"/>
      </cdr:nvSpPr>
      <cdr:spPr>
        <a:xfrm xmlns:a="http://schemas.openxmlformats.org/drawingml/2006/main">
          <a:off x="0" y="3457575"/>
          <a:ext cx="239077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EPA, EIA,</a:t>
          </a:r>
          <a:r>
            <a:rPr lang="en-US" sz="1200" b="1" baseline="0">
              <a:latin typeface="Aptos Display" panose="020B00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0.92448</cdr:y>
    </cdr:from>
    <cdr:to>
      <cdr:x>0.38021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FA71A8-1A9E-9733-F921-29ED8D61AA61}"/>
            </a:ext>
          </a:extLst>
        </cdr:cNvPr>
        <cdr:cNvSpPr txBox="1"/>
      </cdr:nvSpPr>
      <cdr:spPr>
        <a:xfrm xmlns:a="http://schemas.openxmlformats.org/drawingml/2006/main">
          <a:off x="0" y="3381375"/>
          <a:ext cx="2085974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100" b="1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EPA, EIA, Fastmarkets</a:t>
          </a:r>
          <a:endParaRPr lang="en-US" sz="1100" b="1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0.9375</cdr:y>
    </cdr:from>
    <cdr:to>
      <cdr:x>0.36198</cdr:x>
      <cdr:y>0.99584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C42C8A-7B48-45C9-7495-779500666342}"/>
            </a:ext>
          </a:extLst>
        </cdr:cNvPr>
        <cdr:cNvSpPr txBox="1"/>
      </cdr:nvSpPr>
      <cdr:spPr>
        <a:xfrm xmlns:a="http://schemas.openxmlformats.org/drawingml/2006/main">
          <a:off x="0" y="3429001"/>
          <a:ext cx="1985963" cy="213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EIA, Fastmarkets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0.94271</cdr:y>
    </cdr:from>
    <cdr:to>
      <cdr:x>0.38108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6BAE0E-7E07-EC23-20DC-4FC645C1AFC6}"/>
            </a:ext>
          </a:extLst>
        </cdr:cNvPr>
        <cdr:cNvSpPr txBox="1"/>
      </cdr:nvSpPr>
      <cdr:spPr>
        <a:xfrm xmlns:a="http://schemas.openxmlformats.org/drawingml/2006/main">
          <a:off x="0" y="3448050"/>
          <a:ext cx="2090738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EIA, Fastmarkets</a:t>
          </a:r>
          <a:endParaRPr lang="en-US" sz="1200" b="1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0.93229</cdr:y>
    </cdr:from>
    <cdr:to>
      <cdr:x>0.36545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A17577-1AFA-A950-1E2E-CD41ACDE7412}"/>
            </a:ext>
          </a:extLst>
        </cdr:cNvPr>
        <cdr:cNvSpPr txBox="1"/>
      </cdr:nvSpPr>
      <cdr:spPr>
        <a:xfrm xmlns:a="http://schemas.openxmlformats.org/drawingml/2006/main">
          <a:off x="0" y="3409950"/>
          <a:ext cx="200501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0">
              <a:latin typeface="Aptos Display" panose="020B0004020202020204" pitchFamily="34" charset="0"/>
              <a:cs typeface="Arial" panose="020B0604020202020204" pitchFamily="34" charset="0"/>
            </a:rPr>
            <a:t>Source: EIA, Fastmarkets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0.92188</cdr:y>
    </cdr:from>
    <cdr:to>
      <cdr:x>0.4401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A17577-1AFA-A950-1E2E-CD41ACDE7412}"/>
            </a:ext>
          </a:extLst>
        </cdr:cNvPr>
        <cdr:cNvSpPr txBox="1"/>
      </cdr:nvSpPr>
      <cdr:spPr>
        <a:xfrm xmlns:a="http://schemas.openxmlformats.org/drawingml/2006/main">
          <a:off x="0" y="3371850"/>
          <a:ext cx="2414588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EIA, Fastmarkets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0.9375</cdr:y>
    </cdr:from>
    <cdr:to>
      <cdr:x>0.35503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F4D55-F9E7-47E0-B0A7-B8E8EE5CE7D8}"/>
            </a:ext>
          </a:extLst>
        </cdr:cNvPr>
        <cdr:cNvSpPr txBox="1"/>
      </cdr:nvSpPr>
      <cdr:spPr>
        <a:xfrm xmlns:a="http://schemas.openxmlformats.org/drawingml/2006/main">
          <a:off x="0" y="3429001"/>
          <a:ext cx="1947863" cy="228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EIA, Fastmarkets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0.01658</cdr:x>
      <cdr:y>0.93462</cdr:y>
    </cdr:from>
    <cdr:to>
      <cdr:x>0.43722</cdr:x>
      <cdr:y>0.99005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31921D-B4D9-4FDD-2B90-BD0A8B85B0E1}"/>
            </a:ext>
          </a:extLst>
        </cdr:cNvPr>
        <cdr:cNvSpPr txBox="1"/>
      </cdr:nvSpPr>
      <cdr:spPr>
        <a:xfrm xmlns:a="http://schemas.openxmlformats.org/drawingml/2006/main">
          <a:off x="157370" y="5027543"/>
          <a:ext cx="3992217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0.01658</cdr:x>
      <cdr:y>0.93462</cdr:y>
    </cdr:from>
    <cdr:to>
      <cdr:x>0.43722</cdr:x>
      <cdr:y>0.99005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31921D-B4D9-4FDD-2B90-BD0A8B85B0E1}"/>
            </a:ext>
          </a:extLst>
        </cdr:cNvPr>
        <cdr:cNvSpPr txBox="1"/>
      </cdr:nvSpPr>
      <cdr:spPr>
        <a:xfrm xmlns:a="http://schemas.openxmlformats.org/drawingml/2006/main">
          <a:off x="157370" y="5027543"/>
          <a:ext cx="3992217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0.94792</cdr:y>
    </cdr:from>
    <cdr:to>
      <cdr:x>0.37413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A17577-1AFA-A950-1E2E-CD41ACDE7412}"/>
            </a:ext>
          </a:extLst>
        </cdr:cNvPr>
        <cdr:cNvSpPr txBox="1"/>
      </cdr:nvSpPr>
      <cdr:spPr>
        <a:xfrm xmlns:a="http://schemas.openxmlformats.org/drawingml/2006/main">
          <a:off x="0" y="3467100"/>
          <a:ext cx="2052638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EIA, Fastmarkets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42</xdr:row>
      <xdr:rowOff>185737</xdr:rowOff>
    </xdr:from>
    <xdr:to>
      <xdr:col>14</xdr:col>
      <xdr:colOff>500062</xdr:colOff>
      <xdr:row>57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C2711-57BE-47F9-9C51-24F93301F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Biodiesel%20Feedstock%20Usage.xlsx" TargetMode="External"/><Relationship Id="rId1" Type="http://schemas.openxmlformats.org/officeDocument/2006/relationships/externalLinkPath" Target="US%20Biodiesel%20Feedstock%20Usag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BD%20Profitabilit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EMTS%20Data.xlsx" TargetMode="External"/><Relationship Id="rId1" Type="http://schemas.openxmlformats.org/officeDocument/2006/relationships/externalLinkPath" Target="EMTS%20Dat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Fuel%20Balance%20Sheets.xlsx" TargetMode="External"/><Relationship Id="rId1" Type="http://schemas.openxmlformats.org/officeDocument/2006/relationships/externalLinkPath" Target="US%20Fuel%20Balance%20Sheet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ARB%20LCFS%20Dat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ats%20and%20Greases/US%20Fat%20and%20Grease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403">
          <cell r="BA403">
            <v>527</v>
          </cell>
          <cell r="BB403">
            <v>307</v>
          </cell>
          <cell r="BC403">
            <v>551</v>
          </cell>
          <cell r="BD403">
            <v>458.81</v>
          </cell>
          <cell r="BE403">
            <v>408</v>
          </cell>
          <cell r="BF403">
            <v>525.96</v>
          </cell>
          <cell r="BG403">
            <v>577.42999999999995</v>
          </cell>
          <cell r="BH403">
            <v>698.88</v>
          </cell>
          <cell r="BI403">
            <v>557.52</v>
          </cell>
          <cell r="BJ403">
            <v>723</v>
          </cell>
          <cell r="BK403">
            <v>650.4058749447114</v>
          </cell>
          <cell r="BL403">
            <v>640.09400000000005</v>
          </cell>
          <cell r="BM403">
            <v>645.47</v>
          </cell>
          <cell r="BN403">
            <v>518.05399999999997</v>
          </cell>
          <cell r="BO403">
            <v>533.66914165410537</v>
          </cell>
          <cell r="BP403">
            <v>522.3997203788324</v>
          </cell>
          <cell r="BQ403">
            <v>523.24517740508566</v>
          </cell>
          <cell r="BR403">
            <v>406.87240627962495</v>
          </cell>
          <cell r="BS403">
            <v>439.55799003494877</v>
          </cell>
          <cell r="BT403">
            <v>443.05703757056096</v>
          </cell>
          <cell r="BU403">
            <v>429.53492525955409</v>
          </cell>
          <cell r="BV403">
            <v>445.28439608517988</v>
          </cell>
          <cell r="BW403">
            <v>406.35313683695279</v>
          </cell>
          <cell r="BX403">
            <v>404.89728393640047</v>
          </cell>
          <cell r="BY403">
            <v>454.31837270063778</v>
          </cell>
          <cell r="BZ403">
            <v>377.04511867652889</v>
          </cell>
          <cell r="CA403">
            <v>317.13839201883991</v>
          </cell>
          <cell r="CB403">
            <v>316.57162076545364</v>
          </cell>
          <cell r="CC403">
            <v>258.26199130982684</v>
          </cell>
          <cell r="CD403">
            <v>137.7765152296337</v>
          </cell>
          <cell r="CE403">
            <v>146.61823160806512</v>
          </cell>
        </row>
        <row r="404">
          <cell r="BA404">
            <v>538</v>
          </cell>
          <cell r="BB404">
            <v>246</v>
          </cell>
          <cell r="BC404">
            <v>535</v>
          </cell>
          <cell r="BD404">
            <v>447.12</v>
          </cell>
          <cell r="BE404">
            <v>464</v>
          </cell>
          <cell r="BF404">
            <v>595.83000000000004</v>
          </cell>
          <cell r="BG404">
            <v>590.79999999999995</v>
          </cell>
          <cell r="BH404">
            <v>703.79</v>
          </cell>
          <cell r="BI404">
            <v>526.53</v>
          </cell>
          <cell r="BJ404">
            <v>683</v>
          </cell>
          <cell r="BK404">
            <v>492.70689999400793</v>
          </cell>
          <cell r="BL404">
            <v>593.81100000000004</v>
          </cell>
          <cell r="BM404">
            <v>612.95299999999997</v>
          </cell>
          <cell r="BN404">
            <v>467.47699999999998</v>
          </cell>
          <cell r="BO404">
            <v>510.64365685281876</v>
          </cell>
          <cell r="BP404">
            <v>461.36667774875764</v>
          </cell>
          <cell r="BQ404">
            <v>476.08905757178326</v>
          </cell>
          <cell r="BR404">
            <v>368.62326465643173</v>
          </cell>
          <cell r="BS404">
            <v>393.24500706061974</v>
          </cell>
          <cell r="BT404">
            <v>399.72958303528918</v>
          </cell>
          <cell r="BU404">
            <v>383.75353671134366</v>
          </cell>
          <cell r="BV404">
            <v>398.94110034947585</v>
          </cell>
          <cell r="BW404">
            <v>362.78498566162568</v>
          </cell>
          <cell r="BX404">
            <v>361.48625101104074</v>
          </cell>
          <cell r="BY404">
            <v>412.91919184540217</v>
          </cell>
          <cell r="BZ404">
            <v>359.56324818405807</v>
          </cell>
          <cell r="CA404">
            <v>294.01965308050558</v>
          </cell>
          <cell r="CB404">
            <v>294.51697872776134</v>
          </cell>
          <cell r="CC404">
            <v>239.54368210805441</v>
          </cell>
          <cell r="CD404">
            <v>126.7195404887199</v>
          </cell>
          <cell r="CE404">
            <v>135.07583764680493</v>
          </cell>
        </row>
        <row r="405">
          <cell r="BA405">
            <v>592</v>
          </cell>
          <cell r="BB405">
            <v>273</v>
          </cell>
          <cell r="BC405">
            <v>559</v>
          </cell>
          <cell r="BD405">
            <v>531.30999999999995</v>
          </cell>
          <cell r="BE405">
            <v>436</v>
          </cell>
          <cell r="BF405">
            <v>610.47</v>
          </cell>
          <cell r="BG405">
            <v>593.99</v>
          </cell>
          <cell r="BH405">
            <v>767.76</v>
          </cell>
          <cell r="BI405">
            <v>541.04999999999995</v>
          </cell>
          <cell r="BJ405">
            <v>744</v>
          </cell>
          <cell r="BK405">
            <v>647.82612356375694</v>
          </cell>
          <cell r="BL405">
            <v>533.59299999999996</v>
          </cell>
          <cell r="BM405">
            <v>603</v>
          </cell>
          <cell r="BN405">
            <v>399.74799999999999</v>
          </cell>
          <cell r="BO405">
            <v>956.09398905716296</v>
          </cell>
          <cell r="BP405">
            <v>492.52296821074714</v>
          </cell>
          <cell r="BQ405">
            <v>552.64340863047289</v>
          </cell>
          <cell r="BR405">
            <v>447.27747483787277</v>
          </cell>
          <cell r="BS405">
            <v>498.41094817462476</v>
          </cell>
          <cell r="BT405">
            <v>536.21871720282263</v>
          </cell>
          <cell r="BU405">
            <v>463.59891732391429</v>
          </cell>
          <cell r="BV405">
            <v>492.92517860697114</v>
          </cell>
          <cell r="BW405">
            <v>392.71009107891791</v>
          </cell>
          <cell r="BX405">
            <v>421.05639879611931</v>
          </cell>
          <cell r="BY405">
            <v>473.48062082796849</v>
          </cell>
          <cell r="BZ405">
            <v>418.41727055624153</v>
          </cell>
          <cell r="CA405">
            <v>339.88647844061524</v>
          </cell>
          <cell r="CB405">
            <v>334.88971157688701</v>
          </cell>
          <cell r="CC405">
            <v>276.62570683261748</v>
          </cell>
          <cell r="CD405">
            <v>148.31663661248496</v>
          </cell>
          <cell r="CE405">
            <v>160.06500501511397</v>
          </cell>
        </row>
        <row r="406">
          <cell r="AZ406">
            <v>150</v>
          </cell>
          <cell r="BA406">
            <v>306</v>
          </cell>
          <cell r="BB406">
            <v>313</v>
          </cell>
          <cell r="BC406">
            <v>241</v>
          </cell>
          <cell r="BD406">
            <v>306</v>
          </cell>
          <cell r="BE406">
            <v>392.27</v>
          </cell>
          <cell r="BF406">
            <v>390.11</v>
          </cell>
          <cell r="BG406">
            <v>462.12</v>
          </cell>
          <cell r="BH406">
            <v>622.80999999999995</v>
          </cell>
          <cell r="BI406">
            <v>521</v>
          </cell>
          <cell r="BJ406">
            <v>464.92010627046363</v>
          </cell>
          <cell r="BK406">
            <v>543.04</v>
          </cell>
          <cell r="BL406">
            <v>556.82899999999995</v>
          </cell>
          <cell r="BM406">
            <v>544.50800000000004</v>
          </cell>
          <cell r="BN406">
            <v>384.27600000000001</v>
          </cell>
          <cell r="BO406">
            <v>478.36360757242039</v>
          </cell>
          <cell r="BP406">
            <v>464.07479999959344</v>
          </cell>
          <cell r="BQ406">
            <v>367.73627538584213</v>
          </cell>
          <cell r="BR406">
            <v>403.22638169924284</v>
          </cell>
          <cell r="BS406">
            <v>386.85456256568551</v>
          </cell>
          <cell r="BT406">
            <v>391.09951312598355</v>
          </cell>
          <cell r="BU406">
            <v>397.89169599141644</v>
          </cell>
          <cell r="BV406">
            <v>286.02354450611637</v>
          </cell>
          <cell r="BW406">
            <v>394.31582135946041</v>
          </cell>
          <cell r="BX406">
            <v>393.24810364243757</v>
          </cell>
          <cell r="BY406">
            <v>359.32640039795939</v>
          </cell>
          <cell r="BZ406">
            <v>302.45109932727462</v>
          </cell>
          <cell r="CA406">
            <v>308.68275200869294</v>
          </cell>
          <cell r="CB406">
            <v>308.68275200869294</v>
          </cell>
          <cell r="CC406">
            <v>135.79942391861636</v>
          </cell>
          <cell r="CD406">
            <v>145.40564796226249</v>
          </cell>
        </row>
        <row r="407">
          <cell r="AZ407">
            <v>150</v>
          </cell>
          <cell r="BA407">
            <v>321</v>
          </cell>
          <cell r="BB407">
            <v>287</v>
          </cell>
          <cell r="BC407">
            <v>277</v>
          </cell>
          <cell r="BD407">
            <v>311</v>
          </cell>
          <cell r="BE407">
            <v>416</v>
          </cell>
          <cell r="BF407">
            <v>369.18</v>
          </cell>
          <cell r="BG407">
            <v>495.59</v>
          </cell>
          <cell r="BH407">
            <v>559.57000000000005</v>
          </cell>
          <cell r="BI407">
            <v>574.78</v>
          </cell>
          <cell r="BJ407">
            <v>319.20156533980185</v>
          </cell>
          <cell r="BK407">
            <v>536.60199999999998</v>
          </cell>
          <cell r="BL407">
            <v>536.27599999999995</v>
          </cell>
          <cell r="BM407">
            <v>521.55999999999995</v>
          </cell>
          <cell r="BN407">
            <v>425.12799999999999</v>
          </cell>
          <cell r="BO407">
            <v>428.78888334872056</v>
          </cell>
          <cell r="BP407">
            <v>429.60994569741672</v>
          </cell>
          <cell r="BQ407">
            <v>335.4308877301911</v>
          </cell>
          <cell r="BR407">
            <v>365.86033706819785</v>
          </cell>
          <cell r="BS407">
            <v>342.70842445045912</v>
          </cell>
          <cell r="BT407">
            <v>350.18716419575912</v>
          </cell>
          <cell r="BU407">
            <v>355.68443226855345</v>
          </cell>
          <cell r="BV407">
            <v>206.88726439213079</v>
          </cell>
          <cell r="BW407">
            <v>304.21834699810864</v>
          </cell>
          <cell r="BX407">
            <v>298.65800310366296</v>
          </cell>
          <cell r="BY407">
            <v>289.34715273035238</v>
          </cell>
          <cell r="BZ407">
            <v>240.04911910484046</v>
          </cell>
          <cell r="CA407">
            <v>237.67844015722855</v>
          </cell>
          <cell r="CB407">
            <v>237.67844015722855</v>
          </cell>
          <cell r="CC407">
            <v>101.22137127139088</v>
          </cell>
          <cell r="CD407">
            <v>107.10645051921406</v>
          </cell>
        </row>
        <row r="408">
          <cell r="AZ408">
            <v>190</v>
          </cell>
          <cell r="BA408">
            <v>388</v>
          </cell>
          <cell r="BB408">
            <v>443</v>
          </cell>
          <cell r="BC408">
            <v>379</v>
          </cell>
          <cell r="BD408">
            <v>381</v>
          </cell>
          <cell r="BE408">
            <v>464.48</v>
          </cell>
          <cell r="BF408">
            <v>369.46</v>
          </cell>
          <cell r="BG408">
            <v>624.15</v>
          </cell>
          <cell r="BH408">
            <v>617.01</v>
          </cell>
          <cell r="BI408">
            <v>656.02</v>
          </cell>
          <cell r="BJ408">
            <v>516.98119277223532</v>
          </cell>
          <cell r="BK408">
            <v>657.06299999999999</v>
          </cell>
          <cell r="BL408">
            <v>592.54200000000003</v>
          </cell>
          <cell r="BM408">
            <v>547.69156099999998</v>
          </cell>
          <cell r="BN408">
            <v>501.69099999999997</v>
          </cell>
          <cell r="BO408">
            <v>448.3644334219822</v>
          </cell>
          <cell r="BP408">
            <v>456.48917425084232</v>
          </cell>
          <cell r="BQ408">
            <v>346.94955314309254</v>
          </cell>
          <cell r="BR408">
            <v>373.76890540943754</v>
          </cell>
          <cell r="BS408">
            <v>354.3811001466666</v>
          </cell>
          <cell r="BT408">
            <v>364.02125326086008</v>
          </cell>
          <cell r="BU408">
            <v>369.78781682666033</v>
          </cell>
          <cell r="BV408">
            <v>213.84803326105228</v>
          </cell>
          <cell r="BW408">
            <v>314.61911913249918</v>
          </cell>
          <cell r="BX408">
            <v>309.61671799434049</v>
          </cell>
          <cell r="BY408">
            <v>305.62774190323887</v>
          </cell>
          <cell r="BZ408">
            <v>254.63998030748959</v>
          </cell>
          <cell r="CA408">
            <v>253.10224456764371</v>
          </cell>
          <cell r="CB408">
            <v>253.10224456764371</v>
          </cell>
          <cell r="CC408">
            <v>109.60903106468538</v>
          </cell>
          <cell r="CD408">
            <v>117.67136539165202</v>
          </cell>
        </row>
        <row r="409">
          <cell r="AZ409">
            <v>236</v>
          </cell>
          <cell r="BA409">
            <v>350</v>
          </cell>
          <cell r="BB409">
            <v>423</v>
          </cell>
          <cell r="BC409">
            <v>360</v>
          </cell>
          <cell r="BD409">
            <v>384.6</v>
          </cell>
          <cell r="BE409">
            <v>414.75</v>
          </cell>
          <cell r="BF409">
            <v>426.71</v>
          </cell>
          <cell r="BG409">
            <v>519.55999999999995</v>
          </cell>
          <cell r="BH409">
            <v>631.84</v>
          </cell>
          <cell r="BI409">
            <v>671.81</v>
          </cell>
          <cell r="BJ409">
            <v>545.27086158299016</v>
          </cell>
          <cell r="BK409">
            <v>578.07399999999996</v>
          </cell>
          <cell r="BL409">
            <v>578.74400000000003</v>
          </cell>
          <cell r="BM409">
            <v>504.93900000000002</v>
          </cell>
          <cell r="BN409">
            <v>574.79999999999995</v>
          </cell>
          <cell r="BO409">
            <v>493.10688917141965</v>
          </cell>
          <cell r="BP409">
            <v>503.31678359692626</v>
          </cell>
          <cell r="BQ409">
            <v>400.72201682768491</v>
          </cell>
          <cell r="BR409">
            <v>459.63595641753903</v>
          </cell>
          <cell r="BS409">
            <v>452.24324814946152</v>
          </cell>
          <cell r="BT409">
            <v>428.81945392794688</v>
          </cell>
          <cell r="BU409">
            <v>443.08424563138237</v>
          </cell>
          <cell r="BV409">
            <v>258.36528558541278</v>
          </cell>
          <cell r="BW409">
            <v>388.17715186479148</v>
          </cell>
          <cell r="BX409">
            <v>380.86202457364504</v>
          </cell>
          <cell r="BY409">
            <v>359.76244251392063</v>
          </cell>
          <cell r="BZ409">
            <v>300.76245620284135</v>
          </cell>
          <cell r="CA409">
            <v>298.89111240712839</v>
          </cell>
          <cell r="CB409">
            <v>298.89111240712839</v>
          </cell>
          <cell r="CC409">
            <v>133.06032917880933</v>
          </cell>
          <cell r="CD409">
            <v>142.85159801748139</v>
          </cell>
        </row>
        <row r="410">
          <cell r="AZ410">
            <v>264</v>
          </cell>
          <cell r="BA410">
            <v>429</v>
          </cell>
          <cell r="BB410">
            <v>416</v>
          </cell>
          <cell r="BC410">
            <v>364</v>
          </cell>
          <cell r="BD410">
            <v>443</v>
          </cell>
          <cell r="BE410">
            <v>543.78</v>
          </cell>
          <cell r="BF410">
            <v>545.51</v>
          </cell>
          <cell r="BG410">
            <v>581.33000000000004</v>
          </cell>
          <cell r="BH410">
            <v>659.05</v>
          </cell>
          <cell r="BI410">
            <v>805.35</v>
          </cell>
          <cell r="BJ410">
            <v>607.24367577257226</v>
          </cell>
          <cell r="BK410">
            <v>593.74400000000003</v>
          </cell>
          <cell r="BL410">
            <v>662.75699999999995</v>
          </cell>
          <cell r="BM410">
            <v>596.85599999999999</v>
          </cell>
          <cell r="BN410">
            <v>581.18600000000004</v>
          </cell>
          <cell r="BO410">
            <v>546.25113359902548</v>
          </cell>
          <cell r="BP410">
            <v>560.43133289904654</v>
          </cell>
          <cell r="BQ410">
            <v>453.26474050063194</v>
          </cell>
          <cell r="BR410">
            <v>504.39092036411125</v>
          </cell>
          <cell r="BS410">
            <v>500.83217369572662</v>
          </cell>
          <cell r="BT410">
            <v>479.44861536924287</v>
          </cell>
          <cell r="BU410">
            <v>495.74258728277994</v>
          </cell>
          <cell r="BV410">
            <v>287.86147749829581</v>
          </cell>
          <cell r="BW410">
            <v>433.89320150014026</v>
          </cell>
          <cell r="BX410">
            <v>426.34824663138772</v>
          </cell>
          <cell r="BY410">
            <v>399.25428311394978</v>
          </cell>
          <cell r="BZ410">
            <v>333.95148568321446</v>
          </cell>
          <cell r="CA410">
            <v>331.40008346167758</v>
          </cell>
          <cell r="CB410">
            <v>331.40008346167758</v>
          </cell>
          <cell r="CC410">
            <v>148.58850972384732</v>
          </cell>
          <cell r="CD410">
            <v>160.24822185973329</v>
          </cell>
        </row>
        <row r="411">
          <cell r="AZ411">
            <v>311</v>
          </cell>
          <cell r="BA411">
            <v>369</v>
          </cell>
          <cell r="BB411">
            <v>486</v>
          </cell>
          <cell r="BC411">
            <v>466.61</v>
          </cell>
          <cell r="BD411">
            <v>474</v>
          </cell>
          <cell r="BE411">
            <v>519.69000000000005</v>
          </cell>
          <cell r="BF411">
            <v>548.84</v>
          </cell>
          <cell r="BG411">
            <v>623.61</v>
          </cell>
          <cell r="BH411">
            <v>594.15</v>
          </cell>
          <cell r="BI411">
            <v>747.07</v>
          </cell>
          <cell r="BJ411">
            <v>447.52073891518546</v>
          </cell>
          <cell r="BK411">
            <v>559.88699999999994</v>
          </cell>
          <cell r="BL411">
            <v>627.38300000000004</v>
          </cell>
          <cell r="BM411">
            <v>577.89058302499996</v>
          </cell>
          <cell r="BN411">
            <v>577.89058302499996</v>
          </cell>
          <cell r="BO411">
            <v>461.83533453162818</v>
          </cell>
          <cell r="BP411">
            <v>505.41650033070573</v>
          </cell>
          <cell r="BQ411">
            <v>406.59054451624291</v>
          </cell>
          <cell r="BR411">
            <v>446.46097525409687</v>
          </cell>
          <cell r="BS411">
            <v>432.19584799962183</v>
          </cell>
          <cell r="BT411">
            <v>420.3874965282883</v>
          </cell>
          <cell r="BU411">
            <v>435.20364012958805</v>
          </cell>
          <cell r="BV411">
            <v>253.42712247691475</v>
          </cell>
          <cell r="BW411">
            <v>376.27387402624731</v>
          </cell>
          <cell r="BX411">
            <v>369.73477511401865</v>
          </cell>
          <cell r="BY411">
            <v>359.56779492154459</v>
          </cell>
          <cell r="BZ411">
            <v>301.46161310681907</v>
          </cell>
          <cell r="CA411">
            <v>300.30904509144437</v>
          </cell>
          <cell r="CB411">
            <v>300.30904509144437</v>
          </cell>
          <cell r="CC411">
            <v>133.60807273574102</v>
          </cell>
          <cell r="CD411">
            <v>144.466588611654</v>
          </cell>
        </row>
        <row r="412">
          <cell r="AZ412">
            <v>367</v>
          </cell>
          <cell r="BA412">
            <v>347</v>
          </cell>
          <cell r="BB412">
            <v>480</v>
          </cell>
          <cell r="BC412">
            <v>434.63</v>
          </cell>
          <cell r="BD412">
            <v>446</v>
          </cell>
          <cell r="BE412">
            <v>535.6</v>
          </cell>
          <cell r="BF412">
            <v>606.15</v>
          </cell>
          <cell r="BG412">
            <v>671.27</v>
          </cell>
          <cell r="BH412">
            <v>708.5</v>
          </cell>
          <cell r="BI412">
            <v>774.83</v>
          </cell>
          <cell r="BJ412">
            <v>622.37633218578083</v>
          </cell>
          <cell r="BK412">
            <v>625.98500000000001</v>
          </cell>
          <cell r="BL412">
            <v>678.70100000000002</v>
          </cell>
          <cell r="BM412">
            <v>641.88599999999997</v>
          </cell>
          <cell r="BN412">
            <v>560.31575386306213</v>
          </cell>
          <cell r="BO412">
            <v>533.67073822780458</v>
          </cell>
          <cell r="BP412">
            <v>545.44120680226638</v>
          </cell>
          <cell r="BQ412">
            <v>434.76397434239664</v>
          </cell>
          <cell r="BR412">
            <v>476.57111919495611</v>
          </cell>
          <cell r="BS412">
            <v>465.30901230736947</v>
          </cell>
          <cell r="BT412">
            <v>458.4039351066138</v>
          </cell>
          <cell r="BU412">
            <v>471.12526157071227</v>
          </cell>
          <cell r="BV412">
            <v>272.97951371151669</v>
          </cell>
          <cell r="BW412">
            <v>408.96998070609533</v>
          </cell>
          <cell r="BX412">
            <v>402.19921465654153</v>
          </cell>
          <cell r="BY412">
            <v>380.33220497068692</v>
          </cell>
          <cell r="BZ412">
            <v>317.27335556879871</v>
          </cell>
          <cell r="CA412">
            <v>315.06356030377623</v>
          </cell>
          <cell r="CB412">
            <v>315.06356030377623</v>
          </cell>
          <cell r="CC412">
            <v>139.29109915967325</v>
          </cell>
          <cell r="CD412">
            <v>150.19074598740505</v>
          </cell>
        </row>
        <row r="413">
          <cell r="AZ413">
            <v>398</v>
          </cell>
          <cell r="BA413">
            <v>385</v>
          </cell>
          <cell r="BB413">
            <v>513</v>
          </cell>
          <cell r="BC413">
            <v>447.81</v>
          </cell>
          <cell r="BD413">
            <v>463.6</v>
          </cell>
          <cell r="BE413">
            <v>561.04</v>
          </cell>
          <cell r="BF413">
            <v>608.16999999999996</v>
          </cell>
          <cell r="BG413">
            <v>705.13</v>
          </cell>
          <cell r="BH413">
            <v>701.14</v>
          </cell>
          <cell r="BI413">
            <v>745.33</v>
          </cell>
          <cell r="BJ413">
            <v>513.57724767128968</v>
          </cell>
          <cell r="BK413">
            <v>642.899</v>
          </cell>
          <cell r="BL413">
            <v>617.53700000000003</v>
          </cell>
          <cell r="BM413">
            <v>636.02</v>
          </cell>
          <cell r="BN413">
            <v>555.61878854051258</v>
          </cell>
          <cell r="BO413">
            <v>501.06467126689108</v>
          </cell>
          <cell r="BP413">
            <v>525.8255985867072</v>
          </cell>
          <cell r="BQ413">
            <v>414.19422032035686</v>
          </cell>
          <cell r="BR413">
            <v>458.36581128206257</v>
          </cell>
          <cell r="BS413">
            <v>445.3415257231909</v>
          </cell>
          <cell r="BT413">
            <v>436.17132480053908</v>
          </cell>
          <cell r="BU413">
            <v>449.76006891920969</v>
          </cell>
          <cell r="BV413">
            <v>260.91963765413448</v>
          </cell>
          <cell r="BW413">
            <v>389.33737554298142</v>
          </cell>
          <cell r="BX413">
            <v>382.64567152419158</v>
          </cell>
          <cell r="BY413">
            <v>365.15396634007016</v>
          </cell>
          <cell r="BZ413">
            <v>305.97592763503599</v>
          </cell>
          <cell r="CA413">
            <v>304.35680250982011</v>
          </cell>
          <cell r="CB413">
            <v>304.35680250982011</v>
          </cell>
          <cell r="CC413">
            <v>133.39610754741804</v>
          </cell>
          <cell r="CD413">
            <v>144.13674503949392</v>
          </cell>
        </row>
        <row r="414">
          <cell r="AZ414">
            <v>430</v>
          </cell>
          <cell r="BA414">
            <v>322</v>
          </cell>
          <cell r="BB414">
            <v>502</v>
          </cell>
          <cell r="BC414">
            <v>395.21</v>
          </cell>
          <cell r="BD414">
            <v>390</v>
          </cell>
          <cell r="BE414">
            <v>536.84</v>
          </cell>
          <cell r="BF414">
            <v>603.91</v>
          </cell>
          <cell r="BG414">
            <v>688.71</v>
          </cell>
          <cell r="BH414">
            <v>598.79999999999995</v>
          </cell>
          <cell r="BI414">
            <v>736.53</v>
          </cell>
          <cell r="BJ414">
            <v>572.51958262530229</v>
          </cell>
          <cell r="BK414">
            <v>595.70399999999995</v>
          </cell>
          <cell r="BL414">
            <v>619.99400000000003</v>
          </cell>
          <cell r="BM414">
            <v>673.00900000000001</v>
          </cell>
          <cell r="BN414">
            <v>561.14771744976179</v>
          </cell>
          <cell r="BO414">
            <v>510.94886124516131</v>
          </cell>
          <cell r="BP414">
            <v>531.79382214527379</v>
          </cell>
          <cell r="BQ414">
            <v>425.95494998719079</v>
          </cell>
          <cell r="BR414">
            <v>484.17450948437431</v>
          </cell>
          <cell r="BS414">
            <v>458.96784165779047</v>
          </cell>
          <cell r="BT414">
            <v>449.92809064909454</v>
          </cell>
          <cell r="BU414">
            <v>464.68715273083001</v>
          </cell>
          <cell r="BV414">
            <v>270.29838208920785</v>
          </cell>
          <cell r="BW414">
            <v>405.20396861262338</v>
          </cell>
          <cell r="BX414">
            <v>396.24863984975411</v>
          </cell>
          <cell r="BY414">
            <v>375.77888844089449</v>
          </cell>
          <cell r="BZ414">
            <v>313.08523698163856</v>
          </cell>
          <cell r="CA414">
            <v>310.87142652552234</v>
          </cell>
          <cell r="CB414">
            <v>310.87142652552234</v>
          </cell>
          <cell r="CC414">
            <v>134.98833929983203</v>
          </cell>
          <cell r="CD414">
            <v>145.45981896383333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>
        <row r="318">
          <cell r="BE318">
            <v>1</v>
          </cell>
          <cell r="BF318">
            <v>5</v>
          </cell>
          <cell r="BG318">
            <v>2</v>
          </cell>
          <cell r="BH318">
            <v>2</v>
          </cell>
          <cell r="BI318">
            <v>3.3173609712297583</v>
          </cell>
          <cell r="BJ318">
            <v>2.9236827633147642</v>
          </cell>
          <cell r="BK318">
            <v>0</v>
          </cell>
          <cell r="BL318">
            <v>0</v>
          </cell>
          <cell r="BM318">
            <v>6.6849999999999996</v>
          </cell>
          <cell r="BN318">
            <v>40</v>
          </cell>
          <cell r="BO318">
            <v>18.470774741235601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BE319">
            <v>2</v>
          </cell>
          <cell r="BF319">
            <v>4</v>
          </cell>
          <cell r="BG319">
            <v>2</v>
          </cell>
          <cell r="BH319">
            <v>2</v>
          </cell>
          <cell r="BI319">
            <v>2.8621813962114486</v>
          </cell>
          <cell r="BJ319">
            <v>0</v>
          </cell>
          <cell r="BK319">
            <v>1</v>
          </cell>
          <cell r="BL319">
            <v>0</v>
          </cell>
          <cell r="BM319">
            <v>5</v>
          </cell>
          <cell r="BN319">
            <v>10</v>
          </cell>
          <cell r="BO319">
            <v>6.1051694667472258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</row>
        <row r="320">
          <cell r="BE320">
            <v>1</v>
          </cell>
          <cell r="BF320">
            <v>2</v>
          </cell>
          <cell r="BG320">
            <v>2</v>
          </cell>
          <cell r="BH320">
            <v>2</v>
          </cell>
          <cell r="BI320">
            <v>2.4479564903979654</v>
          </cell>
          <cell r="BJ320">
            <v>0</v>
          </cell>
          <cell r="BK320">
            <v>1</v>
          </cell>
          <cell r="BL320">
            <v>0</v>
          </cell>
          <cell r="BM320">
            <v>4.2569999999999997</v>
          </cell>
          <cell r="BN320">
            <v>60</v>
          </cell>
          <cell r="BO320">
            <v>49.789784237103099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BE321">
            <v>3.05</v>
          </cell>
          <cell r="BF321">
            <v>0</v>
          </cell>
          <cell r="BG321">
            <v>2</v>
          </cell>
          <cell r="BH321">
            <v>0.4</v>
          </cell>
          <cell r="BI321">
            <v>2.1270438540472822</v>
          </cell>
          <cell r="BJ321">
            <v>0</v>
          </cell>
          <cell r="BK321">
            <v>1</v>
          </cell>
          <cell r="BL321">
            <v>0</v>
          </cell>
          <cell r="BM321">
            <v>4.2569999999999997</v>
          </cell>
          <cell r="BN321">
            <v>0</v>
          </cell>
          <cell r="BO321">
            <v>1.9883484389304631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BE322">
            <v>12</v>
          </cell>
          <cell r="BF322">
            <v>2</v>
          </cell>
          <cell r="BG322">
            <v>2</v>
          </cell>
          <cell r="BH322">
            <v>0.4</v>
          </cell>
          <cell r="BI322">
            <v>4.4547064801197571</v>
          </cell>
          <cell r="BJ322">
            <v>0</v>
          </cell>
          <cell r="BK322">
            <v>0</v>
          </cell>
          <cell r="BL322">
            <v>0</v>
          </cell>
          <cell r="BM322">
            <v>6</v>
          </cell>
          <cell r="BN322">
            <v>2.5201888349544097</v>
          </cell>
          <cell r="BO322">
            <v>3.558398902116255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BE323">
            <v>0.89</v>
          </cell>
          <cell r="BF323">
            <v>0</v>
          </cell>
          <cell r="BG323">
            <v>2</v>
          </cell>
          <cell r="BH323">
            <v>2</v>
          </cell>
          <cell r="BI323">
            <v>2.0185782125560299</v>
          </cell>
          <cell r="BJ323">
            <v>0</v>
          </cell>
          <cell r="BK323">
            <v>0</v>
          </cell>
          <cell r="BL323">
            <v>0</v>
          </cell>
          <cell r="BM323">
            <v>6</v>
          </cell>
          <cell r="BN323">
            <v>2.2964048505885395</v>
          </cell>
          <cell r="BO323">
            <v>3.2621098697082882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BE324">
            <v>1</v>
          </cell>
          <cell r="BF324">
            <v>2</v>
          </cell>
          <cell r="BG324">
            <v>2</v>
          </cell>
          <cell r="BH324">
            <v>0.4</v>
          </cell>
          <cell r="BI324">
            <v>0.4</v>
          </cell>
          <cell r="BJ324">
            <v>0</v>
          </cell>
          <cell r="BK324">
            <v>0</v>
          </cell>
          <cell r="BL324">
            <v>0</v>
          </cell>
          <cell r="BM324">
            <v>6</v>
          </cell>
          <cell r="BN324">
            <v>2.5992736236241818</v>
          </cell>
          <cell r="BO324">
            <v>3.1727933002322852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BE325">
            <v>4</v>
          </cell>
          <cell r="BF325">
            <v>2</v>
          </cell>
          <cell r="BG325">
            <v>2</v>
          </cell>
          <cell r="BH325">
            <v>4.3203580458773567</v>
          </cell>
          <cell r="BI325">
            <v>3.9375533645957925</v>
          </cell>
          <cell r="BJ325">
            <v>0</v>
          </cell>
          <cell r="BK325">
            <v>1</v>
          </cell>
          <cell r="BL325">
            <v>0</v>
          </cell>
          <cell r="BM325">
            <v>18.143000000000001</v>
          </cell>
          <cell r="BN325">
            <v>4.5561575028356298</v>
          </cell>
          <cell r="BO325">
            <v>8.8168035083662666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BE326">
            <v>5</v>
          </cell>
          <cell r="BF326">
            <v>2</v>
          </cell>
          <cell r="BG326">
            <v>2</v>
          </cell>
          <cell r="BH326">
            <v>3.4410761842437672</v>
          </cell>
          <cell r="BI326">
            <v>12.95</v>
          </cell>
          <cell r="BJ326">
            <v>0</v>
          </cell>
          <cell r="BK326">
            <v>1</v>
          </cell>
          <cell r="BL326">
            <v>5</v>
          </cell>
          <cell r="BM326">
            <v>37.298000000000002</v>
          </cell>
          <cell r="BN326">
            <v>10.931776491798075</v>
          </cell>
          <cell r="BO326">
            <v>19.38044373390181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BE327">
            <v>4</v>
          </cell>
          <cell r="BF327">
            <v>2</v>
          </cell>
          <cell r="BG327">
            <v>2</v>
          </cell>
          <cell r="BH327">
            <v>3.3827584290101176</v>
          </cell>
          <cell r="BI327">
            <v>2.7622959341708397</v>
          </cell>
          <cell r="BJ327">
            <v>1</v>
          </cell>
          <cell r="BK327">
            <v>1</v>
          </cell>
          <cell r="BL327">
            <v>5</v>
          </cell>
          <cell r="BM327">
            <v>15</v>
          </cell>
          <cell r="BN327">
            <v>9.157884007980492</v>
          </cell>
          <cell r="BO327">
            <v>11.229172178757574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</row>
        <row r="328">
          <cell r="BE328">
            <v>8</v>
          </cell>
          <cell r="BF328">
            <v>2</v>
          </cell>
          <cell r="BG328">
            <v>2</v>
          </cell>
          <cell r="BH328">
            <v>2.6686143630412147</v>
          </cell>
          <cell r="BI328">
            <v>3.7046608137443813</v>
          </cell>
          <cell r="BJ328">
            <v>1</v>
          </cell>
          <cell r="BK328">
            <v>1</v>
          </cell>
          <cell r="BL328">
            <v>5</v>
          </cell>
          <cell r="BM328">
            <v>10</v>
          </cell>
          <cell r="BN328">
            <v>7.8635737322928438</v>
          </cell>
          <cell r="BO328">
            <v>8.6872792525680769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</row>
        <row r="329">
          <cell r="BE329">
            <v>10</v>
          </cell>
          <cell r="BF329">
            <v>2</v>
          </cell>
          <cell r="BG329">
            <v>2</v>
          </cell>
          <cell r="BH329">
            <v>4.4291070435967663</v>
          </cell>
          <cell r="BI329">
            <v>4.4951059264929727</v>
          </cell>
          <cell r="BJ329">
            <v>0</v>
          </cell>
          <cell r="BK329">
            <v>0</v>
          </cell>
          <cell r="BL329">
            <v>15.526</v>
          </cell>
          <cell r="BM329">
            <v>10</v>
          </cell>
          <cell r="BN329">
            <v>11.043780287930609</v>
          </cell>
          <cell r="BO329">
            <v>12.53737959106059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</row>
      </sheetData>
      <sheetData sheetId="19"/>
      <sheetData sheetId="20"/>
      <sheetData sheetId="21"/>
      <sheetData sheetId="22">
        <row r="338">
          <cell r="BA338">
            <v>69</v>
          </cell>
          <cell r="BB338">
            <v>16</v>
          </cell>
          <cell r="BC338">
            <v>82</v>
          </cell>
          <cell r="BD338">
            <v>132.9</v>
          </cell>
          <cell r="BE338">
            <v>60</v>
          </cell>
          <cell r="BF338">
            <v>116.95</v>
          </cell>
          <cell r="BG338">
            <v>159.29</v>
          </cell>
          <cell r="BH338">
            <v>100.71</v>
          </cell>
          <cell r="BI338">
            <v>114.98</v>
          </cell>
          <cell r="BJ338">
            <v>80.385273001550331</v>
          </cell>
          <cell r="BK338">
            <v>115.738</v>
          </cell>
          <cell r="BL338">
            <v>167.27600000000001</v>
          </cell>
          <cell r="BM338">
            <v>165.429</v>
          </cell>
          <cell r="BN338">
            <v>138.16900000000001</v>
          </cell>
          <cell r="BO338">
            <v>140.84869416942905</v>
          </cell>
          <cell r="BP338">
            <v>141.89192468766237</v>
          </cell>
          <cell r="BQ338">
            <v>145.44919649419751</v>
          </cell>
          <cell r="BR338">
            <v>114.89778133963287</v>
          </cell>
          <cell r="BS338">
            <v>128.71906311891317</v>
          </cell>
          <cell r="BT338">
            <v>127.39198603260033</v>
          </cell>
          <cell r="BU338">
            <v>127.91175744588119</v>
          </cell>
          <cell r="BV338">
            <v>134.45970217364209</v>
          </cell>
          <cell r="BW338">
            <v>124.81049025120095</v>
          </cell>
          <cell r="BX338">
            <v>123.68602771376155</v>
          </cell>
          <cell r="BY338">
            <v>94.716808504500605</v>
          </cell>
          <cell r="BZ338">
            <v>76.239501283594947</v>
          </cell>
          <cell r="CA338">
            <v>58.825824025947753</v>
          </cell>
          <cell r="CB338">
            <v>54.310385885690238</v>
          </cell>
          <cell r="CC338">
            <v>54.310385885690238</v>
          </cell>
          <cell r="CD338">
            <v>123.68602771376155</v>
          </cell>
          <cell r="CE338">
            <v>123.68602771376155</v>
          </cell>
        </row>
        <row r="339">
          <cell r="BA339">
            <v>84</v>
          </cell>
          <cell r="BB339">
            <v>18</v>
          </cell>
          <cell r="BC339">
            <v>80</v>
          </cell>
          <cell r="BD339">
            <v>121.03</v>
          </cell>
          <cell r="BE339">
            <v>40</v>
          </cell>
          <cell r="BF339">
            <v>98.44</v>
          </cell>
          <cell r="BG339">
            <v>140.78</v>
          </cell>
          <cell r="BH339">
            <v>75.10009765625</v>
          </cell>
          <cell r="BI339">
            <v>100.08</v>
          </cell>
          <cell r="BJ339">
            <v>87.207244968589521</v>
          </cell>
          <cell r="BK339">
            <v>132.672888</v>
          </cell>
          <cell r="BL339">
            <v>113.45</v>
          </cell>
          <cell r="BM339">
            <v>137.553</v>
          </cell>
          <cell r="BN339">
            <v>120.133</v>
          </cell>
          <cell r="BO339">
            <v>131.68779259178785</v>
          </cell>
          <cell r="BP339">
            <v>124.52182706718294</v>
          </cell>
          <cell r="BQ339">
            <v>121.77255935364585</v>
          </cell>
          <cell r="BR339">
            <v>99.875454880634706</v>
          </cell>
          <cell r="BS339">
            <v>112.89274979972606</v>
          </cell>
          <cell r="BT339">
            <v>112.01721723313827</v>
          </cell>
          <cell r="BU339">
            <v>111.06816848518181</v>
          </cell>
          <cell r="BV339">
            <v>116.51054252382831</v>
          </cell>
          <cell r="BW339">
            <v>108.8797713271004</v>
          </cell>
          <cell r="BX339">
            <v>107.95444813224297</v>
          </cell>
          <cell r="BY339">
            <v>82.590581648509072</v>
          </cell>
          <cell r="BZ339">
            <v>66.371198105949901</v>
          </cell>
          <cell r="CA339">
            <v>51.250445362456176</v>
          </cell>
          <cell r="CB339">
            <v>47.376426678142501</v>
          </cell>
          <cell r="CC339">
            <v>47.376426678142501</v>
          </cell>
          <cell r="CD339">
            <v>47.376426678142501</v>
          </cell>
          <cell r="CE339">
            <v>47.376426678142501</v>
          </cell>
        </row>
        <row r="340">
          <cell r="BA340">
            <v>71</v>
          </cell>
          <cell r="BB340">
            <v>16</v>
          </cell>
          <cell r="BC340">
            <v>105</v>
          </cell>
          <cell r="BD340">
            <v>84.59</v>
          </cell>
          <cell r="BE340">
            <v>48</v>
          </cell>
          <cell r="BF340">
            <v>55.23</v>
          </cell>
          <cell r="BG340">
            <v>127.85</v>
          </cell>
          <cell r="BH340">
            <v>85.650146484375</v>
          </cell>
          <cell r="BI340">
            <v>99.18</v>
          </cell>
          <cell r="BJ340">
            <v>75.634753488699971</v>
          </cell>
          <cell r="BK340">
            <v>126.211</v>
          </cell>
          <cell r="BL340">
            <v>119.591805422766</v>
          </cell>
          <cell r="BM340">
            <v>150.333786</v>
          </cell>
          <cell r="BN340">
            <v>132.01599999999999</v>
          </cell>
          <cell r="BO340">
            <v>251.94125775652333</v>
          </cell>
          <cell r="BP340">
            <v>134.64105587149828</v>
          </cell>
          <cell r="BQ340">
            <v>153.22902122068766</v>
          </cell>
          <cell r="BR340">
            <v>129.57536792231122</v>
          </cell>
          <cell r="BS340">
            <v>151.35240198175748</v>
          </cell>
          <cell r="BT340">
            <v>155.95910223661107</v>
          </cell>
          <cell r="BU340">
            <v>141.03839516954625</v>
          </cell>
          <cell r="BV340">
            <v>152.6974029049523</v>
          </cell>
          <cell r="BW340">
            <v>125.19380862234544</v>
          </cell>
          <cell r="BX340">
            <v>132.88146812084813</v>
          </cell>
          <cell r="BY340">
            <v>100.4002148413939</v>
          </cell>
          <cell r="BZ340">
            <v>81.999629299857503</v>
          </cell>
          <cell r="CA340">
            <v>62.900175893196547</v>
          </cell>
          <cell r="CB340">
            <v>57.191186160603472</v>
          </cell>
          <cell r="CC340">
            <v>57.191186160603472</v>
          </cell>
          <cell r="CD340">
            <v>57.191186160603472</v>
          </cell>
          <cell r="CE340">
            <v>57.191186160603472</v>
          </cell>
        </row>
        <row r="341">
          <cell r="AZ341">
            <v>8</v>
          </cell>
          <cell r="BA341">
            <v>73</v>
          </cell>
          <cell r="BB341">
            <v>16</v>
          </cell>
          <cell r="BC341">
            <v>36</v>
          </cell>
          <cell r="BD341">
            <v>65</v>
          </cell>
          <cell r="BE341">
            <v>60.83</v>
          </cell>
          <cell r="BF341">
            <v>37.909999999999997</v>
          </cell>
          <cell r="BG341">
            <v>128.03</v>
          </cell>
          <cell r="BH341">
            <v>95.188333333333389</v>
          </cell>
          <cell r="BI341">
            <v>109</v>
          </cell>
          <cell r="BJ341">
            <v>227.95051681497193</v>
          </cell>
          <cell r="BK341">
            <v>63.920999999999999</v>
          </cell>
          <cell r="BL341">
            <v>95.943749308474011</v>
          </cell>
          <cell r="BM341">
            <v>152.648</v>
          </cell>
          <cell r="BN341">
            <v>48.89</v>
          </cell>
          <cell r="BO341">
            <v>214.58188351178646</v>
          </cell>
          <cell r="BP341">
            <v>117.07592701287648</v>
          </cell>
          <cell r="BQ341">
            <v>98.761686863973296</v>
          </cell>
          <cell r="BR341">
            <v>116.85472874670795</v>
          </cell>
          <cell r="BS341">
            <v>114.70989711368125</v>
          </cell>
          <cell r="BT341">
            <v>126.48828925065811</v>
          </cell>
          <cell r="BU341">
            <v>119.86224761994427</v>
          </cell>
          <cell r="BV341">
            <v>140.87090247299383</v>
          </cell>
          <cell r="BW341">
            <v>125.61048490291391</v>
          </cell>
          <cell r="BX341">
            <v>124.81362843006137</v>
          </cell>
          <cell r="BY341">
            <v>80.28811418301521</v>
          </cell>
          <cell r="BZ341">
            <v>62.548949452002617</v>
          </cell>
          <cell r="CA341">
            <v>60.100011612333844</v>
          </cell>
          <cell r="CB341">
            <v>60.100011612333844</v>
          </cell>
          <cell r="CC341">
            <v>60.100011612333844</v>
          </cell>
          <cell r="CD341">
            <v>60.100011612333844</v>
          </cell>
        </row>
        <row r="342">
          <cell r="AZ342">
            <v>26</v>
          </cell>
          <cell r="BA342">
            <v>90</v>
          </cell>
          <cell r="BB342">
            <v>38</v>
          </cell>
          <cell r="BC342">
            <v>27</v>
          </cell>
          <cell r="BD342">
            <v>30</v>
          </cell>
          <cell r="BE342">
            <v>47.28</v>
          </cell>
          <cell r="BF342">
            <v>69</v>
          </cell>
          <cell r="BG342">
            <v>102.36</v>
          </cell>
          <cell r="BH342">
            <v>53.819999999999936</v>
          </cell>
          <cell r="BI342">
            <v>93.39</v>
          </cell>
          <cell r="BJ342">
            <v>85.328000000000003</v>
          </cell>
          <cell r="BK342">
            <v>59.081998216759644</v>
          </cell>
          <cell r="BL342">
            <v>66.343073137521245</v>
          </cell>
          <cell r="BM342">
            <v>129.77799999999999</v>
          </cell>
          <cell r="BN342">
            <v>50</v>
          </cell>
          <cell r="BO342">
            <v>138.69069631712028</v>
          </cell>
          <cell r="BP342">
            <v>97.624179292075709</v>
          </cell>
          <cell r="BQ342">
            <v>76.159249655376513</v>
          </cell>
          <cell r="BR342">
            <v>92.04391393472379</v>
          </cell>
          <cell r="BS342">
            <v>88.16266359047539</v>
          </cell>
          <cell r="BT342">
            <v>94.769691995741312</v>
          </cell>
          <cell r="BU342">
            <v>93.559555284828221</v>
          </cell>
          <cell r="BV342">
            <v>87.397341542545703</v>
          </cell>
          <cell r="BW342">
            <v>85.281197213966692</v>
          </cell>
          <cell r="BX342">
            <v>83.14893496223695</v>
          </cell>
          <cell r="BY342">
            <v>55.873587361236673</v>
          </cell>
          <cell r="BZ342">
            <v>42.887660336981703</v>
          </cell>
          <cell r="CA342">
            <v>40.007872294458792</v>
          </cell>
          <cell r="CB342">
            <v>40.007872294458792</v>
          </cell>
          <cell r="CC342">
            <v>40.007872294458792</v>
          </cell>
          <cell r="CD342">
            <v>40.007872294458792</v>
          </cell>
        </row>
        <row r="343">
          <cell r="AZ343">
            <v>68</v>
          </cell>
          <cell r="BA343">
            <v>117</v>
          </cell>
          <cell r="BB343">
            <v>39</v>
          </cell>
          <cell r="BC343">
            <v>32</v>
          </cell>
          <cell r="BD343">
            <v>80</v>
          </cell>
          <cell r="BE343">
            <v>68.19</v>
          </cell>
          <cell r="BF343">
            <v>129.93</v>
          </cell>
          <cell r="BG343">
            <v>100.98</v>
          </cell>
          <cell r="BH343">
            <v>83.11</v>
          </cell>
          <cell r="BI343">
            <v>131.41</v>
          </cell>
          <cell r="BJ343">
            <v>122.631</v>
          </cell>
          <cell r="BK343">
            <v>68.572284573221395</v>
          </cell>
          <cell r="BL343">
            <v>190.37899999999999</v>
          </cell>
          <cell r="BM343">
            <v>144.564888</v>
          </cell>
          <cell r="BN343">
            <v>150</v>
          </cell>
          <cell r="BO343">
            <v>188.18592832449426</v>
          </cell>
          <cell r="BP343">
            <v>162.18215579738819</v>
          </cell>
          <cell r="BQ343">
            <v>132.63044739648942</v>
          </cell>
          <cell r="BR343">
            <v>148.41067244272656</v>
          </cell>
          <cell r="BS343">
            <v>155.04959454063342</v>
          </cell>
          <cell r="BT343">
            <v>152.50329918688766</v>
          </cell>
          <cell r="BU343">
            <v>156.74051688992077</v>
          </cell>
          <cell r="BV343">
            <v>146.61746447402018</v>
          </cell>
          <cell r="BW343">
            <v>142.06066182314856</v>
          </cell>
          <cell r="BX343">
            <v>139.41448378530035</v>
          </cell>
          <cell r="BY343">
            <v>92.778104286812123</v>
          </cell>
          <cell r="BZ343">
            <v>71.692172574437492</v>
          </cell>
          <cell r="CA343">
            <v>66.846308568528499</v>
          </cell>
          <cell r="CB343">
            <v>66.846308568528499</v>
          </cell>
          <cell r="CC343">
            <v>66.846308568528499</v>
          </cell>
          <cell r="CD343">
            <v>66.846308568528499</v>
          </cell>
        </row>
        <row r="344">
          <cell r="AZ344">
            <v>88</v>
          </cell>
          <cell r="BA344">
            <v>112</v>
          </cell>
          <cell r="BB344">
            <v>47</v>
          </cell>
          <cell r="BC344">
            <v>58</v>
          </cell>
          <cell r="BD344">
            <v>94</v>
          </cell>
          <cell r="BE344">
            <v>91.57</v>
          </cell>
          <cell r="BF344">
            <v>119.74</v>
          </cell>
          <cell r="BG344">
            <v>116.42</v>
          </cell>
          <cell r="BH344">
            <v>120.72</v>
          </cell>
          <cell r="BI344">
            <v>138.44999999999999</v>
          </cell>
          <cell r="BJ344">
            <v>216.88422028148534</v>
          </cell>
          <cell r="BK344">
            <v>101.556</v>
          </cell>
          <cell r="BL344">
            <v>155.17699999999999</v>
          </cell>
          <cell r="BM344">
            <v>175.02799999999999</v>
          </cell>
          <cell r="BN344">
            <v>75</v>
          </cell>
          <cell r="BO344">
            <v>159.73648914201027</v>
          </cell>
          <cell r="BP344">
            <v>137.02308144595852</v>
          </cell>
          <cell r="BQ344">
            <v>111.6891511973929</v>
          </cell>
          <cell r="BR344">
            <v>129.4500412671344</v>
          </cell>
          <cell r="BS344">
            <v>123.67939928297866</v>
          </cell>
          <cell r="BT344">
            <v>128.23784126933725</v>
          </cell>
          <cell r="BU344">
            <v>131.51423106424849</v>
          </cell>
          <cell r="BV344">
            <v>123.02137576406403</v>
          </cell>
          <cell r="BW344">
            <v>119.0884440006356</v>
          </cell>
          <cell r="BX344">
            <v>115.97363809027271</v>
          </cell>
          <cell r="BY344">
            <v>77.896727682433038</v>
          </cell>
          <cell r="BZ344">
            <v>60.302944965622601</v>
          </cell>
          <cell r="CA344">
            <v>56.274049423121362</v>
          </cell>
          <cell r="CB344">
            <v>56.274049423121362</v>
          </cell>
          <cell r="CC344">
            <v>56.274049423121362</v>
          </cell>
          <cell r="CD344">
            <v>56.274049423121362</v>
          </cell>
        </row>
        <row r="345">
          <cell r="AZ345">
            <v>113</v>
          </cell>
          <cell r="BA345">
            <v>85</v>
          </cell>
          <cell r="BB345">
            <v>33</v>
          </cell>
          <cell r="BC345">
            <v>68</v>
          </cell>
          <cell r="BD345">
            <v>55</v>
          </cell>
          <cell r="BE345">
            <v>122.35</v>
          </cell>
          <cell r="BF345">
            <v>130.58000000000001</v>
          </cell>
          <cell r="BG345">
            <v>101.31005859375</v>
          </cell>
          <cell r="BH345">
            <v>102.51964195412279</v>
          </cell>
          <cell r="BI345">
            <v>129.75</v>
          </cell>
          <cell r="BJ345">
            <v>174.67826625670898</v>
          </cell>
          <cell r="BK345">
            <v>121.788</v>
          </cell>
          <cell r="BL345">
            <v>171.66900000000001</v>
          </cell>
          <cell r="BM345">
            <v>157.65700000000001</v>
          </cell>
          <cell r="BN345">
            <v>75</v>
          </cell>
          <cell r="BO345">
            <v>146.05446951432239</v>
          </cell>
          <cell r="BP345">
            <v>136.99508084045408</v>
          </cell>
          <cell r="BQ345">
            <v>108.74245762421749</v>
          </cell>
          <cell r="BR345">
            <v>119.36955011564145</v>
          </cell>
          <cell r="BS345">
            <v>117.85045525654253</v>
          </cell>
          <cell r="BT345">
            <v>121.93854061822356</v>
          </cell>
          <cell r="BU345">
            <v>126.16518484217868</v>
          </cell>
          <cell r="BV345">
            <v>117.03164005221642</v>
          </cell>
          <cell r="BW345">
            <v>112.79667957509666</v>
          </cell>
          <cell r="BX345">
            <v>110.44468007690907</v>
          </cell>
          <cell r="BY345">
            <v>74.174826650186205</v>
          </cell>
          <cell r="BZ345">
            <v>57.439158160210994</v>
          </cell>
          <cell r="CA345">
            <v>53.516893507891012</v>
          </cell>
          <cell r="CB345">
            <v>53.516893507891012</v>
          </cell>
          <cell r="CC345">
            <v>53.516893507891012</v>
          </cell>
          <cell r="CD345">
            <v>53.516893507891012</v>
          </cell>
        </row>
        <row r="346">
          <cell r="AZ346">
            <v>75</v>
          </cell>
          <cell r="BA346">
            <v>103</v>
          </cell>
          <cell r="BB346">
            <v>28</v>
          </cell>
          <cell r="BC346">
            <v>90.85</v>
          </cell>
          <cell r="BD346">
            <v>56</v>
          </cell>
          <cell r="BE346">
            <v>129.16</v>
          </cell>
          <cell r="BF346">
            <v>152.97</v>
          </cell>
          <cell r="BG346">
            <v>108.282958984375</v>
          </cell>
          <cell r="BH346">
            <v>109.85892381575638</v>
          </cell>
          <cell r="BI346">
            <v>110.15</v>
          </cell>
          <cell r="BJ346">
            <v>271.87014493241782</v>
          </cell>
          <cell r="BK346">
            <v>125.13800000000001</v>
          </cell>
          <cell r="BL346">
            <v>195.203</v>
          </cell>
          <cell r="BM346">
            <v>162.12700000000001</v>
          </cell>
          <cell r="BN346">
            <v>175</v>
          </cell>
          <cell r="BO346">
            <v>201.07254793733713</v>
          </cell>
          <cell r="BP346">
            <v>175.60230365656534</v>
          </cell>
          <cell r="BQ346">
            <v>144.20356117754702</v>
          </cell>
          <cell r="BR346">
            <v>163.40605036515257</v>
          </cell>
          <cell r="BS346">
            <v>171.34788695179836</v>
          </cell>
          <cell r="BT346">
            <v>166.00692265644787</v>
          </cell>
          <cell r="BU346">
            <v>171.33092938479322</v>
          </cell>
          <cell r="BV346">
            <v>160.75379648933364</v>
          </cell>
          <cell r="BW346">
            <v>156.01618146309991</v>
          </cell>
          <cell r="BX346">
            <v>153.08657839080416</v>
          </cell>
          <cell r="BY346">
            <v>101.85587386889206</v>
          </cell>
          <cell r="BZ346">
            <v>79.061527858759376</v>
          </cell>
          <cell r="CA346">
            <v>73.882767847435773</v>
          </cell>
          <cell r="CB346">
            <v>73.882767847435773</v>
          </cell>
          <cell r="CC346">
            <v>73.882767847435773</v>
          </cell>
          <cell r="CD346">
            <v>73.882767847435773</v>
          </cell>
        </row>
        <row r="347">
          <cell r="AZ347">
            <v>77</v>
          </cell>
          <cell r="BA347">
            <v>66</v>
          </cell>
          <cell r="BB347">
            <v>55</v>
          </cell>
          <cell r="BC347">
            <v>134.62</v>
          </cell>
          <cell r="BD347">
            <v>76</v>
          </cell>
          <cell r="BE347">
            <v>114.53</v>
          </cell>
          <cell r="BF347">
            <v>157.13</v>
          </cell>
          <cell r="BG347">
            <v>101.530029296875</v>
          </cell>
          <cell r="BH347">
            <v>118.13</v>
          </cell>
          <cell r="BI347">
            <v>86.754540830143696</v>
          </cell>
          <cell r="BJ347">
            <v>122.929</v>
          </cell>
          <cell r="BK347">
            <v>132.958</v>
          </cell>
          <cell r="BL347">
            <v>164.44</v>
          </cell>
          <cell r="BM347">
            <v>139.11799999999999</v>
          </cell>
          <cell r="BN347">
            <v>147.43362639613079</v>
          </cell>
          <cell r="BO347">
            <v>150.41333939581864</v>
          </cell>
          <cell r="BP347">
            <v>148.99210147867629</v>
          </cell>
          <cell r="BQ347">
            <v>117.83599340617828</v>
          </cell>
          <cell r="BR347">
            <v>132.75980191166678</v>
          </cell>
          <cell r="BS347">
            <v>138.79227152424025</v>
          </cell>
          <cell r="BT347">
            <v>133.76885698530899</v>
          </cell>
          <cell r="BU347">
            <v>140.25038534857893</v>
          </cell>
          <cell r="BV347">
            <v>130.65641022505761</v>
          </cell>
          <cell r="BW347">
            <v>126.67575664266681</v>
          </cell>
          <cell r="BX347">
            <v>124.28614511864838</v>
          </cell>
          <cell r="BY347">
            <v>82.733903476639355</v>
          </cell>
          <cell r="BZ347">
            <v>64.331368333188593</v>
          </cell>
          <cell r="CA347">
            <v>60.03843706503298</v>
          </cell>
          <cell r="CB347">
            <v>60.03843706503298</v>
          </cell>
          <cell r="CC347">
            <v>60.03843706503298</v>
          </cell>
          <cell r="CD347">
            <v>60.03843706503298</v>
          </cell>
        </row>
        <row r="348">
          <cell r="AZ348">
            <v>84</v>
          </cell>
          <cell r="BA348">
            <v>48</v>
          </cell>
          <cell r="BB348">
            <v>79</v>
          </cell>
          <cell r="BC348">
            <v>136.19999999999999</v>
          </cell>
          <cell r="BD348">
            <v>73</v>
          </cell>
          <cell r="BE348">
            <v>109.06</v>
          </cell>
          <cell r="BF348">
            <v>142.85</v>
          </cell>
          <cell r="BG348">
            <v>107.96</v>
          </cell>
          <cell r="BH348">
            <v>108.21</v>
          </cell>
          <cell r="BI348">
            <v>101.86899900356093</v>
          </cell>
          <cell r="BJ348">
            <v>141.64099999999999</v>
          </cell>
          <cell r="BK348">
            <v>133.40799999999999</v>
          </cell>
          <cell r="BL348">
            <v>174.27099999999999</v>
          </cell>
          <cell r="BM348">
            <v>168.06899999999999</v>
          </cell>
          <cell r="BN348">
            <v>175.54309029429749</v>
          </cell>
          <cell r="BO348">
            <v>169.35432999198324</v>
          </cell>
          <cell r="BP348">
            <v>166.9789897350754</v>
          </cell>
          <cell r="BQ348">
            <v>134.26808827447653</v>
          </cell>
          <cell r="BR348">
            <v>153.56226299736849</v>
          </cell>
          <cell r="BS348">
            <v>159.35931551877292</v>
          </cell>
          <cell r="BT348">
            <v>152.29753193873839</v>
          </cell>
          <cell r="BU348">
            <v>160.03611505688559</v>
          </cell>
          <cell r="BV348">
            <v>149.61553044610633</v>
          </cell>
          <cell r="BW348">
            <v>145.15482733444256</v>
          </cell>
          <cell r="BX348">
            <v>142.14937298620697</v>
          </cell>
          <cell r="BY348">
            <v>94.551617347051263</v>
          </cell>
          <cell r="BZ348">
            <v>73.578591946507771</v>
          </cell>
          <cell r="CA348">
            <v>68.706593394615908</v>
          </cell>
          <cell r="CB348">
            <v>68.706593394615908</v>
          </cell>
          <cell r="CC348">
            <v>68.706593394615908</v>
          </cell>
          <cell r="CD348">
            <v>68.706593394615908</v>
          </cell>
        </row>
        <row r="349">
          <cell r="AZ349">
            <v>84</v>
          </cell>
          <cell r="BA349">
            <v>46</v>
          </cell>
          <cell r="BB349">
            <v>44</v>
          </cell>
          <cell r="BC349">
            <v>126.05</v>
          </cell>
          <cell r="BD349">
            <v>68</v>
          </cell>
          <cell r="BE349">
            <v>116.88</v>
          </cell>
          <cell r="BF349">
            <v>83.64</v>
          </cell>
          <cell r="BG349">
            <v>96.17</v>
          </cell>
          <cell r="BH349">
            <v>124.46</v>
          </cell>
          <cell r="BI349">
            <v>73.455392023463219</v>
          </cell>
          <cell r="BJ349">
            <v>105.514</v>
          </cell>
          <cell r="BK349">
            <v>131.62100000000001</v>
          </cell>
          <cell r="BL349">
            <v>161.12799999999999</v>
          </cell>
          <cell r="BM349">
            <v>127.221</v>
          </cell>
          <cell r="BN349">
            <v>143.51880612057573</v>
          </cell>
          <cell r="BO349">
            <v>141.54544747622813</v>
          </cell>
          <cell r="BP349">
            <v>142.84328640559727</v>
          </cell>
          <cell r="BQ349">
            <v>112.46616663308494</v>
          </cell>
          <cell r="BR349">
            <v>129.30847038516532</v>
          </cell>
          <cell r="BS349">
            <v>133.41309224148949</v>
          </cell>
          <cell r="BT349">
            <v>128.12923835313705</v>
          </cell>
          <cell r="BU349">
            <v>134.84561501185192</v>
          </cell>
          <cell r="BV349">
            <v>125.69850725833646</v>
          </cell>
          <cell r="BW349">
            <v>122.04958522901559</v>
          </cell>
          <cell r="BX349">
            <v>119.4749116141967</v>
          </cell>
          <cell r="BY349">
            <v>79.538702910214212</v>
          </cell>
          <cell r="BZ349">
            <v>61.90466986815516</v>
          </cell>
          <cell r="CA349">
            <v>57.784232414242858</v>
          </cell>
          <cell r="CB349">
            <v>57.784232414242858</v>
          </cell>
          <cell r="CC349">
            <v>57.784232414242858</v>
          </cell>
          <cell r="CD349">
            <v>57.784232414242858</v>
          </cell>
        </row>
      </sheetData>
      <sheetData sheetId="23"/>
      <sheetData sheetId="24"/>
      <sheetData sheetId="25"/>
      <sheetData sheetId="26">
        <row r="309"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1</v>
          </cell>
          <cell r="BH309">
            <v>1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</row>
        <row r="310"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1</v>
          </cell>
          <cell r="BH310">
            <v>1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</row>
        <row r="311"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1</v>
          </cell>
          <cell r="BH311">
            <v>1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</row>
        <row r="312"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1</v>
          </cell>
          <cell r="BH312">
            <v>1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</row>
        <row r="313"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</row>
        <row r="314"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0.4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</row>
        <row r="315"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1</v>
          </cell>
          <cell r="BH315">
            <v>1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</row>
        <row r="316"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1</v>
          </cell>
          <cell r="BH316">
            <v>1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</row>
        <row r="317"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1</v>
          </cell>
          <cell r="BH317">
            <v>0.4</v>
          </cell>
          <cell r="BI317">
            <v>0.5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9.6503457339666338E-2</v>
          </cell>
          <cell r="BP317">
            <v>1.7613090029691983E-2</v>
          </cell>
          <cell r="BQ317">
            <v>2.1504376777939652E-2</v>
          </cell>
          <cell r="BR317">
            <v>2.0651955307259731E-2</v>
          </cell>
          <cell r="BS317">
            <v>2.7686685802565884E-2</v>
          </cell>
          <cell r="BT317">
            <v>3.3480067799238393E-2</v>
          </cell>
          <cell r="BU317">
            <v>2.3719855455683125E-2</v>
          </cell>
        </row>
        <row r="318"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1</v>
          </cell>
          <cell r="BH318">
            <v>0.4</v>
          </cell>
          <cell r="BI318">
            <v>0.5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8.6103756542394563E-2</v>
          </cell>
          <cell r="BP318">
            <v>1.6291516263425662E-2</v>
          </cell>
          <cell r="BQ318">
            <v>1.9858164765859363E-2</v>
          </cell>
          <cell r="BR318">
            <v>1.8766931793147056E-2</v>
          </cell>
          <cell r="BS318">
            <v>2.5134672734202602E-2</v>
          </cell>
          <cell r="BT318">
            <v>3.047787099692786E-2</v>
          </cell>
          <cell r="BU318">
            <v>2.1712184192085943E-2</v>
          </cell>
        </row>
        <row r="319"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0.4</v>
          </cell>
          <cell r="BI319">
            <v>0.5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8.9274911485165226E-2</v>
          </cell>
          <cell r="BP319">
            <v>1.6013844076813447E-2</v>
          </cell>
          <cell r="BQ319">
            <v>1.9957414738036926E-2</v>
          </cell>
          <cell r="BR319">
            <v>1.8870657946912787E-2</v>
          </cell>
          <cell r="BS319">
            <v>2.5476806359688218E-2</v>
          </cell>
          <cell r="BT319">
            <v>3.078851666205026E-2</v>
          </cell>
          <cell r="BU319">
            <v>2.1790816631915715E-2</v>
          </cell>
        </row>
        <row r="320"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1</v>
          </cell>
          <cell r="BG320">
            <v>1</v>
          </cell>
          <cell r="BH320">
            <v>0.5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 EIA"/>
      <sheetName val="SBO Fuel Value"/>
      <sheetName val="US LCFS"/>
      <sheetName val="Days of Sales Chart"/>
      <sheetName val="Sheet1"/>
      <sheetName val="Balance Sheet"/>
      <sheetName val="EPA Requirements"/>
      <sheetName val="Brazil"/>
      <sheetName val="Malaysia"/>
      <sheetName val="Thailand"/>
      <sheetName val="Philippines"/>
      <sheetName val="Peru"/>
      <sheetName val="European Union"/>
      <sheetName val="EU Plant List"/>
      <sheetName val="Australia"/>
      <sheetName val="Colombia"/>
      <sheetName val="Canada Biofuel Bal Sheets"/>
      <sheetName val="Canada"/>
      <sheetName val="Canada Biodiesel Plants"/>
      <sheetName val="Indonesia"/>
      <sheetName val="China"/>
      <sheetName val="Argentina"/>
      <sheetName val="India"/>
      <sheetName val="Brazil - GAIN"/>
      <sheetName val="Japan"/>
      <sheetName val="Sheet2"/>
      <sheetName val="World"/>
      <sheetName val="US Biodiesel Imports"/>
      <sheetName val="US Biodiesel Exports"/>
      <sheetName val="US Biodiesel Feedstock Usage"/>
    </sheetNames>
    <sheetDataSet>
      <sheetData sheetId="0">
        <row r="150">
          <cell r="D150">
            <v>0</v>
          </cell>
          <cell r="E150">
            <v>0</v>
          </cell>
          <cell r="G150">
            <v>0</v>
          </cell>
          <cell r="K150">
            <v>3</v>
          </cell>
          <cell r="N150">
            <v>0</v>
          </cell>
          <cell r="O150">
            <v>7</v>
          </cell>
        </row>
        <row r="151">
          <cell r="D151">
            <v>0</v>
          </cell>
          <cell r="E151">
            <v>0</v>
          </cell>
          <cell r="G151">
            <v>0</v>
          </cell>
          <cell r="K151">
            <v>2</v>
          </cell>
          <cell r="N151">
            <v>0</v>
          </cell>
          <cell r="O151">
            <v>4</v>
          </cell>
        </row>
        <row r="152">
          <cell r="D152">
            <v>0</v>
          </cell>
          <cell r="E152">
            <v>0</v>
          </cell>
          <cell r="G152">
            <v>0</v>
          </cell>
          <cell r="K152">
            <v>12</v>
          </cell>
          <cell r="N152">
            <v>0</v>
          </cell>
          <cell r="O152">
            <v>7</v>
          </cell>
        </row>
        <row r="153">
          <cell r="D153">
            <v>0</v>
          </cell>
          <cell r="E153">
            <v>0</v>
          </cell>
          <cell r="G153">
            <v>0</v>
          </cell>
          <cell r="K153">
            <v>8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G154">
            <v>0</v>
          </cell>
          <cell r="K154">
            <v>10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G155">
            <v>0</v>
          </cell>
          <cell r="K155">
            <v>7</v>
          </cell>
          <cell r="N155">
            <v>0</v>
          </cell>
          <cell r="O155">
            <v>1</v>
          </cell>
        </row>
        <row r="156">
          <cell r="D156">
            <v>0</v>
          </cell>
          <cell r="E156">
            <v>0</v>
          </cell>
          <cell r="G156">
            <v>0</v>
          </cell>
          <cell r="K156">
            <v>6</v>
          </cell>
          <cell r="N156">
            <v>0</v>
          </cell>
          <cell r="O156">
            <v>2</v>
          </cell>
        </row>
        <row r="157">
          <cell r="D157">
            <v>0</v>
          </cell>
          <cell r="E157">
            <v>0</v>
          </cell>
          <cell r="G157">
            <v>0</v>
          </cell>
          <cell r="K157">
            <v>15</v>
          </cell>
          <cell r="N157">
            <v>0</v>
          </cell>
          <cell r="O157">
            <v>5</v>
          </cell>
        </row>
        <row r="158">
          <cell r="D158">
            <v>0</v>
          </cell>
          <cell r="E158">
            <v>0</v>
          </cell>
          <cell r="G158">
            <v>0</v>
          </cell>
          <cell r="K158">
            <v>4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G159">
            <v>0</v>
          </cell>
          <cell r="K159">
            <v>7</v>
          </cell>
          <cell r="N159">
            <v>0</v>
          </cell>
          <cell r="O159">
            <v>0</v>
          </cell>
        </row>
        <row r="160">
          <cell r="D160">
            <v>0</v>
          </cell>
          <cell r="E160">
            <v>0</v>
          </cell>
          <cell r="G160">
            <v>0</v>
          </cell>
          <cell r="K160">
            <v>8</v>
          </cell>
          <cell r="N160">
            <v>0</v>
          </cell>
          <cell r="O160">
            <v>0</v>
          </cell>
        </row>
        <row r="161">
          <cell r="D161">
            <v>0</v>
          </cell>
          <cell r="E161">
            <v>0</v>
          </cell>
          <cell r="G161">
            <v>0</v>
          </cell>
          <cell r="K161">
            <v>5</v>
          </cell>
          <cell r="N161">
            <v>0</v>
          </cell>
          <cell r="O161">
            <v>0</v>
          </cell>
        </row>
        <row r="162">
          <cell r="D162">
            <v>0</v>
          </cell>
          <cell r="E162">
            <v>0</v>
          </cell>
          <cell r="G162">
            <v>0</v>
          </cell>
          <cell r="K162">
            <v>3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G163">
            <v>0</v>
          </cell>
          <cell r="K163">
            <v>4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G164">
            <v>0</v>
          </cell>
          <cell r="K164">
            <v>6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G165">
            <v>0</v>
          </cell>
          <cell r="K165">
            <v>5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G166">
            <v>0</v>
          </cell>
          <cell r="K166">
            <v>5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G167">
            <v>0</v>
          </cell>
          <cell r="K167">
            <v>4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G168">
            <v>0</v>
          </cell>
          <cell r="K168">
            <v>4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G169">
            <v>0</v>
          </cell>
          <cell r="K169">
            <v>4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G170">
            <v>0</v>
          </cell>
          <cell r="K170">
            <v>4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G171">
            <v>0</v>
          </cell>
          <cell r="K171">
            <v>4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G172">
            <v>0</v>
          </cell>
          <cell r="K172">
            <v>4</v>
          </cell>
          <cell r="N172">
            <v>0</v>
          </cell>
          <cell r="O172">
            <v>0</v>
          </cell>
        </row>
        <row r="173">
          <cell r="D173">
            <v>0</v>
          </cell>
          <cell r="E173">
            <v>0</v>
          </cell>
          <cell r="G173">
            <v>0</v>
          </cell>
          <cell r="K173">
            <v>2</v>
          </cell>
          <cell r="N173">
            <v>0</v>
          </cell>
          <cell r="O173">
            <v>0</v>
          </cell>
        </row>
        <row r="174">
          <cell r="D174">
            <v>0</v>
          </cell>
          <cell r="E174">
            <v>2</v>
          </cell>
          <cell r="G174">
            <v>0</v>
          </cell>
          <cell r="K174">
            <v>3</v>
          </cell>
          <cell r="N174">
            <v>0</v>
          </cell>
          <cell r="O174">
            <v>1</v>
          </cell>
        </row>
        <row r="175">
          <cell r="D175">
            <v>0</v>
          </cell>
          <cell r="E175">
            <v>3</v>
          </cell>
          <cell r="G175">
            <v>0</v>
          </cell>
          <cell r="K175">
            <v>3</v>
          </cell>
          <cell r="N175">
            <v>0</v>
          </cell>
          <cell r="O175">
            <v>0</v>
          </cell>
        </row>
        <row r="176">
          <cell r="D176">
            <v>0</v>
          </cell>
          <cell r="E176">
            <v>25</v>
          </cell>
          <cell r="G176">
            <v>0</v>
          </cell>
          <cell r="K176">
            <v>2</v>
          </cell>
          <cell r="N176">
            <v>0</v>
          </cell>
          <cell r="O176">
            <v>0</v>
          </cell>
        </row>
        <row r="177">
          <cell r="D177">
            <v>0</v>
          </cell>
          <cell r="E177">
            <v>45</v>
          </cell>
          <cell r="G177">
            <v>0</v>
          </cell>
          <cell r="K177">
            <v>2</v>
          </cell>
          <cell r="N177">
            <v>0</v>
          </cell>
          <cell r="O177">
            <v>3</v>
          </cell>
        </row>
        <row r="178">
          <cell r="D178">
            <v>0</v>
          </cell>
          <cell r="E178">
            <v>35</v>
          </cell>
          <cell r="G178">
            <v>0</v>
          </cell>
          <cell r="K178">
            <v>2</v>
          </cell>
          <cell r="N178">
            <v>0</v>
          </cell>
          <cell r="O178">
            <v>2</v>
          </cell>
        </row>
        <row r="179">
          <cell r="D179">
            <v>0</v>
          </cell>
          <cell r="E179">
            <v>30</v>
          </cell>
          <cell r="G179">
            <v>0</v>
          </cell>
          <cell r="K179">
            <v>4</v>
          </cell>
          <cell r="N179">
            <v>0</v>
          </cell>
          <cell r="O179">
            <v>2</v>
          </cell>
        </row>
        <row r="180">
          <cell r="D180">
            <v>0</v>
          </cell>
          <cell r="E180">
            <v>93</v>
          </cell>
          <cell r="G180">
            <v>2</v>
          </cell>
          <cell r="K180">
            <v>2</v>
          </cell>
          <cell r="N180">
            <v>0</v>
          </cell>
          <cell r="O180">
            <v>2</v>
          </cell>
        </row>
        <row r="181">
          <cell r="D181">
            <v>0</v>
          </cell>
          <cell r="E181">
            <v>50</v>
          </cell>
          <cell r="G181">
            <v>2</v>
          </cell>
          <cell r="K181">
            <v>2</v>
          </cell>
          <cell r="N181">
            <v>0</v>
          </cell>
          <cell r="O181">
            <v>2</v>
          </cell>
        </row>
        <row r="182">
          <cell r="D182">
            <v>0</v>
          </cell>
          <cell r="E182">
            <v>93</v>
          </cell>
          <cell r="G182">
            <v>2</v>
          </cell>
          <cell r="K182">
            <v>2</v>
          </cell>
          <cell r="N182">
            <v>0</v>
          </cell>
          <cell r="O182">
            <v>2</v>
          </cell>
        </row>
        <row r="183">
          <cell r="D183">
            <v>0</v>
          </cell>
          <cell r="E183">
            <v>100</v>
          </cell>
          <cell r="G183">
            <v>0</v>
          </cell>
          <cell r="K183">
            <v>1</v>
          </cell>
          <cell r="N183">
            <v>0</v>
          </cell>
          <cell r="O183">
            <v>2</v>
          </cell>
        </row>
        <row r="184">
          <cell r="D184">
            <v>0</v>
          </cell>
          <cell r="E184">
            <v>93</v>
          </cell>
          <cell r="G184">
            <v>0</v>
          </cell>
          <cell r="K184">
            <v>0</v>
          </cell>
          <cell r="N184">
            <v>0</v>
          </cell>
          <cell r="O184">
            <v>2</v>
          </cell>
        </row>
        <row r="185">
          <cell r="D185">
            <v>0</v>
          </cell>
          <cell r="E185">
            <v>63.346420000000002</v>
          </cell>
          <cell r="G185">
            <v>0</v>
          </cell>
          <cell r="K185">
            <v>1</v>
          </cell>
          <cell r="N185">
            <v>0</v>
          </cell>
          <cell r="O185">
            <v>3</v>
          </cell>
        </row>
        <row r="186">
          <cell r="D186">
            <v>0</v>
          </cell>
          <cell r="E186">
            <v>10</v>
          </cell>
          <cell r="G186">
            <v>9</v>
          </cell>
          <cell r="K186">
            <v>2</v>
          </cell>
          <cell r="N186">
            <v>0</v>
          </cell>
          <cell r="O186">
            <v>21</v>
          </cell>
        </row>
        <row r="187">
          <cell r="D187">
            <v>0</v>
          </cell>
          <cell r="E187">
            <v>0</v>
          </cell>
          <cell r="G187">
            <v>6</v>
          </cell>
          <cell r="K187">
            <v>4</v>
          </cell>
          <cell r="N187">
            <v>0</v>
          </cell>
          <cell r="O187">
            <v>11</v>
          </cell>
        </row>
        <row r="188">
          <cell r="D188">
            <v>0</v>
          </cell>
          <cell r="E188">
            <v>0</v>
          </cell>
          <cell r="G188">
            <v>6</v>
          </cell>
          <cell r="K188">
            <v>3</v>
          </cell>
          <cell r="N188">
            <v>0</v>
          </cell>
          <cell r="O188">
            <v>7</v>
          </cell>
        </row>
        <row r="189">
          <cell r="D189">
            <v>0</v>
          </cell>
          <cell r="E189">
            <v>1</v>
          </cell>
          <cell r="G189">
            <v>4</v>
          </cell>
          <cell r="K189">
            <v>4</v>
          </cell>
          <cell r="N189">
            <v>0</v>
          </cell>
          <cell r="O189">
            <v>5</v>
          </cell>
        </row>
        <row r="190">
          <cell r="D190">
            <v>0</v>
          </cell>
          <cell r="E190">
            <v>6</v>
          </cell>
          <cell r="G190">
            <v>3.84</v>
          </cell>
          <cell r="K190">
            <v>4</v>
          </cell>
          <cell r="N190">
            <v>0</v>
          </cell>
          <cell r="O190">
            <v>2</v>
          </cell>
        </row>
        <row r="191">
          <cell r="D191">
            <v>0</v>
          </cell>
          <cell r="E191">
            <v>6</v>
          </cell>
          <cell r="G191">
            <v>5</v>
          </cell>
          <cell r="K191">
            <v>3.98</v>
          </cell>
          <cell r="N191">
            <v>0</v>
          </cell>
          <cell r="O191">
            <v>7</v>
          </cell>
        </row>
        <row r="192">
          <cell r="D192">
            <v>0</v>
          </cell>
          <cell r="E192">
            <v>6</v>
          </cell>
          <cell r="G192">
            <v>5</v>
          </cell>
          <cell r="K192">
            <v>3.92</v>
          </cell>
          <cell r="N192">
            <v>0</v>
          </cell>
          <cell r="O192">
            <v>29</v>
          </cell>
        </row>
        <row r="193">
          <cell r="D193">
            <v>0</v>
          </cell>
          <cell r="E193">
            <v>6</v>
          </cell>
          <cell r="G193">
            <v>37.56</v>
          </cell>
          <cell r="K193">
            <v>1.87</v>
          </cell>
          <cell r="N193">
            <v>0</v>
          </cell>
          <cell r="O193">
            <v>14</v>
          </cell>
        </row>
        <row r="194">
          <cell r="D194">
            <v>0</v>
          </cell>
          <cell r="E194">
            <v>6</v>
          </cell>
          <cell r="G194">
            <v>5</v>
          </cell>
          <cell r="K194">
            <v>1.35</v>
          </cell>
          <cell r="N194">
            <v>0</v>
          </cell>
          <cell r="O194">
            <v>15</v>
          </cell>
        </row>
        <row r="195">
          <cell r="D195">
            <v>0</v>
          </cell>
          <cell r="E195">
            <v>7</v>
          </cell>
          <cell r="G195">
            <v>5</v>
          </cell>
          <cell r="K195">
            <v>0.74</v>
          </cell>
          <cell r="N195">
            <v>0</v>
          </cell>
          <cell r="O195">
            <v>14</v>
          </cell>
        </row>
        <row r="196">
          <cell r="D196">
            <v>0</v>
          </cell>
          <cell r="E196">
            <v>7</v>
          </cell>
          <cell r="G196">
            <v>4</v>
          </cell>
          <cell r="K196">
            <v>0.56999999999999995</v>
          </cell>
          <cell r="N196">
            <v>0</v>
          </cell>
          <cell r="O196">
            <v>14</v>
          </cell>
        </row>
        <row r="197">
          <cell r="D197">
            <v>0</v>
          </cell>
          <cell r="E197">
            <v>7</v>
          </cell>
          <cell r="G197">
            <v>5</v>
          </cell>
          <cell r="K197">
            <v>1</v>
          </cell>
          <cell r="N197">
            <v>0</v>
          </cell>
          <cell r="O197">
            <v>13</v>
          </cell>
        </row>
        <row r="198">
          <cell r="D198">
            <v>0</v>
          </cell>
          <cell r="E198">
            <v>0</v>
          </cell>
          <cell r="G198">
            <v>2</v>
          </cell>
          <cell r="K198">
            <v>3</v>
          </cell>
          <cell r="N198">
            <v>0</v>
          </cell>
          <cell r="O198">
            <v>1</v>
          </cell>
        </row>
        <row r="199">
          <cell r="D199">
            <v>0</v>
          </cell>
          <cell r="E199">
            <v>0</v>
          </cell>
          <cell r="G199">
            <v>1</v>
          </cell>
          <cell r="K199">
            <v>1</v>
          </cell>
          <cell r="N199">
            <v>0</v>
          </cell>
          <cell r="O199">
            <v>5</v>
          </cell>
        </row>
        <row r="200">
          <cell r="D200">
            <v>0</v>
          </cell>
          <cell r="E200">
            <v>0</v>
          </cell>
          <cell r="G200">
            <v>3</v>
          </cell>
          <cell r="K200">
            <v>3.6</v>
          </cell>
          <cell r="N200">
            <v>0</v>
          </cell>
          <cell r="O200">
            <v>10</v>
          </cell>
        </row>
        <row r="201">
          <cell r="D201">
            <v>0</v>
          </cell>
          <cell r="E201">
            <v>0</v>
          </cell>
          <cell r="G201">
            <v>2</v>
          </cell>
          <cell r="K201">
            <v>3</v>
          </cell>
          <cell r="N201">
            <v>0</v>
          </cell>
          <cell r="O201">
            <v>11.79</v>
          </cell>
        </row>
        <row r="202">
          <cell r="D202">
            <v>0</v>
          </cell>
          <cell r="E202">
            <v>1</v>
          </cell>
          <cell r="G202">
            <v>5</v>
          </cell>
          <cell r="K202">
            <v>7</v>
          </cell>
          <cell r="N202">
            <v>0</v>
          </cell>
          <cell r="O202">
            <v>12</v>
          </cell>
        </row>
        <row r="203">
          <cell r="D203">
            <v>0</v>
          </cell>
          <cell r="E203">
            <v>0</v>
          </cell>
          <cell r="G203">
            <v>1</v>
          </cell>
          <cell r="K203">
            <v>17.600000000000001</v>
          </cell>
          <cell r="N203">
            <v>0</v>
          </cell>
          <cell r="O203">
            <v>8</v>
          </cell>
        </row>
        <row r="204">
          <cell r="D204">
            <v>0</v>
          </cell>
          <cell r="E204">
            <v>0</v>
          </cell>
          <cell r="G204">
            <v>1</v>
          </cell>
          <cell r="K204">
            <v>3</v>
          </cell>
          <cell r="N204">
            <v>0</v>
          </cell>
          <cell r="O204">
            <v>14</v>
          </cell>
        </row>
        <row r="205">
          <cell r="D205">
            <v>0</v>
          </cell>
          <cell r="E205">
            <v>0</v>
          </cell>
          <cell r="G205">
            <v>1.63</v>
          </cell>
          <cell r="K205">
            <v>5</v>
          </cell>
          <cell r="N205">
            <v>0</v>
          </cell>
          <cell r="O205">
            <v>11</v>
          </cell>
        </row>
        <row r="206">
          <cell r="D206">
            <v>0</v>
          </cell>
          <cell r="E206">
            <v>0</v>
          </cell>
          <cell r="G206">
            <v>1</v>
          </cell>
          <cell r="K206">
            <v>2</v>
          </cell>
          <cell r="N206">
            <v>0</v>
          </cell>
          <cell r="O206">
            <v>6</v>
          </cell>
        </row>
        <row r="207">
          <cell r="D207">
            <v>0</v>
          </cell>
          <cell r="E207">
            <v>0</v>
          </cell>
          <cell r="G207">
            <v>1</v>
          </cell>
          <cell r="K207">
            <v>2</v>
          </cell>
          <cell r="N207">
            <v>0</v>
          </cell>
          <cell r="O207">
            <v>2</v>
          </cell>
        </row>
        <row r="208">
          <cell r="D208">
            <v>0</v>
          </cell>
          <cell r="E208">
            <v>0</v>
          </cell>
          <cell r="G208">
            <v>2</v>
          </cell>
          <cell r="K208">
            <v>4</v>
          </cell>
          <cell r="N208">
            <v>0</v>
          </cell>
          <cell r="O208">
            <v>6</v>
          </cell>
        </row>
        <row r="209">
          <cell r="D209">
            <v>0</v>
          </cell>
          <cell r="E209">
            <v>0</v>
          </cell>
          <cell r="G209">
            <v>1</v>
          </cell>
          <cell r="K209">
            <v>3</v>
          </cell>
          <cell r="N209">
            <v>0</v>
          </cell>
          <cell r="O209">
            <v>6</v>
          </cell>
        </row>
        <row r="210">
          <cell r="D210">
            <v>0</v>
          </cell>
          <cell r="E210">
            <v>0</v>
          </cell>
          <cell r="G210">
            <v>3.05</v>
          </cell>
          <cell r="K210">
            <v>1.1000000000000001</v>
          </cell>
          <cell r="N210">
            <v>0</v>
          </cell>
          <cell r="O210">
            <v>6</v>
          </cell>
        </row>
        <row r="211">
          <cell r="D211">
            <v>0</v>
          </cell>
          <cell r="E211">
            <v>0</v>
          </cell>
          <cell r="G211">
            <v>12</v>
          </cell>
          <cell r="K211">
            <v>6.61</v>
          </cell>
          <cell r="N211">
            <v>0</v>
          </cell>
          <cell r="O211">
            <v>6.36</v>
          </cell>
        </row>
        <row r="212">
          <cell r="D212">
            <v>0</v>
          </cell>
          <cell r="E212">
            <v>0</v>
          </cell>
          <cell r="G212">
            <v>0.89</v>
          </cell>
          <cell r="K212">
            <v>14.24</v>
          </cell>
          <cell r="N212">
            <v>0</v>
          </cell>
          <cell r="O212">
            <v>6.36</v>
          </cell>
        </row>
        <row r="213">
          <cell r="D213">
            <v>0</v>
          </cell>
          <cell r="E213">
            <v>0</v>
          </cell>
          <cell r="G213">
            <v>1</v>
          </cell>
          <cell r="K213">
            <v>12.25</v>
          </cell>
          <cell r="N213">
            <v>0</v>
          </cell>
          <cell r="O213">
            <v>6</v>
          </cell>
        </row>
        <row r="214">
          <cell r="D214">
            <v>0</v>
          </cell>
          <cell r="E214">
            <v>0</v>
          </cell>
          <cell r="G214">
            <v>4</v>
          </cell>
          <cell r="K214">
            <v>14.51</v>
          </cell>
          <cell r="N214">
            <v>0</v>
          </cell>
          <cell r="O214">
            <v>5.55</v>
          </cell>
        </row>
        <row r="215">
          <cell r="D215">
            <v>0</v>
          </cell>
          <cell r="E215">
            <v>0</v>
          </cell>
          <cell r="G215">
            <v>5</v>
          </cell>
          <cell r="K215">
            <v>5.4</v>
          </cell>
          <cell r="N215">
            <v>0</v>
          </cell>
          <cell r="O215">
            <v>6.26</v>
          </cell>
        </row>
        <row r="216">
          <cell r="D216">
            <v>0</v>
          </cell>
          <cell r="E216">
            <v>0</v>
          </cell>
          <cell r="G216">
            <v>4</v>
          </cell>
          <cell r="K216">
            <v>5.99</v>
          </cell>
          <cell r="N216">
            <v>0</v>
          </cell>
          <cell r="O216">
            <v>6</v>
          </cell>
        </row>
        <row r="217">
          <cell r="D217">
            <v>0</v>
          </cell>
          <cell r="E217">
            <v>0</v>
          </cell>
          <cell r="G217">
            <v>8</v>
          </cell>
          <cell r="K217">
            <v>3.99</v>
          </cell>
          <cell r="N217">
            <v>0</v>
          </cell>
          <cell r="O217">
            <v>7.68</v>
          </cell>
        </row>
        <row r="218">
          <cell r="D218">
            <v>0</v>
          </cell>
          <cell r="E218">
            <v>0</v>
          </cell>
          <cell r="G218">
            <v>10</v>
          </cell>
          <cell r="K218">
            <v>15</v>
          </cell>
          <cell r="N218">
            <v>0</v>
          </cell>
          <cell r="O218">
            <v>8</v>
          </cell>
        </row>
        <row r="219">
          <cell r="D219">
            <v>0</v>
          </cell>
          <cell r="E219">
            <v>0</v>
          </cell>
          <cell r="G219">
            <v>5</v>
          </cell>
          <cell r="K219">
            <v>4</v>
          </cell>
          <cell r="N219">
            <v>0</v>
          </cell>
          <cell r="O219">
            <v>6.03</v>
          </cell>
        </row>
        <row r="220">
          <cell r="D220">
            <v>0</v>
          </cell>
          <cell r="E220">
            <v>0</v>
          </cell>
          <cell r="G220">
            <v>4</v>
          </cell>
          <cell r="K220">
            <v>4.82</v>
          </cell>
          <cell r="N220">
            <v>0</v>
          </cell>
          <cell r="O220">
            <v>4</v>
          </cell>
        </row>
        <row r="221">
          <cell r="D221">
            <v>0</v>
          </cell>
          <cell r="E221">
            <v>0</v>
          </cell>
          <cell r="G221">
            <v>2</v>
          </cell>
          <cell r="K221">
            <v>9</v>
          </cell>
          <cell r="N221">
            <v>0</v>
          </cell>
          <cell r="O221">
            <v>8</v>
          </cell>
        </row>
        <row r="222">
          <cell r="D222">
            <v>0</v>
          </cell>
          <cell r="E222">
            <v>0</v>
          </cell>
          <cell r="G222">
            <v>0</v>
          </cell>
          <cell r="K222">
            <v>1.18</v>
          </cell>
          <cell r="N222">
            <v>0</v>
          </cell>
          <cell r="O222">
            <v>2.21</v>
          </cell>
        </row>
        <row r="223">
          <cell r="D223">
            <v>0</v>
          </cell>
          <cell r="E223">
            <v>0</v>
          </cell>
          <cell r="G223">
            <v>2</v>
          </cell>
          <cell r="K223">
            <v>4.26</v>
          </cell>
          <cell r="N223">
            <v>0</v>
          </cell>
          <cell r="O223">
            <v>7.71</v>
          </cell>
        </row>
        <row r="224">
          <cell r="D224">
            <v>0</v>
          </cell>
          <cell r="E224">
            <v>0</v>
          </cell>
          <cell r="G224">
            <v>0</v>
          </cell>
          <cell r="K224">
            <v>3.76</v>
          </cell>
          <cell r="N224">
            <v>0</v>
          </cell>
          <cell r="O224">
            <v>7.97</v>
          </cell>
        </row>
        <row r="225">
          <cell r="D225">
            <v>0</v>
          </cell>
          <cell r="E225">
            <v>0</v>
          </cell>
          <cell r="G225">
            <v>2</v>
          </cell>
          <cell r="K225">
            <v>3.25</v>
          </cell>
          <cell r="N225">
            <v>0</v>
          </cell>
          <cell r="O225">
            <v>9.4700000000000006</v>
          </cell>
        </row>
        <row r="226">
          <cell r="D226">
            <v>0</v>
          </cell>
          <cell r="E226">
            <v>0</v>
          </cell>
          <cell r="G226">
            <v>2</v>
          </cell>
          <cell r="K226">
            <v>5.39</v>
          </cell>
          <cell r="N226">
            <v>0</v>
          </cell>
          <cell r="O226">
            <v>4.6100000000000003</v>
          </cell>
        </row>
        <row r="227">
          <cell r="D227">
            <v>0</v>
          </cell>
          <cell r="E227">
            <v>0</v>
          </cell>
          <cell r="G227">
            <v>2</v>
          </cell>
          <cell r="K227">
            <v>8.17</v>
          </cell>
          <cell r="N227">
            <v>0</v>
          </cell>
          <cell r="O227">
            <v>2.04</v>
          </cell>
        </row>
        <row r="228">
          <cell r="D228">
            <v>0</v>
          </cell>
          <cell r="E228">
            <v>0</v>
          </cell>
          <cell r="G228">
            <v>2</v>
          </cell>
          <cell r="K228">
            <v>5.99</v>
          </cell>
          <cell r="N228">
            <v>0</v>
          </cell>
          <cell r="O228">
            <v>3.03</v>
          </cell>
        </row>
        <row r="229">
          <cell r="D229">
            <v>0</v>
          </cell>
          <cell r="E229">
            <v>0</v>
          </cell>
          <cell r="G229">
            <v>2</v>
          </cell>
          <cell r="K229">
            <v>3.84</v>
          </cell>
          <cell r="N229">
            <v>0</v>
          </cell>
          <cell r="O229">
            <v>3.05</v>
          </cell>
        </row>
        <row r="230">
          <cell r="D230">
            <v>1</v>
          </cell>
          <cell r="E230">
            <v>0</v>
          </cell>
          <cell r="G230">
            <v>2</v>
          </cell>
          <cell r="K230">
            <v>4.09</v>
          </cell>
          <cell r="N230">
            <v>0</v>
          </cell>
          <cell r="O230">
            <v>2.54</v>
          </cell>
        </row>
        <row r="231">
          <cell r="D231">
            <v>1</v>
          </cell>
          <cell r="E231">
            <v>0</v>
          </cell>
          <cell r="G231">
            <v>2</v>
          </cell>
          <cell r="K231">
            <v>4.96</v>
          </cell>
          <cell r="N231">
            <v>0</v>
          </cell>
          <cell r="O231">
            <v>3.5</v>
          </cell>
        </row>
        <row r="232">
          <cell r="D232">
            <v>1</v>
          </cell>
          <cell r="E232">
            <v>0</v>
          </cell>
          <cell r="G232">
            <v>2</v>
          </cell>
          <cell r="K232">
            <v>5.22</v>
          </cell>
          <cell r="N232">
            <v>0</v>
          </cell>
          <cell r="O232">
            <v>2.8</v>
          </cell>
        </row>
        <row r="233">
          <cell r="D233">
            <v>1</v>
          </cell>
          <cell r="E233">
            <v>0</v>
          </cell>
          <cell r="G233">
            <v>2</v>
          </cell>
          <cell r="K233">
            <v>5.22</v>
          </cell>
          <cell r="N233">
            <v>0</v>
          </cell>
          <cell r="O233">
            <v>3.6</v>
          </cell>
        </row>
        <row r="234">
          <cell r="D234">
            <v>1</v>
          </cell>
          <cell r="E234">
            <v>0</v>
          </cell>
          <cell r="G234">
            <v>2</v>
          </cell>
          <cell r="K234">
            <v>3.8</v>
          </cell>
          <cell r="N234">
            <v>1</v>
          </cell>
          <cell r="O234">
            <v>1.19</v>
          </cell>
        </row>
        <row r="235">
          <cell r="D235">
            <v>0</v>
          </cell>
          <cell r="E235">
            <v>0</v>
          </cell>
          <cell r="G235">
            <v>2</v>
          </cell>
          <cell r="K235">
            <v>4.87</v>
          </cell>
          <cell r="N235">
            <v>0</v>
          </cell>
          <cell r="O235">
            <v>4.3499999999999996</v>
          </cell>
        </row>
        <row r="236">
          <cell r="D236">
            <v>0</v>
          </cell>
          <cell r="E236">
            <v>0</v>
          </cell>
          <cell r="G236">
            <v>2</v>
          </cell>
          <cell r="K236">
            <v>5.37</v>
          </cell>
          <cell r="N236">
            <v>0</v>
          </cell>
          <cell r="O236">
            <v>2.7</v>
          </cell>
        </row>
        <row r="237">
          <cell r="D237">
            <v>1</v>
          </cell>
          <cell r="E237">
            <v>0</v>
          </cell>
          <cell r="G237">
            <v>2</v>
          </cell>
          <cell r="K237">
            <v>4.2470833333333298</v>
          </cell>
          <cell r="N237">
            <v>0</v>
          </cell>
          <cell r="O237">
            <v>2.7</v>
          </cell>
        </row>
        <row r="238">
          <cell r="D238">
            <v>1</v>
          </cell>
          <cell r="E238">
            <v>0</v>
          </cell>
          <cell r="G238">
            <v>2</v>
          </cell>
          <cell r="K238">
            <v>4.76</v>
          </cell>
          <cell r="N238">
            <v>0</v>
          </cell>
          <cell r="O238">
            <v>2.7</v>
          </cell>
        </row>
        <row r="239">
          <cell r="D239">
            <v>1</v>
          </cell>
          <cell r="E239">
            <v>0</v>
          </cell>
          <cell r="G239">
            <v>2</v>
          </cell>
          <cell r="K239">
            <v>4.2470833333333298</v>
          </cell>
          <cell r="N239">
            <v>0</v>
          </cell>
          <cell r="O239">
            <v>2.7</v>
          </cell>
        </row>
        <row r="240">
          <cell r="D240">
            <v>1</v>
          </cell>
          <cell r="E240">
            <v>0</v>
          </cell>
          <cell r="G240">
            <v>2</v>
          </cell>
          <cell r="K240">
            <v>5.6</v>
          </cell>
          <cell r="N240">
            <v>0</v>
          </cell>
          <cell r="O240">
            <v>2.7</v>
          </cell>
        </row>
        <row r="241">
          <cell r="D241">
            <v>0</v>
          </cell>
          <cell r="E241">
            <v>0</v>
          </cell>
          <cell r="G241">
            <v>2</v>
          </cell>
          <cell r="K241">
            <v>2.3800048828125</v>
          </cell>
          <cell r="N241">
            <v>0</v>
          </cell>
          <cell r="O241">
            <v>2.7</v>
          </cell>
        </row>
        <row r="242">
          <cell r="D242">
            <v>1</v>
          </cell>
          <cell r="E242">
            <v>0</v>
          </cell>
          <cell r="G242">
            <v>2</v>
          </cell>
          <cell r="K242">
            <v>5.44</v>
          </cell>
          <cell r="N242">
            <v>0</v>
          </cell>
          <cell r="O242">
            <v>2.75</v>
          </cell>
        </row>
        <row r="243">
          <cell r="D243">
            <v>1</v>
          </cell>
          <cell r="E243">
            <v>0</v>
          </cell>
          <cell r="G243">
            <v>2</v>
          </cell>
          <cell r="K243">
            <v>3.23</v>
          </cell>
          <cell r="N243">
            <v>0</v>
          </cell>
          <cell r="O243">
            <v>12.449951171875</v>
          </cell>
        </row>
        <row r="244">
          <cell r="D244">
            <v>1</v>
          </cell>
          <cell r="E244">
            <v>0</v>
          </cell>
          <cell r="G244">
            <v>2</v>
          </cell>
          <cell r="K244">
            <v>4.38</v>
          </cell>
          <cell r="N244">
            <v>0</v>
          </cell>
          <cell r="O244">
            <v>2.7</v>
          </cell>
        </row>
        <row r="245">
          <cell r="D245">
            <v>1</v>
          </cell>
          <cell r="E245">
            <v>0</v>
          </cell>
          <cell r="G245">
            <v>2</v>
          </cell>
          <cell r="K245">
            <v>3.98</v>
          </cell>
          <cell r="N245">
            <v>0</v>
          </cell>
          <cell r="O245">
            <v>2.7</v>
          </cell>
        </row>
        <row r="246">
          <cell r="D246">
            <v>1</v>
          </cell>
          <cell r="E246">
            <v>0</v>
          </cell>
          <cell r="G246">
            <v>0.4</v>
          </cell>
          <cell r="K246">
            <v>2.5099999999999998</v>
          </cell>
          <cell r="N246">
            <v>0</v>
          </cell>
          <cell r="O246">
            <v>4</v>
          </cell>
        </row>
        <row r="247">
          <cell r="D247">
            <v>0</v>
          </cell>
          <cell r="E247">
            <v>0</v>
          </cell>
          <cell r="G247">
            <v>0.4</v>
          </cell>
          <cell r="K247">
            <v>4.05</v>
          </cell>
          <cell r="N247">
            <v>0</v>
          </cell>
          <cell r="O247">
            <v>4</v>
          </cell>
        </row>
        <row r="248">
          <cell r="D248">
            <v>0.4</v>
          </cell>
          <cell r="E248">
            <v>0</v>
          </cell>
          <cell r="G248">
            <v>2</v>
          </cell>
          <cell r="K248">
            <v>6.03</v>
          </cell>
          <cell r="N248">
            <v>0</v>
          </cell>
          <cell r="O248">
            <v>3.2299999999997908</v>
          </cell>
        </row>
        <row r="249">
          <cell r="D249">
            <v>1</v>
          </cell>
          <cell r="E249">
            <v>0</v>
          </cell>
          <cell r="G249">
            <v>0.4</v>
          </cell>
          <cell r="K249">
            <v>2.65</v>
          </cell>
          <cell r="N249">
            <v>0</v>
          </cell>
          <cell r="O249">
            <v>5.2300000000000182</v>
          </cell>
        </row>
        <row r="250">
          <cell r="D250">
            <v>1</v>
          </cell>
          <cell r="E250">
            <v>0</v>
          </cell>
          <cell r="G250">
            <v>4.3203580458773567</v>
          </cell>
          <cell r="K250">
            <v>1.1399999999999999</v>
          </cell>
          <cell r="N250">
            <v>0</v>
          </cell>
          <cell r="O250">
            <v>6</v>
          </cell>
        </row>
        <row r="251">
          <cell r="D251">
            <v>0.4</v>
          </cell>
          <cell r="E251">
            <v>0</v>
          </cell>
          <cell r="G251">
            <v>3.4410761842437672</v>
          </cell>
          <cell r="K251">
            <v>0.3</v>
          </cell>
          <cell r="N251">
            <v>0</v>
          </cell>
          <cell r="O251">
            <v>6</v>
          </cell>
        </row>
        <row r="252">
          <cell r="D252">
            <v>0.4</v>
          </cell>
          <cell r="E252">
            <v>0</v>
          </cell>
          <cell r="G252">
            <v>3.3827584290101176</v>
          </cell>
          <cell r="K252">
            <v>1.48</v>
          </cell>
          <cell r="N252">
            <v>0</v>
          </cell>
          <cell r="O252">
            <v>12.827241570989827</v>
          </cell>
        </row>
        <row r="253">
          <cell r="D253">
            <v>0.4</v>
          </cell>
          <cell r="E253">
            <v>0</v>
          </cell>
          <cell r="G253">
            <v>2.6686143630412147</v>
          </cell>
          <cell r="K253">
            <v>1.4613856369589939</v>
          </cell>
          <cell r="N253">
            <v>0</v>
          </cell>
          <cell r="O253">
            <v>9.17</v>
          </cell>
        </row>
        <row r="254">
          <cell r="D254">
            <v>0.5</v>
          </cell>
          <cell r="E254">
            <v>0</v>
          </cell>
          <cell r="G254">
            <v>4.4291070435967663</v>
          </cell>
          <cell r="K254">
            <v>3.14</v>
          </cell>
          <cell r="N254">
            <v>0</v>
          </cell>
          <cell r="O254">
            <v>9.0008929564032769</v>
          </cell>
        </row>
        <row r="255">
          <cell r="D255">
            <v>0</v>
          </cell>
          <cell r="E255">
            <v>0</v>
          </cell>
          <cell r="G255">
            <v>3.3173609712297583</v>
          </cell>
          <cell r="K255">
            <v>2.15</v>
          </cell>
          <cell r="N255">
            <v>0</v>
          </cell>
          <cell r="O255">
            <v>52.682639028770382</v>
          </cell>
        </row>
        <row r="256">
          <cell r="D256">
            <v>0</v>
          </cell>
          <cell r="E256">
            <v>0</v>
          </cell>
          <cell r="G256">
            <v>2.8621813962114486</v>
          </cell>
          <cell r="K256">
            <v>1.68</v>
          </cell>
          <cell r="N256">
            <v>0</v>
          </cell>
          <cell r="O256">
            <v>3.3178186037886235</v>
          </cell>
        </row>
        <row r="257">
          <cell r="D257">
            <v>0</v>
          </cell>
          <cell r="E257">
            <v>0</v>
          </cell>
          <cell r="G257">
            <v>2.4479564903979654</v>
          </cell>
          <cell r="K257">
            <v>2.5299999999999998</v>
          </cell>
          <cell r="N257">
            <v>0</v>
          </cell>
          <cell r="O257">
            <v>4.1720435096020765</v>
          </cell>
        </row>
        <row r="258">
          <cell r="D258">
            <v>0</v>
          </cell>
          <cell r="E258">
            <v>0</v>
          </cell>
          <cell r="G258">
            <v>2.1270438540472822</v>
          </cell>
          <cell r="K258">
            <v>2</v>
          </cell>
          <cell r="N258">
            <v>0</v>
          </cell>
          <cell r="O258">
            <v>7.1163123819774228</v>
          </cell>
        </row>
        <row r="259">
          <cell r="D259">
            <v>0</v>
          </cell>
          <cell r="E259">
            <v>0</v>
          </cell>
          <cell r="G259">
            <v>4.4547064801197571</v>
          </cell>
          <cell r="K259">
            <v>3.43</v>
          </cell>
          <cell r="N259">
            <v>0</v>
          </cell>
          <cell r="O259">
            <v>7.335293519880338</v>
          </cell>
        </row>
        <row r="260">
          <cell r="D260">
            <v>0</v>
          </cell>
          <cell r="E260">
            <v>0</v>
          </cell>
          <cell r="G260">
            <v>2.0185782125560299</v>
          </cell>
          <cell r="K260">
            <v>2.54</v>
          </cell>
          <cell r="N260">
            <v>0</v>
          </cell>
          <cell r="O260">
            <v>7.3047830800039719</v>
          </cell>
        </row>
        <row r="261">
          <cell r="D261">
            <v>0</v>
          </cell>
          <cell r="E261">
            <v>0</v>
          </cell>
          <cell r="G261">
            <v>0.4</v>
          </cell>
          <cell r="K261">
            <v>6.92</v>
          </cell>
          <cell r="N261">
            <v>0</v>
          </cell>
          <cell r="O261">
            <v>5.2309558689030382</v>
          </cell>
        </row>
        <row r="262">
          <cell r="D262">
            <v>0</v>
          </cell>
          <cell r="E262">
            <v>0</v>
          </cell>
          <cell r="G262">
            <v>3.9375533645957925</v>
          </cell>
          <cell r="K262">
            <v>0.52</v>
          </cell>
          <cell r="N262">
            <v>0</v>
          </cell>
          <cell r="O262">
            <v>2.0924466354040305</v>
          </cell>
        </row>
        <row r="263">
          <cell r="D263">
            <v>0.5</v>
          </cell>
          <cell r="E263">
            <v>0</v>
          </cell>
          <cell r="G263">
            <v>12.95</v>
          </cell>
          <cell r="K263">
            <v>2.2464352901244364</v>
          </cell>
          <cell r="N263">
            <v>0</v>
          </cell>
          <cell r="O263">
            <v>5.7864321194606418</v>
          </cell>
        </row>
        <row r="264">
          <cell r="D264">
            <v>0.5</v>
          </cell>
          <cell r="E264">
            <v>0</v>
          </cell>
          <cell r="G264">
            <v>2.7622959341708397</v>
          </cell>
          <cell r="K264">
            <v>4.9899160438250112</v>
          </cell>
          <cell r="N264">
            <v>0</v>
          </cell>
          <cell r="O264">
            <v>9.1288227592071127</v>
          </cell>
        </row>
        <row r="265">
          <cell r="D265">
            <v>0.5</v>
          </cell>
          <cell r="E265">
            <v>0</v>
          </cell>
          <cell r="G265">
            <v>3.7046608137443813</v>
          </cell>
          <cell r="K265">
            <v>3.8944978715765415</v>
          </cell>
          <cell r="N265">
            <v>0</v>
          </cell>
          <cell r="O265">
            <v>7.8884151689905186</v>
          </cell>
        </row>
        <row r="266">
          <cell r="D266">
            <v>0</v>
          </cell>
          <cell r="E266">
            <v>0</v>
          </cell>
          <cell r="G266">
            <v>4.4951059264929727</v>
          </cell>
          <cell r="K266">
            <v>6.8340660151099204</v>
          </cell>
          <cell r="N266">
            <v>0</v>
          </cell>
          <cell r="O266">
            <v>6.815436034933823</v>
          </cell>
        </row>
        <row r="267">
          <cell r="D267">
            <v>0</v>
          </cell>
          <cell r="E267">
            <v>0</v>
          </cell>
          <cell r="G267">
            <v>2.9236827633147642</v>
          </cell>
          <cell r="K267">
            <v>3</v>
          </cell>
          <cell r="N267">
            <v>0</v>
          </cell>
          <cell r="O267">
            <v>6.193508446231867</v>
          </cell>
        </row>
        <row r="268">
          <cell r="D268">
            <v>0</v>
          </cell>
          <cell r="E268">
            <v>0</v>
          </cell>
          <cell r="G268">
            <v>0</v>
          </cell>
          <cell r="K268">
            <v>3</v>
          </cell>
          <cell r="N268">
            <v>0</v>
          </cell>
          <cell r="O268">
            <v>0</v>
          </cell>
        </row>
        <row r="269">
          <cell r="D269">
            <v>0</v>
          </cell>
          <cell r="E269">
            <v>0</v>
          </cell>
          <cell r="G269">
            <v>0</v>
          </cell>
          <cell r="K269">
            <v>4</v>
          </cell>
          <cell r="N269">
            <v>0</v>
          </cell>
          <cell r="O269">
            <v>0</v>
          </cell>
        </row>
        <row r="270">
          <cell r="D270">
            <v>0</v>
          </cell>
          <cell r="E270">
            <v>0</v>
          </cell>
          <cell r="G270">
            <v>0</v>
          </cell>
          <cell r="K270">
            <v>5.5860000000000003</v>
          </cell>
          <cell r="N270">
            <v>0</v>
          </cell>
          <cell r="O270">
            <v>20.303000000000001</v>
          </cell>
        </row>
        <row r="271">
          <cell r="D271">
            <v>0</v>
          </cell>
          <cell r="E271">
            <v>0</v>
          </cell>
          <cell r="G271">
            <v>0</v>
          </cell>
          <cell r="K271">
            <v>3.3929999999999998</v>
          </cell>
          <cell r="N271">
            <v>0</v>
          </cell>
          <cell r="O271">
            <v>11.015000000000001</v>
          </cell>
        </row>
        <row r="272">
          <cell r="D272">
            <v>0</v>
          </cell>
          <cell r="E272">
            <v>0</v>
          </cell>
          <cell r="G272">
            <v>0</v>
          </cell>
          <cell r="K272">
            <v>8.5540000000000003</v>
          </cell>
          <cell r="N272">
            <v>0</v>
          </cell>
          <cell r="O272">
            <v>7.96</v>
          </cell>
        </row>
        <row r="273">
          <cell r="D273">
            <v>0</v>
          </cell>
          <cell r="E273">
            <v>0</v>
          </cell>
          <cell r="G273">
            <v>0</v>
          </cell>
          <cell r="K273">
            <v>3.2730000000000001</v>
          </cell>
          <cell r="N273">
            <v>0</v>
          </cell>
          <cell r="O273">
            <v>6.9889999999999999</v>
          </cell>
        </row>
        <row r="274">
          <cell r="D274">
            <v>0</v>
          </cell>
          <cell r="E274">
            <v>0</v>
          </cell>
          <cell r="G274">
            <v>0</v>
          </cell>
          <cell r="K274">
            <v>6.1349999999999998</v>
          </cell>
          <cell r="N274">
            <v>0</v>
          </cell>
          <cell r="O274">
            <v>19.236000000000001</v>
          </cell>
        </row>
        <row r="275">
          <cell r="D275">
            <v>0</v>
          </cell>
          <cell r="E275">
            <v>0</v>
          </cell>
          <cell r="G275">
            <v>0</v>
          </cell>
          <cell r="K275">
            <v>5.1260000000000003</v>
          </cell>
          <cell r="N275">
            <v>0</v>
          </cell>
          <cell r="O275">
            <v>25</v>
          </cell>
        </row>
        <row r="276">
          <cell r="D276">
            <v>0</v>
          </cell>
          <cell r="E276">
            <v>0</v>
          </cell>
          <cell r="G276">
            <v>1</v>
          </cell>
          <cell r="K276">
            <v>4.3929999999999998</v>
          </cell>
          <cell r="N276">
            <v>0</v>
          </cell>
          <cell r="O276">
            <v>50</v>
          </cell>
        </row>
        <row r="277">
          <cell r="D277">
            <v>0</v>
          </cell>
          <cell r="E277">
            <v>0</v>
          </cell>
          <cell r="G277">
            <v>1</v>
          </cell>
          <cell r="K277">
            <v>7.5810000000000004</v>
          </cell>
          <cell r="N277">
            <v>0</v>
          </cell>
          <cell r="O277">
            <v>75</v>
          </cell>
        </row>
        <row r="278">
          <cell r="D278">
            <v>0</v>
          </cell>
          <cell r="E278">
            <v>0</v>
          </cell>
          <cell r="G278">
            <v>0</v>
          </cell>
          <cell r="K278">
            <v>4.8380000000000001</v>
          </cell>
          <cell r="N278">
            <v>0</v>
          </cell>
          <cell r="O278">
            <v>4.3250000000000002</v>
          </cell>
        </row>
        <row r="279">
          <cell r="D279">
            <v>0</v>
          </cell>
          <cell r="E279">
            <v>0</v>
          </cell>
          <cell r="G279">
            <v>0</v>
          </cell>
          <cell r="K279">
            <v>29.77</v>
          </cell>
          <cell r="N279">
            <v>0</v>
          </cell>
          <cell r="O279">
            <v>5</v>
          </cell>
        </row>
        <row r="280">
          <cell r="D280">
            <v>0</v>
          </cell>
          <cell r="E280">
            <v>0</v>
          </cell>
          <cell r="G280">
            <v>1</v>
          </cell>
          <cell r="K280">
            <v>35</v>
          </cell>
          <cell r="N280">
            <v>0</v>
          </cell>
          <cell r="O280">
            <v>3</v>
          </cell>
        </row>
        <row r="281">
          <cell r="D281">
            <v>0</v>
          </cell>
          <cell r="E281">
            <v>0</v>
          </cell>
          <cell r="G281">
            <v>1</v>
          </cell>
          <cell r="K281">
            <v>40</v>
          </cell>
          <cell r="N281">
            <v>0</v>
          </cell>
          <cell r="O281">
            <v>3</v>
          </cell>
        </row>
        <row r="282">
          <cell r="D282">
            <v>0</v>
          </cell>
          <cell r="E282">
            <v>0</v>
          </cell>
          <cell r="G282">
            <v>1</v>
          </cell>
          <cell r="K282">
            <v>35</v>
          </cell>
          <cell r="N282">
            <v>0</v>
          </cell>
          <cell r="O282">
            <v>3</v>
          </cell>
        </row>
        <row r="283">
          <cell r="D283">
            <v>0</v>
          </cell>
          <cell r="E283">
            <v>0</v>
          </cell>
          <cell r="G283">
            <v>0</v>
          </cell>
          <cell r="K283">
            <v>40</v>
          </cell>
          <cell r="N283">
            <v>0</v>
          </cell>
          <cell r="O283">
            <v>6</v>
          </cell>
        </row>
        <row r="284">
          <cell r="D284">
            <v>0</v>
          </cell>
          <cell r="E284">
            <v>0</v>
          </cell>
          <cell r="G284">
            <v>0</v>
          </cell>
          <cell r="K284">
            <v>45</v>
          </cell>
          <cell r="N284">
            <v>0</v>
          </cell>
          <cell r="O284">
            <v>6</v>
          </cell>
        </row>
        <row r="285">
          <cell r="D285">
            <v>0</v>
          </cell>
          <cell r="E285">
            <v>0</v>
          </cell>
          <cell r="G285">
            <v>0</v>
          </cell>
          <cell r="K285">
            <v>50</v>
          </cell>
          <cell r="N285">
            <v>0</v>
          </cell>
          <cell r="O285">
            <v>6</v>
          </cell>
        </row>
        <row r="286">
          <cell r="D286">
            <v>0</v>
          </cell>
          <cell r="E286">
            <v>0</v>
          </cell>
          <cell r="G286">
            <v>1</v>
          </cell>
          <cell r="K286">
            <v>55</v>
          </cell>
          <cell r="N286">
            <v>0</v>
          </cell>
          <cell r="O286">
            <v>6</v>
          </cell>
        </row>
        <row r="287">
          <cell r="D287">
            <v>0</v>
          </cell>
          <cell r="E287">
            <v>0</v>
          </cell>
          <cell r="G287">
            <v>1</v>
          </cell>
          <cell r="K287">
            <v>60</v>
          </cell>
          <cell r="N287">
            <v>0</v>
          </cell>
          <cell r="O287">
            <v>6</v>
          </cell>
        </row>
        <row r="288">
          <cell r="D288">
            <v>0</v>
          </cell>
          <cell r="E288">
            <v>0</v>
          </cell>
          <cell r="G288">
            <v>1</v>
          </cell>
          <cell r="K288">
            <v>60</v>
          </cell>
          <cell r="N288">
            <v>0</v>
          </cell>
          <cell r="O288">
            <v>6</v>
          </cell>
        </row>
        <row r="289">
          <cell r="D289">
            <v>0</v>
          </cell>
          <cell r="E289">
            <v>0</v>
          </cell>
          <cell r="G289">
            <v>1</v>
          </cell>
          <cell r="K289">
            <v>61.83</v>
          </cell>
          <cell r="N289">
            <v>0</v>
          </cell>
          <cell r="O289">
            <v>6</v>
          </cell>
        </row>
        <row r="290">
          <cell r="D290">
            <v>0</v>
          </cell>
          <cell r="E290">
            <v>0</v>
          </cell>
          <cell r="G290">
            <v>0</v>
          </cell>
          <cell r="K290">
            <v>56</v>
          </cell>
          <cell r="N290">
            <v>0</v>
          </cell>
          <cell r="O290">
            <v>6</v>
          </cell>
        </row>
        <row r="291">
          <cell r="D291">
            <v>0</v>
          </cell>
          <cell r="E291">
            <v>0</v>
          </cell>
          <cell r="G291">
            <v>0</v>
          </cell>
          <cell r="K291">
            <v>52</v>
          </cell>
          <cell r="N291">
            <v>0</v>
          </cell>
          <cell r="O291">
            <v>5</v>
          </cell>
        </row>
        <row r="292">
          <cell r="D292">
            <v>0</v>
          </cell>
          <cell r="E292">
            <v>0</v>
          </cell>
          <cell r="G292">
            <v>0</v>
          </cell>
          <cell r="K292">
            <v>48</v>
          </cell>
          <cell r="N292">
            <v>0</v>
          </cell>
          <cell r="O292">
            <v>25</v>
          </cell>
        </row>
        <row r="293">
          <cell r="D293">
            <v>0</v>
          </cell>
          <cell r="E293">
            <v>0</v>
          </cell>
          <cell r="G293">
            <v>0</v>
          </cell>
          <cell r="K293">
            <v>44</v>
          </cell>
          <cell r="N293">
            <v>0</v>
          </cell>
          <cell r="O293">
            <v>25</v>
          </cell>
        </row>
        <row r="294">
          <cell r="D294">
            <v>0</v>
          </cell>
          <cell r="E294">
            <v>0</v>
          </cell>
          <cell r="G294">
            <v>0</v>
          </cell>
          <cell r="K294">
            <v>8.6340000000000003</v>
          </cell>
          <cell r="N294">
            <v>0</v>
          </cell>
          <cell r="O294">
            <v>50</v>
          </cell>
        </row>
        <row r="295">
          <cell r="D295">
            <v>0</v>
          </cell>
          <cell r="E295">
            <v>0</v>
          </cell>
          <cell r="G295">
            <v>0</v>
          </cell>
          <cell r="K295">
            <v>10.708</v>
          </cell>
          <cell r="N295">
            <v>0</v>
          </cell>
          <cell r="O295">
            <v>50</v>
          </cell>
        </row>
        <row r="296">
          <cell r="D296">
            <v>0</v>
          </cell>
          <cell r="E296">
            <v>0</v>
          </cell>
          <cell r="G296">
            <v>0</v>
          </cell>
          <cell r="K296">
            <v>10.516</v>
          </cell>
          <cell r="N296">
            <v>0</v>
          </cell>
          <cell r="O296">
            <v>5</v>
          </cell>
        </row>
        <row r="297">
          <cell r="D297">
            <v>0</v>
          </cell>
          <cell r="E297">
            <v>0</v>
          </cell>
          <cell r="G297">
            <v>0</v>
          </cell>
          <cell r="K297">
            <v>14.412000000000001</v>
          </cell>
          <cell r="N297">
            <v>0</v>
          </cell>
          <cell r="O297">
            <v>5</v>
          </cell>
        </row>
        <row r="298">
          <cell r="D298">
            <v>0</v>
          </cell>
          <cell r="E298">
            <v>0</v>
          </cell>
          <cell r="G298">
            <v>0</v>
          </cell>
          <cell r="K298">
            <v>17.936</v>
          </cell>
          <cell r="N298">
            <v>0</v>
          </cell>
          <cell r="O298">
            <v>5</v>
          </cell>
        </row>
        <row r="299">
          <cell r="D299">
            <v>0</v>
          </cell>
          <cell r="E299">
            <v>0</v>
          </cell>
          <cell r="G299">
            <v>5</v>
          </cell>
          <cell r="K299">
            <v>14.532</v>
          </cell>
          <cell r="N299">
            <v>0</v>
          </cell>
          <cell r="O299">
            <v>5</v>
          </cell>
        </row>
        <row r="300">
          <cell r="D300">
            <v>0</v>
          </cell>
          <cell r="E300">
            <v>0</v>
          </cell>
          <cell r="G300">
            <v>5</v>
          </cell>
          <cell r="K300">
            <v>12.709</v>
          </cell>
          <cell r="N300">
            <v>0</v>
          </cell>
          <cell r="O300">
            <v>5</v>
          </cell>
        </row>
        <row r="301">
          <cell r="D301">
            <v>0</v>
          </cell>
          <cell r="E301">
            <v>0</v>
          </cell>
          <cell r="G301">
            <v>5</v>
          </cell>
          <cell r="K301">
            <v>13.814</v>
          </cell>
          <cell r="N301">
            <v>0</v>
          </cell>
          <cell r="O301">
            <v>5</v>
          </cell>
        </row>
        <row r="302">
          <cell r="D302">
            <v>0</v>
          </cell>
          <cell r="E302">
            <v>0</v>
          </cell>
          <cell r="G302">
            <v>15.526</v>
          </cell>
          <cell r="K302">
            <v>19.478081</v>
          </cell>
          <cell r="N302">
            <v>0</v>
          </cell>
          <cell r="O302">
            <v>5</v>
          </cell>
        </row>
        <row r="303">
          <cell r="D303">
            <v>0</v>
          </cell>
          <cell r="E303">
            <v>0</v>
          </cell>
          <cell r="G303">
            <v>6.6849999999999996</v>
          </cell>
          <cell r="K303">
            <v>17.27</v>
          </cell>
          <cell r="N303">
            <v>0</v>
          </cell>
          <cell r="O303">
            <v>40</v>
          </cell>
        </row>
        <row r="304">
          <cell r="D304">
            <v>0</v>
          </cell>
          <cell r="E304">
            <v>0</v>
          </cell>
          <cell r="G304">
            <v>5</v>
          </cell>
          <cell r="K304">
            <v>16.727</v>
          </cell>
          <cell r="N304">
            <v>0</v>
          </cell>
          <cell r="O304">
            <v>20</v>
          </cell>
        </row>
        <row r="305">
          <cell r="D305">
            <v>0</v>
          </cell>
          <cell r="E305">
            <v>0</v>
          </cell>
          <cell r="G305">
            <v>4.2569999999999997</v>
          </cell>
          <cell r="K305">
            <v>17.332000000000001</v>
          </cell>
          <cell r="N305">
            <v>0</v>
          </cell>
          <cell r="O305">
            <v>100</v>
          </cell>
        </row>
      </sheetData>
      <sheetData sheetId="1"/>
      <sheetData sheetId="2">
        <row r="2">
          <cell r="H2">
            <v>1954349</v>
          </cell>
          <cell r="O2">
            <v>325266</v>
          </cell>
        </row>
        <row r="3">
          <cell r="H3">
            <v>2623187</v>
          </cell>
          <cell r="O3">
            <v>356935</v>
          </cell>
        </row>
        <row r="4">
          <cell r="H4">
            <v>3477614</v>
          </cell>
          <cell r="O4">
            <v>462226</v>
          </cell>
        </row>
        <row r="5">
          <cell r="H5">
            <v>4482442</v>
          </cell>
          <cell r="O5">
            <v>659061</v>
          </cell>
        </row>
        <row r="6">
          <cell r="H6">
            <v>5006202</v>
          </cell>
          <cell r="O6">
            <v>712233</v>
          </cell>
        </row>
        <row r="7">
          <cell r="H7">
            <v>6502404</v>
          </cell>
          <cell r="O7">
            <v>723231</v>
          </cell>
        </row>
        <row r="8">
          <cell r="H8">
            <v>4240695</v>
          </cell>
          <cell r="O8">
            <v>843696</v>
          </cell>
        </row>
        <row r="9">
          <cell r="H9">
            <v>4226644</v>
          </cell>
          <cell r="O9">
            <v>6535747</v>
          </cell>
        </row>
        <row r="10">
          <cell r="H10">
            <v>5481532</v>
          </cell>
          <cell r="O10">
            <v>8182191</v>
          </cell>
        </row>
        <row r="11">
          <cell r="H11">
            <v>13975203</v>
          </cell>
          <cell r="O11">
            <v>23562582</v>
          </cell>
        </row>
        <row r="12">
          <cell r="H12">
            <v>13936349</v>
          </cell>
          <cell r="O12">
            <v>40409392</v>
          </cell>
        </row>
        <row r="13">
          <cell r="H13">
            <v>26508045</v>
          </cell>
          <cell r="O13">
            <v>44784857</v>
          </cell>
        </row>
        <row r="14">
          <cell r="H14">
            <v>16037416</v>
          </cell>
          <cell r="O14">
            <v>25871987</v>
          </cell>
        </row>
        <row r="15">
          <cell r="H15">
            <v>16122376</v>
          </cell>
          <cell r="O15">
            <v>26668165</v>
          </cell>
        </row>
        <row r="16">
          <cell r="H16">
            <v>13880356</v>
          </cell>
          <cell r="O16">
            <v>36487197</v>
          </cell>
        </row>
        <row r="17">
          <cell r="H17">
            <v>20757948</v>
          </cell>
          <cell r="O17">
            <v>23817520</v>
          </cell>
        </row>
        <row r="18">
          <cell r="H18">
            <v>19632811</v>
          </cell>
          <cell r="O18">
            <v>27058770</v>
          </cell>
        </row>
        <row r="19">
          <cell r="H19">
            <v>28502517</v>
          </cell>
          <cell r="O19">
            <v>40776364</v>
          </cell>
        </row>
        <row r="20">
          <cell r="H20">
            <v>42889152</v>
          </cell>
          <cell r="O20">
            <v>51165569</v>
          </cell>
        </row>
        <row r="21">
          <cell r="H21">
            <v>35425955</v>
          </cell>
          <cell r="O21">
            <v>46155232</v>
          </cell>
        </row>
        <row r="22">
          <cell r="H22">
            <v>28882258</v>
          </cell>
          <cell r="O22">
            <v>43663408</v>
          </cell>
        </row>
        <row r="23">
          <cell r="H23">
            <v>35790526</v>
          </cell>
          <cell r="O23">
            <v>75711296</v>
          </cell>
        </row>
        <row r="24">
          <cell r="H24">
            <v>45225506</v>
          </cell>
          <cell r="O24">
            <v>63846512</v>
          </cell>
        </row>
        <row r="25">
          <cell r="H25">
            <v>53450453</v>
          </cell>
          <cell r="O25">
            <v>72449941</v>
          </cell>
        </row>
        <row r="26">
          <cell r="H26">
            <v>38177310</v>
          </cell>
          <cell r="O26">
            <v>68700606</v>
          </cell>
        </row>
        <row r="27">
          <cell r="H27">
            <v>37575247</v>
          </cell>
          <cell r="O27">
            <v>94202959</v>
          </cell>
        </row>
        <row r="28">
          <cell r="H28">
            <v>50257498</v>
          </cell>
          <cell r="O28">
            <v>95429959</v>
          </cell>
        </row>
        <row r="29">
          <cell r="H29">
            <v>43756532</v>
          </cell>
          <cell r="O29">
            <v>77130870</v>
          </cell>
        </row>
        <row r="30">
          <cell r="H30">
            <v>36595945</v>
          </cell>
          <cell r="O30">
            <v>93949619</v>
          </cell>
        </row>
        <row r="31">
          <cell r="H31">
            <v>40693700</v>
          </cell>
          <cell r="O31">
            <v>100488727</v>
          </cell>
        </row>
        <row r="32">
          <cell r="H32">
            <v>49904077</v>
          </cell>
          <cell r="O32">
            <v>79736407</v>
          </cell>
        </row>
        <row r="33">
          <cell r="H33">
            <v>57231365</v>
          </cell>
          <cell r="O33">
            <v>109391300</v>
          </cell>
        </row>
        <row r="34">
          <cell r="H34">
            <v>41827876</v>
          </cell>
          <cell r="O34">
            <v>159583033</v>
          </cell>
        </row>
        <row r="35">
          <cell r="H35">
            <v>57413156</v>
          </cell>
          <cell r="O35">
            <v>160308777</v>
          </cell>
        </row>
        <row r="36">
          <cell r="H36">
            <v>56880071</v>
          </cell>
          <cell r="O36">
            <v>133219894</v>
          </cell>
        </row>
        <row r="37">
          <cell r="H37">
            <v>55445419</v>
          </cell>
          <cell r="O37">
            <v>164778486</v>
          </cell>
        </row>
        <row r="38">
          <cell r="H38">
            <v>56349932</v>
          </cell>
          <cell r="O38">
            <v>130973476</v>
          </cell>
        </row>
        <row r="39">
          <cell r="H39">
            <v>59271313</v>
          </cell>
          <cell r="O39">
            <v>151994539</v>
          </cell>
        </row>
        <row r="40">
          <cell r="H40">
            <v>69710273</v>
          </cell>
          <cell r="O40">
            <v>140072718</v>
          </cell>
        </row>
        <row r="41">
          <cell r="H41">
            <v>81113099</v>
          </cell>
          <cell r="O41">
            <v>165950498</v>
          </cell>
        </row>
        <row r="42">
          <cell r="H42">
            <v>61422026</v>
          </cell>
          <cell r="O42">
            <v>199089761</v>
          </cell>
        </row>
        <row r="43">
          <cell r="H43">
            <v>78153595</v>
          </cell>
          <cell r="O43">
            <v>218785737</v>
          </cell>
        </row>
        <row r="44">
          <cell r="H44">
            <v>77619602</v>
          </cell>
          <cell r="O44">
            <v>250252477</v>
          </cell>
        </row>
        <row r="45">
          <cell r="H45">
            <v>72876457</v>
          </cell>
        </row>
        <row r="46">
          <cell r="H46">
            <v>70878960</v>
          </cell>
        </row>
        <row r="47">
          <cell r="H47">
            <v>67195260</v>
          </cell>
        </row>
        <row r="48">
          <cell r="H48">
            <v>72306901</v>
          </cell>
        </row>
        <row r="49">
          <cell r="H49">
            <v>71232651</v>
          </cell>
        </row>
        <row r="50">
          <cell r="H50">
            <v>68541019</v>
          </cell>
        </row>
        <row r="51">
          <cell r="H51">
            <v>60275869</v>
          </cell>
        </row>
        <row r="52">
          <cell r="H52">
            <v>67129512</v>
          </cell>
        </row>
        <row r="53">
          <cell r="H53">
            <v>72940256</v>
          </cell>
        </row>
        <row r="54">
          <cell r="H54">
            <v>64404789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Controls 2"/>
      <sheetName val="Calculator"/>
      <sheetName val="Gross Margins Calculations"/>
      <sheetName val="LCFS Categorized"/>
      <sheetName val="LCFS Table"/>
      <sheetName val="Profit-Production Chart Data"/>
      <sheetName val="BTC Weekly Calc"/>
      <sheetName val="US BBD Profitability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>
            <v>9.9487109375000216E-2</v>
          </cell>
        </row>
        <row r="3">
          <cell r="D3">
            <v>0.10253603515624986</v>
          </cell>
        </row>
        <row r="4">
          <cell r="D4">
            <v>0.17785648437499985</v>
          </cell>
        </row>
        <row r="5">
          <cell r="D5">
            <v>0.20115588867187528</v>
          </cell>
        </row>
        <row r="6">
          <cell r="D6">
            <v>0.23332225781250018</v>
          </cell>
        </row>
        <row r="7">
          <cell r="D7">
            <v>0.16873113281250021</v>
          </cell>
        </row>
        <row r="8">
          <cell r="D8">
            <v>0.20969506835937526</v>
          </cell>
          <cell r="E8">
            <v>2.6721150610209987</v>
          </cell>
        </row>
        <row r="9">
          <cell r="D9">
            <v>0.27096679687500019</v>
          </cell>
          <cell r="E9">
            <v>2.638043771684953</v>
          </cell>
        </row>
        <row r="10">
          <cell r="D10">
            <v>0.30907017578125023</v>
          </cell>
          <cell r="E10">
            <v>2.9421584972922523</v>
          </cell>
        </row>
        <row r="11">
          <cell r="D11">
            <v>0.21626386718749971</v>
          </cell>
          <cell r="E11">
            <v>3.161954647223896</v>
          </cell>
        </row>
        <row r="12">
          <cell r="D12">
            <v>0.24853543593749991</v>
          </cell>
          <cell r="E12">
            <v>3.3629505995688911</v>
          </cell>
        </row>
        <row r="13">
          <cell r="D13">
            <v>0.19867684570312527</v>
          </cell>
          <cell r="E13">
            <v>3.0939278659117337</v>
          </cell>
        </row>
        <row r="14">
          <cell r="D14">
            <v>7.8307666015625207E-2</v>
          </cell>
          <cell r="E14">
            <v>2.7623783775595525</v>
          </cell>
        </row>
        <row r="15">
          <cell r="D15">
            <v>0.12987765043749994</v>
          </cell>
          <cell r="E15">
            <v>2.34728112654187</v>
          </cell>
        </row>
        <row r="16">
          <cell r="D16">
            <v>0.318521484375</v>
          </cell>
          <cell r="E16">
            <v>1.87472491902821</v>
          </cell>
        </row>
        <row r="17">
          <cell r="D17">
            <v>0.46066177734375013</v>
          </cell>
          <cell r="E17">
            <v>1.6921815657901746</v>
          </cell>
        </row>
        <row r="18">
          <cell r="D18">
            <v>0.49430810937500003</v>
          </cell>
          <cell r="E18">
            <v>1.6525784740675509</v>
          </cell>
        </row>
        <row r="19">
          <cell r="D19">
            <v>0.51622007812500015</v>
          </cell>
          <cell r="E19">
            <v>2.3463817306336043</v>
          </cell>
        </row>
        <row r="20">
          <cell r="D20">
            <v>0.48591327148437513</v>
          </cell>
          <cell r="E20">
            <v>2.5125428891441501</v>
          </cell>
        </row>
        <row r="21">
          <cell r="D21">
            <v>0.32128970312500033</v>
          </cell>
          <cell r="E21">
            <v>2.2921425963451778</v>
          </cell>
        </row>
        <row r="22">
          <cell r="D22">
            <v>0.40326930664062521</v>
          </cell>
          <cell r="E22">
            <v>2.2927496283470639</v>
          </cell>
        </row>
        <row r="23">
          <cell r="D23">
            <v>0.51155395312500007</v>
          </cell>
          <cell r="E23">
            <v>2.2604731313147619</v>
          </cell>
        </row>
        <row r="24">
          <cell r="D24">
            <v>0.42481586914062491</v>
          </cell>
          <cell r="E24">
            <v>2.4727279497464059</v>
          </cell>
        </row>
        <row r="25">
          <cell r="D25">
            <v>0.4441492675781249</v>
          </cell>
          <cell r="E25">
            <v>2.6336432469151547</v>
          </cell>
        </row>
        <row r="26">
          <cell r="D26">
            <v>0.38612319531249994</v>
          </cell>
          <cell r="E26">
            <v>2.5535517233651159</v>
          </cell>
        </row>
        <row r="27">
          <cell r="D27">
            <v>0.48357373046875041</v>
          </cell>
          <cell r="E27">
            <v>2.5698286546840863</v>
          </cell>
        </row>
        <row r="28">
          <cell r="D28">
            <v>0.25950019531249985</v>
          </cell>
          <cell r="E28">
            <v>2.7795708868212681</v>
          </cell>
        </row>
        <row r="29">
          <cell r="D29">
            <v>0.22841440429687454</v>
          </cell>
          <cell r="E29">
            <v>2.4943223595551798</v>
          </cell>
        </row>
        <row r="30">
          <cell r="D30">
            <v>-0.78270078125000031</v>
          </cell>
          <cell r="E30">
            <v>3.3620200825924513</v>
          </cell>
        </row>
        <row r="31">
          <cell r="D31">
            <v>-0.80581544921875059</v>
          </cell>
          <cell r="E31">
            <v>3.1953934660263252</v>
          </cell>
        </row>
        <row r="32">
          <cell r="D32">
            <v>-0.59549066406249929</v>
          </cell>
          <cell r="E32">
            <v>2.6278055963040594</v>
          </cell>
        </row>
        <row r="33">
          <cell r="D33">
            <v>-7.5037695312500152E-2</v>
          </cell>
          <cell r="E33">
            <v>2.4059289364402536</v>
          </cell>
        </row>
        <row r="34">
          <cell r="D34">
            <v>0.17308232421875025</v>
          </cell>
          <cell r="E34">
            <v>2.3109276738437128</v>
          </cell>
        </row>
        <row r="35">
          <cell r="D35">
            <v>-4.4291453124999866E-2</v>
          </cell>
          <cell r="E35">
            <v>2.3438349461471057</v>
          </cell>
        </row>
        <row r="36">
          <cell r="D36">
            <v>0.29745240429687453</v>
          </cell>
          <cell r="E36">
            <v>1.9254162523422698</v>
          </cell>
        </row>
        <row r="37">
          <cell r="D37">
            <v>0.36822954101562427</v>
          </cell>
          <cell r="E37">
            <v>1.9623688375730379</v>
          </cell>
        </row>
        <row r="38">
          <cell r="D38">
            <v>0.20728572656250041</v>
          </cell>
          <cell r="E38">
            <v>1.954574986704511</v>
          </cell>
        </row>
        <row r="39">
          <cell r="D39">
            <v>0.32033804687500023</v>
          </cell>
          <cell r="E39">
            <v>1.923519063224236</v>
          </cell>
        </row>
        <row r="40">
          <cell r="D40">
            <v>7.2898164062499632E-2</v>
          </cell>
          <cell r="E40">
            <v>2.2743834143490371</v>
          </cell>
        </row>
        <row r="41">
          <cell r="D41">
            <v>0.4831014453125001</v>
          </cell>
          <cell r="E41">
            <v>2.6493530361076125</v>
          </cell>
        </row>
        <row r="42">
          <cell r="D42">
            <v>0.11767703125000054</v>
          </cell>
          <cell r="E42">
            <v>2.6700832716098173</v>
          </cell>
        </row>
        <row r="43">
          <cell r="D43">
            <v>0.27459118164062479</v>
          </cell>
          <cell r="E43">
            <v>2.7512809391405337</v>
          </cell>
        </row>
        <row r="44">
          <cell r="D44">
            <v>1.0311620703124995</v>
          </cell>
          <cell r="E44">
            <v>2.3450298610328142</v>
          </cell>
        </row>
        <row r="45">
          <cell r="D45">
            <v>0.79750257812499969</v>
          </cell>
          <cell r="E45">
            <v>2.3688001307179283</v>
          </cell>
        </row>
        <row r="46">
          <cell r="D46">
            <v>0.99801367187499979</v>
          </cell>
          <cell r="E46">
            <v>2.2464463616233639</v>
          </cell>
        </row>
        <row r="47">
          <cell r="D47">
            <v>1.2858740156249993</v>
          </cell>
          <cell r="E47">
            <v>2.6869255032921791</v>
          </cell>
        </row>
        <row r="48">
          <cell r="D48">
            <v>0.97461835742187442</v>
          </cell>
          <cell r="E48">
            <v>2.5760059684286203</v>
          </cell>
        </row>
        <row r="49">
          <cell r="D49">
            <v>1.2411080937499996</v>
          </cell>
          <cell r="E49">
            <v>2.0307330607661322</v>
          </cell>
        </row>
        <row r="50">
          <cell r="D50">
            <v>1.3073287988281252</v>
          </cell>
          <cell r="E50">
            <v>2.0164636266104692</v>
          </cell>
        </row>
        <row r="51">
          <cell r="D51">
            <v>1.1511378808593742</v>
          </cell>
          <cell r="E51">
            <v>2.2643429802354262</v>
          </cell>
        </row>
        <row r="52">
          <cell r="D52">
            <v>0.87526437499999998</v>
          </cell>
          <cell r="E52">
            <v>2.5072819481690791</v>
          </cell>
        </row>
        <row r="53">
          <cell r="D53">
            <v>0.62540899218750001</v>
          </cell>
          <cell r="E53">
            <v>2.5041132465928277</v>
          </cell>
        </row>
        <row r="54">
          <cell r="D54">
            <v>0.66023046875000013</v>
          </cell>
          <cell r="E54">
            <v>2.0087243199721065</v>
          </cell>
        </row>
        <row r="55">
          <cell r="D55">
            <v>0.1930188476562501</v>
          </cell>
          <cell r="E55">
            <v>1.7053365581225082</v>
          </cell>
        </row>
        <row r="56">
          <cell r="D56">
            <v>-0.55246213281250056</v>
          </cell>
          <cell r="E56">
            <v>1.5937295282004389</v>
          </cell>
        </row>
        <row r="57">
          <cell r="D57">
            <v>0.2835313281249992</v>
          </cell>
          <cell r="E57">
            <v>1.9778641278798765</v>
          </cell>
        </row>
        <row r="58">
          <cell r="D58">
            <v>0.32834207031249962</v>
          </cell>
          <cell r="E58">
            <v>2.1046603232367582</v>
          </cell>
        </row>
        <row r="59">
          <cell r="D59">
            <v>0.41336191406249939</v>
          </cell>
          <cell r="E59">
            <v>1.5532525961766694</v>
          </cell>
        </row>
        <row r="60">
          <cell r="D60">
            <v>0.47293024414062435</v>
          </cell>
          <cell r="E60">
            <v>1.7474112877336017</v>
          </cell>
        </row>
        <row r="61">
          <cell r="D61">
            <v>0.51020721093749954</v>
          </cell>
          <cell r="E61">
            <v>1.7757544384359669</v>
          </cell>
        </row>
        <row r="62">
          <cell r="D62">
            <v>0.60561944335937423</v>
          </cell>
          <cell r="E62">
            <v>1.7206520082358829</v>
          </cell>
        </row>
        <row r="63">
          <cell r="D63">
            <v>0.55786055664062484</v>
          </cell>
          <cell r="E63">
            <v>1.4005826283767351</v>
          </cell>
        </row>
        <row r="64">
          <cell r="D64">
            <v>0.24875062500000009</v>
          </cell>
          <cell r="E64">
            <v>1.5484641397633456</v>
          </cell>
        </row>
        <row r="65">
          <cell r="D65">
            <v>0.36844707031249996</v>
          </cell>
          <cell r="E65">
            <v>1.4763957894394553</v>
          </cell>
        </row>
        <row r="66">
          <cell r="D66">
            <v>0.13147949218749969</v>
          </cell>
          <cell r="E66">
            <v>1.1731268888593864</v>
          </cell>
        </row>
        <row r="67">
          <cell r="D67">
            <v>0.13891789062499998</v>
          </cell>
          <cell r="E67">
            <v>1.0110367919931178</v>
          </cell>
        </row>
        <row r="68">
          <cell r="D68">
            <v>0.22146005859374968</v>
          </cell>
          <cell r="E68">
            <v>0.87258703520651426</v>
          </cell>
        </row>
        <row r="69">
          <cell r="D69">
            <v>0.29496398437499965</v>
          </cell>
          <cell r="E69">
            <v>0.73561334528938782</v>
          </cell>
        </row>
        <row r="70">
          <cell r="D70">
            <v>0.11069033203124956</v>
          </cell>
          <cell r="E70">
            <v>0.69551548178320943</v>
          </cell>
        </row>
        <row r="71">
          <cell r="D71">
            <v>0.32174257812499973</v>
          </cell>
          <cell r="E71">
            <v>1.0790111422017279</v>
          </cell>
        </row>
        <row r="72">
          <cell r="D72">
            <v>0.46131515625000008</v>
          </cell>
          <cell r="E72">
            <v>1.2171730343889</v>
          </cell>
        </row>
        <row r="73">
          <cell r="D73">
            <v>0.78884511718750006</v>
          </cell>
          <cell r="E73">
            <v>1.3374600093273963</v>
          </cell>
        </row>
        <row r="74">
          <cell r="D74">
            <v>-0.20892944335937524</v>
          </cell>
          <cell r="E74">
            <v>1.3127381201971209</v>
          </cell>
        </row>
        <row r="75">
          <cell r="D75">
            <v>-0.70930825195312575</v>
          </cell>
          <cell r="E75">
            <v>0.93847545796613552</v>
          </cell>
        </row>
        <row r="76">
          <cell r="D76">
            <v>-0.83513632812500016</v>
          </cell>
          <cell r="E76">
            <v>0.71193495711293875</v>
          </cell>
        </row>
        <row r="77">
          <cell r="D77">
            <v>-0.59962753906250055</v>
          </cell>
          <cell r="E77">
            <v>1.1695296006569862</v>
          </cell>
        </row>
        <row r="78">
          <cell r="D78">
            <v>-0.59719273437499898</v>
          </cell>
          <cell r="E78">
            <v>1.235961318118175</v>
          </cell>
        </row>
        <row r="79">
          <cell r="D79">
            <v>-0.65950273437499796</v>
          </cell>
          <cell r="E79">
            <v>1.0002269068464746</v>
          </cell>
        </row>
        <row r="80">
          <cell r="D80">
            <v>-0.76552460937499878</v>
          </cell>
          <cell r="E80">
            <v>1.0975604922683631</v>
          </cell>
        </row>
        <row r="81">
          <cell r="D81">
            <v>-0.73424773437499835</v>
          </cell>
          <cell r="E81">
            <v>1.1282314962748465</v>
          </cell>
        </row>
        <row r="82">
          <cell r="D82">
            <v>-0.83522128906249837</v>
          </cell>
          <cell r="E82">
            <v>0.76604183921423541</v>
          </cell>
        </row>
        <row r="83">
          <cell r="D83">
            <v>-0.34355976562499885</v>
          </cell>
          <cell r="E83">
            <v>0.43781392994989632</v>
          </cell>
        </row>
        <row r="84">
          <cell r="D84" t="e">
            <v>#DIV/0!</v>
          </cell>
          <cell r="E84" t="e">
            <v>#DIV/0!</v>
          </cell>
        </row>
        <row r="85">
          <cell r="D85" t="e">
            <v>#DIV/0!</v>
          </cell>
          <cell r="E85" t="e">
            <v>#DIV/0!</v>
          </cell>
        </row>
      </sheetData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9">
          <cell r="B69">
            <v>485714</v>
          </cell>
          <cell r="C69">
            <v>32877627</v>
          </cell>
          <cell r="D69">
            <v>60117730</v>
          </cell>
          <cell r="E69">
            <v>71157810</v>
          </cell>
          <cell r="F69">
            <v>56695627</v>
          </cell>
          <cell r="G69">
            <v>55879853</v>
          </cell>
          <cell r="H69">
            <v>85560071</v>
          </cell>
          <cell r="I69">
            <v>65936175</v>
          </cell>
          <cell r="J69">
            <v>110496056</v>
          </cell>
          <cell r="K69">
            <v>107668977</v>
          </cell>
          <cell r="L69">
            <v>118403817</v>
          </cell>
          <cell r="M69">
            <v>107302585</v>
          </cell>
          <cell r="N69">
            <v>90715015</v>
          </cell>
          <cell r="O69">
            <v>119548309</v>
          </cell>
          <cell r="P69">
            <v>120715672</v>
          </cell>
          <cell r="Q69">
            <v>65635810</v>
          </cell>
          <cell r="R69">
            <v>98015663.363137141</v>
          </cell>
          <cell r="S69">
            <v>90708468.784077719</v>
          </cell>
          <cell r="T69">
            <v>73650931.236886859</v>
          </cell>
          <cell r="U69">
            <v>82344485.293023407</v>
          </cell>
          <cell r="V69">
            <v>79639224.581323087</v>
          </cell>
          <cell r="W69">
            <v>84515444.617420524</v>
          </cell>
          <cell r="X69">
            <v>87891592.070975751</v>
          </cell>
          <cell r="Y69">
            <v>102340019.60040376</v>
          </cell>
          <cell r="Z69">
            <v>90837867.89552854</v>
          </cell>
          <cell r="AA69">
            <v>88430181.851996198</v>
          </cell>
          <cell r="AB69">
            <v>71413592.333132088</v>
          </cell>
          <cell r="AC69">
            <v>58726542.333007209</v>
          </cell>
          <cell r="AD69">
            <v>59072015.4489372</v>
          </cell>
          <cell r="AE69">
            <v>47974747.133285888</v>
          </cell>
          <cell r="AF69">
            <v>28531355.080727756</v>
          </cell>
          <cell r="AG69">
            <v>31542732.125062745</v>
          </cell>
          <cell r="AH69">
            <v>31214660.132799488</v>
          </cell>
          <cell r="AI69">
            <v>25749476.395661239</v>
          </cell>
          <cell r="AJ69">
            <v>25891829.24432179</v>
          </cell>
          <cell r="AK69">
            <v>26000662.669733964</v>
          </cell>
          <cell r="AL69">
            <v>25922451.198247306</v>
          </cell>
          <cell r="AM69">
            <v>25967186.327067997</v>
          </cell>
          <cell r="AN69">
            <v>26390790.205999963</v>
          </cell>
          <cell r="AO69">
            <v>26821854.340091936</v>
          </cell>
          <cell r="AP69">
            <v>27416523.334585477</v>
          </cell>
          <cell r="DK69"/>
        </row>
        <row r="70">
          <cell r="B70">
            <v>538632</v>
          </cell>
          <cell r="C70">
            <v>41535834</v>
          </cell>
          <cell r="D70">
            <v>72510777</v>
          </cell>
          <cell r="E70">
            <v>74511501</v>
          </cell>
          <cell r="F70">
            <v>69859288</v>
          </cell>
          <cell r="G70">
            <v>62835451</v>
          </cell>
          <cell r="H70">
            <v>100399613</v>
          </cell>
          <cell r="I70">
            <v>78476257</v>
          </cell>
          <cell r="J70">
            <v>115536272</v>
          </cell>
          <cell r="K70">
            <v>117330452</v>
          </cell>
          <cell r="L70">
            <v>128033003</v>
          </cell>
          <cell r="M70">
            <v>109881050</v>
          </cell>
          <cell r="N70">
            <v>110442650</v>
          </cell>
          <cell r="O70">
            <v>114742607</v>
          </cell>
          <cell r="P70">
            <v>125799224</v>
          </cell>
          <cell r="Q70">
            <v>73721896</v>
          </cell>
          <cell r="R70">
            <v>103981212.43447548</v>
          </cell>
          <cell r="S70">
            <v>96954079.202789247</v>
          </cell>
          <cell r="T70">
            <v>76714622.401454777</v>
          </cell>
          <cell r="U70">
            <v>87564249.538713023</v>
          </cell>
          <cell r="V70">
            <v>85185989.865512088</v>
          </cell>
          <cell r="W70">
            <v>89701855.18186897</v>
          </cell>
          <cell r="X70">
            <v>93295735.701281473</v>
          </cell>
          <cell r="Y70">
            <v>87267964.936471209</v>
          </cell>
          <cell r="Z70">
            <v>85044385.679333374</v>
          </cell>
          <cell r="AA70">
            <v>81554784.995612815</v>
          </cell>
          <cell r="AB70">
            <v>68715950.345740765</v>
          </cell>
          <cell r="AC70">
            <v>55392132.165890269</v>
          </cell>
          <cell r="AD70">
            <v>54226728.147470638</v>
          </cell>
          <cell r="AE70">
            <v>44909117.337509483</v>
          </cell>
          <cell r="AF70">
            <v>26707199.550333399</v>
          </cell>
          <cell r="AG70">
            <v>29671057.187318135</v>
          </cell>
          <cell r="AH70">
            <v>29149623.400559571</v>
          </cell>
          <cell r="AI70">
            <v>23974497.788962215</v>
          </cell>
          <cell r="AJ70">
            <v>24228374.580098491</v>
          </cell>
          <cell r="AK70">
            <v>24327201.397123329</v>
          </cell>
          <cell r="AL70">
            <v>24251773.69634258</v>
          </cell>
          <cell r="AM70">
            <v>24262563.426456727</v>
          </cell>
          <cell r="AN70">
            <v>24661607.74265692</v>
          </cell>
          <cell r="AO70">
            <v>25082521.998701155</v>
          </cell>
          <cell r="AP70">
            <v>25635372.57692495</v>
          </cell>
          <cell r="DK70"/>
        </row>
        <row r="71">
          <cell r="B71">
            <v>808785</v>
          </cell>
          <cell r="C71">
            <v>63342553</v>
          </cell>
          <cell r="D71">
            <v>95151425</v>
          </cell>
          <cell r="E71">
            <v>101030322</v>
          </cell>
          <cell r="F71">
            <v>90811260</v>
          </cell>
          <cell r="G71">
            <v>92371029</v>
          </cell>
          <cell r="H71">
            <v>126575151</v>
          </cell>
          <cell r="I71">
            <v>111494709</v>
          </cell>
          <cell r="J71">
            <v>145194734</v>
          </cell>
          <cell r="K71">
            <v>147658797</v>
          </cell>
          <cell r="L71">
            <v>150090658</v>
          </cell>
          <cell r="M71">
            <v>150336910</v>
          </cell>
          <cell r="N71">
            <v>135867416</v>
          </cell>
          <cell r="O71">
            <v>130887285</v>
          </cell>
          <cell r="P71">
            <v>133485081</v>
          </cell>
          <cell r="Q71">
            <v>95833393</v>
          </cell>
          <cell r="R71">
            <v>114301406.64373817</v>
          </cell>
          <cell r="S71">
            <v>111934357.2928541</v>
          </cell>
          <cell r="T71">
            <v>87322837.1273157</v>
          </cell>
          <cell r="U71">
            <v>99621771.395883515</v>
          </cell>
          <cell r="V71">
            <v>98786236.673304528</v>
          </cell>
          <cell r="W71">
            <v>101963452.45301311</v>
          </cell>
          <cell r="X71">
            <v>106881449.69804786</v>
          </cell>
          <cell r="Y71">
            <v>99802002.947552264</v>
          </cell>
          <cell r="Z71">
            <v>97337779.061025664</v>
          </cell>
          <cell r="AA71">
            <v>93454856.195951954</v>
          </cell>
          <cell r="AB71">
            <v>78558557.316256836</v>
          </cell>
          <cell r="AC71">
            <v>63404464.49846109</v>
          </cell>
          <cell r="AD71">
            <v>62057472.324372597</v>
          </cell>
          <cell r="AE71">
            <v>51403196.3040087</v>
          </cell>
          <cell r="AF71">
            <v>30569581.060393609</v>
          </cell>
          <cell r="AG71">
            <v>33949527.642657228</v>
          </cell>
          <cell r="AH71">
            <v>33362028.223447889</v>
          </cell>
          <cell r="AI71">
            <v>27438056.028013065</v>
          </cell>
          <cell r="AJ71">
            <v>27729128.821050435</v>
          </cell>
          <cell r="AK71">
            <v>27841295.12113066</v>
          </cell>
          <cell r="AL71">
            <v>27754142.022674315</v>
          </cell>
          <cell r="AM71">
            <v>27767748.944908731</v>
          </cell>
          <cell r="AN71">
            <v>28224200.055346448</v>
          </cell>
          <cell r="AO71">
            <v>28705872.786316611</v>
          </cell>
          <cell r="AP71">
            <v>29338421.152509019</v>
          </cell>
          <cell r="DK71"/>
        </row>
        <row r="72">
          <cell r="B72">
            <v>522149</v>
          </cell>
          <cell r="C72">
            <v>70300597</v>
          </cell>
          <cell r="D72">
            <v>92581599</v>
          </cell>
          <cell r="E72">
            <v>110954540</v>
          </cell>
          <cell r="F72">
            <v>103350473</v>
          </cell>
          <cell r="G72">
            <v>106492710</v>
          </cell>
          <cell r="H72">
            <v>126257818</v>
          </cell>
          <cell r="I72">
            <v>124324164</v>
          </cell>
          <cell r="J72">
            <v>144637673</v>
          </cell>
          <cell r="K72">
            <v>160888556</v>
          </cell>
          <cell r="L72">
            <v>149356126</v>
          </cell>
          <cell r="M72">
            <v>144396494</v>
          </cell>
          <cell r="N72">
            <v>144286382</v>
          </cell>
          <cell r="O72">
            <v>133835520</v>
          </cell>
          <cell r="P72">
            <v>135031996</v>
          </cell>
          <cell r="Q72">
            <v>131791986.24915777</v>
          </cell>
          <cell r="R72">
            <v>121892905.63593009</v>
          </cell>
          <cell r="S72">
            <v>122289121.48130514</v>
          </cell>
          <cell r="T72">
            <v>96018766.815526187</v>
          </cell>
          <cell r="U72">
            <v>111393326.89138438</v>
          </cell>
          <cell r="V72">
            <v>113219959.76514225</v>
          </cell>
          <cell r="W72">
            <v>112488573.71474865</v>
          </cell>
          <cell r="X72">
            <v>118814240.39004086</v>
          </cell>
          <cell r="Y72">
            <v>111376681.07702474</v>
          </cell>
          <cell r="Z72">
            <v>108901458.25925811</v>
          </cell>
          <cell r="AA72">
            <v>104568995.44832946</v>
          </cell>
          <cell r="AB72">
            <v>87478731.870437697</v>
          </cell>
          <cell r="AC72">
            <v>70744124.19156599</v>
          </cell>
          <cell r="AD72">
            <v>69304292.487537593</v>
          </cell>
          <cell r="AE72">
            <v>57416242.345070548</v>
          </cell>
          <cell r="AF72">
            <v>34130016.256508559</v>
          </cell>
          <cell r="AG72">
            <v>37876385.689659461</v>
          </cell>
          <cell r="AH72">
            <v>37243943.818960853</v>
          </cell>
          <cell r="AI72">
            <v>30635596.330887821</v>
          </cell>
          <cell r="AJ72">
            <v>30958260.082361247</v>
          </cell>
          <cell r="AK72">
            <v>31078575.690346614</v>
          </cell>
          <cell r="AL72">
            <v>30980195.755365957</v>
          </cell>
          <cell r="AM72">
            <v>30999108.0758458</v>
          </cell>
          <cell r="AN72">
            <v>31508769.552715477</v>
          </cell>
          <cell r="AO72">
            <v>32045578.07429985</v>
          </cell>
          <cell r="AP72">
            <v>32751078.082785845</v>
          </cell>
          <cell r="DK72"/>
        </row>
        <row r="73">
          <cell r="B73">
            <v>485714</v>
          </cell>
          <cell r="C73">
            <v>77560283</v>
          </cell>
          <cell r="D73">
            <v>107554758</v>
          </cell>
          <cell r="E73">
            <v>118930694</v>
          </cell>
          <cell r="F73">
            <v>109855624</v>
          </cell>
          <cell r="G73">
            <v>121530326</v>
          </cell>
          <cell r="H73">
            <v>135261004</v>
          </cell>
          <cell r="I73">
            <v>147074058</v>
          </cell>
          <cell r="J73">
            <v>166235446</v>
          </cell>
          <cell r="K73">
            <v>164042436</v>
          </cell>
          <cell r="L73">
            <v>143174223</v>
          </cell>
          <cell r="M73">
            <v>150501950</v>
          </cell>
          <cell r="N73">
            <v>139875243</v>
          </cell>
          <cell r="O73">
            <v>163593533</v>
          </cell>
          <cell r="P73">
            <v>142081952</v>
          </cell>
          <cell r="Q73">
            <v>137817630.89019856</v>
          </cell>
          <cell r="R73">
            <v>129766553.07013708</v>
          </cell>
          <cell r="S73">
            <v>130779197.61732134</v>
          </cell>
          <cell r="T73">
            <v>104833421.36076534</v>
          </cell>
          <cell r="U73">
            <v>118413201.74282238</v>
          </cell>
          <cell r="V73">
            <v>120638216.89668246</v>
          </cell>
          <cell r="W73">
            <v>120378611.99403523</v>
          </cell>
          <cell r="X73">
            <v>127292580.98696111</v>
          </cell>
          <cell r="Y73">
            <v>119371961.24934368</v>
          </cell>
          <cell r="Z73">
            <v>116350119.27114092</v>
          </cell>
          <cell r="AA73">
            <v>111832266.36716108</v>
          </cell>
          <cell r="AB73">
            <v>93625065.521601304</v>
          </cell>
          <cell r="AC73">
            <v>75716468.718552843</v>
          </cell>
          <cell r="AD73">
            <v>74157169.789209753</v>
          </cell>
          <cell r="AE73">
            <v>61411117.91840329</v>
          </cell>
          <cell r="AF73">
            <v>36515948.523488037</v>
          </cell>
          <cell r="AG73">
            <v>40529777.402080804</v>
          </cell>
          <cell r="AH73">
            <v>39850528.837245993</v>
          </cell>
          <cell r="AI73">
            <v>32776933.286828984</v>
          </cell>
          <cell r="AJ73">
            <v>33120783.036311284</v>
          </cell>
          <cell r="AK73">
            <v>33252379.61661933</v>
          </cell>
          <cell r="AL73">
            <v>33147359.576819479</v>
          </cell>
          <cell r="AM73">
            <v>33166859.407704063</v>
          </cell>
          <cell r="AN73">
            <v>33711726.135068618</v>
          </cell>
          <cell r="AO73">
            <v>34286183.663658626</v>
          </cell>
          <cell r="AP73">
            <v>35041442.155736245</v>
          </cell>
          <cell r="DK73"/>
        </row>
        <row r="74">
          <cell r="B74">
            <v>637838</v>
          </cell>
          <cell r="C74">
            <v>77783252</v>
          </cell>
          <cell r="D74">
            <v>106613644</v>
          </cell>
          <cell r="E74">
            <v>117472586</v>
          </cell>
          <cell r="F74">
            <v>113250338</v>
          </cell>
          <cell r="G74">
            <v>130919551</v>
          </cell>
          <cell r="H74">
            <v>142561451</v>
          </cell>
          <cell r="I74">
            <v>145011076</v>
          </cell>
          <cell r="J74">
            <v>160548223</v>
          </cell>
          <cell r="K74">
            <v>144102423</v>
          </cell>
          <cell r="L74">
            <v>165519330</v>
          </cell>
          <cell r="M74">
            <v>154457118</v>
          </cell>
          <cell r="N74">
            <v>142855221</v>
          </cell>
          <cell r="O74">
            <v>153006295</v>
          </cell>
          <cell r="P74">
            <v>132929485</v>
          </cell>
          <cell r="Q74">
            <v>139596321.19621357</v>
          </cell>
          <cell r="R74">
            <v>127816904.80437458</v>
          </cell>
          <cell r="S74">
            <v>127674341.35939272</v>
          </cell>
          <cell r="T74">
            <v>101406344.05221833</v>
          </cell>
          <cell r="U74">
            <v>115503631.64849998</v>
          </cell>
          <cell r="V74">
            <v>118772689.92453365</v>
          </cell>
          <cell r="W74">
            <v>117738407.09695759</v>
          </cell>
          <cell r="X74">
            <v>124308963.57834576</v>
          </cell>
          <cell r="Y74">
            <v>116581969.68812892</v>
          </cell>
          <cell r="Z74">
            <v>113818284.42416462</v>
          </cell>
          <cell r="AA74">
            <v>109460365.50673983</v>
          </cell>
          <cell r="AB74">
            <v>91530302.498232603</v>
          </cell>
          <cell r="AC74">
            <v>74015313.860589266</v>
          </cell>
          <cell r="AD74">
            <v>72508792.239086553</v>
          </cell>
          <cell r="AE74">
            <v>60063842.875133798</v>
          </cell>
          <cell r="AF74">
            <v>35713023.028432705</v>
          </cell>
          <cell r="AG74">
            <v>39628254.266579494</v>
          </cell>
          <cell r="AH74">
            <v>38965802.95600643</v>
          </cell>
          <cell r="AI74">
            <v>32051867.090784077</v>
          </cell>
          <cell r="AJ74">
            <v>32389354.656997025</v>
          </cell>
          <cell r="AK74">
            <v>32516424.686103303</v>
          </cell>
          <cell r="AL74">
            <v>32412757.810343415</v>
          </cell>
          <cell r="AM74">
            <v>32432464.070917565</v>
          </cell>
          <cell r="AN74">
            <v>32965742.414035406</v>
          </cell>
          <cell r="AO74">
            <v>33527440.334387213</v>
          </cell>
          <cell r="AP74">
            <v>34265666.269287564</v>
          </cell>
          <cell r="DK74"/>
        </row>
        <row r="75">
          <cell r="B75">
            <v>34054859</v>
          </cell>
          <cell r="C75">
            <v>86877103</v>
          </cell>
          <cell r="D75">
            <v>97342403</v>
          </cell>
          <cell r="E75">
            <v>128278779</v>
          </cell>
          <cell r="F75">
            <v>128017921</v>
          </cell>
          <cell r="G75">
            <v>129173039</v>
          </cell>
          <cell r="H75">
            <v>137963278</v>
          </cell>
          <cell r="I75">
            <v>150290364</v>
          </cell>
          <cell r="J75">
            <v>169779870</v>
          </cell>
          <cell r="K75">
            <v>169452631</v>
          </cell>
          <cell r="L75">
            <v>162738265</v>
          </cell>
          <cell r="M75">
            <v>146890338</v>
          </cell>
          <cell r="N75">
            <v>137545866</v>
          </cell>
          <cell r="O75">
            <v>142593233</v>
          </cell>
          <cell r="P75">
            <v>144952117</v>
          </cell>
          <cell r="Q75">
            <v>136977353.88914844</v>
          </cell>
          <cell r="R75">
            <v>125361596.77078378</v>
          </cell>
          <cell r="S75">
            <v>126065298.59349771</v>
          </cell>
          <cell r="T75">
            <v>100650848.29994829</v>
          </cell>
          <cell r="U75">
            <v>116344794.60040227</v>
          </cell>
          <cell r="V75">
            <v>117492258.72953446</v>
          </cell>
          <cell r="W75">
            <v>116690999.91890374</v>
          </cell>
          <cell r="X75">
            <v>123485105.04889673</v>
          </cell>
          <cell r="Y75">
            <v>115963265.86554125</v>
          </cell>
          <cell r="Z75">
            <v>113255967.61827384</v>
          </cell>
          <cell r="AA75">
            <v>108658192.72482264</v>
          </cell>
          <cell r="AB75">
            <v>90924021.410994276</v>
          </cell>
          <cell r="AC75">
            <v>73560681.923794791</v>
          </cell>
          <cell r="AD75">
            <v>72072065.37405178</v>
          </cell>
          <cell r="AE75">
            <v>59691204.296542525</v>
          </cell>
          <cell r="AF75">
            <v>35478856.393966667</v>
          </cell>
          <cell r="AG75">
            <v>39378440.986737452</v>
          </cell>
          <cell r="AH75">
            <v>38724212.753602996</v>
          </cell>
          <cell r="AI75">
            <v>31852589.679514892</v>
          </cell>
          <cell r="AJ75">
            <v>32185768.911333382</v>
          </cell>
          <cell r="AK75">
            <v>32311149.362391438</v>
          </cell>
          <cell r="AL75">
            <v>32209745.326823406</v>
          </cell>
          <cell r="AM75">
            <v>32229637.889737874</v>
          </cell>
          <cell r="AN75">
            <v>32759154.547360282</v>
          </cell>
          <cell r="AO75">
            <v>33317006.187705301</v>
          </cell>
          <cell r="AP75">
            <v>34050660.30783283</v>
          </cell>
          <cell r="DK75"/>
        </row>
        <row r="76">
          <cell r="B76">
            <v>28833177</v>
          </cell>
          <cell r="C76">
            <v>100747046</v>
          </cell>
          <cell r="D76">
            <v>96254350</v>
          </cell>
          <cell r="E76">
            <v>129887145</v>
          </cell>
          <cell r="F76">
            <v>127377367</v>
          </cell>
          <cell r="G76">
            <v>125600893</v>
          </cell>
          <cell r="H76">
            <v>161632981</v>
          </cell>
          <cell r="I76">
            <v>157536696</v>
          </cell>
          <cell r="J76">
            <v>180631297</v>
          </cell>
          <cell r="K76">
            <v>153598697</v>
          </cell>
          <cell r="L76">
            <v>171493499</v>
          </cell>
          <cell r="M76">
            <v>154582245</v>
          </cell>
          <cell r="N76">
            <v>151833118</v>
          </cell>
          <cell r="O76">
            <v>152345476</v>
          </cell>
          <cell r="P76">
            <v>138321175</v>
          </cell>
          <cell r="Q76">
            <v>143289233.95318782</v>
          </cell>
          <cell r="R76">
            <v>130916081.05035864</v>
          </cell>
          <cell r="S76">
            <v>131433918.3824055</v>
          </cell>
          <cell r="T76">
            <v>103681957.97008775</v>
          </cell>
          <cell r="U76">
            <v>118846941.10506542</v>
          </cell>
          <cell r="V76">
            <v>121910977.68815117</v>
          </cell>
          <cell r="W76">
            <v>120848488.13724701</v>
          </cell>
          <cell r="X76">
            <v>127651891.20661637</v>
          </cell>
          <cell r="Y76">
            <v>119651288.00815092</v>
          </cell>
          <cell r="Z76">
            <v>116890508.74994811</v>
          </cell>
          <cell r="AA76">
            <v>112373192.20277996</v>
          </cell>
          <cell r="AB76">
            <v>93969511.142762333</v>
          </cell>
          <cell r="AC76">
            <v>75991431.991849646</v>
          </cell>
          <cell r="AD76">
            <v>74441240.49118939</v>
          </cell>
          <cell r="AE76">
            <v>61669530.810047463</v>
          </cell>
          <cell r="AF76">
            <v>36665153.578596629</v>
          </cell>
          <cell r="AG76">
            <v>40685414.428262427</v>
          </cell>
          <cell r="AH76">
            <v>40005641.844131738</v>
          </cell>
          <cell r="AI76">
            <v>32907077.763657194</v>
          </cell>
          <cell r="AJ76">
            <v>33253921.295223381</v>
          </cell>
          <cell r="AK76">
            <v>33383945.108255003</v>
          </cell>
          <cell r="AL76">
            <v>33277636.783196837</v>
          </cell>
          <cell r="AM76">
            <v>33297917.420431193</v>
          </cell>
          <cell r="AN76">
            <v>33845417.055991583</v>
          </cell>
          <cell r="AO76">
            <v>34422119.610067606</v>
          </cell>
          <cell r="AP76">
            <v>35179991.315252721</v>
          </cell>
          <cell r="DK76"/>
        </row>
        <row r="77">
          <cell r="B77">
            <v>35676995</v>
          </cell>
          <cell r="C77">
            <v>114082130</v>
          </cell>
          <cell r="D77">
            <v>81339106</v>
          </cell>
          <cell r="E77">
            <v>127580018</v>
          </cell>
          <cell r="F77">
            <v>124535190</v>
          </cell>
          <cell r="G77">
            <v>117829158</v>
          </cell>
          <cell r="H77">
            <v>146610102</v>
          </cell>
          <cell r="I77">
            <v>148333215</v>
          </cell>
          <cell r="J77">
            <v>157006356</v>
          </cell>
          <cell r="K77">
            <v>143659811</v>
          </cell>
          <cell r="L77">
            <v>167865219</v>
          </cell>
          <cell r="M77">
            <v>139934774</v>
          </cell>
          <cell r="N77">
            <v>141860945</v>
          </cell>
          <cell r="O77">
            <v>143870897</v>
          </cell>
          <cell r="P77">
            <v>132214867</v>
          </cell>
          <cell r="Q77">
            <v>135304452.47691944</v>
          </cell>
          <cell r="R77">
            <v>122572542.30596884</v>
          </cell>
          <cell r="S77">
            <v>123936831.90819335</v>
          </cell>
          <cell r="T77">
            <v>97963149.874461755</v>
          </cell>
          <cell r="U77">
            <v>112304818.78177434</v>
          </cell>
          <cell r="V77">
            <v>114907565.04846516</v>
          </cell>
          <cell r="W77">
            <v>113856970.1359885</v>
          </cell>
          <cell r="X77">
            <v>120431400.6916357</v>
          </cell>
          <cell r="Y77">
            <v>112895989.23649925</v>
          </cell>
          <cell r="Z77">
            <v>110265184.10257353</v>
          </cell>
          <cell r="AA77">
            <v>105967973.04838485</v>
          </cell>
          <cell r="AB77">
            <v>88621872.604662016</v>
          </cell>
          <cell r="AC77">
            <v>71682110.672528967</v>
          </cell>
          <cell r="AD77">
            <v>70217188.842392638</v>
          </cell>
          <cell r="AE77">
            <v>58165746.722474903</v>
          </cell>
          <cell r="AF77">
            <v>34580615.015596285</v>
          </cell>
          <cell r="AG77">
            <v>38374259.712400436</v>
          </cell>
          <cell r="AH77">
            <v>37734436.348292552</v>
          </cell>
          <cell r="AI77">
            <v>31038240.072097998</v>
          </cell>
          <cell r="AJ77">
            <v>31364826.100315414</v>
          </cell>
          <cell r="AK77">
            <v>31487545.255584102</v>
          </cell>
          <cell r="AL77">
            <v>31387598.449853819</v>
          </cell>
          <cell r="AM77">
            <v>31406801.185355742</v>
          </cell>
          <cell r="AN77">
            <v>31923029.354396719</v>
          </cell>
          <cell r="AO77">
            <v>32466923.571955193</v>
          </cell>
          <cell r="AP77">
            <v>33181800.741670121</v>
          </cell>
          <cell r="DK77"/>
        </row>
        <row r="78">
          <cell r="B78">
            <v>36783265</v>
          </cell>
          <cell r="C78">
            <v>111790839</v>
          </cell>
          <cell r="D78">
            <v>80600435</v>
          </cell>
          <cell r="E78">
            <v>130088019</v>
          </cell>
          <cell r="F78">
            <v>121329751</v>
          </cell>
          <cell r="G78">
            <v>105019500</v>
          </cell>
          <cell r="H78">
            <v>143064387</v>
          </cell>
          <cell r="I78">
            <v>149347918</v>
          </cell>
          <cell r="J78">
            <v>170944979</v>
          </cell>
          <cell r="K78">
            <v>146618360</v>
          </cell>
          <cell r="L78">
            <v>149489760</v>
          </cell>
          <cell r="M78">
            <v>139778878</v>
          </cell>
          <cell r="N78">
            <v>138040230</v>
          </cell>
          <cell r="O78">
            <v>144087366</v>
          </cell>
          <cell r="P78">
            <v>147491702</v>
          </cell>
          <cell r="Q78">
            <v>134025739.70324802</v>
          </cell>
          <cell r="R78">
            <v>124382872.26247028</v>
          </cell>
          <cell r="S78">
            <v>126174916.54740903</v>
          </cell>
          <cell r="T78">
            <v>100682564.20731442</v>
          </cell>
          <cell r="U78">
            <v>116115517.25071931</v>
          </cell>
          <cell r="V78">
            <v>116712415.42931686</v>
          </cell>
          <cell r="W78">
            <v>116323248.07050106</v>
          </cell>
          <cell r="X78">
            <v>123220796.42813019</v>
          </cell>
          <cell r="Y78">
            <v>115638486.79446085</v>
          </cell>
          <cell r="Z78">
            <v>112878568.26040928</v>
          </cell>
          <cell r="AA78">
            <v>108266784.97988857</v>
          </cell>
          <cell r="AB78">
            <v>90652588.535217166</v>
          </cell>
          <cell r="AC78">
            <v>73343666.945004359</v>
          </cell>
          <cell r="AD78">
            <v>71845096.712966993</v>
          </cell>
          <cell r="AE78">
            <v>59497963.919417813</v>
          </cell>
          <cell r="AF78">
            <v>35364941.589777298</v>
          </cell>
          <cell r="AG78">
            <v>39257054.123647079</v>
          </cell>
          <cell r="AH78">
            <v>38603619.850421131</v>
          </cell>
          <cell r="AI78">
            <v>31751829.802677687</v>
          </cell>
          <cell r="AJ78">
            <v>32083795.3165773</v>
          </cell>
          <cell r="AK78">
            <v>32209528.331847917</v>
          </cell>
          <cell r="AL78">
            <v>32108873.618052717</v>
          </cell>
          <cell r="AM78">
            <v>32128331.047857922</v>
          </cell>
          <cell r="AN78">
            <v>32655953.421717301</v>
          </cell>
          <cell r="AO78">
            <v>33212133.111051768</v>
          </cell>
          <cell r="AP78">
            <v>33943616.186458252</v>
          </cell>
          <cell r="DK78"/>
        </row>
        <row r="79">
          <cell r="B79">
            <v>30710824</v>
          </cell>
          <cell r="C79">
            <v>105277138</v>
          </cell>
          <cell r="D79">
            <v>67979938</v>
          </cell>
          <cell r="E79">
            <v>110331788</v>
          </cell>
          <cell r="F79">
            <v>97332075</v>
          </cell>
          <cell r="G79">
            <v>96476718</v>
          </cell>
          <cell r="H79">
            <v>139703517</v>
          </cell>
          <cell r="I79">
            <v>147829945</v>
          </cell>
          <cell r="J79">
            <v>150780540</v>
          </cell>
          <cell r="K79">
            <v>119139678</v>
          </cell>
          <cell r="L79">
            <v>142828517</v>
          </cell>
          <cell r="M79">
            <v>140856752</v>
          </cell>
          <cell r="N79">
            <v>141295576</v>
          </cell>
          <cell r="O79">
            <v>135022031</v>
          </cell>
          <cell r="P79">
            <v>133073995</v>
          </cell>
          <cell r="Q79">
            <v>129213658.56247669</v>
          </cell>
          <cell r="R79">
            <v>120145810.83906877</v>
          </cell>
          <cell r="S79">
            <v>120805944.43290494</v>
          </cell>
          <cell r="T79">
            <v>95038972.472854599</v>
          </cell>
          <cell r="U79">
            <v>109788301.75630318</v>
          </cell>
          <cell r="V79">
            <v>111591017.02713788</v>
          </cell>
          <cell r="W79">
            <v>111006017.23645702</v>
          </cell>
          <cell r="X79">
            <v>117278389.90295777</v>
          </cell>
          <cell r="Y79">
            <v>109917278.80385731</v>
          </cell>
          <cell r="Z79">
            <v>107421052.02086894</v>
          </cell>
          <cell r="AA79">
            <v>103164285.40928303</v>
          </cell>
          <cell r="AB79">
            <v>86320592.076879427</v>
          </cell>
          <cell r="AC79">
            <v>69806644.350980893</v>
          </cell>
          <cell r="AD79">
            <v>68380349.313933283</v>
          </cell>
          <cell r="AE79">
            <v>56647475.159966715</v>
          </cell>
          <cell r="AF79">
            <v>33674989.543819301</v>
          </cell>
          <cell r="AG79">
            <v>37372667.700019091</v>
          </cell>
          <cell r="AH79">
            <v>36747912.484966658</v>
          </cell>
          <cell r="AI79">
            <v>30226964.882757839</v>
          </cell>
          <cell r="AJ79">
            <v>30545251.233862162</v>
          </cell>
          <cell r="AK79">
            <v>30664468.706297193</v>
          </cell>
          <cell r="AL79">
            <v>30567447.781337548</v>
          </cell>
          <cell r="AM79">
            <v>30585933.259245329</v>
          </cell>
          <cell r="AN79">
            <v>31088724.560799327</v>
          </cell>
          <cell r="AO79">
            <v>31618423.586942941</v>
          </cell>
          <cell r="AP79">
            <v>32314592.314608969</v>
          </cell>
          <cell r="DK79"/>
        </row>
        <row r="80">
          <cell r="B80">
            <v>32417898</v>
          </cell>
          <cell r="C80">
            <v>150743545</v>
          </cell>
          <cell r="D80">
            <v>58155836</v>
          </cell>
          <cell r="E80">
            <v>158363160</v>
          </cell>
          <cell r="F80">
            <v>163494776</v>
          </cell>
          <cell r="G80">
            <v>110100066</v>
          </cell>
          <cell r="H80">
            <v>187163249</v>
          </cell>
          <cell r="I80">
            <v>162595163</v>
          </cell>
          <cell r="J80">
            <v>183329377</v>
          </cell>
          <cell r="K80">
            <v>139601581</v>
          </cell>
          <cell r="L80">
            <v>175881221</v>
          </cell>
          <cell r="M80">
            <v>165708240</v>
          </cell>
          <cell r="N80">
            <v>145591401</v>
          </cell>
          <cell r="O80">
            <v>135716325</v>
          </cell>
          <cell r="P80">
            <v>174669226</v>
          </cell>
          <cell r="Q80">
            <v>257708565.14586091</v>
          </cell>
          <cell r="R80">
            <v>137135371.71240735</v>
          </cell>
          <cell r="S80">
            <v>156028924.25371695</v>
          </cell>
          <cell r="T80">
            <v>128243865.93361497</v>
          </cell>
          <cell r="U80">
            <v>156675742.89320016</v>
          </cell>
          <cell r="V80">
            <v>162205422.22578073</v>
          </cell>
          <cell r="W80">
            <v>147436286.37179971</v>
          </cell>
          <cell r="X80">
            <v>160567598.28760839</v>
          </cell>
          <cell r="Y80">
            <v>132379850.15611649</v>
          </cell>
          <cell r="Z80">
            <v>138753757.94486952</v>
          </cell>
          <cell r="AA80">
            <v>131254530.03036618</v>
          </cell>
          <cell r="AB80">
            <v>111739996.39613211</v>
          </cell>
          <cell r="AC80">
            <v>89864723.225916266</v>
          </cell>
          <cell r="AD80">
            <v>86652655.86207056</v>
          </cell>
          <cell r="AE80">
            <v>72684106.358076572</v>
          </cell>
          <cell r="AF80">
            <v>43127403.583538473</v>
          </cell>
          <cell r="AG80">
            <v>47965980.888928294</v>
          </cell>
          <cell r="AH80">
            <v>47032594.043637335</v>
          </cell>
          <cell r="AI80">
            <v>38618953.430149376</v>
          </cell>
          <cell r="AJ80">
            <v>39137372.258665383</v>
          </cell>
          <cell r="AK80">
            <v>39271537.727887392</v>
          </cell>
          <cell r="AL80">
            <v>39147222.456198752</v>
          </cell>
          <cell r="AM80">
            <v>39150969.880105853</v>
          </cell>
          <cell r="AN80">
            <v>39795762.014315486</v>
          </cell>
          <cell r="AO80">
            <v>40488998.933273315</v>
          </cell>
          <cell r="AP80">
            <v>41375746.977975965</v>
          </cell>
          <cell r="DK80"/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</row>
        <row r="86">
          <cell r="B86">
            <v>0</v>
          </cell>
          <cell r="C86">
            <v>0</v>
          </cell>
          <cell r="D86">
            <v>86797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</row>
        <row r="87">
          <cell r="B87">
            <v>0</v>
          </cell>
          <cell r="C87">
            <v>0</v>
          </cell>
          <cell r="D87">
            <v>1129187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</row>
        <row r="89">
          <cell r="B89">
            <v>0</v>
          </cell>
          <cell r="C89">
            <v>0</v>
          </cell>
          <cell r="D89">
            <v>4864398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1511102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</row>
        <row r="94">
          <cell r="B94">
            <v>0</v>
          </cell>
          <cell r="C94">
            <v>0</v>
          </cell>
          <cell r="D94">
            <v>701526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1279661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</row>
        <row r="101">
          <cell r="B101">
            <v>0</v>
          </cell>
          <cell r="C101">
            <v>2636424</v>
          </cell>
          <cell r="D101">
            <v>1038381</v>
          </cell>
          <cell r="E101">
            <v>975984</v>
          </cell>
          <cell r="F101">
            <v>1981954</v>
          </cell>
          <cell r="G101">
            <v>8626445</v>
          </cell>
          <cell r="H101">
            <v>20718362</v>
          </cell>
          <cell r="I101">
            <v>21190089</v>
          </cell>
          <cell r="J101">
            <v>10696089</v>
          </cell>
          <cell r="K101">
            <v>11809234</v>
          </cell>
          <cell r="L101">
            <v>13737888</v>
          </cell>
          <cell r="M101">
            <v>8536219</v>
          </cell>
          <cell r="N101">
            <v>12701046</v>
          </cell>
          <cell r="O101">
            <v>24582474</v>
          </cell>
          <cell r="P101">
            <v>40314733</v>
          </cell>
          <cell r="Q101">
            <v>3135355</v>
          </cell>
          <cell r="R101">
            <v>10025806.092925757</v>
          </cell>
          <cell r="S101">
            <v>10847888.627231512</v>
          </cell>
          <cell r="T101">
            <v>11977678.325456975</v>
          </cell>
          <cell r="U101">
            <v>12452286.649546627</v>
          </cell>
          <cell r="V101">
            <v>9522199.4699888881</v>
          </cell>
          <cell r="W101">
            <v>10861726.815737216</v>
          </cell>
          <cell r="X101">
            <v>9792350.1654746588</v>
          </cell>
          <cell r="Y101">
            <v>9186096.6885203607</v>
          </cell>
          <cell r="Z101">
            <v>8803461.6146814134</v>
          </cell>
          <cell r="AA101">
            <v>7823891.9398014285</v>
          </cell>
          <cell r="AB101">
            <v>6601943.7586316494</v>
          </cell>
          <cell r="AC101">
            <v>5560301.6268048445</v>
          </cell>
          <cell r="AD101">
            <v>4526904.1146484409</v>
          </cell>
          <cell r="AE101">
            <v>3757500.3445001254</v>
          </cell>
          <cell r="AF101">
            <v>3752726.7855380289</v>
          </cell>
          <cell r="AG101">
            <v>3781152.5984567325</v>
          </cell>
          <cell r="AH101">
            <v>3772691.553520266</v>
          </cell>
          <cell r="AI101">
            <v>3767495.268589153</v>
          </cell>
          <cell r="AJ101">
            <v>3766313.3101208615</v>
          </cell>
          <cell r="AK101">
            <v>3768075.9032450086</v>
          </cell>
          <cell r="AL101">
            <v>3771145.7267864048</v>
          </cell>
          <cell r="AM101">
            <v>3769144.3524523387</v>
          </cell>
          <cell r="AN101">
            <v>3768434.9122387529</v>
          </cell>
          <cell r="AO101">
            <v>3768622.8409686736</v>
          </cell>
          <cell r="AP101">
            <v>3769084.7471382362</v>
          </cell>
          <cell r="DK101"/>
        </row>
        <row r="102">
          <cell r="B102">
            <v>0</v>
          </cell>
          <cell r="C102">
            <v>1336045</v>
          </cell>
          <cell r="D102">
            <v>4022017</v>
          </cell>
          <cell r="E102">
            <v>3073611</v>
          </cell>
          <cell r="F102">
            <v>3782463</v>
          </cell>
          <cell r="G102">
            <v>5025091</v>
          </cell>
          <cell r="H102">
            <v>13775403</v>
          </cell>
          <cell r="I102">
            <v>29772126</v>
          </cell>
          <cell r="J102">
            <v>11584681</v>
          </cell>
          <cell r="K102">
            <v>10968228</v>
          </cell>
          <cell r="L102">
            <v>11466902</v>
          </cell>
          <cell r="M102">
            <v>7661613</v>
          </cell>
          <cell r="N102">
            <v>6743825</v>
          </cell>
          <cell r="O102">
            <v>40796313</v>
          </cell>
          <cell r="P102">
            <v>51955632</v>
          </cell>
          <cell r="Q102">
            <v>6409113</v>
          </cell>
          <cell r="R102">
            <v>12754540.988961799</v>
          </cell>
          <cell r="S102">
            <v>14182597.242042266</v>
          </cell>
          <cell r="T102">
            <v>16988271.552466348</v>
          </cell>
          <cell r="U102">
            <v>16693603.390226046</v>
          </cell>
          <cell r="V102">
            <v>13176469.247820672</v>
          </cell>
          <cell r="W102">
            <v>14619859.725017546</v>
          </cell>
          <cell r="X102">
            <v>13310696.499943377</v>
          </cell>
          <cell r="Y102">
            <v>12581310.350266652</v>
          </cell>
          <cell r="Z102">
            <v>11958096.468274761</v>
          </cell>
          <cell r="AA102">
            <v>10663379.864580387</v>
          </cell>
          <cell r="AB102">
            <v>8969764.5661756862</v>
          </cell>
          <cell r="AC102">
            <v>7572643.416067658</v>
          </cell>
          <cell r="AD102">
            <v>6168301.35083823</v>
          </cell>
          <cell r="AE102">
            <v>5112652.5187146682</v>
          </cell>
          <cell r="AF102">
            <v>5108859.5198730035</v>
          </cell>
          <cell r="AG102">
            <v>5145659.5893233195</v>
          </cell>
          <cell r="AH102">
            <v>5136726.422614743</v>
          </cell>
          <cell r="AI102">
            <v>5129269.1156469164</v>
          </cell>
          <cell r="AJ102">
            <v>5126633.4332345305</v>
          </cell>
          <cell r="AK102">
            <v>5129429.616138503</v>
          </cell>
          <cell r="AL102">
            <v>5133543.6353916023</v>
          </cell>
          <cell r="AM102">
            <v>5131120.4446052592</v>
          </cell>
          <cell r="AN102">
            <v>5129999.2490033628</v>
          </cell>
          <cell r="AO102">
            <v>5130145.2756746514</v>
          </cell>
          <cell r="AP102">
            <v>5130847.6441626763</v>
          </cell>
          <cell r="DK102"/>
        </row>
        <row r="103">
          <cell r="B103">
            <v>0</v>
          </cell>
          <cell r="C103">
            <v>4627645</v>
          </cell>
          <cell r="D103">
            <v>4310074</v>
          </cell>
          <cell r="E103">
            <v>9369422</v>
          </cell>
          <cell r="F103">
            <v>13088434</v>
          </cell>
          <cell r="G103">
            <v>8540515</v>
          </cell>
          <cell r="H103">
            <v>8682557</v>
          </cell>
          <cell r="I103">
            <v>40549915</v>
          </cell>
          <cell r="J103">
            <v>15643523</v>
          </cell>
          <cell r="K103">
            <v>12055979</v>
          </cell>
          <cell r="L103">
            <v>18577254</v>
          </cell>
          <cell r="M103">
            <v>15146974</v>
          </cell>
          <cell r="N103">
            <v>22680677</v>
          </cell>
          <cell r="O103">
            <v>44788401</v>
          </cell>
          <cell r="P103">
            <v>29890832</v>
          </cell>
          <cell r="Q103">
            <v>3901575</v>
          </cell>
          <cell r="R103">
            <v>13073719.046305515</v>
          </cell>
          <cell r="S103">
            <v>13665751.06353388</v>
          </cell>
          <cell r="T103">
            <v>14189017.273756305</v>
          </cell>
          <cell r="U103">
            <v>12194340.486072693</v>
          </cell>
          <cell r="V103">
            <v>11209925.350447634</v>
          </cell>
          <cell r="W103">
            <v>12745168.090777704</v>
          </cell>
          <cell r="X103">
            <v>11259998.546547925</v>
          </cell>
          <cell r="Y103">
            <v>10362356.032306923</v>
          </cell>
          <cell r="Z103">
            <v>9815595.1345405392</v>
          </cell>
          <cell r="AA103">
            <v>8997854.725623671</v>
          </cell>
          <cell r="AB103">
            <v>7555766.5889328737</v>
          </cell>
          <cell r="AC103">
            <v>6322242.8899098346</v>
          </cell>
          <cell r="AD103">
            <v>5132242.8919446962</v>
          </cell>
          <cell r="AE103">
            <v>4265831.0786787532</v>
          </cell>
          <cell r="AF103">
            <v>4284151.085188915</v>
          </cell>
          <cell r="AG103">
            <v>4306286.6460398547</v>
          </cell>
          <cell r="AH103">
            <v>4290133.1632521274</v>
          </cell>
          <cell r="AI103">
            <v>4284354.7817508355</v>
          </cell>
          <cell r="AJ103">
            <v>4286151.350982097</v>
          </cell>
          <cell r="AK103">
            <v>4290215.405442765</v>
          </cell>
          <cell r="AL103">
            <v>4291428.2694935352</v>
          </cell>
          <cell r="AM103">
            <v>4288456.594184272</v>
          </cell>
          <cell r="AN103">
            <v>4288121.2803707002</v>
          </cell>
          <cell r="AO103">
            <v>4288874.5800946746</v>
          </cell>
          <cell r="AP103">
            <v>4289419.2259171894</v>
          </cell>
          <cell r="DK103"/>
        </row>
        <row r="104">
          <cell r="B104">
            <v>0</v>
          </cell>
          <cell r="C104">
            <v>2211755</v>
          </cell>
          <cell r="D104">
            <v>2657742</v>
          </cell>
          <cell r="E104">
            <v>4789267</v>
          </cell>
          <cell r="F104">
            <v>5759471</v>
          </cell>
          <cell r="G104">
            <v>12071285</v>
          </cell>
          <cell r="H104">
            <v>29184344</v>
          </cell>
          <cell r="I104">
            <v>20854252</v>
          </cell>
          <cell r="J104">
            <v>15936188</v>
          </cell>
          <cell r="K104">
            <v>21520142</v>
          </cell>
          <cell r="L104">
            <v>18683140</v>
          </cell>
          <cell r="M104">
            <v>17336621</v>
          </cell>
          <cell r="N104">
            <v>29873220</v>
          </cell>
          <cell r="O104">
            <v>34964458</v>
          </cell>
          <cell r="P104">
            <v>48290339</v>
          </cell>
          <cell r="Q104">
            <v>32480444.956097625</v>
          </cell>
          <cell r="R104">
            <v>18300201.315653235</v>
          </cell>
          <cell r="S104">
            <v>19590947.583573449</v>
          </cell>
          <cell r="T104">
            <v>20696940.348730329</v>
          </cell>
          <cell r="U104">
            <v>22743163.925226785</v>
          </cell>
          <cell r="V104">
            <v>22373239.803192075</v>
          </cell>
          <cell r="W104">
            <v>20545229.740602769</v>
          </cell>
          <cell r="X104">
            <v>18639267.653936878</v>
          </cell>
          <cell r="Y104">
            <v>17663188.284957003</v>
          </cell>
          <cell r="Z104">
            <v>17323995.77318953</v>
          </cell>
          <cell r="AA104">
            <v>15682423.757300021</v>
          </cell>
          <cell r="AB104">
            <v>12766157.024369624</v>
          </cell>
          <cell r="AC104">
            <v>10812279.729715971</v>
          </cell>
          <cell r="AD104">
            <v>8850760.2798117809</v>
          </cell>
          <cell r="AE104">
            <v>7379956.7553819856</v>
          </cell>
          <cell r="AF104">
            <v>7366138.6123777954</v>
          </cell>
          <cell r="AG104">
            <v>7371139.4377589291</v>
          </cell>
          <cell r="AH104">
            <v>7372989.6732434928</v>
          </cell>
          <cell r="AI104">
            <v>7373266.2997257663</v>
          </cell>
          <cell r="AJ104">
            <v>7372698.1556975935</v>
          </cell>
          <cell r="AK104">
            <v>7371246.435760716</v>
          </cell>
          <cell r="AL104">
            <v>7372268.0004373007</v>
          </cell>
          <cell r="AM104">
            <v>7372493.7129729744</v>
          </cell>
          <cell r="AN104">
            <v>7372394.5209188703</v>
          </cell>
          <cell r="AO104">
            <v>7372220.1651574913</v>
          </cell>
          <cell r="AP104">
            <v>7372124.5670494707</v>
          </cell>
          <cell r="DK104"/>
        </row>
        <row r="105">
          <cell r="B105">
            <v>0</v>
          </cell>
          <cell r="C105">
            <v>2249922</v>
          </cell>
          <cell r="D105">
            <v>2132126</v>
          </cell>
          <cell r="E105">
            <v>10033114</v>
          </cell>
          <cell r="F105">
            <v>4860083</v>
          </cell>
          <cell r="G105">
            <v>14419954</v>
          </cell>
          <cell r="H105">
            <v>33741590</v>
          </cell>
          <cell r="I105">
            <v>39031612</v>
          </cell>
          <cell r="J105">
            <v>16056827</v>
          </cell>
          <cell r="K105">
            <v>15655745</v>
          </cell>
          <cell r="L105">
            <v>18646666</v>
          </cell>
          <cell r="M105">
            <v>13326443</v>
          </cell>
          <cell r="N105">
            <v>11776660</v>
          </cell>
          <cell r="O105">
            <v>39419838</v>
          </cell>
          <cell r="P105">
            <v>35451412</v>
          </cell>
          <cell r="Q105">
            <v>25832523.487314109</v>
          </cell>
          <cell r="R105">
            <v>14129246.030895434</v>
          </cell>
          <cell r="S105">
            <v>15132840.116583182</v>
          </cell>
          <cell r="T105">
            <v>17509333.059616942</v>
          </cell>
          <cell r="U105">
            <v>17634475.568807781</v>
          </cell>
          <cell r="V105">
            <v>17739176.239777789</v>
          </cell>
          <cell r="W105">
            <v>16274023.503106639</v>
          </cell>
          <cell r="X105">
            <v>14828769.641388467</v>
          </cell>
          <cell r="Y105">
            <v>14128448.637650065</v>
          </cell>
          <cell r="Z105">
            <v>13695006.192599883</v>
          </cell>
          <cell r="AA105">
            <v>12453266.877485942</v>
          </cell>
          <cell r="AB105">
            <v>10141351.836928993</v>
          </cell>
          <cell r="AC105">
            <v>8595392.515527986</v>
          </cell>
          <cell r="AD105">
            <v>7034717.8084998121</v>
          </cell>
          <cell r="AE105">
            <v>5855609.2365837544</v>
          </cell>
          <cell r="AF105">
            <v>5851372.3373928964</v>
          </cell>
          <cell r="AG105">
            <v>5856006.8335833512</v>
          </cell>
          <cell r="AH105">
            <v>5857605.6585154943</v>
          </cell>
          <cell r="AI105">
            <v>5856790.7451106356</v>
          </cell>
          <cell r="AJ105">
            <v>5855476.9622372258</v>
          </cell>
          <cell r="AK105">
            <v>5855450.5073679201</v>
          </cell>
          <cell r="AL105">
            <v>5856266.141362926</v>
          </cell>
          <cell r="AM105">
            <v>5856318.0029188395</v>
          </cell>
          <cell r="AN105">
            <v>5856060.4717995096</v>
          </cell>
          <cell r="AO105">
            <v>5855914.4171372848</v>
          </cell>
          <cell r="AP105">
            <v>5856001.9081172952</v>
          </cell>
          <cell r="DK105"/>
        </row>
        <row r="106">
          <cell r="B106">
            <v>0</v>
          </cell>
          <cell r="C106">
            <v>3510101</v>
          </cell>
          <cell r="D106">
            <v>5877535</v>
          </cell>
          <cell r="E106">
            <v>14747164</v>
          </cell>
          <cell r="F106">
            <v>5538706</v>
          </cell>
          <cell r="G106">
            <v>16633771</v>
          </cell>
          <cell r="H106">
            <v>56793626</v>
          </cell>
          <cell r="I106">
            <v>83762771</v>
          </cell>
          <cell r="J106">
            <v>12234295</v>
          </cell>
          <cell r="K106">
            <v>19389140</v>
          </cell>
          <cell r="L106">
            <v>16749201</v>
          </cell>
          <cell r="M106">
            <v>17588416</v>
          </cell>
          <cell r="N106">
            <v>19314836</v>
          </cell>
          <cell r="O106">
            <v>41179873</v>
          </cell>
          <cell r="P106">
            <v>37513575</v>
          </cell>
          <cell r="Q106">
            <v>28821440.119581573</v>
          </cell>
          <cell r="R106">
            <v>16219458.665915268</v>
          </cell>
          <cell r="S106">
            <v>17097748.13535852</v>
          </cell>
          <cell r="T106">
            <v>18973260.072930049</v>
          </cell>
          <cell r="U106">
            <v>19359504.85724223</v>
          </cell>
          <cell r="V106">
            <v>19750790.363877229</v>
          </cell>
          <cell r="W106">
            <v>18107698.150960274</v>
          </cell>
          <cell r="X106">
            <v>16411953.981731458</v>
          </cell>
          <cell r="Y106">
            <v>15578109.660573293</v>
          </cell>
          <cell r="Z106">
            <v>15156708.716036197</v>
          </cell>
          <cell r="AA106">
            <v>13807961.157064522</v>
          </cell>
          <cell r="AB106">
            <v>11232913.788663989</v>
          </cell>
          <cell r="AC106">
            <v>9509749.9442486707</v>
          </cell>
          <cell r="AD106">
            <v>7782370.7205202654</v>
          </cell>
          <cell r="AE106">
            <v>6483801.2398346225</v>
          </cell>
          <cell r="AF106">
            <v>6480105.776592752</v>
          </cell>
          <cell r="AG106">
            <v>6482647.1046656715</v>
          </cell>
          <cell r="AH106">
            <v>6483295.5504462328</v>
          </cell>
          <cell r="AI106">
            <v>6483119.3061652966</v>
          </cell>
          <cell r="AJ106">
            <v>6482593.7955409149</v>
          </cell>
          <cell r="AK106">
            <v>6482352.3066821732</v>
          </cell>
          <cell r="AL106">
            <v>6482801.6127000581</v>
          </cell>
          <cell r="AM106">
            <v>6482832.5143069355</v>
          </cell>
          <cell r="AN106">
            <v>6482739.9070790755</v>
          </cell>
          <cell r="AO106">
            <v>6482664.0272618309</v>
          </cell>
          <cell r="AP106">
            <v>6482678.0736060143</v>
          </cell>
          <cell r="DK106"/>
        </row>
        <row r="107">
          <cell r="B107">
            <v>1377408</v>
          </cell>
          <cell r="C107">
            <v>2521122</v>
          </cell>
          <cell r="D107">
            <v>2650483</v>
          </cell>
          <cell r="E107">
            <v>6520032</v>
          </cell>
          <cell r="F107">
            <v>16821335</v>
          </cell>
          <cell r="G107">
            <v>37059083</v>
          </cell>
          <cell r="H107">
            <v>26661866</v>
          </cell>
          <cell r="I107">
            <v>54630838</v>
          </cell>
          <cell r="J107">
            <v>5311333</v>
          </cell>
          <cell r="K107">
            <v>16326425</v>
          </cell>
          <cell r="L107">
            <v>19995093</v>
          </cell>
          <cell r="M107">
            <v>15382342</v>
          </cell>
          <cell r="N107">
            <v>8715707</v>
          </cell>
          <cell r="O107">
            <v>30319251</v>
          </cell>
          <cell r="P107">
            <v>22459889</v>
          </cell>
          <cell r="Q107">
            <v>23596223.259005353</v>
          </cell>
          <cell r="R107">
            <v>11284069.686876141</v>
          </cell>
          <cell r="S107">
            <v>11519100.194899365</v>
          </cell>
          <cell r="T107">
            <v>13361585.681085302</v>
          </cell>
          <cell r="U107">
            <v>13418325.162611175</v>
          </cell>
          <cell r="V107">
            <v>14385675.142247684</v>
          </cell>
          <cell r="W107">
            <v>12673055.407755783</v>
          </cell>
          <cell r="X107">
            <v>11498121.20540173</v>
          </cell>
          <cell r="Y107">
            <v>10991231.091437666</v>
          </cell>
          <cell r="Z107">
            <v>10698176.118111124</v>
          </cell>
          <cell r="AA107">
            <v>9786194.3496371973</v>
          </cell>
          <cell r="AB107">
            <v>7906099.6310433391</v>
          </cell>
          <cell r="AC107">
            <v>6702731.0940352287</v>
          </cell>
          <cell r="AD107">
            <v>5493508.4842169667</v>
          </cell>
          <cell r="AE107">
            <v>4577448.4598169765</v>
          </cell>
          <cell r="AF107">
            <v>4575130.3564712005</v>
          </cell>
          <cell r="AG107">
            <v>4571080.9414974544</v>
          </cell>
          <cell r="AH107">
            <v>4574099.8828302054</v>
          </cell>
          <cell r="AI107">
            <v>4575243.870160155</v>
          </cell>
          <cell r="AJ107">
            <v>4574600.702155198</v>
          </cell>
          <cell r="AK107">
            <v>4574031.1506228428</v>
          </cell>
          <cell r="AL107">
            <v>4573811.3094531717</v>
          </cell>
          <cell r="AM107">
            <v>4574357.3830443155</v>
          </cell>
          <cell r="AN107">
            <v>4574408.8830871377</v>
          </cell>
          <cell r="AO107">
            <v>4574241.885672532</v>
          </cell>
          <cell r="AP107">
            <v>4574170.1223760005</v>
          </cell>
          <cell r="DK107"/>
        </row>
        <row r="108">
          <cell r="B108">
            <v>2315495</v>
          </cell>
          <cell r="C108">
            <v>2583842</v>
          </cell>
          <cell r="D108">
            <v>3399417</v>
          </cell>
          <cell r="E108">
            <v>14659918</v>
          </cell>
          <cell r="F108">
            <v>7814992</v>
          </cell>
          <cell r="G108">
            <v>30674729</v>
          </cell>
          <cell r="H108">
            <v>61457420</v>
          </cell>
          <cell r="I108">
            <v>52041080</v>
          </cell>
          <cell r="J108">
            <v>13020993</v>
          </cell>
          <cell r="K108">
            <v>8822166</v>
          </cell>
          <cell r="L108">
            <v>16351622</v>
          </cell>
          <cell r="M108">
            <v>11048139</v>
          </cell>
          <cell r="N108">
            <v>15269993</v>
          </cell>
          <cell r="O108">
            <v>44239929</v>
          </cell>
          <cell r="P108">
            <v>24497122</v>
          </cell>
          <cell r="Q108">
            <v>25261458.307057053</v>
          </cell>
          <cell r="R108">
            <v>13512643.140852682</v>
          </cell>
          <cell r="S108">
            <v>14675240.080099355</v>
          </cell>
          <cell r="T108">
            <v>16461263.351296833</v>
          </cell>
          <cell r="U108">
            <v>15407202.705206882</v>
          </cell>
          <cell r="V108">
            <v>16771876.704647817</v>
          </cell>
          <cell r="W108">
            <v>15220686.279473348</v>
          </cell>
          <cell r="X108">
            <v>13816565.863831114</v>
          </cell>
          <cell r="Y108">
            <v>13067258.955889791</v>
          </cell>
          <cell r="Z108">
            <v>12620998.387459774</v>
          </cell>
          <cell r="AA108">
            <v>11613788.619906897</v>
          </cell>
          <cell r="AB108">
            <v>9425255.468691716</v>
          </cell>
          <cell r="AC108">
            <v>7975838.8054320021</v>
          </cell>
          <cell r="AD108">
            <v>6520904.1342572393</v>
          </cell>
          <cell r="AE108">
            <v>5431216.4002722884</v>
          </cell>
          <cell r="AF108">
            <v>5438097.800251347</v>
          </cell>
          <cell r="AG108">
            <v>5436142.5951413428</v>
          </cell>
          <cell r="AH108">
            <v>5435682.30623898</v>
          </cell>
          <cell r="AI108">
            <v>5435008.3146463837</v>
          </cell>
          <cell r="AJ108">
            <v>5435229.483310068</v>
          </cell>
          <cell r="AK108">
            <v>5436032.0999176232</v>
          </cell>
          <cell r="AL108">
            <v>5435618.9598508794</v>
          </cell>
          <cell r="AM108">
            <v>5435514.2327927873</v>
          </cell>
          <cell r="AN108">
            <v>5435480.6181035489</v>
          </cell>
          <cell r="AO108">
            <v>5435575.0787949814</v>
          </cell>
          <cell r="AP108">
            <v>5435644.1978919646</v>
          </cell>
          <cell r="DK108"/>
        </row>
        <row r="109">
          <cell r="B109">
            <v>1242409</v>
          </cell>
          <cell r="C109">
            <v>4644979</v>
          </cell>
          <cell r="D109">
            <v>4003665</v>
          </cell>
          <cell r="E109">
            <v>10683171</v>
          </cell>
          <cell r="F109">
            <v>12406590</v>
          </cell>
          <cell r="G109">
            <v>21838343</v>
          </cell>
          <cell r="H109">
            <v>73263294</v>
          </cell>
          <cell r="I109">
            <v>27897293</v>
          </cell>
          <cell r="J109">
            <v>11814679</v>
          </cell>
          <cell r="K109">
            <v>14859020</v>
          </cell>
          <cell r="L109">
            <v>14054214</v>
          </cell>
          <cell r="M109">
            <v>11792295</v>
          </cell>
          <cell r="N109">
            <v>19091391</v>
          </cell>
          <cell r="O109">
            <v>40464493</v>
          </cell>
          <cell r="P109">
            <v>26648068</v>
          </cell>
          <cell r="Q109">
            <v>26401629.575841647</v>
          </cell>
          <cell r="R109">
            <v>13971002.642596131</v>
          </cell>
          <cell r="S109">
            <v>15128884.448407082</v>
          </cell>
          <cell r="T109">
            <v>16518882.187209332</v>
          </cell>
          <cell r="U109">
            <v>16102549.226461956</v>
          </cell>
          <cell r="V109">
            <v>17323314.579930529</v>
          </cell>
          <cell r="W109">
            <v>15659785.799780242</v>
          </cell>
          <cell r="X109">
            <v>14203101.00549994</v>
          </cell>
          <cell r="Y109">
            <v>13425583.087662391</v>
          </cell>
          <cell r="Z109">
            <v>13033988.735323919</v>
          </cell>
          <cell r="AA109">
            <v>11962765.19117921</v>
          </cell>
          <cell r="AB109">
            <v>9701725.7885551285</v>
          </cell>
          <cell r="AC109">
            <v>8210764.0944961254</v>
          </cell>
          <cell r="AD109">
            <v>6715409.8288072972</v>
          </cell>
          <cell r="AE109">
            <v>5596765.4479355272</v>
          </cell>
          <cell r="AF109">
            <v>5600101.3740230026</v>
          </cell>
          <cell r="AG109">
            <v>5597619.7709089192</v>
          </cell>
          <cell r="AH109">
            <v>5597763.6205007415</v>
          </cell>
          <cell r="AI109">
            <v>5597626.9311875934</v>
          </cell>
          <cell r="AJ109">
            <v>5597975.428911157</v>
          </cell>
          <cell r="AK109">
            <v>5598217.4251062823</v>
          </cell>
          <cell r="AL109">
            <v>5597840.6353229387</v>
          </cell>
          <cell r="AM109">
            <v>5597884.8082057433</v>
          </cell>
          <cell r="AN109">
            <v>5597909.0457467427</v>
          </cell>
          <cell r="AO109">
            <v>5597965.468658573</v>
          </cell>
          <cell r="AP109">
            <v>5597963.4766080566</v>
          </cell>
          <cell r="DK109"/>
        </row>
        <row r="110">
          <cell r="B110">
            <v>3599083</v>
          </cell>
          <cell r="C110">
            <v>4553366</v>
          </cell>
          <cell r="D110">
            <v>1813495</v>
          </cell>
          <cell r="E110">
            <v>17222306</v>
          </cell>
          <cell r="F110">
            <v>15251830</v>
          </cell>
          <cell r="G110">
            <v>41794902</v>
          </cell>
          <cell r="H110">
            <v>50535806</v>
          </cell>
          <cell r="I110">
            <v>36685627</v>
          </cell>
          <cell r="J110">
            <v>20321432</v>
          </cell>
          <cell r="K110">
            <v>13781446</v>
          </cell>
          <cell r="L110">
            <v>15282502</v>
          </cell>
          <cell r="M110">
            <v>17888148</v>
          </cell>
          <cell r="N110">
            <v>17330959</v>
          </cell>
          <cell r="O110">
            <v>57044013</v>
          </cell>
          <cell r="P110">
            <v>26663796</v>
          </cell>
          <cell r="Q110">
            <v>28227264.88046572</v>
          </cell>
          <cell r="R110">
            <v>16526740.701209962</v>
          </cell>
          <cell r="S110">
            <v>17425671.885121524</v>
          </cell>
          <cell r="T110">
            <v>19654335.35357222</v>
          </cell>
          <cell r="U110">
            <v>17706683.433902681</v>
          </cell>
          <cell r="V110">
            <v>19567829.178190242</v>
          </cell>
          <cell r="W110">
            <v>18004778.033886127</v>
          </cell>
          <cell r="X110">
            <v>16248394.998229472</v>
          </cell>
          <cell r="Y110">
            <v>15339031.569720125</v>
          </cell>
          <cell r="Z110">
            <v>14758908.264502438</v>
          </cell>
          <cell r="AA110">
            <v>13631503.276268573</v>
          </cell>
          <cell r="AB110">
            <v>11079497.375452325</v>
          </cell>
          <cell r="AC110">
            <v>9360846.5907293689</v>
          </cell>
          <cell r="AD110">
            <v>7649378.5919212643</v>
          </cell>
          <cell r="AE110">
            <v>6369939.9359632293</v>
          </cell>
          <cell r="AF110">
            <v>6383783.0668585962</v>
          </cell>
          <cell r="AG110">
            <v>6381788.3688944969</v>
          </cell>
          <cell r="AH110">
            <v>6378659.3919471093</v>
          </cell>
          <cell r="AI110">
            <v>6377605.6453047507</v>
          </cell>
          <cell r="AJ110">
            <v>6378355.2817936363</v>
          </cell>
          <cell r="AK110">
            <v>6380038.3509597173</v>
          </cell>
          <cell r="AL110">
            <v>6379289.4077799413</v>
          </cell>
          <cell r="AM110">
            <v>6378789.6155570317</v>
          </cell>
          <cell r="AN110">
            <v>6378815.6602790151</v>
          </cell>
          <cell r="AO110">
            <v>6379057.6632738682</v>
          </cell>
          <cell r="AP110">
            <v>6379198.139569913</v>
          </cell>
          <cell r="DK110"/>
        </row>
        <row r="111">
          <cell r="B111">
            <v>1990621</v>
          </cell>
          <cell r="C111">
            <v>3194691</v>
          </cell>
          <cell r="D111">
            <v>809682</v>
          </cell>
          <cell r="E111">
            <v>28108032</v>
          </cell>
          <cell r="F111">
            <v>25962646</v>
          </cell>
          <cell r="G111">
            <v>26419166</v>
          </cell>
          <cell r="H111">
            <v>65730799</v>
          </cell>
          <cell r="I111">
            <v>24382225</v>
          </cell>
          <cell r="J111">
            <v>12920360</v>
          </cell>
          <cell r="K111">
            <v>15235613</v>
          </cell>
          <cell r="L111">
            <v>21944490</v>
          </cell>
          <cell r="M111">
            <v>21482583</v>
          </cell>
          <cell r="N111">
            <v>33817396</v>
          </cell>
          <cell r="O111">
            <v>42541477</v>
          </cell>
          <cell r="P111">
            <v>22975700</v>
          </cell>
          <cell r="Q111">
            <v>29089714.154138416</v>
          </cell>
          <cell r="R111">
            <v>16835892.514531154</v>
          </cell>
          <cell r="S111">
            <v>17362014.362543028</v>
          </cell>
          <cell r="T111">
            <v>17352911.870414302</v>
          </cell>
          <cell r="U111">
            <v>16910017.396205623</v>
          </cell>
          <cell r="V111">
            <v>19176603.90470212</v>
          </cell>
          <cell r="W111">
            <v>17362134.349210575</v>
          </cell>
          <cell r="X111">
            <v>15510277.368318863</v>
          </cell>
          <cell r="Y111">
            <v>14519766.429900246</v>
          </cell>
          <cell r="Z111">
            <v>14183291.168406844</v>
          </cell>
          <cell r="AA111">
            <v>13117088.035823537</v>
          </cell>
          <cell r="AB111">
            <v>10612057.328651156</v>
          </cell>
          <cell r="AC111">
            <v>8950506.3909234386</v>
          </cell>
          <cell r="AD111">
            <v>7317144.1613688348</v>
          </cell>
          <cell r="AE111">
            <v>6110536.1374256182</v>
          </cell>
          <cell r="AF111">
            <v>6120442.3080786616</v>
          </cell>
          <cell r="AG111">
            <v>6111044.7385074543</v>
          </cell>
          <cell r="AH111">
            <v>6107589.4828771772</v>
          </cell>
          <cell r="AI111">
            <v>6108991.6977418736</v>
          </cell>
          <cell r="AJ111">
            <v>6111720.872926157</v>
          </cell>
          <cell r="AK111">
            <v>6111957.8200262645</v>
          </cell>
          <cell r="AL111">
            <v>6110260.9224157846</v>
          </cell>
          <cell r="AM111">
            <v>6110104.1591974506</v>
          </cell>
          <cell r="AN111">
            <v>6110607.0944615062</v>
          </cell>
          <cell r="AO111">
            <v>6110930.1738054315</v>
          </cell>
          <cell r="AP111">
            <v>6110772.0339812879</v>
          </cell>
          <cell r="DK111"/>
        </row>
        <row r="112">
          <cell r="B112">
            <v>1962490</v>
          </cell>
          <cell r="C112">
            <v>10389680</v>
          </cell>
          <cell r="D112">
            <v>732245</v>
          </cell>
          <cell r="E112">
            <v>32842933</v>
          </cell>
          <cell r="F112">
            <v>16360522</v>
          </cell>
          <cell r="G112">
            <v>38152911</v>
          </cell>
          <cell r="H112">
            <v>121095251</v>
          </cell>
          <cell r="I112">
            <v>31116816</v>
          </cell>
          <cell r="J112">
            <v>29600921</v>
          </cell>
          <cell r="K112">
            <v>24318415</v>
          </cell>
          <cell r="L112">
            <v>24004702</v>
          </cell>
          <cell r="M112">
            <v>51260934</v>
          </cell>
          <cell r="N112">
            <v>43008881</v>
          </cell>
          <cell r="O112">
            <v>64593783</v>
          </cell>
          <cell r="P112">
            <v>31390220</v>
          </cell>
          <cell r="Q112">
            <v>106843258.26049849</v>
          </cell>
          <cell r="R112">
            <v>33366679.173276901</v>
          </cell>
          <cell r="S112">
            <v>33371316.260606855</v>
          </cell>
          <cell r="T112">
            <v>36316520.923465073</v>
          </cell>
          <cell r="U112">
            <v>39377847.198489517</v>
          </cell>
          <cell r="V112">
            <v>49002900.015177369</v>
          </cell>
          <cell r="W112">
            <v>37925854.103691757</v>
          </cell>
          <cell r="X112">
            <v>34480503.069696128</v>
          </cell>
          <cell r="Y112">
            <v>33157619.211115479</v>
          </cell>
          <cell r="Z112">
            <v>32951773.426873595</v>
          </cell>
          <cell r="AA112">
            <v>30459882.205328599</v>
          </cell>
          <cell r="AB112">
            <v>24007466.843903512</v>
          </cell>
          <cell r="AC112">
            <v>20426702.902108863</v>
          </cell>
          <cell r="AD112">
            <v>16808357.633165181</v>
          </cell>
          <cell r="AE112">
            <v>14058742.444892451</v>
          </cell>
          <cell r="AF112">
            <v>14039090.977353789</v>
          </cell>
          <cell r="AG112">
            <v>13959431.375222467</v>
          </cell>
          <cell r="AH112">
            <v>13992763.294013426</v>
          </cell>
          <cell r="AI112">
            <v>14011228.023970641</v>
          </cell>
          <cell r="AJ112">
            <v>14012251.223090559</v>
          </cell>
          <cell r="AK112">
            <v>14002952.978730187</v>
          </cell>
          <cell r="AL112">
            <v>13995725.379005454</v>
          </cell>
          <cell r="AM112">
            <v>14002984.179762051</v>
          </cell>
          <cell r="AN112">
            <v>14005028.356911778</v>
          </cell>
          <cell r="AO112">
            <v>14003788.423500009</v>
          </cell>
          <cell r="AP112">
            <v>14002095.863581896</v>
          </cell>
          <cell r="DK112"/>
        </row>
        <row r="133">
          <cell r="B133">
            <v>0</v>
          </cell>
          <cell r="C133">
            <v>2152722</v>
          </cell>
          <cell r="D133">
            <v>3704631</v>
          </cell>
          <cell r="E133">
            <v>874975</v>
          </cell>
          <cell r="F133">
            <v>10094471</v>
          </cell>
          <cell r="G133">
            <v>17338629</v>
          </cell>
          <cell r="H133">
            <v>11522833</v>
          </cell>
          <cell r="I133">
            <v>18110934</v>
          </cell>
          <cell r="J133">
            <v>13358879</v>
          </cell>
          <cell r="K133">
            <v>33505471</v>
          </cell>
          <cell r="L133">
            <v>37832200</v>
          </cell>
          <cell r="M133">
            <v>41671282</v>
          </cell>
          <cell r="N133">
            <v>82989690</v>
          </cell>
          <cell r="O133">
            <v>144619899</v>
          </cell>
          <cell r="P133">
            <v>225009486</v>
          </cell>
          <cell r="Q133">
            <v>211951267</v>
          </cell>
          <cell r="R133">
            <v>167363506.03565693</v>
          </cell>
          <cell r="S133">
            <v>184113019.90570003</v>
          </cell>
          <cell r="T133">
            <v>187503083.12669492</v>
          </cell>
          <cell r="U133">
            <v>188609601.32131937</v>
          </cell>
          <cell r="V133">
            <v>197485801.8869448</v>
          </cell>
          <cell r="W133">
            <v>214408949.45894167</v>
          </cell>
          <cell r="X133">
            <v>254659006.54638639</v>
          </cell>
          <cell r="Y133">
            <v>253139358.43034077</v>
          </cell>
          <cell r="Z133">
            <v>245506194.51056814</v>
          </cell>
          <cell r="AA133">
            <v>260094530.44331792</v>
          </cell>
          <cell r="AB133">
            <v>281964617.45584697</v>
          </cell>
          <cell r="AC133">
            <v>321357396.38182151</v>
          </cell>
          <cell r="AD133">
            <v>354497325.15878499</v>
          </cell>
          <cell r="AE133">
            <v>354726053.95795661</v>
          </cell>
          <cell r="AF133">
            <v>310498367.83100873</v>
          </cell>
          <cell r="AG133">
            <v>329087679.74111909</v>
          </cell>
          <cell r="AH133">
            <v>347929757.7010892</v>
          </cell>
          <cell r="AI133">
            <v>378167244.38818866</v>
          </cell>
          <cell r="AJ133">
            <v>385634947.27047312</v>
          </cell>
          <cell r="AK133">
            <v>383390369.26658916</v>
          </cell>
          <cell r="AL133">
            <v>364780856.08891368</v>
          </cell>
          <cell r="AM133">
            <v>380537041.97759515</v>
          </cell>
          <cell r="AN133">
            <v>394162753.34874737</v>
          </cell>
          <cell r="AO133">
            <v>408416513.60872501</v>
          </cell>
          <cell r="AP133">
            <v>426560134.73594898</v>
          </cell>
          <cell r="DK133"/>
        </row>
        <row r="134">
          <cell r="B134">
            <v>0</v>
          </cell>
          <cell r="C134">
            <v>236655</v>
          </cell>
          <cell r="D134">
            <v>1466603</v>
          </cell>
          <cell r="E134">
            <v>709570</v>
          </cell>
          <cell r="F134">
            <v>11769916</v>
          </cell>
          <cell r="G134">
            <v>13090383</v>
          </cell>
          <cell r="H134">
            <v>7052579</v>
          </cell>
          <cell r="I134">
            <v>20685125</v>
          </cell>
          <cell r="J134">
            <v>20164577</v>
          </cell>
          <cell r="K134">
            <v>37825609</v>
          </cell>
          <cell r="L134">
            <v>33947857</v>
          </cell>
          <cell r="M134">
            <v>46693788</v>
          </cell>
          <cell r="N134">
            <v>96681669</v>
          </cell>
          <cell r="O134">
            <v>138971779</v>
          </cell>
          <cell r="P134">
            <v>226138432</v>
          </cell>
          <cell r="Q134">
            <v>181467123</v>
          </cell>
          <cell r="R134">
            <v>184551993.80017194</v>
          </cell>
          <cell r="S134">
            <v>203021708.33424437</v>
          </cell>
          <cell r="T134">
            <v>206759936.22730693</v>
          </cell>
          <cell r="U134">
            <v>207980095.5310359</v>
          </cell>
          <cell r="V134">
            <v>217767895.45563465</v>
          </cell>
          <cell r="W134">
            <v>236429076.13812566</v>
          </cell>
          <cell r="X134">
            <v>280812875.58169174</v>
          </cell>
          <cell r="Y134">
            <v>279137157.28243995</v>
          </cell>
          <cell r="Z134">
            <v>270720055.76630986</v>
          </cell>
          <cell r="AA134">
            <v>286806636.08712399</v>
          </cell>
          <cell r="AB134">
            <v>310922814.44852602</v>
          </cell>
          <cell r="AC134">
            <v>354361291.95370638</v>
          </cell>
          <cell r="AD134">
            <v>390904742.04659146</v>
          </cell>
          <cell r="AE134">
            <v>391156961.64288533</v>
          </cell>
          <cell r="AF134">
            <v>342387024.58051616</v>
          </cell>
          <cell r="AG134">
            <v>362885487.22417772</v>
          </cell>
          <cell r="AH134">
            <v>383662675.37719071</v>
          </cell>
          <cell r="AI134">
            <v>417005598.14328915</v>
          </cell>
          <cell r="AJ134">
            <v>425240245.52059293</v>
          </cell>
          <cell r="AK134">
            <v>422765145.92648822</v>
          </cell>
          <cell r="AL134">
            <v>402244407.31421942</v>
          </cell>
          <cell r="AM134">
            <v>419618777.56565756</v>
          </cell>
          <cell r="AN134">
            <v>434643870.3117193</v>
          </cell>
          <cell r="AO134">
            <v>450361513.52700961</v>
          </cell>
          <cell r="AP134">
            <v>470368512.26346481</v>
          </cell>
          <cell r="DK134"/>
        </row>
        <row r="135">
          <cell r="B135">
            <v>0</v>
          </cell>
          <cell r="C135">
            <v>2386369</v>
          </cell>
          <cell r="D135">
            <v>4704556</v>
          </cell>
          <cell r="E135">
            <v>1180027</v>
          </cell>
          <cell r="F135">
            <v>14214810</v>
          </cell>
          <cell r="G135">
            <v>15408481</v>
          </cell>
          <cell r="H135">
            <v>17471358</v>
          </cell>
          <cell r="I135">
            <v>15398643</v>
          </cell>
          <cell r="J135">
            <v>22796002</v>
          </cell>
          <cell r="K135">
            <v>32865031</v>
          </cell>
          <cell r="L135">
            <v>41664100</v>
          </cell>
          <cell r="M135">
            <v>55155941</v>
          </cell>
          <cell r="N135">
            <v>105277299</v>
          </cell>
          <cell r="O135">
            <v>174387031</v>
          </cell>
          <cell r="P135">
            <v>209952339</v>
          </cell>
          <cell r="Q135">
            <v>222828169</v>
          </cell>
          <cell r="R135">
            <v>194381009.33101276</v>
          </cell>
          <cell r="S135">
            <v>213834398.47768328</v>
          </cell>
          <cell r="T135">
            <v>217771719.85796398</v>
          </cell>
          <cell r="U135">
            <v>219056863.36749589</v>
          </cell>
          <cell r="V135">
            <v>229365949.65422308</v>
          </cell>
          <cell r="W135">
            <v>249021002.20433873</v>
          </cell>
          <cell r="X135">
            <v>295768629.01744759</v>
          </cell>
          <cell r="Y135">
            <v>294003663.9923842</v>
          </cell>
          <cell r="Z135">
            <v>285138277.8502084</v>
          </cell>
          <cell r="AA135">
            <v>302081609.94354802</v>
          </cell>
          <cell r="AB135">
            <v>327482186.73803008</v>
          </cell>
          <cell r="AC135">
            <v>373234144.9119525</v>
          </cell>
          <cell r="AD135">
            <v>411723854.86969918</v>
          </cell>
          <cell r="AE135">
            <v>411989507.37602627</v>
          </cell>
          <cell r="AF135">
            <v>360622142.57010639</v>
          </cell>
          <cell r="AG135">
            <v>382212328.49203867</v>
          </cell>
          <cell r="AH135">
            <v>404096084.50616229</v>
          </cell>
          <cell r="AI135">
            <v>439214810.93042368</v>
          </cell>
          <cell r="AJ135">
            <v>447888025.64745587</v>
          </cell>
          <cell r="AK135">
            <v>445281105.24854761</v>
          </cell>
          <cell r="AL135">
            <v>423667456.9669165</v>
          </cell>
          <cell r="AM135">
            <v>441967165.12190968</v>
          </cell>
          <cell r="AN135">
            <v>457792476.09868467</v>
          </cell>
          <cell r="AO135">
            <v>474347221.94337583</v>
          </cell>
          <cell r="AP135">
            <v>495419769.18601006</v>
          </cell>
          <cell r="DK135"/>
        </row>
        <row r="136">
          <cell r="B136">
            <v>0</v>
          </cell>
          <cell r="C136">
            <v>1687259</v>
          </cell>
          <cell r="D136">
            <v>3182046</v>
          </cell>
          <cell r="E136">
            <v>1023827</v>
          </cell>
          <cell r="F136">
            <v>12757417</v>
          </cell>
          <cell r="G136">
            <v>15174584</v>
          </cell>
          <cell r="H136">
            <v>20862107</v>
          </cell>
          <cell r="I136">
            <v>20068138</v>
          </cell>
          <cell r="J136">
            <v>24720243</v>
          </cell>
          <cell r="K136">
            <v>35561760</v>
          </cell>
          <cell r="L136">
            <v>35556621</v>
          </cell>
          <cell r="M136">
            <v>47578471</v>
          </cell>
          <cell r="N136">
            <v>101188242</v>
          </cell>
          <cell r="O136">
            <v>169520733</v>
          </cell>
          <cell r="P136">
            <v>279120152</v>
          </cell>
          <cell r="Q136">
            <v>197526811.40333843</v>
          </cell>
          <cell r="R136">
            <v>188734385.3867617</v>
          </cell>
          <cell r="S136">
            <v>207622668.02775827</v>
          </cell>
          <cell r="T136">
            <v>211445613.14639378</v>
          </cell>
          <cell r="U136">
            <v>212693424.19151622</v>
          </cell>
          <cell r="V136">
            <v>222703039.17870483</v>
          </cell>
          <cell r="W136">
            <v>241787127.05106226</v>
          </cell>
          <cell r="X136">
            <v>287176770.02712715</v>
          </cell>
          <cell r="Y136">
            <v>285463075.92511117</v>
          </cell>
          <cell r="Z136">
            <v>276855222.6655854</v>
          </cell>
          <cell r="AA136">
            <v>293306363.54630131</v>
          </cell>
          <cell r="AB136">
            <v>317969072.45122391</v>
          </cell>
          <cell r="AC136">
            <v>362391970.22253615</v>
          </cell>
          <cell r="AD136">
            <v>399763582.69430584</v>
          </cell>
          <cell r="AE136">
            <v>400021518.19263792</v>
          </cell>
          <cell r="AF136">
            <v>350146337.18113518</v>
          </cell>
          <cell r="AG136">
            <v>371109344.23818147</v>
          </cell>
          <cell r="AH136">
            <v>392357393.39429069</v>
          </cell>
          <cell r="AI136">
            <v>426455946.90041918</v>
          </cell>
          <cell r="AJ136">
            <v>434877211.17196608</v>
          </cell>
          <cell r="AK136">
            <v>432346019.87435168</v>
          </cell>
          <cell r="AL136">
            <v>411360232.02172905</v>
          </cell>
          <cell r="AM136">
            <v>429128347.24695808</v>
          </cell>
          <cell r="AN136">
            <v>444493944.69413352</v>
          </cell>
          <cell r="AO136">
            <v>460567787.4681012</v>
          </cell>
          <cell r="AP136">
            <v>481028192.86500603</v>
          </cell>
          <cell r="DK136"/>
        </row>
        <row r="137">
          <cell r="B137">
            <v>0</v>
          </cell>
          <cell r="C137">
            <v>3145024</v>
          </cell>
          <cell r="D137">
            <v>3357746</v>
          </cell>
          <cell r="E137">
            <v>966739</v>
          </cell>
          <cell r="F137">
            <v>15457184</v>
          </cell>
          <cell r="G137">
            <v>15400093</v>
          </cell>
          <cell r="H137">
            <v>21624392</v>
          </cell>
          <cell r="I137">
            <v>24025408</v>
          </cell>
          <cell r="J137">
            <v>21078019</v>
          </cell>
          <cell r="K137">
            <v>36914619</v>
          </cell>
          <cell r="L137">
            <v>42165050</v>
          </cell>
          <cell r="M137">
            <v>57822332</v>
          </cell>
          <cell r="N137">
            <v>127392352</v>
          </cell>
          <cell r="O137">
            <v>222124396</v>
          </cell>
          <cell r="P137">
            <v>218975034</v>
          </cell>
          <cell r="Q137">
            <v>193874942.81081852</v>
          </cell>
          <cell r="R137">
            <v>210834210.38909155</v>
          </cell>
          <cell r="S137">
            <v>231934213.69829154</v>
          </cell>
          <cell r="T137">
            <v>236204806.01138088</v>
          </cell>
          <cell r="U137">
            <v>237598729.30667263</v>
          </cell>
          <cell r="V137">
            <v>248780418.68350813</v>
          </cell>
          <cell r="W137">
            <v>270099155.00873709</v>
          </cell>
          <cell r="X137">
            <v>320803691.53021324</v>
          </cell>
          <cell r="Y137">
            <v>318889332.67023879</v>
          </cell>
          <cell r="Z137">
            <v>309273544.10368657</v>
          </cell>
          <cell r="AA137">
            <v>327651028.89787358</v>
          </cell>
          <cell r="AB137">
            <v>355201614.06215012</v>
          </cell>
          <cell r="AC137">
            <v>404826204.49180114</v>
          </cell>
          <cell r="AD137">
            <v>446573840.41042984</v>
          </cell>
          <cell r="AE137">
            <v>446861978.82787144</v>
          </cell>
          <cell r="AF137">
            <v>391146670.8567</v>
          </cell>
          <cell r="AG137">
            <v>414564338.13124698</v>
          </cell>
          <cell r="AH137">
            <v>438300424.46737844</v>
          </cell>
          <cell r="AI137">
            <v>476391743.06384158</v>
          </cell>
          <cell r="AJ137">
            <v>485799094.03240544</v>
          </cell>
          <cell r="AK137">
            <v>482971513.26336503</v>
          </cell>
          <cell r="AL137">
            <v>459528397.67934579</v>
          </cell>
          <cell r="AM137">
            <v>479377067.73454988</v>
          </cell>
          <cell r="AN137">
            <v>496541897.54705685</v>
          </cell>
          <cell r="AO137">
            <v>514497904.56836981</v>
          </cell>
          <cell r="AP137">
            <v>537354118.11555803</v>
          </cell>
          <cell r="DK137"/>
        </row>
        <row r="138">
          <cell r="B138">
            <v>0</v>
          </cell>
          <cell r="C138">
            <v>3743400</v>
          </cell>
          <cell r="D138">
            <v>3082194</v>
          </cell>
          <cell r="E138">
            <v>1599659</v>
          </cell>
          <cell r="F138">
            <v>14888020</v>
          </cell>
          <cell r="G138">
            <v>13875936</v>
          </cell>
          <cell r="H138">
            <v>22043211</v>
          </cell>
          <cell r="I138">
            <v>17375071</v>
          </cell>
          <cell r="J138">
            <v>11453319</v>
          </cell>
          <cell r="K138">
            <v>37285265</v>
          </cell>
          <cell r="L138">
            <v>49854880</v>
          </cell>
          <cell r="M138">
            <v>64658005</v>
          </cell>
          <cell r="N138">
            <v>111675640</v>
          </cell>
          <cell r="O138">
            <v>192695635</v>
          </cell>
          <cell r="P138">
            <v>276399741</v>
          </cell>
          <cell r="Q138">
            <v>190309892.98933783</v>
          </cell>
          <cell r="R138">
            <v>209114517.14255437</v>
          </cell>
          <cell r="S138">
            <v>230042415.87192467</v>
          </cell>
          <cell r="T138">
            <v>234278174.61248335</v>
          </cell>
          <cell r="U138">
            <v>235660728.21367908</v>
          </cell>
          <cell r="V138">
            <v>246751212.86775759</v>
          </cell>
          <cell r="W138">
            <v>267896060.49240258</v>
          </cell>
          <cell r="X138">
            <v>318187019.68758118</v>
          </cell>
          <cell r="Y138">
            <v>316288275.51365256</v>
          </cell>
          <cell r="Z138">
            <v>306750919.22157568</v>
          </cell>
          <cell r="AA138">
            <v>324978505.96823716</v>
          </cell>
          <cell r="AB138">
            <v>352304371.64720011</v>
          </cell>
          <cell r="AC138">
            <v>401524193.45383418</v>
          </cell>
          <cell r="AD138">
            <v>442931310.02593148</v>
          </cell>
          <cell r="AE138">
            <v>443217098.20955843</v>
          </cell>
          <cell r="AF138">
            <v>387956238.49263352</v>
          </cell>
          <cell r="AG138">
            <v>411182896.89728516</v>
          </cell>
          <cell r="AH138">
            <v>434725377.14218438</v>
          </cell>
          <cell r="AI138">
            <v>472505999.56073052</v>
          </cell>
          <cell r="AJ138">
            <v>481836618.39982361</v>
          </cell>
          <cell r="AK138">
            <v>479032101.11532676</v>
          </cell>
          <cell r="AL138">
            <v>455780201.9732371</v>
          </cell>
          <cell r="AM138">
            <v>475466974.09079766</v>
          </cell>
          <cell r="AN138">
            <v>492491797.0142327</v>
          </cell>
          <cell r="AO138">
            <v>510301343.8194719</v>
          </cell>
          <cell r="AP138">
            <v>532971128.05802953</v>
          </cell>
          <cell r="DK138"/>
        </row>
        <row r="139">
          <cell r="B139">
            <v>0</v>
          </cell>
          <cell r="C139">
            <v>5655935</v>
          </cell>
          <cell r="D139">
            <v>5724257</v>
          </cell>
          <cell r="E139">
            <v>11354803</v>
          </cell>
          <cell r="F139">
            <v>12613289</v>
          </cell>
          <cell r="G139">
            <v>15045067</v>
          </cell>
          <cell r="H139">
            <v>19094815</v>
          </cell>
          <cell r="I139">
            <v>19135415</v>
          </cell>
          <cell r="J139">
            <v>8063694</v>
          </cell>
          <cell r="K139">
            <v>43179249</v>
          </cell>
          <cell r="L139">
            <v>43059759</v>
          </cell>
          <cell r="M139">
            <v>64256004</v>
          </cell>
          <cell r="N139">
            <v>104188807</v>
          </cell>
          <cell r="O139">
            <v>178359770</v>
          </cell>
          <cell r="P139">
            <v>285699486</v>
          </cell>
          <cell r="Q139">
            <v>187398408.05446762</v>
          </cell>
          <cell r="R139">
            <v>204816536.25140023</v>
          </cell>
          <cell r="S139">
            <v>225314298.85220358</v>
          </cell>
          <cell r="T139">
            <v>229462999.02612028</v>
          </cell>
          <cell r="U139">
            <v>230817136.67112064</v>
          </cell>
          <cell r="V139">
            <v>241679675.93064594</v>
          </cell>
          <cell r="W139">
            <v>262389928.42397761</v>
          </cell>
          <cell r="X139">
            <v>311647245.45708984</v>
          </cell>
          <cell r="Y139">
            <v>309787526.62816477</v>
          </cell>
          <cell r="Z139">
            <v>300446193.91042221</v>
          </cell>
          <cell r="AA139">
            <v>318299144.68919629</v>
          </cell>
          <cell r="AB139">
            <v>345063375.28836048</v>
          </cell>
          <cell r="AC139">
            <v>393271570.27691621</v>
          </cell>
          <cell r="AD139">
            <v>433827636.43789667</v>
          </cell>
          <cell r="AE139">
            <v>434107550.74835151</v>
          </cell>
          <cell r="AF139">
            <v>379982480.752473</v>
          </cell>
          <cell r="AG139">
            <v>402731756.06888831</v>
          </cell>
          <cell r="AH139">
            <v>425790362.06342179</v>
          </cell>
          <cell r="AI139">
            <v>462794470.27611709</v>
          </cell>
          <cell r="AJ139">
            <v>471933314.66539657</v>
          </cell>
          <cell r="AK139">
            <v>469186439.29817253</v>
          </cell>
          <cell r="AL139">
            <v>446412442.02325743</v>
          </cell>
          <cell r="AM139">
            <v>465694587.18556893</v>
          </cell>
          <cell r="AN139">
            <v>482369494.83482754</v>
          </cell>
          <cell r="AO139">
            <v>499812997.74749064</v>
          </cell>
          <cell r="AP139">
            <v>522016844.46628493</v>
          </cell>
          <cell r="DK139"/>
        </row>
        <row r="140">
          <cell r="B140">
            <v>0</v>
          </cell>
          <cell r="C140">
            <v>7299417</v>
          </cell>
          <cell r="D140">
            <v>4247553</v>
          </cell>
          <cell r="E140">
            <v>8889819</v>
          </cell>
          <cell r="F140">
            <v>1554513</v>
          </cell>
          <cell r="G140">
            <v>14655372</v>
          </cell>
          <cell r="H140">
            <v>24325149</v>
          </cell>
          <cell r="I140">
            <v>24232162</v>
          </cell>
          <cell r="J140">
            <v>13886150</v>
          </cell>
          <cell r="K140">
            <v>26567329</v>
          </cell>
          <cell r="L140">
            <v>40277987</v>
          </cell>
          <cell r="M140">
            <v>74651823</v>
          </cell>
          <cell r="N140">
            <v>114997212</v>
          </cell>
          <cell r="O140">
            <v>228402500</v>
          </cell>
          <cell r="P140">
            <v>251626126</v>
          </cell>
          <cell r="Q140">
            <v>190065868.83781767</v>
          </cell>
          <cell r="R140">
            <v>207747570.2872304</v>
          </cell>
          <cell r="S140">
            <v>228538666.81966308</v>
          </cell>
          <cell r="T140">
            <v>232746737.10908294</v>
          </cell>
          <cell r="U140">
            <v>234120253.18709138</v>
          </cell>
          <cell r="V140">
            <v>245138241.18560976</v>
          </cell>
          <cell r="W140">
            <v>266144868.45443362</v>
          </cell>
          <cell r="X140">
            <v>316107084.00492197</v>
          </cell>
          <cell r="Y140">
            <v>314220751.60619235</v>
          </cell>
          <cell r="Z140">
            <v>304745739.42761701</v>
          </cell>
          <cell r="AA140">
            <v>322854175.46812975</v>
          </cell>
          <cell r="AB140">
            <v>350001416.5031929</v>
          </cell>
          <cell r="AC140">
            <v>398899496.51228207</v>
          </cell>
          <cell r="AD140">
            <v>440035941.64291418</v>
          </cell>
          <cell r="AE140">
            <v>440319861.67666698</v>
          </cell>
          <cell r="AF140">
            <v>385420233.01842099</v>
          </cell>
          <cell r="AG140">
            <v>408495062.61606413</v>
          </cell>
          <cell r="AH140">
            <v>431883649.57905716</v>
          </cell>
          <cell r="AI140">
            <v>469417306.34589767</v>
          </cell>
          <cell r="AJ140">
            <v>478686932.47987109</v>
          </cell>
          <cell r="AK140">
            <v>475900747.8589077</v>
          </cell>
          <cell r="AL140">
            <v>452800842.51833361</v>
          </cell>
          <cell r="AM140">
            <v>472358925.47741157</v>
          </cell>
          <cell r="AN140">
            <v>489272459.9619776</v>
          </cell>
          <cell r="AO140">
            <v>506965588.71871006</v>
          </cell>
          <cell r="AP140">
            <v>529487184.34416127</v>
          </cell>
          <cell r="DK140"/>
        </row>
        <row r="141">
          <cell r="B141">
            <v>0</v>
          </cell>
          <cell r="C141">
            <v>4009508</v>
          </cell>
          <cell r="D141">
            <v>2698792</v>
          </cell>
          <cell r="E141">
            <v>9767985</v>
          </cell>
          <cell r="F141">
            <v>5323420</v>
          </cell>
          <cell r="G141">
            <v>13475904</v>
          </cell>
          <cell r="H141">
            <v>18860534</v>
          </cell>
          <cell r="I141">
            <v>21583936</v>
          </cell>
          <cell r="J141">
            <v>28618283</v>
          </cell>
          <cell r="K141">
            <v>37653169</v>
          </cell>
          <cell r="L141">
            <v>44831236</v>
          </cell>
          <cell r="M141">
            <v>49922849</v>
          </cell>
          <cell r="N141">
            <v>118717748</v>
          </cell>
          <cell r="O141">
            <v>226606008</v>
          </cell>
          <cell r="P141">
            <v>251116801</v>
          </cell>
          <cell r="Q141">
            <v>193511743.0486123</v>
          </cell>
          <cell r="R141">
            <v>211533933.20513019</v>
          </cell>
          <cell r="S141">
            <v>232703963.82966334</v>
          </cell>
          <cell r="T141">
            <v>236988729.51088852</v>
          </cell>
          <cell r="U141">
            <v>238387279.00005898</v>
          </cell>
          <cell r="V141">
            <v>249606078.49846527</v>
          </cell>
          <cell r="W141">
            <v>270995568.07663333</v>
          </cell>
          <cell r="X141">
            <v>321868384.31426781</v>
          </cell>
          <cell r="Y141">
            <v>319947672.02346283</v>
          </cell>
          <cell r="Z141">
            <v>310299970.29328412</v>
          </cell>
          <cell r="AA141">
            <v>328738446.82779711</v>
          </cell>
          <cell r="AB141">
            <v>356380467.68934071</v>
          </cell>
          <cell r="AC141">
            <v>406169753.67810476</v>
          </cell>
          <cell r="AD141">
            <v>448055942.8861357</v>
          </cell>
          <cell r="AE141">
            <v>448345037.5858832</v>
          </cell>
          <cell r="AF141">
            <v>392444820.00199711</v>
          </cell>
          <cell r="AG141">
            <v>415940206.52362531</v>
          </cell>
          <cell r="AH141">
            <v>439755068.8854416</v>
          </cell>
          <cell r="AI141">
            <v>477972806.07718748</v>
          </cell>
          <cell r="AJ141">
            <v>487411378.44051003</v>
          </cell>
          <cell r="AK141">
            <v>484574413.412745</v>
          </cell>
          <cell r="AL141">
            <v>461053494.12304205</v>
          </cell>
          <cell r="AM141">
            <v>480968038.53174889</v>
          </cell>
          <cell r="AN141">
            <v>498189835.48934621</v>
          </cell>
          <cell r="AO141">
            <v>516205435.43808097</v>
          </cell>
          <cell r="AP141">
            <v>539137504.86310661</v>
          </cell>
          <cell r="DK141"/>
        </row>
        <row r="142">
          <cell r="B142">
            <v>0</v>
          </cell>
          <cell r="C142">
            <v>5768104</v>
          </cell>
          <cell r="D142">
            <v>2734414</v>
          </cell>
          <cell r="E142">
            <v>11053064</v>
          </cell>
          <cell r="F142">
            <v>13879279</v>
          </cell>
          <cell r="G142">
            <v>13037453</v>
          </cell>
          <cell r="H142">
            <v>20108545</v>
          </cell>
          <cell r="I142">
            <v>25021680</v>
          </cell>
          <cell r="J142">
            <v>35905766</v>
          </cell>
          <cell r="K142">
            <v>46592429</v>
          </cell>
          <cell r="L142">
            <v>20889246</v>
          </cell>
          <cell r="M142">
            <v>72254487</v>
          </cell>
          <cell r="N142">
            <v>107988833</v>
          </cell>
          <cell r="O142">
            <v>207126963</v>
          </cell>
          <cell r="P142">
            <v>284446069</v>
          </cell>
          <cell r="Q142">
            <v>211544890.34916314</v>
          </cell>
          <cell r="R142">
            <v>232447756.1543175</v>
          </cell>
          <cell r="S142">
            <v>255710813.96178031</v>
          </cell>
          <cell r="T142">
            <v>260419203.54806</v>
          </cell>
          <cell r="U142">
            <v>261956024.07469007</v>
          </cell>
          <cell r="V142">
            <v>274283997.79804009</v>
          </cell>
          <cell r="W142">
            <v>297788211.90873742</v>
          </cell>
          <cell r="X142">
            <v>353690694.33561963</v>
          </cell>
          <cell r="Y142">
            <v>351580086.09678602</v>
          </cell>
          <cell r="Z142">
            <v>340978540.58942062</v>
          </cell>
          <cell r="AA142">
            <v>361239982.48865175</v>
          </cell>
          <cell r="AB142">
            <v>391614899.77724504</v>
          </cell>
          <cell r="AC142">
            <v>446326726.07033795</v>
          </cell>
          <cell r="AD142">
            <v>492354096.46778798</v>
          </cell>
          <cell r="AE142">
            <v>492671773.22656715</v>
          </cell>
          <cell r="AF142">
            <v>431244843.0455265</v>
          </cell>
          <cell r="AG142">
            <v>457063158.7841875</v>
          </cell>
          <cell r="AH142">
            <v>483232536.12829411</v>
          </cell>
          <cell r="AI142">
            <v>525228763.97180539</v>
          </cell>
          <cell r="AJ142">
            <v>535600504.02273577</v>
          </cell>
          <cell r="AK142">
            <v>532483055.4649539</v>
          </cell>
          <cell r="AL142">
            <v>506636682.59825939</v>
          </cell>
          <cell r="AM142">
            <v>528520127.45507324</v>
          </cell>
          <cell r="AN142">
            <v>547444599.75643575</v>
          </cell>
          <cell r="AO142">
            <v>567241356.33542073</v>
          </cell>
          <cell r="AP142">
            <v>592440661.2462461</v>
          </cell>
          <cell r="DK142"/>
        </row>
        <row r="143">
          <cell r="B143">
            <v>349738</v>
          </cell>
          <cell r="C143">
            <v>3700399</v>
          </cell>
          <cell r="D143">
            <v>3675591</v>
          </cell>
          <cell r="E143">
            <v>11258442</v>
          </cell>
          <cell r="F143">
            <v>15943396</v>
          </cell>
          <cell r="G143">
            <v>12344252</v>
          </cell>
          <cell r="H143">
            <v>26977711</v>
          </cell>
          <cell r="I143">
            <v>22579304</v>
          </cell>
          <cell r="J143">
            <v>36871698</v>
          </cell>
          <cell r="K143">
            <v>40119894</v>
          </cell>
          <cell r="L143">
            <v>43128210</v>
          </cell>
          <cell r="M143">
            <v>101107386</v>
          </cell>
          <cell r="N143">
            <v>163685380</v>
          </cell>
          <cell r="O143">
            <v>201017950</v>
          </cell>
          <cell r="P143">
            <v>254007376</v>
          </cell>
          <cell r="Q143">
            <v>229022357.08691242</v>
          </cell>
          <cell r="R143">
            <v>282418876.1436699</v>
          </cell>
          <cell r="S143">
            <v>310682976.21649331</v>
          </cell>
          <cell r="T143">
            <v>316403565.29596317</v>
          </cell>
          <cell r="U143">
            <v>318270768.20274127</v>
          </cell>
          <cell r="V143">
            <v>333248983.27213436</v>
          </cell>
          <cell r="W143">
            <v>361806082.91295201</v>
          </cell>
          <cell r="X143">
            <v>429726361.09434277</v>
          </cell>
          <cell r="Y143">
            <v>427162018.82383597</v>
          </cell>
          <cell r="Z143">
            <v>414281375.80490148</v>
          </cell>
          <cell r="AA143">
            <v>438898579.02037263</v>
          </cell>
          <cell r="AB143">
            <v>475803430.86977649</v>
          </cell>
          <cell r="AC143">
            <v>542277088.21583819</v>
          </cell>
          <cell r="AD143">
            <v>598199323.96702552</v>
          </cell>
          <cell r="AE143">
            <v>598585294.19395173</v>
          </cell>
          <cell r="AF143">
            <v>523952934.33082581</v>
          </cell>
          <cell r="AG143">
            <v>555321616.20355725</v>
          </cell>
          <cell r="AH143">
            <v>587116830.15260339</v>
          </cell>
          <cell r="AI143">
            <v>638141316.9708972</v>
          </cell>
          <cell r="AJ143">
            <v>650742751.44933295</v>
          </cell>
          <cell r="AK143">
            <v>646955120.48790538</v>
          </cell>
          <cell r="AL143">
            <v>615552349.82594168</v>
          </cell>
          <cell r="AM143">
            <v>642140250.71542311</v>
          </cell>
          <cell r="AN143">
            <v>665133065.47683811</v>
          </cell>
          <cell r="AO143">
            <v>689185686.3187232</v>
          </cell>
          <cell r="AP143">
            <v>719802283.74370444</v>
          </cell>
          <cell r="DK143"/>
        </row>
        <row r="144">
          <cell r="B144">
            <v>609819</v>
          </cell>
          <cell r="C144">
            <v>5536882</v>
          </cell>
          <cell r="D144">
            <v>1617101</v>
          </cell>
          <cell r="E144">
            <v>13328506</v>
          </cell>
          <cell r="F144">
            <v>22040473</v>
          </cell>
          <cell r="G144">
            <v>13021687</v>
          </cell>
          <cell r="H144">
            <v>26878185</v>
          </cell>
          <cell r="I144">
            <v>24979072</v>
          </cell>
          <cell r="J144">
            <v>44959932</v>
          </cell>
          <cell r="K144">
            <v>49773555</v>
          </cell>
          <cell r="L144">
            <v>49704530</v>
          </cell>
          <cell r="M144">
            <v>107217732</v>
          </cell>
          <cell r="N144">
            <v>144586770</v>
          </cell>
          <cell r="O144">
            <v>271248613</v>
          </cell>
          <cell r="P144">
            <v>307690828</v>
          </cell>
          <cell r="Q144">
            <v>279923412.01707482</v>
          </cell>
          <cell r="R144">
            <v>320452443.0538559</v>
          </cell>
          <cell r="S144">
            <v>352522891.1865344</v>
          </cell>
          <cell r="T144">
            <v>359013876.38998365</v>
          </cell>
          <cell r="U144">
            <v>361132536.94598007</v>
          </cell>
          <cell r="V144">
            <v>378127879.74003363</v>
          </cell>
          <cell r="W144">
            <v>410530785.91751242</v>
          </cell>
          <cell r="X144">
            <v>487597940.11527967</v>
          </cell>
          <cell r="Y144">
            <v>484688255.90213108</v>
          </cell>
          <cell r="Z144">
            <v>470072966.79722595</v>
          </cell>
          <cell r="AA144">
            <v>498005387.67244387</v>
          </cell>
          <cell r="AB144">
            <v>539880244.25839615</v>
          </cell>
          <cell r="AC144">
            <v>615305960.08212948</v>
          </cell>
          <cell r="AD144">
            <v>678759286.26272488</v>
          </cell>
          <cell r="AE144">
            <v>679197235.39648533</v>
          </cell>
          <cell r="AF144">
            <v>594514078.32292271</v>
          </cell>
          <cell r="AG144">
            <v>630107204.6704073</v>
          </cell>
          <cell r="AH144">
            <v>666184304.49644184</v>
          </cell>
          <cell r="AI144">
            <v>724080298.13453579</v>
          </cell>
          <cell r="AJ144">
            <v>738378777.47039795</v>
          </cell>
          <cell r="AK144">
            <v>734081063.3390007</v>
          </cell>
          <cell r="AL144">
            <v>698449257.43886375</v>
          </cell>
          <cell r="AM144">
            <v>728617771.35708332</v>
          </cell>
          <cell r="AN144">
            <v>754707046.13782406</v>
          </cell>
          <cell r="AO144">
            <v>781998851.89768124</v>
          </cell>
          <cell r="AP144">
            <v>816738610.00733471</v>
          </cell>
          <cell r="DK144"/>
        </row>
        <row r="145">
          <cell r="M145">
            <v>782990100</v>
          </cell>
          <cell r="N145">
            <v>1379369642</v>
          </cell>
          <cell r="O145">
            <v>2355081277</v>
          </cell>
        </row>
        <row r="165">
          <cell r="B165">
            <v>0</v>
          </cell>
          <cell r="C165">
            <v>215640</v>
          </cell>
          <cell r="D165">
            <v>18663</v>
          </cell>
          <cell r="E165">
            <v>613304</v>
          </cell>
          <cell r="F165">
            <v>630860</v>
          </cell>
          <cell r="G165">
            <v>313748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29440496</v>
          </cell>
          <cell r="P165">
            <v>48378427</v>
          </cell>
          <cell r="Q165">
            <v>36068372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</row>
        <row r="166">
          <cell r="B166">
            <v>0</v>
          </cell>
          <cell r="C166">
            <v>236655</v>
          </cell>
          <cell r="D166">
            <v>9705</v>
          </cell>
          <cell r="E166">
            <v>428214</v>
          </cell>
          <cell r="F166">
            <v>890908</v>
          </cell>
          <cell r="G166">
            <v>357612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369069</v>
          </cell>
          <cell r="O166">
            <v>27625299</v>
          </cell>
          <cell r="P166">
            <v>45465400</v>
          </cell>
          <cell r="Q166">
            <v>37563478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</row>
        <row r="167">
          <cell r="B167">
            <v>0</v>
          </cell>
          <cell r="C167">
            <v>755025</v>
          </cell>
          <cell r="D167">
            <v>1006848</v>
          </cell>
          <cell r="E167">
            <v>592656</v>
          </cell>
          <cell r="F167">
            <v>1153647</v>
          </cell>
          <cell r="G167">
            <v>583782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77733</v>
          </cell>
          <cell r="M167">
            <v>0</v>
          </cell>
          <cell r="N167">
            <v>247044</v>
          </cell>
          <cell r="O167">
            <v>35927540</v>
          </cell>
          <cell r="P167">
            <v>45072383</v>
          </cell>
          <cell r="Q167">
            <v>36495940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</row>
        <row r="168">
          <cell r="B168">
            <v>0</v>
          </cell>
          <cell r="C168">
            <v>391384</v>
          </cell>
          <cell r="D168">
            <v>1863128</v>
          </cell>
          <cell r="E168">
            <v>686226</v>
          </cell>
          <cell r="F168">
            <v>945154</v>
          </cell>
          <cell r="G168">
            <v>621806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557772</v>
          </cell>
          <cell r="M168">
            <v>0</v>
          </cell>
          <cell r="N168">
            <v>0</v>
          </cell>
          <cell r="O168">
            <v>33974667</v>
          </cell>
          <cell r="P168">
            <v>52475286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</row>
        <row r="169">
          <cell r="B169">
            <v>0</v>
          </cell>
          <cell r="C169">
            <v>822133</v>
          </cell>
          <cell r="D169">
            <v>2453173</v>
          </cell>
          <cell r="E169">
            <v>705362</v>
          </cell>
          <cell r="F169">
            <v>818082</v>
          </cell>
          <cell r="G169">
            <v>577621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54415742</v>
          </cell>
          <cell r="P169">
            <v>2010329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</row>
        <row r="170">
          <cell r="B170">
            <v>0</v>
          </cell>
          <cell r="C170">
            <v>1539698</v>
          </cell>
          <cell r="D170">
            <v>906500</v>
          </cell>
          <cell r="E170">
            <v>1093912</v>
          </cell>
          <cell r="F170">
            <v>729739</v>
          </cell>
          <cell r="G170">
            <v>500170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105660</v>
          </cell>
          <cell r="M170">
            <v>0</v>
          </cell>
          <cell r="N170">
            <v>432306</v>
          </cell>
          <cell r="O170">
            <v>41543150</v>
          </cell>
          <cell r="P170">
            <v>43911210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</row>
        <row r="171">
          <cell r="B171">
            <v>0</v>
          </cell>
          <cell r="C171">
            <v>1458311</v>
          </cell>
          <cell r="D171">
            <v>757671</v>
          </cell>
          <cell r="E171">
            <v>10972434</v>
          </cell>
          <cell r="F171">
            <v>344722</v>
          </cell>
          <cell r="G171">
            <v>474873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445024</v>
          </cell>
          <cell r="M171">
            <v>438506</v>
          </cell>
          <cell r="N171">
            <v>366519</v>
          </cell>
          <cell r="O171">
            <v>40392351</v>
          </cell>
          <cell r="P171">
            <v>53677623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</row>
        <row r="172">
          <cell r="B172">
            <v>0</v>
          </cell>
          <cell r="C172">
            <v>1776803</v>
          </cell>
          <cell r="D172">
            <v>358250</v>
          </cell>
          <cell r="E172">
            <v>7229572</v>
          </cell>
          <cell r="F172">
            <v>474247</v>
          </cell>
          <cell r="G172">
            <v>333225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274606</v>
          </cell>
          <cell r="N172">
            <v>0</v>
          </cell>
          <cell r="O172">
            <v>54002619</v>
          </cell>
          <cell r="P172">
            <v>48162137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</row>
        <row r="173">
          <cell r="B173">
            <v>0</v>
          </cell>
          <cell r="C173">
            <v>1937964</v>
          </cell>
          <cell r="D173">
            <v>305963</v>
          </cell>
          <cell r="E173">
            <v>1971496</v>
          </cell>
          <cell r="F173">
            <v>368827</v>
          </cell>
          <cell r="G173">
            <v>336516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45782234</v>
          </cell>
          <cell r="P173">
            <v>34597382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</row>
        <row r="174">
          <cell r="B174">
            <v>0</v>
          </cell>
          <cell r="C174">
            <v>2410880</v>
          </cell>
          <cell r="D174">
            <v>570293</v>
          </cell>
          <cell r="E174">
            <v>2016071</v>
          </cell>
          <cell r="F174">
            <v>411779</v>
          </cell>
          <cell r="G174">
            <v>47132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669177</v>
          </cell>
          <cell r="O174">
            <v>56281754</v>
          </cell>
          <cell r="P174">
            <v>55284123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</row>
        <row r="175">
          <cell r="B175">
            <v>0</v>
          </cell>
          <cell r="C175">
            <v>2186856</v>
          </cell>
          <cell r="D175">
            <v>568839</v>
          </cell>
          <cell r="E175">
            <v>1251406</v>
          </cell>
          <cell r="F175">
            <v>365512</v>
          </cell>
          <cell r="G175">
            <v>80928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4652</v>
          </cell>
          <cell r="M175">
            <v>0</v>
          </cell>
          <cell r="N175">
            <v>14109311</v>
          </cell>
          <cell r="O175">
            <v>49803089</v>
          </cell>
          <cell r="P175">
            <v>39534888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</row>
        <row r="176">
          <cell r="B176">
            <v>240476</v>
          </cell>
          <cell r="C176">
            <v>1160739</v>
          </cell>
          <cell r="D176">
            <v>552904</v>
          </cell>
          <cell r="E176">
            <v>1351606</v>
          </cell>
          <cell r="F176">
            <v>322854</v>
          </cell>
          <cell r="G176">
            <v>71180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22953301</v>
          </cell>
          <cell r="O176">
            <v>57399372</v>
          </cell>
          <cell r="P176">
            <v>53407518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7009715</v>
          </cell>
          <cell r="F197">
            <v>13410514</v>
          </cell>
          <cell r="G197">
            <v>9899510</v>
          </cell>
          <cell r="H197">
            <v>8004157</v>
          </cell>
          <cell r="I197">
            <v>20440663</v>
          </cell>
          <cell r="J197">
            <v>15697294</v>
          </cell>
          <cell r="K197">
            <v>16293805</v>
          </cell>
          <cell r="L197">
            <v>22255917</v>
          </cell>
          <cell r="M197">
            <v>29766577</v>
          </cell>
          <cell r="N197">
            <v>34682153</v>
          </cell>
          <cell r="O197">
            <v>37899137</v>
          </cell>
          <cell r="P197">
            <v>24232960</v>
          </cell>
          <cell r="Q197">
            <v>0</v>
          </cell>
          <cell r="R197">
            <v>19880459.240872473</v>
          </cell>
          <cell r="S197">
            <v>17883204.211857177</v>
          </cell>
          <cell r="T197">
            <v>15357222.123277105</v>
          </cell>
          <cell r="U197">
            <v>12728717.603032351</v>
          </cell>
          <cell r="V197">
            <v>10582971.939488428</v>
          </cell>
          <cell r="W197">
            <v>12507148.65575905</v>
          </cell>
          <cell r="X197">
            <v>10832825.809162999</v>
          </cell>
          <cell r="Y197">
            <v>10026968.821137691</v>
          </cell>
          <cell r="Z197">
            <v>9359774.2285729293</v>
          </cell>
          <cell r="AA197">
            <v>9407592.2566096038</v>
          </cell>
          <cell r="AB197">
            <v>4010331.5208647889</v>
          </cell>
          <cell r="AC197">
            <v>2708206.4522907496</v>
          </cell>
          <cell r="AD197">
            <v>2638676.0055625509</v>
          </cell>
          <cell r="AE197">
            <v>2599937.2857147027</v>
          </cell>
          <cell r="AF197">
            <v>2613220.0712804459</v>
          </cell>
          <cell r="AG197">
            <v>2673554.3472431935</v>
          </cell>
          <cell r="AH197">
            <v>2644696.5234150314</v>
          </cell>
          <cell r="AI197">
            <v>2630583.2058870941</v>
          </cell>
          <cell r="AJ197">
            <v>2628465.4639159464</v>
          </cell>
          <cell r="AK197">
            <v>2637622.6569188139</v>
          </cell>
          <cell r="AL197">
            <v>2649158.4246751345</v>
          </cell>
          <cell r="AM197">
            <v>2646718.8324183286</v>
          </cell>
          <cell r="AN197">
            <v>2634016.8466431848</v>
          </cell>
          <cell r="AO197">
            <v>2632398.2867080937</v>
          </cell>
          <cell r="AP197">
            <v>2638103.9223483424</v>
          </cell>
          <cell r="DK197"/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18928695</v>
          </cell>
          <cell r="G198">
            <v>8259742</v>
          </cell>
          <cell r="H198">
            <v>12536147</v>
          </cell>
          <cell r="I198">
            <v>9904741</v>
          </cell>
          <cell r="J198">
            <v>12330044</v>
          </cell>
          <cell r="K198">
            <v>21173236</v>
          </cell>
          <cell r="L198">
            <v>28371747</v>
          </cell>
          <cell r="M198">
            <v>29679663</v>
          </cell>
          <cell r="N198">
            <v>30274954</v>
          </cell>
          <cell r="O198">
            <v>27487584</v>
          </cell>
          <cell r="P198">
            <v>56213823</v>
          </cell>
          <cell r="Q198">
            <v>0</v>
          </cell>
          <cell r="R198">
            <v>23468739.279069103</v>
          </cell>
          <cell r="S198">
            <v>22370115.195129227</v>
          </cell>
          <cell r="T198">
            <v>20731065.204576124</v>
          </cell>
          <cell r="U198">
            <v>20204290.7519814</v>
          </cell>
          <cell r="V198">
            <v>13945855.247800048</v>
          </cell>
          <cell r="W198">
            <v>16481465.292854603</v>
          </cell>
          <cell r="X198">
            <v>14703183.010563359</v>
          </cell>
          <cell r="Y198">
            <v>13917032.601257322</v>
          </cell>
          <cell r="Z198">
            <v>13087457.653946983</v>
          </cell>
          <cell r="AA198">
            <v>12729704.789368644</v>
          </cell>
          <cell r="AB198">
            <v>5455295.6421531457</v>
          </cell>
          <cell r="AC198">
            <v>3675795.7526408397</v>
          </cell>
          <cell r="AD198">
            <v>3662377.0003308752</v>
          </cell>
          <cell r="AE198">
            <v>3635404.9038741626</v>
          </cell>
          <cell r="AF198">
            <v>3536029.1081579574</v>
          </cell>
          <cell r="AG198">
            <v>3636863.7614354319</v>
          </cell>
          <cell r="AH198">
            <v>3629859.0119569371</v>
          </cell>
          <cell r="AI198">
            <v>3619650.8473605146</v>
          </cell>
          <cell r="AJ198">
            <v>3608470.1718168682</v>
          </cell>
          <cell r="AK198">
            <v>3599824.4553540335</v>
          </cell>
          <cell r="AL198">
            <v>3629982.2558467248</v>
          </cell>
          <cell r="AM198">
            <v>3629294.1052878527</v>
          </cell>
          <cell r="AN198">
            <v>3620106.7571510724</v>
          </cell>
          <cell r="AO198">
            <v>3611561.5265570008</v>
          </cell>
          <cell r="AP198">
            <v>3606174.580145542</v>
          </cell>
          <cell r="DK198"/>
        </row>
        <row r="199">
          <cell r="B199">
            <v>0</v>
          </cell>
          <cell r="C199">
            <v>0</v>
          </cell>
          <cell r="D199">
            <v>3118428</v>
          </cell>
          <cell r="E199">
            <v>12720318</v>
          </cell>
          <cell r="F199">
            <v>22679265</v>
          </cell>
          <cell r="G199">
            <v>8280245</v>
          </cell>
          <cell r="H199">
            <v>12145761</v>
          </cell>
          <cell r="I199">
            <v>16616859</v>
          </cell>
          <cell r="J199">
            <v>17342172</v>
          </cell>
          <cell r="K199">
            <v>19249929</v>
          </cell>
          <cell r="L199">
            <v>28001490</v>
          </cell>
          <cell r="M199">
            <v>38322965</v>
          </cell>
          <cell r="N199">
            <v>40479902</v>
          </cell>
          <cell r="O199">
            <v>35663809</v>
          </cell>
          <cell r="P199">
            <v>26633514</v>
          </cell>
          <cell r="Q199">
            <v>7434618</v>
          </cell>
          <cell r="R199">
            <v>23866352.757887889</v>
          </cell>
          <cell r="S199">
            <v>21043662.833512601</v>
          </cell>
          <cell r="T199">
            <v>17997338.760218736</v>
          </cell>
          <cell r="U199">
            <v>15957494.692020211</v>
          </cell>
          <cell r="V199">
            <v>13869557.203442052</v>
          </cell>
          <cell r="W199">
            <v>15174721.022249699</v>
          </cell>
          <cell r="X199">
            <v>13183180.315520521</v>
          </cell>
          <cell r="Y199">
            <v>12318838.705324028</v>
          </cell>
          <cell r="Z199">
            <v>11642828.026550615</v>
          </cell>
          <cell r="AA199">
            <v>11680433.871721221</v>
          </cell>
          <cell r="AB199">
            <v>4923077.0724127758</v>
          </cell>
          <cell r="AC199">
            <v>3295795.0788801303</v>
          </cell>
          <cell r="AD199">
            <v>3241799.6592957973</v>
          </cell>
          <cell r="AE199">
            <v>3234118.8962640604</v>
          </cell>
          <cell r="AF199">
            <v>3244564.9643670064</v>
          </cell>
          <cell r="AG199">
            <v>3282051.3816085178</v>
          </cell>
          <cell r="AH199">
            <v>3257476.2419108585</v>
          </cell>
          <cell r="AI199">
            <v>3248960.9448065762</v>
          </cell>
          <cell r="AJ199">
            <v>3250834.9260617332</v>
          </cell>
          <cell r="AK199">
            <v>3256200.565256048</v>
          </cell>
          <cell r="AL199">
            <v>3261701.031130868</v>
          </cell>
          <cell r="AM199">
            <v>3259665.9960831022</v>
          </cell>
          <cell r="AN199">
            <v>3252002.2286892487</v>
          </cell>
          <cell r="AO199">
            <v>3253434.4857914038</v>
          </cell>
          <cell r="AP199">
            <v>3256777.6917509385</v>
          </cell>
          <cell r="DK199"/>
        </row>
        <row r="200">
          <cell r="B200">
            <v>0</v>
          </cell>
          <cell r="C200">
            <v>0</v>
          </cell>
          <cell r="D200">
            <v>648881</v>
          </cell>
          <cell r="E200">
            <v>8588729</v>
          </cell>
          <cell r="F200">
            <v>22278930</v>
          </cell>
          <cell r="G200">
            <v>10763699</v>
          </cell>
          <cell r="H200">
            <v>18209561</v>
          </cell>
          <cell r="I200">
            <v>17674969</v>
          </cell>
          <cell r="J200">
            <v>18440208</v>
          </cell>
          <cell r="K200">
            <v>24565160</v>
          </cell>
          <cell r="L200">
            <v>26769651</v>
          </cell>
          <cell r="M200">
            <v>36880618</v>
          </cell>
          <cell r="N200">
            <v>38095913</v>
          </cell>
          <cell r="O200">
            <v>36446221</v>
          </cell>
          <cell r="P200">
            <v>27627664</v>
          </cell>
          <cell r="Q200">
            <v>18783896.830137823</v>
          </cell>
          <cell r="R200">
            <v>25636030.997711245</v>
          </cell>
          <cell r="S200">
            <v>23651913.529208843</v>
          </cell>
          <cell r="T200">
            <v>20835365.962812115</v>
          </cell>
          <cell r="U200">
            <v>19176027.473370172</v>
          </cell>
          <cell r="V200">
            <v>17370519.877485029</v>
          </cell>
          <cell r="W200">
            <v>17455067.646641575</v>
          </cell>
          <cell r="X200">
            <v>15449238.351296905</v>
          </cell>
          <cell r="Y200">
            <v>14599473.761025619</v>
          </cell>
          <cell r="Z200">
            <v>13879870.531896766</v>
          </cell>
          <cell r="AA200">
            <v>13897794.735590452</v>
          </cell>
          <cell r="AB200">
            <v>5790880.3866501004</v>
          </cell>
          <cell r="AC200">
            <v>3862309.5878242264</v>
          </cell>
          <cell r="AD200">
            <v>3841966.7792172688</v>
          </cell>
          <cell r="AE200">
            <v>3855519.5921935472</v>
          </cell>
          <cell r="AF200">
            <v>3860498.5376640153</v>
          </cell>
          <cell r="AG200">
            <v>3860586.9244334013</v>
          </cell>
          <cell r="AH200">
            <v>3855591.379785446</v>
          </cell>
          <cell r="AI200">
            <v>3854098.4446657165</v>
          </cell>
          <cell r="AJ200">
            <v>3857273.0860914784</v>
          </cell>
          <cell r="AK200">
            <v>3857835.9359846418</v>
          </cell>
          <cell r="AL200">
            <v>3856577.2515543932</v>
          </cell>
          <cell r="AM200">
            <v>3856176.2842664924</v>
          </cell>
          <cell r="AN200">
            <v>3854832.6426587361</v>
          </cell>
          <cell r="AO200">
            <v>3857258.9757484249</v>
          </cell>
          <cell r="AP200">
            <v>3857609.6745280121</v>
          </cell>
          <cell r="DK200"/>
        </row>
        <row r="201">
          <cell r="B201">
            <v>0</v>
          </cell>
          <cell r="C201">
            <v>0</v>
          </cell>
          <cell r="D201">
            <v>3437634</v>
          </cell>
          <cell r="E201">
            <v>10289247</v>
          </cell>
          <cell r="F201">
            <v>19246073</v>
          </cell>
          <cell r="G201">
            <v>18662279</v>
          </cell>
          <cell r="H201">
            <v>15120606</v>
          </cell>
          <cell r="I201">
            <v>20849205</v>
          </cell>
          <cell r="J201">
            <v>24130252</v>
          </cell>
          <cell r="K201">
            <v>29546118</v>
          </cell>
          <cell r="L201">
            <v>32437067</v>
          </cell>
          <cell r="M201">
            <v>30652398</v>
          </cell>
          <cell r="N201">
            <v>40896458</v>
          </cell>
          <cell r="O201">
            <v>42199340</v>
          </cell>
          <cell r="P201">
            <v>29680714</v>
          </cell>
          <cell r="Q201">
            <v>20510382.244069804</v>
          </cell>
          <cell r="R201">
            <v>27054449.148971412</v>
          </cell>
          <cell r="S201">
            <v>25954708.324242711</v>
          </cell>
          <cell r="T201">
            <v>23374585.168831293</v>
          </cell>
          <cell r="U201">
            <v>20828122.607654978</v>
          </cell>
          <cell r="V201">
            <v>18919646.918641642</v>
          </cell>
          <cell r="W201">
            <v>19003338.354819603</v>
          </cell>
          <cell r="X201">
            <v>16953788.45085337</v>
          </cell>
          <cell r="Y201">
            <v>16021362.96608695</v>
          </cell>
          <cell r="Z201">
            <v>15147455.663899247</v>
          </cell>
          <cell r="AA201">
            <v>15184516.297817789</v>
          </cell>
          <cell r="AB201">
            <v>6331573.9794982271</v>
          </cell>
          <cell r="AC201">
            <v>4238447.1127133425</v>
          </cell>
          <cell r="AD201">
            <v>4216148.148970251</v>
          </cell>
          <cell r="AE201">
            <v>4207626.573305347</v>
          </cell>
          <cell r="AF201">
            <v>4217921.193838276</v>
          </cell>
          <cell r="AG201">
            <v>4221049.319665486</v>
          </cell>
          <cell r="AH201">
            <v>4220527.1126154903</v>
          </cell>
          <cell r="AI201">
            <v>4216544.8903715238</v>
          </cell>
          <cell r="AJ201">
            <v>4216648.7105512964</v>
          </cell>
          <cell r="AK201">
            <v>4219544.7052228348</v>
          </cell>
          <cell r="AL201">
            <v>4220312.1833318993</v>
          </cell>
          <cell r="AM201">
            <v>4220238.4696985409</v>
          </cell>
          <cell r="AN201">
            <v>4216654.4696789701</v>
          </cell>
          <cell r="AO201">
            <v>4216733.8179592248</v>
          </cell>
          <cell r="AP201">
            <v>4218538.2454084139</v>
          </cell>
          <cell r="DK201"/>
        </row>
        <row r="202">
          <cell r="B202">
            <v>0</v>
          </cell>
          <cell r="C202">
            <v>0</v>
          </cell>
          <cell r="D202">
            <v>2690200</v>
          </cell>
          <cell r="E202">
            <v>12342494</v>
          </cell>
          <cell r="F202">
            <v>20264838</v>
          </cell>
          <cell r="G202">
            <v>15264048</v>
          </cell>
          <cell r="H202">
            <v>21367049</v>
          </cell>
          <cell r="I202">
            <v>16598675</v>
          </cell>
          <cell r="J202">
            <v>23114771</v>
          </cell>
          <cell r="K202">
            <v>28703132</v>
          </cell>
          <cell r="L202">
            <v>17009086</v>
          </cell>
          <cell r="M202">
            <v>35547106</v>
          </cell>
          <cell r="N202">
            <v>32117632</v>
          </cell>
          <cell r="O202">
            <v>36166734</v>
          </cell>
          <cell r="P202">
            <v>56471169</v>
          </cell>
          <cell r="Q202">
            <v>20293640.747774504</v>
          </cell>
          <cell r="R202">
            <v>29292945.59642696</v>
          </cell>
          <cell r="S202">
            <v>27714957.653552011</v>
          </cell>
          <cell r="T202">
            <v>26536959.200748578</v>
          </cell>
          <cell r="U202">
            <v>26379251.493636698</v>
          </cell>
          <cell r="V202">
            <v>20927853.432665158</v>
          </cell>
          <cell r="W202">
            <v>21412140.116241176</v>
          </cell>
          <cell r="X202">
            <v>19289594.023034297</v>
          </cell>
          <cell r="Y202">
            <v>18522299.294129293</v>
          </cell>
          <cell r="Z202">
            <v>17592298.077749718</v>
          </cell>
          <cell r="AA202">
            <v>17248973.813615233</v>
          </cell>
          <cell r="AB202">
            <v>7235792.7172899777</v>
          </cell>
          <cell r="AC202">
            <v>4822398.5057585742</v>
          </cell>
          <cell r="AD202">
            <v>4874289.2879287619</v>
          </cell>
          <cell r="AE202">
            <v>4886749.4660415892</v>
          </cell>
          <cell r="AF202">
            <v>4791381.6148931207</v>
          </cell>
          <cell r="AG202">
            <v>4823861.8115266534</v>
          </cell>
          <cell r="AH202">
            <v>4841755.0258071842</v>
          </cell>
          <cell r="AI202">
            <v>4846056.4747068742</v>
          </cell>
          <cell r="AJ202">
            <v>4838668.4488170343</v>
          </cell>
          <cell r="AK202">
            <v>4823235.0358807584</v>
          </cell>
          <cell r="AL202">
            <v>4838293.016711277</v>
          </cell>
          <cell r="AM202">
            <v>4839736.1372297406</v>
          </cell>
          <cell r="AN202">
            <v>4843607.4412394613</v>
          </cell>
          <cell r="AO202">
            <v>4837960.878595084</v>
          </cell>
          <cell r="AP202">
            <v>4828344.6751501728</v>
          </cell>
          <cell r="DK202"/>
        </row>
        <row r="203">
          <cell r="B203">
            <v>0</v>
          </cell>
          <cell r="C203">
            <v>0</v>
          </cell>
          <cell r="D203">
            <v>3085274</v>
          </cell>
          <cell r="E203">
            <v>16522932</v>
          </cell>
          <cell r="F203">
            <v>25215033</v>
          </cell>
          <cell r="G203">
            <v>11498106</v>
          </cell>
          <cell r="H203">
            <v>20123725</v>
          </cell>
          <cell r="I203">
            <v>18588383</v>
          </cell>
          <cell r="J203">
            <v>20010805</v>
          </cell>
          <cell r="K203">
            <v>28383489</v>
          </cell>
          <cell r="L203">
            <v>21436366</v>
          </cell>
          <cell r="M203">
            <v>2624839</v>
          </cell>
          <cell r="N203">
            <v>13887702</v>
          </cell>
          <cell r="O203">
            <v>43951303</v>
          </cell>
          <cell r="P203">
            <v>22045675</v>
          </cell>
          <cell r="Q203">
            <v>14613410.606759492</v>
          </cell>
          <cell r="R203">
            <v>15307116.154142732</v>
          </cell>
          <cell r="S203">
            <v>17284380.951269526</v>
          </cell>
          <cell r="T203">
            <v>17840507.414250024</v>
          </cell>
          <cell r="U203">
            <v>14330999.108120734</v>
          </cell>
          <cell r="V203">
            <v>12756923.716265758</v>
          </cell>
          <cell r="W203">
            <v>12685079.019935252</v>
          </cell>
          <cell r="X203">
            <v>11748688.660367265</v>
          </cell>
          <cell r="Y203">
            <v>11216014.982636947</v>
          </cell>
          <cell r="Z203">
            <v>10360355.034604285</v>
          </cell>
          <cell r="AA203">
            <v>10370657.896554619</v>
          </cell>
          <cell r="AB203">
            <v>4336984.276469104</v>
          </cell>
          <cell r="AC203">
            <v>2937172.1650918163</v>
          </cell>
          <cell r="AD203">
            <v>2951582.8901676182</v>
          </cell>
          <cell r="AE203">
            <v>2877876.3985011908</v>
          </cell>
          <cell r="AF203">
            <v>2880738.3045985061</v>
          </cell>
          <cell r="AG203">
            <v>2891322.8509794036</v>
          </cell>
          <cell r="AH203">
            <v>2911072.7788261957</v>
          </cell>
          <cell r="AI203">
            <v>2905272.9152116128</v>
          </cell>
          <cell r="AJ203">
            <v>2893154.4170922847</v>
          </cell>
          <cell r="AK203">
            <v>2898058.4724425129</v>
          </cell>
          <cell r="AL203">
            <v>2906246.1881505889</v>
          </cell>
          <cell r="AM203">
            <v>2907738.5218677074</v>
          </cell>
          <cell r="AN203">
            <v>2902518.6446145838</v>
          </cell>
          <cell r="AO203">
            <v>2893256.6496233819</v>
          </cell>
          <cell r="AP203">
            <v>2896312.2533416003</v>
          </cell>
          <cell r="DK203"/>
        </row>
        <row r="204">
          <cell r="B204">
            <v>0</v>
          </cell>
          <cell r="C204">
            <v>0</v>
          </cell>
          <cell r="D204">
            <v>1030821</v>
          </cell>
          <cell r="E204">
            <v>22376937</v>
          </cell>
          <cell r="F204">
            <v>8424713</v>
          </cell>
          <cell r="G204">
            <v>14788260</v>
          </cell>
          <cell r="H204">
            <v>15511792</v>
          </cell>
          <cell r="I204">
            <v>14587142</v>
          </cell>
          <cell r="J204">
            <v>21371118</v>
          </cell>
          <cell r="K204">
            <v>25211923</v>
          </cell>
          <cell r="L204">
            <v>23531204</v>
          </cell>
          <cell r="M204">
            <v>26736891</v>
          </cell>
          <cell r="N204">
            <v>14784167</v>
          </cell>
          <cell r="O204">
            <v>11913351</v>
          </cell>
          <cell r="P204">
            <v>22976837</v>
          </cell>
          <cell r="Q204">
            <v>13889072.991061935</v>
          </cell>
          <cell r="R204">
            <v>13809419.090967605</v>
          </cell>
          <cell r="S204">
            <v>11673993.698898958</v>
          </cell>
          <cell r="T204">
            <v>11468099.439572299</v>
          </cell>
          <cell r="U204">
            <v>12146792.633668374</v>
          </cell>
          <cell r="V204">
            <v>10122971.440848617</v>
          </cell>
          <cell r="W204">
            <v>9690754.3042836841</v>
          </cell>
          <cell r="X204">
            <v>8643546.90467011</v>
          </cell>
          <cell r="Y204">
            <v>8420179.8275559042</v>
          </cell>
          <cell r="Z204">
            <v>8095746.8990686275</v>
          </cell>
          <cell r="AA204">
            <v>7936446.948781224</v>
          </cell>
          <cell r="AB204">
            <v>3291282.6834122729</v>
          </cell>
          <cell r="AC204">
            <v>2160886.7261675275</v>
          </cell>
          <cell r="AD204">
            <v>2215836.7967252382</v>
          </cell>
          <cell r="AE204">
            <v>2248818.5830746191</v>
          </cell>
          <cell r="AF204">
            <v>2204568.5968836737</v>
          </cell>
          <cell r="AG204">
            <v>2194188.4556081826</v>
          </cell>
          <cell r="AH204">
            <v>2205285.0462720091</v>
          </cell>
          <cell r="AI204">
            <v>2215151.33962856</v>
          </cell>
          <cell r="AJ204">
            <v>2214971.9676780277</v>
          </cell>
          <cell r="AK204">
            <v>2204107.6219951711</v>
          </cell>
          <cell r="AL204">
            <v>2203889.7065933333</v>
          </cell>
          <cell r="AM204">
            <v>2204859.8316918486</v>
          </cell>
          <cell r="AN204">
            <v>2213739.4957127445</v>
          </cell>
          <cell r="AO204">
            <v>2213602.4042934091</v>
          </cell>
          <cell r="AP204">
            <v>2206833.0812140908</v>
          </cell>
          <cell r="DK204"/>
        </row>
        <row r="205">
          <cell r="B205">
            <v>0</v>
          </cell>
          <cell r="C205">
            <v>0</v>
          </cell>
          <cell r="D205">
            <v>8813936</v>
          </cell>
          <cell r="E205">
            <v>19093804</v>
          </cell>
          <cell r="F205">
            <v>0</v>
          </cell>
          <cell r="G205">
            <v>8527417</v>
          </cell>
          <cell r="H205">
            <v>19321824</v>
          </cell>
          <cell r="I205">
            <v>16856877</v>
          </cell>
          <cell r="J205">
            <v>16534807</v>
          </cell>
          <cell r="K205">
            <v>23093500</v>
          </cell>
          <cell r="L205">
            <v>52471547</v>
          </cell>
          <cell r="M205">
            <v>42753850</v>
          </cell>
          <cell r="N205">
            <v>34372983</v>
          </cell>
          <cell r="O205">
            <v>7807521</v>
          </cell>
          <cell r="P205">
            <v>18250310</v>
          </cell>
          <cell r="Q205">
            <v>18042274.536135055</v>
          </cell>
          <cell r="R205">
            <v>19793062.848750956</v>
          </cell>
          <cell r="S205">
            <v>16022774.236714164</v>
          </cell>
          <cell r="T205">
            <v>12737771.041761836</v>
          </cell>
          <cell r="U205">
            <v>13961597.100472977</v>
          </cell>
          <cell r="V205">
            <v>12946737.819187766</v>
          </cell>
          <cell r="W205">
            <v>12348317.953127079</v>
          </cell>
          <cell r="X205">
            <v>10669364.415884525</v>
          </cell>
          <cell r="Y205">
            <v>10132867.900240419</v>
          </cell>
          <cell r="Z205">
            <v>9917981.0403709169</v>
          </cell>
          <cell r="AA205">
            <v>9885047.4933195375</v>
          </cell>
          <cell r="AB205">
            <v>4073352.21561096</v>
          </cell>
          <cell r="AC205">
            <v>2667341.1039711311</v>
          </cell>
          <cell r="AD205">
            <v>2666544.1842737952</v>
          </cell>
          <cell r="AE205">
            <v>2754994.7334363661</v>
          </cell>
          <cell r="AF205">
            <v>2745846.525922094</v>
          </cell>
          <cell r="AG205">
            <v>2715568.1437406405</v>
          </cell>
          <cell r="AH205">
            <v>2707794.7312379614</v>
          </cell>
          <cell r="AI205">
            <v>2716784.4261861457</v>
          </cell>
          <cell r="AJ205">
            <v>2729931.4053781624</v>
          </cell>
          <cell r="AK205">
            <v>2721886.3864952833</v>
          </cell>
          <cell r="AL205">
            <v>2710559.7751298822</v>
          </cell>
          <cell r="AM205">
            <v>2710058.9382688054</v>
          </cell>
          <cell r="AN205">
            <v>2718149.6637221714</v>
          </cell>
          <cell r="AO205">
            <v>2728197.7121046418</v>
          </cell>
          <cell r="AP205">
            <v>2723185.0464930008</v>
          </cell>
          <cell r="DK205"/>
        </row>
        <row r="206">
          <cell r="B206">
            <v>0</v>
          </cell>
          <cell r="C206">
            <v>0</v>
          </cell>
          <cell r="D206">
            <v>12718015</v>
          </cell>
          <cell r="E206">
            <v>20391826</v>
          </cell>
          <cell r="F206">
            <v>348537</v>
          </cell>
          <cell r="G206">
            <v>8855912</v>
          </cell>
          <cell r="H206">
            <v>10947378</v>
          </cell>
          <cell r="I206">
            <v>16292718</v>
          </cell>
          <cell r="J206">
            <v>0</v>
          </cell>
          <cell r="K206">
            <v>33053069</v>
          </cell>
          <cell r="L206">
            <v>29260171</v>
          </cell>
          <cell r="M206">
            <v>42337170</v>
          </cell>
          <cell r="N206">
            <v>34150366</v>
          </cell>
          <cell r="O206">
            <v>48149722</v>
          </cell>
          <cell r="P206">
            <v>17529275</v>
          </cell>
          <cell r="Q206">
            <v>18677867.257025421</v>
          </cell>
          <cell r="R206">
            <v>24683901.871777788</v>
          </cell>
          <cell r="S206">
            <v>22304498.820663068</v>
          </cell>
          <cell r="T206">
            <v>20290254.418766204</v>
          </cell>
          <cell r="U206">
            <v>16680580.072264178</v>
          </cell>
          <cell r="V206">
            <v>16495248.606508391</v>
          </cell>
          <cell r="W206">
            <v>16438006.438360302</v>
          </cell>
          <cell r="X206">
            <v>14464092.291225439</v>
          </cell>
          <cell r="Y206">
            <v>13642514.508215878</v>
          </cell>
          <cell r="Z206">
            <v>12834568.389892986</v>
          </cell>
          <cell r="AA206">
            <v>13036664.158976998</v>
          </cell>
          <cell r="AB206">
            <v>5416603.5220516613</v>
          </cell>
          <cell r="AC206">
            <v>3616023.0728063597</v>
          </cell>
          <cell r="AD206">
            <v>3590135.396898916</v>
          </cell>
          <cell r="AE206">
            <v>3565157.8860813854</v>
          </cell>
          <cell r="AF206">
            <v>3621295.5997158336</v>
          </cell>
          <cell r="AG206">
            <v>3611069.0147011089</v>
          </cell>
          <cell r="AH206">
            <v>3599663.2042644233</v>
          </cell>
          <cell r="AI206">
            <v>3596027.6779217697</v>
          </cell>
          <cell r="AJ206">
            <v>3597569.5832361612</v>
          </cell>
          <cell r="AK206">
            <v>3607973.3378784354</v>
          </cell>
          <cell r="AL206">
            <v>3601675.5413734829</v>
          </cell>
          <cell r="AM206">
            <v>3600736.1940407213</v>
          </cell>
          <cell r="AN206">
            <v>3597464.2203323338</v>
          </cell>
          <cell r="AO206">
            <v>3598642.6765369046</v>
          </cell>
          <cell r="AP206">
            <v>3605125.0159678594</v>
          </cell>
          <cell r="DK206"/>
        </row>
        <row r="207">
          <cell r="B207">
            <v>0</v>
          </cell>
          <cell r="C207">
            <v>0</v>
          </cell>
          <cell r="D207">
            <v>10308273</v>
          </cell>
          <cell r="E207">
            <v>21846020</v>
          </cell>
          <cell r="F207">
            <v>9322412</v>
          </cell>
          <cell r="G207">
            <v>12838777</v>
          </cell>
          <cell r="H207">
            <v>14881963</v>
          </cell>
          <cell r="I207">
            <v>11529654</v>
          </cell>
          <cell r="J207">
            <v>10690516</v>
          </cell>
          <cell r="K207">
            <v>24145905</v>
          </cell>
          <cell r="L207">
            <v>40715916</v>
          </cell>
          <cell r="M207">
            <v>28638303</v>
          </cell>
          <cell r="N207">
            <v>25048257</v>
          </cell>
          <cell r="O207">
            <v>45362116</v>
          </cell>
          <cell r="P207">
            <v>8083529</v>
          </cell>
          <cell r="Q207">
            <v>16859024.316303566</v>
          </cell>
          <cell r="R207">
            <v>19886348.568507258</v>
          </cell>
          <cell r="S207">
            <v>18075205.539549988</v>
          </cell>
          <cell r="T207">
            <v>16900310.280594748</v>
          </cell>
          <cell r="U207">
            <v>12997413.007001387</v>
          </cell>
          <cell r="V207">
            <v>13615441.346564511</v>
          </cell>
          <cell r="W207">
            <v>13332226.70327202</v>
          </cell>
          <cell r="X207">
            <v>11752250.490507085</v>
          </cell>
          <cell r="Y207">
            <v>11092384.636007279</v>
          </cell>
          <cell r="Z207">
            <v>10368943.956883863</v>
          </cell>
          <cell r="AA207">
            <v>10616690.670570839</v>
          </cell>
          <cell r="AB207">
            <v>4397115.1120954677</v>
          </cell>
          <cell r="AC207">
            <v>2938062.6226267712</v>
          </cell>
          <cell r="AD207">
            <v>2919048.5884229685</v>
          </cell>
          <cell r="AE207">
            <v>2880262.210245518</v>
          </cell>
          <cell r="AF207">
            <v>2949080.7418252337</v>
          </cell>
          <cell r="AG207">
            <v>2931410.0747303125</v>
          </cell>
          <cell r="AH207">
            <v>2922871.8100645179</v>
          </cell>
          <cell r="AI207">
            <v>2919496.073939573</v>
          </cell>
          <cell r="AJ207">
            <v>2919613.1729532629</v>
          </cell>
          <cell r="AK207">
            <v>2932244.3461680952</v>
          </cell>
          <cell r="AL207">
            <v>2924285.3227665387</v>
          </cell>
          <cell r="AM207">
            <v>2923572.8475701609</v>
          </cell>
          <cell r="AN207">
            <v>2920534.6850577104</v>
          </cell>
          <cell r="AO207">
            <v>2920624.1821610308</v>
          </cell>
          <cell r="AP207">
            <v>2928494.3747025803</v>
          </cell>
          <cell r="DK207"/>
        </row>
        <row r="208">
          <cell r="B208">
            <v>0</v>
          </cell>
          <cell r="C208">
            <v>0</v>
          </cell>
          <cell r="D208">
            <v>4421460</v>
          </cell>
          <cell r="E208">
            <v>15110753</v>
          </cell>
          <cell r="F208">
            <v>11628154</v>
          </cell>
          <cell r="G208">
            <v>8127548</v>
          </cell>
          <cell r="H208">
            <v>15859008</v>
          </cell>
          <cell r="I208">
            <v>19577357</v>
          </cell>
          <cell r="J208">
            <v>23675821</v>
          </cell>
          <cell r="K208">
            <v>30600380</v>
          </cell>
          <cell r="L208">
            <v>36950805</v>
          </cell>
          <cell r="M208">
            <v>44988761</v>
          </cell>
          <cell r="N208">
            <v>32669596</v>
          </cell>
          <cell r="O208">
            <v>48215083</v>
          </cell>
          <cell r="P208">
            <v>4236635</v>
          </cell>
          <cell r="Q208">
            <v>61474518.720732391</v>
          </cell>
          <cell r="R208">
            <v>31073492.569914579</v>
          </cell>
          <cell r="S208">
            <v>28715032.505401701</v>
          </cell>
          <cell r="T208">
            <v>27567097.859590977</v>
          </cell>
          <cell r="U208">
            <v>25187419.70677653</v>
          </cell>
          <cell r="V208">
            <v>27967108.076102614</v>
          </cell>
          <cell r="W208">
            <v>22992570.117455989</v>
          </cell>
          <cell r="X208">
            <v>20773212.27691415</v>
          </cell>
          <cell r="Y208">
            <v>20129878.746382654</v>
          </cell>
          <cell r="Z208">
            <v>19329388.996563092</v>
          </cell>
          <cell r="AA208">
            <v>19622145.567073837</v>
          </cell>
          <cell r="AB208">
            <v>7911322.7464915067</v>
          </cell>
          <cell r="AC208">
            <v>5193303.0692285374</v>
          </cell>
          <cell r="AD208">
            <v>5297336.5122059658</v>
          </cell>
          <cell r="AE208">
            <v>5369274.7212675214</v>
          </cell>
          <cell r="AF208">
            <v>5450595.9908538461</v>
          </cell>
          <cell r="AG208">
            <v>5274215.1643276811</v>
          </cell>
          <cell r="AH208">
            <v>5319148.3838439509</v>
          </cell>
          <cell r="AI208">
            <v>5347114.0093140528</v>
          </cell>
          <cell r="AJ208">
            <v>5360139.8964077532</v>
          </cell>
          <cell r="AK208">
            <v>5357207.7304033861</v>
          </cell>
          <cell r="AL208">
            <v>5313060.5527358875</v>
          </cell>
          <cell r="AM208">
            <v>5316945.0915767029</v>
          </cell>
          <cell r="AN208">
            <v>5342114.1544997916</v>
          </cell>
          <cell r="AO208">
            <v>5352069.653921403</v>
          </cell>
          <cell r="AP208">
            <v>5350242.6889494509</v>
          </cell>
          <cell r="DK208"/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5612400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2859906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2405892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4938884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12677402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4744730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7236919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25177925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2276174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757255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24555303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29840946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32902548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210331</v>
          </cell>
          <cell r="J325">
            <v>139714</v>
          </cell>
          <cell r="K325">
            <v>194630</v>
          </cell>
          <cell r="L325">
            <v>41590</v>
          </cell>
          <cell r="M325">
            <v>289825</v>
          </cell>
          <cell r="N325">
            <v>402120</v>
          </cell>
          <cell r="O325">
            <v>100937</v>
          </cell>
          <cell r="P325">
            <v>9660626</v>
          </cell>
          <cell r="Q325">
            <v>16372550</v>
          </cell>
          <cell r="R325">
            <v>26182438.797614936</v>
          </cell>
          <cell r="S325">
            <v>71838724.914646059</v>
          </cell>
          <cell r="T325">
            <v>93857296.725430235</v>
          </cell>
          <cell r="U325">
            <v>125658564.4711547</v>
          </cell>
          <cell r="V325">
            <v>169330013.3135882</v>
          </cell>
          <cell r="W325">
            <v>193602858.8713778</v>
          </cell>
          <cell r="X325">
            <v>242091548.40398535</v>
          </cell>
          <cell r="Y325">
            <v>253057899.32075387</v>
          </cell>
          <cell r="Z325">
            <v>275462176.70737106</v>
          </cell>
          <cell r="AA325">
            <v>287580160.678868</v>
          </cell>
          <cell r="AB325">
            <v>222493016.48350796</v>
          </cell>
          <cell r="AC325">
            <v>242188863.88938624</v>
          </cell>
          <cell r="AD325">
            <v>271900291.41320002</v>
          </cell>
          <cell r="AE325">
            <v>270958485.92603678</v>
          </cell>
          <cell r="AF325">
            <v>269082448.10783219</v>
          </cell>
          <cell r="AG325">
            <v>280584246.7841081</v>
          </cell>
          <cell r="AH325">
            <v>289698756.54173476</v>
          </cell>
          <cell r="AI325">
            <v>296364712.56034964</v>
          </cell>
          <cell r="AJ325">
            <v>299747823.08860928</v>
          </cell>
          <cell r="AK325">
            <v>308646117.02075291</v>
          </cell>
          <cell r="AL325">
            <v>325545514.02043581</v>
          </cell>
          <cell r="AM325">
            <v>337304404.30988789</v>
          </cell>
          <cell r="AN325">
            <v>337690618.44112271</v>
          </cell>
          <cell r="AO325">
            <v>337125014.36640096</v>
          </cell>
          <cell r="AP325">
            <v>345049411.98056835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190622</v>
          </cell>
          <cell r="J326">
            <v>237996</v>
          </cell>
          <cell r="K326">
            <v>187609</v>
          </cell>
          <cell r="L326">
            <v>0</v>
          </cell>
          <cell r="M326">
            <v>294725</v>
          </cell>
          <cell r="N326">
            <v>2519869</v>
          </cell>
          <cell r="O326">
            <v>3064876</v>
          </cell>
          <cell r="P326">
            <v>1254939</v>
          </cell>
          <cell r="Q326">
            <v>15728119</v>
          </cell>
          <cell r="R326">
            <v>49769109.030017033</v>
          </cell>
          <cell r="S326">
            <v>136410063.87786058</v>
          </cell>
          <cell r="T326">
            <v>178659613.65068796</v>
          </cell>
          <cell r="U326">
            <v>228615208.3670066</v>
          </cell>
          <cell r="V326">
            <v>311957213.97490871</v>
          </cell>
          <cell r="W326">
            <v>362133384.0720005</v>
          </cell>
          <cell r="X326">
            <v>454257575.951814</v>
          </cell>
          <cell r="Y326">
            <v>474189259.34671611</v>
          </cell>
          <cell r="Z326">
            <v>515067003.81089395</v>
          </cell>
          <cell r="AA326">
            <v>538532430.72217834</v>
          </cell>
          <cell r="AB326">
            <v>415940792.25408375</v>
          </cell>
          <cell r="AC326">
            <v>453101106.43873698</v>
          </cell>
          <cell r="AD326">
            <v>509185560.96955699</v>
          </cell>
          <cell r="AE326">
            <v>508035806.06366986</v>
          </cell>
          <cell r="AF326">
            <v>504915344.10027957</v>
          </cell>
          <cell r="AG326">
            <v>526656338.85305774</v>
          </cell>
          <cell r="AH326">
            <v>543714229.79158998</v>
          </cell>
          <cell r="AI326">
            <v>556206414.11382818</v>
          </cell>
          <cell r="AJ326">
            <v>562563938.92635345</v>
          </cell>
          <cell r="AK326">
            <v>579284937.640288</v>
          </cell>
          <cell r="AL326">
            <v>610998757.72198415</v>
          </cell>
          <cell r="AM326">
            <v>633058851.40300572</v>
          </cell>
          <cell r="AN326">
            <v>633783166.94524372</v>
          </cell>
          <cell r="AO326">
            <v>632724907.1701597</v>
          </cell>
          <cell r="AP326">
            <v>647599819.92666256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184825</v>
          </cell>
          <cell r="J327">
            <v>103790</v>
          </cell>
          <cell r="K327">
            <v>183940</v>
          </cell>
          <cell r="L327">
            <v>280826</v>
          </cell>
          <cell r="M327">
            <v>288906</v>
          </cell>
          <cell r="N327">
            <v>2922508</v>
          </cell>
          <cell r="O327">
            <v>2211806</v>
          </cell>
          <cell r="P327">
            <v>7782698</v>
          </cell>
          <cell r="Q327">
            <v>8826708</v>
          </cell>
          <cell r="R327">
            <v>20133954.750928383</v>
          </cell>
          <cell r="S327">
            <v>55068922.522667557</v>
          </cell>
          <cell r="T327">
            <v>71495946.13161619</v>
          </cell>
          <cell r="U327">
            <v>94672703.8684403</v>
          </cell>
          <cell r="V327">
            <v>127038842.03956485</v>
          </cell>
          <cell r="W327">
            <v>146606946.06226254</v>
          </cell>
          <cell r="X327">
            <v>183311874.61042628</v>
          </cell>
          <cell r="Y327">
            <v>191403068.62090603</v>
          </cell>
          <cell r="Z327">
            <v>208189234.01892436</v>
          </cell>
          <cell r="AA327">
            <v>217377392.87950662</v>
          </cell>
          <cell r="AB327">
            <v>168260433.80499935</v>
          </cell>
          <cell r="AC327">
            <v>183139013.65481985</v>
          </cell>
          <cell r="AD327">
            <v>205597022.29338294</v>
          </cell>
          <cell r="AE327">
            <v>204910697.61726433</v>
          </cell>
          <cell r="AF327">
            <v>203523933.66342291</v>
          </cell>
          <cell r="AG327">
            <v>212249282.99278367</v>
          </cell>
          <cell r="AH327">
            <v>219131196.24082625</v>
          </cell>
          <cell r="AI327">
            <v>224167182.04883334</v>
          </cell>
          <cell r="AJ327">
            <v>226727591.49033585</v>
          </cell>
          <cell r="AK327">
            <v>233462263.37527874</v>
          </cell>
          <cell r="AL327">
            <v>246246159.71347085</v>
          </cell>
          <cell r="AM327">
            <v>255137979.39059666</v>
          </cell>
          <cell r="AN327">
            <v>255429626.02287757</v>
          </cell>
          <cell r="AO327">
            <v>255002530.41339225</v>
          </cell>
          <cell r="AP327">
            <v>260997138.52264854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184634</v>
          </cell>
          <cell r="K328">
            <v>245975</v>
          </cell>
          <cell r="L328">
            <v>1234442</v>
          </cell>
          <cell r="M328">
            <v>293289</v>
          </cell>
          <cell r="N328">
            <v>408991</v>
          </cell>
          <cell r="O328">
            <v>2311450</v>
          </cell>
          <cell r="P328">
            <v>8403241</v>
          </cell>
          <cell r="Q328">
            <v>13308048.905589283</v>
          </cell>
          <cell r="R328">
            <v>31816320.088426925</v>
          </cell>
          <cell r="S328">
            <v>87516229.652979359</v>
          </cell>
          <cell r="T328">
            <v>114690822.68038088</v>
          </cell>
          <cell r="U328">
            <v>150061451.47635484</v>
          </cell>
          <cell r="V328">
            <v>202442069.6704239</v>
          </cell>
          <cell r="W328">
            <v>233865427.44251126</v>
          </cell>
          <cell r="X328">
            <v>292896545.58886433</v>
          </cell>
          <cell r="Y328">
            <v>305934444.5542323</v>
          </cell>
          <cell r="Z328">
            <v>332579381.29099256</v>
          </cell>
          <cell r="AA328">
            <v>347384122.91677815</v>
          </cell>
          <cell r="AB328">
            <v>268642630.10744131</v>
          </cell>
          <cell r="AC328">
            <v>292518605.05435014</v>
          </cell>
          <cell r="AD328">
            <v>328537416.85152793</v>
          </cell>
          <cell r="AE328">
            <v>327570325.19799984</v>
          </cell>
          <cell r="AF328">
            <v>325424212.82770789</v>
          </cell>
          <cell r="AG328">
            <v>339399858.27864075</v>
          </cell>
          <cell r="AH328">
            <v>350405082.0411765</v>
          </cell>
          <cell r="AI328">
            <v>358458174.30512685</v>
          </cell>
          <cell r="AJ328">
            <v>362551299.51928526</v>
          </cell>
          <cell r="AK328">
            <v>373322139.26566219</v>
          </cell>
          <cell r="AL328">
            <v>393763558.47419029</v>
          </cell>
          <cell r="AM328">
            <v>407982263.31526423</v>
          </cell>
          <cell r="AN328">
            <v>408448622.59732509</v>
          </cell>
          <cell r="AO328">
            <v>407765619.10970992</v>
          </cell>
          <cell r="AP328">
            <v>417351566.19460899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134485</v>
          </cell>
          <cell r="J329">
            <v>64189</v>
          </cell>
          <cell r="K329">
            <v>254288</v>
          </cell>
          <cell r="L329">
            <v>0</v>
          </cell>
          <cell r="M329">
            <v>287496</v>
          </cell>
          <cell r="N329">
            <v>202831</v>
          </cell>
          <cell r="O329">
            <v>1626715</v>
          </cell>
          <cell r="P329">
            <v>18055498</v>
          </cell>
          <cell r="Q329">
            <v>15695583.131274737</v>
          </cell>
          <cell r="R329">
            <v>41780561.021103673</v>
          </cell>
          <cell r="S329">
            <v>115278881.02848986</v>
          </cell>
          <cell r="T329">
            <v>151068433.84608757</v>
          </cell>
          <cell r="U329">
            <v>199076953.03664705</v>
          </cell>
          <cell r="V329">
            <v>266401465.28689945</v>
          </cell>
          <cell r="W329">
            <v>308291621.86943632</v>
          </cell>
          <cell r="X329">
            <v>386018298.39756542</v>
          </cell>
          <cell r="Y329">
            <v>403229734.6331256</v>
          </cell>
          <cell r="Z329">
            <v>438403054.22398633</v>
          </cell>
          <cell r="AA329">
            <v>457698449.26422077</v>
          </cell>
          <cell r="AB329">
            <v>354118209.6740467</v>
          </cell>
          <cell r="AC329">
            <v>385558497.24723381</v>
          </cell>
          <cell r="AD329">
            <v>432981750.12180865</v>
          </cell>
          <cell r="AE329">
            <v>431649760.04424119</v>
          </cell>
          <cell r="AF329">
            <v>428784834.20417035</v>
          </cell>
          <cell r="AG329">
            <v>447206387.44169664</v>
          </cell>
          <cell r="AH329">
            <v>461707527.31536746</v>
          </cell>
          <cell r="AI329">
            <v>472316737.85257494</v>
          </cell>
          <cell r="AJ329">
            <v>477707934.64939249</v>
          </cell>
          <cell r="AK329">
            <v>491899049.01143104</v>
          </cell>
          <cell r="AL329">
            <v>518835955.28814048</v>
          </cell>
          <cell r="AM329">
            <v>537570582.76409626</v>
          </cell>
          <cell r="AN329">
            <v>538184535.36821783</v>
          </cell>
          <cell r="AO329">
            <v>537284345.16967785</v>
          </cell>
          <cell r="AP329">
            <v>549915216.37465036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127471</v>
          </cell>
          <cell r="J330">
            <v>140194</v>
          </cell>
          <cell r="K330">
            <v>223279</v>
          </cell>
          <cell r="L330">
            <v>508513</v>
          </cell>
          <cell r="M330">
            <v>357317</v>
          </cell>
          <cell r="N330">
            <v>2331749</v>
          </cell>
          <cell r="O330">
            <v>2431985</v>
          </cell>
          <cell r="P330">
            <v>6269264</v>
          </cell>
          <cell r="Q330">
            <v>15877313.805032866</v>
          </cell>
          <cell r="R330">
            <v>40090554.729911327</v>
          </cell>
          <cell r="S330">
            <v>109912763.07836901</v>
          </cell>
          <cell r="T330">
            <v>143928153.63409781</v>
          </cell>
          <cell r="U330">
            <v>186830021.40693691</v>
          </cell>
          <cell r="V330">
            <v>253326951.88233766</v>
          </cell>
          <cell r="W330">
            <v>292980878.73686874</v>
          </cell>
          <cell r="X330">
            <v>367072831.51779979</v>
          </cell>
          <cell r="Y330">
            <v>383321965.71480089</v>
          </cell>
          <cell r="Z330">
            <v>416600885.09563607</v>
          </cell>
          <cell r="AA330">
            <v>435320747.81909347</v>
          </cell>
          <cell r="AB330">
            <v>336504831.94912809</v>
          </cell>
          <cell r="AC330">
            <v>366454290.76937747</v>
          </cell>
          <cell r="AD330">
            <v>411647918.89044106</v>
          </cell>
          <cell r="AE330">
            <v>410524297.58924985</v>
          </cell>
          <cell r="AF330">
            <v>407889172.2767899</v>
          </cell>
          <cell r="AG330">
            <v>425417319.98768061</v>
          </cell>
          <cell r="AH330">
            <v>439206283.68416983</v>
          </cell>
          <cell r="AI330">
            <v>449299655.95658058</v>
          </cell>
          <cell r="AJ330">
            <v>454432264.35824293</v>
          </cell>
          <cell r="AK330">
            <v>467934926.58408231</v>
          </cell>
          <cell r="AL330">
            <v>493555094.71268988</v>
          </cell>
          <cell r="AM330">
            <v>511376509.82642299</v>
          </cell>
          <cell r="AN330">
            <v>511961350.36461264</v>
          </cell>
          <cell r="AO330">
            <v>511105718.42924017</v>
          </cell>
          <cell r="AP330">
            <v>523121130.4948082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120661</v>
          </cell>
          <cell r="J331">
            <v>82231</v>
          </cell>
          <cell r="K331">
            <v>146613</v>
          </cell>
          <cell r="L331">
            <v>1536725</v>
          </cell>
          <cell r="M331">
            <v>1093159</v>
          </cell>
          <cell r="N331">
            <v>1137973</v>
          </cell>
          <cell r="O331">
            <v>1770762</v>
          </cell>
          <cell r="P331">
            <v>10194334</v>
          </cell>
          <cell r="Q331">
            <v>18644432.350191236</v>
          </cell>
          <cell r="R331">
            <v>44099613.937141791</v>
          </cell>
          <cell r="S331">
            <v>119714909.12933441</v>
          </cell>
          <cell r="T331">
            <v>156729366.16105363</v>
          </cell>
          <cell r="U331">
            <v>204877289.07731122</v>
          </cell>
          <cell r="V331">
            <v>276984839.96866107</v>
          </cell>
          <cell r="W331">
            <v>319843626.76435572</v>
          </cell>
          <cell r="X331">
            <v>400302116.39205301</v>
          </cell>
          <cell r="Y331">
            <v>418099543.24597806</v>
          </cell>
          <cell r="Z331">
            <v>454528927.20170164</v>
          </cell>
          <cell r="AA331">
            <v>474837622.02182615</v>
          </cell>
          <cell r="AB331">
            <v>367229900.51074994</v>
          </cell>
          <cell r="AC331">
            <v>399822694.51615721</v>
          </cell>
          <cell r="AD331">
            <v>449029832.94191366</v>
          </cell>
          <cell r="AE331">
            <v>447687612.60758471</v>
          </cell>
          <cell r="AF331">
            <v>444750406.21882141</v>
          </cell>
          <cell r="AG331">
            <v>463838349.9205718</v>
          </cell>
          <cell r="AH331">
            <v>478876025.6222105</v>
          </cell>
          <cell r="AI331">
            <v>489883207.73802304</v>
          </cell>
          <cell r="AJ331">
            <v>495478516.72862762</v>
          </cell>
          <cell r="AK331">
            <v>510198651.27004594</v>
          </cell>
          <cell r="AL331">
            <v>538133553.04368472</v>
          </cell>
          <cell r="AM331">
            <v>557565317.01577449</v>
          </cell>
          <cell r="AN331">
            <v>558203082.99026334</v>
          </cell>
          <cell r="AO331">
            <v>557269834.33797264</v>
          </cell>
          <cell r="AP331">
            <v>570370293.67011321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174175</v>
          </cell>
          <cell r="J332">
            <v>70236</v>
          </cell>
          <cell r="K332">
            <v>271757</v>
          </cell>
          <cell r="L332">
            <v>63855</v>
          </cell>
          <cell r="M332">
            <v>722058</v>
          </cell>
          <cell r="N332">
            <v>2039562</v>
          </cell>
          <cell r="O332">
            <v>3475188</v>
          </cell>
          <cell r="P332">
            <v>11018726</v>
          </cell>
          <cell r="Q332">
            <v>18121210.075139798</v>
          </cell>
          <cell r="R332">
            <v>47239990.308537669</v>
          </cell>
          <cell r="S332">
            <v>130514077.87124597</v>
          </cell>
          <cell r="T332">
            <v>170777984.37477323</v>
          </cell>
          <cell r="U332">
            <v>222275866.58954853</v>
          </cell>
          <cell r="V332">
            <v>300230446.138376</v>
          </cell>
          <cell r="W332">
            <v>347471708.85113049</v>
          </cell>
          <cell r="X332">
            <v>435321484.67285985</v>
          </cell>
          <cell r="Y332">
            <v>454545640.3650158</v>
          </cell>
          <cell r="Z332">
            <v>494004571.30375582</v>
          </cell>
          <cell r="AA332">
            <v>516092136.11016458</v>
          </cell>
          <cell r="AB332">
            <v>399082243.85461897</v>
          </cell>
          <cell r="AC332">
            <v>434569912.87510228</v>
          </cell>
          <cell r="AD332">
            <v>488098371.86020541</v>
          </cell>
          <cell r="AE332">
            <v>486706304.34401494</v>
          </cell>
          <cell r="AF332">
            <v>483555339.51892412</v>
          </cell>
          <cell r="AG332">
            <v>504336771.8224569</v>
          </cell>
          <cell r="AH332">
            <v>520683279.40178376</v>
          </cell>
          <cell r="AI332">
            <v>532645954.37678677</v>
          </cell>
          <cell r="AJ332">
            <v>538729626.88032687</v>
          </cell>
          <cell r="AK332">
            <v>554737404.44404888</v>
          </cell>
          <cell r="AL332">
            <v>585111928.0152998</v>
          </cell>
          <cell r="AM332">
            <v>606238745.74514627</v>
          </cell>
          <cell r="AN332">
            <v>606931515.43055546</v>
          </cell>
          <cell r="AO332">
            <v>605917152.94723928</v>
          </cell>
          <cell r="AP332">
            <v>620161664.5515734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230790</v>
          </cell>
          <cell r="I333">
            <v>137952</v>
          </cell>
          <cell r="J333">
            <v>151082</v>
          </cell>
          <cell r="K333">
            <v>275529</v>
          </cell>
          <cell r="L333">
            <v>371169</v>
          </cell>
          <cell r="M333">
            <v>300122</v>
          </cell>
          <cell r="N333">
            <v>393571</v>
          </cell>
          <cell r="O333">
            <v>2163064</v>
          </cell>
          <cell r="P333">
            <v>20695121</v>
          </cell>
          <cell r="Q333">
            <v>19561239.887186892</v>
          </cell>
          <cell r="R333">
            <v>57196378.827984162</v>
          </cell>
          <cell r="S333">
            <v>158438136.91469371</v>
          </cell>
          <cell r="T333">
            <v>207707531.17644346</v>
          </cell>
          <cell r="U333">
            <v>272210401.21531743</v>
          </cell>
          <cell r="V333">
            <v>364517050.31771886</v>
          </cell>
          <cell r="W333">
            <v>422783169.87744755</v>
          </cell>
          <cell r="X333">
            <v>529699158.65717715</v>
          </cell>
          <cell r="Y333">
            <v>553216309.27787578</v>
          </cell>
          <cell r="Z333">
            <v>601295020.64447892</v>
          </cell>
          <cell r="AA333">
            <v>627805091.66413951</v>
          </cell>
          <cell r="AB333">
            <v>485655028.48193932</v>
          </cell>
          <cell r="AC333">
            <v>528836985.62768936</v>
          </cell>
          <cell r="AD333">
            <v>593954856.84986866</v>
          </cell>
          <cell r="AE333">
            <v>592214013.69778848</v>
          </cell>
          <cell r="AF333">
            <v>588334729.41870618</v>
          </cell>
          <cell r="AG333">
            <v>613646961.06679022</v>
          </cell>
          <cell r="AH333">
            <v>633537549.88372314</v>
          </cell>
          <cell r="AI333">
            <v>648090266.54360902</v>
          </cell>
          <cell r="AJ333">
            <v>655487645.3890146</v>
          </cell>
          <cell r="AK333">
            <v>674963043.56951916</v>
          </cell>
          <cell r="AL333">
            <v>711925965.47816062</v>
          </cell>
          <cell r="AM333">
            <v>737631047.17210543</v>
          </cell>
          <cell r="AN333">
            <v>738472948.13120592</v>
          </cell>
          <cell r="AO333">
            <v>737238126.62097335</v>
          </cell>
          <cell r="AP333">
            <v>754570145.35132217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181093</v>
          </cell>
          <cell r="I334">
            <v>160272</v>
          </cell>
          <cell r="J334">
            <v>229089</v>
          </cell>
          <cell r="K334">
            <v>216574</v>
          </cell>
          <cell r="L334">
            <v>188416</v>
          </cell>
          <cell r="M334">
            <v>437741</v>
          </cell>
          <cell r="N334">
            <v>1764631</v>
          </cell>
          <cell r="O334">
            <v>2895877</v>
          </cell>
          <cell r="P334">
            <v>9266341</v>
          </cell>
          <cell r="Q334">
            <v>20223333.555152789</v>
          </cell>
          <cell r="R334">
            <v>56979087.494944744</v>
          </cell>
          <cell r="S334">
            <v>154446777.87649685</v>
          </cell>
          <cell r="T334">
            <v>202410893.47973916</v>
          </cell>
          <cell r="U334">
            <v>262415001.66691062</v>
          </cell>
          <cell r="V334">
            <v>355512244.73193038</v>
          </cell>
          <cell r="W334">
            <v>411903283.55131447</v>
          </cell>
          <cell r="X334">
            <v>515939900.55258411</v>
          </cell>
          <cell r="Y334">
            <v>538791882.46172917</v>
          </cell>
          <cell r="Z334">
            <v>585518802.14841163</v>
          </cell>
          <cell r="AA334">
            <v>611830248.44069135</v>
          </cell>
          <cell r="AB334">
            <v>472940604.86853898</v>
          </cell>
          <cell r="AC334">
            <v>515030164.72771519</v>
          </cell>
          <cell r="AD334">
            <v>578586018.2915113</v>
          </cell>
          <cell r="AE334">
            <v>577044010.81661201</v>
          </cell>
          <cell r="AF334">
            <v>573360524.79421484</v>
          </cell>
          <cell r="AG334">
            <v>598013443.49350882</v>
          </cell>
          <cell r="AH334">
            <v>617390805.59099126</v>
          </cell>
          <cell r="AI334">
            <v>631579134.77789879</v>
          </cell>
          <cell r="AJ334">
            <v>638794277.7892096</v>
          </cell>
          <cell r="AK334">
            <v>657775923.47029114</v>
          </cell>
          <cell r="AL334">
            <v>693790418.43302131</v>
          </cell>
          <cell r="AM334">
            <v>718841028.67455041</v>
          </cell>
          <cell r="AN334">
            <v>719663281.76985824</v>
          </cell>
          <cell r="AO334">
            <v>718460667.8787055</v>
          </cell>
          <cell r="AP334">
            <v>735350840.53289282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192991</v>
          </cell>
          <cell r="I335">
            <v>68957</v>
          </cell>
          <cell r="J335">
            <v>152783</v>
          </cell>
          <cell r="K335">
            <v>91175</v>
          </cell>
          <cell r="L335">
            <v>188201</v>
          </cell>
          <cell r="M335">
            <v>403482</v>
          </cell>
          <cell r="N335">
            <v>152226</v>
          </cell>
          <cell r="O335">
            <v>0</v>
          </cell>
          <cell r="P335">
            <v>3655714</v>
          </cell>
          <cell r="Q335">
            <v>20123971.125173315</v>
          </cell>
          <cell r="R335">
            <v>48164797.349602126</v>
          </cell>
          <cell r="S335">
            <v>133043937.76577485</v>
          </cell>
          <cell r="T335">
            <v>174602860.39938071</v>
          </cell>
          <cell r="U335">
            <v>225879709.25137934</v>
          </cell>
          <cell r="V335">
            <v>307527381.62205279</v>
          </cell>
          <cell r="W335">
            <v>355278001.20339346</v>
          </cell>
          <cell r="X335">
            <v>445595739.02338171</v>
          </cell>
          <cell r="Y335">
            <v>465404449.19100988</v>
          </cell>
          <cell r="Z335">
            <v>505792693.43018126</v>
          </cell>
          <cell r="AA335">
            <v>528621390.94683194</v>
          </cell>
          <cell r="AB335">
            <v>408354490.67827815</v>
          </cell>
          <cell r="AC335">
            <v>444815499.4983936</v>
          </cell>
          <cell r="AD335">
            <v>499806183.71295327</v>
          </cell>
          <cell r="AE335">
            <v>498563868.8264128</v>
          </cell>
          <cell r="AF335">
            <v>495413625.3095938</v>
          </cell>
          <cell r="AG335">
            <v>516712549.78378665</v>
          </cell>
          <cell r="AH335">
            <v>533466114.97746742</v>
          </cell>
          <cell r="AI335">
            <v>545728418.89480829</v>
          </cell>
          <cell r="AJ335">
            <v>551962576.0185771</v>
          </cell>
          <cell r="AK335">
            <v>568362351.65299749</v>
          </cell>
          <cell r="AL335">
            <v>599479440.28035152</v>
          </cell>
          <cell r="AM335">
            <v>621126869.43814158</v>
          </cell>
          <cell r="AN335">
            <v>621837557.27874005</v>
          </cell>
          <cell r="AO335">
            <v>620798103.85034108</v>
          </cell>
          <cell r="AP335">
            <v>635392015.41745877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178772</v>
          </cell>
          <cell r="I336">
            <v>201266</v>
          </cell>
          <cell r="J336">
            <v>272240</v>
          </cell>
          <cell r="K336">
            <v>137333</v>
          </cell>
          <cell r="L336">
            <v>194662</v>
          </cell>
          <cell r="M336">
            <v>308503</v>
          </cell>
          <cell r="N336">
            <v>1543846</v>
          </cell>
          <cell r="O336">
            <v>2422129</v>
          </cell>
          <cell r="P336">
            <v>5564685</v>
          </cell>
          <cell r="Q336">
            <v>17062339.941113248</v>
          </cell>
          <cell r="R336">
            <v>43520641.180795692</v>
          </cell>
          <cell r="S336">
            <v>119092501.60839956</v>
          </cell>
          <cell r="T336">
            <v>157005083.24319091</v>
          </cell>
          <cell r="U336">
            <v>203358520.52710912</v>
          </cell>
          <cell r="V336">
            <v>276075783.68819708</v>
          </cell>
          <cell r="W336">
            <v>319237069.65708202</v>
          </cell>
          <cell r="X336">
            <v>400302653.62388659</v>
          </cell>
          <cell r="Y336">
            <v>418238282.08050859</v>
          </cell>
          <cell r="Z336">
            <v>454506628.32126623</v>
          </cell>
          <cell r="AA336">
            <v>474936299.98842728</v>
          </cell>
          <cell r="AB336">
            <v>366915672.78283215</v>
          </cell>
          <cell r="AC336">
            <v>399673796.39598131</v>
          </cell>
          <cell r="AD336">
            <v>449099730.41624707</v>
          </cell>
          <cell r="AE336">
            <v>447974187.91155297</v>
          </cell>
          <cell r="AF336">
            <v>445136769.02387118</v>
          </cell>
          <cell r="AG336">
            <v>464280954.23693538</v>
          </cell>
          <cell r="AH336">
            <v>479334886.1594367</v>
          </cell>
          <cell r="AI336">
            <v>490353846.55170214</v>
          </cell>
          <cell r="AJ336">
            <v>495953320.5968008</v>
          </cell>
          <cell r="AK336">
            <v>510688610.56693208</v>
          </cell>
          <cell r="AL336">
            <v>538649305.60635626</v>
          </cell>
          <cell r="AM336">
            <v>558100124.34282148</v>
          </cell>
          <cell r="AN336">
            <v>558738603.15538108</v>
          </cell>
          <cell r="AO336">
            <v>557804320.40282571</v>
          </cell>
          <cell r="AP336">
            <v>570917432.02633893</v>
          </cell>
        </row>
      </sheetData>
      <sheetData sheetId="11"/>
      <sheetData sheetId="12"/>
      <sheetData sheetId="13"/>
      <sheetData sheetId="14">
        <row r="104">
          <cell r="AZ104">
            <v>5200778</v>
          </cell>
        </row>
        <row r="105">
          <cell r="AZ105">
            <v>3935204</v>
          </cell>
        </row>
        <row r="106">
          <cell r="AZ106">
            <v>5284964</v>
          </cell>
        </row>
        <row r="107">
          <cell r="AZ107">
            <v>3922034</v>
          </cell>
        </row>
        <row r="108">
          <cell r="AZ108">
            <v>1427701</v>
          </cell>
        </row>
        <row r="109">
          <cell r="AZ109">
            <v>6189823</v>
          </cell>
        </row>
        <row r="110">
          <cell r="AZ110">
            <v>6786703</v>
          </cell>
        </row>
        <row r="111">
          <cell r="AZ111">
            <v>8864247</v>
          </cell>
        </row>
        <row r="112">
          <cell r="AZ112">
            <v>6288031.8575616498</v>
          </cell>
        </row>
        <row r="113">
          <cell r="AZ113">
            <v>6308064.7784051979</v>
          </cell>
        </row>
        <row r="114">
          <cell r="AZ114">
            <v>4773213.1709344573</v>
          </cell>
        </row>
        <row r="115">
          <cell r="AZ115">
            <v>6337550.1235528663</v>
          </cell>
        </row>
        <row r="116">
          <cell r="AZ116">
            <v>65318313.930454172</v>
          </cell>
        </row>
        <row r="120">
          <cell r="B120">
            <v>0</v>
          </cell>
          <cell r="C120">
            <v>2275133</v>
          </cell>
          <cell r="D120">
            <v>512733</v>
          </cell>
          <cell r="E120">
            <v>403778</v>
          </cell>
          <cell r="F120">
            <v>234258</v>
          </cell>
          <cell r="G120">
            <v>166050</v>
          </cell>
          <cell r="H120">
            <v>235311</v>
          </cell>
          <cell r="I120">
            <v>449601</v>
          </cell>
          <cell r="J120">
            <v>321773</v>
          </cell>
          <cell r="K120">
            <v>2981550</v>
          </cell>
          <cell r="L120">
            <v>4025292</v>
          </cell>
          <cell r="M120">
            <v>8703348</v>
          </cell>
          <cell r="N120">
            <v>4020554</v>
          </cell>
          <cell r="O120">
            <v>3658476</v>
          </cell>
          <cell r="P120">
            <v>5200778</v>
          </cell>
          <cell r="Q120">
            <v>5416008</v>
          </cell>
          <cell r="R120">
            <v>5937533.8844495649</v>
          </cell>
          <cell r="S120">
            <v>6214707.3119492158</v>
          </cell>
          <cell r="T120">
            <v>6809707.318395297</v>
          </cell>
          <cell r="U120">
            <v>7705781.8718978278</v>
          </cell>
          <cell r="V120">
            <v>8221829.8078431087</v>
          </cell>
          <cell r="W120">
            <v>8373344.3202624619</v>
          </cell>
          <cell r="X120">
            <v>9400006.6353150103</v>
          </cell>
          <cell r="Y120">
            <v>9750870.210260829</v>
          </cell>
          <cell r="Z120">
            <v>10270938.943144886</v>
          </cell>
          <cell r="AA120">
            <v>10853958.908365149</v>
          </cell>
          <cell r="AB120">
            <v>10583586.781363338</v>
          </cell>
          <cell r="AC120">
            <v>11443625.784014061</v>
          </cell>
          <cell r="AD120">
            <v>12641580.616318449</v>
          </cell>
          <cell r="AE120">
            <v>13811853.323497228</v>
          </cell>
          <cell r="AF120">
            <v>13794033.974486617</v>
          </cell>
          <cell r="AG120">
            <v>13840996.832624484</v>
          </cell>
          <cell r="AH120">
            <v>14544871.159587309</v>
          </cell>
          <cell r="AI120">
            <v>15707792.551286601</v>
          </cell>
          <cell r="AJ120">
            <v>16099231.31321382</v>
          </cell>
          <cell r="AK120">
            <v>16066784.200494088</v>
          </cell>
          <cell r="AL120">
            <v>15994169.829607673</v>
          </cell>
          <cell r="AM120">
            <v>15720770.112049596</v>
          </cell>
          <cell r="AN120">
            <v>16322664.884684358</v>
          </cell>
          <cell r="AO120">
            <v>16911485.1891094</v>
          </cell>
          <cell r="AP120">
            <v>17062823.486536875</v>
          </cell>
          <cell r="AX120">
            <v>8346201.1381376339</v>
          </cell>
        </row>
        <row r="121">
          <cell r="B121">
            <v>0</v>
          </cell>
          <cell r="C121">
            <v>725551</v>
          </cell>
          <cell r="D121">
            <v>1722881</v>
          </cell>
          <cell r="E121">
            <v>583120</v>
          </cell>
          <cell r="F121">
            <v>523301</v>
          </cell>
          <cell r="G121">
            <v>390698</v>
          </cell>
          <cell r="H121">
            <v>302371</v>
          </cell>
          <cell r="I121">
            <v>357500</v>
          </cell>
          <cell r="J121">
            <v>1440235</v>
          </cell>
          <cell r="K121">
            <v>2348092</v>
          </cell>
          <cell r="L121">
            <v>3352809</v>
          </cell>
          <cell r="M121">
            <v>4481922</v>
          </cell>
          <cell r="N121">
            <v>4714822</v>
          </cell>
          <cell r="O121">
            <v>2098580</v>
          </cell>
          <cell r="P121">
            <v>3935204</v>
          </cell>
          <cell r="Q121">
            <v>4635669</v>
          </cell>
          <cell r="R121">
            <v>4368884.0825830866</v>
          </cell>
          <cell r="S121">
            <v>5065750.4129629154</v>
          </cell>
          <cell r="T121">
            <v>5180321.0742486808</v>
          </cell>
          <cell r="U121">
            <v>6040317.1538219014</v>
          </cell>
          <cell r="V121">
            <v>6481096.9353217538</v>
          </cell>
          <cell r="W121">
            <v>6512611.9529533442</v>
          </cell>
          <cell r="X121">
            <v>7373888.2269634949</v>
          </cell>
          <cell r="Y121">
            <v>7603250.7819719575</v>
          </cell>
          <cell r="Z121">
            <v>8039398.4959352035</v>
          </cell>
          <cell r="AA121">
            <v>8493683.2100004666</v>
          </cell>
          <cell r="AB121">
            <v>8271844.5337041849</v>
          </cell>
          <cell r="AC121">
            <v>8951175.4451111443</v>
          </cell>
          <cell r="AD121">
            <v>9883140.4629495945</v>
          </cell>
          <cell r="AE121">
            <v>10802992.247526623</v>
          </cell>
          <cell r="AF121">
            <v>10787672.563861012</v>
          </cell>
          <cell r="AG121">
            <v>10823220.59135548</v>
          </cell>
          <cell r="AH121">
            <v>11374556.788697243</v>
          </cell>
          <cell r="AI121">
            <v>12283565.633218382</v>
          </cell>
          <cell r="AJ121">
            <v>12590263.834875172</v>
          </cell>
          <cell r="AK121">
            <v>12564551.721336858</v>
          </cell>
          <cell r="AL121">
            <v>12507669.812683295</v>
          </cell>
          <cell r="AM121">
            <v>12293995.05104439</v>
          </cell>
          <cell r="AN121">
            <v>12764661.331877131</v>
          </cell>
          <cell r="AO121">
            <v>13225184.290717352</v>
          </cell>
          <cell r="AP121">
            <v>13343475.173394755</v>
          </cell>
          <cell r="AX121">
            <v>6800105.5753128696</v>
          </cell>
        </row>
        <row r="122">
          <cell r="B122">
            <v>0</v>
          </cell>
          <cell r="C122">
            <v>765014</v>
          </cell>
          <cell r="D122">
            <v>649714</v>
          </cell>
          <cell r="E122">
            <v>694466</v>
          </cell>
          <cell r="F122">
            <v>738516</v>
          </cell>
          <cell r="G122">
            <v>701443</v>
          </cell>
          <cell r="H122">
            <v>453723</v>
          </cell>
          <cell r="I122">
            <v>457937</v>
          </cell>
          <cell r="J122">
            <v>2271977</v>
          </cell>
          <cell r="K122">
            <v>2875234</v>
          </cell>
          <cell r="L122">
            <v>3562685</v>
          </cell>
          <cell r="M122">
            <v>4066092</v>
          </cell>
          <cell r="N122">
            <v>4778660</v>
          </cell>
          <cell r="O122">
            <v>9786748</v>
          </cell>
          <cell r="P122">
            <v>5284964</v>
          </cell>
          <cell r="Q122">
            <v>6570323</v>
          </cell>
          <cell r="R122">
            <v>6704516.1413329868</v>
          </cell>
          <cell r="S122">
            <v>8495048.8839351721</v>
          </cell>
          <cell r="T122">
            <v>9493159.8891130928</v>
          </cell>
          <cell r="U122">
            <v>9521401.5164470449</v>
          </cell>
          <cell r="V122">
            <v>10451487.852984844</v>
          </cell>
          <cell r="W122">
            <v>10719555.236267576</v>
          </cell>
          <cell r="X122">
            <v>12259716.569288185</v>
          </cell>
          <cell r="Y122">
            <v>12623526.577462206</v>
          </cell>
          <cell r="Z122">
            <v>13136718.482216381</v>
          </cell>
          <cell r="AA122">
            <v>13961294.168036874</v>
          </cell>
          <cell r="AB122">
            <v>13640523.98555973</v>
          </cell>
          <cell r="AC122">
            <v>14765248.113286629</v>
          </cell>
          <cell r="AD122">
            <v>16279553.403193215</v>
          </cell>
          <cell r="AE122">
            <v>17770126.321995769</v>
          </cell>
          <cell r="AF122">
            <v>17765268.397546172</v>
          </cell>
          <cell r="AG122">
            <v>17829633.583749469</v>
          </cell>
          <cell r="AH122">
            <v>18734792.2122459</v>
          </cell>
          <cell r="AI122">
            <v>20226976.48295787</v>
          </cell>
          <cell r="AJ122">
            <v>20730820.570488285</v>
          </cell>
          <cell r="AK122">
            <v>20692352.624093533</v>
          </cell>
          <cell r="AL122">
            <v>20598836.516013481</v>
          </cell>
          <cell r="AM122">
            <v>20245951.83713587</v>
          </cell>
          <cell r="AN122">
            <v>21020440.297812</v>
          </cell>
          <cell r="AO122">
            <v>21779070.204209246</v>
          </cell>
          <cell r="AP122">
            <v>21974432.598501984</v>
          </cell>
          <cell r="AX122">
            <v>4883563.0796355866</v>
          </cell>
        </row>
        <row r="123">
          <cell r="B123">
            <v>0</v>
          </cell>
          <cell r="C123">
            <v>279648</v>
          </cell>
          <cell r="D123">
            <v>370302</v>
          </cell>
          <cell r="E123">
            <v>649996</v>
          </cell>
          <cell r="F123">
            <v>918911</v>
          </cell>
          <cell r="G123">
            <v>558072</v>
          </cell>
          <cell r="H123">
            <v>390974</v>
          </cell>
          <cell r="I123">
            <v>335064</v>
          </cell>
          <cell r="J123">
            <v>1030741</v>
          </cell>
          <cell r="K123">
            <v>2995674</v>
          </cell>
          <cell r="L123">
            <v>3082235</v>
          </cell>
          <cell r="M123">
            <v>3055962</v>
          </cell>
          <cell r="N123">
            <v>5292420</v>
          </cell>
          <cell r="O123">
            <v>4886807</v>
          </cell>
          <cell r="P123">
            <v>3922034</v>
          </cell>
          <cell r="Q123">
            <v>3804545.0782076744</v>
          </cell>
          <cell r="R123">
            <v>4609817.1129421378</v>
          </cell>
          <cell r="S123">
            <v>5774191.7129221698</v>
          </cell>
          <cell r="T123">
            <v>5925854.1080651917</v>
          </cell>
          <cell r="U123">
            <v>6261916.9535265518</v>
          </cell>
          <cell r="V123">
            <v>6759238.9705435019</v>
          </cell>
          <cell r="W123">
            <v>7039318.3173633562</v>
          </cell>
          <cell r="X123">
            <v>7998556.86054652</v>
          </cell>
          <cell r="Y123">
            <v>8180121.5623535784</v>
          </cell>
          <cell r="Z123">
            <v>8566039.6809830815</v>
          </cell>
          <cell r="AA123">
            <v>9091144.9891102128</v>
          </cell>
          <cell r="AB123">
            <v>8892371.2987734117</v>
          </cell>
          <cell r="AC123">
            <v>9614079.1110444833</v>
          </cell>
          <cell r="AD123">
            <v>10596287.161482276</v>
          </cell>
          <cell r="AE123">
            <v>11575523.602335015</v>
          </cell>
          <cell r="AF123">
            <v>11570328.558080548</v>
          </cell>
          <cell r="AG123">
            <v>11612625.860388728</v>
          </cell>
          <cell r="AH123">
            <v>12200354.842341354</v>
          </cell>
          <cell r="AI123">
            <v>13172372.778771644</v>
          </cell>
          <cell r="AJ123">
            <v>13501705.6301654</v>
          </cell>
          <cell r="AK123">
            <v>13476200.619701881</v>
          </cell>
          <cell r="AL123">
            <v>13415205.67477086</v>
          </cell>
          <cell r="AM123">
            <v>13185206.980684943</v>
          </cell>
          <cell r="AN123">
            <v>13689738.794349477</v>
          </cell>
          <cell r="AO123">
            <v>14183932.803343907</v>
          </cell>
          <cell r="AP123">
            <v>14311068.390806342</v>
          </cell>
          <cell r="AX123">
            <v>4373294.5190790175</v>
          </cell>
        </row>
        <row r="124">
          <cell r="B124">
            <v>0</v>
          </cell>
          <cell r="C124">
            <v>4380619</v>
          </cell>
          <cell r="D124">
            <v>408502</v>
          </cell>
          <cell r="E124">
            <v>1825728</v>
          </cell>
          <cell r="F124">
            <v>761660</v>
          </cell>
          <cell r="G124">
            <v>341069</v>
          </cell>
          <cell r="H124">
            <v>309105</v>
          </cell>
          <cell r="I124">
            <v>367344</v>
          </cell>
          <cell r="J124">
            <v>430228</v>
          </cell>
          <cell r="K124">
            <v>3468236</v>
          </cell>
          <cell r="L124">
            <v>4256121</v>
          </cell>
          <cell r="M124">
            <v>2229105</v>
          </cell>
          <cell r="N124">
            <v>8683370</v>
          </cell>
          <cell r="O124">
            <v>7140938</v>
          </cell>
          <cell r="P124">
            <v>1427701</v>
          </cell>
          <cell r="Q124">
            <v>4462045.4060335485</v>
          </cell>
          <cell r="R124">
            <v>5265471.1928895842</v>
          </cell>
          <cell r="S124">
            <v>6918971.409732407</v>
          </cell>
          <cell r="T124">
            <v>6497308.2643882446</v>
          </cell>
          <cell r="U124">
            <v>6401308.2830608003</v>
          </cell>
          <cell r="V124">
            <v>7571275.4663272398</v>
          </cell>
          <cell r="W124">
            <v>7836899.7994705858</v>
          </cell>
          <cell r="X124">
            <v>8871242.3329781238</v>
          </cell>
          <cell r="Y124">
            <v>8948708.724064244</v>
          </cell>
          <cell r="Z124">
            <v>9367418.5076400824</v>
          </cell>
          <cell r="AA124">
            <v>10046947.749192206</v>
          </cell>
          <cell r="AB124">
            <v>9805216.359429935</v>
          </cell>
          <cell r="AC124">
            <v>10584144.29052403</v>
          </cell>
          <cell r="AD124">
            <v>11649775.456186704</v>
          </cell>
          <cell r="AE124">
            <v>12737429.886017809</v>
          </cell>
          <cell r="AF124">
            <v>12745301.091631114</v>
          </cell>
          <cell r="AG124">
            <v>12784649.780309452</v>
          </cell>
          <cell r="AH124">
            <v>13428285.496437877</v>
          </cell>
          <cell r="AI124">
            <v>14497576.787099108</v>
          </cell>
          <cell r="AJ124">
            <v>14862859.853075251</v>
          </cell>
          <cell r="AK124">
            <v>14835883.012585936</v>
          </cell>
          <cell r="AL124">
            <v>14767143.517288383</v>
          </cell>
          <cell r="AM124">
            <v>14513616.741672307</v>
          </cell>
          <cell r="AN124">
            <v>15069237.576195538</v>
          </cell>
          <cell r="AO124">
            <v>15613686.46857398</v>
          </cell>
          <cell r="AP124">
            <v>15753601.70262092</v>
          </cell>
          <cell r="AX124">
            <v>9696327.1191946939</v>
          </cell>
        </row>
        <row r="125">
          <cell r="B125">
            <v>0</v>
          </cell>
          <cell r="C125">
            <v>820327</v>
          </cell>
          <cell r="D125">
            <v>510434</v>
          </cell>
          <cell r="E125">
            <v>5656316</v>
          </cell>
          <cell r="F125">
            <v>776903</v>
          </cell>
          <cell r="G125">
            <v>544047</v>
          </cell>
          <cell r="H125">
            <v>526111</v>
          </cell>
          <cell r="I125">
            <v>372167</v>
          </cell>
          <cell r="J125">
            <v>930706</v>
          </cell>
          <cell r="K125">
            <v>2475387</v>
          </cell>
          <cell r="L125">
            <v>3353056</v>
          </cell>
          <cell r="M125">
            <v>4201540</v>
          </cell>
          <cell r="N125">
            <v>4577635</v>
          </cell>
          <cell r="O125">
            <v>9795364</v>
          </cell>
          <cell r="P125">
            <v>6189823</v>
          </cell>
          <cell r="Q125">
            <v>5285417.4387381254</v>
          </cell>
          <cell r="R125">
            <v>6608411.4173958665</v>
          </cell>
          <cell r="S125">
            <v>8323594.8128836397</v>
          </cell>
          <cell r="T125">
            <v>9328508.2962895669</v>
          </cell>
          <cell r="U125">
            <v>9309794.25953863</v>
          </cell>
          <cell r="V125">
            <v>9957230.1778068468</v>
          </cell>
          <cell r="W125">
            <v>10446422.056520691</v>
          </cell>
          <cell r="X125">
            <v>11928521.352495473</v>
          </cell>
          <cell r="Y125">
            <v>12268533.154106138</v>
          </cell>
          <cell r="Z125">
            <v>12743109.505597992</v>
          </cell>
          <cell r="AA125">
            <v>13525600.573040994</v>
          </cell>
          <cell r="AB125">
            <v>13251409.817632904</v>
          </cell>
          <cell r="AC125">
            <v>14336701.812314557</v>
          </cell>
          <cell r="AD125">
            <v>15801170.262425991</v>
          </cell>
          <cell r="AE125">
            <v>17243992.109078597</v>
          </cell>
          <cell r="AF125">
            <v>17240361.307880208</v>
          </cell>
          <cell r="AG125">
            <v>17307977.035917915</v>
          </cell>
          <cell r="AH125">
            <v>18184438.039260261</v>
          </cell>
          <cell r="AI125">
            <v>19631598.109538496</v>
          </cell>
          <cell r="AJ125">
            <v>20120431.229344469</v>
          </cell>
          <cell r="AK125">
            <v>20083729.640953183</v>
          </cell>
          <cell r="AL125">
            <v>19993462.91791939</v>
          </cell>
          <cell r="AM125">
            <v>19650481.194039784</v>
          </cell>
          <cell r="AN125">
            <v>20402053.017086837</v>
          </cell>
          <cell r="AO125">
            <v>21138435.584624019</v>
          </cell>
          <cell r="AP125">
            <v>21328175.444446594</v>
          </cell>
          <cell r="AX125">
            <v>5115756.4828002481</v>
          </cell>
        </row>
        <row r="126">
          <cell r="B126">
            <v>314992</v>
          </cell>
          <cell r="C126">
            <v>810431</v>
          </cell>
          <cell r="D126">
            <v>554454</v>
          </cell>
          <cell r="E126">
            <v>4357542</v>
          </cell>
          <cell r="F126">
            <v>1384274</v>
          </cell>
          <cell r="G126">
            <v>476182</v>
          </cell>
          <cell r="H126">
            <v>425193</v>
          </cell>
          <cell r="I126">
            <v>516394</v>
          </cell>
          <cell r="J126">
            <v>2489820</v>
          </cell>
          <cell r="K126">
            <v>3103036</v>
          </cell>
          <cell r="L126">
            <v>3624640</v>
          </cell>
          <cell r="M126">
            <v>5244569</v>
          </cell>
          <cell r="N126">
            <v>4786731</v>
          </cell>
          <cell r="O126">
            <v>4437004</v>
          </cell>
          <cell r="P126">
            <v>6786703</v>
          </cell>
          <cell r="Q126">
            <v>4676792.1621910194</v>
          </cell>
          <cell r="R126">
            <v>5702803.8427504646</v>
          </cell>
          <cell r="S126">
            <v>6767794.7157582389</v>
          </cell>
          <cell r="T126">
            <v>7310523.0692350771</v>
          </cell>
          <cell r="U126">
            <v>8139773.5773264272</v>
          </cell>
          <cell r="V126">
            <v>8353535.1907142075</v>
          </cell>
          <cell r="W126">
            <v>8705707.2095988765</v>
          </cell>
          <cell r="X126">
            <v>9891588.2615788933</v>
          </cell>
          <cell r="Y126">
            <v>10205901.053373573</v>
          </cell>
          <cell r="Z126">
            <v>10706973.900305437</v>
          </cell>
          <cell r="AA126">
            <v>11289540.991109733</v>
          </cell>
          <cell r="AB126">
            <v>11051446.873012669</v>
          </cell>
          <cell r="AC126">
            <v>11958008.055857308</v>
          </cell>
          <cell r="AD126">
            <v>13193307.982895501</v>
          </cell>
          <cell r="AE126">
            <v>14407361.72253938</v>
          </cell>
          <cell r="AF126">
            <v>14390355.926277425</v>
          </cell>
          <cell r="AG126">
            <v>14446825.557806795</v>
          </cell>
          <cell r="AH126">
            <v>15180485.659977095</v>
          </cell>
          <cell r="AI126">
            <v>16390955.841522472</v>
          </cell>
          <cell r="AJ126">
            <v>16798987.999267172</v>
          </cell>
          <cell r="AK126">
            <v>16766178.759196563</v>
          </cell>
          <cell r="AL126">
            <v>16691271.480748378</v>
          </cell>
          <cell r="AM126">
            <v>16405439.946088003</v>
          </cell>
          <cell r="AN126">
            <v>17033105.953995343</v>
          </cell>
          <cell r="AO126">
            <v>17647663.268482916</v>
          </cell>
          <cell r="AP126">
            <v>17805813.383538153</v>
          </cell>
          <cell r="AX126">
            <v>5711504.3779183617</v>
          </cell>
        </row>
        <row r="127">
          <cell r="B127">
            <v>730498</v>
          </cell>
          <cell r="C127">
            <v>1145938</v>
          </cell>
          <cell r="D127">
            <v>1233548</v>
          </cell>
          <cell r="E127">
            <v>6366432</v>
          </cell>
          <cell r="F127">
            <v>488601</v>
          </cell>
          <cell r="G127">
            <v>445036</v>
          </cell>
          <cell r="H127">
            <v>474815</v>
          </cell>
          <cell r="I127">
            <v>440230</v>
          </cell>
          <cell r="J127">
            <v>2138451</v>
          </cell>
          <cell r="K127">
            <v>3613287</v>
          </cell>
          <cell r="L127">
            <v>3674667</v>
          </cell>
          <cell r="M127">
            <v>7740697</v>
          </cell>
          <cell r="N127">
            <v>7251742</v>
          </cell>
          <cell r="O127">
            <v>8073780</v>
          </cell>
          <cell r="P127">
            <v>8864247</v>
          </cell>
          <cell r="Q127">
            <v>6692932.859866092</v>
          </cell>
          <cell r="R127">
            <v>8493882.9758975357</v>
          </cell>
          <cell r="S127">
            <v>10098230.367046395</v>
          </cell>
          <cell r="T127">
            <v>10879831.078158621</v>
          </cell>
          <cell r="U127">
            <v>11730880.826499688</v>
          </cell>
          <cell r="V127">
            <v>12273843.120493958</v>
          </cell>
          <cell r="W127">
            <v>12834170.303376196</v>
          </cell>
          <cell r="X127">
            <v>14560599.345535606</v>
          </cell>
          <cell r="Y127">
            <v>14990559.582780313</v>
          </cell>
          <cell r="Z127">
            <v>15692967.085042037</v>
          </cell>
          <cell r="AA127">
            <v>16593854.399156081</v>
          </cell>
          <cell r="AB127">
            <v>16244881.782357566</v>
          </cell>
          <cell r="AC127">
            <v>17569057.674494725</v>
          </cell>
          <cell r="AD127">
            <v>19377404.704483926</v>
          </cell>
          <cell r="AE127">
            <v>21160311.576358572</v>
          </cell>
          <cell r="AF127">
            <v>21142897.098765869</v>
          </cell>
          <cell r="AG127">
            <v>21224353.030179393</v>
          </cell>
          <cell r="AH127">
            <v>22300245.930673808</v>
          </cell>
          <cell r="AI127">
            <v>24077827.908714287</v>
          </cell>
          <cell r="AJ127">
            <v>24677927.581519194</v>
          </cell>
          <cell r="AK127">
            <v>24630661.235033907</v>
          </cell>
          <cell r="AL127">
            <v>24520096.8128036</v>
          </cell>
          <cell r="AM127">
            <v>24099912.888213206</v>
          </cell>
          <cell r="AN127">
            <v>25022004.519630011</v>
          </cell>
          <cell r="AO127">
            <v>25924980.611098327</v>
          </cell>
          <cell r="AP127">
            <v>26157375.988568727</v>
          </cell>
          <cell r="AX127">
            <v>4862191.6294933707</v>
          </cell>
        </row>
        <row r="128">
          <cell r="B128">
            <v>973736</v>
          </cell>
          <cell r="C128">
            <v>1889562</v>
          </cell>
          <cell r="D128">
            <v>1040125</v>
          </cell>
          <cell r="E128">
            <v>7873106</v>
          </cell>
          <cell r="F128">
            <v>626006</v>
          </cell>
          <cell r="G128">
            <v>370351</v>
          </cell>
          <cell r="H128">
            <v>354877</v>
          </cell>
          <cell r="I128">
            <v>383102</v>
          </cell>
          <cell r="J128">
            <v>3630173</v>
          </cell>
          <cell r="K128">
            <v>3039211</v>
          </cell>
          <cell r="L128">
            <v>3281535</v>
          </cell>
          <cell r="M128">
            <v>5824657</v>
          </cell>
          <cell r="N128">
            <v>8895630</v>
          </cell>
          <cell r="O128">
            <v>7402500</v>
          </cell>
          <cell r="P128">
            <v>6811136</v>
          </cell>
          <cell r="Q128">
            <v>6055753.1815380659</v>
          </cell>
          <cell r="R128">
            <v>7694771.139350838</v>
          </cell>
          <cell r="S128">
            <v>9452791.6906419229</v>
          </cell>
          <cell r="T128">
            <v>9641413.7215841096</v>
          </cell>
          <cell r="U128">
            <v>10331052.233753035</v>
          </cell>
          <cell r="V128">
            <v>11064294.5305705</v>
          </cell>
          <cell r="W128">
            <v>11564030.26330157</v>
          </cell>
          <cell r="X128">
            <v>13109153.695279913</v>
          </cell>
          <cell r="Y128">
            <v>13409317.55312174</v>
          </cell>
          <cell r="Z128">
            <v>14059092.749521568</v>
          </cell>
          <cell r="AA128">
            <v>14908278.897703221</v>
          </cell>
          <cell r="AB128">
            <v>14586659.853056431</v>
          </cell>
          <cell r="AC128">
            <v>15766684.360459544</v>
          </cell>
          <cell r="AD128">
            <v>17379409.812630791</v>
          </cell>
          <cell r="AE128">
            <v>18987288.097930685</v>
          </cell>
          <cell r="AF128">
            <v>18976848.764843225</v>
          </cell>
          <cell r="AG128">
            <v>19046752.006160077</v>
          </cell>
          <cell r="AH128">
            <v>20010374.945450641</v>
          </cell>
          <cell r="AI128">
            <v>21605043.357569523</v>
          </cell>
          <cell r="AJ128">
            <v>22145296.316788375</v>
          </cell>
          <cell r="AK128">
            <v>22103183.934283827</v>
          </cell>
          <cell r="AL128">
            <v>22003224.361149654</v>
          </cell>
          <cell r="AM128">
            <v>21625974.090379197</v>
          </cell>
          <cell r="AN128">
            <v>22453548.115895078</v>
          </cell>
          <cell r="AO128">
            <v>23264098.307860933</v>
          </cell>
          <cell r="AP128">
            <v>23472587.163329612</v>
          </cell>
          <cell r="AX128">
            <v>7436982.3189669512</v>
          </cell>
        </row>
        <row r="129">
          <cell r="B129">
            <v>1453856</v>
          </cell>
          <cell r="C129">
            <v>1149922</v>
          </cell>
          <cell r="D129">
            <v>1119440</v>
          </cell>
          <cell r="E129">
            <v>7878698</v>
          </cell>
          <cell r="F129">
            <v>842544</v>
          </cell>
          <cell r="G129">
            <v>376668</v>
          </cell>
          <cell r="H129">
            <v>531220</v>
          </cell>
          <cell r="I129">
            <v>325147</v>
          </cell>
          <cell r="J129">
            <v>3099580</v>
          </cell>
          <cell r="K129">
            <v>1976794</v>
          </cell>
          <cell r="L129">
            <v>4348250</v>
          </cell>
          <cell r="M129">
            <v>5090487</v>
          </cell>
          <cell r="N129">
            <v>5690860</v>
          </cell>
          <cell r="O129">
            <v>6904320</v>
          </cell>
          <cell r="P129">
            <v>5111224</v>
          </cell>
          <cell r="Q129">
            <v>5102652.0862763887</v>
          </cell>
          <cell r="R129">
            <v>6135541.1758462833</v>
          </cell>
          <cell r="S129">
            <v>7422919.2870181222</v>
          </cell>
          <cell r="T129">
            <v>7904607.97806466</v>
          </cell>
          <cell r="U129">
            <v>8252402.5756668607</v>
          </cell>
          <cell r="V129">
            <v>8922547.5825188924</v>
          </cell>
          <cell r="W129">
            <v>9272958.208105186</v>
          </cell>
          <cell r="X129">
            <v>10520709.252081923</v>
          </cell>
          <cell r="Y129">
            <v>10800932.179264164</v>
          </cell>
          <cell r="Z129">
            <v>11291540.475558244</v>
          </cell>
          <cell r="AA129">
            <v>11984169.530725475</v>
          </cell>
          <cell r="AB129">
            <v>11719453.683657413</v>
          </cell>
          <cell r="AC129">
            <v>12671579.517024415</v>
          </cell>
          <cell r="AD129">
            <v>13971307.9127429</v>
          </cell>
          <cell r="AE129">
            <v>15258637.76793259</v>
          </cell>
          <cell r="AF129">
            <v>15251801.874976644</v>
          </cell>
          <cell r="AG129">
            <v>15307472.201539619</v>
          </cell>
          <cell r="AH129">
            <v>16082700.567389639</v>
          </cell>
          <cell r="AI129">
            <v>17364453.718956657</v>
          </cell>
          <cell r="AJ129">
            <v>17797973.252469543</v>
          </cell>
          <cell r="AK129">
            <v>17764404.354395576</v>
          </cell>
          <cell r="AL129">
            <v>17684057.325440697</v>
          </cell>
          <cell r="AM129">
            <v>17380952.263997275</v>
          </cell>
          <cell r="AN129">
            <v>18046034.996381707</v>
          </cell>
          <cell r="AO129">
            <v>18697401.186145853</v>
          </cell>
          <cell r="AP129">
            <v>18865015.599514659</v>
          </cell>
          <cell r="AX129">
            <v>7050047.2252588654</v>
          </cell>
        </row>
        <row r="130">
          <cell r="B130">
            <v>1884038</v>
          </cell>
          <cell r="C130">
            <v>1533521</v>
          </cell>
          <cell r="D130">
            <v>1905118</v>
          </cell>
          <cell r="E130">
            <v>4420456</v>
          </cell>
          <cell r="F130">
            <v>519406</v>
          </cell>
          <cell r="G130">
            <v>311314</v>
          </cell>
          <cell r="H130">
            <v>383524</v>
          </cell>
          <cell r="I130">
            <v>597475</v>
          </cell>
          <cell r="J130">
            <v>3453701</v>
          </cell>
          <cell r="K130">
            <v>2394703</v>
          </cell>
          <cell r="L130">
            <v>5931919</v>
          </cell>
          <cell r="M130">
            <v>753698</v>
          </cell>
          <cell r="N130">
            <v>8102250</v>
          </cell>
          <cell r="O130">
            <v>4408772</v>
          </cell>
          <cell r="P130">
            <v>7182048</v>
          </cell>
          <cell r="Q130">
            <v>4958576.6474295296</v>
          </cell>
          <cell r="R130">
            <v>5587028.3498493591</v>
          </cell>
          <cell r="S130">
            <v>7754788.9790439336</v>
          </cell>
          <cell r="T130">
            <v>7702219.050266644</v>
          </cell>
          <cell r="U130">
            <v>8645189.307739649</v>
          </cell>
          <cell r="V130">
            <v>8878900.9115846809</v>
          </cell>
          <cell r="W130">
            <v>9256184.4286924172</v>
          </cell>
          <cell r="X130">
            <v>10637020.630191445</v>
          </cell>
          <cell r="Y130">
            <v>10860213.584955294</v>
          </cell>
          <cell r="Z130">
            <v>11411609.439419452</v>
          </cell>
          <cell r="AA130">
            <v>12039655.545330543</v>
          </cell>
          <cell r="AB130">
            <v>11792196.543886909</v>
          </cell>
          <cell r="AC130">
            <v>12766957.152845845</v>
          </cell>
          <cell r="AD130">
            <v>14067597.608061876</v>
          </cell>
          <cell r="AE130">
            <v>15367552.132275471</v>
          </cell>
          <cell r="AF130">
            <v>15351491.213674629</v>
          </cell>
          <cell r="AG130">
            <v>15412602.950728495</v>
          </cell>
          <cell r="AH130">
            <v>16194874.675729336</v>
          </cell>
          <cell r="AI130">
            <v>17483966.806376908</v>
          </cell>
          <cell r="AJ130">
            <v>17920440.820795547</v>
          </cell>
          <cell r="AK130">
            <v>17885789.696728092</v>
          </cell>
          <cell r="AL130">
            <v>17805843.159840528</v>
          </cell>
          <cell r="AM130">
            <v>17500708.45078088</v>
          </cell>
          <cell r="AN130">
            <v>18170094.126997132</v>
          </cell>
          <cell r="AO130">
            <v>18825908.768559109</v>
          </cell>
          <cell r="AP130">
            <v>18994645.34043552</v>
          </cell>
          <cell r="AX130">
            <v>5181394.4680252308</v>
          </cell>
        </row>
        <row r="131">
          <cell r="B131">
            <v>2459916</v>
          </cell>
          <cell r="C131">
            <v>943950</v>
          </cell>
          <cell r="D131">
            <v>2178367</v>
          </cell>
          <cell r="E131">
            <v>568804</v>
          </cell>
          <cell r="F131">
            <v>790638</v>
          </cell>
          <cell r="G131">
            <v>298845</v>
          </cell>
          <cell r="H131">
            <v>278792</v>
          </cell>
          <cell r="I131">
            <v>545276</v>
          </cell>
          <cell r="J131">
            <v>2370500</v>
          </cell>
          <cell r="K131">
            <v>3022605</v>
          </cell>
          <cell r="L131">
            <v>8103462</v>
          </cell>
          <cell r="M131">
            <v>11052730</v>
          </cell>
          <cell r="N131">
            <v>9172390</v>
          </cell>
          <cell r="O131">
            <v>3567815</v>
          </cell>
          <cell r="P131">
            <v>6420761</v>
          </cell>
          <cell r="Q131">
            <v>4053190.7131135985</v>
          </cell>
          <cell r="R131">
            <v>7535818.5525191203</v>
          </cell>
          <cell r="S131">
            <v>7885913.298689872</v>
          </cell>
          <cell r="T131">
            <v>7592007.4744835496</v>
          </cell>
          <cell r="U131">
            <v>8724133.9689324051</v>
          </cell>
          <cell r="V131">
            <v>9171874.9656463414</v>
          </cell>
          <cell r="W131">
            <v>9818163.5517482311</v>
          </cell>
          <cell r="X131">
            <v>10877479.751060799</v>
          </cell>
          <cell r="Y131">
            <v>11116352.116611347</v>
          </cell>
          <cell r="Z131">
            <v>11749743.204617172</v>
          </cell>
          <cell r="AA131">
            <v>12438198.935362041</v>
          </cell>
          <cell r="AB131">
            <v>12182752.96412833</v>
          </cell>
          <cell r="AC131">
            <v>13132327.782153785</v>
          </cell>
          <cell r="AD131">
            <v>14485473.349991143</v>
          </cell>
          <cell r="AE131">
            <v>15840495.727021843</v>
          </cell>
          <cell r="AF131">
            <v>15826977.592402697</v>
          </cell>
          <cell r="AG131">
            <v>15884284.487294436</v>
          </cell>
          <cell r="AH131">
            <v>16683910.753199071</v>
          </cell>
          <cell r="AI131">
            <v>18016541.818767786</v>
          </cell>
          <cell r="AJ131">
            <v>18468698.907797992</v>
          </cell>
          <cell r="AK131">
            <v>18432382.102480888</v>
          </cell>
          <cell r="AL131">
            <v>18348662.15320304</v>
          </cell>
          <cell r="AM131">
            <v>18033860.084762484</v>
          </cell>
          <cell r="AN131">
            <v>18724527.137018859</v>
          </cell>
          <cell r="AO131">
            <v>19400547.352985799</v>
          </cell>
          <cell r="AP131">
            <v>19574169.494234145</v>
          </cell>
          <cell r="AX131">
            <v>4631015.6500146091</v>
          </cell>
        </row>
        <row r="132">
          <cell r="M132">
            <v>62444807</v>
          </cell>
          <cell r="N132">
            <v>75967064</v>
          </cell>
          <cell r="O132">
            <v>72161104</v>
          </cell>
          <cell r="AX132">
            <v>73959562.118039846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</row>
      </sheetData>
      <sheetData sheetId="15"/>
      <sheetData sheetId="16"/>
      <sheetData sheetId="17"/>
      <sheetData sheetId="18"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BC62"/>
          <cell r="BG62"/>
        </row>
        <row r="63">
          <cell r="BG63"/>
        </row>
        <row r="64">
          <cell r="B64">
            <v>2010</v>
          </cell>
          <cell r="C64">
            <v>2011</v>
          </cell>
          <cell r="D64">
            <v>2012</v>
          </cell>
          <cell r="E64">
            <v>2013</v>
          </cell>
          <cell r="F64">
            <v>2014</v>
          </cell>
          <cell r="G64">
            <v>2015</v>
          </cell>
          <cell r="H64">
            <v>2016</v>
          </cell>
          <cell r="I64">
            <v>2017</v>
          </cell>
          <cell r="J64">
            <v>2018</v>
          </cell>
          <cell r="K64">
            <v>2019</v>
          </cell>
          <cell r="L64">
            <v>2020</v>
          </cell>
          <cell r="M64">
            <v>2021</v>
          </cell>
          <cell r="N64">
            <v>2022</v>
          </cell>
          <cell r="O64">
            <v>2023</v>
          </cell>
          <cell r="P64">
            <v>2024</v>
          </cell>
          <cell r="Q64">
            <v>2025</v>
          </cell>
          <cell r="R64">
            <v>2026</v>
          </cell>
          <cell r="S64">
            <v>2027</v>
          </cell>
          <cell r="T64">
            <v>2028</v>
          </cell>
          <cell r="U64">
            <v>2029</v>
          </cell>
          <cell r="V64">
            <v>2030</v>
          </cell>
          <cell r="W64">
            <v>2031</v>
          </cell>
          <cell r="X64">
            <v>2032</v>
          </cell>
          <cell r="Y64">
            <v>2033</v>
          </cell>
          <cell r="Z64">
            <v>2034</v>
          </cell>
          <cell r="AA64">
            <v>2035</v>
          </cell>
          <cell r="AB64">
            <v>2036</v>
          </cell>
          <cell r="AC64">
            <v>2037</v>
          </cell>
          <cell r="AD64">
            <v>2038</v>
          </cell>
          <cell r="AE64">
            <v>2039</v>
          </cell>
          <cell r="AF64">
            <v>2040</v>
          </cell>
          <cell r="AG64">
            <v>2041</v>
          </cell>
          <cell r="AH64">
            <v>2042</v>
          </cell>
          <cell r="AI64">
            <v>2043</v>
          </cell>
          <cell r="AJ64">
            <v>2044</v>
          </cell>
          <cell r="AK64">
            <v>2045</v>
          </cell>
          <cell r="AL64">
            <v>2046</v>
          </cell>
          <cell r="AM64">
            <v>2047</v>
          </cell>
          <cell r="AN64">
            <v>2048</v>
          </cell>
          <cell r="AO64">
            <v>2049</v>
          </cell>
          <cell r="AP64">
            <v>2050</v>
          </cell>
          <cell r="BC64"/>
          <cell r="BG64"/>
        </row>
        <row r="65">
          <cell r="B65">
            <v>0</v>
          </cell>
          <cell r="C65">
            <v>125801</v>
          </cell>
          <cell r="D65">
            <v>0</v>
          </cell>
          <cell r="E65">
            <v>6128</v>
          </cell>
          <cell r="F65">
            <v>0</v>
          </cell>
          <cell r="G65">
            <v>0</v>
          </cell>
          <cell r="H65">
            <v>11640</v>
          </cell>
          <cell r="I65">
            <v>0</v>
          </cell>
          <cell r="J65">
            <v>0</v>
          </cell>
          <cell r="K65">
            <v>11178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1089558</v>
          </cell>
          <cell r="Q65">
            <v>0</v>
          </cell>
          <cell r="R65">
            <v>388266.34903294611</v>
          </cell>
          <cell r="S65">
            <v>469047.44631292822</v>
          </cell>
          <cell r="T65">
            <v>490325.69551466766</v>
          </cell>
          <cell r="U65">
            <v>525688.32868096605</v>
          </cell>
          <cell r="V65">
            <v>562323.84028202365</v>
          </cell>
          <cell r="W65">
            <v>584545.91798252985</v>
          </cell>
          <cell r="X65">
            <v>662824.52381182078</v>
          </cell>
          <cell r="Y65">
            <v>680144.63789405813</v>
          </cell>
          <cell r="Z65">
            <v>712796.08301814843</v>
          </cell>
          <cell r="AA65">
            <v>755400.75054364535</v>
          </cell>
          <cell r="AB65">
            <v>738735.09827746381</v>
          </cell>
          <cell r="AC65">
            <v>798746.55331656989</v>
          </cell>
          <cell r="AD65">
            <v>880756.23708080349</v>
          </cell>
          <cell r="AE65">
            <v>962095.63018391829</v>
          </cell>
          <cell r="AF65">
            <v>961470.26889218122</v>
          </cell>
          <cell r="AG65">
            <v>964997.20289607486</v>
          </cell>
          <cell r="AH65">
            <v>1013883.8745217485</v>
          </cell>
          <cell r="AI65">
            <v>1094709.4850790747</v>
          </cell>
          <cell r="AJ65">
            <v>1122048.6070714057</v>
          </cell>
          <cell r="AK65">
            <v>1119902.7870831771</v>
          </cell>
          <cell r="AL65">
            <v>1114844.5048115957</v>
          </cell>
          <cell r="AM65">
            <v>1095740.4193720778</v>
          </cell>
          <cell r="AN65">
            <v>1137671.2983923957</v>
          </cell>
          <cell r="AO65">
            <v>1178733.7393693591</v>
          </cell>
          <cell r="AP65">
            <v>1189296.9761365184</v>
          </cell>
          <cell r="BC65"/>
          <cell r="BD65">
            <v>6.3712230036057249E-2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</row>
        <row r="66">
          <cell r="B66">
            <v>0</v>
          </cell>
          <cell r="C66">
            <v>226270</v>
          </cell>
          <cell r="D66">
            <v>417419</v>
          </cell>
          <cell r="E66">
            <v>6161</v>
          </cell>
          <cell r="F66">
            <v>0</v>
          </cell>
          <cell r="G66">
            <v>11859</v>
          </cell>
          <cell r="H66">
            <v>2305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646803</v>
          </cell>
          <cell r="Q66">
            <v>102606</v>
          </cell>
          <cell r="R66">
            <v>414542.4954444457</v>
          </cell>
          <cell r="S66">
            <v>500790.49951327825</v>
          </cell>
          <cell r="T66">
            <v>523508.76635444968</v>
          </cell>
          <cell r="U66">
            <v>561264.5858705003</v>
          </cell>
          <cell r="V66">
            <v>600379.42659469019</v>
          </cell>
          <cell r="W66">
            <v>624105.39606609161</v>
          </cell>
          <cell r="X66">
            <v>707681.5511493457</v>
          </cell>
          <cell r="Y66">
            <v>726173.81382139062</v>
          </cell>
          <cell r="Z66">
            <v>761034.96409959649</v>
          </cell>
          <cell r="AA66">
            <v>806522.92677673744</v>
          </cell>
          <cell r="AB66">
            <v>788729.4169970731</v>
          </cell>
          <cell r="AC66">
            <v>852802.18145148701</v>
          </cell>
          <cell r="AD66">
            <v>940361.91729496222</v>
          </cell>
          <cell r="AE66">
            <v>1027206.0001748842</v>
          </cell>
          <cell r="AF66">
            <v>1026538.3172013875</v>
          </cell>
          <cell r="AG66">
            <v>1030303.9384737008</v>
          </cell>
          <cell r="AH66">
            <v>1082499.0434580897</v>
          </cell>
          <cell r="AI66">
            <v>1168794.5732656752</v>
          </cell>
          <cell r="AJ66">
            <v>1197983.8859171285</v>
          </cell>
          <cell r="AK66">
            <v>1195692.8463384726</v>
          </cell>
          <cell r="AL66">
            <v>1190292.2419318676</v>
          </cell>
          <cell r="AM66">
            <v>1169895.2766244011</v>
          </cell>
          <cell r="AN66">
            <v>1214663.8517753391</v>
          </cell>
          <cell r="AO66">
            <v>1258505.2168434879</v>
          </cell>
          <cell r="AP66">
            <v>1269783.3266779748</v>
          </cell>
          <cell r="BC66"/>
          <cell r="BD66">
            <v>6.8023991508047513E-2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</row>
        <row r="67">
          <cell r="B67">
            <v>0</v>
          </cell>
          <cell r="C67">
            <v>178482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181227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877507</v>
          </cell>
          <cell r="Q67">
            <v>0</v>
          </cell>
          <cell r="R67">
            <v>510538.94673617312</v>
          </cell>
          <cell r="S67">
            <v>616759.57704378408</v>
          </cell>
          <cell r="T67">
            <v>644738.75928016193</v>
          </cell>
          <cell r="U67">
            <v>691237.77093931462</v>
          </cell>
          <cell r="V67">
            <v>739410.51512003096</v>
          </cell>
          <cell r="W67">
            <v>768630.75574032532</v>
          </cell>
          <cell r="X67">
            <v>871560.81154248572</v>
          </cell>
          <cell r="Y67">
            <v>894335.36520370294</v>
          </cell>
          <cell r="Z67">
            <v>937269.38316479232</v>
          </cell>
          <cell r="AA67">
            <v>993291.08614958124</v>
          </cell>
          <cell r="AB67">
            <v>971377.09701341297</v>
          </cell>
          <cell r="AC67">
            <v>1050287.3222340145</v>
          </cell>
          <cell r="AD67">
            <v>1158123.4447191122</v>
          </cell>
          <cell r="AE67">
            <v>1265078.1890240328</v>
          </cell>
          <cell r="AF67">
            <v>1264255.8893423625</v>
          </cell>
          <cell r="AG67">
            <v>1268893.5232141637</v>
          </cell>
          <cell r="AH67">
            <v>1333175.5551321316</v>
          </cell>
          <cell r="AI67">
            <v>1439454.7168107659</v>
          </cell>
          <cell r="AJ67">
            <v>1475403.4581359432</v>
          </cell>
          <cell r="AK67">
            <v>1472581.8778485856</v>
          </cell>
          <cell r="AL67">
            <v>1465930.6444628967</v>
          </cell>
          <cell r="AM67">
            <v>1440810.312291587</v>
          </cell>
          <cell r="AN67">
            <v>1495946.0377132574</v>
          </cell>
          <cell r="AO67">
            <v>1549939.8371218597</v>
          </cell>
          <cell r="AP67">
            <v>1563829.6418568373</v>
          </cell>
          <cell r="BC67"/>
          <cell r="BD67">
            <v>8.3776445983119008E-2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89168</v>
          </cell>
          <cell r="F68">
            <v>39300</v>
          </cell>
          <cell r="G68">
            <v>11381</v>
          </cell>
          <cell r="H68">
            <v>8970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1001787</v>
          </cell>
          <cell r="Q68">
            <v>432681.47152891645</v>
          </cell>
          <cell r="R68">
            <v>523338.83410284703</v>
          </cell>
          <cell r="S68">
            <v>632222.55625221925</v>
          </cell>
          <cell r="T68">
            <v>660903.21363271051</v>
          </cell>
          <cell r="U68">
            <v>708568.01708052855</v>
          </cell>
          <cell r="V68">
            <v>757948.51574030786</v>
          </cell>
          <cell r="W68">
            <v>787901.3464816066</v>
          </cell>
          <cell r="X68">
            <v>893411.99506583728</v>
          </cell>
          <cell r="Y68">
            <v>916757.53694167256</v>
          </cell>
          <cell r="Z68">
            <v>960767.96757923625</v>
          </cell>
          <cell r="AA68">
            <v>1018194.2088326111</v>
          </cell>
          <cell r="AB68">
            <v>995730.80697388644</v>
          </cell>
          <cell r="AC68">
            <v>1076619.4160207559</v>
          </cell>
          <cell r="AD68">
            <v>1187159.1328754744</v>
          </cell>
          <cell r="AE68">
            <v>1296795.3742320621</v>
          </cell>
          <cell r="AF68">
            <v>1295952.4584086179</v>
          </cell>
          <cell r="AG68">
            <v>1300706.3639019798</v>
          </cell>
          <cell r="AH68">
            <v>1366600.0314718625</v>
          </cell>
          <cell r="AI68">
            <v>1475543.752451227</v>
          </cell>
          <cell r="AJ68">
            <v>1512393.7763188579</v>
          </cell>
          <cell r="AK68">
            <v>1509501.4552778224</v>
          </cell>
          <cell r="AL68">
            <v>1502683.4666646812</v>
          </cell>
          <cell r="AM68">
            <v>1476933.3345056097</v>
          </cell>
          <cell r="AN68">
            <v>1533451.3855652928</v>
          </cell>
          <cell r="AO68">
            <v>1588798.8810148085</v>
          </cell>
          <cell r="AP68">
            <v>1603036.9215450953</v>
          </cell>
          <cell r="BC68"/>
          <cell r="BD68">
            <v>8.5876832406954956E-2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</row>
        <row r="69">
          <cell r="B69">
            <v>0</v>
          </cell>
          <cell r="C69">
            <v>317472</v>
          </cell>
          <cell r="D69">
            <v>0</v>
          </cell>
          <cell r="E69">
            <v>51184</v>
          </cell>
          <cell r="F69">
            <v>519127</v>
          </cell>
          <cell r="G69">
            <v>0</v>
          </cell>
          <cell r="H69">
            <v>25350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1403015</v>
          </cell>
          <cell r="Q69">
            <v>449465.43806489097</v>
          </cell>
          <cell r="R69">
            <v>543639.45258674037</v>
          </cell>
          <cell r="S69">
            <v>656746.83779801778</v>
          </cell>
          <cell r="T69">
            <v>686540.03459925868</v>
          </cell>
          <cell r="U69">
            <v>736053.78356162598</v>
          </cell>
          <cell r="V69">
            <v>787349.78055348515</v>
          </cell>
          <cell r="W69">
            <v>818464.4990618825</v>
          </cell>
          <cell r="X69">
            <v>928067.96721790824</v>
          </cell>
          <cell r="Y69">
            <v>952319.09627366986</v>
          </cell>
          <cell r="Z69">
            <v>998036.71717395622</v>
          </cell>
          <cell r="AA69">
            <v>1057690.5558053229</v>
          </cell>
          <cell r="AB69">
            <v>1034355.7854922275</v>
          </cell>
          <cell r="AC69">
            <v>1118382.1108424708</v>
          </cell>
          <cell r="AD69">
            <v>1233209.7277591678</v>
          </cell>
          <cell r="AE69">
            <v>1347098.8228364307</v>
          </cell>
          <cell r="AF69">
            <v>1346223.2098167711</v>
          </cell>
          <cell r="AG69">
            <v>1351161.5220757704</v>
          </cell>
          <cell r="AH69">
            <v>1419611.2434270121</v>
          </cell>
          <cell r="AI69">
            <v>1532780.9548578768</v>
          </cell>
          <cell r="AJ69">
            <v>1571060.4126350731</v>
          </cell>
          <cell r="AK69">
            <v>1568055.8967746187</v>
          </cell>
          <cell r="AL69">
            <v>1560973.4344082538</v>
          </cell>
          <cell r="AM69">
            <v>1534224.439610282</v>
          </cell>
          <cell r="AN69">
            <v>1592934.858820864</v>
          </cell>
          <cell r="AO69">
            <v>1650429.315886721</v>
          </cell>
          <cell r="AP69">
            <v>1665219.6583100234</v>
          </cell>
          <cell r="BC69"/>
          <cell r="BD69">
            <v>8.920804480262487E-2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</row>
        <row r="70">
          <cell r="B70">
            <v>0</v>
          </cell>
          <cell r="C70">
            <v>422024</v>
          </cell>
          <cell r="D70">
            <v>0</v>
          </cell>
          <cell r="E70">
            <v>67324</v>
          </cell>
          <cell r="F70">
            <v>423385</v>
          </cell>
          <cell r="G70">
            <v>0</v>
          </cell>
          <cell r="H70">
            <v>32484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2323018</v>
          </cell>
          <cell r="Q70">
            <v>448729.11148699315</v>
          </cell>
          <cell r="R70">
            <v>542748.84756167582</v>
          </cell>
          <cell r="S70">
            <v>655670.9371599108</v>
          </cell>
          <cell r="T70">
            <v>685415.32593101775</v>
          </cell>
          <cell r="U70">
            <v>734847.96011515125</v>
          </cell>
          <cell r="V70">
            <v>786059.92260129296</v>
          </cell>
          <cell r="W70">
            <v>817123.66812653909</v>
          </cell>
          <cell r="X70">
            <v>926547.58088230866</v>
          </cell>
          <cell r="Y70">
            <v>950758.98107494635</v>
          </cell>
          <cell r="Z70">
            <v>996401.70611785154</v>
          </cell>
          <cell r="AA70">
            <v>1055957.8181986585</v>
          </cell>
          <cell r="AB70">
            <v>1032661.2755447235</v>
          </cell>
          <cell r="AC70">
            <v>1116549.9466698391</v>
          </cell>
          <cell r="AD70">
            <v>1231189.4498428488</v>
          </cell>
          <cell r="AE70">
            <v>1344891.9686885797</v>
          </cell>
          <cell r="AF70">
            <v>1344017.7901221258</v>
          </cell>
          <cell r="AG70">
            <v>1348948.0123028711</v>
          </cell>
          <cell r="AH70">
            <v>1417285.5974478279</v>
          </cell>
          <cell r="AI70">
            <v>1530269.9111611324</v>
          </cell>
          <cell r="AJ70">
            <v>1568486.658483282</v>
          </cell>
          <cell r="AK70">
            <v>1565487.0647029129</v>
          </cell>
          <cell r="AL70">
            <v>1558416.2050201711</v>
          </cell>
          <cell r="AM70">
            <v>1531711.0311573229</v>
          </cell>
          <cell r="AN70">
            <v>1590325.2693528521</v>
          </cell>
          <cell r="AO70">
            <v>1647725.5374261099</v>
          </cell>
          <cell r="AP70">
            <v>1662491.6499057948</v>
          </cell>
          <cell r="BC70"/>
          <cell r="BD70">
            <v>8.9061901742919822E-2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</row>
        <row r="71">
          <cell r="B71">
            <v>2496971</v>
          </cell>
          <cell r="C71">
            <v>157468</v>
          </cell>
          <cell r="D71">
            <v>0</v>
          </cell>
          <cell r="E71">
            <v>212273</v>
          </cell>
          <cell r="F71">
            <v>226113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606134</v>
          </cell>
          <cell r="Q71">
            <v>448303.93446367659</v>
          </cell>
          <cell r="R71">
            <v>542234.58554143365</v>
          </cell>
          <cell r="S71">
            <v>655049.67990202294</v>
          </cell>
          <cell r="T71">
            <v>684765.88545444782</v>
          </cell>
          <cell r="U71">
            <v>734151.68153577263</v>
          </cell>
          <cell r="V71">
            <v>785315.11998099368</v>
          </cell>
          <cell r="W71">
            <v>816349.43217883259</v>
          </cell>
          <cell r="X71">
            <v>925669.66426777188</v>
          </cell>
          <cell r="Y71">
            <v>949858.12382473284</v>
          </cell>
          <cell r="Z71">
            <v>995457.60175602185</v>
          </cell>
          <cell r="AA71">
            <v>1054957.2835990603</v>
          </cell>
          <cell r="AB71">
            <v>1031682.8147406639</v>
          </cell>
          <cell r="AC71">
            <v>1115492.0001926506</v>
          </cell>
          <cell r="AD71">
            <v>1230022.8808549612</v>
          </cell>
          <cell r="AE71">
            <v>1343617.6649955683</v>
          </cell>
          <cell r="AF71">
            <v>1342744.3147253653</v>
          </cell>
          <cell r="AG71">
            <v>1347669.8654525822</v>
          </cell>
          <cell r="AH71">
            <v>1415942.6997929027</v>
          </cell>
          <cell r="AI71">
            <v>1528819.959310354</v>
          </cell>
          <cell r="AJ71">
            <v>1567000.4957372188</v>
          </cell>
          <cell r="AK71">
            <v>1564003.7441133356</v>
          </cell>
          <cell r="AL71">
            <v>1556939.5841676851</v>
          </cell>
          <cell r="AM71">
            <v>1530259.7138254677</v>
          </cell>
          <cell r="AN71">
            <v>1588818.4142217282</v>
          </cell>
          <cell r="AO71">
            <v>1646164.2947491542</v>
          </cell>
          <cell r="AP71">
            <v>1660916.4161335668</v>
          </cell>
          <cell r="BC71"/>
          <cell r="BD71">
            <v>8.8977514362416507E-2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</row>
        <row r="72">
          <cell r="B72">
            <v>3529440</v>
          </cell>
          <cell r="C72">
            <v>206406</v>
          </cell>
          <cell r="D72">
            <v>99089</v>
          </cell>
          <cell r="E72">
            <v>0</v>
          </cell>
          <cell r="F72">
            <v>73435</v>
          </cell>
          <cell r="G72">
            <v>9774</v>
          </cell>
          <cell r="H72">
            <v>13418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54198</v>
          </cell>
          <cell r="P72">
            <v>279593</v>
          </cell>
          <cell r="Q72">
            <v>462849.03651519306</v>
          </cell>
          <cell r="R72">
            <v>559827.24261234968</v>
          </cell>
          <cell r="S72">
            <v>676302.59273756738</v>
          </cell>
          <cell r="T72">
            <v>706982.93268435332</v>
          </cell>
          <cell r="U72">
            <v>757971.03779907443</v>
          </cell>
          <cell r="V72">
            <v>810794.4604119173</v>
          </cell>
          <cell r="W72">
            <v>842835.67262404284</v>
          </cell>
          <cell r="X72">
            <v>955702.77059969655</v>
          </cell>
          <cell r="Y72">
            <v>980676.01830076741</v>
          </cell>
          <cell r="Z72">
            <v>1027754.9591789964</v>
          </cell>
          <cell r="AA72">
            <v>1089185.0923919859</v>
          </cell>
          <cell r="AB72">
            <v>1065155.4895748717</v>
          </cell>
          <cell r="AC72">
            <v>1151683.8417830283</v>
          </cell>
          <cell r="AD72">
            <v>1269930.6464406888</v>
          </cell>
          <cell r="AE72">
            <v>1387210.9831736942</v>
          </cell>
          <cell r="AF72">
            <v>1386309.2972859996</v>
          </cell>
          <cell r="AG72">
            <v>1391394.656197977</v>
          </cell>
          <cell r="AH72">
            <v>1461882.5845102347</v>
          </cell>
          <cell r="AI72">
            <v>1578422.116724313</v>
          </cell>
          <cell r="AJ72">
            <v>1617841.4105120183</v>
          </cell>
          <cell r="AK72">
            <v>1614747.4300778534</v>
          </cell>
          <cell r="AL72">
            <v>1607454.0753395213</v>
          </cell>
          <cell r="AM72">
            <v>1579908.5836921663</v>
          </cell>
          <cell r="AN72">
            <v>1640367.2055653299</v>
          </cell>
          <cell r="AO72">
            <v>1699573.6579512281</v>
          </cell>
          <cell r="AP72">
            <v>1714804.4079947209</v>
          </cell>
          <cell r="BC72"/>
          <cell r="BD72">
            <v>9.1864366177000528E-2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</row>
        <row r="73">
          <cell r="B73">
            <v>5807541</v>
          </cell>
          <cell r="C73">
            <v>145377</v>
          </cell>
          <cell r="D73">
            <v>0</v>
          </cell>
          <cell r="E73">
            <v>68564</v>
          </cell>
          <cell r="F73">
            <v>0</v>
          </cell>
          <cell r="G73">
            <v>0</v>
          </cell>
          <cell r="H73">
            <v>53953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1015738</v>
          </cell>
          <cell r="P73">
            <v>252609</v>
          </cell>
          <cell r="Q73">
            <v>435296.4495163933</v>
          </cell>
          <cell r="R73">
            <v>526501.71400693676</v>
          </cell>
          <cell r="S73">
            <v>636043.49192100135</v>
          </cell>
          <cell r="T73">
            <v>664897.48532961356</v>
          </cell>
          <cell r="U73">
            <v>712850.35845453839</v>
          </cell>
          <cell r="V73">
            <v>762529.29586314992</v>
          </cell>
          <cell r="W73">
            <v>792663.15121078177</v>
          </cell>
          <cell r="X73">
            <v>898811.46986328962</v>
          </cell>
          <cell r="Y73">
            <v>922298.10416421853</v>
          </cell>
          <cell r="Z73">
            <v>966574.51870659296</v>
          </cell>
          <cell r="AA73">
            <v>1024347.8244095976</v>
          </cell>
          <cell r="AB73">
            <v>1001748.6614766191</v>
          </cell>
          <cell r="AC73">
            <v>1083126.1334538742</v>
          </cell>
          <cell r="AD73">
            <v>1194333.9143356832</v>
          </cell>
          <cell r="AE73">
            <v>1304632.7594242126</v>
          </cell>
          <cell r="AF73">
            <v>1303784.7493074636</v>
          </cell>
          <cell r="AG73">
            <v>1308567.3857704599</v>
          </cell>
          <cell r="AH73">
            <v>1374859.2920021468</v>
          </cell>
          <cell r="AI73">
            <v>1484461.431358495</v>
          </cell>
          <cell r="AJ73">
            <v>1521534.1640953347</v>
          </cell>
          <cell r="AK73">
            <v>1518624.3628607786</v>
          </cell>
          <cell r="AL73">
            <v>1511765.1686695958</v>
          </cell>
          <cell r="AM73">
            <v>1485859.4115688491</v>
          </cell>
          <cell r="AN73">
            <v>1542719.0382890149</v>
          </cell>
          <cell r="AO73">
            <v>1598401.0349635335</v>
          </cell>
          <cell r="AP73">
            <v>1612725.1253134254</v>
          </cell>
          <cell r="BC73"/>
          <cell r="BD73">
            <v>8.6395842443564352E-2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</row>
        <row r="74">
          <cell r="BK74">
            <v>0</v>
          </cell>
        </row>
        <row r="78"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</row>
        <row r="80">
          <cell r="B80">
            <v>2010</v>
          </cell>
          <cell r="C80">
            <v>2011</v>
          </cell>
          <cell r="D80">
            <v>2012</v>
          </cell>
          <cell r="E80">
            <v>2013</v>
          </cell>
          <cell r="F80">
            <v>2014</v>
          </cell>
          <cell r="G80">
            <v>2015</v>
          </cell>
          <cell r="H80">
            <v>2016</v>
          </cell>
          <cell r="I80">
            <v>2017</v>
          </cell>
          <cell r="J80">
            <v>2018</v>
          </cell>
          <cell r="K80">
            <v>2019</v>
          </cell>
          <cell r="L80">
            <v>2020</v>
          </cell>
          <cell r="M80">
            <v>2021</v>
          </cell>
          <cell r="N80">
            <v>2022</v>
          </cell>
          <cell r="O80">
            <v>2023</v>
          </cell>
          <cell r="P80">
            <v>2024</v>
          </cell>
          <cell r="Q80">
            <v>2025</v>
          </cell>
          <cell r="R80">
            <v>2026</v>
          </cell>
          <cell r="S80">
            <v>2027</v>
          </cell>
          <cell r="T80">
            <v>2028</v>
          </cell>
          <cell r="U80">
            <v>2029</v>
          </cell>
          <cell r="V80">
            <v>2030</v>
          </cell>
          <cell r="W80">
            <v>2031</v>
          </cell>
          <cell r="X80">
            <v>2032</v>
          </cell>
          <cell r="Y80">
            <v>2033</v>
          </cell>
          <cell r="Z80">
            <v>2034</v>
          </cell>
          <cell r="AA80">
            <v>2035</v>
          </cell>
          <cell r="AB80">
            <v>2036</v>
          </cell>
          <cell r="AC80">
            <v>2037</v>
          </cell>
          <cell r="AD80">
            <v>2038</v>
          </cell>
          <cell r="AE80">
            <v>2039</v>
          </cell>
          <cell r="AF80">
            <v>2040</v>
          </cell>
          <cell r="AG80">
            <v>2041</v>
          </cell>
          <cell r="AH80">
            <v>2042</v>
          </cell>
          <cell r="AI80">
            <v>2043</v>
          </cell>
          <cell r="AJ80">
            <v>2044</v>
          </cell>
          <cell r="AK80">
            <v>2045</v>
          </cell>
          <cell r="AL80">
            <v>2046</v>
          </cell>
          <cell r="AM80">
            <v>2047</v>
          </cell>
          <cell r="AN80">
            <v>2048</v>
          </cell>
          <cell r="AO80">
            <v>2049</v>
          </cell>
          <cell r="AP80">
            <v>2050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1</v>
          </cell>
          <cell r="AI81">
            <v>2</v>
          </cell>
          <cell r="AJ81">
            <v>3</v>
          </cell>
          <cell r="AK81">
            <v>4</v>
          </cell>
          <cell r="AL81">
            <v>5</v>
          </cell>
          <cell r="AM81">
            <v>6</v>
          </cell>
          <cell r="AN81">
            <v>7</v>
          </cell>
          <cell r="AO81">
            <v>8</v>
          </cell>
          <cell r="AP81">
            <v>9</v>
          </cell>
          <cell r="BK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112631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1529193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1</v>
          </cell>
          <cell r="AI82">
            <v>2</v>
          </cell>
          <cell r="AJ82">
            <v>3</v>
          </cell>
          <cell r="AK82">
            <v>4</v>
          </cell>
          <cell r="AL82">
            <v>5</v>
          </cell>
          <cell r="AM82">
            <v>6</v>
          </cell>
          <cell r="AN82">
            <v>7</v>
          </cell>
          <cell r="AO82">
            <v>8</v>
          </cell>
          <cell r="AP82">
            <v>9</v>
          </cell>
          <cell r="BK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4900022</v>
          </cell>
          <cell r="H83">
            <v>1133227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1</v>
          </cell>
          <cell r="AI83">
            <v>2</v>
          </cell>
          <cell r="AJ83">
            <v>3</v>
          </cell>
          <cell r="AK83">
            <v>4</v>
          </cell>
          <cell r="AL83">
            <v>5</v>
          </cell>
          <cell r="AM83">
            <v>6</v>
          </cell>
          <cell r="AN83">
            <v>7</v>
          </cell>
          <cell r="AO83">
            <v>8</v>
          </cell>
          <cell r="AP83">
            <v>9</v>
          </cell>
          <cell r="BK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7730301</v>
          </cell>
          <cell r="H84">
            <v>4875342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2426867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1</v>
          </cell>
          <cell r="AI84">
            <v>2</v>
          </cell>
          <cell r="AJ84">
            <v>3</v>
          </cell>
          <cell r="AK84">
            <v>4</v>
          </cell>
          <cell r="AL84">
            <v>5</v>
          </cell>
          <cell r="AM84">
            <v>6</v>
          </cell>
          <cell r="AN84">
            <v>7</v>
          </cell>
          <cell r="AO84">
            <v>8</v>
          </cell>
          <cell r="AP84">
            <v>9</v>
          </cell>
          <cell r="BK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2936127</v>
          </cell>
          <cell r="G85">
            <v>4443940</v>
          </cell>
          <cell r="H85">
            <v>13843022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1</v>
          </cell>
          <cell r="AI85">
            <v>2</v>
          </cell>
          <cell r="AJ85">
            <v>3</v>
          </cell>
          <cell r="AK85">
            <v>4</v>
          </cell>
          <cell r="AL85">
            <v>5</v>
          </cell>
          <cell r="AM85">
            <v>6</v>
          </cell>
          <cell r="AN85">
            <v>7</v>
          </cell>
          <cell r="AO85">
            <v>8</v>
          </cell>
          <cell r="AP85">
            <v>9</v>
          </cell>
          <cell r="BK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4534228</v>
          </cell>
          <cell r="G86">
            <v>8878139</v>
          </cell>
          <cell r="H86">
            <v>16808331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2276354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1</v>
          </cell>
          <cell r="AI86">
            <v>2</v>
          </cell>
          <cell r="AJ86">
            <v>3</v>
          </cell>
          <cell r="AK86">
            <v>4</v>
          </cell>
          <cell r="AL86">
            <v>5</v>
          </cell>
          <cell r="AM86">
            <v>6</v>
          </cell>
          <cell r="AN86">
            <v>7</v>
          </cell>
          <cell r="AO86">
            <v>8</v>
          </cell>
          <cell r="AP86">
            <v>9</v>
          </cell>
          <cell r="BK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7866570</v>
          </cell>
          <cell r="G87">
            <v>13350043</v>
          </cell>
          <cell r="H87">
            <v>14500899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1</v>
          </cell>
          <cell r="AI87">
            <v>2</v>
          </cell>
          <cell r="AJ87">
            <v>3</v>
          </cell>
          <cell r="AK87">
            <v>4</v>
          </cell>
          <cell r="AL87">
            <v>5</v>
          </cell>
          <cell r="AM87">
            <v>6</v>
          </cell>
          <cell r="AN87">
            <v>7</v>
          </cell>
          <cell r="AO87">
            <v>8</v>
          </cell>
          <cell r="AP87">
            <v>9</v>
          </cell>
          <cell r="BK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2764118</v>
          </cell>
          <cell r="F88">
            <v>6014576</v>
          </cell>
          <cell r="G88">
            <v>16980873</v>
          </cell>
          <cell r="H88">
            <v>3060467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1</v>
          </cell>
          <cell r="AI88">
            <v>2</v>
          </cell>
          <cell r="AJ88">
            <v>3</v>
          </cell>
          <cell r="AK88">
            <v>4</v>
          </cell>
          <cell r="AL88">
            <v>5</v>
          </cell>
          <cell r="AM88">
            <v>6</v>
          </cell>
          <cell r="AN88">
            <v>7</v>
          </cell>
          <cell r="AO88">
            <v>8</v>
          </cell>
          <cell r="AP88">
            <v>9</v>
          </cell>
          <cell r="BK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9548508</v>
          </cell>
          <cell r="F89">
            <v>9293633</v>
          </cell>
          <cell r="G89">
            <v>3152145</v>
          </cell>
          <cell r="H89">
            <v>16910692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2149993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1</v>
          </cell>
          <cell r="AI89">
            <v>2</v>
          </cell>
          <cell r="AJ89">
            <v>3</v>
          </cell>
          <cell r="AK89">
            <v>4</v>
          </cell>
          <cell r="AL89">
            <v>5</v>
          </cell>
          <cell r="AM89">
            <v>6</v>
          </cell>
          <cell r="AN89">
            <v>7</v>
          </cell>
          <cell r="AO89">
            <v>8</v>
          </cell>
          <cell r="AP89">
            <v>9</v>
          </cell>
          <cell r="BK89">
            <v>0</v>
          </cell>
        </row>
        <row r="90">
          <cell r="BK90">
            <v>0</v>
          </cell>
        </row>
        <row r="193">
          <cell r="BM193">
            <v>0</v>
          </cell>
        </row>
        <row r="194">
          <cell r="BM194">
            <v>0</v>
          </cell>
        </row>
        <row r="195">
          <cell r="BM195">
            <v>0</v>
          </cell>
        </row>
        <row r="196">
          <cell r="BM196">
            <v>147171</v>
          </cell>
        </row>
        <row r="197">
          <cell r="BM197">
            <v>0</v>
          </cell>
        </row>
        <row r="198">
          <cell r="BM198">
            <v>0</v>
          </cell>
        </row>
        <row r="199">
          <cell r="BM199">
            <v>0</v>
          </cell>
        </row>
        <row r="200">
          <cell r="BM200">
            <v>0</v>
          </cell>
        </row>
        <row r="201">
          <cell r="BM201">
            <v>0</v>
          </cell>
        </row>
        <row r="202">
          <cell r="BM202">
            <v>0</v>
          </cell>
        </row>
        <row r="206"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</row>
        <row r="208">
          <cell r="B208">
            <v>2010</v>
          </cell>
          <cell r="C208">
            <v>2011</v>
          </cell>
          <cell r="D208">
            <v>2012</v>
          </cell>
          <cell r="E208">
            <v>2013</v>
          </cell>
          <cell r="F208">
            <v>2014</v>
          </cell>
          <cell r="G208">
            <v>2015</v>
          </cell>
          <cell r="H208">
            <v>2016</v>
          </cell>
          <cell r="I208">
            <v>2017</v>
          </cell>
          <cell r="J208">
            <v>2018</v>
          </cell>
          <cell r="K208">
            <v>2019</v>
          </cell>
          <cell r="L208">
            <v>2020</v>
          </cell>
          <cell r="M208">
            <v>2021</v>
          </cell>
          <cell r="N208">
            <v>2022</v>
          </cell>
          <cell r="O208">
            <v>2023</v>
          </cell>
          <cell r="P208">
            <v>2024</v>
          </cell>
          <cell r="Q208">
            <v>2025</v>
          </cell>
          <cell r="R208">
            <v>2026</v>
          </cell>
          <cell r="S208">
            <v>2027</v>
          </cell>
          <cell r="T208">
            <v>2028</v>
          </cell>
          <cell r="U208">
            <v>2029</v>
          </cell>
          <cell r="V208">
            <v>2030</v>
          </cell>
          <cell r="W208">
            <v>2031</v>
          </cell>
          <cell r="X208">
            <v>2032</v>
          </cell>
          <cell r="Y208">
            <v>2033</v>
          </cell>
          <cell r="Z208">
            <v>2034</v>
          </cell>
          <cell r="AA208">
            <v>2035</v>
          </cell>
          <cell r="AB208">
            <v>2036</v>
          </cell>
          <cell r="AC208">
            <v>2037</v>
          </cell>
          <cell r="AD208">
            <v>2038</v>
          </cell>
          <cell r="AE208">
            <v>2039</v>
          </cell>
          <cell r="AF208">
            <v>2040</v>
          </cell>
          <cell r="AG208">
            <v>2041</v>
          </cell>
          <cell r="AH208">
            <v>2042</v>
          </cell>
          <cell r="AI208">
            <v>2043</v>
          </cell>
          <cell r="AJ208">
            <v>2044</v>
          </cell>
          <cell r="AK208">
            <v>2045</v>
          </cell>
          <cell r="AL208">
            <v>2046</v>
          </cell>
          <cell r="AM208">
            <v>2047</v>
          </cell>
          <cell r="AN208">
            <v>2048</v>
          </cell>
          <cell r="AO208">
            <v>2049</v>
          </cell>
          <cell r="AP208">
            <v>2050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BK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BK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BK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147171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BK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BK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BK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BK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192792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BK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BK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4124</v>
          </cell>
          <cell r="BK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2"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</row>
        <row r="224">
          <cell r="B224">
            <v>2010</v>
          </cell>
          <cell r="C224">
            <v>2011</v>
          </cell>
          <cell r="D224">
            <v>2012</v>
          </cell>
          <cell r="E224">
            <v>2013</v>
          </cell>
          <cell r="F224">
            <v>2014</v>
          </cell>
          <cell r="G224">
            <v>2015</v>
          </cell>
          <cell r="H224">
            <v>2016</v>
          </cell>
          <cell r="I224">
            <v>2017</v>
          </cell>
          <cell r="J224">
            <v>2018</v>
          </cell>
          <cell r="K224">
            <v>2019</v>
          </cell>
          <cell r="L224">
            <v>2020</v>
          </cell>
          <cell r="M224">
            <v>2021</v>
          </cell>
          <cell r="N224">
            <v>2022</v>
          </cell>
          <cell r="O224">
            <v>2023</v>
          </cell>
          <cell r="P224">
            <v>2024</v>
          </cell>
          <cell r="Q224">
            <v>2025</v>
          </cell>
          <cell r="R224">
            <v>2026</v>
          </cell>
          <cell r="S224">
            <v>2027</v>
          </cell>
          <cell r="T224">
            <v>2028</v>
          </cell>
          <cell r="U224">
            <v>2029</v>
          </cell>
          <cell r="V224">
            <v>2030</v>
          </cell>
          <cell r="W224">
            <v>2031</v>
          </cell>
          <cell r="X224">
            <v>2032</v>
          </cell>
          <cell r="Y224">
            <v>2033</v>
          </cell>
          <cell r="Z224">
            <v>2034</v>
          </cell>
          <cell r="AA224">
            <v>2035</v>
          </cell>
          <cell r="AB224">
            <v>2036</v>
          </cell>
          <cell r="AC224">
            <v>2037</v>
          </cell>
          <cell r="AD224">
            <v>2038</v>
          </cell>
          <cell r="AE224">
            <v>2039</v>
          </cell>
          <cell r="AF224">
            <v>2040</v>
          </cell>
          <cell r="AG224">
            <v>2041</v>
          </cell>
          <cell r="AH224">
            <v>2042</v>
          </cell>
          <cell r="AI224">
            <v>2043</v>
          </cell>
          <cell r="AJ224">
            <v>2044</v>
          </cell>
          <cell r="AK224">
            <v>2045</v>
          </cell>
          <cell r="AL224">
            <v>2046</v>
          </cell>
          <cell r="AM224">
            <v>2047</v>
          </cell>
          <cell r="AN224">
            <v>2048</v>
          </cell>
          <cell r="AO224">
            <v>2049</v>
          </cell>
          <cell r="AP224">
            <v>2050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14377757</v>
          </cell>
          <cell r="G225">
            <v>20283822</v>
          </cell>
          <cell r="H225">
            <v>18194968</v>
          </cell>
          <cell r="I225">
            <v>10036032</v>
          </cell>
          <cell r="J225">
            <v>16106505</v>
          </cell>
          <cell r="K225">
            <v>11204247</v>
          </cell>
          <cell r="L225">
            <v>7522066</v>
          </cell>
          <cell r="M225">
            <v>3349620</v>
          </cell>
          <cell r="N225">
            <v>3343975</v>
          </cell>
          <cell r="O225">
            <v>8617057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BK225">
            <v>8657860.0476812627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17024957</v>
          </cell>
          <cell r="G226">
            <v>17343807</v>
          </cell>
          <cell r="H226">
            <v>11893961</v>
          </cell>
          <cell r="I226">
            <v>14340426</v>
          </cell>
          <cell r="J226">
            <v>15965986</v>
          </cell>
          <cell r="K226">
            <v>12213425</v>
          </cell>
          <cell r="L226">
            <v>12294771</v>
          </cell>
          <cell r="M226">
            <v>7667389</v>
          </cell>
          <cell r="N226">
            <v>3897288</v>
          </cell>
          <cell r="O226">
            <v>6479058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BK226">
            <v>13242677.063074462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287085</v>
          </cell>
          <cell r="F227">
            <v>13090192</v>
          </cell>
          <cell r="G227">
            <v>17784451</v>
          </cell>
          <cell r="H227">
            <v>13792993</v>
          </cell>
          <cell r="I227">
            <v>14261532</v>
          </cell>
          <cell r="J227">
            <v>11103450</v>
          </cell>
          <cell r="K227">
            <v>13698457</v>
          </cell>
          <cell r="L227">
            <v>15694167</v>
          </cell>
          <cell r="M227">
            <v>8247110</v>
          </cell>
          <cell r="N227">
            <v>5755615</v>
          </cell>
          <cell r="O227">
            <v>8056525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BK227">
            <v>6048349.6981978714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1231</v>
          </cell>
          <cell r="F228">
            <v>16215635</v>
          </cell>
          <cell r="G228">
            <v>16708469</v>
          </cell>
          <cell r="H228">
            <v>16185755</v>
          </cell>
          <cell r="I228">
            <v>11215044</v>
          </cell>
          <cell r="J228">
            <v>13313245</v>
          </cell>
          <cell r="K228">
            <v>11147144</v>
          </cell>
          <cell r="L228">
            <v>9569491</v>
          </cell>
          <cell r="M228">
            <v>8303316</v>
          </cell>
          <cell r="N228">
            <v>5195659</v>
          </cell>
          <cell r="O228">
            <v>9806585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BK228">
            <v>5635357.4836564809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13158240</v>
          </cell>
          <cell r="F229">
            <v>10011854</v>
          </cell>
          <cell r="G229">
            <v>11345644</v>
          </cell>
          <cell r="H229">
            <v>15898671</v>
          </cell>
          <cell r="I229">
            <v>9983085</v>
          </cell>
          <cell r="J229">
            <v>7583782</v>
          </cell>
          <cell r="K229">
            <v>7077536</v>
          </cell>
          <cell r="L229">
            <v>3359379</v>
          </cell>
          <cell r="M229">
            <v>7621057</v>
          </cell>
          <cell r="N229">
            <v>6307163</v>
          </cell>
          <cell r="O229">
            <v>13559175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BK229">
            <v>9789342.6385954842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11275975</v>
          </cell>
          <cell r="F230">
            <v>11809012</v>
          </cell>
          <cell r="G230">
            <v>12505894</v>
          </cell>
          <cell r="H230">
            <v>8337763</v>
          </cell>
          <cell r="I230">
            <v>11129728</v>
          </cell>
          <cell r="J230">
            <v>5696491</v>
          </cell>
          <cell r="K230">
            <v>7042609</v>
          </cell>
          <cell r="L230">
            <v>4818122</v>
          </cell>
          <cell r="M230">
            <v>9134196</v>
          </cell>
          <cell r="N230">
            <v>3215445</v>
          </cell>
          <cell r="O230">
            <v>7110155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BK230">
            <v>9025498.2477976847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16695520</v>
          </cell>
          <cell r="F231">
            <v>13348497</v>
          </cell>
          <cell r="G231">
            <v>18809335</v>
          </cell>
          <cell r="H231">
            <v>10599963</v>
          </cell>
          <cell r="I231">
            <v>12209587</v>
          </cell>
          <cell r="J231">
            <v>9663570</v>
          </cell>
          <cell r="K231">
            <v>8510192</v>
          </cell>
          <cell r="L231">
            <v>489120</v>
          </cell>
          <cell r="M231">
            <v>297461</v>
          </cell>
          <cell r="N231">
            <v>3668631</v>
          </cell>
          <cell r="O231">
            <v>5425151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BK231">
            <v>9967690.2176618353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13312037</v>
          </cell>
          <cell r="F232">
            <v>20042904</v>
          </cell>
          <cell r="G232">
            <v>15188759</v>
          </cell>
          <cell r="H232">
            <v>15674900</v>
          </cell>
          <cell r="I232">
            <v>16880454</v>
          </cell>
          <cell r="J232">
            <v>8424380</v>
          </cell>
          <cell r="K232">
            <v>7004305</v>
          </cell>
          <cell r="L232">
            <v>669259</v>
          </cell>
          <cell r="M232">
            <v>2657386</v>
          </cell>
          <cell r="N232">
            <v>1964127</v>
          </cell>
          <cell r="O232">
            <v>28172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BK232">
            <v>4969929.8991743345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17627473</v>
          </cell>
          <cell r="F233">
            <v>0</v>
          </cell>
          <cell r="G233">
            <v>19282688</v>
          </cell>
          <cell r="H233">
            <v>10536198</v>
          </cell>
          <cell r="I233">
            <v>11866285</v>
          </cell>
          <cell r="J233">
            <v>5862786</v>
          </cell>
          <cell r="K233">
            <v>4804630</v>
          </cell>
          <cell r="L233">
            <v>2648536</v>
          </cell>
          <cell r="M233">
            <v>7175485</v>
          </cell>
          <cell r="N233">
            <v>7728864</v>
          </cell>
          <cell r="O233">
            <v>408127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BK233">
            <v>6769140.6055476917</v>
          </cell>
        </row>
        <row r="234">
          <cell r="BK234">
            <v>10159557.192565186</v>
          </cell>
        </row>
        <row r="238"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</row>
        <row r="240">
          <cell r="B240">
            <v>2010</v>
          </cell>
          <cell r="C240">
            <v>2011</v>
          </cell>
          <cell r="D240">
            <v>2012</v>
          </cell>
          <cell r="E240">
            <v>2013</v>
          </cell>
          <cell r="F240">
            <v>2014</v>
          </cell>
          <cell r="G240">
            <v>2015</v>
          </cell>
          <cell r="H240">
            <v>2016</v>
          </cell>
          <cell r="I240">
            <v>2017</v>
          </cell>
          <cell r="J240">
            <v>2018</v>
          </cell>
          <cell r="K240">
            <v>2019</v>
          </cell>
          <cell r="L240">
            <v>2020</v>
          </cell>
          <cell r="M240">
            <v>2021</v>
          </cell>
          <cell r="N240">
            <v>2022</v>
          </cell>
          <cell r="O240">
            <v>2023</v>
          </cell>
          <cell r="P240">
            <v>2024</v>
          </cell>
          <cell r="Q240">
            <v>2025</v>
          </cell>
          <cell r="R240">
            <v>2026</v>
          </cell>
          <cell r="S240">
            <v>2027</v>
          </cell>
          <cell r="T240">
            <v>2028</v>
          </cell>
          <cell r="U240">
            <v>2029</v>
          </cell>
          <cell r="V240">
            <v>2030</v>
          </cell>
          <cell r="W240">
            <v>2031</v>
          </cell>
          <cell r="X240">
            <v>2032</v>
          </cell>
          <cell r="Y240">
            <v>2033</v>
          </cell>
          <cell r="Z240">
            <v>2034</v>
          </cell>
          <cell r="AA240">
            <v>2035</v>
          </cell>
          <cell r="AB240">
            <v>2036</v>
          </cell>
          <cell r="AC240">
            <v>2037</v>
          </cell>
          <cell r="AD240">
            <v>2038</v>
          </cell>
          <cell r="AE240">
            <v>2039</v>
          </cell>
          <cell r="AF240">
            <v>2040</v>
          </cell>
          <cell r="AG240">
            <v>2041</v>
          </cell>
          <cell r="AH240">
            <v>2042</v>
          </cell>
          <cell r="AI240">
            <v>2043</v>
          </cell>
          <cell r="AJ240">
            <v>2044</v>
          </cell>
          <cell r="AK240">
            <v>2045</v>
          </cell>
          <cell r="AL240">
            <v>2046</v>
          </cell>
          <cell r="AM240">
            <v>2047</v>
          </cell>
          <cell r="AN240">
            <v>2048</v>
          </cell>
          <cell r="AO240">
            <v>2049</v>
          </cell>
          <cell r="AP240">
            <v>2050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Graph Dashboard"/>
      <sheetName val="annual_data"/>
      <sheetName val="monthly_data"/>
      <sheetName val="BD"/>
      <sheetName val="RD"/>
      <sheetName val="Diesel"/>
      <sheetName val="Diesel (adj)"/>
      <sheetName val="Capacity"/>
      <sheetName val="EIA_Short_Term"/>
      <sheetName val="comp"/>
    </sheetNames>
    <sheetDataSet>
      <sheetData sheetId="0"/>
      <sheetData sheetId="1"/>
      <sheetData sheetId="2"/>
      <sheetData sheetId="3"/>
      <sheetData sheetId="4">
        <row r="25">
          <cell r="K25">
            <v>26.606999999999999</v>
          </cell>
          <cell r="L25">
            <v>35.354999999999997</v>
          </cell>
          <cell r="M25">
            <v>73.546000000000006</v>
          </cell>
          <cell r="N25">
            <v>68.864000000000004</v>
          </cell>
          <cell r="O25">
            <v>72.540000000000006</v>
          </cell>
          <cell r="P25">
            <v>72.546000000000006</v>
          </cell>
          <cell r="Q25">
            <v>104.57599999999999</v>
          </cell>
          <cell r="R25">
            <v>92.757000000000005</v>
          </cell>
          <cell r="S25">
            <v>125.52500000000001</v>
          </cell>
          <cell r="T25">
            <v>143.917</v>
          </cell>
          <cell r="U25">
            <v>134.233</v>
          </cell>
          <cell r="V25">
            <v>140.79400000000001</v>
          </cell>
          <cell r="W25">
            <v>119.98699999999999</v>
          </cell>
          <cell r="X25">
            <v>137.54599999999999</v>
          </cell>
          <cell r="Y25">
            <v>127.182</v>
          </cell>
          <cell r="Z25">
            <v>65.635810000000006</v>
          </cell>
        </row>
        <row r="26">
          <cell r="K26">
            <v>29.245999999999999</v>
          </cell>
          <cell r="L26">
            <v>40.341999999999999</v>
          </cell>
          <cell r="M26">
            <v>79.236000000000004</v>
          </cell>
          <cell r="N26">
            <v>70.233999999999995</v>
          </cell>
          <cell r="O26">
            <v>75.643000000000001</v>
          </cell>
          <cell r="P26">
            <v>77.736000000000004</v>
          </cell>
          <cell r="Q26">
            <v>105.154</v>
          </cell>
          <cell r="R26">
            <v>93.983000000000004</v>
          </cell>
          <cell r="S26">
            <v>127.94499999999999</v>
          </cell>
          <cell r="T26">
            <v>130.529</v>
          </cell>
          <cell r="U26">
            <v>131.82900000000001</v>
          </cell>
          <cell r="V26">
            <v>108.27</v>
          </cell>
          <cell r="W26">
            <v>113.685</v>
          </cell>
          <cell r="X26">
            <v>119.309</v>
          </cell>
          <cell r="Y26">
            <v>125.521</v>
          </cell>
          <cell r="Z26">
            <v>73.721896000000001</v>
          </cell>
        </row>
        <row r="27">
          <cell r="K27">
            <v>33.771999999999998</v>
          </cell>
          <cell r="L27">
            <v>59.59</v>
          </cell>
          <cell r="M27">
            <v>94.524000000000001</v>
          </cell>
          <cell r="N27">
            <v>101.28400000000001</v>
          </cell>
          <cell r="O27">
            <v>99.177999999999997</v>
          </cell>
          <cell r="P27">
            <v>97.673000000000002</v>
          </cell>
          <cell r="Q27">
            <v>120.15900000000001</v>
          </cell>
          <cell r="R27">
            <v>115.973</v>
          </cell>
          <cell r="S27">
            <v>149.12700000000001</v>
          </cell>
          <cell r="T27">
            <v>140.82499999999999</v>
          </cell>
          <cell r="U27">
            <v>150.94499999999999</v>
          </cell>
          <cell r="V27">
            <v>150.571</v>
          </cell>
          <cell r="W27">
            <v>132.755</v>
          </cell>
          <cell r="X27">
            <v>139.26400000000001</v>
          </cell>
          <cell r="Y27">
            <v>135.63999999999999</v>
          </cell>
          <cell r="Z27">
            <v>95.835418000000004</v>
          </cell>
        </row>
        <row r="28">
          <cell r="K28">
            <v>34.19</v>
          </cell>
          <cell r="L28">
            <v>71.052000000000007</v>
          </cell>
          <cell r="M28">
            <v>93.942999999999998</v>
          </cell>
          <cell r="N28">
            <v>107.01900000000001</v>
          </cell>
          <cell r="O28">
            <v>93.352000000000004</v>
          </cell>
          <cell r="P28">
            <v>107.85</v>
          </cell>
          <cell r="Q28">
            <v>119.95099999999999</v>
          </cell>
          <cell r="R28">
            <v>126.821</v>
          </cell>
          <cell r="S28">
            <v>142.52500000000001</v>
          </cell>
          <cell r="T28">
            <v>152.149</v>
          </cell>
          <cell r="U28">
            <v>143.72900000000001</v>
          </cell>
          <cell r="V28">
            <v>144.03899999999999</v>
          </cell>
          <cell r="W28">
            <v>126.742</v>
          </cell>
          <cell r="X28">
            <v>133.381</v>
          </cell>
          <cell r="Y28">
            <v>133.541</v>
          </cell>
          <cell r="Z28">
            <v>131.79198624915776</v>
          </cell>
        </row>
        <row r="29">
          <cell r="K29">
            <v>31.914999999999999</v>
          </cell>
          <cell r="L29">
            <v>77.197000000000003</v>
          </cell>
          <cell r="M29">
            <v>101.97</v>
          </cell>
          <cell r="N29">
            <v>111.101</v>
          </cell>
          <cell r="O29">
            <v>106.31399999999999</v>
          </cell>
          <cell r="P29">
            <v>116.94</v>
          </cell>
          <cell r="Q29">
            <v>135.34399999999999</v>
          </cell>
          <cell r="R29">
            <v>136.18100000000001</v>
          </cell>
          <cell r="S29">
            <v>151.31200000000001</v>
          </cell>
          <cell r="T29">
            <v>154.59</v>
          </cell>
          <cell r="U29">
            <v>152.47999999999999</v>
          </cell>
          <cell r="V29">
            <v>148.54599999999999</v>
          </cell>
          <cell r="W29">
            <v>136.148</v>
          </cell>
          <cell r="X29">
            <v>154.77099999999999</v>
          </cell>
          <cell r="Y29">
            <v>143.05699999999999</v>
          </cell>
          <cell r="Z29">
            <v>137.92023689019857</v>
          </cell>
        </row>
        <row r="30">
          <cell r="K30">
            <v>27.065999999999999</v>
          </cell>
          <cell r="L30">
            <v>81.391000000000005</v>
          </cell>
          <cell r="M30">
            <v>93.373999999999995</v>
          </cell>
          <cell r="N30">
            <v>113.369</v>
          </cell>
          <cell r="O30">
            <v>111.07</v>
          </cell>
          <cell r="P30">
            <v>121.824</v>
          </cell>
          <cell r="Q30">
            <v>134.62</v>
          </cell>
          <cell r="R30">
            <v>140.459</v>
          </cell>
          <cell r="S30">
            <v>158.86699999999999</v>
          </cell>
          <cell r="T30">
            <v>141.553</v>
          </cell>
          <cell r="U30">
            <v>150.80000000000001</v>
          </cell>
          <cell r="V30">
            <v>143.429</v>
          </cell>
          <cell r="W30">
            <v>137.149</v>
          </cell>
          <cell r="X30">
            <v>150.68700000000001</v>
          </cell>
          <cell r="Y30">
            <v>141.52099999999999</v>
          </cell>
          <cell r="Z30">
            <v>139.59632119621358</v>
          </cell>
        </row>
        <row r="31">
          <cell r="K31">
            <v>27.597000000000001</v>
          </cell>
          <cell r="L31">
            <v>91.68</v>
          </cell>
          <cell r="M31">
            <v>89.316999999999993</v>
          </cell>
          <cell r="N31">
            <v>129.02600000000001</v>
          </cell>
          <cell r="O31">
            <v>122.887</v>
          </cell>
          <cell r="P31">
            <v>121.07599999999999</v>
          </cell>
          <cell r="Q31">
            <v>139.887</v>
          </cell>
          <cell r="R31">
            <v>149.51300000000001</v>
          </cell>
          <cell r="S31">
            <v>166.33099999999999</v>
          </cell>
          <cell r="T31">
            <v>158.61000000000001</v>
          </cell>
          <cell r="U31">
            <v>161.66900000000001</v>
          </cell>
          <cell r="V31">
            <v>149.16999999999999</v>
          </cell>
          <cell r="W31">
            <v>146.58000000000001</v>
          </cell>
          <cell r="X31">
            <v>152.161</v>
          </cell>
          <cell r="Y31">
            <v>146.05699999999999</v>
          </cell>
          <cell r="Z31">
            <v>137.41003536067737</v>
          </cell>
        </row>
        <row r="32">
          <cell r="K32">
            <v>27.427</v>
          </cell>
          <cell r="L32">
            <v>95.484999999999999</v>
          </cell>
          <cell r="M32">
            <v>91.405000000000001</v>
          </cell>
          <cell r="N32">
            <v>129.619</v>
          </cell>
          <cell r="O32">
            <v>125.437</v>
          </cell>
          <cell r="P32">
            <v>123.176</v>
          </cell>
          <cell r="Q32">
            <v>142.17699999999999</v>
          </cell>
          <cell r="R32">
            <v>149.48599999999999</v>
          </cell>
          <cell r="S32">
            <v>172.28</v>
          </cell>
          <cell r="T32">
            <v>155.898</v>
          </cell>
          <cell r="U32">
            <v>162.60900000000001</v>
          </cell>
          <cell r="V32">
            <v>149.50200000000001</v>
          </cell>
          <cell r="W32">
            <v>147.78700000000001</v>
          </cell>
          <cell r="X32">
            <v>144.845</v>
          </cell>
          <cell r="Y32">
            <v>139.72418999999999</v>
          </cell>
          <cell r="Z32">
            <v>143.73869939125274</v>
          </cell>
        </row>
        <row r="33">
          <cell r="K33">
            <v>30.356999999999999</v>
          </cell>
          <cell r="L33">
            <v>95.941999999999993</v>
          </cell>
          <cell r="M33">
            <v>81.852999999999994</v>
          </cell>
          <cell r="N33">
            <v>127.065</v>
          </cell>
          <cell r="O33">
            <v>115.67700000000001</v>
          </cell>
          <cell r="P33">
            <v>104.119</v>
          </cell>
          <cell r="Q33">
            <v>134.667</v>
          </cell>
          <cell r="R33">
            <v>147.29300000000001</v>
          </cell>
          <cell r="S33">
            <v>164.39599999999999</v>
          </cell>
          <cell r="T33">
            <v>141.846</v>
          </cell>
          <cell r="U33">
            <v>159.161</v>
          </cell>
          <cell r="V33">
            <v>133.76499999999999</v>
          </cell>
          <cell r="W33">
            <v>140.709</v>
          </cell>
          <cell r="X33">
            <v>144.38900000000001</v>
          </cell>
          <cell r="Y33">
            <v>134.53788499999999</v>
          </cell>
          <cell r="Z33">
            <v>135.75318158840645</v>
          </cell>
        </row>
        <row r="34">
          <cell r="K34">
            <v>28.404</v>
          </cell>
          <cell r="L34">
            <v>105.342</v>
          </cell>
          <cell r="M34">
            <v>75.283000000000001</v>
          </cell>
          <cell r="N34">
            <v>137.434</v>
          </cell>
          <cell r="O34">
            <v>122.988</v>
          </cell>
          <cell r="P34">
            <v>106.467</v>
          </cell>
          <cell r="Q34">
            <v>144.19200000000001</v>
          </cell>
          <cell r="R34">
            <v>147.624</v>
          </cell>
          <cell r="S34">
            <v>170.952</v>
          </cell>
          <cell r="T34">
            <v>144.31399999999999</v>
          </cell>
          <cell r="U34">
            <v>157.203</v>
          </cell>
          <cell r="V34">
            <v>145.87200000000001</v>
          </cell>
          <cell r="W34">
            <v>145.48400000000001</v>
          </cell>
          <cell r="X34">
            <v>146.773</v>
          </cell>
          <cell r="Y34">
            <v>148.097836</v>
          </cell>
          <cell r="Z34">
            <v>134.4740436377117</v>
          </cell>
        </row>
        <row r="35">
          <cell r="K35">
            <v>22.167999999999999</v>
          </cell>
          <cell r="L35">
            <v>104.747</v>
          </cell>
          <cell r="M35">
            <v>57.228999999999999</v>
          </cell>
          <cell r="N35">
            <v>129.34100000000001</v>
          </cell>
          <cell r="O35">
            <v>109.639</v>
          </cell>
          <cell r="P35">
            <v>105.883</v>
          </cell>
          <cell r="Q35">
            <v>143.15199999999999</v>
          </cell>
          <cell r="R35">
            <v>147.97999999999999</v>
          </cell>
          <cell r="S35">
            <v>160.273</v>
          </cell>
          <cell r="T35">
            <v>127.42400000000001</v>
          </cell>
          <cell r="U35">
            <v>152.06700000000001</v>
          </cell>
          <cell r="V35">
            <v>141.10400000000001</v>
          </cell>
          <cell r="W35">
            <v>142.108</v>
          </cell>
          <cell r="X35">
            <v>135.68700000000001</v>
          </cell>
          <cell r="Y35">
            <v>133.353588</v>
          </cell>
          <cell r="Z35">
            <v>129.67650759899189</v>
          </cell>
        </row>
        <row r="36">
          <cell r="K36">
            <v>24.695</v>
          </cell>
          <cell r="L36">
            <v>109.357</v>
          </cell>
          <cell r="M36">
            <v>59.031999999999996</v>
          </cell>
          <cell r="N36">
            <v>135.1</v>
          </cell>
          <cell r="O36">
            <v>124.254</v>
          </cell>
          <cell r="P36">
            <v>108.057</v>
          </cell>
          <cell r="Q36">
            <v>143.851</v>
          </cell>
          <cell r="R36">
            <v>147.63900000000001</v>
          </cell>
          <cell r="S36">
            <v>167.785</v>
          </cell>
          <cell r="T36">
            <v>132.85</v>
          </cell>
          <cell r="U36">
            <v>157.97399999999999</v>
          </cell>
          <cell r="V36">
            <v>153.76300000000001</v>
          </cell>
          <cell r="W36">
            <v>132.893</v>
          </cell>
          <cell r="X36">
            <v>138.01400000000001</v>
          </cell>
          <cell r="Y36">
            <v>174.92183499999999</v>
          </cell>
          <cell r="Z36">
            <v>258.1438615953773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EMTS-CARB Forecast"/>
      <sheetName val="Fuel Vol and Credit Gen"/>
      <sheetName val="Qrtly Credit-Deficit Generation"/>
      <sheetName val="Annual Credit-Deficit Gen"/>
      <sheetName val="Biofuel Feedstocks"/>
      <sheetName val="Graph Testing"/>
      <sheetName val="CA LCFS Performance"/>
      <sheetName val="Chart1"/>
      <sheetName val="Table 1"/>
      <sheetName val="Chart2"/>
      <sheetName val="Chart3"/>
      <sheetName val="FeedStock"/>
      <sheetName val="FeedStock 2011 - 2021"/>
      <sheetName val="Graphs"/>
      <sheetName val="Graph Data"/>
      <sheetName val="DMAggregatedFuelVolumes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9"/>
      <sheetName val="Chart40"/>
      <sheetName val="Chart41"/>
      <sheetName val="Chart42"/>
      <sheetName val="Chart43"/>
      <sheetName val="Chart44"/>
      <sheetName val="Fig E w ARGUS"/>
      <sheetName val="Fig10"/>
      <sheetName val="CARB LCFS Data"/>
    </sheetNames>
    <sheetDataSet>
      <sheetData sheetId="0"/>
      <sheetData sheetId="1">
        <row r="71">
          <cell r="M71">
            <v>320411961</v>
          </cell>
          <cell r="N71">
            <v>404778818</v>
          </cell>
          <cell r="O71">
            <v>518276102</v>
          </cell>
          <cell r="P71">
            <v>441392098.30412436</v>
          </cell>
          <cell r="Q71">
            <v>435242703.72862172</v>
          </cell>
          <cell r="R71">
            <v>468452381.24155182</v>
          </cell>
          <cell r="S71">
            <v>437499728.24064165</v>
          </cell>
          <cell r="T71">
            <v>441653949.26244438</v>
          </cell>
          <cell r="U71">
            <v>457905990.37526339</v>
          </cell>
          <cell r="V71">
            <v>488363374.53187293</v>
          </cell>
          <cell r="W71">
            <v>565987488.62687504</v>
          </cell>
          <cell r="X71">
            <v>563694208.8733319</v>
          </cell>
          <cell r="Y71">
            <v>550423422.69853616</v>
          </cell>
          <cell r="Z71">
            <v>597355897.36293328</v>
          </cell>
          <cell r="AA71">
            <v>626240549.77102923</v>
          </cell>
          <cell r="AB71">
            <v>698352198.17105341</v>
          </cell>
          <cell r="AC71">
            <v>762038828.19258916</v>
          </cell>
          <cell r="AD71">
            <v>764247987.97750187</v>
          </cell>
          <cell r="AE71">
            <v>682211338.46165061</v>
          </cell>
          <cell r="AF71">
            <v>716861869.27876437</v>
          </cell>
          <cell r="AG71">
            <v>753054729.16776323</v>
          </cell>
          <cell r="AH71">
            <v>811278211.00181544</v>
          </cell>
          <cell r="AI71">
            <v>825791910.62370121</v>
          </cell>
          <cell r="AJ71">
            <v>821566450.25805104</v>
          </cell>
          <cell r="AK71">
            <v>786893986.2788527</v>
          </cell>
          <cell r="AL71">
            <v>815689401.72945344</v>
          </cell>
          <cell r="AM71">
            <v>842043293.55448699</v>
          </cell>
          <cell r="AN71">
            <v>869551679.22900116</v>
          </cell>
          <cell r="AO71">
            <v>903526331.74664557</v>
          </cell>
        </row>
        <row r="72">
          <cell r="M72">
            <v>349244307</v>
          </cell>
          <cell r="N72">
            <v>481200270</v>
          </cell>
          <cell r="O72">
            <v>603001119</v>
          </cell>
          <cell r="P72">
            <v>448048628.67725605</v>
          </cell>
          <cell r="Q72">
            <v>481685510.6530391</v>
          </cell>
          <cell r="R72">
            <v>520037290.02228367</v>
          </cell>
          <cell r="S72">
            <v>479816959.64220887</v>
          </cell>
          <cell r="T72">
            <v>482993915.37878895</v>
          </cell>
          <cell r="U72">
            <v>502676386.3842321</v>
          </cell>
          <cell r="V72">
            <v>543253020.4204582</v>
          </cell>
          <cell r="W72">
            <v>637638770.8849324</v>
          </cell>
          <cell r="X72">
            <v>634373282.50756216</v>
          </cell>
          <cell r="Y72">
            <v>617728836.34862733</v>
          </cell>
          <cell r="Z72">
            <v>681437256.43705606</v>
          </cell>
          <cell r="AA72">
            <v>714100472.41606462</v>
          </cell>
          <cell r="AB72">
            <v>802391397.03057671</v>
          </cell>
          <cell r="AC72">
            <v>880332584.62870514</v>
          </cell>
          <cell r="AD72">
            <v>883132983.64518952</v>
          </cell>
          <cell r="AE72">
            <v>781661501.14096463</v>
          </cell>
          <cell r="AF72">
            <v>824409154.43465614</v>
          </cell>
          <cell r="AG72">
            <v>868985733.89157319</v>
          </cell>
          <cell r="AH72">
            <v>940555217.43616748</v>
          </cell>
          <cell r="AI72">
            <v>958356668.95722461</v>
          </cell>
          <cell r="AJ72">
            <v>953165471.61927867</v>
          </cell>
          <cell r="AK72">
            <v>910362967.28416407</v>
          </cell>
          <cell r="AL72">
            <v>945981114.62157309</v>
          </cell>
          <cell r="AM72">
            <v>978370891.46023762</v>
          </cell>
          <cell r="AN72">
            <v>1012164689.9985688</v>
          </cell>
          <cell r="AO72">
            <v>1054049416.9938188</v>
          </cell>
        </row>
        <row r="73">
          <cell r="M73">
            <v>352249753</v>
          </cell>
          <cell r="N73">
            <v>531797418</v>
          </cell>
          <cell r="O73">
            <v>524507607</v>
          </cell>
          <cell r="P73">
            <v>580142708.42761922</v>
          </cell>
          <cell r="Q73">
            <v>501478189.69605738</v>
          </cell>
          <cell r="R73">
            <v>539344148.76246023</v>
          </cell>
          <cell r="S73">
            <v>519230734.04251754</v>
          </cell>
          <cell r="T73">
            <v>522557488.62159789</v>
          </cell>
          <cell r="U73">
            <v>526923668.17243147</v>
          </cell>
          <cell r="V73">
            <v>518055592.80000424</v>
          </cell>
          <cell r="W73">
            <v>476457180.44928277</v>
          </cell>
          <cell r="X73">
            <v>488127941.6923871</v>
          </cell>
          <cell r="Y73">
            <v>489717428.73218971</v>
          </cell>
          <cell r="Z73">
            <v>475454095.57633203</v>
          </cell>
          <cell r="AA73">
            <v>462915571.73733294</v>
          </cell>
          <cell r="AB73">
            <v>432151022.6796242</v>
          </cell>
          <cell r="AC73">
            <v>406235513.54811674</v>
          </cell>
          <cell r="AD73">
            <v>406097396.54130715</v>
          </cell>
          <cell r="AE73">
            <v>438878970.79290259</v>
          </cell>
          <cell r="AF73">
            <v>424887067.17987251</v>
          </cell>
          <cell r="AG73">
            <v>410019394.08045232</v>
          </cell>
          <cell r="AH73">
            <v>386088752.11267579</v>
          </cell>
          <cell r="AI73">
            <v>380356193.97505397</v>
          </cell>
          <cell r="AJ73">
            <v>382035989.26604289</v>
          </cell>
          <cell r="AK73">
            <v>396211208.41308045</v>
          </cell>
          <cell r="AL73">
            <v>384449996.69452965</v>
          </cell>
          <cell r="AM73">
            <v>373653632.48190463</v>
          </cell>
          <cell r="AN73">
            <v>362414976.47504884</v>
          </cell>
          <cell r="AO73">
            <v>348564488.06993872</v>
          </cell>
        </row>
        <row r="74">
          <cell r="L74">
            <v>272878865</v>
          </cell>
          <cell r="M74">
            <v>372139289</v>
          </cell>
          <cell r="N74">
            <v>547388851</v>
          </cell>
          <cell r="O74">
            <v>573220407.04731023</v>
          </cell>
          <cell r="P74">
            <v>532495252.03143936</v>
          </cell>
          <cell r="Q74">
            <v>593574181.46246314</v>
          </cell>
          <cell r="R74">
            <v>646634579.75410664</v>
          </cell>
          <cell r="S74">
            <v>612299475.63653946</v>
          </cell>
          <cell r="T74">
            <v>615049729.69131458</v>
          </cell>
          <cell r="U74">
            <v>646474633.97145259</v>
          </cell>
          <cell r="V74">
            <v>700074408.66560018</v>
          </cell>
          <cell r="W74">
            <v>829268595.02743423</v>
          </cell>
          <cell r="X74">
            <v>825219699.01555443</v>
          </cell>
          <cell r="Y74">
            <v>802174908.69859278</v>
          </cell>
          <cell r="Z74">
            <v>876919676.23982084</v>
          </cell>
          <cell r="AA74">
            <v>929572829.73443615</v>
          </cell>
          <cell r="AB74">
            <v>1051518036.3121086</v>
          </cell>
          <cell r="AC74">
            <v>1158856230.7201321</v>
          </cell>
          <cell r="AD74">
            <v>1162069707.5825419</v>
          </cell>
          <cell r="AE74">
            <v>1022560401.0602371</v>
          </cell>
          <cell r="AF74">
            <v>1081218849.7814889</v>
          </cell>
          <cell r="AG74">
            <v>1142177400.3623388</v>
          </cell>
          <cell r="AH74">
            <v>1240016912.6396577</v>
          </cell>
          <cell r="AI74">
            <v>1264505495.5127242</v>
          </cell>
          <cell r="AJ74">
            <v>1257352632.2861609</v>
          </cell>
          <cell r="AK74">
            <v>1198433428.9788465</v>
          </cell>
          <cell r="AL74">
            <v>1247565092.6154466</v>
          </cell>
          <cell r="AM74">
            <v>1291850899.8254735</v>
          </cell>
          <cell r="AN74">
            <v>1338091395.7129784</v>
          </cell>
          <cell r="AO74">
            <v>1395681371.4513481</v>
          </cell>
        </row>
      </sheetData>
      <sheetData sheetId="2">
        <row r="12">
          <cell r="BE12">
            <v>58423071</v>
          </cell>
          <cell r="BF12">
            <v>54434656.190726638</v>
          </cell>
          <cell r="BG12">
            <v>78891431.171170473</v>
          </cell>
          <cell r="BH12">
            <v>48998068.276747525</v>
          </cell>
          <cell r="BI12">
            <v>52553264.619507283</v>
          </cell>
          <cell r="BJ12">
            <v>57058039.938386612</v>
          </cell>
          <cell r="BK12">
            <v>61120943.765449136</v>
          </cell>
          <cell r="BL12">
            <v>51963504.182742245</v>
          </cell>
          <cell r="BM12">
            <v>57303008.875407279</v>
          </cell>
          <cell r="BN12">
            <v>68800425.817226037</v>
          </cell>
          <cell r="BO12">
            <v>65205969.378807083</v>
          </cell>
          <cell r="BP12">
            <v>49932351.879483439</v>
          </cell>
          <cell r="BQ12">
            <v>55531148.196585611</v>
          </cell>
          <cell r="BR12">
            <v>71347684.719060674</v>
          </cell>
          <cell r="BS12">
            <v>69218674.756625339</v>
          </cell>
          <cell r="BT12">
            <v>26680625.134341978</v>
          </cell>
          <cell r="BU12">
            <v>32050652.939088725</v>
          </cell>
          <cell r="BV12">
            <v>79235565.132404864</v>
          </cell>
          <cell r="BW12">
            <v>64986054.491051331</v>
          </cell>
          <cell r="BX12">
            <v>40727703.088250123</v>
          </cell>
          <cell r="BY12">
            <v>45884708.550418407</v>
          </cell>
          <cell r="BZ12">
            <v>70688919.647427604</v>
          </cell>
          <cell r="CA12">
            <v>63933861.510896251</v>
          </cell>
          <cell r="CB12">
            <v>43098928.978547812</v>
          </cell>
          <cell r="CC12">
            <v>48413286.711739562</v>
          </cell>
          <cell r="CD12">
            <v>83351574.160884947</v>
          </cell>
          <cell r="CE12">
            <v>61613426.512063392</v>
          </cell>
          <cell r="CF12">
            <v>46802554.485772371</v>
          </cell>
          <cell r="CG12">
            <v>48184918.358182698</v>
          </cell>
          <cell r="CH12">
            <v>78418645.009344265</v>
          </cell>
          <cell r="CI12">
            <v>62515030.887064777</v>
          </cell>
          <cell r="CJ12">
            <v>48433051.585389882</v>
          </cell>
          <cell r="CK12">
            <v>53331248.023169942</v>
          </cell>
          <cell r="CL12">
            <v>73398806.771944821</v>
          </cell>
          <cell r="CM12">
            <v>64994081.013200119</v>
          </cell>
          <cell r="CN12">
            <v>41830532.809001595</v>
          </cell>
          <cell r="CO12">
            <v>51734623.423499003</v>
          </cell>
          <cell r="CP12">
            <v>77573857.302446097</v>
          </cell>
          <cell r="CQ12">
            <v>66525986.030507751</v>
          </cell>
          <cell r="CR12">
            <v>40427168.401841566</v>
          </cell>
          <cell r="CS12">
            <v>50006051.524138734</v>
          </cell>
          <cell r="CT12">
            <v>78839879.603995889</v>
          </cell>
          <cell r="CU12">
            <v>67344341.382877618</v>
          </cell>
          <cell r="CV12">
            <v>36961092.763620287</v>
          </cell>
          <cell r="CW12">
            <v>46278506.76491987</v>
          </cell>
          <cell r="CX12">
            <v>80059581.280127823</v>
          </cell>
          <cell r="CY12">
            <v>72914767.115726739</v>
          </cell>
          <cell r="CZ12">
            <v>22332641.13430091</v>
          </cell>
          <cell r="DA12">
            <v>42440328.110824876</v>
          </cell>
          <cell r="DB12">
            <v>81265345.000448033</v>
          </cell>
          <cell r="DC12">
            <v>81125386.872185379</v>
          </cell>
          <cell r="DD12">
            <v>6989393.2310535535</v>
          </cell>
          <cell r="DE12">
            <v>37893611.210520148</v>
          </cell>
          <cell r="DF12">
            <v>83018171.295584053</v>
          </cell>
          <cell r="DG12">
            <v>83290336.138409302</v>
          </cell>
          <cell r="DH12">
            <v>5217502.9623537585</v>
          </cell>
          <cell r="DI12">
            <v>38905882.681057587</v>
          </cell>
          <cell r="DJ12">
            <v>84186464.808131129</v>
          </cell>
          <cell r="DK12">
            <v>89481839.256546348</v>
          </cell>
          <cell r="DL12">
            <v>-5809937.3122376055</v>
          </cell>
          <cell r="DM12">
            <v>35788352.602647334</v>
          </cell>
          <cell r="DN12">
            <v>86351066.384441853</v>
          </cell>
          <cell r="DO12">
            <v>100454903.39792667</v>
          </cell>
          <cell r="DP12">
            <v>-27148926.785798285</v>
          </cell>
          <cell r="DQ12">
            <v>30208260.948240448</v>
          </cell>
          <cell r="DR12">
            <v>89229089.262383759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>
        <row r="103">
          <cell r="T103">
            <v>30</v>
          </cell>
          <cell r="U103">
            <v>59</v>
          </cell>
          <cell r="V103">
            <v>103</v>
          </cell>
          <cell r="W103">
            <v>86.27</v>
          </cell>
          <cell r="X103">
            <v>102</v>
          </cell>
          <cell r="Y103">
            <v>119.72</v>
          </cell>
          <cell r="Z103">
            <v>131.61000000000001</v>
          </cell>
          <cell r="AA103">
            <v>177.77</v>
          </cell>
          <cell r="AB103">
            <v>131.25</v>
          </cell>
          <cell r="AC103">
            <v>101</v>
          </cell>
          <cell r="AD103">
            <v>116.78623301776037</v>
          </cell>
          <cell r="AE103">
            <v>106.99013809186347</v>
          </cell>
          <cell r="AF103">
            <v>76.281999999999996</v>
          </cell>
          <cell r="AG103">
            <v>65.177999999999997</v>
          </cell>
          <cell r="AH103">
            <v>61.289471702144539</v>
          </cell>
          <cell r="AI103">
            <v>67.564031806133272</v>
          </cell>
          <cell r="AJ103">
            <v>61.972189692827442</v>
          </cell>
          <cell r="AK103">
            <v>44.681359025988876</v>
          </cell>
          <cell r="AL103">
            <v>48.404199211522446</v>
          </cell>
          <cell r="AM103">
            <v>48.151104162615049</v>
          </cell>
          <cell r="AN103">
            <v>47.053412404453937</v>
          </cell>
          <cell r="AO103">
            <v>46.873613176713697</v>
          </cell>
          <cell r="AP103">
            <v>41.773941029495091</v>
          </cell>
          <cell r="AQ103">
            <v>40.189279690503504</v>
          </cell>
          <cell r="AR103">
            <v>37.374145305263291</v>
          </cell>
          <cell r="AS103">
            <v>30.226916541839351</v>
          </cell>
          <cell r="AT103">
            <v>23.589710471388152</v>
          </cell>
          <cell r="AU103">
            <v>22.353434405575193</v>
          </cell>
          <cell r="AV103">
            <v>22.353434405575193</v>
          </cell>
          <cell r="AW103">
            <v>22.353434405575193</v>
          </cell>
          <cell r="AX103">
            <v>22.353434405575193</v>
          </cell>
        </row>
        <row r="104">
          <cell r="T104">
            <v>27</v>
          </cell>
          <cell r="U104">
            <v>48</v>
          </cell>
          <cell r="V104">
            <v>98</v>
          </cell>
          <cell r="W104">
            <v>84.13</v>
          </cell>
          <cell r="X104">
            <v>89</v>
          </cell>
          <cell r="Y104">
            <v>136.1</v>
          </cell>
          <cell r="Z104">
            <v>153.29</v>
          </cell>
          <cell r="AA104">
            <v>185.38</v>
          </cell>
          <cell r="AB104">
            <v>141.57</v>
          </cell>
          <cell r="AC104">
            <v>133</v>
          </cell>
          <cell r="AD104">
            <v>143.27134692397613</v>
          </cell>
          <cell r="AE104">
            <v>102.55446605916929</v>
          </cell>
          <cell r="AF104">
            <v>85</v>
          </cell>
          <cell r="AG104">
            <v>62.813000000000002</v>
          </cell>
          <cell r="AH104">
            <v>72.908507830113379</v>
          </cell>
          <cell r="AI104">
            <v>74.636362828090029</v>
          </cell>
          <cell r="AJ104">
            <v>65.624201978897574</v>
          </cell>
          <cell r="AK104">
            <v>48.562467823632204</v>
          </cell>
          <cell r="AL104">
            <v>52.311505453888721</v>
          </cell>
          <cell r="AM104">
            <v>53.22733755399662</v>
          </cell>
          <cell r="AN104">
            <v>51.209273937616146</v>
          </cell>
          <cell r="AO104">
            <v>50.802153841556404</v>
          </cell>
          <cell r="AP104">
            <v>45.508483198192017</v>
          </cell>
          <cell r="AQ104">
            <v>43.793471997273393</v>
          </cell>
          <cell r="AR104">
            <v>40.800645228925717</v>
          </cell>
          <cell r="AS104">
            <v>32.911562146106391</v>
          </cell>
          <cell r="AT104">
            <v>25.692071152611014</v>
          </cell>
          <cell r="AU104">
            <v>24.372389279839624</v>
          </cell>
          <cell r="AV104">
            <v>24.372389279839624</v>
          </cell>
          <cell r="AW104">
            <v>24.372389279839624</v>
          </cell>
          <cell r="AX104">
            <v>24.372389279839624</v>
          </cell>
        </row>
        <row r="105">
          <cell r="T105">
            <v>30</v>
          </cell>
          <cell r="U105">
            <v>50</v>
          </cell>
          <cell r="V105">
            <v>104</v>
          </cell>
          <cell r="W105">
            <v>94.22</v>
          </cell>
          <cell r="X105">
            <v>100</v>
          </cell>
          <cell r="Y105">
            <v>135.04</v>
          </cell>
          <cell r="Z105">
            <v>165.18</v>
          </cell>
          <cell r="AA105">
            <v>180.82</v>
          </cell>
          <cell r="AB105">
            <v>161.32</v>
          </cell>
          <cell r="AC105">
            <v>147</v>
          </cell>
          <cell r="AD105">
            <v>150.29797397803216</v>
          </cell>
          <cell r="AE105">
            <v>110.42206778143442</v>
          </cell>
          <cell r="AF105">
            <v>63.088000000000001</v>
          </cell>
          <cell r="AG105">
            <v>66.537000000000006</v>
          </cell>
          <cell r="AH105">
            <v>137.33212525216979</v>
          </cell>
          <cell r="AI105">
            <v>75.985360407138899</v>
          </cell>
          <cell r="AJ105">
            <v>76.030236108261434</v>
          </cell>
          <cell r="AK105">
            <v>56.187905117108713</v>
          </cell>
          <cell r="AL105">
            <v>65.8938489645696</v>
          </cell>
          <cell r="AM105">
            <v>69.290354845512539</v>
          </cell>
          <cell r="AN105">
            <v>60.170549155200824</v>
          </cell>
          <cell r="AO105">
            <v>61.416520538868866</v>
          </cell>
          <cell r="AP105">
            <v>48.274179501689659</v>
          </cell>
          <cell r="AQ105">
            <v>50.086219189155713</v>
          </cell>
          <cell r="AR105">
            <v>45.969888730520559</v>
          </cell>
          <cell r="AS105">
            <v>37.617179022009637</v>
          </cell>
          <cell r="AT105">
            <v>29.170711953919007</v>
          </cell>
          <cell r="AU105">
            <v>27.236255977951739</v>
          </cell>
          <cell r="AV105">
            <v>27.236255977951739</v>
          </cell>
          <cell r="AW105">
            <v>27.236255977951739</v>
          </cell>
          <cell r="AX105">
            <v>27.236255977951739</v>
          </cell>
        </row>
        <row r="106">
          <cell r="S106">
            <v>17</v>
          </cell>
          <cell r="T106">
            <v>50</v>
          </cell>
          <cell r="U106">
            <v>60</v>
          </cell>
          <cell r="V106">
            <v>73</v>
          </cell>
          <cell r="W106">
            <v>54</v>
          </cell>
          <cell r="X106">
            <v>93.66</v>
          </cell>
          <cell r="Y106">
            <v>111.88</v>
          </cell>
          <cell r="Z106">
            <v>152.88999999999999</v>
          </cell>
          <cell r="AA106">
            <v>144.58000000000001</v>
          </cell>
          <cell r="AB106">
            <v>177</v>
          </cell>
          <cell r="AC106">
            <v>112.66256969861432</v>
          </cell>
          <cell r="AD106">
            <v>153.07208812566179</v>
          </cell>
          <cell r="AE106">
            <v>111.878</v>
          </cell>
          <cell r="AF106">
            <v>71.075999999999993</v>
          </cell>
          <cell r="AG106">
            <v>58.406999999999996</v>
          </cell>
          <cell r="AH106">
            <v>61.022755743238264</v>
          </cell>
          <cell r="AI106">
            <v>77.000792116168824</v>
          </cell>
          <cell r="AJ106">
            <v>52.636792829204801</v>
          </cell>
          <cell r="AK106">
            <v>53.678350038501257</v>
          </cell>
          <cell r="AL106">
            <v>52.535608079115072</v>
          </cell>
          <cell r="AM106">
            <v>51.947704707163147</v>
          </cell>
          <cell r="AN106">
            <v>53.753971563297242</v>
          </cell>
          <cell r="AO106">
            <v>58.370381089410643</v>
          </cell>
          <cell r="AP106">
            <v>49.500144444653422</v>
          </cell>
          <cell r="AQ106">
            <v>47.723436831325913</v>
          </cell>
          <cell r="AR106">
            <v>37.008997721286683</v>
          </cell>
          <cell r="AS106">
            <v>29.424067370359751</v>
          </cell>
          <cell r="AT106">
            <v>28.427108609017935</v>
          </cell>
          <cell r="AU106">
            <v>24.120014267054934</v>
          </cell>
          <cell r="AV106">
            <v>20.465503412414481</v>
          </cell>
          <cell r="AW106">
            <v>17.364700753748306</v>
          </cell>
        </row>
        <row r="107">
          <cell r="S107">
            <v>13</v>
          </cell>
          <cell r="T107">
            <v>51</v>
          </cell>
          <cell r="U107">
            <v>61</v>
          </cell>
          <cell r="V107">
            <v>54</v>
          </cell>
          <cell r="W107">
            <v>63</v>
          </cell>
          <cell r="X107">
            <v>88.13</v>
          </cell>
          <cell r="Y107">
            <v>111.55</v>
          </cell>
          <cell r="Z107">
            <v>143.28</v>
          </cell>
          <cell r="AA107">
            <v>136.61000000000001</v>
          </cell>
          <cell r="AB107">
            <v>133.87</v>
          </cell>
          <cell r="AC107">
            <v>79.493695352216392</v>
          </cell>
          <cell r="AD107">
            <v>134.68609331312609</v>
          </cell>
          <cell r="AE107">
            <v>95.100999999999999</v>
          </cell>
          <cell r="AF107">
            <v>73.781000000000006</v>
          </cell>
          <cell r="AG107">
            <v>58.213158564022265</v>
          </cell>
          <cell r="AH107">
            <v>65.37015220618045</v>
          </cell>
          <cell r="AI107">
            <v>71.528940661509068</v>
          </cell>
          <cell r="AJ107">
            <v>50.276741233390091</v>
          </cell>
          <cell r="AK107">
            <v>53.166208447804827</v>
          </cell>
          <cell r="AL107">
            <v>51.106609426157604</v>
          </cell>
          <cell r="AM107">
            <v>50.749014503596726</v>
          </cell>
          <cell r="AN107">
            <v>51.727547386878683</v>
          </cell>
          <cell r="AO107">
            <v>45.612685386774579</v>
          </cell>
          <cell r="AP107">
            <v>42.487278534239479</v>
          </cell>
          <cell r="AQ107">
            <v>40.232020950915199</v>
          </cell>
          <cell r="AR107">
            <v>32.585517376070634</v>
          </cell>
          <cell r="AS107">
            <v>25.358674192096068</v>
          </cell>
          <cell r="AT107">
            <v>23.887198135298885</v>
          </cell>
          <cell r="AU107">
            <v>20.26796209729898</v>
          </cell>
          <cell r="AV107">
            <v>17.197089639848134</v>
          </cell>
          <cell r="AW107">
            <v>14.591496207721049</v>
          </cell>
        </row>
        <row r="108">
          <cell r="S108">
            <v>14</v>
          </cell>
          <cell r="T108">
            <v>54</v>
          </cell>
          <cell r="U108">
            <v>71</v>
          </cell>
          <cell r="V108">
            <v>77</v>
          </cell>
          <cell r="W108">
            <v>72</v>
          </cell>
          <cell r="X108">
            <v>93.09</v>
          </cell>
          <cell r="Y108">
            <v>121.53</v>
          </cell>
          <cell r="Z108">
            <v>154.71</v>
          </cell>
          <cell r="AA108">
            <v>140.68</v>
          </cell>
          <cell r="AB108">
            <v>144.85</v>
          </cell>
          <cell r="AC108">
            <v>95.26608662118052</v>
          </cell>
          <cell r="AD108">
            <v>164.3963753382962</v>
          </cell>
          <cell r="AE108">
            <v>87.424999999999997</v>
          </cell>
          <cell r="AF108">
            <v>83.418310000000005</v>
          </cell>
          <cell r="AG108">
            <v>69.99980952137814</v>
          </cell>
          <cell r="AH108">
            <v>66.247664089888303</v>
          </cell>
          <cell r="AI108">
            <v>76.878598970882052</v>
          </cell>
          <cell r="AJ108">
            <v>52.040055278155592</v>
          </cell>
          <cell r="AK108">
            <v>56.485315652344561</v>
          </cell>
          <cell r="AL108">
            <v>54.743573411810722</v>
          </cell>
          <cell r="AM108">
            <v>53.290160791479799</v>
          </cell>
          <cell r="AN108">
            <v>54.764539954810736</v>
          </cell>
          <cell r="AO108">
            <v>48.128127403397151</v>
          </cell>
          <cell r="AP108">
            <v>45.020934469516156</v>
          </cell>
          <cell r="AQ108">
            <v>42.597297321661422</v>
          </cell>
          <cell r="AR108">
            <v>34.423629918558952</v>
          </cell>
          <cell r="AS108">
            <v>26.824399226060702</v>
          </cell>
          <cell r="AT108">
            <v>25.263080325747566</v>
          </cell>
          <cell r="AU108">
            <v>21.435379386192068</v>
          </cell>
          <cell r="AV108">
            <v>18.187627300606756</v>
          </cell>
          <cell r="AW108">
            <v>15.431953914417745</v>
          </cell>
        </row>
        <row r="109">
          <cell r="S109">
            <v>20</v>
          </cell>
          <cell r="T109">
            <v>54</v>
          </cell>
          <cell r="U109">
            <v>71</v>
          </cell>
          <cell r="V109">
            <v>66</v>
          </cell>
          <cell r="W109">
            <v>94</v>
          </cell>
          <cell r="X109">
            <v>87.28</v>
          </cell>
          <cell r="Y109">
            <v>128.58000000000001</v>
          </cell>
          <cell r="Z109">
            <v>177.52</v>
          </cell>
          <cell r="AA109">
            <v>154.05000000000001</v>
          </cell>
          <cell r="AB109">
            <v>83.67</v>
          </cell>
          <cell r="AC109">
            <v>109.8520735023011</v>
          </cell>
          <cell r="AD109">
            <v>157.76216516262048</v>
          </cell>
          <cell r="AE109">
            <v>83.272999999999996</v>
          </cell>
          <cell r="AF109">
            <v>96.388298992940378</v>
          </cell>
          <cell r="AG109">
            <v>93.531399069412231</v>
          </cell>
          <cell r="AH109">
            <v>72.631155981595867</v>
          </cell>
          <cell r="AI109">
            <v>83.721955484699578</v>
          </cell>
          <cell r="AJ109">
            <v>58.276269781499749</v>
          </cell>
          <cell r="AK109">
            <v>67.172970369193351</v>
          </cell>
          <cell r="AL109">
            <v>63.648821055486053</v>
          </cell>
          <cell r="AM109">
            <v>60.229338633817918</v>
          </cell>
          <cell r="AN109">
            <v>62.335309986593629</v>
          </cell>
          <cell r="AO109">
            <v>55.318896387245807</v>
          </cell>
          <cell r="AP109">
            <v>52.002398029737456</v>
          </cell>
          <cell r="AQ109">
            <v>48.918306529058867</v>
          </cell>
          <cell r="AR109">
            <v>39.47379868888266</v>
          </cell>
          <cell r="AS109">
            <v>30.919403362062731</v>
          </cell>
          <cell r="AT109">
            <v>29.208037418362803</v>
          </cell>
          <cell r="AU109">
            <v>24.782621719751585</v>
          </cell>
          <cell r="AV109">
            <v>21.027716806408062</v>
          </cell>
          <cell r="AW109">
            <v>17.841731157042741</v>
          </cell>
        </row>
        <row r="110">
          <cell r="S110">
            <v>21</v>
          </cell>
          <cell r="T110">
            <v>56</v>
          </cell>
          <cell r="U110">
            <v>91</v>
          </cell>
          <cell r="V110">
            <v>87</v>
          </cell>
          <cell r="W110">
            <v>87</v>
          </cell>
          <cell r="X110">
            <v>94.22</v>
          </cell>
          <cell r="Y110">
            <v>124.39</v>
          </cell>
          <cell r="Z110">
            <v>178.48</v>
          </cell>
          <cell r="AA110">
            <v>144.38999999999999</v>
          </cell>
          <cell r="AB110">
            <v>84.36</v>
          </cell>
          <cell r="AC110">
            <v>156.3439605572656</v>
          </cell>
          <cell r="AD110">
            <v>148.10802853691865</v>
          </cell>
          <cell r="AE110">
            <v>96.176000000000002</v>
          </cell>
          <cell r="AF110">
            <v>81.438000000000002</v>
          </cell>
          <cell r="AG110">
            <v>97.072703853490125</v>
          </cell>
          <cell r="AH110">
            <v>77.938449469745478</v>
          </cell>
          <cell r="AI110">
            <v>83.711945136975643</v>
          </cell>
          <cell r="AJ110">
            <v>59.234979961443443</v>
          </cell>
          <cell r="AK110">
            <v>64.760521382984322</v>
          </cell>
          <cell r="AL110">
            <v>64.76309614546355</v>
          </cell>
          <cell r="AM110">
            <v>61.024824232611543</v>
          </cell>
          <cell r="AN110">
            <v>62.415027060840899</v>
          </cell>
          <cell r="AO110">
            <v>55.421336386404171</v>
          </cell>
          <cell r="AP110">
            <v>51.966519731052642</v>
          </cell>
          <cell r="AQ110">
            <v>49.258049427829405</v>
          </cell>
          <cell r="AR110">
            <v>39.653828956158307</v>
          </cell>
          <cell r="AS110">
            <v>31.002590612349096</v>
          </cell>
          <cell r="AT110">
            <v>29.295568342291197</v>
          </cell>
          <cell r="AU110">
            <v>24.856890515885556</v>
          </cell>
          <cell r="AV110">
            <v>21.090732867836838</v>
          </cell>
          <cell r="AW110">
            <v>17.895199426419722</v>
          </cell>
        </row>
        <row r="111">
          <cell r="S111">
            <v>34</v>
          </cell>
          <cell r="T111">
            <v>55</v>
          </cell>
          <cell r="U111">
            <v>98</v>
          </cell>
          <cell r="V111">
            <v>75.36</v>
          </cell>
          <cell r="W111">
            <v>78</v>
          </cell>
          <cell r="X111">
            <v>103.12</v>
          </cell>
          <cell r="Y111">
            <v>113.42</v>
          </cell>
          <cell r="Z111">
            <v>170.09</v>
          </cell>
          <cell r="AA111">
            <v>154.85</v>
          </cell>
          <cell r="AB111">
            <v>94.13</v>
          </cell>
          <cell r="AC111">
            <v>140.08574075212724</v>
          </cell>
          <cell r="AD111">
            <v>174.29355895617817</v>
          </cell>
          <cell r="AE111">
            <v>97.825000000000003</v>
          </cell>
          <cell r="AF111">
            <v>79.507999999999996</v>
          </cell>
          <cell r="AG111">
            <v>102.9082594462066</v>
          </cell>
          <cell r="AH111">
            <v>79.91066150211779</v>
          </cell>
          <cell r="AI111">
            <v>89.018734659233402</v>
          </cell>
          <cell r="AJ111">
            <v>60.838684552596781</v>
          </cell>
          <cell r="AK111">
            <v>66.659590039817147</v>
          </cell>
          <cell r="AL111">
            <v>67.537982914456819</v>
          </cell>
          <cell r="AM111">
            <v>63.369961939255724</v>
          </cell>
          <cell r="AN111">
            <v>64.989575421727238</v>
          </cell>
          <cell r="AO111">
            <v>57.414983927211978</v>
          </cell>
          <cell r="AP111">
            <v>53.930229279502527</v>
          </cell>
          <cell r="AQ111">
            <v>51.216198174428307</v>
          </cell>
          <cell r="AR111">
            <v>41.212052485845398</v>
          </cell>
          <cell r="AS111">
            <v>32.243661328437646</v>
          </cell>
          <cell r="AT111">
            <v>30.461263725351703</v>
          </cell>
          <cell r="AU111">
            <v>25.845967163010336</v>
          </cell>
          <cell r="AV111">
            <v>21.929950924375042</v>
          </cell>
          <cell r="AW111">
            <v>18.607264511028795</v>
          </cell>
        </row>
        <row r="112">
          <cell r="S112">
            <v>35</v>
          </cell>
          <cell r="T112">
            <v>54</v>
          </cell>
          <cell r="U112">
            <v>108</v>
          </cell>
          <cell r="V112">
            <v>90.71</v>
          </cell>
          <cell r="W112">
            <v>105.4</v>
          </cell>
          <cell r="X112">
            <v>126.6</v>
          </cell>
          <cell r="Y112">
            <v>130.30000000000001</v>
          </cell>
          <cell r="Z112">
            <v>192.9</v>
          </cell>
          <cell r="AA112">
            <v>154.28</v>
          </cell>
          <cell r="AB112">
            <v>133.43</v>
          </cell>
          <cell r="AC112">
            <v>135.56058547432329</v>
          </cell>
          <cell r="AD112">
            <v>154.27151619947387</v>
          </cell>
          <cell r="AE112">
            <v>89.481999999999999</v>
          </cell>
          <cell r="AF112">
            <v>84.588999999999999</v>
          </cell>
          <cell r="AG112">
            <v>97.497107016940404</v>
          </cell>
          <cell r="AH112">
            <v>74.395547727545164</v>
          </cell>
          <cell r="AI112">
            <v>82.022629162026561</v>
          </cell>
          <cell r="AJ112">
            <v>57.517401669548128</v>
          </cell>
          <cell r="AK112">
            <v>63.448120927710796</v>
          </cell>
          <cell r="AL112">
            <v>63.389797085477994</v>
          </cell>
          <cell r="AM112">
            <v>59.375010700993506</v>
          </cell>
          <cell r="AN112">
            <v>60.968854712529456</v>
          </cell>
          <cell r="AO112">
            <v>54.110395967326788</v>
          </cell>
          <cell r="AP112">
            <v>50.790610752434276</v>
          </cell>
          <cell r="AQ112">
            <v>48.121014360788202</v>
          </cell>
          <cell r="AR112">
            <v>38.729431356608416</v>
          </cell>
          <cell r="AS112">
            <v>30.32469212162394</v>
          </cell>
          <cell r="AT112">
            <v>28.664276243828539</v>
          </cell>
          <cell r="AU112">
            <v>24.321247773212527</v>
          </cell>
          <cell r="AV112">
            <v>20.636247300098887</v>
          </cell>
          <cell r="AW112">
            <v>17.509574615652568</v>
          </cell>
        </row>
        <row r="113">
          <cell r="S113">
            <v>37</v>
          </cell>
          <cell r="T113">
            <v>59</v>
          </cell>
          <cell r="U113">
            <v>106</v>
          </cell>
          <cell r="V113">
            <v>90.76</v>
          </cell>
          <cell r="W113">
            <v>107.6</v>
          </cell>
          <cell r="X113">
            <v>123.25</v>
          </cell>
          <cell r="Y113">
            <v>143</v>
          </cell>
          <cell r="Z113">
            <v>202.34</v>
          </cell>
          <cell r="AA113">
            <v>162.37</v>
          </cell>
          <cell r="AB113">
            <v>148.41999999999999</v>
          </cell>
          <cell r="AC113">
            <v>72.740445753841811</v>
          </cell>
          <cell r="AD113">
            <v>166.45136479140911</v>
          </cell>
          <cell r="AE113">
            <v>87.953000000000003</v>
          </cell>
          <cell r="AF113">
            <v>90.349000000000004</v>
          </cell>
          <cell r="AG113">
            <v>97.020601038494149</v>
          </cell>
          <cell r="AH113">
            <v>67.740123140061868</v>
          </cell>
          <cell r="AI113">
            <v>83.243763355646593</v>
          </cell>
          <cell r="AJ113">
            <v>57.129305996182474</v>
          </cell>
          <cell r="AK113">
            <v>63.202879697603876</v>
          </cell>
          <cell r="AL113">
            <v>62.313319258707061</v>
          </cell>
          <cell r="AM113">
            <v>58.186023100927173</v>
          </cell>
          <cell r="AN113">
            <v>60.636016375650726</v>
          </cell>
          <cell r="AO113">
            <v>53.551487100949458</v>
          </cell>
          <cell r="AP113">
            <v>50.208950505488481</v>
          </cell>
          <cell r="AQ113">
            <v>47.494218723804543</v>
          </cell>
          <cell r="AR113">
            <v>38.262174758918995</v>
          </cell>
          <cell r="AS113">
            <v>30.010862588291594</v>
          </cell>
          <cell r="AT113">
            <v>28.337626157731684</v>
          </cell>
          <cell r="AU113">
            <v>24.044089626552072</v>
          </cell>
          <cell r="AV113">
            <v>20.401082389603559</v>
          </cell>
          <cell r="AW113">
            <v>17.310040393784551</v>
          </cell>
        </row>
        <row r="114">
          <cell r="S114">
            <v>27</v>
          </cell>
          <cell r="T114">
            <v>55</v>
          </cell>
          <cell r="U114">
            <v>95</v>
          </cell>
          <cell r="V114">
            <v>91.86</v>
          </cell>
          <cell r="W114">
            <v>92</v>
          </cell>
          <cell r="X114">
            <v>106.17</v>
          </cell>
          <cell r="Y114">
            <v>144.19999999999999</v>
          </cell>
          <cell r="Z114">
            <v>168.79</v>
          </cell>
          <cell r="AA114">
            <v>133.77000000000001</v>
          </cell>
          <cell r="AB114">
            <v>135.94999999999999</v>
          </cell>
          <cell r="AC114">
            <v>66.280529424396377</v>
          </cell>
          <cell r="AD114">
            <v>133.406418281404</v>
          </cell>
          <cell r="AE114">
            <v>73.75</v>
          </cell>
          <cell r="AF114">
            <v>69.864999999999995</v>
          </cell>
          <cell r="AG114">
            <v>81.300004787190488</v>
          </cell>
          <cell r="AH114">
            <v>56.075022133037024</v>
          </cell>
          <cell r="AI114">
            <v>67.889469178103028</v>
          </cell>
          <cell r="AJ114">
            <v>46.751353312055549</v>
          </cell>
          <cell r="AK114">
            <v>52.764129625713139</v>
          </cell>
          <cell r="AL114">
            <v>51.542221156563443</v>
          </cell>
          <cell r="AM114">
            <v>47.961904276859968</v>
          </cell>
          <cell r="AN114">
            <v>49.952417656113028</v>
          </cell>
          <cell r="AO114">
            <v>44.212417079800353</v>
          </cell>
          <cell r="AP114">
            <v>41.538285985547013</v>
          </cell>
          <cell r="AQ114">
            <v>39.220694983849548</v>
          </cell>
          <cell r="AR114">
            <v>31.584960504242645</v>
          </cell>
          <cell r="AS114">
            <v>24.785040812279345</v>
          </cell>
          <cell r="AT114">
            <v>23.415021761799785</v>
          </cell>
          <cell r="AU114">
            <v>19.867326878923251</v>
          </cell>
          <cell r="AV114">
            <v>16.85715611667435</v>
          </cell>
          <cell r="AW114">
            <v>14.303067245719584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2">
          <cell r="T102">
            <v>39</v>
          </cell>
          <cell r="U102">
            <v>44</v>
          </cell>
          <cell r="V102">
            <v>23</v>
          </cell>
          <cell r="W102">
            <v>28.74</v>
          </cell>
          <cell r="X102">
            <v>42</v>
          </cell>
          <cell r="Y102">
            <v>31.44</v>
          </cell>
          <cell r="Z102">
            <v>37.6</v>
          </cell>
          <cell r="AA102">
            <v>59.32</v>
          </cell>
          <cell r="AB102">
            <v>28.55</v>
          </cell>
          <cell r="AC102">
            <v>52</v>
          </cell>
          <cell r="AD102">
            <v>36.393954469162871</v>
          </cell>
          <cell r="AE102">
            <v>54.835067504636712</v>
          </cell>
          <cell r="AF102">
            <v>54.998405648361405</v>
          </cell>
          <cell r="AG102">
            <v>68.829830185646358</v>
          </cell>
          <cell r="AH102">
            <v>47.183938321712631</v>
          </cell>
          <cell r="AI102">
            <v>46.711850860616003</v>
          </cell>
          <cell r="AJ102">
            <v>50.193612250232967</v>
          </cell>
          <cell r="AK102">
            <v>40.015396640133311</v>
          </cell>
          <cell r="AL102">
            <v>45.196906406482093</v>
          </cell>
          <cell r="AM102">
            <v>43.552230134793255</v>
          </cell>
          <cell r="AN102">
            <v>43.898277161709963</v>
          </cell>
          <cell r="AO102">
            <v>46.514685354401301</v>
          </cell>
          <cell r="AP102">
            <v>43.197632859816508</v>
          </cell>
          <cell r="AQ102">
            <v>42.754710885498049</v>
          </cell>
          <cell r="AR102">
            <v>34.675659058397841</v>
          </cell>
          <cell r="AS102">
            <v>28.246347414105667</v>
          </cell>
          <cell r="AT102">
            <v>22.098757911211685</v>
          </cell>
          <cell r="AU102">
            <v>20.721738867037072</v>
          </cell>
          <cell r="AV102">
            <v>18.151387071561278</v>
          </cell>
          <cell r="AW102">
            <v>16.36597988673136</v>
          </cell>
          <cell r="AX102">
            <v>16.222840577000664</v>
          </cell>
        </row>
        <row r="103">
          <cell r="T103">
            <v>31</v>
          </cell>
          <cell r="U103">
            <v>22</v>
          </cell>
          <cell r="V103">
            <v>12</v>
          </cell>
          <cell r="W103">
            <v>12.3</v>
          </cell>
          <cell r="X103">
            <v>24</v>
          </cell>
          <cell r="Y103">
            <v>24.93</v>
          </cell>
          <cell r="Z103">
            <v>33.51</v>
          </cell>
          <cell r="AA103">
            <v>30.37</v>
          </cell>
          <cell r="AB103">
            <v>26.33</v>
          </cell>
          <cell r="AC103">
            <v>33</v>
          </cell>
          <cell r="AD103">
            <v>32.371481818907306</v>
          </cell>
          <cell r="AE103">
            <v>59.214329663939431</v>
          </cell>
          <cell r="AF103">
            <v>57.781512307298065</v>
          </cell>
          <cell r="AG103">
            <v>77.655615187255918</v>
          </cell>
          <cell r="AH103">
            <v>48.202406335448018</v>
          </cell>
          <cell r="AI103">
            <v>48.786955769602734</v>
          </cell>
          <cell r="AJ103">
            <v>53.648417870463511</v>
          </cell>
          <cell r="AK103">
            <v>42.689961352696095</v>
          </cell>
          <cell r="AL103">
            <v>48.378956752484818</v>
          </cell>
          <cell r="AM103">
            <v>46.012582149563386</v>
          </cell>
          <cell r="AN103">
            <v>46.613719984524145</v>
          </cell>
          <cell r="AO103">
            <v>49.552758965601925</v>
          </cell>
          <cell r="AP103">
            <v>45.988644794677924</v>
          </cell>
          <cell r="AQ103">
            <v>45.488383337787333</v>
          </cell>
          <cell r="AR103">
            <v>36.847636475284489</v>
          </cell>
          <cell r="AS103">
            <v>30.053634718489466</v>
          </cell>
          <cell r="AT103">
            <v>23.527675437820495</v>
          </cell>
          <cell r="AU103">
            <v>22.058896218155951</v>
          </cell>
          <cell r="AV103">
            <v>19.310043264539047</v>
          </cell>
          <cell r="AW103">
            <v>17.410072019279315</v>
          </cell>
          <cell r="AX103">
            <v>17.263978823899087</v>
          </cell>
        </row>
        <row r="104">
          <cell r="T104">
            <v>27</v>
          </cell>
          <cell r="U104">
            <v>3</v>
          </cell>
          <cell r="V104">
            <v>8</v>
          </cell>
          <cell r="W104">
            <v>21</v>
          </cell>
          <cell r="X104">
            <v>33</v>
          </cell>
          <cell r="Y104">
            <v>23.31</v>
          </cell>
          <cell r="Z104">
            <v>30.27</v>
          </cell>
          <cell r="AA104">
            <v>21.36</v>
          </cell>
          <cell r="AB104">
            <v>21.31</v>
          </cell>
          <cell r="AC104">
            <v>38</v>
          </cell>
          <cell r="AD104">
            <v>46.93825971606968</v>
          </cell>
          <cell r="AE104">
            <v>76.13872767261681</v>
          </cell>
          <cell r="AF104">
            <v>55.560636930267734</v>
          </cell>
          <cell r="AG104">
            <v>87.464534815173636</v>
          </cell>
          <cell r="AH104">
            <v>107.04224059602016</v>
          </cell>
          <cell r="AI104">
            <v>60.276460079990009</v>
          </cell>
          <cell r="AJ104">
            <v>73.452916158559361</v>
          </cell>
          <cell r="AK104">
            <v>58.828480586657072</v>
          </cell>
          <cell r="AL104">
            <v>71.087478175157898</v>
          </cell>
          <cell r="AM104">
            <v>71.023892303045088</v>
          </cell>
          <cell r="AN104">
            <v>65.051249499249707</v>
          </cell>
          <cell r="AO104">
            <v>70.8336818983596</v>
          </cell>
          <cell r="AP104">
            <v>57.698950778292996</v>
          </cell>
          <cell r="AQ104">
            <v>61.426591832314656</v>
          </cell>
          <cell r="AR104">
            <v>49.149970546229902</v>
          </cell>
          <cell r="AS104">
            <v>40.655284070006473</v>
          </cell>
          <cell r="AT104">
            <v>31.591837141569076</v>
          </cell>
          <cell r="AU104">
            <v>29.154103411395027</v>
          </cell>
          <cell r="AV104">
            <v>25.910862266460498</v>
          </cell>
          <cell r="AW104">
            <v>23.310063758996609</v>
          </cell>
          <cell r="AX104">
            <v>23.142845987152544</v>
          </cell>
        </row>
        <row r="105">
          <cell r="S105">
            <v>11</v>
          </cell>
          <cell r="T105">
            <v>26</v>
          </cell>
          <cell r="U105">
            <v>15</v>
          </cell>
          <cell r="V105">
            <v>5</v>
          </cell>
          <cell r="W105">
            <v>19</v>
          </cell>
          <cell r="X105">
            <v>22.98</v>
          </cell>
          <cell r="Y105">
            <v>27</v>
          </cell>
          <cell r="Z105">
            <v>21.0693969726562</v>
          </cell>
          <cell r="AA105">
            <v>24.38</v>
          </cell>
          <cell r="AB105">
            <v>20.756643763975227</v>
          </cell>
          <cell r="AC105">
            <v>34.87645999055772</v>
          </cell>
          <cell r="AD105">
            <v>52.167653173468828</v>
          </cell>
          <cell r="AE105">
            <v>66.012282677561259</v>
          </cell>
          <cell r="AF105">
            <v>72.590086245091967</v>
          </cell>
          <cell r="AG105">
            <v>52.538280832739439</v>
          </cell>
          <cell r="AH105">
            <v>51.801992654515743</v>
          </cell>
          <cell r="AI105">
            <v>56.839729476272588</v>
          </cell>
          <cell r="AJ105">
            <v>46.774250557138664</v>
          </cell>
          <cell r="AK105">
            <v>52.155943042212328</v>
          </cell>
          <cell r="AL105">
            <v>50.534478597485986</v>
          </cell>
          <cell r="AM105">
            <v>50.538055879563807</v>
          </cell>
          <cell r="AN105">
            <v>53.608621163919956</v>
          </cell>
          <cell r="AO105">
            <v>62.054083699597236</v>
          </cell>
          <cell r="AP105">
            <v>54.561975426135824</v>
          </cell>
          <cell r="AQ105">
            <v>53.919203056343761</v>
          </cell>
          <cell r="AR105">
            <v>36.706635185808089</v>
          </cell>
          <cell r="AS105">
            <v>29.348504812700575</v>
          </cell>
          <cell r="AT105">
            <v>28.417585916703697</v>
          </cell>
          <cell r="AU105">
            <v>26.473159766913174</v>
          </cell>
          <cell r="AV105">
            <v>21.374434055595103</v>
          </cell>
          <cell r="AW105">
            <v>18.800051271626074</v>
          </cell>
        </row>
        <row r="106">
          <cell r="S106">
            <v>11</v>
          </cell>
          <cell r="T106">
            <v>20</v>
          </cell>
          <cell r="U106">
            <v>28</v>
          </cell>
          <cell r="V106">
            <v>21</v>
          </cell>
          <cell r="W106">
            <v>9</v>
          </cell>
          <cell r="X106">
            <v>19.100000000000001</v>
          </cell>
          <cell r="Y106">
            <v>15.13</v>
          </cell>
          <cell r="Z106">
            <v>11.0693969726562</v>
          </cell>
          <cell r="AA106">
            <v>20.38</v>
          </cell>
          <cell r="AB106">
            <v>20.78</v>
          </cell>
          <cell r="AC106">
            <v>17.651621377404553</v>
          </cell>
          <cell r="AD106">
            <v>35.037082005240109</v>
          </cell>
          <cell r="AE106">
            <v>59.944033865187315</v>
          </cell>
          <cell r="AF106">
            <v>77.980262967164947</v>
          </cell>
          <cell r="AG106">
            <v>31.220722896054166</v>
          </cell>
          <cell r="AH106">
            <v>43.331289598786618</v>
          </cell>
          <cell r="AI106">
            <v>45.973870145328853</v>
          </cell>
          <cell r="AJ106">
            <v>38.593612535983077</v>
          </cell>
          <cell r="AK106">
            <v>42.530424237420512</v>
          </cell>
          <cell r="AL106">
            <v>38.232703873404972</v>
          </cell>
          <cell r="AM106">
            <v>40.701946227103107</v>
          </cell>
          <cell r="AN106">
            <v>42.996835767423121</v>
          </cell>
          <cell r="AO106">
            <v>39.978173116611089</v>
          </cell>
          <cell r="AP106">
            <v>38.230703320473857</v>
          </cell>
          <cell r="AQ106">
            <v>37.043722330427769</v>
          </cell>
          <cell r="AR106">
            <v>26.589413823038875</v>
          </cell>
          <cell r="AS106">
            <v>20.803835861441797</v>
          </cell>
          <cell r="AT106">
            <v>19.582561873924313</v>
          </cell>
          <cell r="AU106">
            <v>18.242657580183163</v>
          </cell>
          <cell r="AV106">
            <v>14.944579091801959</v>
          </cell>
          <cell r="AW106">
            <v>13.231212842438545</v>
          </cell>
        </row>
        <row r="107">
          <cell r="S107">
            <v>27</v>
          </cell>
          <cell r="T107">
            <v>24</v>
          </cell>
          <cell r="U107">
            <v>53</v>
          </cell>
          <cell r="V107">
            <v>43</v>
          </cell>
          <cell r="W107">
            <v>34</v>
          </cell>
          <cell r="X107">
            <v>15.14</v>
          </cell>
          <cell r="Y107">
            <v>20</v>
          </cell>
          <cell r="Z107">
            <v>22.92</v>
          </cell>
          <cell r="AA107">
            <v>23.94</v>
          </cell>
          <cell r="AB107">
            <v>19.946638707440083</v>
          </cell>
          <cell r="AC107">
            <v>26.547811991464474</v>
          </cell>
          <cell r="AD107">
            <v>33.436403587412826</v>
          </cell>
          <cell r="AE107">
            <v>91.523085954609073</v>
          </cell>
          <cell r="AF107">
            <v>82.974981291108975</v>
          </cell>
          <cell r="AG107">
            <v>40.077029250027053</v>
          </cell>
          <cell r="AH107">
            <v>49.256551640036967</v>
          </cell>
          <cell r="AI107">
            <v>54.484814538788804</v>
          </cell>
          <cell r="AJ107">
            <v>46.552211303046292</v>
          </cell>
          <cell r="AK107">
            <v>48.633106997003821</v>
          </cell>
          <cell r="AL107">
            <v>45.351042275908135</v>
          </cell>
          <cell r="AM107">
            <v>47.629661764314243</v>
          </cell>
          <cell r="AN107">
            <v>50.664988270362471</v>
          </cell>
          <cell r="AO107">
            <v>47.049205220837784</v>
          </cell>
          <cell r="AP107">
            <v>44.759684320132152</v>
          </cell>
          <cell r="AQ107">
            <v>43.57949289620862</v>
          </cell>
          <cell r="AR107">
            <v>31.228995237366753</v>
          </cell>
          <cell r="AS107">
            <v>24.453963375205067</v>
          </cell>
          <cell r="AT107">
            <v>23.006161909215649</v>
          </cell>
          <cell r="AU107">
            <v>21.432003465436676</v>
          </cell>
          <cell r="AV107">
            <v>17.565080494237922</v>
          </cell>
          <cell r="AW107">
            <v>15.545964780657764</v>
          </cell>
        </row>
        <row r="108">
          <cell r="S108">
            <v>47</v>
          </cell>
          <cell r="T108">
            <v>45</v>
          </cell>
          <cell r="U108">
            <v>56</v>
          </cell>
          <cell r="V108">
            <v>33</v>
          </cell>
          <cell r="W108">
            <v>31</v>
          </cell>
          <cell r="X108">
            <v>38.04</v>
          </cell>
          <cell r="Y108">
            <v>44.6</v>
          </cell>
          <cell r="Z108">
            <v>42.93</v>
          </cell>
          <cell r="AA108">
            <v>25.88</v>
          </cell>
          <cell r="AB108">
            <v>24.05</v>
          </cell>
          <cell r="AC108">
            <v>21.363774467652096</v>
          </cell>
          <cell r="AD108">
            <v>34.742019646143326</v>
          </cell>
          <cell r="AE108">
            <v>72.594399409519482</v>
          </cell>
          <cell r="AF108">
            <v>66.115810659397127</v>
          </cell>
          <cell r="AG108">
            <v>48.122420616202291</v>
          </cell>
          <cell r="AH108">
            <v>43.776228730215763</v>
          </cell>
          <cell r="AI108">
            <v>49.189222342990007</v>
          </cell>
          <cell r="AJ108">
            <v>41.988527937822603</v>
          </cell>
          <cell r="AK108">
            <v>46.322875538646137</v>
          </cell>
          <cell r="AL108">
            <v>43.740137056185468</v>
          </cell>
          <cell r="AM108">
            <v>43.853211506001088</v>
          </cell>
          <cell r="AN108">
            <v>47.034461039114923</v>
          </cell>
          <cell r="AO108">
            <v>43.964645538789171</v>
          </cell>
          <cell r="AP108">
            <v>42.11528023797171</v>
          </cell>
          <cell r="AQ108">
            <v>40.915600452823945</v>
          </cell>
          <cell r="AR108">
            <v>29.185919674618045</v>
          </cell>
          <cell r="AS108">
            <v>22.975885078203657</v>
          </cell>
          <cell r="AT108">
            <v>21.678499168455097</v>
          </cell>
          <cell r="AU108">
            <v>20.195183844102392</v>
          </cell>
          <cell r="AV108">
            <v>16.49559186833962</v>
          </cell>
          <cell r="AW108">
            <v>14.600796063777722</v>
          </cell>
        </row>
        <row r="109">
          <cell r="S109">
            <v>36</v>
          </cell>
          <cell r="T109">
            <v>50</v>
          </cell>
          <cell r="U109">
            <v>61</v>
          </cell>
          <cell r="V109">
            <v>48</v>
          </cell>
          <cell r="W109">
            <v>49</v>
          </cell>
          <cell r="X109">
            <v>24</v>
          </cell>
          <cell r="Y109">
            <v>40.86</v>
          </cell>
          <cell r="Z109">
            <v>49.05</v>
          </cell>
          <cell r="AA109">
            <v>29.35</v>
          </cell>
          <cell r="AB109">
            <v>11.74</v>
          </cell>
          <cell r="AC109">
            <v>25.392375458331561</v>
          </cell>
          <cell r="AD109">
            <v>26.180596370130456</v>
          </cell>
          <cell r="AE109">
            <v>87.359508103225821</v>
          </cell>
          <cell r="AF109">
            <v>67.180565093294831</v>
          </cell>
          <cell r="AG109">
            <v>45.822234927004025</v>
          </cell>
          <cell r="AH109">
            <v>44.613096656455042</v>
          </cell>
          <cell r="AI109">
            <v>49.670373118173956</v>
          </cell>
          <cell r="AJ109">
            <v>43.857242377077441</v>
          </cell>
          <cell r="AK109">
            <v>45.506710228147298</v>
          </cell>
          <cell r="AL109">
            <v>43.780772347238042</v>
          </cell>
          <cell r="AM109">
            <v>44.346144411539207</v>
          </cell>
          <cell r="AN109">
            <v>47.491119934987061</v>
          </cell>
          <cell r="AO109">
            <v>44.382533596713962</v>
          </cell>
          <cell r="AP109">
            <v>42.229053642186457</v>
          </cell>
          <cell r="AQ109">
            <v>41.197642648683725</v>
          </cell>
          <cell r="AR109">
            <v>29.420982424689704</v>
          </cell>
          <cell r="AS109">
            <v>23.145620295826593</v>
          </cell>
          <cell r="AT109">
            <v>21.827190478267202</v>
          </cell>
          <cell r="AU109">
            <v>20.333701197833474</v>
          </cell>
          <cell r="AV109">
            <v>16.614653612292781</v>
          </cell>
          <cell r="AW109">
            <v>14.707935557747975</v>
          </cell>
        </row>
        <row r="110">
          <cell r="S110">
            <v>49</v>
          </cell>
          <cell r="T110">
            <v>28</v>
          </cell>
          <cell r="U110">
            <v>58</v>
          </cell>
          <cell r="V110">
            <v>20.81</v>
          </cell>
          <cell r="W110">
            <v>57</v>
          </cell>
          <cell r="X110">
            <v>35.75</v>
          </cell>
          <cell r="Y110">
            <v>34.43</v>
          </cell>
          <cell r="Z110">
            <v>51.06</v>
          </cell>
          <cell r="AA110">
            <v>22.5</v>
          </cell>
          <cell r="AB110">
            <v>21.4</v>
          </cell>
          <cell r="AC110">
            <v>32.680021748384746</v>
          </cell>
          <cell r="AD110">
            <v>44.125254716974446</v>
          </cell>
          <cell r="AE110">
            <v>82.546761291824581</v>
          </cell>
          <cell r="AF110">
            <v>68.630729380506381</v>
          </cell>
          <cell r="AG110">
            <v>53.135320392222347</v>
          </cell>
          <cell r="AH110">
            <v>49.855155651675858</v>
          </cell>
          <cell r="AI110">
            <v>54.860928220760833</v>
          </cell>
          <cell r="AJ110">
            <v>46.152735252363208</v>
          </cell>
          <cell r="AK110">
            <v>49.175895102777794</v>
          </cell>
          <cell r="AL110">
            <v>48.218905931270669</v>
          </cell>
          <cell r="AM110">
            <v>48.340184917873152</v>
          </cell>
          <cell r="AN110">
            <v>51.546478617741293</v>
          </cell>
          <cell r="AO110">
            <v>48.010757417395354</v>
          </cell>
          <cell r="AP110">
            <v>45.947254079581995</v>
          </cell>
          <cell r="AQ110">
            <v>44.890728213932348</v>
          </cell>
          <cell r="AR110">
            <v>31.99767628012119</v>
          </cell>
          <cell r="AS110">
            <v>25.175132569602955</v>
          </cell>
          <cell r="AT110">
            <v>23.752987585117584</v>
          </cell>
          <cell r="AU110">
            <v>22.127728834021333</v>
          </cell>
          <cell r="AV110">
            <v>18.083796558738634</v>
          </cell>
          <cell r="AW110">
            <v>16.001846155653212</v>
          </cell>
        </row>
        <row r="111">
          <cell r="S111">
            <v>64</v>
          </cell>
          <cell r="T111">
            <v>30</v>
          </cell>
          <cell r="U111">
            <v>50</v>
          </cell>
          <cell r="V111">
            <v>41.78</v>
          </cell>
          <cell r="W111">
            <v>47</v>
          </cell>
          <cell r="X111">
            <v>36.44</v>
          </cell>
          <cell r="Y111">
            <v>36.090000000000003</v>
          </cell>
          <cell r="Z111">
            <v>56.37</v>
          </cell>
          <cell r="AA111">
            <v>21.6</v>
          </cell>
          <cell r="AB111">
            <v>54.3</v>
          </cell>
          <cell r="AC111">
            <v>27.395879169331749</v>
          </cell>
          <cell r="AD111">
            <v>53.705097905498256</v>
          </cell>
          <cell r="AE111">
            <v>91.02308875409372</v>
          </cell>
          <cell r="AF111">
            <v>60.615335366791165</v>
          </cell>
          <cell r="AG111">
            <v>57.015160242127585</v>
          </cell>
          <cell r="AH111">
            <v>51.149841134353366</v>
          </cell>
          <cell r="AI111">
            <v>57.348907581999406</v>
          </cell>
          <cell r="AJ111">
            <v>46.961994230368667</v>
          </cell>
          <cell r="AK111">
            <v>48.992863239861627</v>
          </cell>
          <cell r="AL111">
            <v>49.643190315182238</v>
          </cell>
          <cell r="AM111">
            <v>49.467396773760861</v>
          </cell>
          <cell r="AN111">
            <v>52.705232693513508</v>
          </cell>
          <cell r="AO111">
            <v>48.866375363334903</v>
          </cell>
          <cell r="AP111">
            <v>46.767921443211918</v>
          </cell>
          <cell r="AQ111">
            <v>45.889623892742129</v>
          </cell>
          <cell r="AR111">
            <v>32.665191218771469</v>
          </cell>
          <cell r="AS111">
            <v>25.68944730444251</v>
          </cell>
          <cell r="AT111">
            <v>24.227473896888554</v>
          </cell>
          <cell r="AU111">
            <v>22.569749207445906</v>
          </cell>
          <cell r="AV111">
            <v>18.462383173241935</v>
          </cell>
          <cell r="AW111">
            <v>16.329039623020563</v>
          </cell>
        </row>
        <row r="112">
          <cell r="S112">
            <v>38</v>
          </cell>
          <cell r="T112">
            <v>44</v>
          </cell>
          <cell r="U112">
            <v>51</v>
          </cell>
          <cell r="V112">
            <v>35.36</v>
          </cell>
          <cell r="W112">
            <v>44</v>
          </cell>
          <cell r="X112">
            <v>31.66</v>
          </cell>
          <cell r="Y112">
            <v>38.590000000000003</v>
          </cell>
          <cell r="Z112">
            <v>54.14</v>
          </cell>
          <cell r="AA112">
            <v>23.94</v>
          </cell>
          <cell r="AB112">
            <v>44.12</v>
          </cell>
          <cell r="AC112">
            <v>24.758974566951753</v>
          </cell>
          <cell r="AD112">
            <v>41.34410230160276</v>
          </cell>
          <cell r="AE112">
            <v>103.63008670702204</v>
          </cell>
          <cell r="AF112">
            <v>67.478324706507806</v>
          </cell>
          <cell r="AG112">
            <v>58.927436691474448</v>
          </cell>
          <cell r="AH112">
            <v>51.871547921701215</v>
          </cell>
          <cell r="AI112">
            <v>59.41074102691671</v>
          </cell>
          <cell r="AJ112">
            <v>50.581498718687882</v>
          </cell>
          <cell r="AK112">
            <v>51.740394334064575</v>
          </cell>
          <cell r="AL112">
            <v>51.910902784301562</v>
          </cell>
          <cell r="AM112">
            <v>51.761954639028069</v>
          </cell>
          <cell r="AN112">
            <v>55.488612127818044</v>
          </cell>
          <cell r="AO112">
            <v>51.614277674158629</v>
          </cell>
          <cell r="AP112">
            <v>49.173694265868988</v>
          </cell>
          <cell r="AQ112">
            <v>48.207328767229157</v>
          </cell>
          <cell r="AR112">
            <v>34.346225593643247</v>
          </cell>
          <cell r="AS112">
            <v>27.038610728457794</v>
          </cell>
          <cell r="AT112">
            <v>25.499497679250204</v>
          </cell>
          <cell r="AU112">
            <v>23.754736873762049</v>
          </cell>
          <cell r="AV112">
            <v>19.416407921205707</v>
          </cell>
          <cell r="AW112">
            <v>17.179905680598598</v>
          </cell>
        </row>
        <row r="113">
          <cell r="S113">
            <v>49</v>
          </cell>
          <cell r="T113">
            <v>49</v>
          </cell>
          <cell r="U113">
            <v>50</v>
          </cell>
          <cell r="V113">
            <v>45.95</v>
          </cell>
          <cell r="W113">
            <v>40</v>
          </cell>
          <cell r="X113">
            <v>29.07</v>
          </cell>
          <cell r="Y113">
            <v>32.880000000000003</v>
          </cell>
          <cell r="Z113">
            <v>49.28</v>
          </cell>
          <cell r="AA113">
            <v>24.25</v>
          </cell>
          <cell r="AB113">
            <v>27.41</v>
          </cell>
          <cell r="AC113">
            <v>25.388351974495912</v>
          </cell>
          <cell r="AD113">
            <v>51.602875113423359</v>
          </cell>
          <cell r="AE113">
            <v>114.22391630840667</v>
          </cell>
          <cell r="AF113">
            <v>49.541812152161917</v>
          </cell>
          <cell r="AG113">
            <v>55.442528504594407</v>
          </cell>
          <cell r="AH113">
            <v>51.214857477225358</v>
          </cell>
          <cell r="AI113">
            <v>58.593413440781639</v>
          </cell>
          <cell r="AJ113">
            <v>48.480832555120365</v>
          </cell>
          <cell r="AK113">
            <v>48.754020420974584</v>
          </cell>
          <cell r="AL113">
            <v>49.950704959279882</v>
          </cell>
          <cell r="AM113">
            <v>50.039880121062922</v>
          </cell>
          <cell r="AN113">
            <v>53.45345957983826</v>
          </cell>
          <cell r="AO113">
            <v>49.485273933713579</v>
          </cell>
          <cell r="AP113">
            <v>47.155205779269373</v>
          </cell>
          <cell r="AQ113">
            <v>46.379027745550331</v>
          </cell>
          <cell r="AR113">
            <v>33.045618058302615</v>
          </cell>
          <cell r="AS113">
            <v>25.993792001480045</v>
          </cell>
          <cell r="AT113">
            <v>24.502240296837105</v>
          </cell>
          <cell r="AU113">
            <v>22.825715172526071</v>
          </cell>
          <cell r="AV113">
            <v>18.6707806219855</v>
          </cell>
          <cell r="AW113">
            <v>16.517132359472271</v>
          </cell>
        </row>
      </sheetData>
      <sheetData sheetId="13">
        <row r="102">
          <cell r="T102">
            <v>67.301100571359115</v>
          </cell>
          <cell r="U102">
            <v>71.994181037258059</v>
          </cell>
          <cell r="V102">
            <v>155.4829475830652</v>
          </cell>
          <cell r="W102">
            <v>156.88980276308342</v>
          </cell>
          <cell r="X102">
            <v>142.86644760886128</v>
          </cell>
          <cell r="Y102">
            <v>172.34164027413914</v>
          </cell>
          <cell r="Z102">
            <v>173.839950156475</v>
          </cell>
          <cell r="AA102">
            <v>197.90897375753582</v>
          </cell>
          <cell r="AB102">
            <v>149.09234692430255</v>
          </cell>
          <cell r="AC102">
            <v>132.82005047497401</v>
          </cell>
          <cell r="AD102">
            <v>437.09617295584439</v>
          </cell>
          <cell r="AE102">
            <v>756.41921202909577</v>
          </cell>
          <cell r="AF102">
            <v>766.12972742171291</v>
          </cell>
          <cell r="AG102">
            <v>1157.4594475317954</v>
          </cell>
          <cell r="AH102">
            <v>1030.8231188101465</v>
          </cell>
          <cell r="AI102">
            <v>1268.2638091074975</v>
          </cell>
          <cell r="AJ102">
            <v>1405.0088035848919</v>
          </cell>
          <cell r="AK102">
            <v>1464.3300871298757</v>
          </cell>
          <cell r="AL102">
            <v>2071.9229890987835</v>
          </cell>
          <cell r="AM102">
            <v>2388.5054577399801</v>
          </cell>
          <cell r="AN102">
            <v>3027.2072023730689</v>
          </cell>
          <cell r="AO102">
            <v>3754.4596669878065</v>
          </cell>
          <cell r="AP102">
            <v>3463.4297614660613</v>
          </cell>
          <cell r="AQ102">
            <v>3602.1718034932246</v>
          </cell>
          <cell r="AR102">
            <v>4109.592774282075</v>
          </cell>
          <cell r="AS102">
            <v>3536.6759056979213</v>
          </cell>
        </row>
        <row r="103">
          <cell r="T103">
            <v>55.231359083185168</v>
          </cell>
          <cell r="U103">
            <v>52.122541748585398</v>
          </cell>
          <cell r="V103">
            <v>140.38381369663469</v>
          </cell>
          <cell r="W103">
            <v>133.05083737578542</v>
          </cell>
          <cell r="X103">
            <v>94.812599595072854</v>
          </cell>
          <cell r="Y103">
            <v>164.3721589512752</v>
          </cell>
          <cell r="Z103">
            <v>170.54641619616555</v>
          </cell>
          <cell r="AA103">
            <v>197.43213423772423</v>
          </cell>
          <cell r="AB103">
            <v>138.31307476897882</v>
          </cell>
          <cell r="AC103">
            <v>162.85480506483702</v>
          </cell>
          <cell r="AD103">
            <v>493.06182759125204</v>
          </cell>
          <cell r="AE103">
            <v>1121.46947449339</v>
          </cell>
          <cell r="AF103">
            <v>747.70040000000006</v>
          </cell>
          <cell r="AG103">
            <v>794.57345259842054</v>
          </cell>
          <cell r="AH103">
            <v>933.89690049904414</v>
          </cell>
          <cell r="AI103">
            <v>1082.9627885236177</v>
          </cell>
          <cell r="AJ103">
            <v>1277.0680163162128</v>
          </cell>
          <cell r="AK103">
            <v>1242.1417413937181</v>
          </cell>
          <cell r="AL103">
            <v>1743.8075802264673</v>
          </cell>
          <cell r="AM103">
            <v>1968.1417079600621</v>
          </cell>
          <cell r="AN103">
            <v>2126.7554321380399</v>
          </cell>
          <cell r="AO103">
            <v>3248.3062093365438</v>
          </cell>
          <cell r="AP103">
            <v>2743.0190824243564</v>
          </cell>
          <cell r="AQ103">
            <v>2808.5026546556401</v>
          </cell>
          <cell r="AR103">
            <v>3187.3405016396187</v>
          </cell>
          <cell r="AS103">
            <v>2890.7515597844831</v>
          </cell>
        </row>
        <row r="104">
          <cell r="T104">
            <v>59.286872832693028</v>
          </cell>
          <cell r="U104">
            <v>52.093220759376976</v>
          </cell>
          <cell r="V104">
            <v>142.4639026570886</v>
          </cell>
          <cell r="W104">
            <v>163.56300872780702</v>
          </cell>
          <cell r="X104">
            <v>98.42428412700626</v>
          </cell>
          <cell r="Y104">
            <v>159.10593753160364</v>
          </cell>
          <cell r="Z104">
            <v>167.93408396103962</v>
          </cell>
          <cell r="AA104">
            <v>213.57075596657404</v>
          </cell>
          <cell r="AB104">
            <v>150.74470348458851</v>
          </cell>
          <cell r="AC104">
            <v>140.46659005437243</v>
          </cell>
          <cell r="AD104">
            <v>647.49089367229681</v>
          </cell>
          <cell r="AE104">
            <v>934.89735937177431</v>
          </cell>
          <cell r="AF104">
            <v>878.01985698604119</v>
          </cell>
          <cell r="AG104">
            <v>1176.4008288691691</v>
          </cell>
          <cell r="AH104">
            <v>1258.7578924094387</v>
          </cell>
          <cell r="AI104">
            <v>1226.1935856393552</v>
          </cell>
          <cell r="AJ104">
            <v>1521.3124879795637</v>
          </cell>
          <cell r="AK104">
            <v>1536.9475282017404</v>
          </cell>
          <cell r="AL104">
            <v>2001.4312248150943</v>
          </cell>
          <cell r="AM104">
            <v>2228.1424913352002</v>
          </cell>
          <cell r="AN104">
            <v>2421.2791746899247</v>
          </cell>
          <cell r="AO104">
            <v>2291.0161041308461</v>
          </cell>
          <cell r="AP104">
            <v>2735.4585621922952</v>
          </cell>
          <cell r="AQ104">
            <v>2717.6753837393799</v>
          </cell>
          <cell r="AR104">
            <v>2936.3779470918394</v>
          </cell>
          <cell r="AS104">
            <v>2599.6973231633729</v>
          </cell>
        </row>
        <row r="105">
          <cell r="S105">
            <v>18</v>
          </cell>
          <cell r="T105">
            <v>53.249922246681862</v>
          </cell>
          <cell r="U105">
            <v>57.837973530370633</v>
          </cell>
          <cell r="V105">
            <v>104.2781936639263</v>
          </cell>
          <cell r="W105">
            <v>98.369210277343512</v>
          </cell>
          <cell r="X105">
            <v>85.071768075355067</v>
          </cell>
          <cell r="Y105">
            <v>115.91600139328145</v>
          </cell>
          <cell r="Z105">
            <v>118.77428205123095</v>
          </cell>
          <cell r="AA105">
            <v>157.59661132810498</v>
          </cell>
          <cell r="AB105">
            <v>142.95132977054516</v>
          </cell>
          <cell r="AC105">
            <v>164.50935095055752</v>
          </cell>
          <cell r="AD105">
            <v>524.83554740120667</v>
          </cell>
          <cell r="AE105">
            <v>703.28132592933082</v>
          </cell>
          <cell r="AF105">
            <v>735.10363482109813</v>
          </cell>
          <cell r="AG105">
            <v>735.2342361579083</v>
          </cell>
          <cell r="AH105">
            <v>798.69661024791833</v>
          </cell>
          <cell r="AI105">
            <v>698.49351821744926</v>
          </cell>
          <cell r="AJ105">
            <v>762.82686314472551</v>
          </cell>
          <cell r="AK105">
            <v>713.0742620368826</v>
          </cell>
          <cell r="AL105">
            <v>1111.0207862691987</v>
          </cell>
          <cell r="AM105">
            <v>1133.3763669890443</v>
          </cell>
          <cell r="AN105">
            <v>1361.4644129546232</v>
          </cell>
          <cell r="AO105">
            <v>1394.5495222586383</v>
          </cell>
          <cell r="AP105">
            <v>1358.0617352456861</v>
          </cell>
          <cell r="AQ105">
            <v>1370.2500318755426</v>
          </cell>
          <cell r="AR105">
            <v>1409.3221178360691</v>
          </cell>
        </row>
        <row r="106">
          <cell r="S106">
            <v>19</v>
          </cell>
          <cell r="T106">
            <v>47.433079223477421</v>
          </cell>
          <cell r="U106">
            <v>62.112444216057696</v>
          </cell>
          <cell r="V106">
            <v>127.62733342402439</v>
          </cell>
          <cell r="W106">
            <v>111.00799987922707</v>
          </cell>
          <cell r="X106">
            <v>82.754878289673712</v>
          </cell>
          <cell r="Y106">
            <v>117.99273649869652</v>
          </cell>
          <cell r="Z106">
            <v>147.44922195993931</v>
          </cell>
          <cell r="AA106">
            <v>165.06453085705451</v>
          </cell>
          <cell r="AB106">
            <v>114.09370628095726</v>
          </cell>
          <cell r="AC106">
            <v>135.74976410950089</v>
          </cell>
          <cell r="AD106">
            <v>713.27266545965676</v>
          </cell>
          <cell r="AE106">
            <v>685.22735106202617</v>
          </cell>
          <cell r="AF106">
            <v>788.82893966469157</v>
          </cell>
          <cell r="AG106">
            <v>745.38808073978885</v>
          </cell>
          <cell r="AH106">
            <v>1068.3627694703355</v>
          </cell>
          <cell r="AI106">
            <v>1322.8271313865696</v>
          </cell>
          <cell r="AJ106">
            <v>1255.2205741846396</v>
          </cell>
          <cell r="AK106">
            <v>1682.7293845916481</v>
          </cell>
          <cell r="AL106">
            <v>2064.8519379996478</v>
          </cell>
          <cell r="AM106">
            <v>2283.4041693933345</v>
          </cell>
          <cell r="AN106">
            <v>2747.1463968003955</v>
          </cell>
          <cell r="AO106">
            <v>2877.2451468633153</v>
          </cell>
          <cell r="AP106">
            <v>2829.4339406693493</v>
          </cell>
          <cell r="AQ106">
            <v>2922.723973381771</v>
          </cell>
          <cell r="AR106">
            <v>2782.3415433777081</v>
          </cell>
        </row>
        <row r="107">
          <cell r="S107">
            <v>33</v>
          </cell>
          <cell r="T107">
            <v>81.635974056568841</v>
          </cell>
          <cell r="U107">
            <v>82.176047762647684</v>
          </cell>
          <cell r="V107">
            <v>155.35156949541152</v>
          </cell>
          <cell r="W107">
            <v>133.20735817944154</v>
          </cell>
          <cell r="X107">
            <v>104.18568567428144</v>
          </cell>
          <cell r="Y107">
            <v>142.54302971002039</v>
          </cell>
          <cell r="Z107">
            <v>165.01666942806318</v>
          </cell>
          <cell r="AA107">
            <v>157.00611166017575</v>
          </cell>
          <cell r="AB107">
            <v>132.34996201833761</v>
          </cell>
          <cell r="AC107">
            <v>157.25857260697057</v>
          </cell>
          <cell r="AD107">
            <v>679.45003016163753</v>
          </cell>
          <cell r="AE107">
            <v>1091.4563492262737</v>
          </cell>
          <cell r="AF107">
            <v>690.30971602176635</v>
          </cell>
          <cell r="AG107">
            <v>879.95680704812958</v>
          </cell>
          <cell r="AH107">
            <v>966.71909378226951</v>
          </cell>
          <cell r="AI107">
            <v>1126.7041361775562</v>
          </cell>
          <cell r="AJ107">
            <v>942.42983187966911</v>
          </cell>
          <cell r="AK107">
            <v>1232.0886600957353</v>
          </cell>
          <cell r="AL107">
            <v>1445.9749836698497</v>
          </cell>
          <cell r="AM107">
            <v>1558.1068547188406</v>
          </cell>
          <cell r="AN107">
            <v>1828.7466675557193</v>
          </cell>
          <cell r="AO107">
            <v>1900.51924937837</v>
          </cell>
          <cell r="AP107">
            <v>1835.4872442562621</v>
          </cell>
          <cell r="AQ107">
            <v>1896.4027115301546</v>
          </cell>
          <cell r="AR107">
            <v>1940.1001550644078</v>
          </cell>
        </row>
        <row r="108">
          <cell r="S108">
            <v>52</v>
          </cell>
          <cell r="T108">
            <v>80.957665442351754</v>
          </cell>
          <cell r="U108">
            <v>88.490895083492404</v>
          </cell>
          <cell r="V108">
            <v>141.95888883899568</v>
          </cell>
          <cell r="W108">
            <v>144.58184048849608</v>
          </cell>
          <cell r="X108">
            <v>113.532418374958</v>
          </cell>
          <cell r="Y108">
            <v>167.35953077959215</v>
          </cell>
          <cell r="Z108">
            <v>169.07664488736975</v>
          </cell>
          <cell r="AA108">
            <v>173.03217959492719</v>
          </cell>
          <cell r="AB108">
            <v>97.762438699104266</v>
          </cell>
          <cell r="AC108">
            <v>177.76583021696916</v>
          </cell>
          <cell r="AD108">
            <v>659.48893528706935</v>
          </cell>
          <cell r="AE108">
            <v>1010.8329570489875</v>
          </cell>
          <cell r="AF108">
            <v>1246.9110898520216</v>
          </cell>
          <cell r="AG108">
            <v>1047.6142124395428</v>
          </cell>
          <cell r="AH108">
            <v>1170.2501224203081</v>
          </cell>
          <cell r="AI108">
            <v>1482.4093226989326</v>
          </cell>
          <cell r="AJ108">
            <v>1355.5158467105139</v>
          </cell>
          <cell r="AK108">
            <v>1775.2603636280646</v>
          </cell>
          <cell r="AL108">
            <v>2051.6133178790324</v>
          </cell>
          <cell r="AM108">
            <v>2251.972124797619</v>
          </cell>
          <cell r="AN108">
            <v>2692.55232916158</v>
          </cell>
          <cell r="AO108">
            <v>2808.1981947835379</v>
          </cell>
          <cell r="AP108">
            <v>2760.6971146503361</v>
          </cell>
          <cell r="AQ108">
            <v>2854.3664868318992</v>
          </cell>
          <cell r="AR108">
            <v>2781.9798056053887</v>
          </cell>
        </row>
        <row r="109">
          <cell r="S109">
            <v>41</v>
          </cell>
          <cell r="T109">
            <v>75.728352546881737</v>
          </cell>
          <cell r="U109">
            <v>96.240485377041594</v>
          </cell>
          <cell r="V109">
            <v>172.80109494107646</v>
          </cell>
          <cell r="W109">
            <v>151.18492590202177</v>
          </cell>
          <cell r="X109">
            <v>105.2794231611006</v>
          </cell>
          <cell r="Y109">
            <v>173.05821445841926</v>
          </cell>
          <cell r="Z109">
            <v>178.81267333458635</v>
          </cell>
          <cell r="AA109">
            <v>178.92813976695663</v>
          </cell>
          <cell r="AB109">
            <v>80.472221730575725</v>
          </cell>
          <cell r="AC109">
            <v>180.59675313333821</v>
          </cell>
          <cell r="AD109">
            <v>902.52377762173023</v>
          </cell>
          <cell r="AE109">
            <v>1260.4629525913915</v>
          </cell>
          <cell r="AF109">
            <v>836.81106876712249</v>
          </cell>
          <cell r="AG109">
            <v>1039.4072515235534</v>
          </cell>
          <cell r="AH109">
            <v>1285.5975037583503</v>
          </cell>
          <cell r="AI109">
            <v>1639.703293617858</v>
          </cell>
          <cell r="AJ109">
            <v>1825.4188519934307</v>
          </cell>
          <cell r="AK109">
            <v>2119.8285611633737</v>
          </cell>
          <cell r="AL109">
            <v>2495.2296322120933</v>
          </cell>
          <cell r="AM109">
            <v>2782.7463412232478</v>
          </cell>
          <cell r="AN109">
            <v>3405.4534944095421</v>
          </cell>
          <cell r="AO109">
            <v>3251.5908794735301</v>
          </cell>
          <cell r="AP109">
            <v>3409.2004366843321</v>
          </cell>
          <cell r="AQ109">
            <v>3523.8716728354198</v>
          </cell>
          <cell r="AR109">
            <v>3347.9233597439588</v>
          </cell>
        </row>
        <row r="110">
          <cell r="S110">
            <v>50</v>
          </cell>
          <cell r="T110">
            <v>77.519676547863838</v>
          </cell>
          <cell r="U110">
            <v>101.01671350566491</v>
          </cell>
          <cell r="V110">
            <v>151.51452490600133</v>
          </cell>
          <cell r="W110">
            <v>167.10882758832668</v>
          </cell>
          <cell r="X110">
            <v>105.77872782574767</v>
          </cell>
          <cell r="Y110">
            <v>172.4136229205771</v>
          </cell>
          <cell r="Z110">
            <v>163.59202302418413</v>
          </cell>
          <cell r="AA110">
            <v>160.12071269479014</v>
          </cell>
          <cell r="AB110">
            <v>107.23576266015331</v>
          </cell>
          <cell r="AC110">
            <v>199.46366165855227</v>
          </cell>
          <cell r="AD110">
            <v>761.8161058680115</v>
          </cell>
          <cell r="AE110">
            <v>1006.6403675508134</v>
          </cell>
          <cell r="AF110">
            <v>1066.0796371185875</v>
          </cell>
          <cell r="AG110">
            <v>1048.8083030123</v>
          </cell>
          <cell r="AH110">
            <v>1213.8482567368767</v>
          </cell>
          <cell r="AI110">
            <v>1529.8553891731183</v>
          </cell>
          <cell r="AJ110">
            <v>1756.4573794628434</v>
          </cell>
          <cell r="AK110">
            <v>2018.1551895436116</v>
          </cell>
          <cell r="AL110">
            <v>2370.6036986061899</v>
          </cell>
          <cell r="AM110">
            <v>2641.6948355867826</v>
          </cell>
          <cell r="AN110">
            <v>3237.5647685282406</v>
          </cell>
          <cell r="AO110">
            <v>3082.3414966257737</v>
          </cell>
          <cell r="AP110">
            <v>3223.8084924348045</v>
          </cell>
          <cell r="AQ110">
            <v>3334.1535005699698</v>
          </cell>
          <cell r="AR110">
            <v>3190.2136392873631</v>
          </cell>
        </row>
        <row r="111">
          <cell r="S111">
            <v>45</v>
          </cell>
          <cell r="T111">
            <v>90.10877093292811</v>
          </cell>
          <cell r="U111">
            <v>150.80648973579014</v>
          </cell>
          <cell r="V111">
            <v>153.69668854871856</v>
          </cell>
          <cell r="W111">
            <v>168.2354693303445</v>
          </cell>
          <cell r="X111">
            <v>110.74845195538909</v>
          </cell>
          <cell r="Y111">
            <v>168.23864319331298</v>
          </cell>
          <cell r="Z111">
            <v>152.94931234089321</v>
          </cell>
          <cell r="AA111">
            <v>165.28070869412446</v>
          </cell>
          <cell r="AB111">
            <v>110.88480772248238</v>
          </cell>
          <cell r="AC111">
            <v>220.81728421786363</v>
          </cell>
          <cell r="AD111">
            <v>614.75417407751434</v>
          </cell>
          <cell r="AE111">
            <v>855.66378681794822</v>
          </cell>
          <cell r="AF111">
            <v>1031.9598411871709</v>
          </cell>
          <cell r="AG111">
            <v>984.9755401314037</v>
          </cell>
          <cell r="AH111">
            <v>1086.290752420306</v>
          </cell>
          <cell r="AI111">
            <v>1427.6427181116196</v>
          </cell>
          <cell r="AJ111">
            <v>1674.8067410498902</v>
          </cell>
          <cell r="AK111">
            <v>1937.8376964103118</v>
          </cell>
          <cell r="AL111">
            <v>2284.8497951181243</v>
          </cell>
          <cell r="AM111">
            <v>2568.1446935905851</v>
          </cell>
          <cell r="AN111">
            <v>3152.5789089478776</v>
          </cell>
          <cell r="AO111">
            <v>2977.4128960624917</v>
          </cell>
          <cell r="AP111">
            <v>3127.1864726133135</v>
          </cell>
          <cell r="AQ111">
            <v>3233.2654709968201</v>
          </cell>
          <cell r="AR111">
            <v>3086.3238132841129</v>
          </cell>
        </row>
        <row r="112">
          <cell r="S112">
            <v>47</v>
          </cell>
          <cell r="T112">
            <v>88.631384877106598</v>
          </cell>
          <cell r="U112">
            <v>135.99413127436313</v>
          </cell>
          <cell r="V112">
            <v>110.90868595858971</v>
          </cell>
          <cell r="W112">
            <v>155.19329642272709</v>
          </cell>
          <cell r="X112">
            <v>118.33129746803939</v>
          </cell>
          <cell r="Y112">
            <v>177.25335482986009</v>
          </cell>
          <cell r="Z112">
            <v>163.05218694139222</v>
          </cell>
          <cell r="AA112">
            <v>144.68982911128597</v>
          </cell>
          <cell r="AB112">
            <v>103.57345302851058</v>
          </cell>
          <cell r="AC112">
            <v>210.06579974264184</v>
          </cell>
          <cell r="AD112">
            <v>776.01060611574303</v>
          </cell>
          <cell r="AE112">
            <v>1095.5239956180931</v>
          </cell>
          <cell r="AF112">
            <v>920.44806086608298</v>
          </cell>
          <cell r="AG112">
            <v>1012.0232763087097</v>
          </cell>
          <cell r="AH112">
            <v>1170.1659038023513</v>
          </cell>
          <cell r="AI112">
            <v>1513.0799768263403</v>
          </cell>
          <cell r="AJ112">
            <v>1785.1103172224362</v>
          </cell>
          <cell r="AK112">
            <v>2103.4916236649319</v>
          </cell>
          <cell r="AL112">
            <v>2494.1370819008125</v>
          </cell>
          <cell r="AM112">
            <v>2793.8843235445333</v>
          </cell>
          <cell r="AN112">
            <v>3435.8930635443194</v>
          </cell>
          <cell r="AO112">
            <v>3266.5836551435059</v>
          </cell>
          <cell r="AP112">
            <v>3433.5430137692297</v>
          </cell>
          <cell r="AQ112">
            <v>3549.1442057404938</v>
          </cell>
          <cell r="AR112">
            <v>3365.9190278954648</v>
          </cell>
        </row>
        <row r="113">
          <cell r="S113">
            <v>50</v>
          </cell>
          <cell r="T113">
            <v>76.837929380812028</v>
          </cell>
          <cell r="U113">
            <v>150.84610174582969</v>
          </cell>
          <cell r="V113">
            <v>128.15054721682975</v>
          </cell>
          <cell r="W113">
            <v>144.03901013472833</v>
          </cell>
          <cell r="X113">
            <v>103.20642963373913</v>
          </cell>
          <cell r="Y113">
            <v>164.75241374395836</v>
          </cell>
          <cell r="Z113">
            <v>173.89813369773265</v>
          </cell>
          <cell r="AA113">
            <v>156.47006429200417</v>
          </cell>
          <cell r="AB113">
            <v>109.1391126431576</v>
          </cell>
          <cell r="AC113">
            <v>151.41621987608576</v>
          </cell>
          <cell r="AD113">
            <v>824.83050338567557</v>
          </cell>
          <cell r="AE113">
            <v>1001.0841035494511</v>
          </cell>
          <cell r="AF113">
            <v>1212.120005979845</v>
          </cell>
          <cell r="AG113">
            <v>1093.8819272122246</v>
          </cell>
          <cell r="AH113">
            <v>1297.5578022723516</v>
          </cell>
          <cell r="AI113">
            <v>1739.1453479999295</v>
          </cell>
          <cell r="AJ113">
            <v>2127.0903715117574</v>
          </cell>
          <cell r="AK113">
            <v>2453.533169581774</v>
          </cell>
          <cell r="AL113">
            <v>2940.2876470378715</v>
          </cell>
          <cell r="AM113">
            <v>3258.5408697228386</v>
          </cell>
          <cell r="AN113">
            <v>4086.9298758245336</v>
          </cell>
          <cell r="AO113">
            <v>3889.7970943585192</v>
          </cell>
          <cell r="AP113">
            <v>4103.5058564125356</v>
          </cell>
          <cell r="AQ113">
            <v>4236.1176273116253</v>
          </cell>
          <cell r="AR113">
            <v>3954.7066677039638</v>
          </cell>
        </row>
      </sheetData>
      <sheetData sheetId="14"/>
      <sheetData sheetId="15">
        <row r="103">
          <cell r="T103">
            <v>21</v>
          </cell>
          <cell r="U103">
            <v>30</v>
          </cell>
          <cell r="V103">
            <v>53.5</v>
          </cell>
          <cell r="W103">
            <v>48.005000000000003</v>
          </cell>
          <cell r="X103">
            <v>10.8</v>
          </cell>
          <cell r="Y103">
            <v>48.068999999999996</v>
          </cell>
          <cell r="Z103">
            <v>45.542000000000002</v>
          </cell>
          <cell r="AA103">
            <v>51.726499999999994</v>
          </cell>
          <cell r="AB103">
            <v>52.276499999999999</v>
          </cell>
          <cell r="AC103">
            <v>42.444000000000003</v>
          </cell>
          <cell r="AD103">
            <v>46.165559674440175</v>
          </cell>
          <cell r="AE103">
            <v>63.967341280755541</v>
          </cell>
          <cell r="AF103">
            <v>74.219484723305129</v>
          </cell>
          <cell r="AG103">
            <v>78.053317937435835</v>
          </cell>
          <cell r="AH103">
            <v>72.561702233108718</v>
          </cell>
          <cell r="AI103">
            <v>67.142853825574647</v>
          </cell>
          <cell r="AJ103">
            <v>73.232631509398672</v>
          </cell>
          <cell r="AK103">
            <v>30.243847431557882</v>
          </cell>
          <cell r="AL103">
            <v>34.875264900037578</v>
          </cell>
          <cell r="AM103">
            <v>32.628204455800045</v>
          </cell>
          <cell r="AN103">
            <v>32.725524761368398</v>
          </cell>
          <cell r="AO103">
            <v>34.908891308414468</v>
          </cell>
          <cell r="AP103">
            <v>32.599488010070054</v>
          </cell>
          <cell r="AQ103">
            <v>32.25531923434793</v>
          </cell>
          <cell r="AR103">
            <v>10.72104111150308</v>
          </cell>
          <cell r="AS103">
            <v>7.8397428208498559</v>
          </cell>
          <cell r="AT103">
            <v>5.3603907869524763</v>
          </cell>
          <cell r="AU103">
            <v>4.1916768714308423</v>
          </cell>
          <cell r="AV103">
            <v>4.1916768714308423</v>
          </cell>
          <cell r="AW103">
            <v>4.1916768714308423</v>
          </cell>
          <cell r="AX103">
            <v>4.1916768714308423</v>
          </cell>
        </row>
        <row r="104">
          <cell r="T104">
            <v>19.5</v>
          </cell>
          <cell r="U104">
            <v>18</v>
          </cell>
          <cell r="V104">
            <v>45.5</v>
          </cell>
          <cell r="W104">
            <v>36.6</v>
          </cell>
          <cell r="X104">
            <v>10.3</v>
          </cell>
          <cell r="Y104">
            <v>41.125</v>
          </cell>
          <cell r="Z104">
            <v>45.975999999999999</v>
          </cell>
          <cell r="AA104">
            <v>48.093499999999999</v>
          </cell>
          <cell r="AB104">
            <v>49.823999999999998</v>
          </cell>
          <cell r="AC104">
            <v>44.016000000000005</v>
          </cell>
          <cell r="AD104">
            <v>53.828698087944829</v>
          </cell>
          <cell r="AE104">
            <v>78.070150259732515</v>
          </cell>
          <cell r="AF104">
            <v>62.745399999999989</v>
          </cell>
          <cell r="AG104">
            <v>87.90179999999998</v>
          </cell>
          <cell r="AH104">
            <v>80.267935223555185</v>
          </cell>
          <cell r="AI104">
            <v>71.878033313757342</v>
          </cell>
          <cell r="AJ104">
            <v>77.887308394936881</v>
          </cell>
          <cell r="AK104">
            <v>31.511048893973708</v>
          </cell>
          <cell r="AL104">
            <v>37.426236135933927</v>
          </cell>
          <cell r="AM104">
            <v>34.954896250424021</v>
          </cell>
          <cell r="AN104">
            <v>34.82011105441709</v>
          </cell>
          <cell r="AO104">
            <v>37.110687890594825</v>
          </cell>
          <cell r="AP104">
            <v>34.653230802152713</v>
          </cell>
          <cell r="AQ104">
            <v>34.418664232394626</v>
          </cell>
          <cell r="AR104">
            <v>11.426738928557691</v>
          </cell>
          <cell r="AS104">
            <v>8.3475053554107426</v>
          </cell>
          <cell r="AT104">
            <v>5.7090670623990309</v>
          </cell>
          <cell r="AU104">
            <v>4.4666893300046331</v>
          </cell>
          <cell r="AV104">
            <v>4.4666893300046331</v>
          </cell>
          <cell r="AW104">
            <v>4.4666893300046331</v>
          </cell>
          <cell r="AX104">
            <v>4.4666893300046331</v>
          </cell>
        </row>
        <row r="105">
          <cell r="T105">
            <v>17.5</v>
          </cell>
          <cell r="U105">
            <v>22.5</v>
          </cell>
          <cell r="V105">
            <v>42</v>
          </cell>
          <cell r="W105">
            <v>45.625</v>
          </cell>
          <cell r="X105">
            <v>10.600000000000001</v>
          </cell>
          <cell r="Y105">
            <v>39.350499999999997</v>
          </cell>
          <cell r="Z105">
            <v>43.448999999999998</v>
          </cell>
          <cell r="AA105">
            <v>49.031500000000001</v>
          </cell>
          <cell r="AB105">
            <v>51.056999999999995</v>
          </cell>
          <cell r="AC105">
            <v>33.798000000000002</v>
          </cell>
          <cell r="AD105">
            <v>35.146070213186242</v>
          </cell>
          <cell r="AE105">
            <v>88.836230750994446</v>
          </cell>
          <cell r="AF105">
            <v>67.641389947012399</v>
          </cell>
          <cell r="AG105">
            <v>85.762208602791759</v>
          </cell>
          <cell r="AH105">
            <v>134.45574498105984</v>
          </cell>
          <cell r="AI105">
            <v>69.21380896807942</v>
          </cell>
          <cell r="AJ105">
            <v>87.99840359391861</v>
          </cell>
          <cell r="AK105">
            <v>35.439626402837554</v>
          </cell>
          <cell r="AL105">
            <v>42.758455567365424</v>
          </cell>
          <cell r="AM105">
            <v>42.657792437286709</v>
          </cell>
          <cell r="AN105">
            <v>38.756589662701877</v>
          </cell>
          <cell r="AO105">
            <v>42.491360260727596</v>
          </cell>
          <cell r="AP105">
            <v>34.622212981187246</v>
          </cell>
          <cell r="AQ105">
            <v>36.830016083365209</v>
          </cell>
          <cell r="AR105">
            <v>12.126287583147358</v>
          </cell>
          <cell r="AS105">
            <v>8.9960893997112308</v>
          </cell>
          <cell r="AT105">
            <v>6.1046861952302329</v>
          </cell>
          <cell r="AU105">
            <v>4.6921660909755536</v>
          </cell>
          <cell r="AV105">
            <v>4.6921660909755536</v>
          </cell>
          <cell r="AW105">
            <v>4.6921660909755536</v>
          </cell>
          <cell r="AX105">
            <v>4.6921660909755536</v>
          </cell>
        </row>
        <row r="106">
          <cell r="S106">
            <v>9</v>
          </cell>
          <cell r="T106">
            <v>18.5</v>
          </cell>
          <cell r="U106">
            <v>27</v>
          </cell>
          <cell r="V106">
            <v>30</v>
          </cell>
          <cell r="W106">
            <v>26</v>
          </cell>
          <cell r="X106">
            <v>9.266</v>
          </cell>
          <cell r="Y106">
            <v>29.508499999999998</v>
          </cell>
          <cell r="Z106">
            <v>35.951999999999998</v>
          </cell>
          <cell r="AA106">
            <v>42.283499999999997</v>
          </cell>
          <cell r="AB106">
            <v>51.75</v>
          </cell>
          <cell r="AC106">
            <v>57.918396720756782</v>
          </cell>
          <cell r="AD106">
            <v>33.991983513605518</v>
          </cell>
          <cell r="AE106">
            <v>72.007290448412817</v>
          </cell>
          <cell r="AF106">
            <v>84.496769542782744</v>
          </cell>
          <cell r="AG106">
            <v>40.567466353453</v>
          </cell>
          <cell r="AH106">
            <v>34.216940659088287</v>
          </cell>
          <cell r="AI106">
            <v>47.729142518644295</v>
          </cell>
          <cell r="AJ106">
            <v>40.667389036586385</v>
          </cell>
          <cell r="AK106">
            <v>22.269787089688098</v>
          </cell>
          <cell r="AL106">
            <v>20.293393826692512</v>
          </cell>
          <cell r="AM106">
            <v>20.497342839411406</v>
          </cell>
          <cell r="AN106">
            <v>22.400132343342616</v>
          </cell>
          <cell r="AO106">
            <v>25.904755168881191</v>
          </cell>
          <cell r="AP106">
            <v>22.586982224066393</v>
          </cell>
          <cell r="AQ106">
            <v>22.176777234332683</v>
          </cell>
          <cell r="AR106">
            <v>6.2465522643002664</v>
          </cell>
          <cell r="AS106">
            <v>4.5008435360160357</v>
          </cell>
          <cell r="AT106">
            <v>3.7923528449116923</v>
          </cell>
          <cell r="AU106">
            <v>2.948032169101527</v>
          </cell>
          <cell r="AV106">
            <v>2.2916890978955911</v>
          </cell>
          <cell r="AW106">
            <v>1.7814727316948216</v>
          </cell>
        </row>
        <row r="107">
          <cell r="S107">
            <v>9.5</v>
          </cell>
          <cell r="T107">
            <v>20.5</v>
          </cell>
          <cell r="U107">
            <v>29.5</v>
          </cell>
          <cell r="V107">
            <v>38</v>
          </cell>
          <cell r="W107">
            <v>38</v>
          </cell>
          <cell r="X107">
            <v>10.911000000000001</v>
          </cell>
          <cell r="Y107">
            <v>28.692999999999998</v>
          </cell>
          <cell r="Z107">
            <v>43.102499999999999</v>
          </cell>
          <cell r="AA107">
            <v>43.26</v>
          </cell>
          <cell r="AB107">
            <v>40.729500000000002</v>
          </cell>
          <cell r="AC107">
            <v>47.463641938422867</v>
          </cell>
          <cell r="AD107">
            <v>66.407360338419011</v>
          </cell>
          <cell r="AE107">
            <v>72.602999063759327</v>
          </cell>
          <cell r="AF107">
            <v>75.290850642285818</v>
          </cell>
          <cell r="AG107">
            <v>62.308747333692438</v>
          </cell>
          <cell r="AH107">
            <v>58.953810107281477</v>
          </cell>
          <cell r="AI107">
            <v>57.832457126627759</v>
          </cell>
          <cell r="AJ107">
            <v>45.652182140466742</v>
          </cell>
          <cell r="AK107">
            <v>25.909087527728953</v>
          </cell>
          <cell r="AL107">
            <v>24.666559730993175</v>
          </cell>
          <cell r="AM107">
            <v>25.606947948231848</v>
          </cell>
          <cell r="AN107">
            <v>26.666575762481688</v>
          </cell>
          <cell r="AO107">
            <v>24.726508484125759</v>
          </cell>
          <cell r="AP107">
            <v>23.862368225912757</v>
          </cell>
          <cell r="AQ107">
            <v>23.237593734542145</v>
          </cell>
          <cell r="AR107">
            <v>6.8299991515570611</v>
          </cell>
          <cell r="AS107">
            <v>4.7854994821899597</v>
          </cell>
          <cell r="AT107">
            <v>3.9304444256928228</v>
          </cell>
          <cell r="AU107">
            <v>3.0553793593744656</v>
          </cell>
          <cell r="AV107">
            <v>2.3751367577334386</v>
          </cell>
          <cell r="AW107">
            <v>1.8463417973378802</v>
          </cell>
        </row>
        <row r="108">
          <cell r="S108">
            <v>16.5</v>
          </cell>
          <cell r="T108">
            <v>30.5</v>
          </cell>
          <cell r="U108">
            <v>38.5</v>
          </cell>
          <cell r="V108">
            <v>46.5</v>
          </cell>
          <cell r="W108">
            <v>46</v>
          </cell>
          <cell r="X108">
            <v>10.977</v>
          </cell>
          <cell r="Y108">
            <v>40.480999999999995</v>
          </cell>
          <cell r="Z108">
            <v>48.275500000000001</v>
          </cell>
          <cell r="AA108">
            <v>42.328999999999994</v>
          </cell>
          <cell r="AB108">
            <v>46.359000000000002</v>
          </cell>
          <cell r="AC108">
            <v>48.278881514989934</v>
          </cell>
          <cell r="AD108">
            <v>50.921997882325236</v>
          </cell>
          <cell r="AE108">
            <v>68.768182648755925</v>
          </cell>
          <cell r="AF108">
            <v>64.430659939008848</v>
          </cell>
          <cell r="AG108">
            <v>41.826418817127518</v>
          </cell>
          <cell r="AH108">
            <v>49.053318808694861</v>
          </cell>
          <cell r="AI108">
            <v>50.646119826684661</v>
          </cell>
          <cell r="AJ108">
            <v>40.820503176229707</v>
          </cell>
          <cell r="AK108">
            <v>22.733521394113556</v>
          </cell>
          <cell r="AL108">
            <v>22.183257043540898</v>
          </cell>
          <cell r="AM108">
            <v>22.399175874922328</v>
          </cell>
          <cell r="AN108">
            <v>23.581561053230111</v>
          </cell>
          <cell r="AO108">
            <v>21.904697050800173</v>
          </cell>
          <cell r="AP108">
            <v>21.100544905885961</v>
          </cell>
          <cell r="AQ108">
            <v>20.579890688344133</v>
          </cell>
          <cell r="AR108">
            <v>6.0304594894139329</v>
          </cell>
          <cell r="AS108">
            <v>4.234088618039987</v>
          </cell>
          <cell r="AT108">
            <v>3.4782236579995818</v>
          </cell>
          <cell r="AU108">
            <v>2.7038399786219061</v>
          </cell>
          <cell r="AV108">
            <v>2.1018632925401683</v>
          </cell>
          <cell r="AW108">
            <v>1.6339093050837563</v>
          </cell>
        </row>
        <row r="109">
          <cell r="S109">
            <v>26</v>
          </cell>
          <cell r="T109">
            <v>33.5</v>
          </cell>
          <cell r="U109">
            <v>42</v>
          </cell>
          <cell r="V109">
            <v>43</v>
          </cell>
          <cell r="W109">
            <v>52</v>
          </cell>
          <cell r="X109">
            <v>11.780000000000001</v>
          </cell>
          <cell r="Y109">
            <v>46.459000000000003</v>
          </cell>
          <cell r="Z109">
            <v>48.835499999999996</v>
          </cell>
          <cell r="AA109">
            <v>46.868499999999997</v>
          </cell>
          <cell r="AB109">
            <v>32.112000000000002</v>
          </cell>
          <cell r="AC109">
            <v>51.649920859690404</v>
          </cell>
          <cell r="AD109">
            <v>45.367528867878633</v>
          </cell>
          <cell r="AE109">
            <v>78.166729154430655</v>
          </cell>
          <cell r="AF109">
            <v>58.941792968356985</v>
          </cell>
          <cell r="AG109">
            <v>29.098875286522862</v>
          </cell>
          <cell r="AH109">
            <v>50.390772687331463</v>
          </cell>
          <cell r="AI109">
            <v>51.903404073721539</v>
          </cell>
          <cell r="AJ109">
            <v>43.059062308629429</v>
          </cell>
          <cell r="AK109">
            <v>24.639092290704355</v>
          </cell>
          <cell r="AL109">
            <v>24.232573717922062</v>
          </cell>
          <cell r="AM109">
            <v>23.642159606792092</v>
          </cell>
          <cell r="AN109">
            <v>25.054294180776701</v>
          </cell>
          <cell r="AO109">
            <v>23.463083111935696</v>
          </cell>
          <cell r="AP109">
            <v>22.664230462965865</v>
          </cell>
          <cell r="AQ109">
            <v>22.070914198971877</v>
          </cell>
          <cell r="AR109">
            <v>6.448593382378883</v>
          </cell>
          <cell r="AS109">
            <v>4.5495759323048928</v>
          </cell>
          <cell r="AT109">
            <v>3.7473374015042964</v>
          </cell>
          <cell r="AU109">
            <v>2.9130388600138906</v>
          </cell>
          <cell r="AV109">
            <v>2.2644866182971857</v>
          </cell>
          <cell r="AW109">
            <v>1.7603265493075406</v>
          </cell>
        </row>
        <row r="110">
          <cell r="S110">
            <v>20.5</v>
          </cell>
          <cell r="T110">
            <v>30.5</v>
          </cell>
          <cell r="U110">
            <v>46</v>
          </cell>
          <cell r="V110">
            <v>52.5</v>
          </cell>
          <cell r="W110">
            <v>55</v>
          </cell>
          <cell r="X110">
            <v>10.586</v>
          </cell>
          <cell r="Y110">
            <v>45.982999999999997</v>
          </cell>
          <cell r="Z110">
            <v>53.907000000000004</v>
          </cell>
          <cell r="AA110">
            <v>48.408499999999997</v>
          </cell>
          <cell r="AB110">
            <v>23.030999999999999</v>
          </cell>
          <cell r="AC110">
            <v>58.839501926674096</v>
          </cell>
          <cell r="AD110">
            <v>64.232913074375588</v>
          </cell>
          <cell r="AE110">
            <v>95.158821715922812</v>
          </cell>
          <cell r="AF110">
            <v>52.904294467407297</v>
          </cell>
          <cell r="AG110">
            <v>26.933050872142164</v>
          </cell>
          <cell r="AH110">
            <v>57.752679742550995</v>
          </cell>
          <cell r="AI110">
            <v>59.644703097427737</v>
          </cell>
          <cell r="AJ110">
            <v>47.759023688286078</v>
          </cell>
          <cell r="AK110">
            <v>25.52912363481158</v>
          </cell>
          <cell r="AL110">
            <v>26.457581060057226</v>
          </cell>
          <cell r="AM110">
            <v>26.13346316132283</v>
          </cell>
          <cell r="AN110">
            <v>27.497934621364379</v>
          </cell>
          <cell r="AO110">
            <v>25.513509263717374</v>
          </cell>
          <cell r="AP110">
            <v>24.554076072389051</v>
          </cell>
          <cell r="AQ110">
            <v>24.126253507000527</v>
          </cell>
          <cell r="AR110">
            <v>7.0507354602714774</v>
          </cell>
          <cell r="AS110">
            <v>4.9622170194871682</v>
          </cell>
          <cell r="AT110">
            <v>4.0806779471027221</v>
          </cell>
          <cell r="AU110">
            <v>3.1721652366664554</v>
          </cell>
          <cell r="AV110">
            <v>2.4659216971188842</v>
          </cell>
          <cell r="AW110">
            <v>1.9169145875615856</v>
          </cell>
        </row>
        <row r="111">
          <cell r="S111">
            <v>25</v>
          </cell>
          <cell r="T111">
            <v>32</v>
          </cell>
          <cell r="U111">
            <v>47</v>
          </cell>
          <cell r="V111">
            <v>43.104999999999997</v>
          </cell>
          <cell r="W111">
            <v>65</v>
          </cell>
          <cell r="X111">
            <v>11.292000000000002</v>
          </cell>
          <cell r="Y111">
            <v>49.776999999999994</v>
          </cell>
          <cell r="Z111">
            <v>52.4895</v>
          </cell>
          <cell r="AA111">
            <v>41.705999999999996</v>
          </cell>
          <cell r="AB111">
            <v>31.360499999999998</v>
          </cell>
          <cell r="AC111">
            <v>60.79137019173163</v>
          </cell>
          <cell r="AD111">
            <v>26.850872769300096</v>
          </cell>
          <cell r="AE111">
            <v>64.83784880686008</v>
          </cell>
          <cell r="AF111">
            <v>88.354894857696223</v>
          </cell>
          <cell r="AG111">
            <v>62.342509459799686</v>
          </cell>
          <cell r="AH111">
            <v>52.026001251114543</v>
          </cell>
          <cell r="AI111">
            <v>52.342611074482072</v>
          </cell>
          <cell r="AJ111">
            <v>46.292025284977235</v>
          </cell>
          <cell r="AK111">
            <v>26.943959194568826</v>
          </cell>
          <cell r="AL111">
            <v>25.342294431028758</v>
          </cell>
          <cell r="AM111">
            <v>24.87012144106815</v>
          </cell>
          <cell r="AN111">
            <v>26.450486374307836</v>
          </cell>
          <cell r="AO111">
            <v>24.981057865243208</v>
          </cell>
          <cell r="AP111">
            <v>24.089918367839452</v>
          </cell>
          <cell r="AQ111">
            <v>23.322173433686221</v>
          </cell>
          <cell r="AR111">
            <v>6.8295537322664339</v>
          </cell>
          <cell r="AS111">
            <v>4.8284134460932302</v>
          </cell>
          <cell r="AT111">
            <v>3.9828607134631357</v>
          </cell>
          <cell r="AU111">
            <v>3.0961258059344408</v>
          </cell>
          <cell r="AV111">
            <v>2.4068115095689793</v>
          </cell>
          <cell r="AW111">
            <v>1.8709645556038388</v>
          </cell>
        </row>
        <row r="112">
          <cell r="S112">
            <v>22.5</v>
          </cell>
          <cell r="T112">
            <v>32.5</v>
          </cell>
          <cell r="U112">
            <v>50.5</v>
          </cell>
          <cell r="V112">
            <v>49.185000000000002</v>
          </cell>
          <cell r="W112">
            <v>64</v>
          </cell>
          <cell r="X112">
            <v>12.968000000000002</v>
          </cell>
          <cell r="Y112">
            <v>47.256999999999998</v>
          </cell>
          <cell r="Z112">
            <v>53.371499999999997</v>
          </cell>
          <cell r="AA112">
            <v>41.334999999999994</v>
          </cell>
          <cell r="AB112">
            <v>36.787500000000001</v>
          </cell>
          <cell r="AC112">
            <v>57.166418897531109</v>
          </cell>
          <cell r="AD112">
            <v>58.881039538933926</v>
          </cell>
          <cell r="AE112">
            <v>43.849605166057344</v>
          </cell>
          <cell r="AF112">
            <v>71.204236258041561</v>
          </cell>
          <cell r="AG112">
            <v>59.518028263122901</v>
          </cell>
          <cell r="AH112">
            <v>50.32103913398975</v>
          </cell>
          <cell r="AI112">
            <v>50.906346434027526</v>
          </cell>
          <cell r="AJ112">
            <v>40.176122711290084</v>
          </cell>
          <cell r="AK112">
            <v>24.154245732320302</v>
          </cell>
          <cell r="AL112">
            <v>23.553767095703083</v>
          </cell>
          <cell r="AM112">
            <v>23.011628002440457</v>
          </cell>
          <cell r="AN112">
            <v>24.260938442309818</v>
          </cell>
          <cell r="AO112">
            <v>22.656330301693384</v>
          </cell>
          <cell r="AP112">
            <v>22.038869140539525</v>
          </cell>
          <cell r="AQ112">
            <v>21.427548159688079</v>
          </cell>
          <cell r="AR112">
            <v>6.2604595876328197</v>
          </cell>
          <cell r="AS112">
            <v>4.4172786020823844</v>
          </cell>
          <cell r="AT112">
            <v>3.6413127346305947</v>
          </cell>
          <cell r="AU112">
            <v>2.8306192800211369</v>
          </cell>
          <cell r="AV112">
            <v>2.2004167431777115</v>
          </cell>
          <cell r="AW112">
            <v>1.7105210431622058</v>
          </cell>
        </row>
        <row r="113">
          <cell r="S113">
            <v>23.5</v>
          </cell>
          <cell r="T113">
            <v>35</v>
          </cell>
          <cell r="U113">
            <v>48.5</v>
          </cell>
          <cell r="V113">
            <v>52.045000000000002</v>
          </cell>
          <cell r="W113">
            <v>58</v>
          </cell>
          <cell r="X113">
            <v>12.728000000000002</v>
          </cell>
          <cell r="Y113">
            <v>47.302500000000002</v>
          </cell>
          <cell r="Z113">
            <v>51.572499999999998</v>
          </cell>
          <cell r="AA113">
            <v>40.347999999999999</v>
          </cell>
          <cell r="AB113">
            <v>36.085500000000003</v>
          </cell>
          <cell r="AC113">
            <v>45.526242486599088</v>
          </cell>
          <cell r="AD113">
            <v>40.03881507936002</v>
          </cell>
          <cell r="AE113">
            <v>32.448262970948669</v>
          </cell>
          <cell r="AF113">
            <v>82.466326974637994</v>
          </cell>
          <cell r="AG113">
            <v>55.747378469058873</v>
          </cell>
          <cell r="AH113">
            <v>43.668905375623218</v>
          </cell>
          <cell r="AI113">
            <v>44.797367966057585</v>
          </cell>
          <cell r="AJ113">
            <v>36.940492258709575</v>
          </cell>
          <cell r="AK113">
            <v>23.193050497997049</v>
          </cell>
          <cell r="AL113">
            <v>21.541044893405346</v>
          </cell>
          <cell r="AM113">
            <v>20.91817978011624</v>
          </cell>
          <cell r="AN113">
            <v>22.256095441814054</v>
          </cell>
          <cell r="AO113">
            <v>20.948838793657423</v>
          </cell>
          <cell r="AP113">
            <v>20.394016143114875</v>
          </cell>
          <cell r="AQ113">
            <v>19.674109968347647</v>
          </cell>
          <cell r="AR113">
            <v>5.7527969540616644</v>
          </cell>
          <cell r="AS113">
            <v>4.0687711628010286</v>
          </cell>
          <cell r="AT113">
            <v>3.3578508199000434</v>
          </cell>
          <cell r="AU113">
            <v>2.6102666710960469</v>
          </cell>
          <cell r="AV113">
            <v>2.0291229300167846</v>
          </cell>
          <cell r="AW113">
            <v>1.5773636888184439</v>
          </cell>
        </row>
        <row r="114">
          <cell r="S114">
            <v>25</v>
          </cell>
          <cell r="T114">
            <v>32.5</v>
          </cell>
          <cell r="U114">
            <v>54</v>
          </cell>
          <cell r="V114">
            <v>52.4</v>
          </cell>
          <cell r="W114">
            <v>54</v>
          </cell>
          <cell r="X114">
            <v>11.712000000000002</v>
          </cell>
          <cell r="Y114">
            <v>44.547999999999995</v>
          </cell>
          <cell r="Z114">
            <v>47.564999999999998</v>
          </cell>
          <cell r="AA114">
            <v>40.256999999999998</v>
          </cell>
          <cell r="AB114">
            <v>38.159999999999997</v>
          </cell>
          <cell r="AC114">
            <v>52.622750103950253</v>
          </cell>
          <cell r="AD114">
            <v>56.14870594015045</v>
          </cell>
          <cell r="AE114">
            <v>42.040646131264424</v>
          </cell>
          <cell r="AF114">
            <v>73.324983249021813</v>
          </cell>
          <cell r="AG114">
            <v>63.169418513638689</v>
          </cell>
          <cell r="AH114">
            <v>51.066051769828661</v>
          </cell>
          <cell r="AI114">
            <v>52.615960880397139</v>
          </cell>
          <cell r="AJ114">
            <v>42.176526834141775</v>
          </cell>
          <cell r="AK114">
            <v>25.6723591217606</v>
          </cell>
          <cell r="AL114">
            <v>24.619640057429105</v>
          </cell>
          <cell r="AM114">
            <v>23.95572306329527</v>
          </cell>
          <cell r="AN114">
            <v>25.392540192379716</v>
          </cell>
          <cell r="AO114">
            <v>23.77267984336887</v>
          </cell>
          <cell r="AP114">
            <v>23.121223685317126</v>
          </cell>
          <cell r="AQ114">
            <v>22.420288691323279</v>
          </cell>
          <cell r="AR114">
            <v>6.5524571431982608</v>
          </cell>
          <cell r="AS114">
            <v>4.6292240587193332</v>
          </cell>
          <cell r="AT114">
            <v>3.8170952434851944</v>
          </cell>
          <cell r="AU114">
            <v>2.9672659772196939</v>
          </cell>
          <cell r="AV114">
            <v>2.306640735410745</v>
          </cell>
          <cell r="AW114">
            <v>1.7930955711767964</v>
          </cell>
        </row>
      </sheetData>
      <sheetData sheetId="16">
        <row r="103">
          <cell r="T103">
            <v>21</v>
          </cell>
          <cell r="U103">
            <v>30</v>
          </cell>
          <cell r="V103">
            <v>53.5</v>
          </cell>
          <cell r="W103">
            <v>48.005000000000003</v>
          </cell>
          <cell r="X103">
            <v>97.2</v>
          </cell>
          <cell r="Y103">
            <v>89.271000000000001</v>
          </cell>
          <cell r="Z103">
            <v>84.578000000000003</v>
          </cell>
          <cell r="AA103">
            <v>96.063500000000005</v>
          </cell>
          <cell r="AB103">
            <v>63.893500000000003</v>
          </cell>
          <cell r="AC103">
            <v>65.555999999999997</v>
          </cell>
          <cell r="AD103">
            <v>64.256</v>
          </cell>
          <cell r="AE103">
            <v>58.893999999999998</v>
          </cell>
          <cell r="AF103">
            <v>58.587000000000003</v>
          </cell>
          <cell r="AG103">
            <v>100</v>
          </cell>
          <cell r="AH103">
            <v>57.094698595547932</v>
          </cell>
          <cell r="AI103">
            <v>66.608323055376928</v>
          </cell>
          <cell r="AJ103">
            <v>69.918826217056292</v>
          </cell>
          <cell r="AK103">
            <v>58.844233996404739</v>
          </cell>
          <cell r="AL103">
            <v>70.72042620692055</v>
          </cell>
          <cell r="AM103">
            <v>77.134293538164343</v>
          </cell>
          <cell r="AN103">
            <v>83.71131083552028</v>
          </cell>
          <cell r="AO103">
            <v>94.169264360187185</v>
          </cell>
          <cell r="AP103">
            <v>94.250676104506695</v>
          </cell>
          <cell r="AQ103">
            <v>92.85571962509529</v>
          </cell>
          <cell r="AR103">
            <v>94.416772723666838</v>
          </cell>
          <cell r="AS103">
            <v>90.782721402703174</v>
          </cell>
          <cell r="AT103">
            <v>66.216118075321859</v>
          </cell>
          <cell r="AU103">
            <v>66.990840451928946</v>
          </cell>
          <cell r="AV103">
            <v>66.990840451928946</v>
          </cell>
          <cell r="AW103">
            <v>66.990840451928946</v>
          </cell>
          <cell r="AX103">
            <v>92.85571962509529</v>
          </cell>
        </row>
        <row r="104">
          <cell r="T104">
            <v>19.5</v>
          </cell>
          <cell r="U104">
            <v>18</v>
          </cell>
          <cell r="V104">
            <v>45.5</v>
          </cell>
          <cell r="W104">
            <v>36.6</v>
          </cell>
          <cell r="X104">
            <v>51.5</v>
          </cell>
          <cell r="Y104">
            <v>76.375</v>
          </cell>
          <cell r="Z104">
            <v>85.384000000000015</v>
          </cell>
          <cell r="AA104">
            <v>89.316500000000005</v>
          </cell>
          <cell r="AB104">
            <v>60.896000000000001</v>
          </cell>
          <cell r="AC104">
            <v>67.983999999999995</v>
          </cell>
          <cell r="AD104">
            <v>62.7293728358</v>
          </cell>
          <cell r="AE104">
            <v>67.478999999999999</v>
          </cell>
          <cell r="AF104">
            <v>59.954999999999998</v>
          </cell>
          <cell r="AG104">
            <v>100</v>
          </cell>
          <cell r="AH104">
            <v>61.085742976230847</v>
          </cell>
          <cell r="AI104">
            <v>69.133183598265873</v>
          </cell>
          <cell r="AJ104">
            <v>73.43330646862232</v>
          </cell>
          <cell r="AK104">
            <v>60.878847565919692</v>
          </cell>
          <cell r="AL104">
            <v>73.523310305142843</v>
          </cell>
          <cell r="AM104">
            <v>80.763875124416543</v>
          </cell>
          <cell r="AN104">
            <v>87.20933236493606</v>
          </cell>
          <cell r="AO104">
            <v>98.204253796233132</v>
          </cell>
          <cell r="AP104">
            <v>98.190958345833522</v>
          </cell>
          <cell r="AQ104">
            <v>96.836431493415034</v>
          </cell>
          <cell r="AR104">
            <v>98.509241928828956</v>
          </cell>
          <cell r="AS104">
            <v>79.516109760498992</v>
          </cell>
          <cell r="AT104">
            <v>66.499179504616464</v>
          </cell>
          <cell r="AU104">
            <v>66.832963908746834</v>
          </cell>
          <cell r="AV104">
            <v>66.832963908746834</v>
          </cell>
          <cell r="AW104">
            <v>66.832963908746834</v>
          </cell>
          <cell r="AX104">
            <v>96.836431493415034</v>
          </cell>
        </row>
        <row r="105">
          <cell r="T105">
            <v>17.5</v>
          </cell>
          <cell r="U105">
            <v>22.5</v>
          </cell>
          <cell r="V105">
            <v>42</v>
          </cell>
          <cell r="W105">
            <v>45.625</v>
          </cell>
          <cell r="X105">
            <v>53</v>
          </cell>
          <cell r="Y105">
            <v>73.07950000000001</v>
          </cell>
          <cell r="Z105">
            <v>80.691000000000003</v>
          </cell>
          <cell r="AA105">
            <v>91.058500000000009</v>
          </cell>
          <cell r="AB105">
            <v>62.402999999999999</v>
          </cell>
          <cell r="AC105">
            <v>52.201999999999998</v>
          </cell>
          <cell r="AD105">
            <v>60.901000000000003</v>
          </cell>
          <cell r="AE105">
            <v>63.454999999999998</v>
          </cell>
          <cell r="AF105">
            <v>54.758000000000003</v>
          </cell>
          <cell r="AG105">
            <v>100</v>
          </cell>
          <cell r="AH105">
            <v>121.62501780456293</v>
          </cell>
          <cell r="AI105">
            <v>75.293880421370133</v>
          </cell>
          <cell r="AJ105">
            <v>92.64306922763835</v>
          </cell>
          <cell r="AK105">
            <v>80.782057866336032</v>
          </cell>
          <cell r="AL105">
            <v>103.77282082509822</v>
          </cell>
          <cell r="AM105">
            <v>115.57255154663709</v>
          </cell>
          <cell r="AN105">
            <v>113.40801111657515</v>
          </cell>
          <cell r="AO105">
            <v>132.04067991835896</v>
          </cell>
          <cell r="AP105">
            <v>116.29207647774217</v>
          </cell>
          <cell r="AQ105">
            <v>122.94632923455114</v>
          </cell>
          <cell r="AR105">
            <v>123.13820239624384</v>
          </cell>
          <cell r="AS105">
            <v>100.9922983373685</v>
          </cell>
          <cell r="AT105">
            <v>83.949767668947459</v>
          </cell>
          <cell r="AU105">
            <v>83.035651235612676</v>
          </cell>
          <cell r="AV105">
            <v>83.035651235612676</v>
          </cell>
          <cell r="AW105">
            <v>83.035651235612676</v>
          </cell>
          <cell r="AX105">
            <v>122.94632923455114</v>
          </cell>
        </row>
        <row r="106">
          <cell r="S106">
            <v>9</v>
          </cell>
          <cell r="T106">
            <v>18.5</v>
          </cell>
          <cell r="U106">
            <v>27</v>
          </cell>
          <cell r="V106">
            <v>30</v>
          </cell>
          <cell r="W106">
            <v>26</v>
          </cell>
          <cell r="X106">
            <v>46.33</v>
          </cell>
          <cell r="Y106">
            <v>54.801500000000004</v>
          </cell>
          <cell r="Z106">
            <v>66.768000000000001</v>
          </cell>
          <cell r="AA106">
            <v>78.526499999999999</v>
          </cell>
          <cell r="AB106">
            <v>63.250000000000007</v>
          </cell>
          <cell r="AC106">
            <v>63.527000000000001</v>
          </cell>
          <cell r="AD106">
            <v>63.828000000000003</v>
          </cell>
          <cell r="AE106">
            <v>55.83</v>
          </cell>
          <cell r="AF106">
            <v>55</v>
          </cell>
          <cell r="AG106">
            <v>20</v>
          </cell>
          <cell r="AH106">
            <v>65.975204066896126</v>
          </cell>
          <cell r="AI106">
            <v>62.67682605911196</v>
          </cell>
          <cell r="AJ106">
            <v>50.912672180578227</v>
          </cell>
          <cell r="AK106">
            <v>58.215883060877339</v>
          </cell>
          <cell r="AL106">
            <v>60.135194050281306</v>
          </cell>
          <cell r="AM106">
            <v>72.623608002242293</v>
          </cell>
          <cell r="AN106">
            <v>79.41557167239084</v>
          </cell>
          <cell r="AO106">
            <v>97.745357792569195</v>
          </cell>
          <cell r="AP106">
            <v>92.611156106526025</v>
          </cell>
          <cell r="AQ106">
            <v>91.504970622885111</v>
          </cell>
          <cell r="AR106">
            <v>78.391982626026703</v>
          </cell>
          <cell r="AS106">
            <v>61.772870391091438</v>
          </cell>
          <cell r="AT106">
            <v>63.965612108494248</v>
          </cell>
          <cell r="AU106">
            <v>63.965612108494248</v>
          </cell>
          <cell r="AV106">
            <v>63.965612108494248</v>
          </cell>
          <cell r="AW106">
            <v>63.965612108494248</v>
          </cell>
        </row>
        <row r="107">
          <cell r="S107">
            <v>9.5</v>
          </cell>
          <cell r="T107">
            <v>20.5</v>
          </cell>
          <cell r="U107">
            <v>29.5</v>
          </cell>
          <cell r="V107">
            <v>38</v>
          </cell>
          <cell r="W107">
            <v>38</v>
          </cell>
          <cell r="X107">
            <v>54.555</v>
          </cell>
          <cell r="Y107">
            <v>53.287000000000006</v>
          </cell>
          <cell r="Z107">
            <v>80.047499999999999</v>
          </cell>
          <cell r="AA107">
            <v>80.34</v>
          </cell>
          <cell r="AB107">
            <v>49.780500000000004</v>
          </cell>
          <cell r="AC107">
            <v>51.749380539099995</v>
          </cell>
          <cell r="AD107">
            <v>58.923000000000002</v>
          </cell>
          <cell r="AE107">
            <v>50.897100000000002</v>
          </cell>
          <cell r="AF107">
            <v>60</v>
          </cell>
          <cell r="AG107">
            <v>60</v>
          </cell>
          <cell r="AH107">
            <v>68.464442717769742</v>
          </cell>
          <cell r="AI107">
            <v>68.498337511346378</v>
          </cell>
          <cell r="AJ107">
            <v>57.398278900915905</v>
          </cell>
          <cell r="AK107">
            <v>68.056994687280167</v>
          </cell>
          <cell r="AL107">
            <v>71.40032249049321</v>
          </cell>
          <cell r="AM107">
            <v>81.576859353240508</v>
          </cell>
          <cell r="AN107">
            <v>90.613989835719678</v>
          </cell>
          <cell r="AO107">
            <v>90.338951857469596</v>
          </cell>
          <cell r="AP107">
            <v>93.95270991557247</v>
          </cell>
          <cell r="AQ107">
            <v>91.233673741059675</v>
          </cell>
          <cell r="AR107">
            <v>81.262122542355414</v>
          </cell>
          <cell r="AS107">
            <v>62.955336556449289</v>
          </cell>
          <cell r="AT107">
            <v>63.496952570598587</v>
          </cell>
          <cell r="AU107">
            <v>63.496952570598587</v>
          </cell>
          <cell r="AV107">
            <v>63.496952570598587</v>
          </cell>
          <cell r="AW107">
            <v>63.496952570598587</v>
          </cell>
        </row>
        <row r="108">
          <cell r="S108">
            <v>16.5</v>
          </cell>
          <cell r="T108">
            <v>30.5</v>
          </cell>
          <cell r="U108">
            <v>38.5</v>
          </cell>
          <cell r="V108">
            <v>46.5</v>
          </cell>
          <cell r="W108">
            <v>46</v>
          </cell>
          <cell r="X108">
            <v>54.884999999999998</v>
          </cell>
          <cell r="Y108">
            <v>75.179000000000002</v>
          </cell>
          <cell r="Z108">
            <v>89.654500000000013</v>
          </cell>
          <cell r="AA108">
            <v>78.611000000000004</v>
          </cell>
          <cell r="AB108">
            <v>56.661000000000001</v>
          </cell>
          <cell r="AC108">
            <v>61.936</v>
          </cell>
          <cell r="AD108">
            <v>65.971000000000004</v>
          </cell>
          <cell r="AE108">
            <v>62.152000000000001</v>
          </cell>
          <cell r="AF108">
            <v>60</v>
          </cell>
          <cell r="AG108">
            <v>60</v>
          </cell>
          <cell r="AH108">
            <v>68.550401253872707</v>
          </cell>
          <cell r="AI108">
            <v>72.543757149386366</v>
          </cell>
          <cell r="AJ108">
            <v>60.104653152518694</v>
          </cell>
          <cell r="AK108">
            <v>70.125875763523055</v>
          </cell>
          <cell r="AL108">
            <v>75.549279095972423</v>
          </cell>
          <cell r="AM108">
            <v>84.662288537044788</v>
          </cell>
          <cell r="AN108">
            <v>94.801888123421776</v>
          </cell>
          <cell r="AO108">
            <v>94.291534534424798</v>
          </cell>
          <cell r="AP108">
            <v>98.01119075625401</v>
          </cell>
          <cell r="AQ108">
            <v>95.411798903139541</v>
          </cell>
          <cell r="AR108">
            <v>84.781589826294663</v>
          </cell>
          <cell r="AS108">
            <v>65.756849286620579</v>
          </cell>
          <cell r="AT108">
            <v>66.300823805216751</v>
          </cell>
          <cell r="AU108">
            <v>66.300823805216751</v>
          </cell>
          <cell r="AV108">
            <v>66.300823805216751</v>
          </cell>
          <cell r="AW108">
            <v>66.300823805216751</v>
          </cell>
        </row>
        <row r="109">
          <cell r="S109">
            <v>26</v>
          </cell>
          <cell r="T109">
            <v>33.5</v>
          </cell>
          <cell r="U109">
            <v>42</v>
          </cell>
          <cell r="V109">
            <v>43</v>
          </cell>
          <cell r="W109">
            <v>52</v>
          </cell>
          <cell r="X109">
            <v>58.9</v>
          </cell>
          <cell r="Y109">
            <v>86.281000000000006</v>
          </cell>
          <cell r="Z109">
            <v>90.694500000000005</v>
          </cell>
          <cell r="AA109">
            <v>87.041499999999999</v>
          </cell>
          <cell r="AB109">
            <v>39.248000000000005</v>
          </cell>
          <cell r="AC109">
            <v>63.363</v>
          </cell>
          <cell r="AD109">
            <v>62.128999999999998</v>
          </cell>
          <cell r="AE109">
            <v>46.917000000000002</v>
          </cell>
          <cell r="AF109">
            <v>60</v>
          </cell>
          <cell r="AG109">
            <v>60</v>
          </cell>
          <cell r="AH109">
            <v>69.846224187731465</v>
          </cell>
          <cell r="AI109">
            <v>74.133263042381557</v>
          </cell>
          <cell r="AJ109">
            <v>62.608975678770307</v>
          </cell>
          <cell r="AK109">
            <v>77.833484736163783</v>
          </cell>
          <cell r="AL109">
            <v>83.470574367677571</v>
          </cell>
          <cell r="AM109">
            <v>89.581706133730066</v>
          </cell>
          <cell r="AN109">
            <v>101.19349007873063</v>
          </cell>
          <cell r="AO109">
            <v>101.61916803058587</v>
          </cell>
          <cell r="AP109">
            <v>106.28778279012244</v>
          </cell>
          <cell r="AQ109">
            <v>103.0271217184754</v>
          </cell>
          <cell r="AR109">
            <v>91.2010105744844</v>
          </cell>
          <cell r="AS109">
            <v>71.136576906455716</v>
          </cell>
          <cell r="AT109">
            <v>71.953694734740608</v>
          </cell>
          <cell r="AU109">
            <v>71.953694734740608</v>
          </cell>
          <cell r="AV109">
            <v>71.953694734740608</v>
          </cell>
          <cell r="AW109">
            <v>71.953694734740608</v>
          </cell>
        </row>
        <row r="110">
          <cell r="S110">
            <v>20.5</v>
          </cell>
          <cell r="T110">
            <v>30.5</v>
          </cell>
          <cell r="U110">
            <v>46</v>
          </cell>
          <cell r="V110">
            <v>52.5</v>
          </cell>
          <cell r="W110">
            <v>55</v>
          </cell>
          <cell r="X110">
            <v>52.93</v>
          </cell>
          <cell r="Y110">
            <v>85.397000000000006</v>
          </cell>
          <cell r="Z110">
            <v>100.11300000000001</v>
          </cell>
          <cell r="AA110">
            <v>89.901499999999999</v>
          </cell>
          <cell r="AB110">
            <v>28.149000000000001</v>
          </cell>
          <cell r="AC110">
            <v>70.3</v>
          </cell>
          <cell r="AD110">
            <v>62.122</v>
          </cell>
          <cell r="AE110">
            <v>57.726999999999997</v>
          </cell>
          <cell r="AF110">
            <v>60</v>
          </cell>
          <cell r="AG110">
            <v>60</v>
          </cell>
          <cell r="AH110">
            <v>72.679275487961974</v>
          </cell>
          <cell r="AI110">
            <v>76.262234384569211</v>
          </cell>
          <cell r="AJ110">
            <v>64.790844242884845</v>
          </cell>
          <cell r="AK110">
            <v>77.279805929659005</v>
          </cell>
          <cell r="AL110">
            <v>84.847179410623312</v>
          </cell>
          <cell r="AM110">
            <v>91.563056385604838</v>
          </cell>
          <cell r="AN110">
            <v>103.10722076418394</v>
          </cell>
          <cell r="AO110">
            <v>103.3258184906117</v>
          </cell>
          <cell r="AP110">
            <v>107.71285340189826</v>
          </cell>
          <cell r="AQ110">
            <v>104.83402098382437</v>
          </cell>
          <cell r="AR110">
            <v>92.820462370943815</v>
          </cell>
          <cell r="AS110">
            <v>72.339873189176316</v>
          </cell>
          <cell r="AT110">
            <v>73.136502572044265</v>
          </cell>
          <cell r="AU110">
            <v>73.136502572044265</v>
          </cell>
          <cell r="AV110">
            <v>73.136502572044265</v>
          </cell>
          <cell r="AW110">
            <v>73.136502572044265</v>
          </cell>
        </row>
        <row r="111">
          <cell r="S111">
            <v>25</v>
          </cell>
          <cell r="T111">
            <v>32</v>
          </cell>
          <cell r="U111">
            <v>47</v>
          </cell>
          <cell r="V111">
            <v>43.104999999999997</v>
          </cell>
          <cell r="W111">
            <v>65</v>
          </cell>
          <cell r="X111">
            <v>56.46</v>
          </cell>
          <cell r="Y111">
            <v>92.442999999999998</v>
          </cell>
          <cell r="Z111">
            <v>97.480500000000006</v>
          </cell>
          <cell r="AA111">
            <v>77.453999999999994</v>
          </cell>
          <cell r="AB111">
            <v>38.329500000000003</v>
          </cell>
          <cell r="AC111">
            <v>67.343999999999994</v>
          </cell>
          <cell r="AD111">
            <v>73.885999999999996</v>
          </cell>
          <cell r="AE111">
            <v>57.268999999999998</v>
          </cell>
          <cell r="AF111">
            <v>60</v>
          </cell>
          <cell r="AG111">
            <v>68.59758077648695</v>
          </cell>
          <cell r="AH111">
            <v>75.644951386111089</v>
          </cell>
          <cell r="AI111">
            <v>80.727537601960876</v>
          </cell>
          <cell r="AJ111">
            <v>67.082670834082563</v>
          </cell>
          <cell r="AK111">
            <v>80.4170378011748</v>
          </cell>
          <cell r="AL111">
            <v>89.00526052737348</v>
          </cell>
          <cell r="AM111">
            <v>95.658726108060989</v>
          </cell>
          <cell r="AN111">
            <v>107.81735920742868</v>
          </cell>
          <cell r="AO111">
            <v>107.84982905520813</v>
          </cell>
          <cell r="AP111">
            <v>112.59078638254766</v>
          </cell>
          <cell r="AQ111">
            <v>109.65350085261997</v>
          </cell>
          <cell r="AR111">
            <v>97.056067683551873</v>
          </cell>
          <cell r="AS111">
            <v>75.700496975213426</v>
          </cell>
          <cell r="AT111">
            <v>76.553850488753895</v>
          </cell>
          <cell r="AU111">
            <v>76.553850488753895</v>
          </cell>
          <cell r="AV111">
            <v>76.553850488753895</v>
          </cell>
          <cell r="AW111">
            <v>76.553850488753895</v>
          </cell>
        </row>
        <row r="112">
          <cell r="S112">
            <v>22.5</v>
          </cell>
          <cell r="T112">
            <v>32.5</v>
          </cell>
          <cell r="U112">
            <v>50.5</v>
          </cell>
          <cell r="V112">
            <v>49.185000000000002</v>
          </cell>
          <cell r="W112">
            <v>64</v>
          </cell>
          <cell r="X112">
            <v>64.84</v>
          </cell>
          <cell r="Y112">
            <v>87.763000000000005</v>
          </cell>
          <cell r="Z112">
            <v>99.118500000000012</v>
          </cell>
          <cell r="AA112">
            <v>76.765000000000001</v>
          </cell>
          <cell r="AB112">
            <v>44.962500000000006</v>
          </cell>
          <cell r="AC112">
            <v>61.713999999999999</v>
          </cell>
          <cell r="AD112">
            <v>75.650999999999996</v>
          </cell>
          <cell r="AE112">
            <v>55.259</v>
          </cell>
          <cell r="AF112">
            <v>60</v>
          </cell>
          <cell r="AG112">
            <v>65.205080343712496</v>
          </cell>
          <cell r="AH112">
            <v>72.092501550801401</v>
          </cell>
          <cell r="AI112">
            <v>77.46055188605169</v>
          </cell>
          <cell r="AJ112">
            <v>63.513889261632585</v>
          </cell>
          <cell r="AK112">
            <v>76.560118021862721</v>
          </cell>
          <cell r="AL112">
            <v>84.621643377407807</v>
          </cell>
          <cell r="AM112">
            <v>91.178390128826265</v>
          </cell>
          <cell r="AN112">
            <v>102.71569314006814</v>
          </cell>
          <cell r="AO112">
            <v>102.57044634536952</v>
          </cell>
          <cell r="AP112">
            <v>107.16786076488879</v>
          </cell>
          <cell r="AQ112">
            <v>104.3905412381266</v>
          </cell>
          <cell r="AR112">
            <v>92.428239004275326</v>
          </cell>
          <cell r="AS112">
            <v>72.077737081507593</v>
          </cell>
          <cell r="AT112">
            <v>72.8792981902848</v>
          </cell>
          <cell r="AU112">
            <v>72.8792981902848</v>
          </cell>
          <cell r="AV112">
            <v>72.8792981902848</v>
          </cell>
          <cell r="AW112">
            <v>72.8792981902848</v>
          </cell>
        </row>
        <row r="113">
          <cell r="S113">
            <v>23.5</v>
          </cell>
          <cell r="T113">
            <v>35</v>
          </cell>
          <cell r="U113">
            <v>48.5</v>
          </cell>
          <cell r="V113">
            <v>52.045000000000002</v>
          </cell>
          <cell r="W113">
            <v>58</v>
          </cell>
          <cell r="X113">
            <v>63.64</v>
          </cell>
          <cell r="Y113">
            <v>87.847500000000011</v>
          </cell>
          <cell r="Z113">
            <v>95.777500000000003</v>
          </cell>
          <cell r="AA113">
            <v>74.932000000000002</v>
          </cell>
          <cell r="AB113">
            <v>44.104500000000002</v>
          </cell>
          <cell r="AC113">
            <v>59.970999999999997</v>
          </cell>
          <cell r="AD113">
            <v>76.340999999999994</v>
          </cell>
          <cell r="AE113">
            <v>50.331000000000003</v>
          </cell>
          <cell r="AF113">
            <v>60</v>
          </cell>
          <cell r="AG113">
            <v>69.267004929148712</v>
          </cell>
          <cell r="AH113">
            <v>72.511119405669703</v>
          </cell>
          <cell r="AI113">
            <v>78.283725713040099</v>
          </cell>
          <cell r="AJ113">
            <v>64.193345580783756</v>
          </cell>
          <cell r="AK113">
            <v>78.111324293703021</v>
          </cell>
          <cell r="AL113">
            <v>86.529714884561486</v>
          </cell>
          <cell r="AM113">
            <v>92.456971174458261</v>
          </cell>
          <cell r="AN113">
            <v>104.37576636711668</v>
          </cell>
          <cell r="AO113">
            <v>104.33337022535059</v>
          </cell>
          <cell r="AP113">
            <v>109.09878496912457</v>
          </cell>
          <cell r="AQ113">
            <v>106.21147201422255</v>
          </cell>
          <cell r="AR113">
            <v>93.956775536681917</v>
          </cell>
          <cell r="AS113">
            <v>73.311092408245813</v>
          </cell>
          <cell r="AT113">
            <v>74.142194241699897</v>
          </cell>
          <cell r="AU113">
            <v>74.142194241699897</v>
          </cell>
          <cell r="AV113">
            <v>74.142194241699897</v>
          </cell>
          <cell r="AW113">
            <v>74.142194241699897</v>
          </cell>
        </row>
        <row r="114">
          <cell r="S114">
            <v>25</v>
          </cell>
          <cell r="T114">
            <v>32.5</v>
          </cell>
          <cell r="U114">
            <v>54</v>
          </cell>
          <cell r="V114">
            <v>52.4</v>
          </cell>
          <cell r="W114">
            <v>54</v>
          </cell>
          <cell r="X114">
            <v>58.56</v>
          </cell>
          <cell r="Y114">
            <v>82.731999999999999</v>
          </cell>
          <cell r="Z114">
            <v>88.335000000000008</v>
          </cell>
          <cell r="AA114">
            <v>74.763000000000005</v>
          </cell>
          <cell r="AB114">
            <v>46.64</v>
          </cell>
          <cell r="AC114">
            <v>63.296999999999997</v>
          </cell>
          <cell r="AD114">
            <v>66.441000000000003</v>
          </cell>
          <cell r="AE114">
            <v>52.29</v>
          </cell>
          <cell r="AF114">
            <v>60</v>
          </cell>
          <cell r="AG114">
            <v>65.825955984148536</v>
          </cell>
          <cell r="AH114">
            <v>68.59227369886095</v>
          </cell>
          <cell r="AI114">
            <v>72.450792349136691</v>
          </cell>
          <cell r="AJ114">
            <v>60.147595007435783</v>
          </cell>
          <cell r="AK114">
            <v>75.819807093532063</v>
          </cell>
          <cell r="AL114">
            <v>81.75378755528962</v>
          </cell>
          <cell r="AM114">
            <v>87.34704801070059</v>
          </cell>
          <cell r="AN114">
            <v>98.629235495936456</v>
          </cell>
          <cell r="AO114">
            <v>98.943828238582</v>
          </cell>
          <cell r="AP114">
            <v>103.69393074928608</v>
          </cell>
          <cell r="AQ114">
            <v>100.55653398203006</v>
          </cell>
          <cell r="AR114">
            <v>89.004112817606412</v>
          </cell>
          <cell r="AS114">
            <v>69.495482806309369</v>
          </cell>
          <cell r="AT114">
            <v>70.321865269330573</v>
          </cell>
          <cell r="AU114">
            <v>70.321865269330573</v>
          </cell>
          <cell r="AV114">
            <v>70.321865269330573</v>
          </cell>
          <cell r="AW114">
            <v>70.321865269330573</v>
          </cell>
        </row>
      </sheetData>
      <sheetData sheetId="17">
        <row r="105">
          <cell r="T105">
            <v>29</v>
          </cell>
          <cell r="U105">
            <v>41</v>
          </cell>
          <cell r="V105">
            <v>36</v>
          </cell>
          <cell r="W105">
            <v>33.450000000000003</v>
          </cell>
          <cell r="X105">
            <v>52</v>
          </cell>
          <cell r="Y105">
            <v>47.25</v>
          </cell>
          <cell r="Z105">
            <v>49.41</v>
          </cell>
          <cell r="AA105">
            <v>59.01</v>
          </cell>
          <cell r="AB105">
            <v>46.44</v>
          </cell>
          <cell r="AC105">
            <v>57</v>
          </cell>
          <cell r="AD105">
            <v>42.256396960623931</v>
          </cell>
          <cell r="AE105">
            <v>18.342527144698717</v>
          </cell>
          <cell r="AF105">
            <v>12.854891234883162</v>
          </cell>
          <cell r="AG105">
            <v>3.5428347112779726</v>
          </cell>
          <cell r="AH105">
            <v>23.28281824770534</v>
          </cell>
          <cell r="AI105">
            <v>17.803092572067779</v>
          </cell>
          <cell r="AJ105">
            <v>14.11866200413604</v>
          </cell>
          <cell r="AK105">
            <v>10.872624002832461</v>
          </cell>
          <cell r="AL105">
            <v>12.589229622185082</v>
          </cell>
          <cell r="AM105">
            <v>14.714992781212784</v>
          </cell>
          <cell r="AN105">
            <v>13.556311976767615</v>
          </cell>
          <cell r="AO105">
            <v>13.735783741385058</v>
          </cell>
          <cell r="AP105">
            <v>12.876461692906402</v>
          </cell>
          <cell r="AQ105">
            <v>12.972539144333895</v>
          </cell>
          <cell r="AR105">
            <v>12.972539144333895</v>
          </cell>
          <cell r="AS105">
            <v>12.972539144333895</v>
          </cell>
          <cell r="AT105">
            <v>12.972539144333895</v>
          </cell>
          <cell r="AU105">
            <v>12.972539144333895</v>
          </cell>
          <cell r="AV105">
            <v>12.972539144333895</v>
          </cell>
          <cell r="AW105">
            <v>12.972539144333895</v>
          </cell>
          <cell r="AX105">
            <v>12.972539144333895</v>
          </cell>
        </row>
        <row r="106">
          <cell r="T106">
            <v>35</v>
          </cell>
          <cell r="U106">
            <v>28</v>
          </cell>
          <cell r="V106">
            <v>34</v>
          </cell>
          <cell r="W106">
            <v>23.92</v>
          </cell>
          <cell r="X106">
            <v>45</v>
          </cell>
          <cell r="Y106">
            <v>48.66</v>
          </cell>
          <cell r="Z106">
            <v>49.23</v>
          </cell>
          <cell r="AA106">
            <v>48.18</v>
          </cell>
          <cell r="AB106">
            <v>36.49</v>
          </cell>
          <cell r="AC106">
            <v>53</v>
          </cell>
          <cell r="AD106">
            <v>34.81884158560392</v>
          </cell>
          <cell r="AE106">
            <v>19.026145053098343</v>
          </cell>
          <cell r="AF106">
            <v>13.667000000000002</v>
          </cell>
          <cell r="AG106">
            <v>43.216498237065878</v>
          </cell>
          <cell r="AH106">
            <v>30.380511927629161</v>
          </cell>
          <cell r="AI106">
            <v>25.463712162145367</v>
          </cell>
          <cell r="AJ106">
            <v>24.632635668183621</v>
          </cell>
          <cell r="AK106">
            <v>20.680400029549208</v>
          </cell>
          <cell r="AL106">
            <v>25.615744309860581</v>
          </cell>
          <cell r="AM106">
            <v>24.015785398955337</v>
          </cell>
          <cell r="AN106">
            <v>23.451017254262098</v>
          </cell>
          <cell r="AO106">
            <v>24.756253670058285</v>
          </cell>
          <cell r="AP106">
            <v>23.347878910135261</v>
          </cell>
          <cell r="AQ106">
            <v>23.309204605848457</v>
          </cell>
          <cell r="AR106">
            <v>23.309204605848457</v>
          </cell>
          <cell r="AS106">
            <v>23.309204605848457</v>
          </cell>
          <cell r="AT106">
            <v>23.309204605848457</v>
          </cell>
          <cell r="AU106">
            <v>23.309204605848457</v>
          </cell>
          <cell r="AV106">
            <v>23.309204605848457</v>
          </cell>
          <cell r="AW106">
            <v>23.309204605848457</v>
          </cell>
          <cell r="AX106">
            <v>23.309204605848457</v>
          </cell>
        </row>
        <row r="107">
          <cell r="T107">
            <v>26</v>
          </cell>
          <cell r="U107">
            <v>35</v>
          </cell>
          <cell r="V107">
            <v>45</v>
          </cell>
          <cell r="W107">
            <v>35.6</v>
          </cell>
          <cell r="X107">
            <v>58</v>
          </cell>
          <cell r="Y107">
            <v>74.02</v>
          </cell>
          <cell r="Z107">
            <v>56.22</v>
          </cell>
          <cell r="AA107">
            <v>45.48</v>
          </cell>
          <cell r="AB107">
            <v>40.71</v>
          </cell>
          <cell r="AC107">
            <v>57</v>
          </cell>
          <cell r="AD107">
            <v>40.391914002886487</v>
          </cell>
          <cell r="AE107">
            <v>22.833451805726607</v>
          </cell>
          <cell r="AF107">
            <v>2.4820046687072925</v>
          </cell>
          <cell r="AG107">
            <v>37.751700312783285</v>
          </cell>
          <cell r="AH107">
            <v>55.275789712474428</v>
          </cell>
          <cell r="AI107">
            <v>24.778201302635104</v>
          </cell>
          <cell r="AJ107">
            <v>26.083315768655186</v>
          </cell>
          <cell r="AK107">
            <v>21.598943675127206</v>
          </cell>
          <cell r="AL107">
            <v>29.495429634563209</v>
          </cell>
          <cell r="AM107">
            <v>29.133754678208732</v>
          </cell>
          <cell r="AN107">
            <v>25.468642490543122</v>
          </cell>
          <cell r="AO107">
            <v>27.470842565129153</v>
          </cell>
          <cell r="AP107">
            <v>22.758066426841612</v>
          </cell>
          <cell r="AQ107">
            <v>24.561198237607144</v>
          </cell>
          <cell r="AR107">
            <v>24.561198237607144</v>
          </cell>
          <cell r="AS107">
            <v>24.561198237607144</v>
          </cell>
          <cell r="AT107">
            <v>24.561198237607144</v>
          </cell>
          <cell r="AU107">
            <v>24.561198237607144</v>
          </cell>
          <cell r="AV107">
            <v>24.561198237607144</v>
          </cell>
          <cell r="AW107">
            <v>24.561198237607144</v>
          </cell>
          <cell r="AX107">
            <v>24.561198237607144</v>
          </cell>
        </row>
        <row r="108">
          <cell r="S108">
            <v>31</v>
          </cell>
          <cell r="T108">
            <v>29</v>
          </cell>
          <cell r="U108">
            <v>31</v>
          </cell>
          <cell r="V108">
            <v>25</v>
          </cell>
          <cell r="W108">
            <v>28</v>
          </cell>
          <cell r="X108">
            <v>57.13</v>
          </cell>
          <cell r="Y108">
            <v>47.41</v>
          </cell>
          <cell r="Z108">
            <v>44.21</v>
          </cell>
          <cell r="AA108">
            <v>62.9</v>
          </cell>
          <cell r="AB108">
            <v>48</v>
          </cell>
          <cell r="AC108">
            <v>46.51149385066099</v>
          </cell>
          <cell r="AD108">
            <v>18.10479481541778</v>
          </cell>
          <cell r="AE108">
            <v>17.979682322250461</v>
          </cell>
          <cell r="AF108">
            <v>4.6272370370542362</v>
          </cell>
          <cell r="AG108">
            <v>4.9599164132293243</v>
          </cell>
          <cell r="AH108">
            <v>9.1900128100593772</v>
          </cell>
          <cell r="AI108">
            <v>10.083740320397098</v>
          </cell>
          <cell r="AJ108">
            <v>7.0442621514895327</v>
          </cell>
          <cell r="AK108">
            <v>6.6809856636624003</v>
          </cell>
          <cell r="AL108">
            <v>7.1585116888070139</v>
          </cell>
          <cell r="AM108">
            <v>7.7763619202954652</v>
          </cell>
          <cell r="AN108">
            <v>8.0433984608429707</v>
          </cell>
          <cell r="AO108">
            <v>8.9802478070236784</v>
          </cell>
          <cell r="AP108">
            <v>7.831201636125571</v>
          </cell>
          <cell r="AQ108">
            <v>7.9098238304146884</v>
          </cell>
          <cell r="AR108">
            <v>7.9098238304146884</v>
          </cell>
          <cell r="AS108">
            <v>7.9098238304146884</v>
          </cell>
          <cell r="AT108">
            <v>7.9098238304146884</v>
          </cell>
          <cell r="AU108">
            <v>7.9098238304146884</v>
          </cell>
          <cell r="AV108">
            <v>7.9098238304146884</v>
          </cell>
          <cell r="AW108">
            <v>7.9098238304146884</v>
          </cell>
        </row>
        <row r="109">
          <cell r="S109">
            <v>48</v>
          </cell>
          <cell r="T109">
            <v>29</v>
          </cell>
          <cell r="U109">
            <v>32</v>
          </cell>
          <cell r="V109">
            <v>41</v>
          </cell>
          <cell r="W109">
            <v>33</v>
          </cell>
          <cell r="X109">
            <v>53.46</v>
          </cell>
          <cell r="Y109">
            <v>54.87</v>
          </cell>
          <cell r="Z109">
            <v>43.86</v>
          </cell>
          <cell r="AA109">
            <v>49.46</v>
          </cell>
          <cell r="AB109">
            <v>43.36</v>
          </cell>
          <cell r="AC109">
            <v>23.415303304755309</v>
          </cell>
          <cell r="AD109">
            <v>17.735924180117653</v>
          </cell>
          <cell r="AE109">
            <v>13.712724760479736</v>
          </cell>
          <cell r="AF109">
            <v>15.304777894846277</v>
          </cell>
          <cell r="AG109">
            <v>15.030759101716283</v>
          </cell>
          <cell r="AH109">
            <v>17.534608675331008</v>
          </cell>
          <cell r="AI109">
            <v>15.330701192448425</v>
          </cell>
          <cell r="AJ109">
            <v>12.084719837170747</v>
          </cell>
          <cell r="AK109">
            <v>14.073399228051523</v>
          </cell>
          <cell r="AL109">
            <v>14.116127460829487</v>
          </cell>
          <cell r="AM109">
            <v>14.178755376925887</v>
          </cell>
          <cell r="AN109">
            <v>14.555165758469242</v>
          </cell>
          <cell r="AO109">
            <v>13.572395433477476</v>
          </cell>
          <cell r="AP109">
            <v>13.190320645453273</v>
          </cell>
          <cell r="AQ109">
            <v>12.890216040845967</v>
          </cell>
          <cell r="AR109">
            <v>12.890216040845967</v>
          </cell>
          <cell r="AS109">
            <v>12.890216040845967</v>
          </cell>
          <cell r="AT109">
            <v>12.890216040845967</v>
          </cell>
          <cell r="AU109">
            <v>12.890216040845967</v>
          </cell>
          <cell r="AV109">
            <v>12.890216040845967</v>
          </cell>
          <cell r="AW109">
            <v>12.890216040845967</v>
          </cell>
        </row>
        <row r="110">
          <cell r="S110">
            <v>60</v>
          </cell>
          <cell r="T110">
            <v>31</v>
          </cell>
          <cell r="U110">
            <v>36</v>
          </cell>
          <cell r="V110">
            <v>41</v>
          </cell>
          <cell r="W110">
            <v>43</v>
          </cell>
          <cell r="X110">
            <v>43.63</v>
          </cell>
          <cell r="Y110">
            <v>67.47</v>
          </cell>
          <cell r="Z110">
            <v>49.31</v>
          </cell>
          <cell r="AA110">
            <v>58.48</v>
          </cell>
          <cell r="AB110">
            <v>36</v>
          </cell>
          <cell r="AC110">
            <v>31.727419492229764</v>
          </cell>
          <cell r="AD110">
            <v>19.608091188659177</v>
          </cell>
          <cell r="AE110">
            <v>26.566346423946968</v>
          </cell>
          <cell r="AF110">
            <v>9.335565909043515</v>
          </cell>
          <cell r="AG110">
            <v>17.442874118250892</v>
          </cell>
          <cell r="AH110">
            <v>18.653540414655126</v>
          </cell>
          <cell r="AI110">
            <v>17.047216921582596</v>
          </cell>
          <cell r="AJ110">
            <v>13.434980301303344</v>
          </cell>
          <cell r="AK110">
            <v>14.014449533173726</v>
          </cell>
          <cell r="AL110">
            <v>15.251030523533871</v>
          </cell>
          <cell r="AM110">
            <v>15.183108566809969</v>
          </cell>
          <cell r="AN110">
            <v>15.6197309187764</v>
          </cell>
          <cell r="AO110">
            <v>14.46334849011088</v>
          </cell>
          <cell r="AP110">
            <v>13.941002276849266</v>
          </cell>
          <cell r="AQ110">
            <v>13.783017233210742</v>
          </cell>
          <cell r="AR110">
            <v>13.783017233210742</v>
          </cell>
          <cell r="AS110">
            <v>13.783017233210742</v>
          </cell>
          <cell r="AT110">
            <v>13.783017233210742</v>
          </cell>
          <cell r="AU110">
            <v>13.783017233210742</v>
          </cell>
          <cell r="AV110">
            <v>13.783017233210742</v>
          </cell>
          <cell r="AW110">
            <v>13.783017233210742</v>
          </cell>
        </row>
        <row r="111">
          <cell r="S111">
            <v>55</v>
          </cell>
          <cell r="T111">
            <v>41</v>
          </cell>
          <cell r="U111">
            <v>48</v>
          </cell>
          <cell r="V111">
            <v>39</v>
          </cell>
          <cell r="W111">
            <v>57</v>
          </cell>
          <cell r="X111">
            <v>52.8</v>
          </cell>
          <cell r="Y111">
            <v>59.35</v>
          </cell>
          <cell r="Z111">
            <v>54</v>
          </cell>
          <cell r="AA111">
            <v>57.04</v>
          </cell>
          <cell r="AB111">
            <v>41.88</v>
          </cell>
          <cell r="AC111">
            <v>21.139088583794067</v>
          </cell>
          <cell r="AD111">
            <v>17.532824255587588</v>
          </cell>
          <cell r="AE111">
            <v>33.64198191490825</v>
          </cell>
          <cell r="AF111">
            <v>9.5585545551382758</v>
          </cell>
          <cell r="AG111">
            <v>25.309511817903953</v>
          </cell>
          <cell r="AH111">
            <v>19.126496618107158</v>
          </cell>
          <cell r="AI111">
            <v>19.433028768835392</v>
          </cell>
          <cell r="AJ111">
            <v>16.043373273519272</v>
          </cell>
          <cell r="AK111">
            <v>16.732302396804982</v>
          </cell>
          <cell r="AL111">
            <v>18.231589320404805</v>
          </cell>
          <cell r="AM111">
            <v>17.414745132273168</v>
          </cell>
          <cell r="AN111">
            <v>18.34708616011234</v>
          </cell>
          <cell r="AO111">
            <v>17.106477163244453</v>
          </cell>
          <cell r="AP111">
            <v>16.449864353262836</v>
          </cell>
          <cell r="AQ111">
            <v>16.227147323657523</v>
          </cell>
          <cell r="AR111">
            <v>16.227147323657523</v>
          </cell>
          <cell r="AS111">
            <v>16.227147323657523</v>
          </cell>
          <cell r="AT111">
            <v>16.227147323657523</v>
          </cell>
          <cell r="AU111">
            <v>16.227147323657523</v>
          </cell>
          <cell r="AV111">
            <v>16.227147323657523</v>
          </cell>
          <cell r="AW111">
            <v>16.227147323657523</v>
          </cell>
        </row>
        <row r="112">
          <cell r="S112">
            <v>57</v>
          </cell>
          <cell r="T112">
            <v>38</v>
          </cell>
          <cell r="U112">
            <v>41</v>
          </cell>
          <cell r="V112">
            <v>46</v>
          </cell>
          <cell r="W112">
            <v>60</v>
          </cell>
          <cell r="X112">
            <v>46.67</v>
          </cell>
          <cell r="Y112">
            <v>48.64</v>
          </cell>
          <cell r="Z112">
            <v>52.71</v>
          </cell>
          <cell r="AA112">
            <v>42.99</v>
          </cell>
          <cell r="AB112">
            <v>39.71</v>
          </cell>
          <cell r="AC112">
            <v>18.700041479024726</v>
          </cell>
          <cell r="AD112">
            <v>20.553320262475836</v>
          </cell>
          <cell r="AE112">
            <v>48.676772042633772</v>
          </cell>
          <cell r="AF112">
            <v>21.709939631642687</v>
          </cell>
          <cell r="AG112">
            <v>29.359548236314293</v>
          </cell>
          <cell r="AH112">
            <v>24.555210627829283</v>
          </cell>
          <cell r="AI112">
            <v>26.492000304095757</v>
          </cell>
          <cell r="AJ112">
            <v>22.40589077967228</v>
          </cell>
          <cell r="AK112">
            <v>22.655046037308104</v>
          </cell>
          <cell r="AL112">
            <v>23.776788982384716</v>
          </cell>
          <cell r="AM112">
            <v>23.331840215775166</v>
          </cell>
          <cell r="AN112">
            <v>24.781746122584305</v>
          </cell>
          <cell r="AO112">
            <v>23.060115541378071</v>
          </cell>
          <cell r="AP112">
            <v>22.020940689105959</v>
          </cell>
          <cell r="AQ112">
            <v>21.681642977906492</v>
          </cell>
          <cell r="AR112">
            <v>21.681642977906492</v>
          </cell>
          <cell r="AS112">
            <v>21.681642977906492</v>
          </cell>
          <cell r="AT112">
            <v>21.681642977906492</v>
          </cell>
          <cell r="AU112">
            <v>21.681642977906492</v>
          </cell>
          <cell r="AV112">
            <v>21.681642977906492</v>
          </cell>
          <cell r="AW112">
            <v>21.681642977906492</v>
          </cell>
        </row>
        <row r="113">
          <cell r="S113">
            <v>55</v>
          </cell>
          <cell r="T113">
            <v>39</v>
          </cell>
          <cell r="U113">
            <v>41</v>
          </cell>
          <cell r="V113">
            <v>28.62</v>
          </cell>
          <cell r="W113">
            <v>56</v>
          </cell>
          <cell r="X113">
            <v>42.2</v>
          </cell>
          <cell r="Y113">
            <v>43.7</v>
          </cell>
          <cell r="Z113">
            <v>56.86</v>
          </cell>
          <cell r="AA113">
            <v>44.81</v>
          </cell>
          <cell r="AB113">
            <v>52.95</v>
          </cell>
          <cell r="AC113">
            <v>27.632865208265326</v>
          </cell>
          <cell r="AD113">
            <v>21.490937486635943</v>
          </cell>
          <cell r="AE113">
            <v>24.272817833821286</v>
          </cell>
          <cell r="AF113">
            <v>3.2582435156062619</v>
          </cell>
          <cell r="AG113">
            <v>26.365907897027085</v>
          </cell>
          <cell r="AH113">
            <v>18.400779839275149</v>
          </cell>
          <cell r="AI113">
            <v>17.38529877670484</v>
          </cell>
          <cell r="AJ113">
            <v>13.51403598236932</v>
          </cell>
          <cell r="AK113">
            <v>14.383529003160515</v>
          </cell>
          <cell r="AL113">
            <v>16.859304225482607</v>
          </cell>
          <cell r="AM113">
            <v>15.61559921964264</v>
          </cell>
          <cell r="AN113">
            <v>16.214155541535675</v>
          </cell>
          <cell r="AO113">
            <v>15.079584554626164</v>
          </cell>
          <cell r="AP113">
            <v>14.637913190591711</v>
          </cell>
          <cell r="AQ113">
            <v>14.537542839203107</v>
          </cell>
          <cell r="AR113">
            <v>14.537542839203107</v>
          </cell>
          <cell r="AS113">
            <v>14.537542839203107</v>
          </cell>
          <cell r="AT113">
            <v>14.537542839203107</v>
          </cell>
          <cell r="AU113">
            <v>14.537542839203107</v>
          </cell>
          <cell r="AV113">
            <v>14.537542839203107</v>
          </cell>
          <cell r="AW113">
            <v>14.537542839203107</v>
          </cell>
        </row>
        <row r="114">
          <cell r="S114">
            <v>49</v>
          </cell>
          <cell r="T114">
            <v>31</v>
          </cell>
          <cell r="U114">
            <v>43</v>
          </cell>
          <cell r="V114">
            <v>36.67</v>
          </cell>
          <cell r="W114">
            <v>49</v>
          </cell>
          <cell r="X114">
            <v>37.93</v>
          </cell>
          <cell r="Y114">
            <v>33.29</v>
          </cell>
          <cell r="Z114">
            <v>50.96</v>
          </cell>
          <cell r="AA114">
            <v>40.270000000000003</v>
          </cell>
          <cell r="AB114">
            <v>55.38</v>
          </cell>
          <cell r="AC114">
            <v>19.176138475083587</v>
          </cell>
          <cell r="AD114">
            <v>19.659876578107184</v>
          </cell>
          <cell r="AE114">
            <v>26.558214183198217</v>
          </cell>
          <cell r="AF114">
            <v>13.168262905898681</v>
          </cell>
          <cell r="AG114">
            <v>25.164594437807782</v>
          </cell>
          <cell r="AH114">
            <v>18.412155238779022</v>
          </cell>
          <cell r="AI114">
            <v>18.943945606411063</v>
          </cell>
          <cell r="AJ114">
            <v>15.25423888683215</v>
          </cell>
          <cell r="AK114">
            <v>16.37337365277379</v>
          </cell>
          <cell r="AL114">
            <v>17.732754633751668</v>
          </cell>
          <cell r="AM114">
            <v>16.85695333791757</v>
          </cell>
          <cell r="AN114">
            <v>17.775686901953787</v>
          </cell>
          <cell r="AO114">
            <v>16.549356620366964</v>
          </cell>
          <cell r="AP114">
            <v>15.97581409046869</v>
          </cell>
          <cell r="AQ114">
            <v>15.74286696660459</v>
          </cell>
          <cell r="AR114">
            <v>15.74286696660459</v>
          </cell>
          <cell r="AS114">
            <v>15.74286696660459</v>
          </cell>
          <cell r="AT114">
            <v>15.74286696660459</v>
          </cell>
          <cell r="AU114">
            <v>15.74286696660459</v>
          </cell>
          <cell r="AV114">
            <v>15.74286696660459</v>
          </cell>
          <cell r="AW114">
            <v>15.74286696660459</v>
          </cell>
        </row>
        <row r="115">
          <cell r="S115">
            <v>48</v>
          </cell>
          <cell r="T115">
            <v>34</v>
          </cell>
          <cell r="U115">
            <v>41</v>
          </cell>
          <cell r="V115">
            <v>36.380000000000003</v>
          </cell>
          <cell r="W115">
            <v>54</v>
          </cell>
          <cell r="X115">
            <v>38.28</v>
          </cell>
          <cell r="Y115">
            <v>35.130000000000003</v>
          </cell>
          <cell r="Z115">
            <v>54.77</v>
          </cell>
          <cell r="AA115">
            <v>29.61</v>
          </cell>
          <cell r="AB115">
            <v>54.52</v>
          </cell>
          <cell r="AC115">
            <v>14.715028424302634</v>
          </cell>
          <cell r="AD115">
            <v>19.731583582260278</v>
          </cell>
          <cell r="AE115">
            <v>40.577882091969094</v>
          </cell>
          <cell r="AF115">
            <v>9.0076143998447691</v>
          </cell>
          <cell r="AG115">
            <v>27.576938692997565</v>
          </cell>
          <cell r="AH115">
            <v>19.771446519579193</v>
          </cell>
          <cell r="AI115">
            <v>21.529220381496604</v>
          </cell>
          <cell r="AJ115">
            <v>17.687072403163114</v>
          </cell>
          <cell r="AK115">
            <v>17.399096120742957</v>
          </cell>
          <cell r="AL115">
            <v>19.609422398210967</v>
          </cell>
          <cell r="AM115">
            <v>18.68115952342648</v>
          </cell>
          <cell r="AN115">
            <v>19.823556928830676</v>
          </cell>
          <cell r="AO115">
            <v>18.386925564803942</v>
          </cell>
          <cell r="AP115">
            <v>17.587732692107377</v>
          </cell>
          <cell r="AQ115">
            <v>17.445700670504536</v>
          </cell>
          <cell r="AR115">
            <v>17.445700670504536</v>
          </cell>
          <cell r="AS115">
            <v>17.445700670504536</v>
          </cell>
          <cell r="AT115">
            <v>17.445700670504536</v>
          </cell>
          <cell r="AU115">
            <v>17.445700670504536</v>
          </cell>
          <cell r="AV115">
            <v>17.445700670504536</v>
          </cell>
          <cell r="AW115">
            <v>17.445700670504536</v>
          </cell>
        </row>
        <row r="116">
          <cell r="S116">
            <v>40</v>
          </cell>
          <cell r="T116">
            <v>33</v>
          </cell>
          <cell r="U116">
            <v>38</v>
          </cell>
          <cell r="V116">
            <v>40.76</v>
          </cell>
          <cell r="W116">
            <v>54</v>
          </cell>
          <cell r="X116">
            <v>36</v>
          </cell>
          <cell r="Y116">
            <v>45.87</v>
          </cell>
          <cell r="Z116">
            <v>58.35</v>
          </cell>
          <cell r="AA116">
            <v>26.9</v>
          </cell>
          <cell r="AB116">
            <v>73.08</v>
          </cell>
          <cell r="AC116">
            <v>15.515162820757276</v>
          </cell>
          <cell r="AD116">
            <v>17.589755161114937</v>
          </cell>
          <cell r="AE116">
            <v>28.447345668360651</v>
          </cell>
          <cell r="AF116">
            <v>-1.0099043615745145</v>
          </cell>
          <cell r="AG116">
            <v>25.806522835024026</v>
          </cell>
          <cell r="AH116">
            <v>15.314523771441227</v>
          </cell>
          <cell r="AI116">
            <v>15.835946506545637</v>
          </cell>
          <cell r="AJ116">
            <v>12.598339524740577</v>
          </cell>
          <cell r="AK116">
            <v>12.861733991943488</v>
          </cell>
          <cell r="AL116">
            <v>15.417905259346703</v>
          </cell>
          <cell r="AM116">
            <v>14.000273458146243</v>
          </cell>
          <cell r="AN116">
            <v>14.763654754580482</v>
          </cell>
          <cell r="AO116">
            <v>13.728007779430538</v>
          </cell>
          <cell r="AP116">
            <v>13.262453693182479</v>
          </cell>
          <cell r="AQ116">
            <v>13.1983109550031</v>
          </cell>
          <cell r="AR116">
            <v>13.1983109550031</v>
          </cell>
          <cell r="AS116">
            <v>13.1983109550031</v>
          </cell>
          <cell r="AT116">
            <v>13.1983109550031</v>
          </cell>
          <cell r="AU116">
            <v>13.1983109550031</v>
          </cell>
          <cell r="AV116">
            <v>13.1983109550031</v>
          </cell>
          <cell r="AW116">
            <v>13.1983109550031</v>
          </cell>
        </row>
      </sheetData>
      <sheetData sheetId="18"/>
      <sheetData sheetId="19"/>
      <sheetData sheetId="20"/>
      <sheetData sheetId="21"/>
      <sheetData sheetId="22">
        <row r="242">
          <cell r="T242">
            <v>31</v>
          </cell>
          <cell r="U242">
            <v>14</v>
          </cell>
          <cell r="V242">
            <v>13</v>
          </cell>
          <cell r="W242">
            <v>12.46</v>
          </cell>
          <cell r="X242">
            <v>18</v>
          </cell>
          <cell r="Y242">
            <v>20.2</v>
          </cell>
          <cell r="Z242">
            <v>19.579999999999998</v>
          </cell>
          <cell r="AA242">
            <v>16.82</v>
          </cell>
          <cell r="AB242">
            <v>14.99</v>
          </cell>
          <cell r="AC242">
            <v>21</v>
          </cell>
          <cell r="AD242">
            <v>13.856086855318358</v>
          </cell>
          <cell r="AE242">
            <v>14.036830680131867</v>
          </cell>
          <cell r="AF242">
            <v>13.397368060732608</v>
          </cell>
          <cell r="AG242">
            <v>21.908444806482599</v>
          </cell>
          <cell r="AH242">
            <v>14.900730858933818</v>
          </cell>
          <cell r="AI242">
            <v>13.985179204453871</v>
          </cell>
          <cell r="AJ242">
            <v>14.505011281650251</v>
          </cell>
          <cell r="AK242">
            <v>11.801217506738839</v>
          </cell>
          <cell r="AL242">
            <v>13.746525687674024</v>
          </cell>
          <cell r="AM242">
            <v>13.08527186204333</v>
          </cell>
          <cell r="AN242">
            <v>13.063378799257698</v>
          </cell>
          <cell r="AO242">
            <v>13.826249545200316</v>
          </cell>
          <cell r="AP242">
            <v>12.911143308052175</v>
          </cell>
          <cell r="AQ242">
            <v>12.81308665438679</v>
          </cell>
          <cell r="AR242">
            <v>12.188104544594934</v>
          </cell>
          <cell r="AS242">
            <v>10.223027930155153</v>
          </cell>
          <cell r="AT242">
            <v>8.3019968806139826</v>
          </cell>
          <cell r="AU242">
            <v>8.1497314990188414</v>
          </cell>
          <cell r="AV242">
            <v>8.1497314990188414</v>
          </cell>
          <cell r="AW242">
            <v>8.1497314990188414</v>
          </cell>
          <cell r="AX242">
            <v>8.1497314990188414</v>
          </cell>
        </row>
        <row r="243">
          <cell r="T243">
            <v>13</v>
          </cell>
          <cell r="U243">
            <v>11</v>
          </cell>
          <cell r="V243">
            <v>11</v>
          </cell>
          <cell r="W243">
            <v>14.9</v>
          </cell>
          <cell r="X243">
            <v>17</v>
          </cell>
          <cell r="Y243">
            <v>20.21</v>
          </cell>
          <cell r="Z243">
            <v>23.51</v>
          </cell>
          <cell r="AA243">
            <v>12.69</v>
          </cell>
          <cell r="AB243">
            <v>12.42</v>
          </cell>
          <cell r="AC243">
            <v>14</v>
          </cell>
          <cell r="AD243">
            <v>15.474356610903197</v>
          </cell>
          <cell r="AE243">
            <v>16.366640745613111</v>
          </cell>
          <cell r="AF243">
            <v>17.847896514098561</v>
          </cell>
          <cell r="AG243">
            <v>19.237162671071015</v>
          </cell>
          <cell r="AH243">
            <v>15.368052922590573</v>
          </cell>
          <cell r="AI243">
            <v>14.983434581159676</v>
          </cell>
          <cell r="AJ243">
            <v>15.436716026886806</v>
          </cell>
          <cell r="AK243">
            <v>12.372357066408526</v>
          </cell>
          <cell r="AL243">
            <v>13.853509914956829</v>
          </cell>
          <cell r="AM243">
            <v>13.671749568179004</v>
          </cell>
          <cell r="AN243">
            <v>13.674444672245723</v>
          </cell>
          <cell r="AO243">
            <v>14.410007871260763</v>
          </cell>
          <cell r="AP243">
            <v>13.401747600927882</v>
          </cell>
          <cell r="AQ243">
            <v>13.270734573183534</v>
          </cell>
          <cell r="AR243">
            <v>12.695501809054006</v>
          </cell>
          <cell r="AS243">
            <v>10.643125795940016</v>
          </cell>
          <cell r="AT243">
            <v>8.6359521608774017</v>
          </cell>
          <cell r="AU243">
            <v>8.4746566097232332</v>
          </cell>
          <cell r="AV243">
            <v>8.4746566097232332</v>
          </cell>
          <cell r="AW243">
            <v>8.4746566097232332</v>
          </cell>
          <cell r="AX243">
            <v>8.4746566097232332</v>
          </cell>
        </row>
        <row r="244">
          <cell r="T244">
            <v>15</v>
          </cell>
          <cell r="U244">
            <v>9</v>
          </cell>
          <cell r="V244">
            <v>11</v>
          </cell>
          <cell r="W244">
            <v>11.83</v>
          </cell>
          <cell r="X244">
            <v>15</v>
          </cell>
          <cell r="Y244">
            <v>17.079999999999998</v>
          </cell>
          <cell r="Z244">
            <v>12.53</v>
          </cell>
          <cell r="AA244">
            <v>9.93</v>
          </cell>
          <cell r="AB244">
            <v>10.82</v>
          </cell>
          <cell r="AC244">
            <v>7</v>
          </cell>
          <cell r="AD244">
            <v>18.657485713200082</v>
          </cell>
          <cell r="AE244">
            <v>15.954255006775046</v>
          </cell>
          <cell r="AF244">
            <v>12.888400545977545</v>
          </cell>
          <cell r="AG244">
            <v>13.64741544633336</v>
          </cell>
          <cell r="AH244">
            <v>23.633255679763931</v>
          </cell>
          <cell r="AI244">
            <v>13.544145211299982</v>
          </cell>
          <cell r="AJ244">
            <v>14.924307272079021</v>
          </cell>
          <cell r="AK244">
            <v>11.871234502191745</v>
          </cell>
          <cell r="AL244">
            <v>14.027285127221568</v>
          </cell>
          <cell r="AM244">
            <v>14.843467460589045</v>
          </cell>
          <cell r="AN244">
            <v>13.460300657503662</v>
          </cell>
          <cell r="AO244">
            <v>14.418856336180362</v>
          </cell>
          <cell r="AP244">
            <v>11.749555433163563</v>
          </cell>
          <cell r="AQ244">
            <v>12.531106852712284</v>
          </cell>
          <cell r="AR244">
            <v>11.876850877597084</v>
          </cell>
          <cell r="AS244">
            <v>10.092124885842606</v>
          </cell>
          <cell r="AT244">
            <v>8.118302230382799</v>
          </cell>
          <cell r="AU244">
            <v>7.8415582661058281</v>
          </cell>
          <cell r="AV244">
            <v>7.8415582661058281</v>
          </cell>
          <cell r="AW244">
            <v>7.8415582661058281</v>
          </cell>
          <cell r="AX244">
            <v>7.8415582661058281</v>
          </cell>
        </row>
        <row r="245">
          <cell r="S245">
            <v>14</v>
          </cell>
          <cell r="T245">
            <v>20</v>
          </cell>
          <cell r="U245">
            <v>7</v>
          </cell>
          <cell r="V245">
            <v>2</v>
          </cell>
          <cell r="W245">
            <v>11</v>
          </cell>
          <cell r="X245">
            <v>10.55</v>
          </cell>
          <cell r="Y245">
            <v>6.92</v>
          </cell>
          <cell r="Z245">
            <v>5.85</v>
          </cell>
          <cell r="AA245">
            <v>13.3016666666667</v>
          </cell>
          <cell r="AB245">
            <v>11</v>
          </cell>
          <cell r="AC245">
            <v>33.534999999999997</v>
          </cell>
          <cell r="AD245">
            <v>13.810885546858449</v>
          </cell>
          <cell r="AE245">
            <v>12.668129782598223</v>
          </cell>
          <cell r="AF245">
            <v>15.967255106517104</v>
          </cell>
          <cell r="AG245">
            <v>16.180423627331475</v>
          </cell>
          <cell r="AH245">
            <v>12.914893849591342</v>
          </cell>
          <cell r="AI245">
            <v>14.17086554027679</v>
          </cell>
          <cell r="AJ245">
            <v>11.547391336191767</v>
          </cell>
          <cell r="AK245">
            <v>13.405868159591273</v>
          </cell>
          <cell r="AL245">
            <v>13.383821838390492</v>
          </cell>
          <cell r="AM245">
            <v>12.821276161321808</v>
          </cell>
          <cell r="AN245">
            <v>13.638521596037867</v>
          </cell>
          <cell r="AO245">
            <v>15.848634081537798</v>
          </cell>
          <cell r="AP245">
            <v>14.029044679247431</v>
          </cell>
          <cell r="AQ245">
            <v>13.864736893819449</v>
          </cell>
          <cell r="AR245">
            <v>11.036389875188252</v>
          </cell>
          <cell r="AS245">
            <v>9.1083961171529602</v>
          </cell>
          <cell r="AT245">
            <v>9.1611061857798664</v>
          </cell>
          <cell r="AU245">
            <v>8.9452779764852863</v>
          </cell>
          <cell r="AV245">
            <v>8.9452779764852863</v>
          </cell>
          <cell r="AW245">
            <v>8.9452779764852863</v>
          </cell>
        </row>
        <row r="246">
          <cell r="S246">
            <v>14</v>
          </cell>
          <cell r="T246">
            <v>8</v>
          </cell>
          <cell r="U246">
            <v>8</v>
          </cell>
          <cell r="V246">
            <v>6</v>
          </cell>
          <cell r="W246">
            <v>9</v>
          </cell>
          <cell r="X246">
            <v>11.39</v>
          </cell>
          <cell r="Y246">
            <v>9.74</v>
          </cell>
          <cell r="Z246">
            <v>6.35</v>
          </cell>
          <cell r="AA246">
            <v>16</v>
          </cell>
          <cell r="AB246">
            <v>11.87</v>
          </cell>
          <cell r="AC246">
            <v>34.244999999999997</v>
          </cell>
          <cell r="AD246">
            <v>11.639601875815378</v>
          </cell>
          <cell r="AE246">
            <v>9.6003876941036772</v>
          </cell>
          <cell r="AF246">
            <v>9.868403647004131</v>
          </cell>
          <cell r="AG246">
            <v>10.221550460502892</v>
          </cell>
          <cell r="AH246">
            <v>15.675582619687429</v>
          </cell>
          <cell r="AI246">
            <v>11.027516129823772</v>
          </cell>
          <cell r="AJ246">
            <v>8.8376469809423313</v>
          </cell>
          <cell r="AK246">
            <v>10.355933461744742</v>
          </cell>
          <cell r="AL246">
            <v>10.58181944672919</v>
          </cell>
          <cell r="AM246">
            <v>10.882231013438432</v>
          </cell>
          <cell r="AN246">
            <v>10.786620856769092</v>
          </cell>
          <cell r="AO246">
            <v>10.114507716454098</v>
          </cell>
          <cell r="AP246">
            <v>9.8646823974390045</v>
          </cell>
          <cell r="AQ246">
            <v>9.6710759035271465</v>
          </cell>
          <cell r="AR246">
            <v>8.0711835128510607</v>
          </cell>
          <cell r="AS246">
            <v>6.4633724148521585</v>
          </cell>
          <cell r="AT246">
            <v>6.3387189223332365</v>
          </cell>
          <cell r="AU246">
            <v>6.1893838609896168</v>
          </cell>
          <cell r="AV246">
            <v>6.1893838609896168</v>
          </cell>
          <cell r="AW246">
            <v>6.1893838609896168</v>
          </cell>
        </row>
        <row r="247">
          <cell r="S247">
            <v>19</v>
          </cell>
          <cell r="T247">
            <v>11</v>
          </cell>
          <cell r="U247">
            <v>9</v>
          </cell>
          <cell r="V247">
            <v>13</v>
          </cell>
          <cell r="W247">
            <v>8</v>
          </cell>
          <cell r="X247">
            <v>14.77</v>
          </cell>
          <cell r="Y247">
            <v>13.22</v>
          </cell>
          <cell r="Z247">
            <v>4.81005859375</v>
          </cell>
          <cell r="AA247">
            <v>8</v>
          </cell>
          <cell r="AB247">
            <v>23.6</v>
          </cell>
          <cell r="AC247">
            <v>43.158000000000001</v>
          </cell>
          <cell r="AD247">
            <v>13.945280767206244</v>
          </cell>
          <cell r="AE247">
            <v>6.9373389872466005</v>
          </cell>
          <cell r="AF247">
            <v>17.858638578776393</v>
          </cell>
          <cell r="AG247">
            <v>14.394613433946333</v>
          </cell>
          <cell r="AH247">
            <v>17.227451362410932</v>
          </cell>
          <cell r="AI247">
            <v>13.451198073708261</v>
          </cell>
          <cell r="AJ247">
            <v>10.789592136674129</v>
          </cell>
          <cell r="AK247">
            <v>13.241598509441532</v>
          </cell>
          <cell r="AL247">
            <v>13.056718300064835</v>
          </cell>
          <cell r="AM247">
            <v>13.111869702445436</v>
          </cell>
          <cell r="AN247">
            <v>13.287724200233162</v>
          </cell>
          <cell r="AO247">
            <v>12.479196950745965</v>
          </cell>
          <cell r="AP247">
            <v>12.194794975999296</v>
          </cell>
          <cell r="AQ247">
            <v>11.874826061390737</v>
          </cell>
          <cell r="AR247">
            <v>9.9016110968795452</v>
          </cell>
          <cell r="AS247">
            <v>7.9588695120417245</v>
          </cell>
          <cell r="AT247">
            <v>7.8045846816924866</v>
          </cell>
          <cell r="AU247">
            <v>7.620715015521359</v>
          </cell>
          <cell r="AV247">
            <v>7.620715015521359</v>
          </cell>
          <cell r="AW247">
            <v>7.620715015521359</v>
          </cell>
        </row>
        <row r="248">
          <cell r="S248">
            <v>15</v>
          </cell>
          <cell r="T248">
            <v>13</v>
          </cell>
          <cell r="U248">
            <v>15</v>
          </cell>
          <cell r="V248">
            <v>17</v>
          </cell>
          <cell r="W248">
            <v>16</v>
          </cell>
          <cell r="X248">
            <v>19.149999999999999</v>
          </cell>
          <cell r="Y248">
            <v>13.39</v>
          </cell>
          <cell r="Z248">
            <v>7.9830322265625</v>
          </cell>
          <cell r="AA248">
            <v>9.27</v>
          </cell>
          <cell r="AB248">
            <v>8.3990441310971509</v>
          </cell>
          <cell r="AC248">
            <v>36.418999999999997</v>
          </cell>
          <cell r="AD248">
            <v>11.616042093179136</v>
          </cell>
          <cell r="AE248">
            <v>6.8940717767666522</v>
          </cell>
          <cell r="AF248">
            <v>24.533619768693136</v>
          </cell>
          <cell r="AG248">
            <v>11.186231930932186</v>
          </cell>
          <cell r="AH248">
            <v>16.18708843135526</v>
          </cell>
          <cell r="AI248">
            <v>13.215581390226042</v>
          </cell>
          <cell r="AJ248">
            <v>10.954398128703961</v>
          </cell>
          <cell r="AK248">
            <v>14.058243982460764</v>
          </cell>
          <cell r="AL248">
            <v>12.51562719117703</v>
          </cell>
          <cell r="AM248">
            <v>12.973004553163767</v>
          </cell>
          <cell r="AN248">
            <v>13.299219348949578</v>
          </cell>
          <cell r="AO248">
            <v>12.553022741118081</v>
          </cell>
          <cell r="AP248">
            <v>12.246372186976583</v>
          </cell>
          <cell r="AQ248">
            <v>11.791235914475232</v>
          </cell>
          <cell r="AR248">
            <v>9.9088783313918043</v>
          </cell>
          <cell r="AS248">
            <v>8.0013765268123986</v>
          </cell>
          <cell r="AT248">
            <v>7.8575714268506625</v>
          </cell>
          <cell r="AU248">
            <v>7.672453436067646</v>
          </cell>
          <cell r="AV248">
            <v>7.672453436067646</v>
          </cell>
          <cell r="AW248">
            <v>7.672453436067646</v>
          </cell>
        </row>
        <row r="249">
          <cell r="S249">
            <v>16</v>
          </cell>
          <cell r="T249">
            <v>16</v>
          </cell>
          <cell r="U249">
            <v>20</v>
          </cell>
          <cell r="V249">
            <v>23</v>
          </cell>
          <cell r="W249">
            <v>14</v>
          </cell>
          <cell r="X249">
            <v>20.41</v>
          </cell>
          <cell r="Y249">
            <v>12.64</v>
          </cell>
          <cell r="Z249">
            <v>8.31</v>
          </cell>
          <cell r="AA249">
            <v>19.079999999999998</v>
          </cell>
          <cell r="AB249">
            <v>8.5299999999999994</v>
          </cell>
          <cell r="AC249">
            <v>31.837</v>
          </cell>
          <cell r="AD249">
            <v>7.7839089713121261</v>
          </cell>
          <cell r="AE249">
            <v>7.8819898722625243</v>
          </cell>
          <cell r="AF249">
            <v>18.369841190357018</v>
          </cell>
          <cell r="AG249">
            <v>9.2415305284072531</v>
          </cell>
          <cell r="AH249">
            <v>13.495604731661501</v>
          </cell>
          <cell r="AI249">
            <v>10.695639497318554</v>
          </cell>
          <cell r="AJ249">
            <v>9.1228460089417869</v>
          </cell>
          <cell r="AK249">
            <v>10.975301481922109</v>
          </cell>
          <cell r="AL249">
            <v>10.19319477618912</v>
          </cell>
          <cell r="AM249">
            <v>10.56466908721195</v>
          </cell>
          <cell r="AN249">
            <v>10.771740991905622</v>
          </cell>
          <cell r="AO249">
            <v>10.16570994958122</v>
          </cell>
          <cell r="AP249">
            <v>9.865349519060377</v>
          </cell>
          <cell r="AQ249">
            <v>9.5608212730475888</v>
          </cell>
          <cell r="AR249">
            <v>8.0276617848903609</v>
          </cell>
          <cell r="AS249">
            <v>6.4753469827169354</v>
          </cell>
          <cell r="AT249">
            <v>6.3574676714790508</v>
          </cell>
          <cell r="AU249">
            <v>6.2076909048574231</v>
          </cell>
          <cell r="AV249">
            <v>6.2076909048574231</v>
          </cell>
          <cell r="AW249">
            <v>6.2076909048574231</v>
          </cell>
        </row>
        <row r="250">
          <cell r="S250">
            <v>23</v>
          </cell>
          <cell r="T250">
            <v>14</v>
          </cell>
          <cell r="U250">
            <v>19</v>
          </cell>
          <cell r="V250">
            <v>17.78</v>
          </cell>
          <cell r="W250">
            <v>20</v>
          </cell>
          <cell r="X250">
            <v>17.46</v>
          </cell>
          <cell r="Y250">
            <v>15.21</v>
          </cell>
          <cell r="Z250">
            <v>9.51</v>
          </cell>
          <cell r="AA250">
            <v>15.52</v>
          </cell>
          <cell r="AB250">
            <v>7.2971325904147903</v>
          </cell>
          <cell r="AC250">
            <v>19.489000000000001</v>
          </cell>
          <cell r="AD250">
            <v>7.6405620942472385</v>
          </cell>
          <cell r="AE250">
            <v>9.3664648656530964</v>
          </cell>
          <cell r="AF250">
            <v>18.674778867115887</v>
          </cell>
          <cell r="AG250">
            <v>12.184285865948224</v>
          </cell>
          <cell r="AH250">
            <v>12.057458411821838</v>
          </cell>
          <cell r="AI250">
            <v>11.137932044701694</v>
          </cell>
          <cell r="AJ250">
            <v>9.5651082039327378</v>
          </cell>
          <cell r="AK250">
            <v>11.382475768471249</v>
          </cell>
          <cell r="AL250">
            <v>10.703883362899379</v>
          </cell>
          <cell r="AM250">
            <v>10.666557836647916</v>
          </cell>
          <cell r="AN250">
            <v>11.172833945693332</v>
          </cell>
          <cell r="AO250">
            <v>10.537676920654507</v>
          </cell>
          <cell r="AP250">
            <v>10.203502805731105</v>
          </cell>
          <cell r="AQ250">
            <v>9.8838193068364699</v>
          </cell>
          <cell r="AR250">
            <v>8.2750187019447665</v>
          </cell>
          <cell r="AS250">
            <v>6.7066293230204277</v>
          </cell>
          <cell r="AT250">
            <v>6.5831677312212182</v>
          </cell>
          <cell r="AU250">
            <v>6.4280736547961688</v>
          </cell>
          <cell r="AV250">
            <v>6.4280736547961688</v>
          </cell>
          <cell r="AW250">
            <v>6.4280736547961688</v>
          </cell>
        </row>
        <row r="251">
          <cell r="S251">
            <v>26</v>
          </cell>
          <cell r="T251">
            <v>20</v>
          </cell>
          <cell r="U251">
            <v>17</v>
          </cell>
          <cell r="V251">
            <v>21.67</v>
          </cell>
          <cell r="W251">
            <v>18</v>
          </cell>
          <cell r="X251">
            <v>20.59</v>
          </cell>
          <cell r="Y251">
            <v>17</v>
          </cell>
          <cell r="Z251">
            <v>11.67</v>
          </cell>
          <cell r="AA251">
            <v>17.57</v>
          </cell>
          <cell r="AB251">
            <v>9.5444244326531162</v>
          </cell>
          <cell r="AC251">
            <v>21.032</v>
          </cell>
          <cell r="AD251">
            <v>9.4493116801392887</v>
          </cell>
          <cell r="AE251">
            <v>6.8679904007033183</v>
          </cell>
          <cell r="AF251">
            <v>20.385783219984223</v>
          </cell>
          <cell r="AG251">
            <v>12.40917082096659</v>
          </cell>
          <cell r="AH251">
            <v>12.532552040066204</v>
          </cell>
          <cell r="AI251">
            <v>11.438495907739108</v>
          </cell>
          <cell r="AJ251">
            <v>9.5368600344324683</v>
          </cell>
          <cell r="AK251">
            <v>11.723703035896836</v>
          </cell>
          <cell r="AL251">
            <v>10.931951566240857</v>
          </cell>
          <cell r="AM251">
            <v>10.91800457442627</v>
          </cell>
          <cell r="AN251">
            <v>11.398872023878656</v>
          </cell>
          <cell r="AO251">
            <v>10.734420634606948</v>
          </cell>
          <cell r="AP251">
            <v>10.437807570154691</v>
          </cell>
          <cell r="AQ251">
            <v>10.095718985334061</v>
          </cell>
          <cell r="AR251">
            <v>8.4529222439153244</v>
          </cell>
          <cell r="AS251">
            <v>6.8484163231167638</v>
          </cell>
          <cell r="AT251">
            <v>6.72333534381404</v>
          </cell>
          <cell r="AU251">
            <v>6.5649390324608587</v>
          </cell>
          <cell r="AV251">
            <v>6.5649390324608587</v>
          </cell>
          <cell r="AW251">
            <v>6.5649390324608587</v>
          </cell>
        </row>
        <row r="252">
          <cell r="S252">
            <v>34</v>
          </cell>
          <cell r="T252">
            <v>21</v>
          </cell>
          <cell r="U252">
            <v>17</v>
          </cell>
          <cell r="V252">
            <v>15.43</v>
          </cell>
          <cell r="W252">
            <v>21</v>
          </cell>
          <cell r="X252">
            <v>26.83</v>
          </cell>
          <cell r="Y252">
            <v>18.13</v>
          </cell>
          <cell r="Z252">
            <v>19.25</v>
          </cell>
          <cell r="AA252">
            <v>15.52</v>
          </cell>
          <cell r="AB252">
            <v>22.863427142127684</v>
          </cell>
          <cell r="AC252">
            <v>18.109000000000002</v>
          </cell>
          <cell r="AD252">
            <v>10.949932258344866</v>
          </cell>
          <cell r="AE252">
            <v>13.37347180378473</v>
          </cell>
          <cell r="AF252">
            <v>22.050831728015009</v>
          </cell>
          <cell r="AG252">
            <v>16.969755690647993</v>
          </cell>
          <cell r="AH252">
            <v>14.602564853437045</v>
          </cell>
          <cell r="AI252">
            <v>14.369874537528766</v>
          </cell>
          <cell r="AJ252">
            <v>12.105789612648694</v>
          </cell>
          <cell r="AK252">
            <v>14.208149363127417</v>
          </cell>
          <cell r="AL252">
            <v>13.700986310483849</v>
          </cell>
          <cell r="AM252">
            <v>13.429304192510191</v>
          </cell>
          <cell r="AN252">
            <v>14.175448260249036</v>
          </cell>
          <cell r="AO252">
            <v>13.324956510762949</v>
          </cell>
          <cell r="AP252">
            <v>12.896429842048372</v>
          </cell>
          <cell r="AQ252">
            <v>12.525503593026972</v>
          </cell>
          <cell r="AR252">
            <v>10.466321570215136</v>
          </cell>
          <cell r="AS252">
            <v>8.4911038330442139</v>
          </cell>
          <cell r="AT252">
            <v>8.3314841723948501</v>
          </cell>
          <cell r="AU252">
            <v>8.1352011828487534</v>
          </cell>
          <cell r="AV252">
            <v>8.1352011828487534</v>
          </cell>
          <cell r="AW252">
            <v>8.1352011828487534</v>
          </cell>
        </row>
        <row r="253">
          <cell r="S253">
            <v>20</v>
          </cell>
          <cell r="T253">
            <v>19</v>
          </cell>
          <cell r="U253">
            <v>14</v>
          </cell>
          <cell r="V253">
            <v>17.54</v>
          </cell>
          <cell r="W253">
            <v>23</v>
          </cell>
          <cell r="X253">
            <v>21.03</v>
          </cell>
          <cell r="Y253">
            <v>13.09</v>
          </cell>
          <cell r="Z253">
            <v>16.55</v>
          </cell>
          <cell r="AA253">
            <v>10.51</v>
          </cell>
          <cell r="AB253">
            <v>22.84</v>
          </cell>
          <cell r="AC253">
            <v>17.348973118689422</v>
          </cell>
          <cell r="AD253">
            <v>12.499562364605062</v>
          </cell>
          <cell r="AE253">
            <v>14.148829436907954</v>
          </cell>
          <cell r="AF253">
            <v>23.073462483975153</v>
          </cell>
          <cell r="AG253">
            <v>17.203593915142502</v>
          </cell>
          <cell r="AH253">
            <v>15.030862402204335</v>
          </cell>
          <cell r="AI253">
            <v>15.091546648830613</v>
          </cell>
          <cell r="AJ253">
            <v>12.596513495765413</v>
          </cell>
          <cell r="AK253">
            <v>15.086568601064444</v>
          </cell>
          <cell r="AL253">
            <v>14.224705762398962</v>
          </cell>
          <cell r="AM253">
            <v>14.014886709752894</v>
          </cell>
          <cell r="AN253">
            <v>14.837344729718675</v>
          </cell>
          <cell r="AO253">
            <v>13.939602785689589</v>
          </cell>
          <cell r="AP253">
            <v>13.508525402299592</v>
          </cell>
          <cell r="AQ253">
            <v>13.083134987771023</v>
          </cell>
          <cell r="AR253">
            <v>10.946379816163127</v>
          </cell>
          <cell r="AS253">
            <v>8.8860296628450559</v>
          </cell>
          <cell r="AT253">
            <v>8.7184515452424236</v>
          </cell>
          <cell r="AU253">
            <v>8.5130519191850329</v>
          </cell>
          <cell r="AV253">
            <v>8.5130519191850329</v>
          </cell>
          <cell r="AW253">
            <v>8.5130519191850329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dnav/pet/hist/LeafHandler.ashx?n=PET&amp;s=M_EPOORXFE_YNP_NUS_MBBL&amp;f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DF14-F17D-4762-A7BB-EFA45BC05C85}">
  <dimension ref="A1"/>
  <sheetViews>
    <sheetView zoomScale="85" zoomScaleNormal="85" workbookViewId="0">
      <selection activeCell="P67" sqref="P6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8E49-9A3D-4635-BD24-7B3EB22C075B}">
  <dimension ref="A1:L171"/>
  <sheetViews>
    <sheetView workbookViewId="0">
      <pane xSplit="1" ySplit="1" topLeftCell="B62" activePane="bottomRight" state="frozen"/>
      <selection activeCell="P67" sqref="P67"/>
      <selection pane="topRight" activeCell="P67" sqref="P67"/>
      <selection pane="bottomLeft" activeCell="P67" sqref="P67"/>
      <selection pane="bottomRight" activeCell="P67" sqref="P67"/>
    </sheetView>
  </sheetViews>
  <sheetFormatPr defaultRowHeight="15" x14ac:dyDescent="0.25"/>
  <cols>
    <col min="1" max="1" width="9.7109375" bestFit="1" customWidth="1"/>
    <col min="2" max="9" width="13.5703125" customWidth="1"/>
    <col min="11" max="11" width="11.85546875" bestFit="1" customWidth="1"/>
    <col min="12" max="12" width="10.8554687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0</v>
      </c>
      <c r="F1" t="s">
        <v>1</v>
      </c>
      <c r="K1" t="s">
        <v>0</v>
      </c>
      <c r="L1" t="s">
        <v>1</v>
      </c>
    </row>
    <row r="2" spans="1:12" x14ac:dyDescent="0.25">
      <c r="A2" s="1">
        <v>43831</v>
      </c>
      <c r="B2" s="2">
        <f>Biodiesel!L3</f>
        <v>118403817</v>
      </c>
      <c r="C2" s="2">
        <f>'Renewable Diesel'!L49</f>
        <v>41857492</v>
      </c>
      <c r="K2" s="2">
        <f>Biodiesel!L119</f>
        <v>13737888</v>
      </c>
      <c r="L2" s="2">
        <f>'Renewable Diesel'!L83</f>
        <v>22255917</v>
      </c>
    </row>
    <row r="3" spans="1:12" x14ac:dyDescent="0.25">
      <c r="A3" s="1">
        <v>43862</v>
      </c>
      <c r="B3" s="2">
        <f>Biodiesel!L4</f>
        <v>128033003</v>
      </c>
      <c r="C3" s="2">
        <f>'Renewable Diesel'!L50</f>
        <v>37300666</v>
      </c>
      <c r="K3" s="2">
        <f>Biodiesel!L120</f>
        <v>11466902</v>
      </c>
      <c r="L3" s="2">
        <f>'Renewable Diesel'!L84</f>
        <v>28371747</v>
      </c>
    </row>
    <row r="4" spans="1:12" x14ac:dyDescent="0.25">
      <c r="A4" s="1">
        <v>43891</v>
      </c>
      <c r="B4" s="2">
        <f>Biodiesel!L5</f>
        <v>150092678</v>
      </c>
      <c r="C4" s="2">
        <f>'Renewable Diesel'!L51</f>
        <v>45226785</v>
      </c>
      <c r="D4" s="2">
        <f>SUM(B2:C4)</f>
        <v>520914441</v>
      </c>
      <c r="E4" s="2">
        <f>SUM(B2:B4)</f>
        <v>396529498</v>
      </c>
      <c r="F4" s="2">
        <f>SUM(C2:C4)</f>
        <v>124384943</v>
      </c>
      <c r="G4" s="3">
        <f>E4/D4</f>
        <v>0.76121809416299135</v>
      </c>
      <c r="H4" s="3">
        <f>F4/D4</f>
        <v>0.23878190583700865</v>
      </c>
      <c r="K4" s="2">
        <f>Biodiesel!L121</f>
        <v>18577254</v>
      </c>
      <c r="L4" s="2">
        <f>'Renewable Diesel'!L85</f>
        <v>28003510</v>
      </c>
    </row>
    <row r="5" spans="1:12" x14ac:dyDescent="0.25">
      <c r="A5" s="1">
        <v>43922</v>
      </c>
      <c r="B5" s="2">
        <f>Biodiesel!L6</f>
        <v>149356126</v>
      </c>
      <c r="C5" s="2">
        <f>'Renewable Diesel'!L52</f>
        <v>38638856</v>
      </c>
      <c r="K5" s="2">
        <f>Biodiesel!L122</f>
        <v>18683140</v>
      </c>
      <c r="L5" s="2">
        <f>'Renewable Diesel'!L86</f>
        <v>34291717</v>
      </c>
    </row>
    <row r="6" spans="1:12" x14ac:dyDescent="0.25">
      <c r="A6" s="1">
        <v>43952</v>
      </c>
      <c r="B6" s="2">
        <f>Biodiesel!L7</f>
        <v>143174223</v>
      </c>
      <c r="C6" s="2">
        <f>'Renewable Diesel'!L53</f>
        <v>46421171</v>
      </c>
      <c r="K6" s="2">
        <f>Biodiesel!L123</f>
        <v>18646666</v>
      </c>
      <c r="L6" s="2">
        <f>'Renewable Diesel'!L87</f>
        <v>44731838</v>
      </c>
    </row>
    <row r="7" spans="1:12" x14ac:dyDescent="0.25">
      <c r="A7" s="1">
        <v>43983</v>
      </c>
      <c r="B7" s="2">
        <f>Biodiesel!L8</f>
        <v>165519330</v>
      </c>
      <c r="C7" s="2">
        <f>'Renewable Diesel'!L54</f>
        <v>53207936</v>
      </c>
      <c r="D7" s="2">
        <f>SUM(B5:C7)</f>
        <v>596317642</v>
      </c>
      <c r="E7" s="2">
        <f>SUM(B5:B7)</f>
        <v>458049679</v>
      </c>
      <c r="F7" s="2">
        <f>SUM(C5:C7)</f>
        <v>138267963</v>
      </c>
      <c r="G7" s="3">
        <f>E7/D7</f>
        <v>0.76813034989831808</v>
      </c>
      <c r="H7" s="3">
        <f>F7/D7</f>
        <v>0.2318696501016819</v>
      </c>
      <c r="K7" s="2">
        <f>Biodiesel!L124</f>
        <v>16749201</v>
      </c>
      <c r="L7" s="2">
        <f>'Renewable Diesel'!L88</f>
        <v>32703253</v>
      </c>
    </row>
    <row r="8" spans="1:12" x14ac:dyDescent="0.25">
      <c r="A8" s="1">
        <v>44013</v>
      </c>
      <c r="B8" s="2">
        <f>Biodiesel!L9</f>
        <v>162738265</v>
      </c>
      <c r="C8" s="2">
        <f>'Renewable Diesel'!L55</f>
        <v>46684399</v>
      </c>
      <c r="D8" s="4">
        <f>D7/D4-1</f>
        <v>0.14475160422745903</v>
      </c>
      <c r="E8" s="4">
        <f>E7/E4-1</f>
        <v>0.15514654347354506</v>
      </c>
      <c r="F8" s="4">
        <f>F7/F4-1</f>
        <v>0.11161334857065452</v>
      </c>
      <c r="G8" t="s">
        <v>3</v>
      </c>
      <c r="K8" s="2">
        <f>Biodiesel!L125</f>
        <v>19995093</v>
      </c>
      <c r="L8" s="2">
        <f>'Renewable Diesel'!L89</f>
        <v>31005857</v>
      </c>
    </row>
    <row r="9" spans="1:12" x14ac:dyDescent="0.25">
      <c r="A9" s="1">
        <v>44044</v>
      </c>
      <c r="B9" s="2">
        <f>Biodiesel!L10</f>
        <v>171493499</v>
      </c>
      <c r="C9" s="2">
        <f>'Renewable Diesel'!L56</f>
        <v>43952654</v>
      </c>
      <c r="K9" s="2">
        <f>Biodiesel!L126</f>
        <v>16351622</v>
      </c>
      <c r="L9" s="2">
        <f>'Renewable Diesel'!L90</f>
        <v>26890583</v>
      </c>
    </row>
    <row r="10" spans="1:12" x14ac:dyDescent="0.25">
      <c r="A10" s="1">
        <v>44075</v>
      </c>
      <c r="B10" s="2">
        <f>Biodiesel!L11</f>
        <v>167865219</v>
      </c>
      <c r="C10" s="2">
        <f>'Renewable Diesel'!L57</f>
        <v>48112771</v>
      </c>
      <c r="D10" s="2">
        <f>SUM(B8:C10)</f>
        <v>640846807</v>
      </c>
      <c r="E10" s="2">
        <f>SUM(B8:B10)</f>
        <v>502096983</v>
      </c>
      <c r="F10" s="2">
        <f>SUM(C8:C10)</f>
        <v>138749824</v>
      </c>
      <c r="G10" s="3">
        <f>E10/D10</f>
        <v>0.78348987233075185</v>
      </c>
      <c r="H10" s="3">
        <f>F10/D10</f>
        <v>0.2165101276692481</v>
      </c>
      <c r="K10" s="2">
        <f>Biodiesel!L127</f>
        <v>14054214</v>
      </c>
      <c r="L10" s="2">
        <f>'Renewable Diesel'!L91</f>
        <v>57289669</v>
      </c>
    </row>
    <row r="11" spans="1:12" x14ac:dyDescent="0.25">
      <c r="A11" s="1">
        <v>44105</v>
      </c>
      <c r="B11" s="2">
        <f>Biodiesel!L12</f>
        <v>149489760</v>
      </c>
      <c r="C11" s="2">
        <f>'Renewable Diesel'!L58</f>
        <v>25237496</v>
      </c>
      <c r="D11" s="4">
        <f>D10/D7-1</f>
        <v>7.4673566340671904E-2</v>
      </c>
      <c r="E11" s="4">
        <f>E10/E7-1</f>
        <v>9.6162722122549615E-2</v>
      </c>
      <c r="F11" s="4">
        <f>F10/F7-1</f>
        <v>3.4849793802198548E-3</v>
      </c>
      <c r="G11" t="s">
        <v>3</v>
      </c>
      <c r="K11" s="2">
        <f>Biodiesel!L128</f>
        <v>15282502</v>
      </c>
      <c r="L11" s="2">
        <f>'Renewable Diesel'!L92</f>
        <v>29749291</v>
      </c>
    </row>
    <row r="12" spans="1:12" x14ac:dyDescent="0.25">
      <c r="A12" s="1">
        <v>44136</v>
      </c>
      <c r="B12" s="2">
        <f>Biodiesel!L13</f>
        <v>142828517</v>
      </c>
      <c r="C12" s="2">
        <f>'Renewable Diesel'!L59</f>
        <v>49060129</v>
      </c>
      <c r="K12" s="2">
        <f>Biodiesel!L129</f>
        <v>21944490</v>
      </c>
      <c r="L12" s="2">
        <f>'Renewable Diesel'!L93</f>
        <v>41385175</v>
      </c>
    </row>
    <row r="13" spans="1:12" x14ac:dyDescent="0.25">
      <c r="A13" s="1">
        <v>44166</v>
      </c>
      <c r="B13" s="2">
        <f>Biodiesel!L14</f>
        <v>175881221</v>
      </c>
      <c r="C13" s="2">
        <f>'Renewable Diesel'!L60</f>
        <v>57807992</v>
      </c>
      <c r="D13" s="2">
        <f>SUM(B11:C13)</f>
        <v>600305115</v>
      </c>
      <c r="E13" s="2">
        <f>SUM(B11:B13)</f>
        <v>468199498</v>
      </c>
      <c r="F13" s="2">
        <f>SUM(C11:C13)</f>
        <v>132105617</v>
      </c>
      <c r="G13" s="3">
        <f>E13/D13</f>
        <v>0.77993587977340495</v>
      </c>
      <c r="H13" s="3">
        <f>F13/D13</f>
        <v>0.22006412022659511</v>
      </c>
      <c r="K13" s="2">
        <f>Biodiesel!L130</f>
        <v>24004702</v>
      </c>
      <c r="L13" s="2">
        <f>'Renewable Diesel'!L94</f>
        <v>39599341</v>
      </c>
    </row>
    <row r="14" spans="1:12" x14ac:dyDescent="0.25">
      <c r="A14" s="1">
        <v>44197</v>
      </c>
      <c r="B14" s="2">
        <f>Biodiesel!M3</f>
        <v>107302585</v>
      </c>
      <c r="C14" s="2">
        <f>'Renewable Diesel'!M49</f>
        <v>50374630</v>
      </c>
      <c r="D14" s="4">
        <f>D13/D10-1</f>
        <v>-6.3262688613193063E-2</v>
      </c>
      <c r="E14" s="4">
        <f>E13/E10-1</f>
        <v>-6.7511827690070025E-2</v>
      </c>
      <c r="F14" s="4">
        <f>F13/F10-1</f>
        <v>-4.788623731875874E-2</v>
      </c>
      <c r="G14" t="s">
        <v>3</v>
      </c>
      <c r="K14" s="2">
        <f>Biodiesel!M119</f>
        <v>8536219</v>
      </c>
      <c r="L14" s="2">
        <f>'Renewable Diesel'!M83</f>
        <v>29766577</v>
      </c>
    </row>
    <row r="15" spans="1:12" x14ac:dyDescent="0.25">
      <c r="A15" s="1">
        <v>44228</v>
      </c>
      <c r="B15" s="2">
        <f>Biodiesel!M4</f>
        <v>109881050</v>
      </c>
      <c r="C15" s="2">
        <f>'Renewable Diesel'!M50</f>
        <v>51175710</v>
      </c>
      <c r="D15" s="4" t="e">
        <f>D13/D1-1</f>
        <v>#VALUE!</v>
      </c>
      <c r="E15" s="4" t="e">
        <f>E13/E1-1</f>
        <v>#VALUE!</v>
      </c>
      <c r="F15" s="4" t="e">
        <f>F13/F1-1</f>
        <v>#VALUE!</v>
      </c>
      <c r="G15" t="s">
        <v>4</v>
      </c>
      <c r="K15" s="2">
        <f>Biodiesel!M120</f>
        <v>7661613</v>
      </c>
      <c r="L15" s="2">
        <f>'Renewable Diesel'!M84</f>
        <v>29679663</v>
      </c>
    </row>
    <row r="16" spans="1:12" x14ac:dyDescent="0.25">
      <c r="A16" s="1">
        <v>44256</v>
      </c>
      <c r="B16" s="2">
        <f>Biodiesel!M5</f>
        <v>150338931</v>
      </c>
      <c r="C16" s="2">
        <f>'Renewable Diesel'!M51</f>
        <v>59222033</v>
      </c>
      <c r="D16" s="2">
        <f>SUM(B14:C16)</f>
        <v>528294939</v>
      </c>
      <c r="E16" s="2">
        <f>SUM(B14:B16)</f>
        <v>367522566</v>
      </c>
      <c r="F16" s="2">
        <f>SUM(C14:C16)</f>
        <v>160772373</v>
      </c>
      <c r="G16" s="3">
        <f>E16/D16</f>
        <v>0.69567686318494149</v>
      </c>
      <c r="H16" s="3">
        <f>F16/D16</f>
        <v>0.30432313681505851</v>
      </c>
      <c r="K16" s="2">
        <f>Biodiesel!M121</f>
        <v>15146974</v>
      </c>
      <c r="L16" s="2">
        <f>'Renewable Diesel'!M85</f>
        <v>38324986</v>
      </c>
    </row>
    <row r="17" spans="1:12" x14ac:dyDescent="0.25">
      <c r="A17" s="1">
        <v>44287</v>
      </c>
      <c r="B17" s="2">
        <f>Biodiesel!M6</f>
        <v>144396494</v>
      </c>
      <c r="C17" s="2">
        <f>'Renewable Diesel'!M52</f>
        <v>50634433</v>
      </c>
      <c r="D17" s="4">
        <f>D16/D13-1</f>
        <v>-0.11995595939574832</v>
      </c>
      <c r="E17" s="4">
        <f>E16/E13-1</f>
        <v>-0.21502998706760679</v>
      </c>
      <c r="F17" s="4">
        <f>F16/F13-1</f>
        <v>0.21699876697899989</v>
      </c>
      <c r="G17" t="s">
        <v>3</v>
      </c>
      <c r="K17" s="2">
        <f>Biodiesel!M122</f>
        <v>17336621</v>
      </c>
      <c r="L17" s="2">
        <f>'Renewable Diesel'!M86</f>
        <v>40230238</v>
      </c>
    </row>
    <row r="18" spans="1:12" x14ac:dyDescent="0.25">
      <c r="A18" s="1">
        <v>44317</v>
      </c>
      <c r="B18" s="2">
        <f>Biodiesel!M7</f>
        <v>150501950</v>
      </c>
      <c r="C18" s="2">
        <f>'Renewable Diesel'!M53</f>
        <v>60051437</v>
      </c>
      <c r="D18" s="4">
        <f>D16/D4-1</f>
        <v>1.4168349769362543E-2</v>
      </c>
      <c r="E18" s="4">
        <f>E16/E4-1</f>
        <v>-7.315201554059414E-2</v>
      </c>
      <c r="F18" s="4">
        <f>F16/F4-1</f>
        <v>0.29253886461161138</v>
      </c>
      <c r="G18" t="s">
        <v>4</v>
      </c>
      <c r="K18" s="2">
        <f>Biodiesel!M123</f>
        <v>13326443</v>
      </c>
      <c r="L18" s="2">
        <f>'Renewable Diesel'!M87</f>
        <v>38319787</v>
      </c>
    </row>
    <row r="19" spans="1:12" x14ac:dyDescent="0.25">
      <c r="A19" s="1">
        <v>44348</v>
      </c>
      <c r="B19" s="2">
        <f>Biodiesel!M8</f>
        <v>154457118</v>
      </c>
      <c r="C19" s="2">
        <f>'Renewable Diesel'!M54</f>
        <v>68859545</v>
      </c>
      <c r="D19" s="2">
        <f>SUM(B17:C19)</f>
        <v>628900977</v>
      </c>
      <c r="E19" s="2">
        <f>SUM(B17:B19)</f>
        <v>449355562</v>
      </c>
      <c r="F19" s="2">
        <f>SUM(C17:C19)</f>
        <v>179545415</v>
      </c>
      <c r="G19" s="3">
        <f>E19/D19</f>
        <v>0.71450924459288923</v>
      </c>
      <c r="H19" s="3">
        <f>F19/D19</f>
        <v>0.28549075540711077</v>
      </c>
      <c r="K19" s="2">
        <f>Biodiesel!M124</f>
        <v>17588416</v>
      </c>
      <c r="L19" s="2">
        <f>'Renewable Diesel'!M88</f>
        <v>43794216</v>
      </c>
    </row>
    <row r="20" spans="1:12" x14ac:dyDescent="0.25">
      <c r="A20" s="1">
        <v>44378</v>
      </c>
      <c r="B20" s="2">
        <f>Biodiesel!M9</f>
        <v>146890338</v>
      </c>
      <c r="C20" s="2">
        <f>'Renewable Diesel'!M55</f>
        <v>69500573</v>
      </c>
      <c r="D20" s="4">
        <f>D19/D16-1</f>
        <v>0.19043536209231027</v>
      </c>
      <c r="E20" s="4">
        <f>E19/E16-1</f>
        <v>0.22266114674438797</v>
      </c>
      <c r="F20" s="4">
        <f>F19/F16-1</f>
        <v>0.11676783547879843</v>
      </c>
      <c r="G20" t="s">
        <v>3</v>
      </c>
      <c r="K20" s="2">
        <f>Biodiesel!M125</f>
        <v>15382342</v>
      </c>
      <c r="L20" s="2">
        <f>'Renewable Diesel'!M89</f>
        <v>10928155</v>
      </c>
    </row>
    <row r="21" spans="1:12" x14ac:dyDescent="0.25">
      <c r="A21" s="1">
        <v>44409</v>
      </c>
      <c r="B21" s="2">
        <f>Biodiesel!M10</f>
        <v>154582245</v>
      </c>
      <c r="C21" s="2">
        <f>'Renewable Diesel'!M56</f>
        <v>82392520</v>
      </c>
      <c r="D21" s="4">
        <f>D19/D7-1</f>
        <v>5.4640903949643604E-2</v>
      </c>
      <c r="E21" s="4">
        <f>E19/E7-1</f>
        <v>-1.8980729380666195E-2</v>
      </c>
      <c r="F21" s="4">
        <f>F19/F7-1</f>
        <v>0.29853229269024517</v>
      </c>
      <c r="G21" t="s">
        <v>4</v>
      </c>
      <c r="K21" s="2">
        <f>Biodiesel!M126</f>
        <v>11048139</v>
      </c>
      <c r="L21" s="2">
        <f>'Renewable Diesel'!M90</f>
        <v>34357948</v>
      </c>
    </row>
    <row r="22" spans="1:12" x14ac:dyDescent="0.25">
      <c r="A22" s="1">
        <v>44440</v>
      </c>
      <c r="B22" s="2">
        <f>Biodiesel!M11</f>
        <v>139934774</v>
      </c>
      <c r="C22" s="2">
        <f>'Renewable Diesel'!M57</f>
        <v>55747506</v>
      </c>
      <c r="D22" s="2">
        <f>SUM(B20:C22)</f>
        <v>649047956</v>
      </c>
      <c r="E22" s="2">
        <f>SUM(B20:B22)</f>
        <v>441407357</v>
      </c>
      <c r="F22" s="2">
        <f>SUM(C20:C22)</f>
        <v>207640599</v>
      </c>
      <c r="G22" s="3">
        <f>E22/D22</f>
        <v>0.68008434957616604</v>
      </c>
      <c r="H22" s="3">
        <f>F22/D22</f>
        <v>0.31991565042383402</v>
      </c>
      <c r="K22" s="2">
        <f>Biodiesel!M127</f>
        <v>11792295</v>
      </c>
      <c r="L22" s="2">
        <f>'Renewable Diesel'!M91</f>
        <v>51888046</v>
      </c>
    </row>
    <row r="23" spans="1:12" x14ac:dyDescent="0.25">
      <c r="A23" s="1">
        <v>44470</v>
      </c>
      <c r="B23" s="2">
        <f>Biodiesel!M12</f>
        <v>139778878</v>
      </c>
      <c r="C23" s="2">
        <f>'Renewable Diesel'!M58</f>
        <v>77344974</v>
      </c>
      <c r="D23" s="4">
        <f>D22/D19-1</f>
        <v>3.2035216571145497E-2</v>
      </c>
      <c r="E23" s="4">
        <f>E22/E19-1</f>
        <v>-1.768800849960328E-2</v>
      </c>
      <c r="F23" s="4">
        <f>F22/F19-1</f>
        <v>0.15647954028789868</v>
      </c>
      <c r="G23" t="s">
        <v>3</v>
      </c>
      <c r="K23" s="2">
        <f>Biodiesel!M128</f>
        <v>17888148</v>
      </c>
      <c r="L23" s="2">
        <f>'Renewable Diesel'!M92</f>
        <v>42634631</v>
      </c>
    </row>
    <row r="24" spans="1:12" x14ac:dyDescent="0.25">
      <c r="A24" s="1">
        <v>44501</v>
      </c>
      <c r="B24" s="2">
        <f>Biodiesel!M13</f>
        <v>140856752</v>
      </c>
      <c r="C24" s="2">
        <f>'Renewable Diesel'!M59</f>
        <v>101861084</v>
      </c>
      <c r="D24" s="4">
        <f>D22/D10-1</f>
        <v>1.2797362662056555E-2</v>
      </c>
      <c r="E24" s="4">
        <f>E22/E10-1</f>
        <v>-0.12087231760960415</v>
      </c>
      <c r="F24" s="4">
        <f>F22/F10-1</f>
        <v>0.49651071989828255</v>
      </c>
      <c r="G24" t="s">
        <v>4</v>
      </c>
      <c r="K24" s="2">
        <f>Biodiesel!M129</f>
        <v>21482583</v>
      </c>
      <c r="L24" s="2">
        <f>'Renewable Diesel'!M93</f>
        <v>31295689</v>
      </c>
    </row>
    <row r="25" spans="1:12" x14ac:dyDescent="0.25">
      <c r="A25" s="1">
        <v>44531</v>
      </c>
      <c r="B25" s="2">
        <f>Biodiesel!M14</f>
        <v>165708240</v>
      </c>
      <c r="C25" s="2">
        <f>'Renewable Diesel'!M60</f>
        <v>118270462</v>
      </c>
      <c r="D25" s="2">
        <f>SUM(B23:C25)</f>
        <v>743820390</v>
      </c>
      <c r="E25" s="2">
        <f>SUM(B23:B25)</f>
        <v>446343870</v>
      </c>
      <c r="F25" s="2">
        <f>SUM(C23:C25)</f>
        <v>297476520</v>
      </c>
      <c r="G25" s="3">
        <f>E25/D25</f>
        <v>0.60006941998457453</v>
      </c>
      <c r="H25" s="3">
        <f>F25/D25</f>
        <v>0.39993058001542547</v>
      </c>
      <c r="K25" s="2">
        <f>Biodiesel!M130</f>
        <v>51260934</v>
      </c>
      <c r="L25" s="2">
        <f>'Renewable Diesel'!M94</f>
        <v>52164246</v>
      </c>
    </row>
    <row r="26" spans="1:12" x14ac:dyDescent="0.25">
      <c r="A26" s="1">
        <v>44562</v>
      </c>
      <c r="B26" s="2">
        <f>Biodiesel!N3</f>
        <v>90715015</v>
      </c>
      <c r="C26" s="2">
        <f>'Renewable Diesel'!N49</f>
        <v>87010244</v>
      </c>
      <c r="D26" s="4">
        <f>D25/D22-1</f>
        <v>0.14601761414375369</v>
      </c>
      <c r="E26" s="4">
        <f>E25/E22-1</f>
        <v>1.1183576625343861E-2</v>
      </c>
      <c r="F26" s="4">
        <f>F25/F22-1</f>
        <v>0.4326510395011911</v>
      </c>
      <c r="G26" t="s">
        <v>3</v>
      </c>
      <c r="I26" s="2">
        <f>SUM(B26:C26)</f>
        <v>177725259</v>
      </c>
      <c r="K26" s="2">
        <f>Biodiesel!N119</f>
        <v>12701046</v>
      </c>
      <c r="L26" s="2">
        <f>'Renewable Diesel'!N83</f>
        <v>34682153</v>
      </c>
    </row>
    <row r="27" spans="1:12" x14ac:dyDescent="0.25">
      <c r="A27" s="1">
        <v>44593</v>
      </c>
      <c r="B27" s="2">
        <f>Biodiesel!N4</f>
        <v>110442650</v>
      </c>
      <c r="C27" s="2">
        <f>'Renewable Diesel'!N50</f>
        <v>101396491</v>
      </c>
      <c r="D27" s="4">
        <f>D25/D13-1</f>
        <v>0.23907055164772339</v>
      </c>
      <c r="E27" s="4">
        <f>E25/E13-1</f>
        <v>-4.668016111371398E-2</v>
      </c>
      <c r="F27" s="4">
        <f>F25/F13-1</f>
        <v>1.2518082633836833</v>
      </c>
      <c r="G27" t="s">
        <v>4</v>
      </c>
      <c r="K27" s="2">
        <f>Biodiesel!N120</f>
        <v>6743825</v>
      </c>
      <c r="L27" s="2">
        <f>'Renewable Diesel'!N84</f>
        <v>30274954</v>
      </c>
    </row>
    <row r="28" spans="1:12" x14ac:dyDescent="0.25">
      <c r="A28" s="1">
        <v>44621</v>
      </c>
      <c r="B28" s="2">
        <f>Biodiesel!N5</f>
        <v>135869438</v>
      </c>
      <c r="C28" s="2">
        <f>'Renewable Diesel'!N51</f>
        <v>110055959</v>
      </c>
      <c r="D28" s="2">
        <f>SUM(B26:C28)</f>
        <v>635489797</v>
      </c>
      <c r="E28" s="2">
        <f>SUM(B26:B28)</f>
        <v>337027103</v>
      </c>
      <c r="F28" s="2">
        <f>SUM(C26:C28)</f>
        <v>298462694</v>
      </c>
      <c r="G28" s="3">
        <f>E28/D28</f>
        <v>0.53034227235594789</v>
      </c>
      <c r="H28" s="3">
        <f>F28/D28</f>
        <v>0.46965772764405217</v>
      </c>
      <c r="K28" s="2">
        <f>Biodiesel!N121</f>
        <v>22680677</v>
      </c>
      <c r="L28" s="2">
        <f>'Renewable Diesel'!N85</f>
        <v>40481924</v>
      </c>
    </row>
    <row r="29" spans="1:12" x14ac:dyDescent="0.25">
      <c r="A29" s="1">
        <v>44652</v>
      </c>
      <c r="B29" s="2">
        <f>Biodiesel!N6</f>
        <v>144286382</v>
      </c>
      <c r="C29" s="2">
        <f>'Renewable Diesel'!N52</f>
        <v>106480662</v>
      </c>
      <c r="D29" s="4">
        <f>D28/D25-1</f>
        <v>-0.1456407950849532</v>
      </c>
      <c r="E29" s="4">
        <f>E28/E25-1</f>
        <v>-0.2449160262915675</v>
      </c>
      <c r="F29" s="4">
        <f>F28/F25-1</f>
        <v>3.3151322329574295E-3</v>
      </c>
      <c r="G29" t="s">
        <v>3</v>
      </c>
      <c r="K29" s="2">
        <f>Biodiesel!N122</f>
        <v>29873220</v>
      </c>
      <c r="L29" s="2">
        <f>'Renewable Diesel'!N86</f>
        <v>41439888</v>
      </c>
    </row>
    <row r="30" spans="1:12" x14ac:dyDescent="0.25">
      <c r="A30" s="1">
        <v>44682</v>
      </c>
      <c r="B30" s="2">
        <f>Biodiesel!N7</f>
        <v>139875243</v>
      </c>
      <c r="C30" s="2">
        <f>'Renewable Diesel'!N53</f>
        <v>136075722</v>
      </c>
      <c r="D30" s="4">
        <f>D28/D16-1</f>
        <v>0.20290722111195536</v>
      </c>
      <c r="E30" s="4">
        <f>E28/E16-1</f>
        <v>-8.2975756650545351E-2</v>
      </c>
      <c r="F30" s="4">
        <f>F28/F16-1</f>
        <v>0.85643023381884142</v>
      </c>
      <c r="G30" t="s">
        <v>4</v>
      </c>
      <c r="K30" s="2">
        <f>Biodiesel!N123</f>
        <v>11776660</v>
      </c>
      <c r="L30" s="2">
        <f>'Renewable Diesel'!N87</f>
        <v>44793746</v>
      </c>
    </row>
    <row r="31" spans="1:12" x14ac:dyDescent="0.25">
      <c r="A31" s="1">
        <v>44713</v>
      </c>
      <c r="B31" s="2">
        <f>Biodiesel!N8</f>
        <v>142855221</v>
      </c>
      <c r="C31" s="2">
        <f>'Renewable Diesel'!N54</f>
        <v>116253275</v>
      </c>
      <c r="D31" s="2">
        <f>SUM(B29:C31)</f>
        <v>785826505</v>
      </c>
      <c r="E31" s="2">
        <f>SUM(B29:B31)</f>
        <v>427016846</v>
      </c>
      <c r="F31" s="2">
        <f>SUM(C29:C31)</f>
        <v>358809659</v>
      </c>
      <c r="G31" s="3">
        <f>E31/D31</f>
        <v>0.54339837519224421</v>
      </c>
      <c r="H31" s="3">
        <f>F31/D31</f>
        <v>0.45660162480775573</v>
      </c>
      <c r="K31" s="2">
        <f>Biodiesel!N124</f>
        <v>19314836</v>
      </c>
      <c r="L31" s="2">
        <f>'Renewable Diesel'!N88</f>
        <v>37873247</v>
      </c>
    </row>
    <row r="32" spans="1:12" x14ac:dyDescent="0.25">
      <c r="A32" s="1">
        <v>44743</v>
      </c>
      <c r="B32" s="2">
        <f>Biodiesel!N9</f>
        <v>137545866</v>
      </c>
      <c r="C32" s="2">
        <f>'Renewable Diesel'!N55</f>
        <v>108975538</v>
      </c>
      <c r="D32" s="3">
        <f>D31/D28-1</f>
        <v>0.23656824816024535</v>
      </c>
      <c r="E32" s="3">
        <f>E31/E28-1</f>
        <v>0.26701040420479183</v>
      </c>
      <c r="F32" s="3">
        <f>F31/F28-1</f>
        <v>0.20219265661389496</v>
      </c>
      <c r="G32" t="s">
        <v>3</v>
      </c>
      <c r="K32" s="2">
        <f>Biodiesel!N125</f>
        <v>8715707</v>
      </c>
      <c r="L32" s="2">
        <f>'Renewable Diesel'!N89</f>
        <v>19083361</v>
      </c>
    </row>
    <row r="33" spans="1:12" x14ac:dyDescent="0.25">
      <c r="A33" s="1">
        <v>44774</v>
      </c>
      <c r="B33" s="2">
        <f>Biodiesel!N10</f>
        <v>151833118</v>
      </c>
      <c r="C33" s="2">
        <f>'Renewable Diesel'!N56</f>
        <v>122248954</v>
      </c>
      <c r="D33" s="3">
        <f>D31/D19-1</f>
        <v>0.24952342855081944</v>
      </c>
      <c r="E33" s="3">
        <f>E31/E19-1</f>
        <v>-4.9712784015790157E-2</v>
      </c>
      <c r="F33" s="3">
        <f>F31/F19-1</f>
        <v>0.99843398395887739</v>
      </c>
      <c r="G33" t="s">
        <v>4</v>
      </c>
      <c r="K33" s="2">
        <f>Biodiesel!N126</f>
        <v>15269993</v>
      </c>
      <c r="L33" s="2">
        <f>'Renewable Diesel'!N90</f>
        <v>21091330</v>
      </c>
    </row>
    <row r="34" spans="1:12" x14ac:dyDescent="0.25">
      <c r="A34" s="1">
        <v>44805</v>
      </c>
      <c r="B34" s="2">
        <f>Biodiesel!N11</f>
        <v>141860945</v>
      </c>
      <c r="C34" s="2">
        <f>'Renewable Diesel'!N57</f>
        <v>127613378</v>
      </c>
      <c r="D34" s="2">
        <f>SUM(B32:C34)</f>
        <v>790077799</v>
      </c>
      <c r="E34" s="2">
        <f>SUM(B32:B34)</f>
        <v>431239929</v>
      </c>
      <c r="F34" s="2">
        <f>SUM(C32:C34)</f>
        <v>358837870</v>
      </c>
      <c r="G34" s="3">
        <f>E34/D34</f>
        <v>0.54581957567447104</v>
      </c>
      <c r="H34" s="3">
        <f>F34/D34</f>
        <v>0.45418042432552896</v>
      </c>
      <c r="K34" s="2">
        <f>Biodiesel!N127</f>
        <v>19091391</v>
      </c>
      <c r="L34" s="2">
        <f>'Renewable Diesel'!N91</f>
        <v>37588428</v>
      </c>
    </row>
    <row r="35" spans="1:12" x14ac:dyDescent="0.25">
      <c r="A35" s="1">
        <v>44835</v>
      </c>
      <c r="B35" s="2">
        <f>Biodiesel!N12</f>
        <v>138040230</v>
      </c>
      <c r="C35" s="2">
        <f>'Renewable Diesel'!N58</f>
        <v>113679693</v>
      </c>
      <c r="D35" s="4">
        <f>D34/D31-1</f>
        <v>5.4099651423693551E-3</v>
      </c>
      <c r="E35" s="4">
        <f>E34/E31-1</f>
        <v>9.8897339520886973E-3</v>
      </c>
      <c r="F35" s="4">
        <f>F34/F31-1</f>
        <v>7.8623858896786913E-5</v>
      </c>
      <c r="G35" t="s">
        <v>3</v>
      </c>
      <c r="K35" s="2">
        <f>Biodiesel!N128</f>
        <v>17330959</v>
      </c>
      <c r="L35" s="2">
        <f>'Renewable Diesel'!N92</f>
        <v>37818997</v>
      </c>
    </row>
    <row r="36" spans="1:12" x14ac:dyDescent="0.25">
      <c r="A36" s="1">
        <v>44866</v>
      </c>
      <c r="B36" s="2">
        <f>Biodiesel!N13</f>
        <v>141295576</v>
      </c>
      <c r="C36" s="2">
        <f>'Renewable Diesel'!N59</f>
        <v>171787630</v>
      </c>
      <c r="D36" s="4">
        <f>D34/D22-1</f>
        <v>0.21728724618308481</v>
      </c>
      <c r="E36" s="4">
        <f>E34/E22-1</f>
        <v>-2.3034115401026289E-2</v>
      </c>
      <c r="F36" s="4">
        <f>F34/F22-1</f>
        <v>0.7281681507767177</v>
      </c>
      <c r="G36" t="s">
        <v>4</v>
      </c>
      <c r="K36" s="2">
        <f>Biodiesel!N129</f>
        <v>33817396</v>
      </c>
      <c r="L36" s="2">
        <f>'Renewable Diesel'!N93</f>
        <v>27012384</v>
      </c>
    </row>
    <row r="37" spans="1:12" x14ac:dyDescent="0.25">
      <c r="A37" s="1">
        <v>44896</v>
      </c>
      <c r="B37" s="2">
        <f>Biodiesel!N14</f>
        <v>145591401</v>
      </c>
      <c r="C37" s="2">
        <f>'Renewable Diesel'!N60</f>
        <v>153759160</v>
      </c>
      <c r="D37" s="2">
        <f>SUM(B35:C37)</f>
        <v>864153690</v>
      </c>
      <c r="E37" s="2">
        <f>SUM(B35:B37)</f>
        <v>424927207</v>
      </c>
      <c r="F37" s="2">
        <f>SUM(C35:C37)</f>
        <v>439226483</v>
      </c>
      <c r="G37" s="5">
        <f>E37/D37</f>
        <v>0.49172642773764003</v>
      </c>
      <c r="H37" s="5">
        <f>F37/D37</f>
        <v>0.50827357226235992</v>
      </c>
      <c r="K37" s="2">
        <f>Biodiesel!N130</f>
        <v>43008881</v>
      </c>
      <c r="L37" s="2">
        <f>'Renewable Diesel'!N94</f>
        <v>40398460</v>
      </c>
    </row>
    <row r="38" spans="1:12" x14ac:dyDescent="0.25">
      <c r="A38" s="1">
        <v>44927</v>
      </c>
      <c r="B38" s="2">
        <f>Biodiesel!O3</f>
        <v>119548309</v>
      </c>
      <c r="C38" s="2">
        <f>'Renewable Diesel'!O49</f>
        <v>148278375</v>
      </c>
      <c r="D38" s="6">
        <f>D37/D34-1</f>
        <v>9.3757717396638407E-2</v>
      </c>
      <c r="E38" s="6">
        <f>E37/E34-1</f>
        <v>-1.4638537796438644E-2</v>
      </c>
      <c r="F38" s="6">
        <f>F37/F34-1</f>
        <v>0.22402488622507977</v>
      </c>
      <c r="G38" t="s">
        <v>3</v>
      </c>
      <c r="I38" s="2">
        <f>SUM(B38:C38)</f>
        <v>267826684</v>
      </c>
      <c r="J38" s="4">
        <f>SUM(B38:C38)/SUM(B26:C26)-1</f>
        <v>0.50697028383568155</v>
      </c>
      <c r="K38" s="2">
        <f>Biodiesel!O119</f>
        <v>24582474</v>
      </c>
      <c r="L38" s="2">
        <f>'Renewable Diesel'!O83</f>
        <v>37899137</v>
      </c>
    </row>
    <row r="39" spans="1:12" x14ac:dyDescent="0.25">
      <c r="A39" s="1">
        <v>44958</v>
      </c>
      <c r="B39" s="2">
        <f>Biodiesel!O4</f>
        <v>114742607</v>
      </c>
      <c r="C39" s="2">
        <f>'Renewable Diesel'!O50</f>
        <v>141070359</v>
      </c>
      <c r="D39" s="6">
        <f>D37/D25-1</f>
        <v>0.16177736133315723</v>
      </c>
      <c r="E39" s="6">
        <f>E37/E25-1</f>
        <v>-4.798242888381099E-2</v>
      </c>
      <c r="F39" s="6">
        <f>F37/F25-1</f>
        <v>0.47650807196480582</v>
      </c>
      <c r="G39" t="s">
        <v>4</v>
      </c>
      <c r="I39" s="2">
        <f>SUM(B39:C39)</f>
        <v>255812966</v>
      </c>
      <c r="J39" s="4">
        <f>SUM(B39:C39)/SUM(B27:C27)-1</f>
        <v>0.20758120898913579</v>
      </c>
      <c r="K39" s="2">
        <f>Biodiesel!O120</f>
        <v>40796313</v>
      </c>
      <c r="L39" s="2">
        <f>'Renewable Diesel'!O84</f>
        <v>27487584</v>
      </c>
    </row>
    <row r="40" spans="1:12" x14ac:dyDescent="0.25">
      <c r="A40" s="1">
        <v>44986</v>
      </c>
      <c r="B40" s="2">
        <f>Biodiesel!O5</f>
        <v>130889308</v>
      </c>
      <c r="C40" s="2">
        <f>'Renewable Diesel'!O51</f>
        <v>184175802</v>
      </c>
      <c r="D40" s="7">
        <f>SUM(B38:C40)</f>
        <v>838704760</v>
      </c>
      <c r="E40" s="7">
        <f>SUM(B38:B40)</f>
        <v>365180224</v>
      </c>
      <c r="F40" s="7">
        <f>SUM(C38:C40)</f>
        <v>473524536</v>
      </c>
      <c r="G40" s="8">
        <f>E40/D40</f>
        <v>0.4354097429946624</v>
      </c>
      <c r="H40" s="8">
        <f>F40/D40</f>
        <v>0.5645902570053376</v>
      </c>
      <c r="I40" s="2">
        <f>SUM(B40:C40)</f>
        <v>315065110</v>
      </c>
      <c r="J40" s="4">
        <f>SUM(B40:C40)/SUM(B28:C28)-1</f>
        <v>0.28114100391184893</v>
      </c>
      <c r="K40" s="2">
        <f>Biodiesel!O121</f>
        <v>44788401</v>
      </c>
      <c r="L40" s="2">
        <f>'Renewable Diesel'!O85</f>
        <v>35665832</v>
      </c>
    </row>
    <row r="41" spans="1:12" x14ac:dyDescent="0.25">
      <c r="A41" s="1">
        <v>45017</v>
      </c>
      <c r="B41" s="2">
        <f>Biodiesel!O6</f>
        <v>133835520</v>
      </c>
      <c r="C41" s="2">
        <f>'Renewable Diesel'!O52</f>
        <v>174407540</v>
      </c>
      <c r="D41" s="9">
        <f>D40/D37-1</f>
        <v>-2.9449541550878533E-2</v>
      </c>
      <c r="E41" s="9">
        <f>E40/E37-1</f>
        <v>-0.14060521900166301</v>
      </c>
      <c r="F41" s="9">
        <f>F40/F37-1</f>
        <v>7.8087397567054184E-2</v>
      </c>
      <c r="G41" t="s">
        <v>3</v>
      </c>
      <c r="I41" s="2">
        <f>SUM(B41:C41)</f>
        <v>308243060</v>
      </c>
      <c r="J41" s="4">
        <f>SUM(B41:C41)/SUM(B29:C29)-1</f>
        <v>0.22920083549734716</v>
      </c>
      <c r="K41" s="2">
        <f>Biodiesel!O122</f>
        <v>34964458</v>
      </c>
      <c r="L41" s="2">
        <f>'Renewable Diesel'!O86</f>
        <v>45063278</v>
      </c>
    </row>
    <row r="42" spans="1:12" x14ac:dyDescent="0.25">
      <c r="A42" s="1">
        <v>45047</v>
      </c>
      <c r="B42" s="7">
        <f>Biodiesel!O7</f>
        <v>163593533</v>
      </c>
      <c r="C42" s="7">
        <f>'Renewable Diesel'!O53</f>
        <v>229265334</v>
      </c>
      <c r="D42" s="9">
        <f>D40/D28-1</f>
        <v>0.31977690902250622</v>
      </c>
      <c r="E42" s="9">
        <f>E40/E28-1</f>
        <v>8.3533700255554733E-2</v>
      </c>
      <c r="F42" s="9">
        <f>F40/F28-1</f>
        <v>0.58654513786570583</v>
      </c>
      <c r="G42" t="s">
        <v>4</v>
      </c>
      <c r="K42" s="2">
        <f>Biodiesel!O123</f>
        <v>39419838</v>
      </c>
      <c r="L42" s="2">
        <f>'Renewable Diesel'!O87</f>
        <v>48678398</v>
      </c>
    </row>
    <row r="43" spans="1:12" x14ac:dyDescent="0.25">
      <c r="A43" s="1">
        <v>45078</v>
      </c>
      <c r="B43" s="7">
        <f>Biodiesel!O8</f>
        <v>153006295</v>
      </c>
      <c r="C43" s="7">
        <f>'Renewable Diesel'!O54</f>
        <v>202490999</v>
      </c>
      <c r="D43" s="7">
        <f>SUM(B41:C43)</f>
        <v>1056599221</v>
      </c>
      <c r="E43" s="7">
        <f>SUM(B41:B43)</f>
        <v>450435348</v>
      </c>
      <c r="F43" s="7">
        <f>SUM(C41:C43)</f>
        <v>606163873</v>
      </c>
      <c r="G43" s="8">
        <f>E43/D43</f>
        <v>0.42630671975481232</v>
      </c>
      <c r="H43" s="8">
        <f>F43/D43</f>
        <v>0.57369328024518773</v>
      </c>
      <c r="K43" s="2">
        <f>Biodiesel!O124</f>
        <v>41179873</v>
      </c>
      <c r="L43" s="2">
        <f>'Renewable Diesel'!O88</f>
        <v>44223259</v>
      </c>
    </row>
    <row r="44" spans="1:12" x14ac:dyDescent="0.25">
      <c r="A44" s="1">
        <v>45108</v>
      </c>
      <c r="B44" s="7">
        <f>Biodiesel!O9</f>
        <v>142593233</v>
      </c>
      <c r="C44" s="7">
        <f>'Renewable Diesel'!O55</f>
        <v>182796774</v>
      </c>
      <c r="D44" s="9">
        <f>D43/D40-1</f>
        <v>0.25979876518168332</v>
      </c>
      <c r="E44" s="9">
        <f>E43/E40-1</f>
        <v>0.23346040775745847</v>
      </c>
      <c r="F44" s="9">
        <f>F43/F40-1</f>
        <v>0.28011080084770934</v>
      </c>
      <c r="G44" t="s">
        <v>3</v>
      </c>
      <c r="K44" s="2">
        <f>Biodiesel!O125</f>
        <v>30319251</v>
      </c>
      <c r="L44" s="2">
        <f>'Renewable Diesel'!O89</f>
        <v>53757888</v>
      </c>
    </row>
    <row r="45" spans="1:12" x14ac:dyDescent="0.25">
      <c r="A45" s="1">
        <v>45139</v>
      </c>
      <c r="B45" s="7">
        <f>Biodiesel!O10</f>
        <v>152345476</v>
      </c>
      <c r="C45" s="7">
        <f>'Renewable Diesel'!O56</f>
        <v>236476280</v>
      </c>
      <c r="D45" s="9">
        <f>D43/D31-1</f>
        <v>0.34457060722328281</v>
      </c>
      <c r="E45" s="9">
        <f>E43/E31-1</f>
        <v>5.4842103348775151E-2</v>
      </c>
      <c r="F45" s="9">
        <f>F43/F31-1</f>
        <v>0.68937445744736769</v>
      </c>
      <c r="G45" t="s">
        <v>4</v>
      </c>
      <c r="K45" s="2">
        <f>Biodiesel!O126</f>
        <v>44239929</v>
      </c>
      <c r="L45" s="2">
        <f>'Renewable Diesel'!O90</f>
        <v>25472526</v>
      </c>
    </row>
    <row r="46" spans="1:12" x14ac:dyDescent="0.25">
      <c r="A46" s="1">
        <v>45170</v>
      </c>
      <c r="B46" s="7">
        <f>Biodiesel!O11</f>
        <v>143870897</v>
      </c>
      <c r="C46" s="7">
        <f>'Renewable Diesel'!O57</f>
        <v>234008508</v>
      </c>
      <c r="D46" s="7">
        <f>SUM(B44:C46)</f>
        <v>1092091168</v>
      </c>
      <c r="E46" s="7">
        <f>SUM(B44:B46)</f>
        <v>438809606</v>
      </c>
      <c r="F46" s="7">
        <f>SUM(C44:C46)</f>
        <v>653281562</v>
      </c>
      <c r="G46" s="8">
        <f>E46/D46</f>
        <v>0.40180675282230649</v>
      </c>
      <c r="H46" s="8">
        <f>F46/D46</f>
        <v>0.59819324717769351</v>
      </c>
      <c r="K46" s="2">
        <f>Biodiesel!O127</f>
        <v>40464493</v>
      </c>
      <c r="L46" s="2">
        <f>'Renewable Diesel'!O91</f>
        <v>14917676</v>
      </c>
    </row>
    <row r="47" spans="1:12" x14ac:dyDescent="0.25">
      <c r="A47" s="1">
        <v>45200</v>
      </c>
      <c r="B47" s="7">
        <f>Biodiesel!O12</f>
        <v>144087366</v>
      </c>
      <c r="C47" s="7">
        <f>'Renewable Diesel'!O58</f>
        <v>214031283</v>
      </c>
      <c r="D47" s="9">
        <f>D46/D43-1</f>
        <v>3.3590737428718986E-2</v>
      </c>
      <c r="E47" s="9">
        <f>E46/E43-1</f>
        <v>-2.5810012583648345E-2</v>
      </c>
      <c r="F47" s="9">
        <f>F46/F43-1</f>
        <v>7.7730942239772949E-2</v>
      </c>
      <c r="G47" t="s">
        <v>3</v>
      </c>
      <c r="K47" s="2">
        <f>Biodiesel!O128</f>
        <v>57044013</v>
      </c>
      <c r="L47" s="2">
        <f>'Renewable Diesel'!O92</f>
        <v>53574873</v>
      </c>
    </row>
    <row r="48" spans="1:12" x14ac:dyDescent="0.25">
      <c r="A48" s="1">
        <v>45231</v>
      </c>
      <c r="B48" s="7">
        <f>Biodiesel!O13</f>
        <v>135076229</v>
      </c>
      <c r="C48" s="7">
        <f>'Renewable Diesel'!O59</f>
        <v>205619514</v>
      </c>
      <c r="D48" s="9">
        <f>D46/D34-1</f>
        <v>0.38225775915012128</v>
      </c>
      <c r="E48" s="9">
        <f>E46/E34-1</f>
        <v>1.7553284125505941E-2</v>
      </c>
      <c r="F48" s="9">
        <f>F46/F34-1</f>
        <v>0.82054798731248746</v>
      </c>
      <c r="G48" t="s">
        <v>4</v>
      </c>
      <c r="K48" s="2">
        <f>Biodiesel!O129</f>
        <v>42541477</v>
      </c>
      <c r="L48" s="2">
        <f>'Renewable Diesel'!O93</f>
        <v>45390288</v>
      </c>
    </row>
    <row r="49" spans="1:12" x14ac:dyDescent="0.25">
      <c r="A49" s="1">
        <v>45261</v>
      </c>
      <c r="B49" s="7">
        <f>Biodiesel!O14</f>
        <v>136732063</v>
      </c>
      <c r="C49" s="7">
        <f>'Renewable Diesel'!O60</f>
        <v>274816428</v>
      </c>
      <c r="D49" s="7">
        <f>SUM(B47:C49)</f>
        <v>1110362883</v>
      </c>
      <c r="E49" s="7">
        <f>SUM(B47:B49)</f>
        <v>415895658</v>
      </c>
      <c r="F49" s="7">
        <f>SUM(C47:C49)</f>
        <v>694467225</v>
      </c>
      <c r="G49" s="8">
        <f>E49/D49</f>
        <v>0.37455832175903164</v>
      </c>
      <c r="H49" s="8">
        <f>F49/D49</f>
        <v>0.62544167824096841</v>
      </c>
      <c r="K49" s="2">
        <f>Biodiesel!O130</f>
        <v>64593783</v>
      </c>
      <c r="L49" s="2">
        <f>'Renewable Diesel'!O94</f>
        <v>48623210</v>
      </c>
    </row>
    <row r="50" spans="1:12" x14ac:dyDescent="0.25">
      <c r="A50" s="1">
        <v>45292</v>
      </c>
      <c r="B50" s="7">
        <f>Biodiesel!P3</f>
        <v>120715672</v>
      </c>
      <c r="C50" s="7">
        <f>'Renewable Diesel'!P49</f>
        <v>230210264</v>
      </c>
      <c r="D50" s="9">
        <f>D49/D46-1</f>
        <v>1.673094292435473E-2</v>
      </c>
      <c r="E50" s="9">
        <f>E49/E46-1</f>
        <v>-5.2218428417904805E-2</v>
      </c>
      <c r="F50" s="9">
        <f>F49/F46-1</f>
        <v>6.3044275846254383E-2</v>
      </c>
      <c r="G50" t="s">
        <v>3</v>
      </c>
      <c r="I50" s="2">
        <f t="shared" ref="I50:I55" si="0">C50+B50</f>
        <v>350925936</v>
      </c>
      <c r="K50" s="2">
        <f>Biodiesel!P119</f>
        <v>40314733</v>
      </c>
      <c r="L50" s="2">
        <f>'Renewable Diesel'!P83</f>
        <v>24232960</v>
      </c>
    </row>
    <row r="51" spans="1:12" x14ac:dyDescent="0.25">
      <c r="A51" s="1">
        <v>45323</v>
      </c>
      <c r="B51" s="7">
        <f>Biodiesel!P4</f>
        <v>125799224</v>
      </c>
      <c r="C51" s="7">
        <f>'Renewable Diesel'!P50</f>
        <v>230073636</v>
      </c>
      <c r="D51" s="9">
        <f>D49/D37-1</f>
        <v>0.28491366275367058</v>
      </c>
      <c r="E51" s="9">
        <f>E49/E37-1</f>
        <v>-2.1254343923428731E-2</v>
      </c>
      <c r="F51" s="9">
        <f>F49/F37-1</f>
        <v>0.58111419023884303</v>
      </c>
      <c r="G51" t="s">
        <v>4</v>
      </c>
      <c r="I51" s="2">
        <f t="shared" si="0"/>
        <v>355872860</v>
      </c>
      <c r="K51" s="2">
        <f>Biodiesel!P120</f>
        <v>51955632</v>
      </c>
      <c r="L51" s="2">
        <f>'Renewable Diesel'!P84</f>
        <v>56213823</v>
      </c>
    </row>
    <row r="52" spans="1:12" x14ac:dyDescent="0.25">
      <c r="A52" s="1">
        <v>45352</v>
      </c>
      <c r="B52" s="7">
        <f>Biodiesel!P5</f>
        <v>133487105</v>
      </c>
      <c r="C52" s="7">
        <f>'Renewable Diesel'!P51</f>
        <v>215239327</v>
      </c>
      <c r="D52" s="7">
        <f>SUM(B50:C52)</f>
        <v>1055525228</v>
      </c>
      <c r="E52" s="7">
        <f>SUM(B50:B52)</f>
        <v>380002001</v>
      </c>
      <c r="F52" s="7">
        <f>SUM(C50:C52)</f>
        <v>675523227</v>
      </c>
      <c r="G52" s="8">
        <f>E52/D52</f>
        <v>0.36001223932849474</v>
      </c>
      <c r="H52" s="8">
        <f>F52/D52</f>
        <v>0.6399877606715052</v>
      </c>
      <c r="I52" s="2">
        <f t="shared" si="0"/>
        <v>348726432</v>
      </c>
      <c r="K52" s="2">
        <f>Biodiesel!P121</f>
        <v>29890832</v>
      </c>
      <c r="L52" s="2">
        <f>'Renewable Diesel'!P85</f>
        <v>26635538</v>
      </c>
    </row>
    <row r="53" spans="1:12" x14ac:dyDescent="0.25">
      <c r="A53" s="1">
        <v>45383</v>
      </c>
      <c r="B53" s="7">
        <f>Biodiesel!P6</f>
        <v>136121554</v>
      </c>
      <c r="C53" s="7">
        <f>'Renewable Diesel'!P52</f>
        <v>283042186</v>
      </c>
      <c r="D53" s="9">
        <f>D52/D49-1</f>
        <v>-4.9387147066586534E-2</v>
      </c>
      <c r="E53" s="9">
        <f>E52/E49-1</f>
        <v>-8.6304476398260443E-2</v>
      </c>
      <c r="F53" s="9">
        <f>F52/F49-1</f>
        <v>-2.7278462277323445E-2</v>
      </c>
      <c r="G53" t="s">
        <v>3</v>
      </c>
      <c r="I53" s="2">
        <f t="shared" si="0"/>
        <v>419163740</v>
      </c>
      <c r="K53" s="2">
        <f>Biodiesel!P122</f>
        <v>48290339</v>
      </c>
      <c r="L53" s="2">
        <f>'Renewable Diesel'!P86</f>
        <v>27627664</v>
      </c>
    </row>
    <row r="54" spans="1:12" x14ac:dyDescent="0.25">
      <c r="A54" s="1">
        <v>45413</v>
      </c>
      <c r="B54" s="7">
        <f>Biodiesel!P7</f>
        <v>142728755</v>
      </c>
      <c r="C54" s="7">
        <f>'Renewable Diesel'!P53</f>
        <v>220402735</v>
      </c>
      <c r="D54" s="9">
        <f>D52/D40-1</f>
        <v>0.25851822755840814</v>
      </c>
      <c r="E54" s="9">
        <f>E52/E40-1</f>
        <v>4.0587567523919343E-2</v>
      </c>
      <c r="F54" s="9">
        <f>F52/F40-1</f>
        <v>0.42658547898350085</v>
      </c>
      <c r="G54" t="s">
        <v>4</v>
      </c>
      <c r="I54" s="2">
        <f t="shared" si="0"/>
        <v>363131490</v>
      </c>
      <c r="K54" s="2">
        <f>Biodiesel!P123</f>
        <v>35451412</v>
      </c>
      <c r="L54" s="2">
        <f>'Renewable Diesel'!P87</f>
        <v>29680714</v>
      </c>
    </row>
    <row r="55" spans="1:12" x14ac:dyDescent="0.25">
      <c r="A55" s="1">
        <v>45444</v>
      </c>
      <c r="B55" s="7">
        <f>Biodiesel!P8</f>
        <v>133806992</v>
      </c>
      <c r="C55" s="7">
        <f>'Renewable Diesel'!P54</f>
        <v>282589564</v>
      </c>
      <c r="D55" s="7">
        <f>SUM(B53:C55)</f>
        <v>1198691786</v>
      </c>
      <c r="E55" s="7">
        <f>SUM(B53:B55)</f>
        <v>412657301</v>
      </c>
      <c r="F55" s="7">
        <f>SUM(C53:C55)</f>
        <v>786034485</v>
      </c>
      <c r="G55" s="8">
        <f>E55/D55</f>
        <v>0.34425638501872574</v>
      </c>
      <c r="H55" s="8">
        <f>F55/D55</f>
        <v>0.65574361498127431</v>
      </c>
      <c r="I55" s="2">
        <f t="shared" si="0"/>
        <v>416396556</v>
      </c>
      <c r="K55" s="2">
        <f>Biodiesel!P124</f>
        <v>37513575</v>
      </c>
      <c r="L55" s="2">
        <f>'Renewable Diesel'!P88</f>
        <v>56471169</v>
      </c>
    </row>
    <row r="56" spans="1:12" x14ac:dyDescent="0.25">
      <c r="A56" s="1">
        <v>45474</v>
      </c>
      <c r="B56" s="7">
        <f>Biodiesel!P9</f>
        <v>145953904</v>
      </c>
      <c r="C56" s="7">
        <f>'Renewable Diesel'!P55</f>
        <v>292633360</v>
      </c>
      <c r="D56" s="9">
        <f>D55/D52-1</f>
        <v>0.13563537298987227</v>
      </c>
      <c r="E56" s="9">
        <f>E55/E52-1</f>
        <v>8.5934547486764323E-2</v>
      </c>
      <c r="F56" s="9">
        <f>F55/F52-1</f>
        <v>0.16359357248274153</v>
      </c>
      <c r="G56" t="s">
        <v>3</v>
      </c>
      <c r="K56" s="2">
        <f>Biodiesel!P125</f>
        <v>22459889</v>
      </c>
      <c r="L56" s="2">
        <f>'Renewable Diesel'!P89</f>
        <v>22045675</v>
      </c>
    </row>
    <row r="57" spans="1:12" x14ac:dyDescent="0.25">
      <c r="A57" s="1">
        <v>45505</v>
      </c>
      <c r="B57" s="7">
        <f>Biodiesel!P10</f>
        <v>139724190</v>
      </c>
      <c r="C57" s="7">
        <f>'Renewable Diesel'!P56</f>
        <v>260490373</v>
      </c>
      <c r="D57" s="9">
        <f>D55/D43-1</f>
        <v>0.13448104274155992</v>
      </c>
      <c r="E57" s="9">
        <f>E55/E43-1</f>
        <v>-8.3870076288950601E-2</v>
      </c>
      <c r="F57" s="9">
        <f>F55/F43-1</f>
        <v>0.29673594882814802</v>
      </c>
      <c r="G57" t="s">
        <v>4</v>
      </c>
      <c r="I57" s="10">
        <f>20000000/AVERAGE(I50:I55)</f>
        <v>5.3233561478211781E-2</v>
      </c>
      <c r="K57" s="2">
        <f>Biodiesel!P126</f>
        <v>24497122</v>
      </c>
      <c r="L57" s="2">
        <f>'Renewable Diesel'!P90</f>
        <v>22976837</v>
      </c>
    </row>
    <row r="58" spans="1:12" x14ac:dyDescent="0.25">
      <c r="A58" s="1">
        <v>45536</v>
      </c>
      <c r="B58" s="7">
        <f>Biodiesel!P11</f>
        <v>134537885</v>
      </c>
      <c r="C58" s="7">
        <f>'Renewable Diesel'!P57</f>
        <v>257927937</v>
      </c>
      <c r="D58" s="7">
        <f>SUM(B56:C58)</f>
        <v>1231267649</v>
      </c>
      <c r="E58" s="7">
        <f>SUM(B56:B58)</f>
        <v>420215979</v>
      </c>
      <c r="F58" s="7">
        <f>SUM(C56:C58)</f>
        <v>811051670</v>
      </c>
      <c r="G58" s="8">
        <f>E58/D58</f>
        <v>0.34128727360073763</v>
      </c>
      <c r="H58" s="8">
        <f>F58/D58</f>
        <v>0.65871272639926237</v>
      </c>
      <c r="K58" s="2">
        <f>Biodiesel!P127</f>
        <v>26648068</v>
      </c>
      <c r="L58" s="2">
        <f>'Renewable Diesel'!P91</f>
        <v>18250310</v>
      </c>
    </row>
    <row r="59" spans="1:12" x14ac:dyDescent="0.25">
      <c r="A59" s="1">
        <v>45566</v>
      </c>
      <c r="B59" s="7">
        <f>Biodiesel!P12</f>
        <v>148097836</v>
      </c>
      <c r="C59" s="7">
        <f>'Renewable Diesel'!P58</f>
        <v>289557293</v>
      </c>
      <c r="D59" s="9">
        <f>D58/D55-1</f>
        <v>2.7176179381944943E-2</v>
      </c>
      <c r="E59" s="9">
        <f>E58/E55-1</f>
        <v>1.8317082920096039E-2</v>
      </c>
      <c r="F59" s="9">
        <f>F58/F55-1</f>
        <v>3.1827083260857147E-2</v>
      </c>
      <c r="G59" t="s">
        <v>3</v>
      </c>
      <c r="K59" s="2">
        <f>Biodiesel!P128</f>
        <v>26663796</v>
      </c>
      <c r="L59" s="2">
        <f>'Renewable Diesel'!P92</f>
        <v>17529275</v>
      </c>
    </row>
    <row r="60" spans="1:12" x14ac:dyDescent="0.25">
      <c r="A60" s="1">
        <v>45597</v>
      </c>
      <c r="B60" s="7">
        <f>Biodiesel!P13</f>
        <v>133353588</v>
      </c>
      <c r="C60" s="7">
        <f>'Renewable Diesel'!P59</f>
        <v>261189424</v>
      </c>
      <c r="D60" s="9">
        <f>D58/D46-1</f>
        <v>0.12744035029134126</v>
      </c>
      <c r="E60" s="9">
        <f>E58/E46-1</f>
        <v>-4.2372880506175603E-2</v>
      </c>
      <c r="F60" s="9">
        <f>F58/F46-1</f>
        <v>0.24150399640392739</v>
      </c>
      <c r="G60" t="s">
        <v>4</v>
      </c>
      <c r="K60" s="2">
        <f>Biodiesel!P129</f>
        <v>22975700</v>
      </c>
      <c r="L60" s="2">
        <f>'Renewable Diesel'!P93</f>
        <v>8083529</v>
      </c>
    </row>
    <row r="61" spans="1:12" x14ac:dyDescent="0.25">
      <c r="A61" s="1">
        <v>45627</v>
      </c>
      <c r="B61" s="7">
        <f>Biodiesel!P14</f>
        <v>174921835</v>
      </c>
      <c r="C61" s="7">
        <f>'Renewable Diesel'!P60</f>
        <v>314111589</v>
      </c>
      <c r="D61" s="7">
        <f>SUM(B59:C61)</f>
        <v>1321231565</v>
      </c>
      <c r="E61" s="7">
        <f>SUM(B59:B61)</f>
        <v>456373259</v>
      </c>
      <c r="F61" s="7">
        <f>SUM(C59:C61)</f>
        <v>864858306</v>
      </c>
      <c r="G61" s="8">
        <f>E61/D61</f>
        <v>0.34541504387991218</v>
      </c>
      <c r="H61" s="8">
        <f>F61/D61</f>
        <v>0.65458495612008782</v>
      </c>
      <c r="K61" s="2">
        <f>Biodiesel!P130</f>
        <v>31390220</v>
      </c>
      <c r="L61" s="2">
        <f>'Renewable Diesel'!P94</f>
        <v>4236635</v>
      </c>
    </row>
    <row r="62" spans="1:12" x14ac:dyDescent="0.25">
      <c r="A62" s="1">
        <v>45658</v>
      </c>
      <c r="B62" s="7">
        <f>Biodiesel!Q3</f>
        <v>65635810</v>
      </c>
      <c r="C62" s="7">
        <f>'Renewable Diesel'!Q49</f>
        <v>217367275</v>
      </c>
      <c r="D62" s="9">
        <f>D61/D58-1</f>
        <v>7.3066092553528916E-2</v>
      </c>
      <c r="E62" s="9">
        <f>E61/E58-1</f>
        <v>8.6044514742263045E-2</v>
      </c>
      <c r="F62" s="9">
        <f>F61/F58-1</f>
        <v>6.6341810257292133E-2</v>
      </c>
      <c r="G62" t="s">
        <v>3</v>
      </c>
      <c r="K62" s="2">
        <f>Biodiesel!Q119</f>
        <v>3135355</v>
      </c>
      <c r="L62" s="2">
        <f>'Renewable Diesel'!Q83</f>
        <v>0</v>
      </c>
    </row>
    <row r="63" spans="1:12" x14ac:dyDescent="0.25">
      <c r="A63" s="1">
        <v>45689</v>
      </c>
      <c r="B63" s="7">
        <f>Biodiesel!Q4</f>
        <v>73721896</v>
      </c>
      <c r="C63" s="7">
        <f>'Renewable Diesel'!Q50</f>
        <v>186102792</v>
      </c>
      <c r="D63" s="9">
        <f>D61/D49-1</f>
        <v>0.18990969999850038</v>
      </c>
      <c r="E63" s="9">
        <f>E61/E49-1</f>
        <v>9.732633707851801E-2</v>
      </c>
      <c r="F63" s="9">
        <f>F61/F49-1</f>
        <v>0.24535510801103677</v>
      </c>
      <c r="G63" t="s">
        <v>4</v>
      </c>
      <c r="K63" s="2">
        <f>Biodiesel!Q120</f>
        <v>6409113</v>
      </c>
      <c r="L63" s="2">
        <f>'Renewable Diesel'!Q84</f>
        <v>0</v>
      </c>
    </row>
    <row r="64" spans="1:12" x14ac:dyDescent="0.25">
      <c r="A64" s="1">
        <v>45717</v>
      </c>
      <c r="B64" s="7">
        <f>Biodiesel!Q5</f>
        <v>95835418</v>
      </c>
      <c r="C64" s="7">
        <f>'Renewable Diesel'!Q51</f>
        <v>229400517</v>
      </c>
      <c r="D64" s="7">
        <f>SUM(B62:C64)</f>
        <v>868063708</v>
      </c>
      <c r="E64" s="7">
        <f>SUM(B62:B64)</f>
        <v>235193124</v>
      </c>
      <c r="F64" s="7">
        <f>SUM(C62:C64)</f>
        <v>632870584</v>
      </c>
      <c r="G64" s="8">
        <f>E64/D64</f>
        <v>0.27093993428417812</v>
      </c>
      <c r="H64" s="8">
        <f>F64/D64</f>
        <v>0.72906006571582183</v>
      </c>
      <c r="K64" s="2">
        <f>Biodiesel!Q121</f>
        <v>3901575</v>
      </c>
      <c r="L64" s="2">
        <f>'Renewable Diesel'!Q85</f>
        <v>7436643</v>
      </c>
    </row>
    <row r="65" spans="1:12" x14ac:dyDescent="0.25">
      <c r="A65" s="1">
        <v>45748</v>
      </c>
      <c r="B65" s="7">
        <f>Biodiesel!Q6</f>
        <v>131791986.24915777</v>
      </c>
      <c r="C65" s="7">
        <f>'Renewable Diesel'!Q52</f>
        <v>201331356.4815461</v>
      </c>
      <c r="D65" s="9">
        <f>D64/D61-1</f>
        <v>-0.34298897256515359</v>
      </c>
      <c r="E65" s="9">
        <f>E64/E61-1</f>
        <v>-0.48464744732118492</v>
      </c>
      <c r="F65" s="9">
        <f>F64/F61-1</f>
        <v>-0.26823783779443755</v>
      </c>
      <c r="G65" t="s">
        <v>3</v>
      </c>
      <c r="K65" s="2">
        <f>Biodiesel!Q122</f>
        <v>32480444.956097618</v>
      </c>
      <c r="L65" s="2">
        <f>'Renewable Diesel'!Q86</f>
        <v>18783896.830137823</v>
      </c>
    </row>
    <row r="66" spans="1:12" x14ac:dyDescent="0.25">
      <c r="A66" s="1">
        <v>45778</v>
      </c>
      <c r="B66" s="7">
        <f>Biodiesel!Q7</f>
        <v>137920236.89019856</v>
      </c>
      <c r="C66" s="7">
        <f>'Renewable Diesel'!Q53</f>
        <v>198336988.21685207</v>
      </c>
      <c r="D66" s="9">
        <f>D64/D52-1</f>
        <v>-0.17760022690807731</v>
      </c>
      <c r="E66" s="9">
        <f>E64/E52-1</f>
        <v>-0.38107398544988191</v>
      </c>
      <c r="F66" s="9">
        <f>F64/F52-1</f>
        <v>-6.3140157577438849E-2</v>
      </c>
      <c r="G66" t="s">
        <v>4</v>
      </c>
      <c r="K66" s="2">
        <f>Biodiesel!Q123</f>
        <v>25832523.487314105</v>
      </c>
      <c r="L66" s="2">
        <f>'Renewable Diesel'!Q87</f>
        <v>20510382.244069804</v>
      </c>
    </row>
    <row r="67" spans="1:12" x14ac:dyDescent="0.25">
      <c r="A67" s="1">
        <v>45809</v>
      </c>
      <c r="B67" s="7">
        <f>Biodiesel!Q8</f>
        <v>139596321.19621357</v>
      </c>
      <c r="C67" s="7">
        <f>'Renewable Diesel'!Q54</f>
        <v>195595310.42807597</v>
      </c>
      <c r="D67" s="7">
        <f>SUM(B65:C67)</f>
        <v>1004572199.462044</v>
      </c>
      <c r="E67" s="7">
        <f>SUM(B65:B67)</f>
        <v>409308544.33556986</v>
      </c>
      <c r="F67" s="7">
        <f>SUM(C65:C67)</f>
        <v>595263655.12647414</v>
      </c>
      <c r="G67" s="8">
        <f>E67/D67</f>
        <v>0.40744562168329729</v>
      </c>
      <c r="H67" s="8">
        <f>F67/D67</f>
        <v>0.59255437831670266</v>
      </c>
      <c r="K67" s="2">
        <f>Biodiesel!Q124</f>
        <v>28821440.11958158</v>
      </c>
      <c r="L67" s="2">
        <f>'Renewable Diesel'!Q88</f>
        <v>20293640.747774504</v>
      </c>
    </row>
    <row r="68" spans="1:12" x14ac:dyDescent="0.25">
      <c r="A68" s="1">
        <v>45839</v>
      </c>
      <c r="B68" s="7">
        <f>Biodiesel!Q9</f>
        <v>137410035.36067736</v>
      </c>
      <c r="C68" s="7">
        <f>'Renewable Diesel'!Q55</f>
        <v>192075200.21665865</v>
      </c>
      <c r="D68" s="9">
        <f>D67/D64-1</f>
        <v>0.15725630527344192</v>
      </c>
      <c r="E68" s="9">
        <f>E67/E64-1</f>
        <v>0.74030829377294993</v>
      </c>
      <c r="F68" s="9">
        <f>F67/F64-1</f>
        <v>-5.9422779039333351E-2</v>
      </c>
      <c r="G68" t="s">
        <v>3</v>
      </c>
      <c r="K68" s="2">
        <f>Biodiesel!Q125</f>
        <v>23596223.259005338</v>
      </c>
      <c r="L68" s="2">
        <f>'Renewable Diesel'!Q89</f>
        <v>14613410.606759492</v>
      </c>
    </row>
    <row r="69" spans="1:12" x14ac:dyDescent="0.25">
      <c r="A69" s="1">
        <v>45870</v>
      </c>
      <c r="B69" s="7">
        <f>Biodiesel!Q10</f>
        <v>143738699.39125273</v>
      </c>
      <c r="C69" s="7">
        <f>'Renewable Diesel'!Q56</f>
        <v>196758801.69768375</v>
      </c>
      <c r="D69" s="9">
        <f>D67/D55-1</f>
        <v>-0.16194286872168151</v>
      </c>
      <c r="E69" s="9">
        <f>E67/E55-1</f>
        <v>-8.1151033952751028E-3</v>
      </c>
      <c r="F69" s="9">
        <f>F67/F55-1</f>
        <v>-0.24270033123740853</v>
      </c>
      <c r="G69" t="s">
        <v>4</v>
      </c>
      <c r="K69" s="2">
        <f>Biodiesel!Q126</f>
        <v>25261458.307057053</v>
      </c>
      <c r="L69" s="2">
        <f>'Renewable Diesel'!Q90</f>
        <v>13889072.991061935</v>
      </c>
    </row>
    <row r="70" spans="1:12" x14ac:dyDescent="0.25">
      <c r="A70" s="1">
        <v>45901</v>
      </c>
      <c r="B70" s="7">
        <f>Biodiesel!Q11</f>
        <v>135753181.58840644</v>
      </c>
      <c r="C70" s="7">
        <f>'Renewable Diesel'!Q57</f>
        <v>199567496.23015037</v>
      </c>
      <c r="D70" s="7">
        <f>SUM(B68:C70)</f>
        <v>1005303414.4848292</v>
      </c>
      <c r="E70" s="7">
        <f>SUM(B68:B70)</f>
        <v>416901916.34033656</v>
      </c>
      <c r="F70" s="7">
        <f>SUM(C68:C70)</f>
        <v>588401498.14449275</v>
      </c>
      <c r="G70" s="8">
        <f>E70/D70</f>
        <v>0.41470257668823218</v>
      </c>
      <c r="H70" s="8">
        <f>F70/D70</f>
        <v>0.58529742331176793</v>
      </c>
      <c r="K70" s="2">
        <f>Biodiesel!Q127</f>
        <v>26401629.575841635</v>
      </c>
      <c r="L70" s="2">
        <f>'Renewable Diesel'!Q91</f>
        <v>18042274.536135055</v>
      </c>
    </row>
    <row r="71" spans="1:12" x14ac:dyDescent="0.25">
      <c r="A71" s="1">
        <v>45931</v>
      </c>
      <c r="B71" s="7">
        <f>Biodiesel!Q12</f>
        <v>134474043.6377117</v>
      </c>
      <c r="C71" s="7">
        <f>'Renewable Diesel'!Q58</f>
        <v>216647542.43543953</v>
      </c>
      <c r="D71" s="9">
        <f>D70/D67-1</f>
        <v>7.2788697833447991E-4</v>
      </c>
      <c r="E71" s="9">
        <f>E70/E67-1</f>
        <v>1.8551706554508884E-2</v>
      </c>
      <c r="F71" s="9">
        <f>F70/F67-1</f>
        <v>-1.1527928713409241E-2</v>
      </c>
      <c r="G71" t="s">
        <v>3</v>
      </c>
      <c r="K71" s="2">
        <f>Biodiesel!Q128</f>
        <v>28227264.880465716</v>
      </c>
      <c r="L71" s="2">
        <f>'Renewable Diesel'!Q92</f>
        <v>18677867.257025421</v>
      </c>
    </row>
    <row r="72" spans="1:12" x14ac:dyDescent="0.25">
      <c r="A72" s="1">
        <v>45962</v>
      </c>
      <c r="B72" s="7">
        <f>Biodiesel!Q13</f>
        <v>129676507.59899189</v>
      </c>
      <c r="C72" s="7">
        <f>'Renewable Diesel'!Q59</f>
        <v>233980933.73434195</v>
      </c>
      <c r="D72" s="9">
        <f>D70/D58-1</f>
        <v>-0.18352162074484168</v>
      </c>
      <c r="E72" s="9">
        <f>E70/E58-1</f>
        <v>-7.8865698242841509E-3</v>
      </c>
      <c r="F72" s="9">
        <f>F70/F58-1</f>
        <v>-0.27452032970415718</v>
      </c>
      <c r="G72" t="s">
        <v>4</v>
      </c>
      <c r="K72" s="2">
        <f>Biodiesel!Q129</f>
        <v>29089714.154138431</v>
      </c>
      <c r="L72" s="2">
        <f>'Renewable Diesel'!Q93</f>
        <v>16859024.316303566</v>
      </c>
    </row>
    <row r="73" spans="1:12" x14ac:dyDescent="0.25">
      <c r="A73" s="1">
        <v>45992</v>
      </c>
      <c r="B73" s="7">
        <f>Biodiesel!Q14</f>
        <v>258143861.5953773</v>
      </c>
      <c r="C73" s="7">
        <f>'Renewable Diesel'!Q60</f>
        <v>283976602.73018843</v>
      </c>
      <c r="D73" s="7">
        <f>SUM(B71:C73)</f>
        <v>1256899491.7320509</v>
      </c>
      <c r="E73" s="7">
        <f>SUM(B71:B73)</f>
        <v>522294412.83208084</v>
      </c>
      <c r="F73" s="7">
        <f>SUM(C71:C73)</f>
        <v>734605078.89996982</v>
      </c>
      <c r="G73" s="8">
        <f>E73/D73</f>
        <v>0.41554190789936679</v>
      </c>
      <c r="H73" s="8">
        <f>F73/D73</f>
        <v>0.58445809210063304</v>
      </c>
      <c r="K73" s="2">
        <f>Biodiesel!Q130</f>
        <v>106843258.26049855</v>
      </c>
      <c r="L73" s="2">
        <f>'Renewable Diesel'!Q94</f>
        <v>61474518.720732391</v>
      </c>
    </row>
    <row r="74" spans="1:12" x14ac:dyDescent="0.25">
      <c r="A74" s="1">
        <v>46023</v>
      </c>
      <c r="B74" s="7">
        <f>Biodiesel!R3</f>
        <v>98015663.363137141</v>
      </c>
      <c r="C74" s="7">
        <f>'Renewable Diesel'!R49</f>
        <v>173301039.9201065</v>
      </c>
      <c r="D74" s="9">
        <f>D73/D70-1</f>
        <v>0.25026879807839197</v>
      </c>
      <c r="E74" s="9">
        <f>E73/E70-1</f>
        <v>0.25279926131523811</v>
      </c>
      <c r="F74" s="9">
        <f>F73/F70-1</f>
        <v>0.24847588120785868</v>
      </c>
      <c r="G74" t="s">
        <v>3</v>
      </c>
      <c r="K74" s="2">
        <f>Biodiesel!R119</f>
        <v>10025806.092925757</v>
      </c>
      <c r="L74" s="2">
        <f>'Renewable Diesel'!R83</f>
        <v>19880459.240872473</v>
      </c>
    </row>
    <row r="75" spans="1:12" x14ac:dyDescent="0.25">
      <c r="A75" s="1">
        <v>46054</v>
      </c>
      <c r="B75" s="7">
        <f>Biodiesel!R4</f>
        <v>103981212.43447548</v>
      </c>
      <c r="C75" s="7">
        <f>'Renewable Diesel'!R50</f>
        <v>188920877.88275504</v>
      </c>
      <c r="D75" s="9">
        <f>D73/D61-1</f>
        <v>-4.8690990264033784E-2</v>
      </c>
      <c r="E75" s="9">
        <f>E73/E61-1</f>
        <v>0.14444569775303351</v>
      </c>
      <c r="F75" s="9">
        <f>F73/F61-1</f>
        <v>-0.15060643598655588</v>
      </c>
      <c r="G75" t="s">
        <v>4</v>
      </c>
      <c r="K75" s="2">
        <f>Biodiesel!R120</f>
        <v>12754540.988961801</v>
      </c>
      <c r="L75" s="2">
        <f>'Renewable Diesel'!R84</f>
        <v>23468739.279069103</v>
      </c>
    </row>
    <row r="76" spans="1:12" x14ac:dyDescent="0.25">
      <c r="A76" s="1">
        <v>46082</v>
      </c>
      <c r="B76" s="7">
        <f>Biodiesel!R5</f>
        <v>114303432.64373817</v>
      </c>
      <c r="C76" s="7">
        <f>'Renewable Diesel'!R51</f>
        <v>201087551.47234574</v>
      </c>
      <c r="D76" s="7">
        <f>SUM(B74:C76)</f>
        <v>879609777.71655798</v>
      </c>
      <c r="E76" s="7">
        <f>SUM(B74:B76)</f>
        <v>316300308.44135076</v>
      </c>
      <c r="F76" s="7">
        <f>SUM(C74:C76)</f>
        <v>563309469.27520728</v>
      </c>
      <c r="G76" s="8">
        <f>E76/D76</f>
        <v>0.35959162398405503</v>
      </c>
      <c r="H76" s="8">
        <f>F76/D76</f>
        <v>0.64040837601594502</v>
      </c>
      <c r="K76" s="2">
        <f>Biodiesel!R121</f>
        <v>13073719.046305522</v>
      </c>
      <c r="L76" s="2">
        <f>'Renewable Diesel'!R85</f>
        <v>23868378.757887889</v>
      </c>
    </row>
    <row r="77" spans="1:12" x14ac:dyDescent="0.25">
      <c r="A77" s="1">
        <v>46113</v>
      </c>
      <c r="B77" s="7">
        <f>Biodiesel!R6</f>
        <v>122281171.98496304</v>
      </c>
      <c r="C77" s="7">
        <f>'Renewable Diesel'!R52</f>
        <v>193344202.49970382</v>
      </c>
      <c r="D77" s="9">
        <f>D76/D73-1</f>
        <v>-0.30017492766710774</v>
      </c>
      <c r="E77" s="9">
        <f>E76/E73-1</f>
        <v>-0.39440227452128185</v>
      </c>
      <c r="F77" s="9">
        <f>F76/F73-1</f>
        <v>-0.23318054087138651</v>
      </c>
      <c r="G77" t="s">
        <v>3</v>
      </c>
      <c r="K77" s="2">
        <f>Biodiesel!R122</f>
        <v>18300201.31565322</v>
      </c>
      <c r="L77" s="2">
        <f>'Renewable Diesel'!R86</f>
        <v>25636030.997711245</v>
      </c>
    </row>
    <row r="78" spans="1:12" x14ac:dyDescent="0.25">
      <c r="A78" s="1">
        <v>46143</v>
      </c>
      <c r="B78" s="7">
        <f>Biodiesel!R7</f>
        <v>130181095.56558153</v>
      </c>
      <c r="C78" s="7">
        <f>'Renewable Diesel'!R53</f>
        <v>216099681.58198112</v>
      </c>
      <c r="D78" s="9">
        <f>D76/D64-1</f>
        <v>1.3300947396084339E-2</v>
      </c>
      <c r="E78" s="9">
        <f>E76/E64-1</f>
        <v>0.34485355295229958</v>
      </c>
      <c r="F78" s="9">
        <f>F76/F64-1</f>
        <v>-0.10991364819824323</v>
      </c>
      <c r="G78" t="s">
        <v>4</v>
      </c>
      <c r="K78" s="2">
        <f>Biodiesel!R123</f>
        <v>14129246.030895442</v>
      </c>
      <c r="L78" s="2">
        <f>'Renewable Diesel'!R87</f>
        <v>27054449.148971412</v>
      </c>
    </row>
    <row r="79" spans="1:12" x14ac:dyDescent="0.25">
      <c r="A79" s="1">
        <v>46174</v>
      </c>
      <c r="B79" s="7">
        <f>Biodiesel!R8</f>
        <v>128327443.75111075</v>
      </c>
      <c r="C79" s="7">
        <f>'Renewable Diesel'!R54</f>
        <v>215722928.55995023</v>
      </c>
      <c r="D79" s="7">
        <f>SUM(B77:C79)</f>
        <v>1005956523.9432906</v>
      </c>
      <c r="E79" s="7">
        <f>SUM(B77:B79)</f>
        <v>380789711.30165529</v>
      </c>
      <c r="F79" s="7">
        <f>SUM(C77:C79)</f>
        <v>625166812.64163518</v>
      </c>
      <c r="G79" s="8">
        <f>E79/D79</f>
        <v>0.37853495875644999</v>
      </c>
      <c r="H79" s="8">
        <f>F79/D79</f>
        <v>0.62146504124354995</v>
      </c>
      <c r="K79" s="2">
        <f>Biodiesel!R124</f>
        <v>16219458.665915295</v>
      </c>
      <c r="L79" s="2">
        <f>'Renewable Diesel'!R88</f>
        <v>29292945.59642696</v>
      </c>
    </row>
    <row r="80" spans="1:12" x14ac:dyDescent="0.25">
      <c r="A80" s="1">
        <v>46204</v>
      </c>
      <c r="B80" s="7">
        <f>Biodiesel!R9</f>
        <v>125884935.60488664</v>
      </c>
      <c r="C80" s="7">
        <f>'Renewable Diesel'!R55</f>
        <v>210519340.09415069</v>
      </c>
      <c r="D80" s="9">
        <f>D79/D76-1</f>
        <v>0.14363954270122514</v>
      </c>
      <c r="E80" s="9">
        <f>E79/E76-1</f>
        <v>0.20388662653568779</v>
      </c>
      <c r="F80" s="9">
        <f>F79/F76-1</f>
        <v>0.10981058679169342</v>
      </c>
      <c r="G80" t="s">
        <v>3</v>
      </c>
      <c r="K80" s="2">
        <f>Biodiesel!R125</f>
        <v>11284069.686876133</v>
      </c>
      <c r="L80" s="2">
        <f>'Renewable Diesel'!R89</f>
        <v>15307116.154142732</v>
      </c>
    </row>
    <row r="81" spans="1:12" x14ac:dyDescent="0.25">
      <c r="A81" s="1">
        <v>46235</v>
      </c>
      <c r="B81" s="7">
        <f>Biodiesel!R10</f>
        <v>131459720.50294538</v>
      </c>
      <c r="C81" s="7">
        <f>'Renewable Diesel'!R56</f>
        <v>216241453.26312792</v>
      </c>
      <c r="D81" s="9">
        <f>D79/D67-1</f>
        <v>1.3780238811982315E-3</v>
      </c>
      <c r="E81" s="9">
        <f>E79/E67-1</f>
        <v>-6.9675635724167795E-2</v>
      </c>
      <c r="F81" s="9">
        <f>F79/F67-1</f>
        <v>5.0235147497469157E-2</v>
      </c>
      <c r="G81" t="s">
        <v>4</v>
      </c>
      <c r="K81" s="2">
        <f>Biodiesel!R126</f>
        <v>13512643.140852675</v>
      </c>
      <c r="L81" s="2">
        <f>'Renewable Diesel'!R90</f>
        <v>13809419.090967605</v>
      </c>
    </row>
    <row r="82" spans="1:12" x14ac:dyDescent="0.25">
      <c r="A82" s="1">
        <v>46266</v>
      </c>
      <c r="B82" s="7">
        <f>Biodiesel!R11</f>
        <v>123115291.15353051</v>
      </c>
      <c r="C82" s="7">
        <f>'Renewable Diesel'!R57</f>
        <v>219228704.34448102</v>
      </c>
      <c r="D82" s="7">
        <f>SUM(B80:C82)</f>
        <v>1026449444.963122</v>
      </c>
      <c r="E82" s="7">
        <f>SUM(B80:B82)</f>
        <v>380459947.26136255</v>
      </c>
      <c r="F82" s="7">
        <f>SUM(C80:C82)</f>
        <v>645989497.70175958</v>
      </c>
      <c r="G82" s="8">
        <f>E82/D82</f>
        <v>0.37065629401264044</v>
      </c>
      <c r="H82" s="8">
        <f>F82/D82</f>
        <v>0.62934370598735967</v>
      </c>
      <c r="K82" s="2">
        <f>Biodiesel!R127</f>
        <v>13971002.642596155</v>
      </c>
      <c r="L82" s="2">
        <f>'Renewable Diesel'!R91</f>
        <v>19793062.848750956</v>
      </c>
    </row>
    <row r="83" spans="1:12" x14ac:dyDescent="0.25">
      <c r="A83" s="1">
        <v>46296</v>
      </c>
      <c r="B83" s="7">
        <f>Biodiesel!R12</f>
        <v>124925106.8480117</v>
      </c>
      <c r="C83" s="7">
        <f>'Renewable Diesel'!R58</f>
        <v>238583297.33016378</v>
      </c>
      <c r="D83" s="9">
        <f>D82/D79-1</f>
        <v>2.0371577232284777E-2</v>
      </c>
      <c r="E83" s="9">
        <f>E82/E79-1</f>
        <v>-8.6600039472051193E-4</v>
      </c>
      <c r="F83" s="9">
        <f>F82/F79-1</f>
        <v>3.3307406341898327E-2</v>
      </c>
      <c r="G83" t="s">
        <v>3</v>
      </c>
      <c r="K83" s="2">
        <f>Biodiesel!R128</f>
        <v>16526740.701209962</v>
      </c>
      <c r="L83" s="2">
        <f>'Renewable Diesel'!R92</f>
        <v>24683901.871777788</v>
      </c>
    </row>
    <row r="84" spans="1:12" x14ac:dyDescent="0.25">
      <c r="A84" s="1">
        <v>46327</v>
      </c>
      <c r="B84" s="7">
        <f>Biodiesel!R13</f>
        <v>120705638.08168112</v>
      </c>
      <c r="C84" s="7">
        <f>'Renewable Diesel'!R59</f>
        <v>288005904.49351925</v>
      </c>
      <c r="D84" s="9">
        <f>D82/D70-1</f>
        <v>2.103447593394403E-2</v>
      </c>
      <c r="E84" s="9">
        <f>E82/E70-1</f>
        <v>-8.7411373396577785E-2</v>
      </c>
      <c r="F84" s="9">
        <f>F82/F70-1</f>
        <v>9.7871945837780805E-2</v>
      </c>
      <c r="G84" t="s">
        <v>4</v>
      </c>
      <c r="K84" s="2">
        <f>Biodiesel!R129</f>
        <v>16835892.51453118</v>
      </c>
      <c r="L84" s="2">
        <f>'Renewable Diesel'!R93</f>
        <v>19886348.568507258</v>
      </c>
    </row>
    <row r="85" spans="1:12" x14ac:dyDescent="0.25">
      <c r="A85" s="1">
        <v>46357</v>
      </c>
      <c r="B85" s="7">
        <f>Biodiesel!R14</f>
        <v>137661873.42641428</v>
      </c>
      <c r="C85" s="7">
        <f>'Renewable Diesel'!R60</f>
        <v>327988261.60637504</v>
      </c>
      <c r="D85" s="7">
        <f>SUM(B83:C85)</f>
        <v>1237870081.786165</v>
      </c>
      <c r="E85" s="7">
        <f>SUM(B83:B85)</f>
        <v>383292618.35610712</v>
      </c>
      <c r="F85" s="7">
        <f>SUM(C83:C85)</f>
        <v>854577463.430058</v>
      </c>
      <c r="G85" s="8">
        <f>E85/D85</f>
        <v>0.30963880943227995</v>
      </c>
      <c r="H85" s="8">
        <f>F85/D85</f>
        <v>0.69036119056772016</v>
      </c>
      <c r="K85" s="2">
        <f>Biodiesel!R130</f>
        <v>33366679.173276901</v>
      </c>
      <c r="L85" s="2">
        <f>'Renewable Diesel'!R94</f>
        <v>31073492.569914579</v>
      </c>
    </row>
    <row r="86" spans="1:12" x14ac:dyDescent="0.25">
      <c r="A86" s="1">
        <v>46388</v>
      </c>
      <c r="B86" s="7">
        <f>Biodiesel!S3</f>
        <v>90708468.784077719</v>
      </c>
      <c r="C86" s="7">
        <f>'Renewable Diesel'!S49</f>
        <v>190327727.21764925</v>
      </c>
      <c r="D86" s="9">
        <f>D85/D82-1</f>
        <v>0.20597277134349157</v>
      </c>
      <c r="E86" s="9">
        <f>E85/E82-1</f>
        <v>7.445385815602279E-3</v>
      </c>
      <c r="F86" s="9">
        <f>F85/F82-1</f>
        <v>0.32289683728666341</v>
      </c>
      <c r="G86" t="s">
        <v>3</v>
      </c>
    </row>
    <row r="87" spans="1:12" x14ac:dyDescent="0.25">
      <c r="A87" s="1">
        <v>46419</v>
      </c>
      <c r="B87" s="7">
        <f>Biodiesel!S4</f>
        <v>96954079.202789247</v>
      </c>
      <c r="C87" s="7">
        <f>'Renewable Diesel'!S50</f>
        <v>208087458.74720728</v>
      </c>
      <c r="D87" s="9">
        <f>D85/D73-1</f>
        <v>-1.513996152521524E-2</v>
      </c>
      <c r="E87" s="9">
        <f>E85/E73-1</f>
        <v>-0.2661368589456139</v>
      </c>
      <c r="F87" s="9">
        <f>F85/F73-1</f>
        <v>0.16331548470879098</v>
      </c>
      <c r="G87" t="s">
        <v>4</v>
      </c>
    </row>
    <row r="88" spans="1:12" x14ac:dyDescent="0.25">
      <c r="A88" s="1">
        <v>46447</v>
      </c>
      <c r="B88" s="7">
        <f>Biodiesel!S5</f>
        <v>111936384.2928541</v>
      </c>
      <c r="C88" s="7">
        <f>'Renewable Diesel'!S51</f>
        <v>222331474.36161846</v>
      </c>
      <c r="D88" s="7">
        <f>SUM(B86:C88)</f>
        <v>920345592.60619617</v>
      </c>
      <c r="E88" s="7">
        <f>SUM(B86:B88)</f>
        <v>299598932.27972102</v>
      </c>
      <c r="F88" s="7">
        <f>SUM(C86:C88)</f>
        <v>620746660.32647491</v>
      </c>
      <c r="G88" s="8">
        <f>E88/D88</f>
        <v>0.32552873038847213</v>
      </c>
      <c r="H88" s="8">
        <f>F88/D88</f>
        <v>0.67447126961152759</v>
      </c>
    </row>
    <row r="89" spans="1:12" x14ac:dyDescent="0.25">
      <c r="A89" s="1">
        <v>46478</v>
      </c>
      <c r="B89" s="7">
        <f>Biodiesel!S6</f>
        <v>122758168.92761807</v>
      </c>
      <c r="C89" s="7">
        <f>'Renewable Diesel'!S52</f>
        <v>213396859.74068043</v>
      </c>
      <c r="D89" s="9">
        <f>D88/D85-1</f>
        <v>-0.25650873532851037</v>
      </c>
      <c r="E89" s="9">
        <f>E88/E85-1</f>
        <v>-0.21835454706990598</v>
      </c>
      <c r="F89" s="9">
        <f>F88/F85-1</f>
        <v>-0.27362154176760678</v>
      </c>
      <c r="G89" t="s">
        <v>3</v>
      </c>
    </row>
    <row r="90" spans="1:12" x14ac:dyDescent="0.25">
      <c r="A90" s="1">
        <v>46508</v>
      </c>
      <c r="B90" s="7">
        <f>Biodiesel!S7</f>
        <v>131279988.11683463</v>
      </c>
      <c r="C90" s="7">
        <f>'Renewable Diesel'!S53</f>
        <v>238853185.10802394</v>
      </c>
      <c r="D90" s="9">
        <f>D88/D76-1</f>
        <v>4.6311234733414697E-2</v>
      </c>
      <c r="E90" s="9">
        <f>E88/E76-1</f>
        <v>-5.2802275925464492E-2</v>
      </c>
      <c r="F90" s="9">
        <f>F88/F76-1</f>
        <v>0.10196383015746258</v>
      </c>
      <c r="G90" t="s">
        <v>4</v>
      </c>
    </row>
    <row r="91" spans="1:12" x14ac:dyDescent="0.25">
      <c r="A91" s="1">
        <v>46539</v>
      </c>
      <c r="B91" s="7">
        <f>Biodiesel!S8</f>
        <v>128291100.9364365</v>
      </c>
      <c r="C91" s="7">
        <f>'Renewable Diesel'!S54</f>
        <v>238366010.68480831</v>
      </c>
      <c r="D91" s="7">
        <f>SUM(B89:C91)</f>
        <v>1072945313.5144019</v>
      </c>
      <c r="E91" s="7">
        <f>SUM(B89:B91)</f>
        <v>382329257.9808892</v>
      </c>
      <c r="F91" s="7">
        <f>SUM(C89:C91)</f>
        <v>690616055.53351259</v>
      </c>
      <c r="G91" s="8">
        <f>E91/D91</f>
        <v>0.35633620200882427</v>
      </c>
      <c r="H91" s="8">
        <f>F91/D91</f>
        <v>0.64366379799117568</v>
      </c>
    </row>
    <row r="92" spans="1:12" x14ac:dyDescent="0.25">
      <c r="A92" s="1">
        <v>46569</v>
      </c>
      <c r="B92" s="7">
        <f>Biodiesel!S9</f>
        <v>126697521.14974993</v>
      </c>
      <c r="C92" s="7">
        <f>'Renewable Diesel'!S55</f>
        <v>232082093.56796181</v>
      </c>
      <c r="D92" s="9">
        <f>D91/D88-1</f>
        <v>0.16580697743776907</v>
      </c>
      <c r="E92" s="9">
        <f>E91/E88-1</f>
        <v>0.27613691768409532</v>
      </c>
      <c r="F92" s="9">
        <f>F91/F88-1</f>
        <v>0.11255702152354807</v>
      </c>
      <c r="G92" t="s">
        <v>3</v>
      </c>
    </row>
    <row r="93" spans="1:12" x14ac:dyDescent="0.25">
      <c r="A93" s="1">
        <v>46600</v>
      </c>
      <c r="B93" s="7">
        <f>Biodiesel!S10</f>
        <v>132090665.22020352</v>
      </c>
      <c r="C93" s="7">
        <f>'Renewable Diesel'!S56</f>
        <v>238636897.18670946</v>
      </c>
      <c r="D93" s="9">
        <f>D91/D79-1</f>
        <v>6.6592131942759591E-2</v>
      </c>
      <c r="E93" s="9">
        <f>E91/E79-1</f>
        <v>4.0430364412191722E-3</v>
      </c>
      <c r="F93" s="9">
        <f>F91/F79-1</f>
        <v>0.10469084661631722</v>
      </c>
      <c r="G93" t="s">
        <v>4</v>
      </c>
    </row>
    <row r="94" spans="1:12" x14ac:dyDescent="0.25">
      <c r="A94" s="1">
        <v>46631</v>
      </c>
      <c r="B94" s="7">
        <f>Biodiesel!S11</f>
        <v>124592502.84535326</v>
      </c>
      <c r="C94" s="7">
        <f>'Renewable Diesel'!S57</f>
        <v>242156755.52030525</v>
      </c>
      <c r="D94" s="7">
        <f>SUM(B92:C94)</f>
        <v>1096256435.4902833</v>
      </c>
      <c r="E94" s="7">
        <f>SUM(B92:B94)</f>
        <v>383380689.2153067</v>
      </c>
      <c r="F94" s="7">
        <f>SUM(C92:C94)</f>
        <v>712875746.27497649</v>
      </c>
      <c r="G94" s="8">
        <f>E94/D94</f>
        <v>0.34971807398680926</v>
      </c>
      <c r="H94" s="8">
        <f>F94/D94</f>
        <v>0.65028192601319068</v>
      </c>
    </row>
    <row r="95" spans="1:12" x14ac:dyDescent="0.25">
      <c r="A95" s="1">
        <v>46661</v>
      </c>
      <c r="B95" s="7">
        <f>Biodiesel!S12</f>
        <v>126829966.22731104</v>
      </c>
      <c r="C95" s="7">
        <f>'Renewable Diesel'!S58</f>
        <v>263133733.24879843</v>
      </c>
      <c r="D95" s="9">
        <f>D94/D91-1</f>
        <v>2.1726290876397547E-2</v>
      </c>
      <c r="E95" s="9">
        <f>E94/E91-1</f>
        <v>2.7500674156359928E-3</v>
      </c>
      <c r="F95" s="9">
        <f>F94/F91-1</f>
        <v>3.2231643853498193E-2</v>
      </c>
      <c r="G95" t="s">
        <v>3</v>
      </c>
    </row>
    <row r="96" spans="1:12" x14ac:dyDescent="0.25">
      <c r="A96" s="1">
        <v>46692</v>
      </c>
      <c r="B96" s="7">
        <f>Biodiesel!S13</f>
        <v>121482247.02564251</v>
      </c>
      <c r="C96" s="7">
        <f>'Renewable Diesel'!S59</f>
        <v>318437765.19553727</v>
      </c>
      <c r="D96" s="9">
        <f>D94/D82-1</f>
        <v>6.800821109087285E-2</v>
      </c>
      <c r="E96" s="9">
        <f>E94/E82-1</f>
        <v>7.6768710477104207E-3</v>
      </c>
      <c r="F96" s="9">
        <f>F94/F82-1</f>
        <v>0.1035407677852016</v>
      </c>
      <c r="G96" t="s">
        <v>4</v>
      </c>
    </row>
    <row r="97" spans="1:8" x14ac:dyDescent="0.25">
      <c r="A97" s="1">
        <v>46722</v>
      </c>
      <c r="B97" s="7">
        <f>Biodiesel!S14</f>
        <v>156664967.74563795</v>
      </c>
      <c r="C97" s="7">
        <f>'Renewable Diesel'!S60</f>
        <v>360408804.48522425</v>
      </c>
      <c r="D97" s="7">
        <f>SUM(B95:C97)</f>
        <v>1346957483.9281514</v>
      </c>
      <c r="E97" s="7">
        <f>SUM(B95:B97)</f>
        <v>404977180.99859154</v>
      </c>
      <c r="F97" s="7">
        <f>SUM(C95:C97)</f>
        <v>941980302.92955995</v>
      </c>
      <c r="G97" s="8">
        <f>E97/D97</f>
        <v>0.30066070075022028</v>
      </c>
      <c r="H97" s="8">
        <f>F97/D97</f>
        <v>0.69933929924977978</v>
      </c>
    </row>
    <row r="98" spans="1:8" x14ac:dyDescent="0.25">
      <c r="A98" s="1">
        <v>46753</v>
      </c>
      <c r="B98" s="7">
        <f>Biodiesel!T3</f>
        <v>73650931.236886859</v>
      </c>
      <c r="C98" s="7">
        <f>'Renewable Diesel'!T49</f>
        <v>194312790.4450902</v>
      </c>
      <c r="D98" s="9">
        <f>D97/D94-1</f>
        <v>0.22868832539691875</v>
      </c>
      <c r="E98" s="9">
        <f>E97/E94-1</f>
        <v>5.6331715161470397E-2</v>
      </c>
      <c r="F98" s="9">
        <f>F97/F94-1</f>
        <v>0.321380770564484</v>
      </c>
      <c r="G98" t="s">
        <v>3</v>
      </c>
    </row>
    <row r="99" spans="1:8" x14ac:dyDescent="0.25">
      <c r="A99" s="1">
        <v>46784</v>
      </c>
      <c r="B99" s="7">
        <f>Biodiesel!T4</f>
        <v>76714622.401454777</v>
      </c>
      <c r="C99" s="7">
        <f>'Renewable Diesel'!T50</f>
        <v>211940257.3015556</v>
      </c>
      <c r="D99" s="9">
        <f>D97/D85-1</f>
        <v>8.8125081740872524E-2</v>
      </c>
      <c r="E99" s="9">
        <f>E97/E85-1</f>
        <v>5.6574433224116705E-2</v>
      </c>
      <c r="F99" s="9">
        <f>F97/F85-1</f>
        <v>0.10227608758682805</v>
      </c>
      <c r="G99" t="s">
        <v>4</v>
      </c>
    </row>
    <row r="100" spans="1:8" x14ac:dyDescent="0.25">
      <c r="A100" s="1">
        <v>46813</v>
      </c>
      <c r="B100" s="7">
        <f>Biodiesel!T5</f>
        <v>87324865.1273157</v>
      </c>
      <c r="C100" s="7">
        <f>'Renewable Diesel'!T51</f>
        <v>227266907.74707708</v>
      </c>
      <c r="D100" s="7">
        <f>SUM(B98:C100)</f>
        <v>871210374.25938022</v>
      </c>
      <c r="E100" s="7">
        <f>SUM(B98:B100)</f>
        <v>237690418.76565734</v>
      </c>
      <c r="F100" s="7">
        <f>SUM(C98:C100)</f>
        <v>633519955.49372292</v>
      </c>
      <c r="G100" s="8">
        <f>E100/D100</f>
        <v>0.27282781035260167</v>
      </c>
      <c r="H100" s="8">
        <f>F100/D100</f>
        <v>0.72717218964739838</v>
      </c>
    </row>
    <row r="101" spans="1:8" x14ac:dyDescent="0.25">
      <c r="A101" s="1">
        <v>46844</v>
      </c>
      <c r="B101" s="7">
        <f>Biodiesel!T6</f>
        <v>96509092.511040851</v>
      </c>
      <c r="C101" s="7">
        <f>'Renewable Diesel'!T52</f>
        <v>217371467.25445896</v>
      </c>
      <c r="D101" s="9">
        <f>D100/D97-1</f>
        <v>-0.35320128166283549</v>
      </c>
      <c r="E101" s="9">
        <f>E100/E97-1</f>
        <v>-0.41307700799447267</v>
      </c>
      <c r="F101" s="9">
        <f>F100/F97-1</f>
        <v>-0.32745944525222548</v>
      </c>
      <c r="G101" t="s">
        <v>3</v>
      </c>
    </row>
    <row r="102" spans="1:8" x14ac:dyDescent="0.25">
      <c r="A102" s="1">
        <v>46874</v>
      </c>
      <c r="B102" s="7">
        <f>Biodiesel!T7</f>
        <v>105356930.12711979</v>
      </c>
      <c r="C102" s="7">
        <f>'Renewable Diesel'!T53</f>
        <v>242702114.27576911</v>
      </c>
      <c r="D102" s="9">
        <f>D100/D88-1</f>
        <v>-5.338779121838011E-2</v>
      </c>
      <c r="E102" s="9">
        <f>E100/E88-1</f>
        <v>-0.20663796443794635</v>
      </c>
      <c r="F102" s="9">
        <f>F100/F88-1</f>
        <v>2.057730791580914E-2</v>
      </c>
      <c r="G102" t="s">
        <v>4</v>
      </c>
    </row>
    <row r="103" spans="1:8" x14ac:dyDescent="0.25">
      <c r="A103" s="1">
        <v>46905</v>
      </c>
      <c r="B103" s="7">
        <f>Biodiesel!T8</f>
        <v>102051082.81149849</v>
      </c>
      <c r="C103" s="7">
        <f>'Renewable Diesel'!T54</f>
        <v>243606682.90877292</v>
      </c>
      <c r="D103" s="7">
        <f>SUM(B101:C103)</f>
        <v>1007597369.8886602</v>
      </c>
      <c r="E103" s="7">
        <f>SUM(B101:B103)</f>
        <v>303917105.44965911</v>
      </c>
      <c r="F103" s="7">
        <f>SUM(C101:C103)</f>
        <v>703680264.43900096</v>
      </c>
      <c r="G103" s="8">
        <f>E103/D103</f>
        <v>0.30162554461931756</v>
      </c>
      <c r="H103" s="8">
        <f>F103/D103</f>
        <v>0.69837445538068232</v>
      </c>
    </row>
    <row r="104" spans="1:8" x14ac:dyDescent="0.25">
      <c r="A104" s="1">
        <v>46935</v>
      </c>
      <c r="B104" s="7">
        <f>Biodiesel!T9</f>
        <v>101311751.51358101</v>
      </c>
      <c r="C104" s="7">
        <f>'Renewable Diesel'!T55</f>
        <v>236773522.09535536</v>
      </c>
      <c r="D104" s="9">
        <f>D103/D100-1</f>
        <v>0.15654886541637336</v>
      </c>
      <c r="E104" s="9">
        <f>E103/E100-1</f>
        <v>0.27862581515873264</v>
      </c>
      <c r="F104" s="9">
        <f>F103/F100-1</f>
        <v>0.11074680179663776</v>
      </c>
      <c r="G104" t="s">
        <v>3</v>
      </c>
    </row>
    <row r="105" spans="1:8" x14ac:dyDescent="0.25">
      <c r="A105" s="1">
        <v>46966</v>
      </c>
      <c r="B105" s="7">
        <f>Biodiesel!T10</f>
        <v>104368498.00468701</v>
      </c>
      <c r="C105" s="7">
        <f>'Renewable Diesel'!T56</f>
        <v>243626568.18724155</v>
      </c>
      <c r="D105" s="9">
        <f>D103/D91-1</f>
        <v>-6.0905195076248919E-2</v>
      </c>
      <c r="E105" s="9">
        <f>E103/E91-1</f>
        <v>-0.20509064084012518</v>
      </c>
      <c r="F105" s="9">
        <f>F103/F91-1</f>
        <v>1.8916746578380828E-2</v>
      </c>
      <c r="G105" t="s">
        <v>4</v>
      </c>
    </row>
    <row r="106" spans="1:8" x14ac:dyDescent="0.25">
      <c r="A106" s="1">
        <v>46997</v>
      </c>
      <c r="B106" s="7">
        <f>Biodiesel!T11</f>
        <v>98648565.200392768</v>
      </c>
      <c r="C106" s="7">
        <f>'Renewable Diesel'!T57</f>
        <v>246630143.23247263</v>
      </c>
      <c r="D106" s="7">
        <f>SUM(B104:C106)</f>
        <v>1031359048.2337303</v>
      </c>
      <c r="E106" s="7">
        <f>SUM(B104:B106)</f>
        <v>304328814.71866077</v>
      </c>
      <c r="F106" s="7">
        <f>SUM(C104:C106)</f>
        <v>727030233.5150696</v>
      </c>
      <c r="G106" s="8">
        <f>E106/D106</f>
        <v>0.29507552703381401</v>
      </c>
      <c r="H106" s="8">
        <f>F106/D106</f>
        <v>0.7049244729661861</v>
      </c>
    </row>
    <row r="107" spans="1:8" x14ac:dyDescent="0.25">
      <c r="A107" s="1">
        <v>47027</v>
      </c>
      <c r="B107" s="7">
        <f>Biodiesel!T12</f>
        <v>101367330.09276886</v>
      </c>
      <c r="C107" s="7">
        <f>'Renewable Diesel'!T58</f>
        <v>268323811.52612466</v>
      </c>
      <c r="D107" s="9">
        <f>D106/D103-1</f>
        <v>2.3582513268862293E-2</v>
      </c>
      <c r="E107" s="9">
        <f>E106/E103-1</f>
        <v>1.3546761982763389E-3</v>
      </c>
      <c r="F107" s="9">
        <f>F106/F103-1</f>
        <v>3.3182640264444618E-2</v>
      </c>
      <c r="G107" t="s">
        <v>3</v>
      </c>
    </row>
    <row r="108" spans="1:8" x14ac:dyDescent="0.25">
      <c r="A108" s="1">
        <v>47058</v>
      </c>
      <c r="B108" s="7">
        <f>Biodiesel!T13</f>
        <v>95745955.405538946</v>
      </c>
      <c r="C108" s="7">
        <f>'Renewable Diesel'!T59</f>
        <v>324105784.34622979</v>
      </c>
      <c r="D108" s="9">
        <f>D106/D94-1</f>
        <v>-5.9199093529178293E-2</v>
      </c>
      <c r="E108" s="9">
        <f>E106/E94-1</f>
        <v>-0.20619680834328713</v>
      </c>
      <c r="F108" s="9">
        <f>F106/F94-1</f>
        <v>1.9855475956441548E-2</v>
      </c>
      <c r="G108" t="s">
        <v>4</v>
      </c>
    </row>
    <row r="109" spans="1:8" x14ac:dyDescent="0.25">
      <c r="A109" s="1">
        <v>47088</v>
      </c>
      <c r="B109" s="7">
        <f>Biodiesel!T14</f>
        <v>128908763.41894458</v>
      </c>
      <c r="C109" s="7">
        <f>'Renewable Diesel'!T60</f>
        <v>366605883.8644672</v>
      </c>
      <c r="D109" s="7">
        <f>SUM(B107:C109)</f>
        <v>1285057528.654074</v>
      </c>
      <c r="E109" s="7">
        <f>SUM(B107:B109)</f>
        <v>326022048.91725242</v>
      </c>
      <c r="F109" s="7">
        <f>SUM(C107:C109)</f>
        <v>959035479.73682165</v>
      </c>
      <c r="G109" s="8">
        <f>E109/D109</f>
        <v>0.25370229865017557</v>
      </c>
      <c r="H109" s="8">
        <f>F109/D109</f>
        <v>0.74629770134982454</v>
      </c>
    </row>
    <row r="110" spans="1:8" x14ac:dyDescent="0.25">
      <c r="A110" s="1">
        <v>47119</v>
      </c>
      <c r="B110" s="7">
        <f>Biodiesel!U3</f>
        <v>82344485.293023407</v>
      </c>
      <c r="C110" s="7">
        <f>'Renewable Diesel'!U49</f>
        <v>196315383.19321719</v>
      </c>
      <c r="D110" s="9">
        <f>D109/D106-1</f>
        <v>0.24598463634446111</v>
      </c>
      <c r="E110" s="9">
        <f>E109/E106-1</f>
        <v>7.1282222219562597E-2</v>
      </c>
      <c r="F110" s="9">
        <f>F109/F106-1</f>
        <v>0.31911361526197535</v>
      </c>
      <c r="G110" t="s">
        <v>3</v>
      </c>
    </row>
    <row r="111" spans="1:8" x14ac:dyDescent="0.25">
      <c r="A111" s="1">
        <v>47150</v>
      </c>
      <c r="B111" s="7">
        <f>Biodiesel!U4</f>
        <v>87564249.538713023</v>
      </c>
      <c r="C111" s="7">
        <f>'Renewable Diesel'!U50</f>
        <v>214020412.68485782</v>
      </c>
      <c r="D111" s="9">
        <f>D109/D97-1</f>
        <v>-4.5955389099259225E-2</v>
      </c>
      <c r="E111" s="9">
        <f>E109/E97-1</f>
        <v>-0.19496192819223002</v>
      </c>
      <c r="F111" s="9">
        <f>F109/F97-1</f>
        <v>1.8105661821399055E-2</v>
      </c>
      <c r="G111" t="s">
        <v>4</v>
      </c>
    </row>
    <row r="112" spans="1:8" x14ac:dyDescent="0.25">
      <c r="A112" s="1">
        <v>47178</v>
      </c>
      <c r="B112" s="7">
        <f>Biodiesel!U5</f>
        <v>99623800.395883515</v>
      </c>
      <c r="C112" s="7">
        <f>'Renewable Diesel'!U51</f>
        <v>228580293.88394293</v>
      </c>
      <c r="D112" s="7">
        <f>SUM(B110:C112)</f>
        <v>908448624.98963797</v>
      </c>
      <c r="E112" s="7">
        <f>SUM(B110:B112)</f>
        <v>269532535.22761995</v>
      </c>
      <c r="F112" s="7">
        <f>SUM(C110:C112)</f>
        <v>638916089.76201797</v>
      </c>
      <c r="G112" s="8">
        <f>E112/D112</f>
        <v>0.29669540776804448</v>
      </c>
      <c r="H112" s="8">
        <f>F112/D112</f>
        <v>0.70330459223195552</v>
      </c>
    </row>
    <row r="113" spans="1:8" x14ac:dyDescent="0.25">
      <c r="A113" s="1">
        <v>47209</v>
      </c>
      <c r="B113" s="7">
        <f>Biodiesel!U6</f>
        <v>111919015.22006534</v>
      </c>
      <c r="C113" s="7">
        <f>'Renewable Diesel'!U52</f>
        <v>218955341.14504278</v>
      </c>
      <c r="D113" s="9">
        <f>D112/D109-1</f>
        <v>-0.29306773842170586</v>
      </c>
      <c r="E113" s="9">
        <f>E112/E109-1</f>
        <v>-0.17326899783998984</v>
      </c>
      <c r="F113" s="9">
        <f>F112/F109-1</f>
        <v>-0.33379306265358477</v>
      </c>
      <c r="G113" t="s">
        <v>3</v>
      </c>
    </row>
    <row r="114" spans="1:8" x14ac:dyDescent="0.25">
      <c r="A114" s="1">
        <v>47239</v>
      </c>
      <c r="B114" s="7">
        <f>Biodiesel!U7</f>
        <v>118974466.32869288</v>
      </c>
      <c r="C114" s="7">
        <f>'Renewable Diesel'!U53</f>
        <v>244000037.58973342</v>
      </c>
      <c r="D114" s="9">
        <f>D112/D100-1</f>
        <v>4.2743121329235967E-2</v>
      </c>
      <c r="E114" s="9">
        <f>E112/E100-1</f>
        <v>0.13396466137474494</v>
      </c>
      <c r="F114" s="9">
        <f>F112/F100-1</f>
        <v>8.5177021205111725E-3</v>
      </c>
      <c r="G114" t="s">
        <v>4</v>
      </c>
    </row>
    <row r="115" spans="1:8" x14ac:dyDescent="0.25">
      <c r="A115" s="1">
        <v>47270</v>
      </c>
      <c r="B115" s="7">
        <f>Biodiesel!U8</f>
        <v>116194869.4194393</v>
      </c>
      <c r="C115" s="7">
        <f>'Renewable Diesel'!U54</f>
        <v>244970522.4732177</v>
      </c>
      <c r="D115" s="7">
        <f>SUM(B113:C115)</f>
        <v>1055014252.1761916</v>
      </c>
      <c r="E115" s="7">
        <f>SUM(B113:B115)</f>
        <v>347088350.96819752</v>
      </c>
      <c r="F115" s="7">
        <f>SUM(C113:C115)</f>
        <v>707925901.20799387</v>
      </c>
      <c r="G115" s="8">
        <f>E115/D115</f>
        <v>0.32898925322786293</v>
      </c>
      <c r="H115" s="8">
        <f>F115/D115</f>
        <v>0.6710107467721369</v>
      </c>
    </row>
    <row r="116" spans="1:8" x14ac:dyDescent="0.25">
      <c r="A116" s="1">
        <v>47300</v>
      </c>
      <c r="B116" s="7">
        <f>Biodiesel!U9</f>
        <v>117053362.6174828</v>
      </c>
      <c r="C116" s="7">
        <f>'Renewable Diesel'!U55</f>
        <v>238956910.24844706</v>
      </c>
      <c r="D116" s="9">
        <f>D115/D112-1</f>
        <v>0.16133617593204619</v>
      </c>
      <c r="E116" s="9">
        <f>E115/E112-1</f>
        <v>0.28774194430769473</v>
      </c>
      <c r="F116" s="9">
        <f>F115/F112-1</f>
        <v>0.10801075845762553</v>
      </c>
      <c r="G116" t="s">
        <v>3</v>
      </c>
    </row>
    <row r="117" spans="1:8" x14ac:dyDescent="0.25">
      <c r="A117" s="1">
        <v>47331</v>
      </c>
      <c r="B117" s="7">
        <f>Biodiesel!U10</f>
        <v>119582994.88862705</v>
      </c>
      <c r="C117" s="7">
        <f>'Renewable Diesel'!U56</f>
        <v>245851134.01359108</v>
      </c>
      <c r="D117" s="9">
        <f>D115/D103-1</f>
        <v>4.7059354961169531E-2</v>
      </c>
      <c r="E117" s="9">
        <f>E115/E103-1</f>
        <v>0.14204941000166671</v>
      </c>
      <c r="F117" s="9">
        <f>F115/F103-1</f>
        <v>6.0334742688537002E-3</v>
      </c>
      <c r="G117" t="s">
        <v>4</v>
      </c>
    </row>
    <row r="118" spans="1:8" x14ac:dyDescent="0.25">
      <c r="A118" s="1">
        <v>47362</v>
      </c>
      <c r="B118" s="7">
        <f>Biodiesel!U11</f>
        <v>113039666.74188949</v>
      </c>
      <c r="C118" s="7">
        <f>'Renewable Diesel'!U57</f>
        <v>248718331.233812</v>
      </c>
      <c r="D118" s="7">
        <f>SUM(B116:C118)</f>
        <v>1083202399.7438495</v>
      </c>
      <c r="E118" s="7">
        <f>SUM(B116:B118)</f>
        <v>349676024.24799931</v>
      </c>
      <c r="F118" s="7">
        <f>SUM(C116:C118)</f>
        <v>733526375.49585009</v>
      </c>
      <c r="G118" s="8">
        <f>E118/D118</f>
        <v>0.32281688475827697</v>
      </c>
      <c r="H118" s="8">
        <f>F118/D118</f>
        <v>0.67718311524172292</v>
      </c>
    </row>
    <row r="119" spans="1:8" x14ac:dyDescent="0.25">
      <c r="A119" s="1">
        <v>47392</v>
      </c>
      <c r="B119" s="7">
        <f>Biodiesel!U12</f>
        <v>116849668.93225507</v>
      </c>
      <c r="C119" s="7">
        <f>'Renewable Diesel'!U58</f>
        <v>270208426.65035695</v>
      </c>
      <c r="D119" s="9">
        <f>D118/D115-1</f>
        <v>2.6718262345284849E-2</v>
      </c>
      <c r="E119" s="9">
        <f>E118/E115-1</f>
        <v>7.4553734591884524E-3</v>
      </c>
      <c r="F119" s="9">
        <f>F118/F115-1</f>
        <v>3.6162646746180638E-2</v>
      </c>
      <c r="G119" t="s">
        <v>3</v>
      </c>
    </row>
    <row r="120" spans="1:8" x14ac:dyDescent="0.25">
      <c r="A120" s="1">
        <v>47423</v>
      </c>
      <c r="B120" s="7">
        <f>Biodiesel!U13</f>
        <v>110546272.79410225</v>
      </c>
      <c r="C120" s="7">
        <f>'Renewable Diesel'!U59</f>
        <v>326915957.51048094</v>
      </c>
      <c r="D120" s="9">
        <f>D118/D106-1</f>
        <v>5.0267025434938883E-2</v>
      </c>
      <c r="E120" s="9">
        <f>E118/E106-1</f>
        <v>0.149007282045442</v>
      </c>
      <c r="F120" s="9">
        <f>F118/F106-1</f>
        <v>8.9351744691177348E-3</v>
      </c>
      <c r="G120" t="s">
        <v>4</v>
      </c>
    </row>
    <row r="121" spans="1:8" x14ac:dyDescent="0.25">
      <c r="A121" s="1">
        <v>47453</v>
      </c>
      <c r="B121" s="7">
        <f>Biodiesel!U14</f>
        <v>157388593.25165468</v>
      </c>
      <c r="C121" s="7">
        <f>'Renewable Diesel'!U60</f>
        <v>369856670.91491246</v>
      </c>
      <c r="D121" s="7">
        <f>SUM(B119:C121)</f>
        <v>1351765590.0537624</v>
      </c>
      <c r="E121" s="7">
        <f>SUM(B119:B121)</f>
        <v>384784534.97801203</v>
      </c>
      <c r="F121" s="7">
        <f>SUM(C119:C121)</f>
        <v>966981055.07575035</v>
      </c>
      <c r="G121" s="8">
        <f>E121/D121</f>
        <v>0.28465329921788318</v>
      </c>
      <c r="H121" s="8">
        <f>F121/D121</f>
        <v>0.71534670078211682</v>
      </c>
    </row>
    <row r="122" spans="1:8" x14ac:dyDescent="0.25">
      <c r="A122" s="1">
        <v>47484</v>
      </c>
      <c r="B122" s="7">
        <f>Biodiesel!V3</f>
        <v>79639224.581323087</v>
      </c>
      <c r="C122" s="7">
        <f>'Renewable Diesel'!V49</f>
        <v>205707631.69478792</v>
      </c>
      <c r="D122" s="9">
        <f>D121/D118-1</f>
        <v>0.24793444916058305</v>
      </c>
      <c r="E122" s="9">
        <f>E121/E118-1</f>
        <v>0.10040296816321859</v>
      </c>
      <c r="F122" s="9">
        <f>F121/F118-1</f>
        <v>0.31826351086842553</v>
      </c>
      <c r="G122" t="s">
        <v>3</v>
      </c>
    </row>
    <row r="123" spans="1:8" x14ac:dyDescent="0.25">
      <c r="A123" s="1">
        <v>47515</v>
      </c>
      <c r="B123" s="7">
        <f>Biodiesel!V4</f>
        <v>85185989.865512088</v>
      </c>
      <c r="C123" s="7">
        <f>'Renewable Diesel'!V50</f>
        <v>224248992.3909564</v>
      </c>
      <c r="D123" s="9">
        <f>D121/D109-1</f>
        <v>5.1910564244976865E-2</v>
      </c>
      <c r="E123" s="9">
        <f>E121/E109-1</f>
        <v>0.18024083418871495</v>
      </c>
      <c r="F123" s="9">
        <f>F121/F109-1</f>
        <v>8.284964953652274E-3</v>
      </c>
      <c r="G123" t="s">
        <v>4</v>
      </c>
    </row>
    <row r="124" spans="1:8" x14ac:dyDescent="0.25">
      <c r="A124" s="1">
        <v>47543</v>
      </c>
      <c r="B124" s="7">
        <f>Biodiesel!V5</f>
        <v>98788266.673304528</v>
      </c>
      <c r="C124" s="7">
        <f>'Renewable Diesel'!V51</f>
        <v>239819467.50720793</v>
      </c>
      <c r="D124" s="7">
        <f>SUM(B122:C124)</f>
        <v>933389572.71309185</v>
      </c>
      <c r="E124" s="7">
        <f>SUM(B122:B124)</f>
        <v>263613481.12013969</v>
      </c>
      <c r="F124" s="7">
        <f>SUM(C122:C124)</f>
        <v>669776091.59295225</v>
      </c>
      <c r="G124" s="8">
        <f>E124/D124</f>
        <v>0.28242599748987124</v>
      </c>
      <c r="H124" s="8">
        <f>F124/D124</f>
        <v>0.71757400251012882</v>
      </c>
    </row>
    <row r="125" spans="1:8" x14ac:dyDescent="0.25">
      <c r="A125" s="1">
        <v>47574</v>
      </c>
      <c r="B125" s="7">
        <f>Biodiesel!V6</f>
        <v>113782283.60542427</v>
      </c>
      <c r="C125" s="7">
        <f>'Renewable Diesel'!V52</f>
        <v>229462278.14924833</v>
      </c>
      <c r="D125" s="9">
        <f>D124/D121-1</f>
        <v>-0.30950337870638567</v>
      </c>
      <c r="E125" s="9">
        <f>E124/E121-1</f>
        <v>-0.31490624711514581</v>
      </c>
      <c r="F125" s="9">
        <f>F124/F121-1</f>
        <v>-0.30735345012474513</v>
      </c>
      <c r="G125" t="s">
        <v>3</v>
      </c>
    </row>
    <row r="126" spans="1:8" x14ac:dyDescent="0.25">
      <c r="A126" s="1">
        <v>47604</v>
      </c>
      <c r="B126" s="7">
        <f>Biodiesel!V7</f>
        <v>121238596.32327715</v>
      </c>
      <c r="C126" s="7">
        <f>'Renewable Diesel'!V53</f>
        <v>256351694.14983538</v>
      </c>
      <c r="D126" s="9">
        <f>D124/D112-1</f>
        <v>2.7454439400729225E-2</v>
      </c>
      <c r="E126" s="9">
        <f>E124/E112-1</f>
        <v>-2.1960443856922973E-2</v>
      </c>
      <c r="F126" s="9">
        <f>F124/F112-1</f>
        <v>4.8300555151818081E-2</v>
      </c>
      <c r="G126" t="s">
        <v>4</v>
      </c>
    </row>
    <row r="127" spans="1:8" x14ac:dyDescent="0.25">
      <c r="A127" s="1">
        <v>47635</v>
      </c>
      <c r="B127" s="7">
        <f>Biodiesel!V8</f>
        <v>119512100.43965368</v>
      </c>
      <c r="C127" s="7">
        <f>'Renewable Diesel'!V54</f>
        <v>256708443.04556444</v>
      </c>
      <c r="D127" s="7">
        <f>SUM(B125:C127)</f>
        <v>1097055395.7130032</v>
      </c>
      <c r="E127" s="7">
        <f>SUM(B125:B127)</f>
        <v>354532980.3683551</v>
      </c>
      <c r="F127" s="7">
        <f>SUM(C125:C127)</f>
        <v>742522415.34464812</v>
      </c>
      <c r="G127" s="8">
        <f>E127/D127</f>
        <v>0.32316780151100338</v>
      </c>
      <c r="H127" s="8">
        <f>F127/D127</f>
        <v>0.67683219848899667</v>
      </c>
    </row>
    <row r="128" spans="1:8" x14ac:dyDescent="0.25">
      <c r="A128" s="1">
        <v>47665</v>
      </c>
      <c r="B128" s="7">
        <f>Biodiesel!V9</f>
        <v>118250207.24527477</v>
      </c>
      <c r="C128" s="7">
        <f>'Renewable Diesel'!V55</f>
        <v>250033211.12136015</v>
      </c>
      <c r="D128" s="9">
        <f>D127/D124-1</f>
        <v>0.17534567321572103</v>
      </c>
      <c r="E128" s="9">
        <f>E127/E124-1</f>
        <v>0.34489700170826842</v>
      </c>
      <c r="F128" s="9">
        <f>F127/F124-1</f>
        <v>0.10861290013903102</v>
      </c>
      <c r="G128" t="s">
        <v>3</v>
      </c>
    </row>
    <row r="129" spans="1:8" x14ac:dyDescent="0.25">
      <c r="A129" s="1">
        <v>47696</v>
      </c>
      <c r="B129" s="7">
        <f>Biodiesel!V10</f>
        <v>122698327.46870466</v>
      </c>
      <c r="C129" s="7">
        <f>'Renewable Diesel'!V56</f>
        <v>257412084.30610371</v>
      </c>
      <c r="D129" s="9">
        <f>D127/D115-1</f>
        <v>3.9848886827919872E-2</v>
      </c>
      <c r="E129" s="9">
        <f>E127/E115-1</f>
        <v>2.1448802241247567E-2</v>
      </c>
      <c r="F129" s="9">
        <f>F127/F115-1</f>
        <v>4.8870247687814894E-2</v>
      </c>
      <c r="G129" t="s">
        <v>4</v>
      </c>
    </row>
    <row r="130" spans="1:8" x14ac:dyDescent="0.25">
      <c r="A130" s="1">
        <v>47727</v>
      </c>
      <c r="B130" s="7">
        <f>Biodiesel!V11</f>
        <v>115693624.97106646</v>
      </c>
      <c r="C130" s="7">
        <f>'Renewable Diesel'!V57</f>
        <v>260670373.02903578</v>
      </c>
      <c r="D130" s="7">
        <f>SUM(B128:C130)</f>
        <v>1124757828.1415455</v>
      </c>
      <c r="E130" s="7">
        <f>SUM(B128:B130)</f>
        <v>356642159.6850459</v>
      </c>
      <c r="F130" s="7">
        <f>SUM(C128:C130)</f>
        <v>768115668.4564997</v>
      </c>
      <c r="G130" s="8">
        <f>E130/D130</f>
        <v>0.31708350967810661</v>
      </c>
      <c r="H130" s="8">
        <f>F130/D130</f>
        <v>0.6829164903218935</v>
      </c>
    </row>
    <row r="131" spans="1:8" x14ac:dyDescent="0.25">
      <c r="A131" s="1">
        <v>47757</v>
      </c>
      <c r="B131" s="7">
        <f>Biodiesel!V12</f>
        <v>117497730.54929785</v>
      </c>
      <c r="C131" s="7">
        <f>'Renewable Diesel'!V58</f>
        <v>283206545.38055897</v>
      </c>
      <c r="D131" s="9">
        <f>D130/D127-1</f>
        <v>2.5251625885799323E-2</v>
      </c>
      <c r="E131" s="9">
        <f>E130/E127-1</f>
        <v>5.9491766167971694E-3</v>
      </c>
      <c r="F131" s="9">
        <f>F130/F127-1</f>
        <v>3.4467987205439865E-2</v>
      </c>
      <c r="G131" t="s">
        <v>3</v>
      </c>
    </row>
    <row r="132" spans="1:8" x14ac:dyDescent="0.25">
      <c r="A132" s="1">
        <v>47788</v>
      </c>
      <c r="B132" s="7">
        <f>Biodiesel!V13</f>
        <v>112401811.4875498</v>
      </c>
      <c r="C132" s="7">
        <f>'Renewable Diesel'!V59</f>
        <v>342127884.18371904</v>
      </c>
      <c r="D132" s="9">
        <f>D130/D118-1</f>
        <v>3.8363493662424419E-2</v>
      </c>
      <c r="E132" s="9">
        <f>E130/E118-1</f>
        <v>1.9921684513622973E-2</v>
      </c>
      <c r="F132" s="9">
        <f>F130/F118-1</f>
        <v>4.7154804675248352E-2</v>
      </c>
      <c r="G132" t="s">
        <v>4</v>
      </c>
    </row>
    <row r="133" spans="1:8" x14ac:dyDescent="0.25">
      <c r="A133" s="1">
        <v>47818</v>
      </c>
      <c r="B133" s="7">
        <f>Biodiesel!V14</f>
        <v>162967951.52164388</v>
      </c>
      <c r="C133" s="7">
        <f>'Renewable Diesel'!V60</f>
        <v>387299754.70567995</v>
      </c>
      <c r="D133" s="7">
        <f>SUM(B131:C133)</f>
        <v>1405501677.8284495</v>
      </c>
      <c r="E133" s="7">
        <f>SUM(B131:B133)</f>
        <v>392867493.55849153</v>
      </c>
      <c r="F133" s="7">
        <f>SUM(C131:C133)</f>
        <v>1012634184.269958</v>
      </c>
      <c r="G133" s="8">
        <f>E133/D133</f>
        <v>0.27952118432578887</v>
      </c>
      <c r="H133" s="8">
        <f>F133/D133</f>
        <v>0.72047881567421124</v>
      </c>
    </row>
    <row r="134" spans="1:8" x14ac:dyDescent="0.25">
      <c r="A134" s="1">
        <v>47849</v>
      </c>
      <c r="B134" s="7">
        <f>Biodiesel!W3</f>
        <v>84515444.617420524</v>
      </c>
      <c r="C134" s="7">
        <f>'Renewable Diesel'!W49</f>
        <v>222782293.77920413</v>
      </c>
      <c r="D134" s="9">
        <f>D133/D130-1</f>
        <v>0.2496038192957335</v>
      </c>
      <c r="E134" s="9">
        <f>E133/E130-1</f>
        <v>0.10157333587660133</v>
      </c>
      <c r="F134" s="9">
        <f>F133/F130-1</f>
        <v>0.31833553962622485</v>
      </c>
      <c r="G134" t="s">
        <v>3</v>
      </c>
    </row>
    <row r="135" spans="1:8" x14ac:dyDescent="0.25">
      <c r="A135" s="1">
        <v>47880</v>
      </c>
      <c r="B135" s="7">
        <f>Biodiesel!W4</f>
        <v>89701855.18186897</v>
      </c>
      <c r="C135" s="7">
        <f>'Renewable Diesel'!W50</f>
        <v>242941688.091079</v>
      </c>
      <c r="D135" s="9">
        <f>D133/D121-1</f>
        <v>3.9752519349564031E-2</v>
      </c>
      <c r="E135" s="9">
        <f>E133/E121-1</f>
        <v>2.1006453861097674E-2</v>
      </c>
      <c r="F135" s="9">
        <f>F133/F121-1</f>
        <v>4.7212020291991452E-2</v>
      </c>
      <c r="G135" t="s">
        <v>4</v>
      </c>
    </row>
    <row r="136" spans="1:8" x14ac:dyDescent="0.25">
      <c r="A136" s="1">
        <v>47908</v>
      </c>
      <c r="B136" s="7">
        <f>Biodiesel!W5</f>
        <v>101965483.45301311</v>
      </c>
      <c r="C136" s="7">
        <f>'Renewable Diesel'!W51</f>
        <v>259742588.4406063</v>
      </c>
      <c r="D136" s="7">
        <f>SUM(B134:C136)</f>
        <v>1001649353.5631919</v>
      </c>
      <c r="E136" s="7">
        <f>SUM(B134:B136)</f>
        <v>276182783.25230259</v>
      </c>
      <c r="F136" s="7">
        <f>SUM(C134:C136)</f>
        <v>725466570.31088948</v>
      </c>
      <c r="G136" s="8">
        <f>E136/D136</f>
        <v>0.2757280102760819</v>
      </c>
      <c r="H136" s="8">
        <f>F136/D136</f>
        <v>0.72427198972391826</v>
      </c>
    </row>
    <row r="137" spans="1:8" x14ac:dyDescent="0.25">
      <c r="A137" s="1">
        <v>47939</v>
      </c>
      <c r="B137" s="7">
        <f>Biodiesel!W6</f>
        <v>113073119.63273118</v>
      </c>
      <c r="C137" s="7">
        <f>'Renewable Diesel'!W52</f>
        <v>248826445.36842561</v>
      </c>
      <c r="D137" s="9">
        <f>D136/D133-1</f>
        <v>-0.28733677848696981</v>
      </c>
      <c r="E137" s="9">
        <f>E136/E133-1</f>
        <v>-0.29700780089818379</v>
      </c>
      <c r="F137" s="9">
        <f>F136/F133-1</f>
        <v>-0.28358475194682209</v>
      </c>
      <c r="G137" t="s">
        <v>3</v>
      </c>
    </row>
    <row r="138" spans="1:8" x14ac:dyDescent="0.25">
      <c r="A138" s="1">
        <v>47969</v>
      </c>
      <c r="B138" s="7">
        <f>Biodiesel!W7</f>
        <v>121002717.39010131</v>
      </c>
      <c r="C138" s="7">
        <f>'Renewable Diesel'!W53</f>
        <v>277936054.80820769</v>
      </c>
      <c r="D138" s="9">
        <f>D136/D124-1</f>
        <v>7.3131072861344126E-2</v>
      </c>
      <c r="E138" s="9">
        <f>E136/E124-1</f>
        <v>4.768080175093381E-2</v>
      </c>
      <c r="F138" s="9">
        <f>F136/F124-1</f>
        <v>8.3147904825158214E-2</v>
      </c>
      <c r="G138" t="s">
        <v>4</v>
      </c>
    </row>
    <row r="139" spans="1:8" x14ac:dyDescent="0.25">
      <c r="A139" s="1">
        <v>48000</v>
      </c>
      <c r="B139" s="7">
        <f>Biodiesel!W8</f>
        <v>118507037.85269792</v>
      </c>
      <c r="C139" s="7">
        <f>'Renewable Diesel'!W54</f>
        <v>278342482.54892325</v>
      </c>
      <c r="D139" s="7">
        <f>SUM(B137:C139)</f>
        <v>1157687857.6010871</v>
      </c>
      <c r="E139" s="7">
        <f>SUM(B137:B139)</f>
        <v>352582874.87553042</v>
      </c>
      <c r="F139" s="7">
        <f>SUM(C137:C139)</f>
        <v>805104982.72555661</v>
      </c>
      <c r="G139" s="8">
        <f>E139/D139</f>
        <v>0.30455780680479633</v>
      </c>
      <c r="H139" s="8">
        <f>F139/D139</f>
        <v>0.69544219319520362</v>
      </c>
    </row>
    <row r="140" spans="1:8" x14ac:dyDescent="0.25">
      <c r="A140" s="1">
        <v>48030</v>
      </c>
      <c r="B140" s="7">
        <f>Biodiesel!W9</f>
        <v>117478901.26538534</v>
      </c>
      <c r="C140" s="7">
        <f>'Renewable Diesel'!W55</f>
        <v>271095635.63357651</v>
      </c>
      <c r="D140" s="9">
        <f>D139/D136-1</f>
        <v>0.15578156515832164</v>
      </c>
      <c r="E140" s="9">
        <f>E139/E136-1</f>
        <v>0.2766287265395313</v>
      </c>
      <c r="F140" s="9">
        <f>F139/F136-1</f>
        <v>0.10977544062511257</v>
      </c>
      <c r="G140" t="s">
        <v>3</v>
      </c>
    </row>
    <row r="141" spans="1:8" x14ac:dyDescent="0.25">
      <c r="A141" s="1">
        <v>48061</v>
      </c>
      <c r="B141" s="7">
        <f>Biodiesel!W10</f>
        <v>121666952.63630889</v>
      </c>
      <c r="C141" s="7">
        <f>'Renewable Diesel'!W56</f>
        <v>278979038.75780982</v>
      </c>
      <c r="D141" s="9">
        <f>D139/D127-1</f>
        <v>5.5268368511762755E-2</v>
      </c>
      <c r="E141" s="9">
        <f>E139/E127-1</f>
        <v>-5.5004910708125188E-3</v>
      </c>
      <c r="F141" s="9">
        <f>F139/F127-1</f>
        <v>8.428374159163976E-2</v>
      </c>
      <c r="G141" t="s">
        <v>4</v>
      </c>
    </row>
    <row r="142" spans="1:8" x14ac:dyDescent="0.25">
      <c r="A142" s="1">
        <v>48092</v>
      </c>
      <c r="B142" s="7">
        <f>Biodiesel!W11</f>
        <v>114674093.80411504</v>
      </c>
      <c r="C142" s="7">
        <f>'Renewable Diesel'!W57</f>
        <v>282559598.33993489</v>
      </c>
      <c r="D142" s="7">
        <f>SUM(B140:C142)</f>
        <v>1186454220.4371305</v>
      </c>
      <c r="E142" s="7">
        <f>SUM(B140:B142)</f>
        <v>353819947.7058093</v>
      </c>
      <c r="F142" s="7">
        <f>SUM(C140:C142)</f>
        <v>832634272.7313211</v>
      </c>
      <c r="G142" s="8">
        <f>E142/D142</f>
        <v>0.29821626625884468</v>
      </c>
      <c r="H142" s="8">
        <f>F142/D142</f>
        <v>0.70178373374115521</v>
      </c>
    </row>
    <row r="143" spans="1:8" x14ac:dyDescent="0.25">
      <c r="A143" s="1">
        <v>48122</v>
      </c>
      <c r="B143" s="7">
        <f>Biodiesel!W12</f>
        <v>117139597.50267988</v>
      </c>
      <c r="C143" s="7">
        <f>'Renewable Diesel'!W58</f>
        <v>307061170.11684263</v>
      </c>
      <c r="D143" s="9">
        <f>D142/D139-1</f>
        <v>2.4848116568875422E-2</v>
      </c>
      <c r="E143" s="9">
        <f>E142/E139-1</f>
        <v>3.5086015754894895E-3</v>
      </c>
      <c r="F143" s="9">
        <f>F142/F139-1</f>
        <v>3.4193416506464125E-2</v>
      </c>
      <c r="G143" t="s">
        <v>3</v>
      </c>
    </row>
    <row r="144" spans="1:8" x14ac:dyDescent="0.25">
      <c r="A144" s="1">
        <v>48153</v>
      </c>
      <c r="B144" s="7">
        <f>Biodiesel!W13</f>
        <v>111848852.90908106</v>
      </c>
      <c r="C144" s="7">
        <f>'Renewable Diesel'!W59</f>
        <v>371062267.34164441</v>
      </c>
      <c r="D144" s="9">
        <f>D142/D130-1</f>
        <v>5.4853045475155238E-2</v>
      </c>
      <c r="E144" s="9">
        <f>E142/E130-1</f>
        <v>-7.9132875982158568E-3</v>
      </c>
      <c r="F144" s="9">
        <f>F142/F130-1</f>
        <v>8.3995948688911914E-2</v>
      </c>
      <c r="G144" t="s">
        <v>4</v>
      </c>
    </row>
    <row r="145" spans="1:8" x14ac:dyDescent="0.25">
      <c r="A145" s="1">
        <v>48183</v>
      </c>
      <c r="B145" s="7">
        <f>Biodiesel!W14</f>
        <v>148228949.52301049</v>
      </c>
      <c r="C145" s="7">
        <f>'Renewable Diesel'!W60</f>
        <v>420348949.46926063</v>
      </c>
      <c r="D145" s="7">
        <f>SUM(B143:C145)</f>
        <v>1475689786.862519</v>
      </c>
      <c r="E145" s="7">
        <f>SUM(B143:B145)</f>
        <v>377217399.93477142</v>
      </c>
      <c r="F145" s="7">
        <f>SUM(C143:C145)</f>
        <v>1098472386.9277477</v>
      </c>
      <c r="G145" s="8">
        <f>E145/D145</f>
        <v>0.25562106839322757</v>
      </c>
      <c r="H145" s="8">
        <f>F145/D145</f>
        <v>0.74437893160677249</v>
      </c>
    </row>
    <row r="146" spans="1:8" x14ac:dyDescent="0.25">
      <c r="A146" s="1">
        <v>48214</v>
      </c>
      <c r="B146" s="7">
        <f>Biodiesel!X3</f>
        <v>87891592.070975751</v>
      </c>
      <c r="C146" s="7">
        <f>'Renewable Diesel'!X49</f>
        <v>264059013.18170139</v>
      </c>
      <c r="D146" s="9">
        <f>D145/D142-1</f>
        <v>0.24378148051833315</v>
      </c>
      <c r="E146" s="9">
        <f>E145/E142-1</f>
        <v>6.6128132064550593E-2</v>
      </c>
      <c r="F146" s="9">
        <f>F145/F142-1</f>
        <v>0.31927356692199083</v>
      </c>
      <c r="G146" t="s">
        <v>3</v>
      </c>
    </row>
    <row r="147" spans="1:8" x14ac:dyDescent="0.25">
      <c r="A147" s="1">
        <v>48245</v>
      </c>
      <c r="B147" s="7">
        <f>Biodiesel!X4</f>
        <v>93295735.701281473</v>
      </c>
      <c r="C147" s="7">
        <f>'Renewable Diesel'!X50</f>
        <v>288186763.80865526</v>
      </c>
      <c r="D147" s="9">
        <f>D145/D133-1</f>
        <v>4.9938118282798927E-2</v>
      </c>
      <c r="E147" s="9">
        <f>E145/E133-1</f>
        <v>-3.9835552394436147E-2</v>
      </c>
      <c r="F147" s="9">
        <f>F145/F133-1</f>
        <v>8.4767237755926095E-2</v>
      </c>
      <c r="G147" t="s">
        <v>4</v>
      </c>
    </row>
    <row r="148" spans="1:8" x14ac:dyDescent="0.25">
      <c r="A148" s="1">
        <v>48274</v>
      </c>
      <c r="B148" s="7">
        <f>Biodiesel!X5</f>
        <v>106883481.69804786</v>
      </c>
      <c r="C148" s="7">
        <f>'Renewable Diesel'!X51</f>
        <v>308030377.58673579</v>
      </c>
      <c r="D148" s="7">
        <f>SUM(B146:C148)</f>
        <v>1148346964.0473976</v>
      </c>
      <c r="E148" s="7">
        <f>SUM(B146:B148)</f>
        <v>288070809.47030509</v>
      </c>
      <c r="F148" s="7">
        <f>SUM(C146:C148)</f>
        <v>860276154.57709241</v>
      </c>
      <c r="G148" s="8">
        <f>E148/D148</f>
        <v>0.2508569434929207</v>
      </c>
      <c r="H148" s="8">
        <f>F148/D148</f>
        <v>0.74914305650707913</v>
      </c>
    </row>
    <row r="149" spans="1:8" x14ac:dyDescent="0.25">
      <c r="A149" s="1">
        <v>48305</v>
      </c>
      <c r="B149" s="7">
        <f>Biodiesel!X6</f>
        <v>119477064.91385268</v>
      </c>
      <c r="C149" s="7">
        <f>'Renewable Diesel'!X52</f>
        <v>295175326.88767368</v>
      </c>
      <c r="D149" s="9">
        <f>D148/D145-1</f>
        <v>-0.22182360122657541</v>
      </c>
      <c r="E149" s="9">
        <f>E148/E145-1</f>
        <v>-0.23632682500828861</v>
      </c>
      <c r="F149" s="9">
        <f>F148/F145-1</f>
        <v>-0.2168431680079389</v>
      </c>
      <c r="G149" t="s">
        <v>3</v>
      </c>
    </row>
    <row r="150" spans="1:8" x14ac:dyDescent="0.25">
      <c r="A150" s="1">
        <v>48335</v>
      </c>
      <c r="B150" s="7">
        <f>Biodiesel!X7</f>
        <v>128000262.53811045</v>
      </c>
      <c r="C150" s="7">
        <f>'Renewable Diesel'!X53</f>
        <v>329674933.86319137</v>
      </c>
      <c r="D150" s="9">
        <f>D148/D136-1</f>
        <v>0.14645605267188033</v>
      </c>
      <c r="E150" s="9">
        <f>E148/E136-1</f>
        <v>4.3044052485858186E-2</v>
      </c>
      <c r="F150" s="9">
        <f>F148/F136-1</f>
        <v>0.18582466757693883</v>
      </c>
      <c r="G150" t="s">
        <v>4</v>
      </c>
    </row>
    <row r="151" spans="1:8" x14ac:dyDescent="0.25">
      <c r="A151" s="1">
        <v>48366</v>
      </c>
      <c r="B151" s="7">
        <f>Biodiesel!X8</f>
        <v>125180524.38988824</v>
      </c>
      <c r="C151" s="7">
        <f>'Renewable Diesel'!X54</f>
        <v>330115541.04007667</v>
      </c>
      <c r="D151" s="7">
        <f>SUM(B149:C151)</f>
        <v>1327623653.6327932</v>
      </c>
      <c r="E151" s="7">
        <f>SUM(B149:B151)</f>
        <v>372657851.84185135</v>
      </c>
      <c r="F151" s="7">
        <f>SUM(C149:C151)</f>
        <v>954965801.79094172</v>
      </c>
      <c r="G151" s="8">
        <f>E151/D151</f>
        <v>0.28069539949980782</v>
      </c>
      <c r="H151" s="8">
        <f>F151/D151</f>
        <v>0.71930460050019207</v>
      </c>
    </row>
    <row r="152" spans="1:8" x14ac:dyDescent="0.25">
      <c r="A152" s="1">
        <v>48396</v>
      </c>
      <c r="B152" s="7">
        <f>Biodiesel!X9</f>
        <v>124378517.04396257</v>
      </c>
      <c r="C152" s="7">
        <f>'Renewable Diesel'!X55</f>
        <v>321538833.71866876</v>
      </c>
      <c r="D152" s="9">
        <f>D151/D148-1</f>
        <v>0.156117179910092</v>
      </c>
      <c r="E152" s="9">
        <f>E151/E148-1</f>
        <v>0.29363281384560302</v>
      </c>
      <c r="F152" s="9">
        <f>F151/F148-1</f>
        <v>0.11006889672584075</v>
      </c>
      <c r="G152" t="s">
        <v>3</v>
      </c>
    </row>
    <row r="153" spans="1:8" x14ac:dyDescent="0.25">
      <c r="A153" s="1">
        <v>48427</v>
      </c>
      <c r="B153" s="7">
        <f>Biodiesel!X10</f>
        <v>128579959.17383428</v>
      </c>
      <c r="C153" s="7">
        <f>'Renewable Diesel'!X56</f>
        <v>330667683.35045755</v>
      </c>
      <c r="D153" s="9">
        <f>D151/D139-1</f>
        <v>0.14678895949020321</v>
      </c>
      <c r="E153" s="9">
        <f>E151/E139-1</f>
        <v>5.6936903056927557E-2</v>
      </c>
      <c r="F153" s="9">
        <f>F151/F139-1</f>
        <v>0.18613823325009715</v>
      </c>
      <c r="G153" t="s">
        <v>4</v>
      </c>
    </row>
    <row r="154" spans="1:8" x14ac:dyDescent="0.25">
      <c r="A154" s="1">
        <v>48458</v>
      </c>
      <c r="B154" s="7">
        <f>Biodiesel!X11</f>
        <v>121357948.27251801</v>
      </c>
      <c r="C154" s="7">
        <f>'Renewable Diesel'!X57</f>
        <v>334977538.00954771</v>
      </c>
      <c r="D154" s="7">
        <f>SUM(B152:C154)</f>
        <v>1361500479.5689888</v>
      </c>
      <c r="E154" s="7">
        <f>SUM(B152:B154)</f>
        <v>374316424.49031484</v>
      </c>
      <c r="F154" s="7">
        <f>SUM(C152:C154)</f>
        <v>987184055.07867408</v>
      </c>
      <c r="G154" s="8">
        <f>E154/D154</f>
        <v>0.27492933723300078</v>
      </c>
      <c r="H154" s="8">
        <f>F154/D154</f>
        <v>0.72507066276699927</v>
      </c>
    </row>
    <row r="155" spans="1:8" x14ac:dyDescent="0.25">
      <c r="A155" s="1">
        <v>48488</v>
      </c>
      <c r="B155" s="7">
        <f>Biodiesel!X12</f>
        <v>124146466.09239797</v>
      </c>
      <c r="C155" s="7">
        <f>'Renewable Diesel'!X58</f>
        <v>364211403.58770156</v>
      </c>
      <c r="D155" s="9">
        <f>D154/D151-1</f>
        <v>2.5516889401222986E-2</v>
      </c>
      <c r="E155" s="9">
        <f>E154/E151-1</f>
        <v>4.4506579970502447E-3</v>
      </c>
      <c r="F155" s="9">
        <f>F154/F151-1</f>
        <v>3.3737599008582642E-2</v>
      </c>
      <c r="G155" t="s">
        <v>3</v>
      </c>
    </row>
    <row r="156" spans="1:8" x14ac:dyDescent="0.25">
      <c r="A156" s="1">
        <v>48519</v>
      </c>
      <c r="B156" s="7">
        <f>Biodiesel!X13</f>
        <v>118234092.67355746</v>
      </c>
      <c r="C156" s="7">
        <f>'Renewable Diesel'!X59</f>
        <v>440363381.72453421</v>
      </c>
      <c r="D156" s="9">
        <f>D154/D142-1</f>
        <v>0.14753730579454238</v>
      </c>
      <c r="E156" s="9">
        <f>E154/E142-1</f>
        <v>5.7929115973833545E-2</v>
      </c>
      <c r="F156" s="9">
        <f>F154/F142-1</f>
        <v>0.18561544655179474</v>
      </c>
      <c r="G156" t="s">
        <v>4</v>
      </c>
    </row>
    <row r="157" spans="1:8" x14ac:dyDescent="0.25">
      <c r="A157" s="1">
        <v>48549</v>
      </c>
      <c r="B157" s="7">
        <f>Biodiesel!X14</f>
        <v>161466409.75747168</v>
      </c>
      <c r="C157" s="7">
        <f>'Renewable Diesel'!X60</f>
        <v>498475419.86634046</v>
      </c>
      <c r="D157" s="7">
        <f>SUM(B155:C157)</f>
        <v>1706897173.7020032</v>
      </c>
      <c r="E157" s="7">
        <f>SUM(B155:B157)</f>
        <v>403846968.52342713</v>
      </c>
      <c r="F157" s="7">
        <f>SUM(C155:C157)</f>
        <v>1303050205.1785762</v>
      </c>
      <c r="G157" s="8">
        <f>E157/D157</f>
        <v>0.23659712766853072</v>
      </c>
      <c r="H157" s="8">
        <f>F157/D157</f>
        <v>0.76340287233146931</v>
      </c>
    </row>
    <row r="158" spans="1:8" x14ac:dyDescent="0.25">
      <c r="A158" s="1">
        <v>48580</v>
      </c>
      <c r="B158" s="7">
        <f>Biodiesel!Y3</f>
        <v>102340019.60040376</v>
      </c>
      <c r="C158" s="7">
        <f>'Renewable Diesel'!Y49</f>
        <v>262890228.64060161</v>
      </c>
      <c r="D158" s="9">
        <f>D157/D154-1</f>
        <v>0.25368826476091799</v>
      </c>
      <c r="E158" s="9">
        <f>E157/E154-1</f>
        <v>7.8891926992843864E-2</v>
      </c>
      <c r="F158" s="9">
        <f>F157/F154-1</f>
        <v>0.31996682733568771</v>
      </c>
      <c r="G158" t="s">
        <v>3</v>
      </c>
    </row>
    <row r="159" spans="1:8" x14ac:dyDescent="0.25">
      <c r="A159" s="1">
        <v>48611</v>
      </c>
      <c r="B159" s="7">
        <f>Biodiesel!Y4</f>
        <v>87267964.936471209</v>
      </c>
      <c r="C159" s="7">
        <f>'Renewable Diesel'!Y50</f>
        <v>286740408.06441188</v>
      </c>
      <c r="D159" s="9">
        <f>D157/D145-1</f>
        <v>0.15667750017505844</v>
      </c>
      <c r="E159" s="9">
        <f>E157/E145-1</f>
        <v>7.0594751443757708E-2</v>
      </c>
      <c r="F159" s="9">
        <f>F157/F145-1</f>
        <v>0.18623847143122108</v>
      </c>
      <c r="G159" t="s">
        <v>4</v>
      </c>
    </row>
    <row r="160" spans="1:8" x14ac:dyDescent="0.25">
      <c r="A160" s="1">
        <v>48639</v>
      </c>
      <c r="B160" s="7">
        <f>Biodiesel!Y5</f>
        <v>99804035.947552264</v>
      </c>
      <c r="C160" s="7">
        <f>'Renewable Diesel'!Y51</f>
        <v>306629223.56984639</v>
      </c>
      <c r="D160" s="7">
        <f>SUM(B158:C160)</f>
        <v>1145671880.7592871</v>
      </c>
      <c r="E160" s="7">
        <f>SUM(B158:B160)</f>
        <v>289412020.48442721</v>
      </c>
      <c r="F160" s="7">
        <f>SUM(C158:C160)</f>
        <v>856259860.27485991</v>
      </c>
      <c r="G160" s="8">
        <f>E160/D160</f>
        <v>0.25261335758072473</v>
      </c>
      <c r="H160" s="8">
        <f>F160/D160</f>
        <v>0.74738664241927533</v>
      </c>
    </row>
    <row r="161" spans="1:8" x14ac:dyDescent="0.25">
      <c r="A161" s="1">
        <v>48670</v>
      </c>
      <c r="B161" s="7">
        <f>Biodiesel!Y6</f>
        <v>112056825.71491881</v>
      </c>
      <c r="C161" s="7">
        <f>'Renewable Diesel'!Y52</f>
        <v>293643197.48746473</v>
      </c>
      <c r="D161" s="9">
        <f>D160/D157-1</f>
        <v>-0.32879853666023884</v>
      </c>
      <c r="E161" s="9">
        <f>E160/E157-1</f>
        <v>-0.28336215685214816</v>
      </c>
      <c r="F161" s="9">
        <f>F160/F157-1</f>
        <v>-0.34288037646445557</v>
      </c>
      <c r="G161" t="s">
        <v>3</v>
      </c>
    </row>
    <row r="162" spans="1:8" x14ac:dyDescent="0.25">
      <c r="A162" s="1">
        <v>48700</v>
      </c>
      <c r="B162" s="7">
        <f>Biodiesel!Y7</f>
        <v>120098135.06316507</v>
      </c>
      <c r="C162" s="7">
        <f>'Renewable Diesel'!Y53</f>
        <v>327838041.39430302</v>
      </c>
      <c r="D162" s="9">
        <f>D160/D148-1</f>
        <v>-2.3295078681464521E-3</v>
      </c>
      <c r="E162" s="9">
        <f>E160/E148-1</f>
        <v>4.6558379746572953E-3</v>
      </c>
      <c r="F162" s="9">
        <f>F160/F148-1</f>
        <v>-4.6686105163601388E-3</v>
      </c>
      <c r="G162" t="s">
        <v>4</v>
      </c>
    </row>
    <row r="163" spans="1:8" x14ac:dyDescent="0.25">
      <c r="A163" s="1">
        <v>48731</v>
      </c>
      <c r="B163" s="7">
        <f>Biodiesel!Y8</f>
        <v>117476305.05333263</v>
      </c>
      <c r="C163" s="7">
        <f>'Renewable Diesel'!Y54</f>
        <v>328556808.6677587</v>
      </c>
      <c r="D163" s="7">
        <f>SUM(B161:C163)</f>
        <v>1299669313.3809428</v>
      </c>
      <c r="E163" s="7">
        <f>SUM(B161:B163)</f>
        <v>349631265.83141649</v>
      </c>
      <c r="F163" s="7">
        <f>SUM(C161:C163)</f>
        <v>950038047.54952645</v>
      </c>
      <c r="G163" s="8">
        <f>E163/D163</f>
        <v>0.26901555821295053</v>
      </c>
      <c r="H163" s="8">
        <f>F163/D163</f>
        <v>0.73098444178704958</v>
      </c>
    </row>
    <row r="164" spans="1:8" x14ac:dyDescent="0.25">
      <c r="A164" s="1">
        <v>48761</v>
      </c>
      <c r="B164" s="7">
        <f>Biodiesel!Y9</f>
        <v>116880023.40248293</v>
      </c>
      <c r="C164" s="7">
        <f>'Renewable Diesel'!Y55</f>
        <v>319993427.68153834</v>
      </c>
      <c r="D164" s="9">
        <f>D163/D160-1</f>
        <v>0.13441669923817523</v>
      </c>
      <c r="E164" s="9">
        <f>E163/E160-1</f>
        <v>0.20807444433784172</v>
      </c>
      <c r="F164" s="9">
        <f>F163/F160-1</f>
        <v>0.10952070933765801</v>
      </c>
      <c r="G164" t="s">
        <v>3</v>
      </c>
    </row>
    <row r="165" spans="1:8" x14ac:dyDescent="0.25">
      <c r="A165" s="1">
        <v>48792</v>
      </c>
      <c r="B165" s="7">
        <f>Biodiesel!Y10</f>
        <v>120603607.1044246</v>
      </c>
      <c r="C165" s="7">
        <f>'Renewable Diesel'!Y56</f>
        <v>329211311.18897265</v>
      </c>
      <c r="D165" s="9">
        <f>D163/D151-1</f>
        <v>-2.1055922117204307E-2</v>
      </c>
      <c r="E165" s="9">
        <f>E163/E151-1</f>
        <v>-6.1790153881440046E-2</v>
      </c>
      <c r="F165" s="9">
        <f>F163/F151-1</f>
        <v>-5.1601368679106141E-3</v>
      </c>
      <c r="G165" t="s">
        <v>4</v>
      </c>
    </row>
    <row r="166" spans="1:8" x14ac:dyDescent="0.25">
      <c r="A166" s="1">
        <v>48823</v>
      </c>
      <c r="B166" s="7">
        <f>Biodiesel!Y11</f>
        <v>113846748.21757419</v>
      </c>
      <c r="C166" s="7">
        <f>'Renewable Diesel'!Y57</f>
        <v>333356989.57658458</v>
      </c>
      <c r="D166" s="7">
        <f>SUM(B164:C166)</f>
        <v>1333892107.1715775</v>
      </c>
      <c r="E166" s="7">
        <f>SUM(B164:B166)</f>
        <v>351330378.7244817</v>
      </c>
      <c r="F166" s="7">
        <f>SUM(C164:C166)</f>
        <v>982561728.44709563</v>
      </c>
      <c r="G166" s="8">
        <f>E166/D166</f>
        <v>0.26338740355054097</v>
      </c>
      <c r="H166" s="8">
        <f>F166/D166</f>
        <v>0.73661259644945898</v>
      </c>
    </row>
    <row r="167" spans="1:8" x14ac:dyDescent="0.25">
      <c r="A167" s="1">
        <v>48853</v>
      </c>
      <c r="B167" s="7">
        <f>Biodiesel!Y12</f>
        <v>116588344.91828558</v>
      </c>
      <c r="C167" s="7">
        <f>'Renewable Diesel'!Y58</f>
        <v>362381018.27605021</v>
      </c>
      <c r="D167" s="9">
        <f>D166/D163-1</f>
        <v>2.6331924158159881E-2</v>
      </c>
      <c r="E167" s="9">
        <f>E166/E163-1</f>
        <v>4.859728116776818E-3</v>
      </c>
      <c r="F167" s="9">
        <f>F166/F163-1</f>
        <v>3.4234082499599694E-2</v>
      </c>
      <c r="G167" t="s">
        <v>3</v>
      </c>
    </row>
    <row r="168" spans="1:8" x14ac:dyDescent="0.25">
      <c r="A168" s="1">
        <v>48884</v>
      </c>
      <c r="B168" s="7">
        <f>Biodiesel!Y13</f>
        <v>110897954.82215808</v>
      </c>
      <c r="C168" s="7">
        <f>'Renewable Diesel'!Y59</f>
        <v>438022232.40879124</v>
      </c>
      <c r="D168" s="9">
        <f>D166/D154-1</f>
        <v>-2.0277901338787152E-2</v>
      </c>
      <c r="E168" s="9">
        <f>E166/E154-1</f>
        <v>-6.1408060832841893E-2</v>
      </c>
      <c r="F168" s="9">
        <f>F166/F154-1</f>
        <v>-4.6823351813660707E-3</v>
      </c>
      <c r="G168" t="s">
        <v>4</v>
      </c>
    </row>
    <row r="169" spans="1:8" x14ac:dyDescent="0.25">
      <c r="A169" s="1">
        <v>48914</v>
      </c>
      <c r="B169" s="7">
        <f>Biodiesel!Y14</f>
        <v>133302148.2602807</v>
      </c>
      <c r="C169" s="7">
        <f>'Renewable Diesel'!Y60</f>
        <v>495804608.01874244</v>
      </c>
      <c r="D169" s="7">
        <f>SUM(B167:C169)</f>
        <v>1656996306.704308</v>
      </c>
      <c r="E169" s="7">
        <f>SUM(B167:B169)</f>
        <v>360788448.00072432</v>
      </c>
      <c r="F169" s="7">
        <f>SUM(C167:C169)</f>
        <v>1296207858.7035837</v>
      </c>
      <c r="G169" s="8">
        <f>E169/D169</f>
        <v>0.21773642255022072</v>
      </c>
      <c r="H169" s="8">
        <f>F169/D169</f>
        <v>0.78226357744977926</v>
      </c>
    </row>
    <row r="170" spans="1:8" x14ac:dyDescent="0.25">
      <c r="D170" s="9">
        <f>D169/D166-1</f>
        <v>0.2422266372186952</v>
      </c>
      <c r="E170" s="9">
        <f>E169/E166-1</f>
        <v>2.6920727181579007E-2</v>
      </c>
      <c r="F170" s="9">
        <f>F169/F166-1</f>
        <v>0.31921264707937969</v>
      </c>
      <c r="G170" t="s">
        <v>3</v>
      </c>
    </row>
    <row r="171" spans="1:8" x14ac:dyDescent="0.25">
      <c r="D171" s="9">
        <f>D169/D157-1</f>
        <v>-2.9234840719472133E-2</v>
      </c>
      <c r="E171" s="9">
        <f>E169/E157-1</f>
        <v>-0.10662088335127617</v>
      </c>
      <c r="F171" s="9">
        <f>F169/F157-1</f>
        <v>-5.2510229059476998E-3</v>
      </c>
      <c r="G17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6DC2-2705-4B1B-82CB-F49585AFCC37}">
  <dimension ref="A1:AX141"/>
  <sheetViews>
    <sheetView zoomScale="115" zoomScaleNormal="115" workbookViewId="0">
      <pane xSplit="1" ySplit="2" topLeftCell="J20" activePane="bottomRight" state="frozen"/>
      <selection activeCell="P67" sqref="P67"/>
      <selection pane="topRight" activeCell="P67" sqref="P67"/>
      <selection pane="bottomLeft" activeCell="P67" sqref="P67"/>
      <selection pane="bottomRight" activeCell="K50" sqref="K50:O51"/>
    </sheetView>
  </sheetViews>
  <sheetFormatPr defaultColWidth="9.140625" defaultRowHeight="11.25" x14ac:dyDescent="0.2"/>
  <cols>
    <col min="1" max="1" width="85" style="32" bestFit="1" customWidth="1"/>
    <col min="2" max="32" width="14.28515625" style="32" customWidth="1"/>
    <col min="33" max="37" width="9.28515625" style="32" bestFit="1" customWidth="1"/>
    <col min="38" max="39" width="10.42578125" style="32" bestFit="1" customWidth="1"/>
    <col min="40" max="41" width="9.5703125" style="32" bestFit="1" customWidth="1"/>
    <col min="42" max="44" width="9.28515625" style="32" bestFit="1" customWidth="1"/>
    <col min="45" max="45" width="9.5703125" style="32" bestFit="1" customWidth="1"/>
    <col min="46" max="46" width="9.28515625" style="32" bestFit="1" customWidth="1"/>
    <col min="47" max="47" width="9.5703125" style="32" bestFit="1" customWidth="1"/>
    <col min="48" max="50" width="9.28515625" style="32" bestFit="1" customWidth="1"/>
    <col min="51" max="16384" width="9.140625" style="32"/>
  </cols>
  <sheetData>
    <row r="1" spans="1:32" ht="12" thickBot="1" x14ac:dyDescent="0.25">
      <c r="A1" s="61" t="s">
        <v>5</v>
      </c>
    </row>
    <row r="2" spans="1:32" ht="12.75" thickTop="1" thickBot="1" x14ac:dyDescent="0.25">
      <c r="A2" s="62"/>
      <c r="B2" s="63">
        <v>2011</v>
      </c>
      <c r="C2" s="63">
        <v>2012</v>
      </c>
      <c r="D2" s="63">
        <v>2013</v>
      </c>
      <c r="E2" s="63">
        <v>2014</v>
      </c>
      <c r="F2" s="63">
        <v>2015</v>
      </c>
      <c r="G2" s="63">
        <v>2016</v>
      </c>
      <c r="H2" s="63">
        <v>2017</v>
      </c>
      <c r="I2" s="63">
        <v>2018</v>
      </c>
      <c r="J2" s="63">
        <v>2019</v>
      </c>
      <c r="K2" s="63">
        <v>2020</v>
      </c>
      <c r="L2" s="63">
        <v>2021</v>
      </c>
      <c r="M2" s="63">
        <v>2022</v>
      </c>
      <c r="N2" s="63">
        <v>2023</v>
      </c>
      <c r="O2" s="63">
        <v>2024</v>
      </c>
      <c r="P2" s="63">
        <v>2025</v>
      </c>
      <c r="Q2" s="63">
        <v>2026</v>
      </c>
      <c r="R2" s="63">
        <v>2027</v>
      </c>
      <c r="S2" s="63">
        <v>2028</v>
      </c>
      <c r="T2" s="63">
        <v>2029</v>
      </c>
      <c r="U2" s="63">
        <v>2030</v>
      </c>
      <c r="V2" s="63">
        <v>2031</v>
      </c>
      <c r="W2" s="63">
        <v>2032</v>
      </c>
      <c r="X2" s="63">
        <v>2033</v>
      </c>
      <c r="Y2" s="63">
        <v>2034</v>
      </c>
      <c r="Z2" s="63">
        <v>2035</v>
      </c>
      <c r="AA2" s="63">
        <v>2036</v>
      </c>
      <c r="AB2" s="63">
        <v>2037</v>
      </c>
      <c r="AC2" s="63">
        <v>2038</v>
      </c>
      <c r="AD2" s="63">
        <v>2039</v>
      </c>
      <c r="AE2" s="63">
        <v>2040</v>
      </c>
      <c r="AF2" s="63">
        <v>2041</v>
      </c>
    </row>
    <row r="3" spans="1:32" ht="12" thickTop="1" x14ac:dyDescent="0.2">
      <c r="A3" s="61" t="s">
        <v>6</v>
      </c>
      <c r="B3" s="35">
        <f>Biodiesel!C3+'Renewable Diesel'!C49</f>
        <v>37305482</v>
      </c>
      <c r="C3" s="35">
        <f>Biodiesel!D3+'Renewable Diesel'!D49</f>
        <v>64335094</v>
      </c>
      <c r="D3" s="35">
        <f>Biodiesel!E3+'Renewable Diesel'!E49</f>
        <v>72436563</v>
      </c>
      <c r="E3" s="35">
        <f>Biodiesel!F3+'Renewable Diesel'!F49</f>
        <v>67024356</v>
      </c>
      <c r="F3" s="35">
        <f>Biodiesel!G3+'Renewable Diesel'!G49</f>
        <v>73384532</v>
      </c>
      <c r="G3" s="35">
        <f>Biodiesel!H3+'Renewable Diesel'!H49</f>
        <v>97318215</v>
      </c>
      <c r="H3" s="35">
        <f>Biodiesel!I3+'Renewable Diesel'!I49</f>
        <v>84496710</v>
      </c>
      <c r="I3" s="35">
        <f>Biodiesel!J3+'Renewable Diesel'!J49</f>
        <v>124176708</v>
      </c>
      <c r="J3" s="35">
        <f>Biodiesel!K3+'Renewable Diesel'!K49</f>
        <v>144155998</v>
      </c>
      <c r="K3" s="35">
        <f>Biodiesel!L3+'Renewable Diesel'!L49</f>
        <v>160261309</v>
      </c>
      <c r="L3" s="35">
        <f>Biodiesel!M3+'Renewable Diesel'!M49</f>
        <v>157677215</v>
      </c>
      <c r="M3" s="35">
        <f>Biodiesel!N3+'Renewable Diesel'!N49</f>
        <v>177725259</v>
      </c>
      <c r="N3" s="35">
        <f>Biodiesel!O3+'Renewable Diesel'!O49</f>
        <v>267826684</v>
      </c>
      <c r="O3" s="35">
        <f>Biodiesel!P3+'Renewable Diesel'!P49</f>
        <v>350925936</v>
      </c>
      <c r="P3" s="36">
        <f>Biodiesel!Q3+'Renewable Diesel'!Q49</f>
        <v>283003085</v>
      </c>
      <c r="Q3" s="36">
        <f>Biodiesel!R3+'Renewable Diesel'!R49</f>
        <v>271316703.28324366</v>
      </c>
    </row>
    <row r="4" spans="1:32" x14ac:dyDescent="0.2">
      <c r="A4" s="61" t="s">
        <v>7</v>
      </c>
      <c r="B4" s="35">
        <f>Biodiesel!C4+'Renewable Diesel'!C50</f>
        <v>42498040</v>
      </c>
      <c r="C4" s="35">
        <f>Biodiesel!D4+'Renewable Diesel'!D50</f>
        <v>75700261</v>
      </c>
      <c r="D4" s="35">
        <f>Biodiesel!E4+'Renewable Diesel'!E50</f>
        <v>75804191</v>
      </c>
      <c r="E4" s="35">
        <f>Biodiesel!F4+'Renewable Diesel'!F50</f>
        <v>82152505</v>
      </c>
      <c r="F4" s="35">
        <f>Biodiesel!G4+'Renewable Diesel'!G50</f>
        <v>76316532</v>
      </c>
      <c r="G4" s="35">
        <f>Biodiesel!H4+'Renewable Diesel'!H50</f>
        <v>107754563</v>
      </c>
      <c r="H4" s="35">
        <f>Biodiesel!I4+'Renewable Diesel'!I50</f>
        <v>99518882</v>
      </c>
      <c r="I4" s="35">
        <f>Biodiesel!J4+'Renewable Diesel'!J50</f>
        <v>137141084</v>
      </c>
      <c r="J4" s="35">
        <f>Biodiesel!K4+'Renewable Diesel'!K50</f>
        <v>157504153</v>
      </c>
      <c r="K4" s="35">
        <f>Biodiesel!L4+'Renewable Diesel'!L50</f>
        <v>165333669</v>
      </c>
      <c r="L4" s="35">
        <f>Biodiesel!M4+'Renewable Diesel'!M50</f>
        <v>161056760</v>
      </c>
      <c r="M4" s="35">
        <f>Biodiesel!N4+'Renewable Diesel'!N50</f>
        <v>211839141</v>
      </c>
      <c r="N4" s="35">
        <f>Biodiesel!O4+'Renewable Diesel'!O50</f>
        <v>255812966</v>
      </c>
      <c r="O4" s="35">
        <f>Biodiesel!P4+'Renewable Diesel'!P50</f>
        <v>355872860</v>
      </c>
      <c r="P4" s="36">
        <f>Biodiesel!Q4+'Renewable Diesel'!Q50</f>
        <v>259824688</v>
      </c>
      <c r="Q4" s="36">
        <f>Biodiesel!R4+'Renewable Diesel'!R50</f>
        <v>292902090.31723052</v>
      </c>
    </row>
    <row r="5" spans="1:32" x14ac:dyDescent="0.2">
      <c r="A5" s="61" t="s">
        <v>8</v>
      </c>
      <c r="B5" s="35">
        <f>Biodiesel!C5+'Renewable Diesel'!C51</f>
        <v>66495947</v>
      </c>
      <c r="C5" s="35">
        <f>Biodiesel!D5+'Renewable Diesel'!D51</f>
        <v>100507707</v>
      </c>
      <c r="D5" s="35">
        <f>Biodiesel!E5+'Renewable Diesel'!E51</f>
        <v>102906828</v>
      </c>
      <c r="E5" s="35">
        <f>Biodiesel!F5+'Renewable Diesel'!F51</f>
        <v>105766600</v>
      </c>
      <c r="F5" s="35">
        <f>Biodiesel!G5+'Renewable Diesel'!G51</f>
        <v>108482968</v>
      </c>
      <c r="G5" s="35">
        <f>Biodiesel!H5+'Renewable Diesel'!H51</f>
        <v>144502248</v>
      </c>
      <c r="H5" s="35">
        <f>Biodiesel!I5+'Renewable Diesel'!I51</f>
        <v>127353306</v>
      </c>
      <c r="I5" s="35">
        <f>Biodiesel!J5+'Renewable Diesel'!J51</f>
        <v>170264731</v>
      </c>
      <c r="J5" s="35">
        <f>Biodiesel!K5+'Renewable Diesel'!K51</f>
        <v>183401081</v>
      </c>
      <c r="K5" s="35">
        <f>Biodiesel!L5+'Renewable Diesel'!L51</f>
        <v>195319463</v>
      </c>
      <c r="L5" s="35">
        <f>Biodiesel!M5+'Renewable Diesel'!M51</f>
        <v>209560964</v>
      </c>
      <c r="M5" s="35">
        <f>Biodiesel!N5+'Renewable Diesel'!N51</f>
        <v>245925397</v>
      </c>
      <c r="N5" s="35">
        <f>Biodiesel!O5+'Renewable Diesel'!O51</f>
        <v>315065110</v>
      </c>
      <c r="O5" s="35">
        <f>Biodiesel!P5+'Renewable Diesel'!P51</f>
        <v>348726432</v>
      </c>
      <c r="P5" s="36">
        <f>Biodiesel!Q5+'Renewable Diesel'!Q51</f>
        <v>325235935</v>
      </c>
      <c r="Q5" s="36">
        <f>Biodiesel!R5+'Renewable Diesel'!R51</f>
        <v>315390984.11608392</v>
      </c>
    </row>
    <row r="6" spans="1:32" x14ac:dyDescent="0.2">
      <c r="A6" s="61" t="s">
        <v>9</v>
      </c>
      <c r="B6" s="35">
        <f>Biodiesel!C6+'Renewable Diesel'!C52</f>
        <v>72393305</v>
      </c>
      <c r="C6" s="35">
        <f>Biodiesel!D6+'Renewable Diesel'!D52</f>
        <v>96133947</v>
      </c>
      <c r="D6" s="35">
        <f>Biodiesel!E6+'Renewable Diesel'!E52</f>
        <v>112634491</v>
      </c>
      <c r="E6" s="35">
        <f>Biodiesel!F6+'Renewable Diesel'!F52</f>
        <v>117026801</v>
      </c>
      <c r="F6" s="35">
        <f>Biodiesel!G6+'Renewable Diesel'!G52</f>
        <v>122225366</v>
      </c>
      <c r="G6" s="35">
        <f>Biodiesel!H6+'Renewable Diesel'!H52</f>
        <v>147522539</v>
      </c>
      <c r="H6" s="35">
        <f>Biodiesel!I6+'Renewable Diesel'!I52</f>
        <v>144727366</v>
      </c>
      <c r="I6" s="35">
        <f>Biodiesel!J6+'Renewable Diesel'!J52</f>
        <v>170388657</v>
      </c>
      <c r="J6" s="35">
        <f>Biodiesel!K6+'Renewable Diesel'!K52</f>
        <v>199457168</v>
      </c>
      <c r="K6" s="35">
        <f>Biodiesel!L6+'Renewable Diesel'!L52</f>
        <v>187994982</v>
      </c>
      <c r="L6" s="35">
        <f>Biodiesel!M6+'Renewable Diesel'!M52</f>
        <v>195030927</v>
      </c>
      <c r="M6" s="35">
        <f>Biodiesel!N6+'Renewable Diesel'!N52</f>
        <v>250767044</v>
      </c>
      <c r="N6" s="35">
        <f>Biodiesel!O6+'Renewable Diesel'!O52</f>
        <v>308243060</v>
      </c>
      <c r="O6" s="36">
        <f>Biodiesel!P6+'Renewable Diesel'!P52</f>
        <v>419163740</v>
      </c>
      <c r="P6" s="36">
        <f>Biodiesel!Q6+'Renewable Diesel'!Q52</f>
        <v>333123342.73070389</v>
      </c>
      <c r="Q6" s="36">
        <f>Biodiesel!R6+'Renewable Diesel'!R52</f>
        <v>315625374.48466688</v>
      </c>
    </row>
    <row r="7" spans="1:32" x14ac:dyDescent="0.2">
      <c r="A7" s="61" t="s">
        <v>10</v>
      </c>
      <c r="B7" s="35">
        <f>Biodiesel!C7+'Renewable Diesel'!C53</f>
        <v>85312196</v>
      </c>
      <c r="C7" s="35">
        <f>Biodiesel!D7+'Renewable Diesel'!D53</f>
        <v>111738425</v>
      </c>
      <c r="D7" s="35">
        <f>Biodiesel!E7+'Renewable Diesel'!E53</f>
        <v>121729322</v>
      </c>
      <c r="E7" s="35">
        <f>Biodiesel!F7+'Renewable Diesel'!F53</f>
        <v>126074468</v>
      </c>
      <c r="F7" s="35">
        <f>Biodiesel!G7+'Renewable Diesel'!G53</f>
        <v>137283347</v>
      </c>
      <c r="G7" s="35">
        <f>Biodiesel!H7+'Renewable Diesel'!H53</f>
        <v>157196806</v>
      </c>
      <c r="H7" s="35">
        <f>Biodiesel!I7+'Renewable Diesel'!I53</f>
        <v>171466810</v>
      </c>
      <c r="I7" s="35">
        <f>Biodiesel!J7+'Renewable Diesel'!J53</f>
        <v>187743693</v>
      </c>
      <c r="J7" s="35">
        <f>Biodiesel!K7+'Renewable Diesel'!K53</f>
        <v>204425291</v>
      </c>
      <c r="K7" s="35">
        <f>Biodiesel!L7+'Renewable Diesel'!L53</f>
        <v>189595394</v>
      </c>
      <c r="L7" s="35">
        <f>Biodiesel!M7+'Renewable Diesel'!M53</f>
        <v>210553387</v>
      </c>
      <c r="M7" s="35">
        <f>Biodiesel!N7+'Renewable Diesel'!N53</f>
        <v>275950965</v>
      </c>
      <c r="N7" s="35">
        <f>Biodiesel!O7+'Renewable Diesel'!O53</f>
        <v>392858867</v>
      </c>
      <c r="O7" s="36">
        <f>Biodiesel!P7+'Renewable Diesel'!P53</f>
        <v>363131490</v>
      </c>
      <c r="P7" s="36">
        <f>Biodiesel!Q7+'Renewable Diesel'!Q53</f>
        <v>336257225.10705066</v>
      </c>
      <c r="Q7" s="36">
        <f>Biodiesel!R7+'Renewable Diesel'!R53</f>
        <v>346280777.14756262</v>
      </c>
    </row>
    <row r="8" spans="1:32" x14ac:dyDescent="0.2">
      <c r="A8" s="61" t="s">
        <v>11</v>
      </c>
      <c r="B8" s="35">
        <f>Biodiesel!C8+'Renewable Diesel'!C54</f>
        <v>82525461</v>
      </c>
      <c r="C8" s="35">
        <f>Biodiesel!D8+'Renewable Diesel'!D54</f>
        <v>110206272</v>
      </c>
      <c r="D8" s="35">
        <f>Biodiesel!E8+'Renewable Diesel'!E54</f>
        <v>124728561</v>
      </c>
      <c r="E8" s="35">
        <f>Biodiesel!F8+'Renewable Diesel'!F54</f>
        <v>128915261</v>
      </c>
      <c r="F8" s="35">
        <f>Biodiesel!G8+'Renewable Diesel'!G54</f>
        <v>145339534</v>
      </c>
      <c r="G8" s="35">
        <f>Biodiesel!H8+'Renewable Diesel'!H54</f>
        <v>165312000</v>
      </c>
      <c r="H8" s="35">
        <f>Biodiesel!I8+'Renewable Diesel'!I54</f>
        <v>162758314</v>
      </c>
      <c r="I8" s="35">
        <f>Biodiesel!J8+'Renewable Diesel'!J54</f>
        <v>172932248</v>
      </c>
      <c r="J8" s="35">
        <f>Biodiesel!K8+'Renewable Diesel'!K54</f>
        <v>183863075</v>
      </c>
      <c r="K8" s="35">
        <f>Biodiesel!L8+'Renewable Diesel'!L54</f>
        <v>218727266</v>
      </c>
      <c r="L8" s="35">
        <f>Biodiesel!M8+'Renewable Diesel'!M54</f>
        <v>223316663</v>
      </c>
      <c r="M8" s="35">
        <f>Biodiesel!N8+'Renewable Diesel'!N54</f>
        <v>259108496</v>
      </c>
      <c r="N8" s="35">
        <f>Biodiesel!O8+'Renewable Diesel'!O54</f>
        <v>355497294</v>
      </c>
      <c r="O8" s="36">
        <f>Biodiesel!P8+'Renewable Diesel'!P54</f>
        <v>416396556</v>
      </c>
      <c r="P8" s="36">
        <f>Biodiesel!Q8+'Renewable Diesel'!Q54</f>
        <v>335191631.62428951</v>
      </c>
      <c r="Q8" s="36">
        <f>Biodiesel!R8+'Renewable Diesel'!R54</f>
        <v>344050372.31106097</v>
      </c>
    </row>
    <row r="9" spans="1:32" x14ac:dyDescent="0.2">
      <c r="A9" s="61" t="s">
        <v>12</v>
      </c>
      <c r="B9" s="35">
        <f>Biodiesel!C9+'Renewable Diesel'!C55</f>
        <v>93343469</v>
      </c>
      <c r="C9" s="35">
        <f>Biodiesel!D9+'Renewable Diesel'!D55</f>
        <v>103621114</v>
      </c>
      <c r="D9" s="35">
        <f>Biodiesel!E9+'Renewable Diesel'!E55</f>
        <v>144080292</v>
      </c>
      <c r="E9" s="35">
        <f>Biodiesel!F9+'Renewable Diesel'!F55</f>
        <v>142054784</v>
      </c>
      <c r="F9" s="35">
        <f>Biodiesel!G9+'Renewable Diesel'!G55</f>
        <v>144705669</v>
      </c>
      <c r="G9" s="35">
        <f>Biodiesel!H9+'Renewable Diesel'!H55</f>
        <v>157492256</v>
      </c>
      <c r="H9" s="35">
        <f>Biodiesel!I9+'Renewable Diesel'!I55</f>
        <v>169942173</v>
      </c>
      <c r="I9" s="35">
        <f>Biodiesel!J9+'Renewable Diesel'!J55</f>
        <v>180333384</v>
      </c>
      <c r="J9" s="35">
        <f>Biodiesel!K9+'Renewable Diesel'!K55</f>
        <v>215734916</v>
      </c>
      <c r="K9" s="35">
        <f>Biodiesel!L9+'Renewable Diesel'!L55</f>
        <v>209422664</v>
      </c>
      <c r="L9" s="35">
        <f>Biodiesel!M9+'Renewable Diesel'!M55</f>
        <v>216390911</v>
      </c>
      <c r="M9" s="35">
        <f>Biodiesel!N9+'Renewable Diesel'!N55</f>
        <v>246521404</v>
      </c>
      <c r="N9" s="35">
        <f>Biodiesel!O9+'Renewable Diesel'!O55</f>
        <v>325390007</v>
      </c>
      <c r="O9" s="36">
        <f>Biodiesel!P9+'Renewable Diesel'!P55</f>
        <v>438587264</v>
      </c>
      <c r="P9" s="36">
        <f>Biodiesel!Q9+'Renewable Diesel'!Q55</f>
        <v>329485235.57733601</v>
      </c>
      <c r="Q9" s="36">
        <f>Biodiesel!R9+'Renewable Diesel'!R55</f>
        <v>336404275.69903731</v>
      </c>
    </row>
    <row r="10" spans="1:32" x14ac:dyDescent="0.2">
      <c r="A10" s="61" t="s">
        <v>13</v>
      </c>
      <c r="B10" s="35">
        <f>Biodiesel!C10+'Renewable Diesel'!C56</f>
        <v>109509873</v>
      </c>
      <c r="C10" s="35">
        <f>Biodiesel!D10+'Renewable Diesel'!D56</f>
        <v>101735451</v>
      </c>
      <c r="D10" s="35">
        <f>Biodiesel!E10+'Renewable Diesel'!E56</f>
        <v>145194580</v>
      </c>
      <c r="E10" s="35">
        <f>Biodiesel!F10+'Renewable Diesel'!F56</f>
        <v>129939608</v>
      </c>
      <c r="F10" s="35">
        <f>Biodiesel!G10+'Renewable Diesel'!G56</f>
        <v>140701301</v>
      </c>
      <c r="G10" s="35">
        <f>Biodiesel!H10+'Renewable Diesel'!H56</f>
        <v>186458295</v>
      </c>
      <c r="H10" s="35">
        <f>Biodiesel!I10+'Renewable Diesel'!I56</f>
        <v>182209088</v>
      </c>
      <c r="I10" s="35">
        <f>Biodiesel!J10+'Renewable Diesel'!J56</f>
        <v>196655898</v>
      </c>
      <c r="J10" s="35">
        <f>Biodiesel!K10+'Renewable Diesel'!K56</f>
        <v>183779313</v>
      </c>
      <c r="K10" s="35">
        <f>Biodiesel!L10+'Renewable Diesel'!L56</f>
        <v>215446153</v>
      </c>
      <c r="L10" s="35">
        <f>Biodiesel!M10+'Renewable Diesel'!M56</f>
        <v>236974765</v>
      </c>
      <c r="M10" s="35">
        <f>Biodiesel!N10+'Renewable Diesel'!N56</f>
        <v>274082072</v>
      </c>
      <c r="N10" s="35">
        <f>Biodiesel!O10+'Renewable Diesel'!O56</f>
        <v>388821756</v>
      </c>
      <c r="O10" s="36">
        <f>Biodiesel!P10+'Renewable Diesel'!P56</f>
        <v>400214563</v>
      </c>
      <c r="P10" s="36">
        <f>Biodiesel!Q10+'Renewable Diesel'!Q56</f>
        <v>340497501.08893645</v>
      </c>
      <c r="Q10" s="36">
        <f>Biodiesel!R10+'Renewable Diesel'!R56</f>
        <v>347701173.76607329</v>
      </c>
    </row>
    <row r="11" spans="1:32" x14ac:dyDescent="0.2">
      <c r="A11" s="61" t="s">
        <v>14</v>
      </c>
      <c r="B11" s="35">
        <f>Biodiesel!C11+'Renewable Diesel'!C57</f>
        <v>120403224</v>
      </c>
      <c r="C11" s="35">
        <f>Biodiesel!D11+'Renewable Diesel'!D57</f>
        <v>85078023</v>
      </c>
      <c r="D11" s="35">
        <f>Biodiesel!E11+'Renewable Diesel'!E57</f>
        <v>145288433</v>
      </c>
      <c r="E11" s="35">
        <f>Biodiesel!F11+'Renewable Diesel'!F57</f>
        <v>130908001</v>
      </c>
      <c r="F11" s="35">
        <f>Biodiesel!G11+'Renewable Diesel'!G57</f>
        <v>131675413</v>
      </c>
      <c r="G11" s="35">
        <f>Biodiesel!H11+'Renewable Diesel'!H57</f>
        <v>165857997</v>
      </c>
      <c r="H11" s="35">
        <f>Biodiesel!I11+'Renewable Diesel'!I57</f>
        <v>170300253</v>
      </c>
      <c r="I11" s="35">
        <f>Biodiesel!J11+'Renewable Diesel'!J57</f>
        <v>189254812</v>
      </c>
      <c r="J11" s="35">
        <f>Biodiesel!K11+'Renewable Diesel'!K57</f>
        <v>184352191</v>
      </c>
      <c r="K11" s="35">
        <f>Biodiesel!L11+'Renewable Diesel'!L57</f>
        <v>215977990</v>
      </c>
      <c r="L11" s="35">
        <f>Biodiesel!M11+'Renewable Diesel'!M57</f>
        <v>195682280</v>
      </c>
      <c r="M11" s="35">
        <f>Biodiesel!N11+'Renewable Diesel'!N57</f>
        <v>269474323</v>
      </c>
      <c r="N11" s="35">
        <f>Biodiesel!O11+'Renewable Diesel'!O57</f>
        <v>377879405</v>
      </c>
      <c r="O11" s="36">
        <f>Biodiesel!P11+'Renewable Diesel'!P57</f>
        <v>392465822</v>
      </c>
      <c r="P11" s="36">
        <f>Biodiesel!Q11+'Renewable Diesel'!Q57</f>
        <v>335320677.81855679</v>
      </c>
      <c r="Q11" s="36">
        <f>Biodiesel!R11+'Renewable Diesel'!R57</f>
        <v>342343995.49801153</v>
      </c>
    </row>
    <row r="12" spans="1:32" x14ac:dyDescent="0.2">
      <c r="A12" s="61" t="s">
        <v>15</v>
      </c>
      <c r="B12" s="35">
        <f>Biodiesel!C12+'Renewable Diesel'!C58</f>
        <v>118866333</v>
      </c>
      <c r="C12" s="35">
        <f>Biodiesel!D12+'Renewable Diesel'!D58</f>
        <v>84454289</v>
      </c>
      <c r="D12" s="35">
        <f>Biodiesel!E12+'Renewable Diesel'!E58</f>
        <v>149232054</v>
      </c>
      <c r="E12" s="35">
        <f>Biodiesel!F12+'Renewable Diesel'!F58</f>
        <v>136277687</v>
      </c>
      <c r="F12" s="35">
        <f>Biodiesel!G12+'Renewable Diesel'!G58</f>
        <v>118433621</v>
      </c>
      <c r="G12" s="35">
        <f>Biodiesel!H12+'Renewable Diesel'!H58</f>
        <v>163704152</v>
      </c>
      <c r="H12" s="35">
        <f>Biodiesel!I12+'Renewable Diesel'!I58</f>
        <v>174694745</v>
      </c>
      <c r="I12" s="35">
        <f>Biodiesel!J12+'Renewable Diesel'!J58</f>
        <v>209950325</v>
      </c>
      <c r="J12" s="35">
        <f>Biodiesel!K12+'Renewable Diesel'!K58</f>
        <v>195187583</v>
      </c>
      <c r="K12" s="35">
        <f>Biodiesel!L12+'Renewable Diesel'!L58</f>
        <v>174727256</v>
      </c>
      <c r="L12" s="35">
        <f>Biodiesel!M12+'Renewable Diesel'!M58</f>
        <v>217123852</v>
      </c>
      <c r="M12" s="35">
        <f>Biodiesel!N12+'Renewable Diesel'!N58</f>
        <v>251719923</v>
      </c>
      <c r="N12" s="35">
        <f>Biodiesel!O12+'Renewable Diesel'!O58</f>
        <v>358118649</v>
      </c>
      <c r="O12" s="36">
        <f>Biodiesel!P12+'Renewable Diesel'!P58</f>
        <v>437655129</v>
      </c>
      <c r="P12" s="36">
        <f>Biodiesel!Q12+'Renewable Diesel'!Q58</f>
        <v>351121586.07315123</v>
      </c>
      <c r="Q12" s="36">
        <f>Biodiesel!R12+'Renewable Diesel'!R58</f>
        <v>363508404.17817545</v>
      </c>
    </row>
    <row r="13" spans="1:32" x14ac:dyDescent="0.2">
      <c r="A13" s="61" t="s">
        <v>16</v>
      </c>
      <c r="B13" s="35">
        <f>Biodiesel!C13+'Renewable Diesel'!C59</f>
        <v>110717464</v>
      </c>
      <c r="C13" s="35">
        <f>Biodiesel!D13+'Renewable Diesel'!D59</f>
        <v>73659736</v>
      </c>
      <c r="D13" s="35">
        <f>Biodiesel!E13+'Renewable Diesel'!E59</f>
        <v>126010686</v>
      </c>
      <c r="E13" s="35">
        <f>Biodiesel!F13+'Renewable Diesel'!F59</f>
        <v>113868312</v>
      </c>
      <c r="F13" s="35">
        <f>Biodiesel!G13+'Renewable Diesel'!G59</f>
        <v>109142058</v>
      </c>
      <c r="G13" s="35">
        <f>Biodiesel!H13+'Renewable Diesel'!H59</f>
        <v>167078170</v>
      </c>
      <c r="H13" s="35">
        <f>Biodiesel!I13+'Renewable Diesel'!I59</f>
        <v>171006724</v>
      </c>
      <c r="I13" s="35">
        <f>Biodiesel!J13+'Renewable Diesel'!J59</f>
        <v>191105939</v>
      </c>
      <c r="J13" s="35">
        <f>Biodiesel!K13+'Renewable Diesel'!K59</f>
        <v>161654275</v>
      </c>
      <c r="K13" s="35">
        <f>Biodiesel!L13+'Renewable Diesel'!L59</f>
        <v>191888646</v>
      </c>
      <c r="L13" s="35">
        <f>Biodiesel!M13+'Renewable Diesel'!M59</f>
        <v>242717836</v>
      </c>
      <c r="M13" s="35">
        <f>Biodiesel!N13+'Renewable Diesel'!N59</f>
        <v>313083206</v>
      </c>
      <c r="N13" s="35">
        <f>Biodiesel!O13+'Renewable Diesel'!O59</f>
        <v>340695743</v>
      </c>
      <c r="O13" s="36">
        <f>Biodiesel!P13+'Renewable Diesel'!P59</f>
        <v>394543012</v>
      </c>
      <c r="P13" s="36">
        <f>Biodiesel!Q13+'Renewable Diesel'!Q59</f>
        <v>363657441.33333385</v>
      </c>
      <c r="Q13" s="36">
        <f>Biodiesel!R13+'Renewable Diesel'!R59</f>
        <v>408711542.57520038</v>
      </c>
    </row>
    <row r="14" spans="1:32" x14ac:dyDescent="0.2">
      <c r="A14" s="61" t="s">
        <v>17</v>
      </c>
      <c r="B14" s="35">
        <f>Biodiesel!C14+'Renewable Diesel'!C60</f>
        <v>157369754</v>
      </c>
      <c r="C14" s="35">
        <f>Biodiesel!D14+'Renewable Diesel'!D60</f>
        <v>61951304</v>
      </c>
      <c r="D14" s="35">
        <f>Biodiesel!E14+'Renewable Diesel'!E60</f>
        <v>172329034</v>
      </c>
      <c r="E14" s="35">
        <f>Biodiesel!F14+'Renewable Diesel'!F60</f>
        <v>186325887</v>
      </c>
      <c r="F14" s="35">
        <f>Biodiesel!G14+'Renewable Diesel'!G60</f>
        <v>123420598</v>
      </c>
      <c r="G14" s="35">
        <f>Biodiesel!H14+'Renewable Diesel'!H60</f>
        <v>214374179</v>
      </c>
      <c r="H14" s="35">
        <f>Biodiesel!I14+'Renewable Diesel'!I60</f>
        <v>188119511</v>
      </c>
      <c r="I14" s="35">
        <f>Biodiesel!J14+'Renewable Diesel'!J60</f>
        <v>230659809</v>
      </c>
      <c r="J14" s="35">
        <f>Biodiesel!K14+'Renewable Diesel'!K60</f>
        <v>192397741</v>
      </c>
      <c r="K14" s="35">
        <f>Biodiesel!L14+'Renewable Diesel'!L60</f>
        <v>233689213</v>
      </c>
      <c r="L14" s="35">
        <f>Biodiesel!M14+'Renewable Diesel'!M60</f>
        <v>283978702</v>
      </c>
      <c r="M14" s="35">
        <f>Biodiesel!N14+'Renewable Diesel'!N60</f>
        <v>299350561</v>
      </c>
      <c r="N14" s="35">
        <f>Biodiesel!O14+'Renewable Diesel'!O60</f>
        <v>411548491</v>
      </c>
      <c r="O14" s="36">
        <f>Biodiesel!P14+'Renewable Diesel'!P60</f>
        <v>489033424</v>
      </c>
      <c r="P14" s="36">
        <f>Biodiesel!Q14+'Renewable Diesel'!Q60</f>
        <v>542120464.3255657</v>
      </c>
      <c r="Q14" s="36">
        <f>Biodiesel!R14+'Renewable Diesel'!R60</f>
        <v>465650135.03278935</v>
      </c>
    </row>
    <row r="15" spans="1:32" ht="12" thickBot="1" x14ac:dyDescent="0.25">
      <c r="A15" s="64" t="s">
        <v>18</v>
      </c>
      <c r="B15" s="65">
        <f t="shared" ref="B15:N15" si="0">SUM(B3:B14)</f>
        <v>1096740548</v>
      </c>
      <c r="C15" s="65">
        <f t="shared" si="0"/>
        <v>1069121623</v>
      </c>
      <c r="D15" s="65">
        <f t="shared" si="0"/>
        <v>1492375035</v>
      </c>
      <c r="E15" s="65">
        <f t="shared" si="0"/>
        <v>1466334270</v>
      </c>
      <c r="F15" s="65">
        <f t="shared" si="0"/>
        <v>1431110939</v>
      </c>
      <c r="G15" s="65">
        <f t="shared" si="0"/>
        <v>1874571420</v>
      </c>
      <c r="H15" s="65">
        <f t="shared" si="0"/>
        <v>1846593882</v>
      </c>
      <c r="I15" s="65">
        <f t="shared" si="0"/>
        <v>2160607288</v>
      </c>
      <c r="J15" s="65">
        <f t="shared" si="0"/>
        <v>2205912785</v>
      </c>
      <c r="K15" s="65">
        <f t="shared" si="0"/>
        <v>2358384005</v>
      </c>
      <c r="L15" s="65">
        <f t="shared" si="0"/>
        <v>2550064262</v>
      </c>
      <c r="M15" s="65">
        <f t="shared" si="0"/>
        <v>3075547791</v>
      </c>
      <c r="N15" s="65">
        <f t="shared" si="0"/>
        <v>4097758032</v>
      </c>
      <c r="O15" s="66">
        <f>SUM(O3:O14)</f>
        <v>4806716228</v>
      </c>
      <c r="P15" s="66">
        <f>SUM(P3:P14)</f>
        <v>4134838813.6789241</v>
      </c>
      <c r="Q15" s="66">
        <f>SUM(Q3:Q14)</f>
        <v>4149885828.4091358</v>
      </c>
    </row>
    <row r="16" spans="1:32" ht="12" thickTop="1" x14ac:dyDescent="0.2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9"/>
      <c r="N16" s="69"/>
      <c r="O16" s="69"/>
      <c r="P16" s="69"/>
      <c r="Q16" s="69"/>
    </row>
    <row r="18" spans="1:49" ht="12" thickBot="1" x14ac:dyDescent="0.25">
      <c r="A18" s="61" t="s">
        <v>19</v>
      </c>
    </row>
    <row r="19" spans="1:49" ht="12.75" thickTop="1" thickBot="1" x14ac:dyDescent="0.25">
      <c r="A19" s="62"/>
      <c r="B19" s="63">
        <f t="shared" ref="B19:AF19" si="1">B2</f>
        <v>2011</v>
      </c>
      <c r="C19" s="63">
        <f t="shared" si="1"/>
        <v>2012</v>
      </c>
      <c r="D19" s="63">
        <f t="shared" si="1"/>
        <v>2013</v>
      </c>
      <c r="E19" s="63">
        <f t="shared" si="1"/>
        <v>2014</v>
      </c>
      <c r="F19" s="63">
        <f t="shared" si="1"/>
        <v>2015</v>
      </c>
      <c r="G19" s="63">
        <f t="shared" si="1"/>
        <v>2016</v>
      </c>
      <c r="H19" s="63">
        <f t="shared" si="1"/>
        <v>2017</v>
      </c>
      <c r="I19" s="63">
        <f t="shared" si="1"/>
        <v>2018</v>
      </c>
      <c r="J19" s="63">
        <f t="shared" si="1"/>
        <v>2019</v>
      </c>
      <c r="K19" s="63">
        <f t="shared" si="1"/>
        <v>2020</v>
      </c>
      <c r="L19" s="63">
        <f t="shared" si="1"/>
        <v>2021</v>
      </c>
      <c r="M19" s="63">
        <f t="shared" si="1"/>
        <v>2022</v>
      </c>
      <c r="N19" s="63">
        <f t="shared" si="1"/>
        <v>2023</v>
      </c>
      <c r="O19" s="63">
        <f t="shared" si="1"/>
        <v>2024</v>
      </c>
      <c r="P19" s="63">
        <f t="shared" si="1"/>
        <v>2025</v>
      </c>
      <c r="Q19" s="63">
        <f t="shared" si="1"/>
        <v>2026</v>
      </c>
      <c r="R19" s="63">
        <f t="shared" si="1"/>
        <v>2027</v>
      </c>
      <c r="S19" s="63">
        <f t="shared" si="1"/>
        <v>2028</v>
      </c>
      <c r="T19" s="63">
        <f t="shared" si="1"/>
        <v>2029</v>
      </c>
      <c r="U19" s="63">
        <f t="shared" si="1"/>
        <v>2030</v>
      </c>
      <c r="V19" s="63">
        <f t="shared" si="1"/>
        <v>2031</v>
      </c>
      <c r="W19" s="63">
        <f t="shared" si="1"/>
        <v>2032</v>
      </c>
      <c r="X19" s="63">
        <f t="shared" si="1"/>
        <v>2033</v>
      </c>
      <c r="Y19" s="63">
        <f t="shared" si="1"/>
        <v>2034</v>
      </c>
      <c r="Z19" s="63">
        <f t="shared" si="1"/>
        <v>2035</v>
      </c>
      <c r="AA19" s="63">
        <f t="shared" si="1"/>
        <v>2036</v>
      </c>
      <c r="AB19" s="63">
        <f t="shared" si="1"/>
        <v>2037</v>
      </c>
      <c r="AC19" s="63">
        <f t="shared" si="1"/>
        <v>2038</v>
      </c>
      <c r="AD19" s="63">
        <f t="shared" si="1"/>
        <v>2039</v>
      </c>
      <c r="AE19" s="63">
        <f t="shared" si="1"/>
        <v>2040</v>
      </c>
      <c r="AF19" s="63">
        <f t="shared" si="1"/>
        <v>2041</v>
      </c>
      <c r="AL19" s="32">
        <f t="shared" ref="AL19:AW19" si="2">C19</f>
        <v>2012</v>
      </c>
      <c r="AM19" s="32">
        <f t="shared" si="2"/>
        <v>2013</v>
      </c>
      <c r="AN19" s="32">
        <f t="shared" si="2"/>
        <v>2014</v>
      </c>
      <c r="AO19" s="32">
        <f t="shared" si="2"/>
        <v>2015</v>
      </c>
      <c r="AP19" s="32">
        <f t="shared" si="2"/>
        <v>2016</v>
      </c>
      <c r="AQ19" s="32">
        <f t="shared" si="2"/>
        <v>2017</v>
      </c>
      <c r="AR19" s="32">
        <f t="shared" si="2"/>
        <v>2018</v>
      </c>
      <c r="AS19" s="32">
        <f t="shared" si="2"/>
        <v>2019</v>
      </c>
      <c r="AT19" s="32">
        <f t="shared" si="2"/>
        <v>2020</v>
      </c>
      <c r="AU19" s="32">
        <f t="shared" si="2"/>
        <v>2021</v>
      </c>
      <c r="AV19" s="32">
        <f t="shared" si="2"/>
        <v>2022</v>
      </c>
      <c r="AW19" s="32">
        <f t="shared" si="2"/>
        <v>2023</v>
      </c>
    </row>
    <row r="20" spans="1:49" ht="12" thickTop="1" x14ac:dyDescent="0.2">
      <c r="A20" s="61" t="s">
        <v>6</v>
      </c>
      <c r="B20" s="35">
        <f>'[1]Soy Complex'!AZ406+'[1]Sun Complex'!AZ321+'[1]Canola Complex'!AZ341+'[1]Cottonseed Complex'!AZ312+'[7]Distillers'' Corn Oil Complex'!S106+'[7]Inedible Tallow Complex'!S105+'[7]Yellow Grease Complex'!S106+'[7]Used Cooking Oil Complex'!S106+'[7]CWG Complex'!S108+'[7]Poultry Byproduct Complex'!S245</f>
        <v>249</v>
      </c>
      <c r="C20" s="35">
        <f>'[1]Soy Complex'!BA406+'[1]Sun Complex'!BA321+'[1]Canola Complex'!BA341+'[1]Cottonseed Complex'!BA312+'[7]Distillers'' Corn Oil Complex'!T106+'[7]Inedible Tallow Complex'!T105+'[7]Yellow Grease Complex'!T106+'[7]Used Cooking Oil Complex'!T106+'[7]CWG Complex'!T108+'[7]Poultry Byproduct Complex'!T245</f>
        <v>541</v>
      </c>
      <c r="D20" s="35">
        <f>'[1]Soy Complex'!BB406+'[1]Sun Complex'!BB321+'[1]Canola Complex'!BB341+'[1]Cottonseed Complex'!BB312+'[7]Distillers'' Corn Oil Complex'!U106+'[7]Inedible Tallow Complex'!U105+'[7]Yellow Grease Complex'!U106+'[7]Used Cooking Oil Complex'!U106+'[7]CWG Complex'!U108+'[7]Poultry Byproduct Complex'!U245</f>
        <v>496</v>
      </c>
      <c r="E20" s="35">
        <f>'[1]Soy Complex'!BC406+'[1]Sun Complex'!BC321+'[1]Canola Complex'!BC341+'[1]Cottonseed Complex'!BC312+'[7]Distillers'' Corn Oil Complex'!V106+'[7]Inedible Tallow Complex'!V105+'[7]Yellow Grease Complex'!V106+'[7]Used Cooking Oil Complex'!V106+'[7]CWG Complex'!V108+'[7]Poultry Byproduct Complex'!V245</f>
        <v>442</v>
      </c>
      <c r="F20" s="35">
        <f>'[1]Soy Complex'!BD406+'[1]Sun Complex'!BD321+'[1]Canola Complex'!BD341+'[1]Cottonseed Complex'!BD312+'[7]Distillers'' Corn Oil Complex'!W106+'[7]Inedible Tallow Complex'!W105+'[7]Yellow Grease Complex'!W106+'[7]Used Cooking Oil Complex'!W106+'[7]CWG Complex'!W108+'[7]Poultry Byproduct Complex'!W245</f>
        <v>535</v>
      </c>
      <c r="G20" s="35">
        <f>'[1]Soy Complex'!BE406+'[1]Sun Complex'!BE321+'[1]Canola Complex'!BE341+'[1]Cottonseed Complex'!BE312+'[7]Distillers'' Corn Oil Complex'!X106+'[7]Inedible Tallow Complex'!X105+'[7]Yellow Grease Complex'!X106+'[7]Used Cooking Oil Complex'!X106+'[7]CWG Complex'!X108+'[7]Poultry Byproduct Complex'!X245</f>
        <v>696.06599999999992</v>
      </c>
      <c r="H20" s="35">
        <f>'[1]Soy Complex'!BF406+'[1]Sun Complex'!BF321+'[1]Canola Complex'!BF341+'[1]Cottonseed Complex'!BF312+'[7]Distillers'' Corn Oil Complex'!Y106+'[7]Inedible Tallow Complex'!Y105+'[7]Yellow Grease Complex'!Y106+'[7]Used Cooking Oil Complex'!Y106+'[7]CWG Complex'!Y108+'[7]Poultry Byproduct Complex'!Y245</f>
        <v>705.54</v>
      </c>
      <c r="I20" s="35">
        <f>'[1]Soy Complex'!BG406+'[1]Sun Complex'!BG321+'[1]Canola Complex'!BG341+'[1]Cottonseed Complex'!BG312+'[7]Distillers'' Corn Oil Complex'!Z106+'[7]Inedible Tallow Complex'!Z105+'[7]Yellow Grease Complex'!Z106+'[7]Used Cooking Oil Complex'!Z106+'[7]CWG Complex'!Z108+'[7]Poultry Byproduct Complex'!Z245</f>
        <v>919.8893969726563</v>
      </c>
      <c r="J20" s="35">
        <f>'[1]Soy Complex'!BH406+'[1]Sun Complex'!BH321+'[1]Canola Complex'!BH341+'[1]Cottonseed Complex'!BH312+'[7]Distillers'' Corn Oil Complex'!AA106+'[7]Inedible Tallow Complex'!AA105+'[7]Yellow Grease Complex'!AA106+'[7]Used Cooking Oil Complex'!AA106+'[7]CWG Complex'!AA108+'[7]Poultry Byproduct Complex'!AA245</f>
        <v>1085.3700000000001</v>
      </c>
      <c r="K20" s="35">
        <f>'[1]Soy Complex'!BI406+'[1]Sun Complex'!BI321+'[1]Canola Complex'!BI341+'[1]Cottonseed Complex'!BI312+'[7]Distillers'' Corn Oil Complex'!AB106+'[7]Inedible Tallow Complex'!AB105+'[7]Yellow Grease Complex'!AB106+'[7]Used Cooking Oil Complex'!AB106+'[7]CWG Complex'!AB108+'[7]Poultry Byproduct Complex'!AB245</f>
        <v>1003.8836876180226</v>
      </c>
      <c r="L20" s="35">
        <f>'[1]Soy Complex'!BJ406+'[1]Sun Complex'!BJ321+'[1]Canola Complex'!BJ341+'[1]Cottonseed Complex'!BJ312+'[7]Distillers'' Corn Oil Complex'!AC106+'[7]Inedible Tallow Complex'!AC105+'[7]Yellow Grease Complex'!AC106+'[7]Used Cooking Oil Complex'!AC106+'[7]CWG Complex'!AC108+'[7]Poultry Byproduct Complex'!AC245</f>
        <v>1041.9015433460254</v>
      </c>
      <c r="M20" s="35">
        <f>'[1]Soy Complex'!BK406+'[1]Sun Complex'!BK321+'[1]Canola Complex'!BK341+'[1]Cottonseed Complex'!BK312+'[7]Distillers'' Corn Oil Complex'!AD106+'[7]Inedible Tallow Complex'!AD105+'[7]Yellow Grease Complex'!AD106+'[7]Used Cooking Oil Complex'!AD106+'[7]CWG Complex'!AD108+'[7]Poultry Byproduct Complex'!AD245</f>
        <v>942.9364051750124</v>
      </c>
      <c r="N20" s="35">
        <f>'[1]Soy Complex'!BL406+'[1]Sun Complex'!BL321+'[1]Canola Complex'!BL341+'[1]Cottonseed Complex'!BL312+'[7]Distillers'' Corn Oil Complex'!AE106+'[7]Inedible Tallow Complex'!AE105+'[7]Yellow Grease Complex'!AE106+'[7]Used Cooking Oil Complex'!AE106+'[7]CWG Complex'!AE108+'[7]Poultry Byproduct Complex'!AE245</f>
        <v>989.14813453929696</v>
      </c>
      <c r="O20" s="35">
        <f>'[1]Soy Complex'!BM406+'[1]Sun Complex'!BM321+'[1]Canola Complex'!BM341+'[1]Cottonseed Complex'!BM312+'[7]Distillers'' Corn Oil Complex'!AF106+'[7]Inedible Tallow Complex'!AF105+'[7]Yellow Grease Complex'!AF106+'[7]Used Cooking Oil Complex'!AF106+'[7]CWG Complex'!AF108+'[7]Poultry Byproduct Complex'!AF245</f>
        <v>1005.170347931446</v>
      </c>
      <c r="P20" s="35">
        <f>'[1]Soy Complex'!BN406+'[1]Sun Complex'!BN321+'[1]Canola Complex'!BN341+'[1]Cottonseed Complex'!BN312+'[7]Distillers'' Corn Oil Complex'!AG106+'[7]Inedible Tallow Complex'!AG105+'[7]Yellow Grease Complex'!AG106+'[7]Used Cooking Oil Complex'!AG106+'[7]CWG Complex'!AG108+'[7]Poultry Byproduct Complex'!AG245</f>
        <v>625.81908722675325</v>
      </c>
      <c r="Q20" s="35">
        <f>'[1]Soy Complex'!BO406+'[1]Sun Complex'!BO321+'[1]Canola Complex'!BO341+'[1]Cottonseed Complex'!BO312+'[7]Distillers'' Corn Oil Complex'!AH106+'[7]Inedible Tallow Complex'!AH105+'[7]Yellow Grease Complex'!AH106+'[7]Used Cooking Oil Complex'!AH106+'[7]CWG Complex'!AH108+'[7]Poultry Byproduct Complex'!AH245</f>
        <v>930.05563930652636</v>
      </c>
      <c r="R20" s="35">
        <f>'[1]Soy Complex'!BP406+'[1]Sun Complex'!BP321+'[1]Canola Complex'!BP341+'[1]Cottonseed Complex'!BP312+'[7]Distillers'' Corn Oil Complex'!AI106+'[7]Inedible Tallow Complex'!AI105+'[7]Yellow Grease Complex'!AI106+'[7]Used Cooking Oil Complex'!AI106+'[7]CWG Complex'!AI108+'[7]Poultry Byproduct Complex'!AI245</f>
        <v>849.65182304334132</v>
      </c>
      <c r="S20" s="35">
        <f>'[1]Soy Complex'!BQ406+'[1]Sun Complex'!BQ321+'[1]Canola Complex'!BQ341+'[1]Cottonseed Complex'!BQ312+'[7]Distillers'' Corn Oil Complex'!AJ106+'[7]Inedible Tallow Complex'!AJ105+'[7]Yellow Grease Complex'!AJ106+'[7]Used Cooking Oil Complex'!AJ106+'[7]CWG Complex'!AJ108+'[7]Poultry Byproduct Complex'!AJ245</f>
        <v>676.08072034100485</v>
      </c>
      <c r="T20" s="35">
        <f>'[1]Soy Complex'!BR406+'[1]Sun Complex'!BR321+'[1]Canola Complex'!BR341+'[1]Cottonseed Complex'!BR312+'[7]Distillers'' Corn Oil Complex'!AK106+'[7]Inedible Tallow Complex'!AK105+'[7]Yellow Grease Complex'!AK106+'[7]Used Cooking Oil Complex'!AK106+'[7]CWG Complex'!AK108+'[7]Poultry Byproduct Complex'!AK245</f>
        <v>726.48792750048347</v>
      </c>
      <c r="U20" s="35">
        <f>'[1]Soy Complex'!BS406+'[1]Sun Complex'!BS321+'[1]Canola Complex'!BS341+'[1]Cottonseed Complex'!BS312+'[7]Distillers'' Corn Oil Complex'!AL106+'[7]Inedible Tallow Complex'!AL105+'[7]Yellow Grease Complex'!AL106+'[7]Used Cooking Oil Complex'!AL106+'[7]CWG Complex'!AL108+'[7]Poultry Byproduct Complex'!AL245</f>
        <v>705.60546776013916</v>
      </c>
      <c r="V20" s="35">
        <f>'[1]Soy Complex'!BT406+'[1]Sun Complex'!BT321+'[1]Canola Complex'!BT341+'[1]Cottonseed Complex'!BT312+'[7]Distillers'' Corn Oil Complex'!AM106+'[7]Inedible Tallow Complex'!AM105+'[7]Yellow Grease Complex'!AM106+'[7]Used Cooking Oil Complex'!AM106+'[7]CWG Complex'!AM108+'[7]Poultry Byproduct Complex'!AM245</f>
        <v>733.79215188663966</v>
      </c>
      <c r="W20" s="35">
        <f>'[1]Soy Complex'!BU406+'[1]Sun Complex'!BU321+'[1]Canola Complex'!BU341+'[1]Cottonseed Complex'!BU312+'[7]Distillers'' Corn Oil Complex'!AN106+'[7]Inedible Tallow Complex'!AN105+'[7]Yellow Grease Complex'!AN106+'[7]Used Cooking Oil Complex'!AN106+'[7]CWG Complex'!AN108+'[7]Poultry Byproduct Complex'!AN245</f>
        <v>748.61416041119207</v>
      </c>
      <c r="X20" s="35">
        <f>'[1]Soy Complex'!BV406+'[1]Sun Complex'!BV321+'[1]Canola Complex'!BV341+'[1]Cottonseed Complex'!BV312+'[7]Distillers'' Corn Oil Complex'!AO106+'[7]Inedible Tallow Complex'!AO105+'[7]Yellow Grease Complex'!AO106+'[7]Used Cooking Oil Complex'!AO106+'[7]CWG Complex'!AO108+'[7]Poultry Byproduct Complex'!AO245</f>
        <v>695.7979066181299</v>
      </c>
      <c r="Y20" s="35">
        <f>'[1]Soy Complex'!BW406+'[1]Sun Complex'!BW321+'[1]Canola Complex'!BW341+'[1]Cottonseed Complex'!BW312+'[7]Distillers'' Corn Oil Complex'!AP106+'[7]Inedible Tallow Complex'!AP105+'[7]Yellow Grease Complex'!AP106+'[7]Used Cooking Oil Complex'!AP106+'[7]CWG Complex'!AP108+'[7]Poultry Byproduct Complex'!AP245</f>
        <v>761.04681077912903</v>
      </c>
      <c r="Z20" s="35">
        <f>'[1]Soy Complex'!BX406+'[1]Sun Complex'!BX321+'[1]Canola Complex'!BX341+'[1]Cottonseed Complex'!BX312+'[7]Distillers'' Corn Oil Complex'!AQ106+'[7]Inedible Tallow Complex'!AQ105+'[7]Yellow Grease Complex'!AQ106+'[7]Used Cooking Oil Complex'!AQ106+'[7]CWG Complex'!AQ108+'[7]Poultry Byproduct Complex'!AQ245</f>
        <v>755.16068054162054</v>
      </c>
      <c r="AA20" s="35">
        <f>'[1]Soy Complex'!BY406+'[1]Sun Complex'!BY321+'[1]Canola Complex'!BY341+'[1]Cottonseed Complex'!BY312+'[7]Distillers'' Corn Oil Complex'!AR106+'[7]Inedible Tallow Complex'!AR105+'[7]Yellow Grease Complex'!AR106+'[7]Used Cooking Oil Complex'!AR106+'[7]CWG Complex'!AR108+'[7]Poultry Byproduct Complex'!AR245</f>
        <v>616.91489608399922</v>
      </c>
      <c r="AB20" s="35">
        <f>'[1]Soy Complex'!BZ406+'[1]Sun Complex'!BZ321+'[1]Canola Complex'!BZ341+'[1]Cottonseed Complex'!BZ312+'[7]Distillers'' Corn Oil Complex'!AS106+'[7]Inedible Tallow Complex'!AS105+'[7]Yellow Grease Complex'!AS106+'[7]Used Cooking Oil Complex'!AS106+'[7]CWG Complex'!AS108+'[7]Poultry Byproduct Complex'!AS245</f>
        <v>507.06455483701262</v>
      </c>
      <c r="AC20" s="35">
        <f>'[1]Soy Complex'!CA406+'[1]Sun Complex'!CA321+'[1]Canola Complex'!CA341+'[1]Cottonseed Complex'!CA312+'[7]Distillers'' Corn Oil Complex'!AT106+'[7]Inedible Tallow Complex'!AT105+'[7]Yellow Grease Complex'!AT106+'[7]Used Cooking Oil Complex'!AT106+'[7]CWG Complex'!AT108+'[7]Poultry Byproduct Complex'!AT245</f>
        <v>510.45635311634891</v>
      </c>
      <c r="AD20" s="35">
        <f>'[1]Soy Complex'!CB406+'[1]Sun Complex'!CB321+'[1]Canola Complex'!CB341+'[1]Cottonseed Complex'!CB312+'[7]Distillers'' Corn Oil Complex'!AU106+'[7]Inedible Tallow Complex'!AU105+'[7]Yellow Grease Complex'!AU106+'[7]Used Cooking Oil Complex'!AU106+'[7]CWG Complex'!AU108+'[7]Poultry Byproduct Complex'!AU245</f>
        <v>503.14468373949063</v>
      </c>
      <c r="AE20" s="35">
        <f>'[1]Soy Complex'!CC406+'[1]Sun Complex'!CC321+'[1]Canola Complex'!CC341+'[1]Cottonseed Complex'!CC312+'[7]Distillers'' Corn Oil Complex'!AV106+'[7]Inedible Tallow Complex'!AV105+'[7]Yellow Grease Complex'!AV106+'[7]Used Cooking Oil Complex'!AV106+'[7]CWG Complex'!AV108+'[7]Poultry Byproduct Complex'!AV245</f>
        <v>320.85177601224956</v>
      </c>
      <c r="AF20" s="35">
        <f>'[1]Soy Complex'!CD406+'[1]Sun Complex'!CD321+'[1]Canola Complex'!CD341+'[1]Cottonseed Complex'!CD312+'[7]Distillers'' Corn Oil Complex'!AW106+'[7]Inedible Tallow Complex'!AW105+'[7]Yellow Grease Complex'!AW106+'[7]Used Cooking Oil Complex'!AW106+'[7]CWG Complex'!AW108+'[7]Poultry Byproduct Complex'!AW245</f>
        <v>324.27259824705976</v>
      </c>
      <c r="AL20" s="70">
        <f t="shared" ref="AL20:AW31" si="3">C20/B20-1</f>
        <v>1.1726907630522088</v>
      </c>
      <c r="AM20" s="70">
        <f t="shared" si="3"/>
        <v>-8.3179297597042567E-2</v>
      </c>
      <c r="AN20" s="70">
        <f t="shared" si="3"/>
        <v>-0.1088709677419355</v>
      </c>
      <c r="AO20" s="70">
        <f t="shared" si="3"/>
        <v>0.21040723981900444</v>
      </c>
      <c r="AP20" s="70">
        <f t="shared" si="3"/>
        <v>0.30105794392523344</v>
      </c>
      <c r="AQ20" s="70">
        <f t="shared" si="3"/>
        <v>1.3610778288265735E-2</v>
      </c>
      <c r="AR20" s="70">
        <f t="shared" si="3"/>
        <v>0.30380899307290354</v>
      </c>
      <c r="AS20" s="70">
        <f t="shared" si="3"/>
        <v>0.17989184740245756</v>
      </c>
      <c r="AT20" s="70">
        <f t="shared" si="3"/>
        <v>-7.5076989765681335E-2</v>
      </c>
      <c r="AU20" s="70">
        <f t="shared" si="3"/>
        <v>3.7870777458502314E-2</v>
      </c>
      <c r="AV20" s="70">
        <f t="shared" si="3"/>
        <v>-9.498511524725306E-2</v>
      </c>
      <c r="AW20" s="70">
        <f t="shared" si="3"/>
        <v>4.9008320296751506E-2</v>
      </c>
    </row>
    <row r="21" spans="1:49" x14ac:dyDescent="0.2">
      <c r="A21" s="61" t="s">
        <v>7</v>
      </c>
      <c r="B21" s="35">
        <f>'[1]Soy Complex'!AZ407+'[1]Sun Complex'!AZ322+'[1]Canola Complex'!AZ342+'[1]Cottonseed Complex'!AZ313+'[7]Distillers'' Corn Oil Complex'!S107+'[7]Inedible Tallow Complex'!S106+'[7]Yellow Grease Complex'!S107+'[7]Used Cooking Oil Complex'!S107+'[7]CWG Complex'!S109+'[7]Poultry Byproduct Complex'!S246</f>
        <v>281</v>
      </c>
      <c r="C21" s="35">
        <f>'[1]Soy Complex'!BA407+'[1]Sun Complex'!BA322+'[1]Canola Complex'!BA342+'[1]Cottonseed Complex'!BA313+'[7]Distillers'' Corn Oil Complex'!T107+'[7]Inedible Tallow Complex'!T106+'[7]Yellow Grease Complex'!T107+'[7]Used Cooking Oil Complex'!T107+'[7]CWG Complex'!T109+'[7]Poultry Byproduct Complex'!T246</f>
        <v>560</v>
      </c>
      <c r="D21" s="35">
        <f>'[1]Soy Complex'!BB407+'[1]Sun Complex'!BB322+'[1]Canola Complex'!BB342+'[1]Cottonseed Complex'!BB313+'[7]Distillers'' Corn Oil Complex'!U107+'[7]Inedible Tallow Complex'!U106+'[7]Yellow Grease Complex'!U107+'[7]Used Cooking Oil Complex'!U107+'[7]CWG Complex'!U109+'[7]Poultry Byproduct Complex'!U246</f>
        <v>513</v>
      </c>
      <c r="E21" s="35">
        <f>'[1]Soy Complex'!BC407+'[1]Sun Complex'!BC322+'[1]Canola Complex'!BC342+'[1]Cottonseed Complex'!BC313+'[7]Distillers'' Corn Oil Complex'!V107+'[7]Inedible Tallow Complex'!V106+'[7]Yellow Grease Complex'!V107+'[7]Used Cooking Oil Complex'!V107+'[7]CWG Complex'!V109+'[7]Poultry Byproduct Complex'!V246</f>
        <v>502</v>
      </c>
      <c r="F21" s="35">
        <f>'[1]Soy Complex'!BD407+'[1]Sun Complex'!BD322+'[1]Canola Complex'!BD342+'[1]Cottonseed Complex'!BD313+'[7]Distillers'' Corn Oil Complex'!W107+'[7]Inedible Tallow Complex'!W106+'[7]Yellow Grease Complex'!W107+'[7]Used Cooking Oil Complex'!W107+'[7]CWG Complex'!W109+'[7]Poultry Byproduct Complex'!W246</f>
        <v>531</v>
      </c>
      <c r="G21" s="35">
        <f>'[1]Soy Complex'!BE407+'[1]Sun Complex'!BE322+'[1]Canola Complex'!BE342+'[1]Cottonseed Complex'!BE313+'[7]Distillers'' Corn Oil Complex'!X107+'[7]Inedible Tallow Complex'!X106+'[7]Yellow Grease Complex'!X107+'[7]Used Cooking Oil Complex'!X107+'[7]CWG Complex'!X109+'[7]Poultry Byproduct Complex'!X246</f>
        <v>712.82600000000002</v>
      </c>
      <c r="H21" s="35">
        <f>'[1]Soy Complex'!BF407+'[1]Sun Complex'!BF322+'[1]Canola Complex'!BF342+'[1]Cottonseed Complex'!BF313+'[7]Distillers'' Corn Oil Complex'!Y107+'[7]Inedible Tallow Complex'!Y106+'[7]Yellow Grease Complex'!Y107+'[7]Used Cooking Oil Complex'!Y107+'[7]CWG Complex'!Y109+'[7]Poultry Byproduct Complex'!Y246</f>
        <v>713.45</v>
      </c>
      <c r="I21" s="35">
        <f>'[1]Soy Complex'!BG407+'[1]Sun Complex'!BG322+'[1]Canola Complex'!BG342+'[1]Cottonseed Complex'!BG313+'[7]Distillers'' Corn Oil Complex'!Z107+'[7]Inedible Tallow Complex'!Z106+'[7]Yellow Grease Complex'!Z107+'[7]Used Cooking Oil Complex'!Z107+'[7]CWG Complex'!Z109+'[7]Poultry Byproduct Complex'!Z246</f>
        <v>927.65939697265617</v>
      </c>
      <c r="J21" s="35">
        <f>'[1]Soy Complex'!BH407+'[1]Sun Complex'!BH322+'[1]Canola Complex'!BH342+'[1]Cottonseed Complex'!BH313+'[7]Distillers'' Corn Oil Complex'!AA107+'[7]Inedible Tallow Complex'!AA106+'[7]Yellow Grease Complex'!AA107+'[7]Used Cooking Oil Complex'!AA107+'[7]CWG Complex'!AA109+'[7]Poultry Byproduct Complex'!AA246</f>
        <v>959.84</v>
      </c>
      <c r="K21" s="35">
        <f>'[1]Soy Complex'!BI407+'[1]Sun Complex'!BI322+'[1]Canola Complex'!BI342+'[1]Cottonseed Complex'!BI313+'[7]Distillers'' Corn Oil Complex'!AB107+'[7]Inedible Tallow Complex'!AB106+'[7]Yellow Grease Complex'!AB107+'[7]Used Cooking Oil Complex'!AB107+'[7]CWG Complex'!AB109+'[7]Poultry Byproduct Complex'!AB246</f>
        <v>973.01470648011968</v>
      </c>
      <c r="L21" s="35">
        <f>'[1]Soy Complex'!BJ407+'[1]Sun Complex'!BJ322+'[1]Canola Complex'!BJ342+'[1]Cottonseed Complex'!BJ313+'[7]Distillers'' Corn Oil Complex'!AC107+'[7]Inedible Tallow Complex'!AC106+'[7]Yellow Grease Complex'!AC107+'[7]Used Cooking Oil Complex'!AC107+'[7]CWG Complex'!AC109+'[7]Poultry Byproduct Complex'!AC246</f>
        <v>658.54820785170091</v>
      </c>
      <c r="M21" s="35">
        <f>'[1]Soy Complex'!BK407+'[1]Sun Complex'!BK322+'[1]Canola Complex'!BK342+'[1]Cottonseed Complex'!BK313+'[7]Distillers'' Corn Oil Complex'!AD107+'[7]Inedible Tallow Complex'!AD106+'[7]Yellow Grease Complex'!AD107+'[7]Used Cooking Oil Complex'!AD107+'[7]CWG Complex'!AD109+'[7]Poultry Byproduct Complex'!AD246</f>
        <v>920.11305992947791</v>
      </c>
      <c r="N21" s="35">
        <f>'[1]Soy Complex'!BL407+'[1]Sun Complex'!BL322+'[1]Canola Complex'!BL342+'[1]Cottonseed Complex'!BL313+'[7]Distillers'' Corn Oil Complex'!AE107+'[7]Inedible Tallow Complex'!AE106+'[7]Yellow Grease Complex'!AE107+'[7]Used Cooking Oil Complex'!AE107+'[7]CWG Complex'!AE109+'[7]Poultry Byproduct Complex'!AE246</f>
        <v>904.4773185210513</v>
      </c>
      <c r="O21" s="35">
        <f>'[1]Soy Complex'!BM407+'[1]Sun Complex'!BM322+'[1]Canola Complex'!BM342+'[1]Cottonseed Complex'!BM313+'[7]Distillers'' Corn Oil Complex'!AF107+'[7]Inedible Tallow Complex'!AF106+'[7]Yellow Grease Complex'!AF107+'[7]Used Cooking Oil Complex'!AF107+'[7]CWG Complex'!AF109+'[7]Poultry Byproduct Complex'!AF246</f>
        <v>969.56329515130108</v>
      </c>
      <c r="P21" s="35">
        <f>'[1]Soy Complex'!BN407+'[1]Sun Complex'!BN322+'[1]Canola Complex'!BN342+'[1]Cottonseed Complex'!BN313+'[7]Distillers'' Corn Oil Complex'!AG107+'[7]Inedible Tallow Complex'!AG106+'[7]Yellow Grease Complex'!AG107+'[7]Used Cooking Oil Complex'!AG107+'[7]CWG Complex'!AG109+'[7]Poultry Byproduct Complex'!AG246</f>
        <v>714.64312719094244</v>
      </c>
      <c r="Q21" s="35">
        <f>'[1]Soy Complex'!BO407+'[1]Sun Complex'!BO322+'[1]Canola Complex'!BO342+'[1]Cottonseed Complex'!BO313+'[7]Distillers'' Corn Oil Complex'!AH107+'[7]Inedible Tallow Complex'!AH106+'[7]Yellow Grease Complex'!AH107+'[7]Used Cooking Oil Complex'!AH107+'[7]CWG Complex'!AH109+'[7]Poultry Byproduct Complex'!AH246</f>
        <v>840.36786449299393</v>
      </c>
      <c r="R21" s="35">
        <f>'[1]Soy Complex'!BP407+'[1]Sun Complex'!BP322+'[1]Canola Complex'!BP342+'[1]Cottonseed Complex'!BP313+'[7]Distillers'' Corn Oil Complex'!AI107+'[7]Inedible Tallow Complex'!AI106+'[7]Yellow Grease Complex'!AI107+'[7]Used Cooking Oil Complex'!AI107+'[7]CWG Complex'!AI109+'[7]Poultry Byproduct Complex'!AI246</f>
        <v>797.42594775657665</v>
      </c>
      <c r="S21" s="35">
        <f>'[1]Soy Complex'!BQ407+'[1]Sun Complex'!BQ322+'[1]Canola Complex'!BQ342+'[1]Cottonseed Complex'!BQ313+'[7]Distillers'' Corn Oil Complex'!AJ107+'[7]Inedible Tallow Complex'!AJ106+'[7]Yellow Grease Complex'!AJ107+'[7]Used Cooking Oil Complex'!AJ107+'[7]CWG Complex'!AJ109+'[7]Poultry Byproduct Complex'!AJ246</f>
        <v>624.43331901443651</v>
      </c>
      <c r="T21" s="35">
        <f>'[1]Soy Complex'!BR407+'[1]Sun Complex'!BR322+'[1]Canola Complex'!BR342+'[1]Cottonseed Complex'!BR313+'[7]Distillers'' Corn Oil Complex'!AK107+'[7]Inedible Tallow Complex'!AK106+'[7]Yellow Grease Complex'!AK107+'[7]Used Cooking Oil Complex'!AK107+'[7]CWG Complex'!AK109+'[7]Poultry Byproduct Complex'!AK246</f>
        <v>671.99629859295226</v>
      </c>
      <c r="U21" s="35">
        <f>'[1]Soy Complex'!BS407+'[1]Sun Complex'!BS322+'[1]Canola Complex'!BS342+'[1]Cottonseed Complex'!BS313+'[7]Distillers'' Corn Oil Complex'!AL107+'[7]Inedible Tallow Complex'!AL106+'[7]Yellow Grease Complex'!AL107+'[7]Used Cooking Oil Complex'!AL107+'[7]CWG Complex'!AL109+'[7]Poultry Byproduct Complex'!AL246</f>
        <v>640.97523046954223</v>
      </c>
      <c r="V21" s="35">
        <f>'[1]Soy Complex'!BT407+'[1]Sun Complex'!BT322+'[1]Canola Complex'!BT342+'[1]Cottonseed Complex'!BT313+'[7]Distillers'' Corn Oil Complex'!AM107+'[7]Inedible Tallow Complex'!AM106+'[7]Yellow Grease Complex'!AM107+'[7]Used Cooking Oil Complex'!AM107+'[7]CWG Complex'!AM109+'[7]Poultry Byproduct Complex'!AM246</f>
        <v>668.65261061403692</v>
      </c>
      <c r="W21" s="35">
        <f>'[1]Soy Complex'!BU407+'[1]Sun Complex'!BU322+'[1]Canola Complex'!BU342+'[1]Cottonseed Complex'!BU313+'[7]Distillers'' Corn Oil Complex'!AN107+'[7]Inedible Tallow Complex'!AN106+'[7]Yellow Grease Complex'!AN107+'[7]Used Cooking Oil Complex'!AN107+'[7]CWG Complex'!AN109+'[7]Poultry Byproduct Complex'!AN246</f>
        <v>686.59072292112319</v>
      </c>
      <c r="X21" s="35">
        <f>'[1]Soy Complex'!BV407+'[1]Sun Complex'!BV322+'[1]Canola Complex'!BV342+'[1]Cottonseed Complex'!BV313+'[7]Distillers'' Corn Oil Complex'!AO107+'[7]Inedible Tallow Complex'!AO106+'[7]Yellow Grease Complex'!AO107+'[7]Used Cooking Oil Complex'!AO107+'[7]CWG Complex'!AO109+'[7]Poultry Byproduct Complex'!AO246</f>
        <v>518.6278279295891</v>
      </c>
      <c r="Y21" s="35">
        <f>'[1]Soy Complex'!BW407+'[1]Sun Complex'!BW322+'[1]Canola Complex'!BW342+'[1]Cottonseed Complex'!BW313+'[7]Distillers'' Corn Oil Complex'!AP107+'[7]Inedible Tallow Complex'!AP106+'[7]Yellow Grease Complex'!AP107+'[7]Used Cooking Oil Complex'!AP107+'[7]CWG Complex'!AP109+'[7]Poultry Byproduct Complex'!AP246</f>
        <v>611.08760725116611</v>
      </c>
      <c r="Z21" s="35">
        <f>'[1]Soy Complex'!BX407+'[1]Sun Complex'!BX322+'[1]Canola Complex'!BX342+'[1]Cottonseed Complex'!BX313+'[7]Distillers'' Corn Oil Complex'!AQ107+'[7]Inedible Tallow Complex'!AQ106+'[7]Yellow Grease Complex'!AQ107+'[7]Used Cooking Oil Complex'!AQ107+'[7]CWG Complex'!AQ109+'[7]Poultry Byproduct Complex'!AQ246</f>
        <v>596.11524076721776</v>
      </c>
      <c r="AA21" s="35">
        <f>'[1]Soy Complex'!BY407+'[1]Sun Complex'!BY322+'[1]Canola Complex'!BY342+'[1]Cottonseed Complex'!BY313+'[7]Distillers'' Corn Oil Complex'!AR107+'[7]Inedible Tallow Complex'!AR106+'[7]Yellow Grease Complex'!AR107+'[7]Used Cooking Oil Complex'!AR107+'[7]CWG Complex'!AR109+'[7]Poultry Byproduct Complex'!AR246</f>
        <v>513.44919253830801</v>
      </c>
      <c r="AB21" s="35">
        <f>'[1]Soy Complex'!BZ407+'[1]Sun Complex'!BZ322+'[1]Canola Complex'!BZ342+'[1]Cottonseed Complex'!BZ313+'[7]Distillers'' Corn Oil Complex'!AS107+'[7]Inedible Tallow Complex'!AS106+'[7]Yellow Grease Complex'!AS107+'[7]Used Cooking Oil Complex'!AS107+'[7]CWG Complex'!AS109+'[7]Poultry Byproduct Complex'!AS246</f>
        <v>416.19371398969741</v>
      </c>
      <c r="AC21" s="35">
        <f>'[1]Soy Complex'!CA407+'[1]Sun Complex'!CA322+'[1]Canola Complex'!CA342+'[1]Cottonseed Complex'!CA313+'[7]Distillers'' Corn Oil Complex'!AT107+'[7]Inedible Tallow Complex'!AT106+'[7]Yellow Grease Complex'!AT107+'[7]Used Cooking Oil Complex'!AT107+'[7]CWG Complex'!AT109+'[7]Poultry Byproduct Complex'!AT246</f>
        <v>407.81240442038114</v>
      </c>
      <c r="AD21" s="35">
        <f>'[1]Soy Complex'!CB407+'[1]Sun Complex'!CB322+'[1]Canola Complex'!CB342+'[1]Cottonseed Complex'!CB313+'[7]Distillers'' Corn Oil Complex'!AU107+'[7]Inedible Tallow Complex'!AU106+'[7]Yellow Grease Complex'!AU107+'[7]Used Cooking Oil Complex'!AU107+'[7]CWG Complex'!AU109+'[7]Poultry Byproduct Complex'!AU246</f>
        <v>401.82886396097814</v>
      </c>
      <c r="AE21" s="35">
        <f>'[1]Soy Complex'!CC407+'[1]Sun Complex'!CC322+'[1]Canola Complex'!CC342+'[1]Cottonseed Complex'!CC313+'[7]Distillers'' Corn Oil Complex'!AV107+'[7]Inedible Tallow Complex'!AV106+'[7]Yellow Grease Complex'!AV107+'[7]Used Cooking Oil Complex'!AV107+'[7]CWG Complex'!AV109+'[7]Poultry Byproduct Complex'!AV246</f>
        <v>258.32260152766736</v>
      </c>
      <c r="AF21" s="35">
        <f>'[1]Soy Complex'!CD407+'[1]Sun Complex'!CD322+'[1]Canola Complex'!CD342+'[1]Cottonseed Complex'!CD313+'[7]Distillers'' Corn Oil Complex'!AW107+'[7]Inedible Tallow Complex'!AW106+'[7]Yellow Grease Complex'!AW107+'[7]Used Cooking Oil Complex'!AW107+'[7]CWG Complex'!AW109+'[7]Poultry Byproduct Complex'!AW246</f>
        <v>259.35992613360446</v>
      </c>
      <c r="AL21" s="70">
        <f t="shared" si="3"/>
        <v>0.99288256227758009</v>
      </c>
      <c r="AM21" s="70">
        <f t="shared" si="3"/>
        <v>-8.3928571428571463E-2</v>
      </c>
      <c r="AN21" s="70">
        <f t="shared" si="3"/>
        <v>-2.1442495126705707E-2</v>
      </c>
      <c r="AO21" s="70">
        <f t="shared" si="3"/>
        <v>5.7768924302788793E-2</v>
      </c>
      <c r="AP21" s="70">
        <f t="shared" si="3"/>
        <v>0.34242184557438793</v>
      </c>
      <c r="AQ21" s="70">
        <f t="shared" si="3"/>
        <v>8.7538894484762153E-4</v>
      </c>
      <c r="AR21" s="70">
        <f t="shared" si="3"/>
        <v>0.30024444175857612</v>
      </c>
      <c r="AS21" s="70">
        <f t="shared" si="3"/>
        <v>3.4690106231190843E-2</v>
      </c>
      <c r="AT21" s="70">
        <f t="shared" si="3"/>
        <v>1.3725940240164602E-2</v>
      </c>
      <c r="AU21" s="70">
        <f t="shared" si="3"/>
        <v>-0.32318781672478647</v>
      </c>
      <c r="AV21" s="70">
        <f t="shared" si="3"/>
        <v>0.39718406178804622</v>
      </c>
      <c r="AW21" s="70">
        <f t="shared" si="3"/>
        <v>-1.6993282770733642E-2</v>
      </c>
    </row>
    <row r="22" spans="1:49" x14ac:dyDescent="0.2">
      <c r="A22" s="61" t="s">
        <v>8</v>
      </c>
      <c r="B22" s="35">
        <f>'[1]Soy Complex'!AZ408+'[1]Sun Complex'!AZ323+'[1]Canola Complex'!AZ343+'[1]Cottonseed Complex'!AZ314+'[7]Distillers'' Corn Oil Complex'!S108+'[7]Inedible Tallow Complex'!S107+'[7]Yellow Grease Complex'!S108+'[7]Used Cooking Oil Complex'!S108+'[7]CWG Complex'!S110+'[7]Poultry Byproduct Complex'!S247</f>
        <v>411</v>
      </c>
      <c r="C22" s="35">
        <f>'[1]Soy Complex'!BA408+'[1]Sun Complex'!BA323+'[1]Canola Complex'!BA343+'[1]Cottonseed Complex'!BA314+'[7]Distillers'' Corn Oil Complex'!T108+'[7]Inedible Tallow Complex'!T107+'[7]Yellow Grease Complex'!T108+'[7]Used Cooking Oil Complex'!T108+'[7]CWG Complex'!T110+'[7]Poultry Byproduct Complex'!T247</f>
        <v>686</v>
      </c>
      <c r="D22" s="35">
        <f>'[1]Soy Complex'!BB408+'[1]Sun Complex'!BB323+'[1]Canola Complex'!BB343+'[1]Cottonseed Complex'!BB314+'[7]Distillers'' Corn Oil Complex'!U108+'[7]Inedible Tallow Complex'!U107+'[7]Yellow Grease Complex'!U108+'[7]Used Cooking Oil Complex'!U108+'[7]CWG Complex'!U110+'[7]Poultry Byproduct Complex'!U247</f>
        <v>728</v>
      </c>
      <c r="E22" s="35">
        <f>'[1]Soy Complex'!BC408+'[1]Sun Complex'!BC323+'[1]Canola Complex'!BC343+'[1]Cottonseed Complex'!BC314+'[7]Distillers'' Corn Oil Complex'!V108+'[7]Inedible Tallow Complex'!V107+'[7]Yellow Grease Complex'!V108+'[7]Used Cooking Oil Complex'!V108+'[7]CWG Complex'!V110+'[7]Poultry Byproduct Complex'!V247</f>
        <v>678</v>
      </c>
      <c r="F22" s="35">
        <f>'[1]Soy Complex'!BD408+'[1]Sun Complex'!BD323+'[1]Canola Complex'!BD343+'[1]Cottonseed Complex'!BD314+'[7]Distillers'' Corn Oil Complex'!W108+'[7]Inedible Tallow Complex'!W107+'[7]Yellow Grease Complex'!W108+'[7]Used Cooking Oil Complex'!W108+'[7]CWG Complex'!W110+'[7]Poultry Byproduct Complex'!W247</f>
        <v>710</v>
      </c>
      <c r="G22" s="35">
        <f>'[1]Soy Complex'!BE408+'[1]Sun Complex'!BE323+'[1]Canola Complex'!BE343+'[1]Cottonseed Complex'!BE314+'[7]Distillers'' Corn Oil Complex'!X108+'[7]Inedible Tallow Complex'!X107+'[7]Yellow Grease Complex'!X108+'[7]Used Cooking Oil Complex'!X108+'[7]CWG Complex'!X110+'[7]Poultry Byproduct Complex'!X247</f>
        <v>766.05199999999991</v>
      </c>
      <c r="H22" s="35">
        <f>'[1]Soy Complex'!BF408+'[1]Sun Complex'!BF323+'[1]Canola Complex'!BF343+'[1]Cottonseed Complex'!BF314+'[7]Distillers'' Corn Oil Complex'!Y108+'[7]Inedible Tallow Complex'!Y107+'[7]Yellow Grease Complex'!Y108+'[7]Used Cooking Oil Complex'!Y108+'[7]CWG Complex'!Y110+'[7]Poultry Byproduct Complex'!Y247</f>
        <v>837.27</v>
      </c>
      <c r="I22" s="35">
        <f>'[1]Soy Complex'!BG408+'[1]Sun Complex'!BG323+'[1]Canola Complex'!BG343+'[1]Cottonseed Complex'!BG314+'[7]Distillers'' Corn Oil Complex'!Z108+'[7]Inedible Tallow Complex'!Z107+'[7]Yellow Grease Complex'!Z108+'[7]Used Cooking Oil Complex'!Z108+'[7]CWG Complex'!Z110+'[7]Poultry Byproduct Complex'!Z247</f>
        <v>1096.81005859375</v>
      </c>
      <c r="J22" s="35">
        <f>'[1]Soy Complex'!BH408+'[1]Sun Complex'!BH323+'[1]Canola Complex'!BH343+'[1]Cottonseed Complex'!BH314+'[7]Distillers'' Corn Oil Complex'!AA108+'[7]Inedible Tallow Complex'!AA107+'[7]Yellow Grease Complex'!AA108+'[7]Used Cooking Oil Complex'!AA108+'[7]CWG Complex'!AA110+'[7]Poultry Byproduct Complex'!AA247</f>
        <v>1054.56</v>
      </c>
      <c r="K22" s="35">
        <f>'[1]Soy Complex'!BI408+'[1]Sun Complex'!BI323+'[1]Canola Complex'!BI343+'[1]Cottonseed Complex'!BI314+'[7]Distillers'' Corn Oil Complex'!AB108+'[7]Inedible Tallow Complex'!AB107+'[7]Yellow Grease Complex'!AB108+'[7]Used Cooking Oil Complex'!AB108+'[7]CWG Complex'!AB110+'[7]Poultry Byproduct Complex'!AB247</f>
        <v>1116.8652169199961</v>
      </c>
      <c r="L22" s="35">
        <f>'[1]Soy Complex'!BJ408+'[1]Sun Complex'!BJ323+'[1]Canola Complex'!BJ343+'[1]Cottonseed Complex'!BJ314+'[7]Distillers'' Corn Oil Complex'!AC108+'[7]Inedible Tallow Complex'!AC107+'[7]Yellow Grease Complex'!AC108+'[7]Used Cooking Oil Complex'!AC108+'[7]CWG Complex'!AC110+'[7]Poultry Byproduct Complex'!AC247</f>
        <v>946.52639239210009</v>
      </c>
      <c r="M22" s="35">
        <f>'[1]Soy Complex'!BK408+'[1]Sun Complex'!BK323+'[1]Canola Complex'!BK343+'[1]Cottonseed Complex'!BK314+'[7]Distillers'' Corn Oil Complex'!AD108+'[7]Inedible Tallow Complex'!AD107+'[7]Yellow Grease Complex'!AD108+'[7]Used Cooking Oil Complex'!AD108+'[7]CWG Complex'!AD110+'[7]Poultry Byproduct Complex'!AD247</f>
        <v>1073.9144333371212</v>
      </c>
      <c r="N22" s="35">
        <f>'[1]Soy Complex'!BL408+'[1]Sun Complex'!BL323+'[1]Canola Complex'!BL343+'[1]Cottonseed Complex'!BL314+'[7]Distillers'' Corn Oil Complex'!AE108+'[7]Inedible Tallow Complex'!AE107+'[7]Yellow Grease Complex'!AE108+'[7]Used Cooking Oil Complex'!AE108+'[7]CWG Complex'!AE110+'[7]Poultry Byproduct Complex'!AE247</f>
        <v>1126.2929540145587</v>
      </c>
      <c r="O22" s="35">
        <f>'[1]Soy Complex'!BM408+'[1]Sun Complex'!BM323+'[1]Canola Complex'!BM343+'[1]Cottonseed Complex'!BM314+'[7]Distillers'' Corn Oil Complex'!AF108+'[7]Inedible Tallow Complex'!AF107+'[7]Yellow Grease Complex'!AF108+'[7]Used Cooking Oil Complex'!AF108+'[7]CWG Complex'!AF110+'[7]Poultry Byproduct Complex'!AF247</f>
        <v>1016.2746047179378</v>
      </c>
      <c r="P22" s="35">
        <f>'[1]Soy Complex'!BN408+'[1]Sun Complex'!BN323+'[1]Canola Complex'!BN343+'[1]Cottonseed Complex'!BN314+'[7]Distillers'' Corn Oil Complex'!AG108+'[7]Inedible Tallow Complex'!AG107+'[7]Yellow Grease Complex'!AG108+'[7]Used Cooking Oil Complex'!AG108+'[7]CWG Complex'!AG110+'[7]Poultry Byproduct Complex'!AG247</f>
        <v>897.72814999131845</v>
      </c>
      <c r="Q22" s="35">
        <f>'[1]Soy Complex'!BO408+'[1]Sun Complex'!BO323+'[1]Canola Complex'!BO343+'[1]Cottonseed Complex'!BO314+'[7]Distillers'' Corn Oil Complex'!AH108+'[7]Inedible Tallow Complex'!AH107+'[7]Yellow Grease Complex'!AH108+'[7]Used Cooking Oil Complex'!AH108+'[7]CWG Complex'!AH110+'[7]Poultry Byproduct Complex'!AH247</f>
        <v>908.80139918574355</v>
      </c>
      <c r="R22" s="35">
        <f>'[1]Soy Complex'!BP408+'[1]Sun Complex'!BP323+'[1]Canola Complex'!BP343+'[1]Cottonseed Complex'!BP314+'[7]Distillers'' Corn Oil Complex'!AI108+'[7]Inedible Tallow Complex'!AI107+'[7]Yellow Grease Complex'!AI108+'[7]Used Cooking Oil Complex'!AI108+'[7]CWG Complex'!AI110+'[7]Poultry Byproduct Complex'!AI247</f>
        <v>903.72303552926326</v>
      </c>
      <c r="S22" s="35">
        <f>'[1]Soy Complex'!BQ408+'[1]Sun Complex'!BQ323+'[1]Canola Complex'!BQ343+'[1]Cottonseed Complex'!BQ314+'[7]Distillers'' Corn Oil Complex'!AJ108+'[7]Inedible Tallow Complex'!AJ107+'[7]Yellow Grease Complex'!AJ108+'[7]Used Cooking Oil Complex'!AJ108+'[7]CWG Complex'!AJ110+'[7]Poultry Byproduct Complex'!AJ247</f>
        <v>703.32199588750984</v>
      </c>
      <c r="T22" s="35">
        <f>'[1]Soy Complex'!BR408+'[1]Sun Complex'!BR323+'[1]Canola Complex'!BR343+'[1]Cottonseed Complex'!BR314+'[7]Distillers'' Corn Oil Complex'!AK108+'[7]Inedible Tallow Complex'!AK107+'[7]Yellow Grease Complex'!AK108+'[7]Used Cooking Oil Complex'!AK108+'[7]CWG Complex'!AK110+'[7]Poultry Byproduct Complex'!AK247</f>
        <v>747.41344570176443</v>
      </c>
      <c r="U22" s="35">
        <f>'[1]Soy Complex'!BS408+'[1]Sun Complex'!BS323+'[1]Canola Complex'!BS343+'[1]Cottonseed Complex'!BS314+'[7]Distillers'' Corn Oil Complex'!AL108+'[7]Inedible Tallow Complex'!AL107+'[7]Yellow Grease Complex'!AL108+'[7]Used Cooking Oil Complex'!AL108+'[7]CWG Complex'!AL110+'[7]Poultry Byproduct Complex'!AL247</f>
        <v>735.56559533813106</v>
      </c>
      <c r="V22" s="35">
        <f>'[1]Soy Complex'!BT408+'[1]Sun Complex'!BT323+'[1]Canola Complex'!BT343+'[1]Cottonseed Complex'!BT314+'[7]Distillers'' Corn Oil Complex'!AM108+'[7]Inedible Tallow Complex'!AM107+'[7]Yellow Grease Complex'!AM108+'[7]Used Cooking Oil Complex'!AM108+'[7]CWG Complex'!AM110+'[7]Poultry Byproduct Complex'!AM247</f>
        <v>752.80081768476441</v>
      </c>
      <c r="W22" s="35">
        <f>'[1]Soy Complex'!BU408+'[1]Sun Complex'!BU323+'[1]Canola Complex'!BU343+'[1]Cottonseed Complex'!BU314+'[7]Distillers'' Corn Oil Complex'!AN108+'[7]Inedible Tallow Complex'!AN107+'[7]Yellow Grease Complex'!AN108+'[7]Used Cooking Oil Complex'!AN108+'[7]CWG Complex'!AN110+'[7]Poultry Byproduct Complex'!AN247</f>
        <v>779.24876623741579</v>
      </c>
      <c r="X22" s="35">
        <f>'[1]Soy Complex'!BV408+'[1]Sun Complex'!BV323+'[1]Canola Complex'!BV343+'[1]Cottonseed Complex'!BV314+'[7]Distillers'' Corn Oil Complex'!AO108+'[7]Inedible Tallow Complex'!AO107+'[7]Yellow Grease Complex'!AO108+'[7]Used Cooking Oil Complex'!AO108+'[7]CWG Complex'!AO110+'[7]Poultry Byproduct Complex'!AO247</f>
        <v>598.78160738538929</v>
      </c>
      <c r="Y22" s="35">
        <f>'[1]Soy Complex'!BW408+'[1]Sun Complex'!BW323+'[1]Canola Complex'!BW343+'[1]Cottonseed Complex'!BW314+'[7]Distillers'' Corn Oil Complex'!AP108+'[7]Inedible Tallow Complex'!AP107+'[7]Yellow Grease Complex'!AP108+'[7]Used Cooking Oil Complex'!AP108+'[7]CWG Complex'!AP110+'[7]Poultry Byproduct Complex'!AP247</f>
        <v>691.70793266028465</v>
      </c>
      <c r="Z22" s="35">
        <f>'[1]Soy Complex'!BX408+'[1]Sun Complex'!BX323+'[1]Canola Complex'!BX343+'[1]Cottonseed Complex'!BX314+'[7]Distillers'' Corn Oil Complex'!AQ108+'[7]Inedible Tallow Complex'!AQ107+'[7]Yellow Grease Complex'!AQ108+'[7]Used Cooking Oil Complex'!AQ108+'[7]CWG Complex'!AQ110+'[7]Poultry Byproduct Complex'!AQ247</f>
        <v>676.85752488359606</v>
      </c>
      <c r="AA22" s="35">
        <f>'[1]Soy Complex'!BY408+'[1]Sun Complex'!BY323+'[1]Canola Complex'!BY343+'[1]Cottonseed Complex'!BY314+'[7]Distillers'' Corn Oil Complex'!AR108+'[7]Inedible Tallow Complex'!AR107+'[7]Yellow Grease Complex'!AR108+'[7]Used Cooking Oil Complex'!AR108+'[7]CWG Complex'!AR110+'[7]Poultry Byproduct Complex'!AR247</f>
        <v>578.55514899177558</v>
      </c>
      <c r="AB22" s="35">
        <f>'[1]Soy Complex'!BZ408+'[1]Sun Complex'!BZ323+'[1]Canola Complex'!BZ343+'[1]Cottonseed Complex'!BZ314+'[7]Distillers'' Corn Oil Complex'!AS108+'[7]Inedible Tallow Complex'!AS107+'[7]Yellow Grease Complex'!AS108+'[7]Used Cooking Oil Complex'!AS108+'[7]CWG Complex'!AS110+'[7]Poultry Byproduct Complex'!AS247</f>
        <v>469.34334013310587</v>
      </c>
      <c r="AC22" s="35">
        <f>'[1]Soy Complex'!CA408+'[1]Sun Complex'!CA323+'[1]Canola Complex'!CA343+'[1]Cottonseed Complex'!CA314+'[7]Distillers'' Corn Oil Complex'!AT108+'[7]Inedible Tallow Complex'!AT107+'[7]Yellow Grease Complex'!AT108+'[7]Used Cooking Oil Complex'!AT108+'[7]CWG Complex'!AT110+'[7]Poultry Byproduct Complex'!AT247</f>
        <v>459.584444749255</v>
      </c>
      <c r="AD22" s="35">
        <f>'[1]Soy Complex'!CB408+'[1]Sun Complex'!CB323+'[1]Canola Complex'!CB343+'[1]Cottonseed Complex'!CB314+'[7]Distillers'' Corn Oil Complex'!AU108+'[7]Inedible Tallow Complex'!AU107+'[7]Yellow Grease Complex'!AU108+'[7]Used Cooking Oil Complex'!AU108+'[7]CWG Complex'!AU110+'[7]Poultry Byproduct Complex'!AU247</f>
        <v>453.22433202037161</v>
      </c>
      <c r="AE22" s="35">
        <f>'[1]Soy Complex'!CC408+'[1]Sun Complex'!CC323+'[1]Canola Complex'!CC343+'[1]Cottonseed Complex'!CC314+'[7]Distillers'' Corn Oil Complex'!AV108+'[7]Inedible Tallow Complex'!AV107+'[7]Yellow Grease Complex'!AV108+'[7]Used Cooking Oil Complex'!AV108+'[7]CWG Complex'!AV110+'[7]Poultry Byproduct Complex'!AV247</f>
        <v>302.01446677454754</v>
      </c>
      <c r="AF22" s="35">
        <f>'[1]Soy Complex'!CD408+'[1]Sun Complex'!CD323+'[1]Canola Complex'!CD343+'[1]Cottonseed Complex'!CD314+'[7]Distillers'' Corn Oil Complex'!AW108+'[7]Inedible Tallow Complex'!AW107+'[7]Yellow Grease Complex'!AW108+'[7]Used Cooking Oil Complex'!AW108+'[7]CWG Complex'!AW110+'[7]Poultry Byproduct Complex'!AW247</f>
        <v>304.83405801428859</v>
      </c>
      <c r="AL22" s="70">
        <f t="shared" si="3"/>
        <v>0.66909975669099753</v>
      </c>
      <c r="AM22" s="70">
        <f t="shared" si="3"/>
        <v>6.1224489795918435E-2</v>
      </c>
      <c r="AN22" s="70">
        <f t="shared" si="3"/>
        <v>-6.8681318681318659E-2</v>
      </c>
      <c r="AO22" s="70">
        <f t="shared" si="3"/>
        <v>4.71976401179941E-2</v>
      </c>
      <c r="AP22" s="70">
        <f t="shared" si="3"/>
        <v>7.8946478873239245E-2</v>
      </c>
      <c r="AQ22" s="70">
        <f t="shared" si="3"/>
        <v>9.296757922438692E-2</v>
      </c>
      <c r="AR22" s="70">
        <f t="shared" si="3"/>
        <v>0.30998370727931257</v>
      </c>
      <c r="AS22" s="70">
        <f t="shared" si="3"/>
        <v>-3.8520852596775068E-2</v>
      </c>
      <c r="AT22" s="70">
        <f t="shared" si="3"/>
        <v>5.9081718365949998E-2</v>
      </c>
      <c r="AU22" s="70">
        <f t="shared" si="3"/>
        <v>-0.1525151127883122</v>
      </c>
      <c r="AV22" s="70">
        <f t="shared" si="3"/>
        <v>0.1345847743590971</v>
      </c>
      <c r="AW22" s="70">
        <f t="shared" si="3"/>
        <v>4.8773458155948912E-2</v>
      </c>
    </row>
    <row r="23" spans="1:49" x14ac:dyDescent="0.2">
      <c r="A23" s="61" t="s">
        <v>9</v>
      </c>
      <c r="B23" s="35">
        <f>'[1]Soy Complex'!AZ409+'[1]Sun Complex'!AZ324+'[1]Canola Complex'!AZ344+'[1]Cottonseed Complex'!AZ315+'[7]Distillers'' Corn Oil Complex'!S109+'[7]Inedible Tallow Complex'!S108+'[7]Yellow Grease Complex'!S109+'[7]Used Cooking Oil Complex'!S109+'[7]CWG Complex'!S111+'[7]Poultry Byproduct Complex'!S248</f>
        <v>513</v>
      </c>
      <c r="C23" s="35">
        <f>'[1]Soy Complex'!BA409+'[1]Sun Complex'!BA324+'[1]Canola Complex'!BA344+'[1]Cottonseed Complex'!BA315+'[7]Distillers'' Corn Oil Complex'!T109+'[7]Inedible Tallow Complex'!T108+'[7]Yellow Grease Complex'!T109+'[7]Used Cooking Oil Complex'!T109+'[7]CWG Complex'!T111+'[7]Poultry Byproduct Complex'!T248</f>
        <v>682</v>
      </c>
      <c r="D23" s="35">
        <f>'[1]Soy Complex'!BB409+'[1]Sun Complex'!BB324+'[1]Canola Complex'!BB344+'[1]Cottonseed Complex'!BB315+'[7]Distillers'' Corn Oil Complex'!U109+'[7]Inedible Tallow Complex'!U108+'[7]Yellow Grease Complex'!U109+'[7]Used Cooking Oil Complex'!U109+'[7]CWG Complex'!U111+'[7]Poultry Byproduct Complex'!U248</f>
        <v>744</v>
      </c>
      <c r="E23" s="35">
        <f>'[1]Soy Complex'!BC409+'[1]Sun Complex'!BC324+'[1]Canola Complex'!BC344+'[1]Cottonseed Complex'!BC315+'[7]Distillers'' Corn Oil Complex'!V109+'[7]Inedible Tallow Complex'!V108+'[7]Yellow Grease Complex'!V109+'[7]Used Cooking Oil Complex'!V109+'[7]CWG Complex'!V111+'[7]Poultry Byproduct Complex'!V248</f>
        <v>659</v>
      </c>
      <c r="F23" s="35">
        <f>'[1]Soy Complex'!BD409+'[1]Sun Complex'!BD324+'[1]Canola Complex'!BD344+'[1]Cottonseed Complex'!BD315+'[7]Distillers'' Corn Oil Complex'!W109+'[7]Inedible Tallow Complex'!W108+'[7]Yellow Grease Complex'!W109+'[7]Used Cooking Oil Complex'!W109+'[7]CWG Complex'!W111+'[7]Poultry Byproduct Complex'!W248</f>
        <v>780.6</v>
      </c>
      <c r="G23" s="35">
        <f>'[1]Soy Complex'!BE409+'[1]Sun Complex'!BE324+'[1]Canola Complex'!BE344+'[1]Cottonseed Complex'!BE315+'[7]Distillers'' Corn Oil Complex'!X109+'[7]Inedible Tallow Complex'!X108+'[7]Yellow Grease Complex'!X109+'[7]Used Cooking Oil Complex'!X109+'[7]CWG Complex'!X111+'[7]Poultry Byproduct Complex'!X248</f>
        <v>775.26999999999987</v>
      </c>
      <c r="H23" s="35">
        <f>'[1]Soy Complex'!BF409+'[1]Sun Complex'!BF324+'[1]Canola Complex'!BF344+'[1]Cottonseed Complex'!BF315+'[7]Distillers'' Corn Oil Complex'!Y109+'[7]Inedible Tallow Complex'!Y108+'[7]Yellow Grease Complex'!Y109+'[7]Used Cooking Oil Complex'!Y109+'[7]CWG Complex'!Y111+'[7]Poultry Byproduct Complex'!Y248</f>
        <v>927.1099999999999</v>
      </c>
      <c r="I23" s="35">
        <f>'[1]Soy Complex'!BG409+'[1]Sun Complex'!BG324+'[1]Canola Complex'!BG344+'[1]Cottonseed Complex'!BG315+'[7]Distillers'' Corn Oil Complex'!Z109+'[7]Inedible Tallow Complex'!Z108+'[7]Yellow Grease Complex'!Z109+'[7]Used Cooking Oil Complex'!Z109+'[7]CWG Complex'!Z111+'[7]Poultry Byproduct Complex'!Z248</f>
        <v>1060.9430322265623</v>
      </c>
      <c r="J23" s="35">
        <f>'[1]Soy Complex'!BH409+'[1]Sun Complex'!BH324+'[1]Canola Complex'!BH344+'[1]Cottonseed Complex'!BH315+'[7]Distillers'' Corn Oil Complex'!AA109+'[7]Inedible Tallow Complex'!AA108+'[7]Yellow Grease Complex'!AA109+'[7]Used Cooking Oil Complex'!AA109+'[7]CWG Complex'!AA111+'[7]Poultry Byproduct Complex'!AA248</f>
        <v>1134.1099999999999</v>
      </c>
      <c r="K23" s="35">
        <f>'[1]Soy Complex'!BI409+'[1]Sun Complex'!BI324+'[1]Canola Complex'!BI344+'[1]Cottonseed Complex'!BI315+'[7]Distillers'' Corn Oil Complex'!AB109+'[7]Inedible Tallow Complex'!AB108+'[7]Yellow Grease Complex'!AB109+'[7]Used Cooking Oil Complex'!AB109+'[7]CWG Complex'!AB111+'[7]Poultry Byproduct Complex'!AB248</f>
        <v>1040.019044131097</v>
      </c>
      <c r="L23" s="35">
        <f>'[1]Soy Complex'!BJ409+'[1]Sun Complex'!BJ324+'[1]Canola Complex'!BJ344+'[1]Cottonseed Complex'!BJ315+'[7]Distillers'' Corn Oil Complex'!AC109+'[7]Inedible Tallow Complex'!AC108+'[7]Yellow Grease Complex'!AC109+'[7]Used Cooking Oil Complex'!AC109+'[7]CWG Complex'!AC111+'[7]Poultry Byproduct Complex'!AC248</f>
        <v>1065.9419392779132</v>
      </c>
      <c r="M23" s="35">
        <f>'[1]Soy Complex'!BK409+'[1]Sun Complex'!BK324+'[1]Canola Complex'!BK344+'[1]Cottonseed Complex'!BK315+'[7]Distillers'' Corn Oil Complex'!AD109+'[7]Inedible Tallow Complex'!AD108+'[7]Yellow Grease Complex'!AD109+'[7]Used Cooking Oil Complex'!AD109+'[7]CWG Complex'!AD111+'[7]Poultry Byproduct Complex'!AD248</f>
        <v>1008.7795800254091</v>
      </c>
      <c r="N23" s="35">
        <f>'[1]Soy Complex'!BL409+'[1]Sun Complex'!BL324+'[1]Canola Complex'!BL344+'[1]Cottonseed Complex'!BL315+'[7]Distillers'' Corn Oil Complex'!AE109+'[7]Inedible Tallow Complex'!AE108+'[7]Yellow Grease Complex'!AE109+'[7]Used Cooking Oil Complex'!AE109+'[7]CWG Complex'!AE111+'[7]Poultry Byproduct Complex'!AE248</f>
        <v>1055.4081822556252</v>
      </c>
      <c r="O23" s="35">
        <f>'[1]Soy Complex'!BM409+'[1]Sun Complex'!BM324+'[1]Canola Complex'!BM344+'[1]Cottonseed Complex'!BM315+'[7]Distillers'' Corn Oil Complex'!AF109+'[7]Inedible Tallow Complex'!AF108+'[7]Yellow Grease Complex'!AF109+'[7]Used Cooking Oil Complex'!AF109+'[7]CWG Complex'!AF111+'[7]Poultry Byproduct Complex'!AF248</f>
        <v>1001.5050769445257</v>
      </c>
      <c r="P23" s="35">
        <f>'[1]Soy Complex'!BN409+'[1]Sun Complex'!BN324+'[1]Canola Complex'!BN344+'[1]Cottonseed Complex'!BN315+'[7]Distillers'' Corn Oil Complex'!AG109+'[7]Inedible Tallow Complex'!AG108+'[7]Yellow Grease Complex'!AG109+'[7]Used Cooking Oil Complex'!AG109+'[7]CWG Complex'!AG111+'[7]Poultry Byproduct Complex'!AG248</f>
        <v>919.64771234459772</v>
      </c>
      <c r="Q23" s="35">
        <f>'[1]Soy Complex'!BO409+'[1]Sun Complex'!BO324+'[1]Canola Complex'!BO344+'[1]Cottonseed Complex'!BO315+'[7]Distillers'' Corn Oil Complex'!AH109+'[7]Inedible Tallow Complex'!AH108+'[7]Yellow Grease Complex'!AH109+'[7]Used Cooking Oil Complex'!AH109+'[7]CWG Complex'!AH111+'[7]Poultry Byproduct Complex'!AH248</f>
        <v>927.9741382499991</v>
      </c>
      <c r="R23" s="35">
        <f>'[1]Soy Complex'!BP409+'[1]Sun Complex'!BP324+'[1]Canola Complex'!BP344+'[1]Cottonseed Complex'!BP315+'[7]Distillers'' Corn Oil Complex'!AI109+'[7]Inedible Tallow Complex'!AI108+'[7]Yellow Grease Complex'!AI109+'[7]Used Cooking Oil Complex'!AI109+'[7]CWG Complex'!AI111+'[7]Poultry Byproduct Complex'!AI248</f>
        <v>931.93632014573882</v>
      </c>
      <c r="S23" s="35">
        <f>'[1]Soy Complex'!BQ409+'[1]Sun Complex'!BQ324+'[1]Canola Complex'!BQ344+'[1]Cottonseed Complex'!BQ315+'[7]Distillers'' Corn Oil Complex'!AJ109+'[7]Inedible Tallow Complex'!AJ108+'[7]Yellow Grease Complex'!AJ109+'[7]Used Cooking Oil Complex'!AJ109+'[7]CWG Complex'!AJ111+'[7]Poultry Byproduct Complex'!AJ248</f>
        <v>745.34177513402312</v>
      </c>
      <c r="T23" s="35">
        <f>'[1]Soy Complex'!BR409+'[1]Sun Complex'!BR324+'[1]Canola Complex'!BR344+'[1]Cottonseed Complex'!BR315+'[7]Distillers'' Corn Oil Complex'!AK109+'[7]Inedible Tallow Complex'!AK108+'[7]Yellow Grease Complex'!AK109+'[7]Used Cooking Oil Complex'!AK109+'[7]CWG Complex'!AK111+'[7]Poultry Byproduct Complex'!AK248</f>
        <v>835.84496699864678</v>
      </c>
      <c r="U23" s="35">
        <f>'[1]Soy Complex'!BS409+'[1]Sun Complex'!BS324+'[1]Canola Complex'!BS344+'[1]Cottonseed Complex'!BS315+'[7]Distillers'' Corn Oil Complex'!AL109+'[7]Inedible Tallow Complex'!AL108+'[7]Yellow Grease Complex'!AL109+'[7]Used Cooking Oil Complex'!AL109+'[7]CWG Complex'!AL111+'[7]Poultry Byproduct Complex'!AL248</f>
        <v>821.76197014129332</v>
      </c>
      <c r="V23" s="35">
        <f>'[1]Soy Complex'!BT409+'[1]Sun Complex'!BT324+'[1]Canola Complex'!BT344+'[1]Cottonseed Complex'!BT315+'[7]Distillers'' Corn Oil Complex'!AM109+'[7]Inedible Tallow Complex'!AM108+'[7]Yellow Grease Complex'!AM109+'[7]Used Cooking Oil Complex'!AM109+'[7]CWG Complex'!AM111+'[7]Poultry Byproduct Complex'!AM248</f>
        <v>804.75146076306237</v>
      </c>
      <c r="W23" s="35">
        <f>'[1]Soy Complex'!BU409+'[1]Sun Complex'!BU324+'[1]Canola Complex'!BU344+'[1]Cottonseed Complex'!BU315+'[7]Distillers'' Corn Oil Complex'!AN109+'[7]Inedible Tallow Complex'!AN108+'[7]Yellow Grease Complex'!AN109+'[7]Used Cooking Oil Complex'!AN109+'[7]CWG Complex'!AN111+'[7]Poultry Byproduct Complex'!AN248</f>
        <v>841.86233748990867</v>
      </c>
      <c r="X23" s="35">
        <f>'[1]Soy Complex'!BV409+'[1]Sun Complex'!BV324+'[1]Canola Complex'!BV344+'[1]Cottonseed Complex'!BV315+'[7]Distillers'' Corn Oil Complex'!AO109+'[7]Inedible Tallow Complex'!AO108+'[7]Yellow Grease Complex'!AO109+'[7]Used Cooking Oil Complex'!AO109+'[7]CWG Complex'!AO111+'[7]Poultry Byproduct Complex'!AO248</f>
        <v>635.4119543223959</v>
      </c>
      <c r="Y23" s="35">
        <f>'[1]Soy Complex'!BW409+'[1]Sun Complex'!BW324+'[1]Canola Complex'!BW344+'[1]Cottonseed Complex'!BW315+'[7]Distillers'' Corn Oil Complex'!AP109+'[7]Inedible Tallow Complex'!AP108+'[7]Yellow Grease Complex'!AP109+'[7]Used Cooking Oil Complex'!AP109+'[7]CWG Complex'!AP111+'[7]Poultry Byproduct Complex'!AP248</f>
        <v>759.03152392646393</v>
      </c>
      <c r="Z23" s="35">
        <f>'[1]Soy Complex'!BX409+'[1]Sun Complex'!BX324+'[1]Canola Complex'!BX344+'[1]Cottonseed Complex'!BX315+'[7]Distillers'' Corn Oil Complex'!AQ109+'[7]Inedible Tallow Complex'!AQ108+'[7]Yellow Grease Complex'!AQ109+'[7]Used Cooking Oil Complex'!AQ109+'[7]CWG Complex'!AQ111+'[7]Poultry Byproduct Complex'!AQ248</f>
        <v>739.78598880138065</v>
      </c>
      <c r="AA23" s="35">
        <f>'[1]Soy Complex'!BY409+'[1]Sun Complex'!BY324+'[1]Canola Complex'!BY344+'[1]Cottonseed Complex'!BY315+'[7]Distillers'' Corn Oil Complex'!AR109+'[7]Inedible Tallow Complex'!AR108+'[7]Yellow Grease Complex'!AR109+'[7]Used Cooking Oil Complex'!AR109+'[7]CWG Complex'!AR111+'[7]Poultry Byproduct Complex'!AR248</f>
        <v>630.10451817176704</v>
      </c>
      <c r="AB23" s="35">
        <f>'[1]Soy Complex'!BZ409+'[1]Sun Complex'!BZ324+'[1]Canola Complex'!BZ344+'[1]Cottonseed Complex'!BZ315+'[7]Distillers'' Corn Oil Complex'!AS109+'[7]Inedible Tallow Complex'!AS108+'[7]Yellow Grease Complex'!AS109+'[7]Used Cooking Oil Complex'!AS109+'[7]CWG Complex'!AS111+'[7]Poultry Byproduct Complex'!AS248</f>
        <v>514.8753662979608</v>
      </c>
      <c r="AC23" s="35">
        <f>'[1]Soy Complex'!CA409+'[1]Sun Complex'!CA324+'[1]Canola Complex'!CA344+'[1]Cottonseed Complex'!CA315+'[7]Distillers'' Corn Oil Complex'!AT109+'[7]Inedible Tallow Complex'!AT108+'[7]Yellow Grease Complex'!AT109+'[7]Used Cooking Oil Complex'!AT109+'[7]CWG Complex'!AT111+'[7]Poultry Byproduct Complex'!AT248</f>
        <v>505.83744930382073</v>
      </c>
      <c r="AD23" s="35">
        <f>'[1]Soy Complex'!CB409+'[1]Sun Complex'!CB324+'[1]Canola Complex'!CB344+'[1]Cottonseed Complex'!CB315+'[7]Distillers'' Corn Oil Complex'!AU109+'[7]Inedible Tallow Complex'!AU108+'[7]Yellow Grease Complex'!AU109+'[7]Used Cooking Oil Complex'!AU109+'[7]CWG Complex'!AU111+'[7]Poultry Byproduct Complex'!AU248</f>
        <v>498.90930174858346</v>
      </c>
      <c r="AE23" s="35">
        <f>'[1]Soy Complex'!CC409+'[1]Sun Complex'!CC324+'[1]Canola Complex'!CC344+'[1]Cottonseed Complex'!CC315+'[7]Distillers'' Corn Oil Complex'!AV109+'[7]Inedible Tallow Complex'!AV108+'[7]Yellow Grease Complex'!AV109+'[7]Used Cooking Oil Complex'!AV109+'[7]CWG Complex'!AV111+'[7]Poultry Byproduct Complex'!AV248</f>
        <v>324.97546938944134</v>
      </c>
      <c r="AF23" s="35">
        <f>'[1]Soy Complex'!CD409+'[1]Sun Complex'!CD324+'[1]Canola Complex'!CD344+'[1]Cottonseed Complex'!CD315+'[7]Distillers'' Corn Oil Complex'!AW109+'[7]Inedible Tallow Complex'!AW108+'[7]Yellow Grease Complex'!AW109+'[7]Used Cooking Oil Complex'!AW109+'[7]CWG Complex'!AW111+'[7]Poultry Byproduct Complex'!AW248</f>
        <v>329.18179670519652</v>
      </c>
      <c r="AL23" s="70">
        <f t="shared" si="3"/>
        <v>0.32943469785575052</v>
      </c>
      <c r="AM23" s="70">
        <f t="shared" si="3"/>
        <v>9.0909090909090828E-2</v>
      </c>
      <c r="AN23" s="70">
        <f t="shared" si="3"/>
        <v>-0.114247311827957</v>
      </c>
      <c r="AO23" s="70">
        <f t="shared" si="3"/>
        <v>0.18452200303490129</v>
      </c>
      <c r="AP23" s="70">
        <f t="shared" si="3"/>
        <v>-6.8280809633617379E-3</v>
      </c>
      <c r="AQ23" s="70">
        <f t="shared" si="3"/>
        <v>0.19585434751763908</v>
      </c>
      <c r="AR23" s="70">
        <f t="shared" si="3"/>
        <v>0.14435507353664878</v>
      </c>
      <c r="AS23" s="70">
        <f t="shared" si="3"/>
        <v>6.8964087185609646E-2</v>
      </c>
      <c r="AT23" s="70">
        <f t="shared" si="3"/>
        <v>-8.2964576512774779E-2</v>
      </c>
      <c r="AU23" s="70">
        <f t="shared" si="3"/>
        <v>2.4925404292451159E-2</v>
      </c>
      <c r="AV23" s="70">
        <f t="shared" si="3"/>
        <v>-5.362614711569258E-2</v>
      </c>
      <c r="AW23" s="70">
        <f t="shared" si="3"/>
        <v>4.6222785585173787E-2</v>
      </c>
    </row>
    <row r="24" spans="1:49" x14ac:dyDescent="0.2">
      <c r="A24" s="61" t="s">
        <v>10</v>
      </c>
      <c r="B24" s="35">
        <f>'[1]Soy Complex'!AZ410+'[1]Sun Complex'!AZ325+'[1]Canola Complex'!AZ345+'[1]Cottonseed Complex'!AZ316+'[7]Distillers'' Corn Oil Complex'!S110+'[7]Inedible Tallow Complex'!S109+'[7]Yellow Grease Complex'!S110+'[7]Used Cooking Oil Complex'!S110+'[7]CWG Complex'!S112+'[7]Poultry Byproduct Complex'!S249</f>
        <v>548</v>
      </c>
      <c r="C24" s="35">
        <f>'[1]Soy Complex'!BA410+'[1]Sun Complex'!BA325+'[1]Canola Complex'!BA345+'[1]Cottonseed Complex'!BA316+'[7]Distillers'' Corn Oil Complex'!T110+'[7]Inedible Tallow Complex'!T109+'[7]Yellow Grease Complex'!T110+'[7]Used Cooking Oil Complex'!T110+'[7]CWG Complex'!T112+'[7]Poultry Byproduct Complex'!T249</f>
        <v>735</v>
      </c>
      <c r="D24" s="35">
        <f>'[1]Soy Complex'!BB410+'[1]Sun Complex'!BB325+'[1]Canola Complex'!BB345+'[1]Cottonseed Complex'!BB316+'[7]Distillers'' Corn Oil Complex'!U110+'[7]Inedible Tallow Complex'!U109+'[7]Yellow Grease Complex'!U110+'[7]Used Cooking Oil Complex'!U110+'[7]CWG Complex'!U112+'[7]Poultry Byproduct Complex'!U249</f>
        <v>754</v>
      </c>
      <c r="E24" s="35">
        <f>'[1]Soy Complex'!BC410+'[1]Sun Complex'!BC325+'[1]Canola Complex'!BC345+'[1]Cottonseed Complex'!BC316+'[7]Distillers'' Corn Oil Complex'!V110+'[7]Inedible Tallow Complex'!V109+'[7]Yellow Grease Complex'!V110+'[7]Used Cooking Oil Complex'!V110+'[7]CWG Complex'!V112+'[7]Poultry Byproduct Complex'!V249</f>
        <v>741</v>
      </c>
      <c r="F24" s="35">
        <f>'[1]Soy Complex'!BD410+'[1]Sun Complex'!BD325+'[1]Canola Complex'!BD345+'[1]Cottonseed Complex'!BD316+'[7]Distillers'' Corn Oil Complex'!W110+'[7]Inedible Tallow Complex'!W109+'[7]Yellow Grease Complex'!W110+'[7]Used Cooking Oil Complex'!W110+'[7]CWG Complex'!W112+'[7]Poultry Byproduct Complex'!W249</f>
        <v>818</v>
      </c>
      <c r="G24" s="35">
        <f>'[1]Soy Complex'!BE410+'[1]Sun Complex'!BE325+'[1]Canola Complex'!BE345+'[1]Cottonseed Complex'!BE316+'[7]Distillers'' Corn Oil Complex'!X110+'[7]Inedible Tallow Complex'!X109+'[7]Yellow Grease Complex'!X110+'[7]Used Cooking Oil Complex'!X110+'[7]CWG Complex'!X112+'[7]Poultry Byproduct Complex'!X249</f>
        <v>918.94599999999991</v>
      </c>
      <c r="H24" s="35">
        <f>'[1]Soy Complex'!BF410+'[1]Sun Complex'!BF325+'[1]Canola Complex'!BF345+'[1]Cottonseed Complex'!BF316+'[7]Distillers'' Corn Oil Complex'!Y110+'[7]Inedible Tallow Complex'!Y109+'[7]Yellow Grease Complex'!Y110+'[7]Used Cooking Oil Complex'!Y110+'[7]CWG Complex'!Y112+'[7]Poultry Byproduct Complex'!Y249</f>
        <v>1036</v>
      </c>
      <c r="I24" s="35">
        <f>'[1]Soy Complex'!BG410+'[1]Sun Complex'!BG325+'[1]Canola Complex'!BG345+'[1]Cottonseed Complex'!BG316+'[7]Distillers'' Corn Oil Complex'!Z110+'[7]Inedible Tallow Complex'!Z109+'[7]Yellow Grease Complex'!Z110+'[7]Used Cooking Oil Complex'!Z110+'[7]CWG Complex'!Z112+'[7]Poultry Byproduct Complex'!Z249</f>
        <v>1128.2100585937501</v>
      </c>
      <c r="J24" s="35">
        <f>'[1]Soy Complex'!BH410+'[1]Sun Complex'!BH325+'[1]Canola Complex'!BH345+'[1]Cottonseed Complex'!BH316+'[7]Distillers'' Corn Oil Complex'!AA110+'[7]Inedible Tallow Complex'!AA109+'[7]Yellow Grease Complex'!AA110+'[7]Used Cooking Oil Complex'!AA110+'[7]CWG Complex'!AA112+'[7]Poultry Byproduct Complex'!AA249</f>
        <v>1141.01</v>
      </c>
      <c r="K24" s="35">
        <f>'[1]Soy Complex'!BI410+'[1]Sun Complex'!BI325+'[1]Canola Complex'!BI345+'[1]Cottonseed Complex'!BI316+'[7]Distillers'' Corn Oil Complex'!AB110+'[7]Inedible Tallow Complex'!AB109+'[7]Yellow Grease Complex'!AB110+'[7]Used Cooking Oil Complex'!AB110+'[7]CWG Complex'!AB112+'[7]Poultry Byproduct Complex'!AB249</f>
        <v>1134.5575533645958</v>
      </c>
      <c r="L24" s="35">
        <f>'[1]Soy Complex'!BJ410+'[1]Sun Complex'!BJ325+'[1]Canola Complex'!BJ345+'[1]Cottonseed Complex'!BJ316+'[7]Distillers'' Corn Oil Complex'!AC110+'[7]Inedible Tallow Complex'!AC109+'[7]Yellow Grease Complex'!AC110+'[7]Used Cooking Oil Complex'!AC110+'[7]CWG Complex'!AC112+'[7]Poultry Byproduct Complex'!AC249</f>
        <v>1143.3348214505772</v>
      </c>
      <c r="M24" s="35">
        <f>'[1]Soy Complex'!BK410+'[1]Sun Complex'!BK325+'[1]Canola Complex'!BK345+'[1]Cottonseed Complex'!BK316+'[7]Distillers'' Corn Oil Complex'!AD110+'[7]Inedible Tallow Complex'!AD109+'[7]Yellow Grease Complex'!AD110+'[7]Used Cooking Oil Complex'!AD110+'[7]CWG Complex'!AD112+'[7]Poultry Byproduct Complex'!AD249</f>
        <v>1045.5127672152125</v>
      </c>
      <c r="N24" s="35">
        <f>'[1]Soy Complex'!BL410+'[1]Sun Complex'!BL325+'[1]Canola Complex'!BL345+'[1]Cottonseed Complex'!BL316+'[7]Distillers'' Corn Oil Complex'!AE110+'[7]Inedible Tallow Complex'!AE109+'[7]Yellow Grease Complex'!AE110+'[7]Used Cooking Oil Complex'!AE110+'[7]CWG Complex'!AE112+'[7]Poultry Byproduct Complex'!AE249</f>
        <v>1227.4060917340448</v>
      </c>
      <c r="O24" s="35">
        <f>'[1]Soy Complex'!BM410+'[1]Sun Complex'!BM325+'[1]Canola Complex'!BM345+'[1]Cottonseed Complex'!BM316+'[7]Distillers'' Corn Oil Complex'!AF110+'[7]Inedible Tallow Complex'!AF109+'[7]Yellow Grease Complex'!AF110+'[7]Used Cooking Oil Complex'!AF110+'[7]CWG Complex'!AF112+'[7]Poultry Byproduct Complex'!AF249</f>
        <v>1074.258640382702</v>
      </c>
      <c r="P24" s="35">
        <f>'[1]Soy Complex'!BN410+'[1]Sun Complex'!BN325+'[1]Canola Complex'!BN345+'[1]Cottonseed Complex'!BN316+'[7]Distillers'' Corn Oil Complex'!AG110+'[7]Inedible Tallow Complex'!AG109+'[7]Yellow Grease Complex'!AG110+'[7]Used Cooking Oil Complex'!AG110+'[7]CWG Complex'!AG112+'[7]Poultry Byproduct Complex'!AG249</f>
        <v>929.17122592019348</v>
      </c>
      <c r="Q24" s="35">
        <f>'[1]Soy Complex'!BO410+'[1]Sun Complex'!BO325+'[1]Canola Complex'!BO345+'[1]Cottonseed Complex'!BO316+'[7]Distillers'' Corn Oil Complex'!AH110+'[7]Inedible Tallow Complex'!AH109+'[7]Yellow Grease Complex'!AH110+'[7]Used Cooking Oil Complex'!AH110+'[7]CWG Complex'!AH112+'[7]Poultry Byproduct Complex'!AH249</f>
        <v>992.15672333791838</v>
      </c>
      <c r="R24" s="35">
        <f>'[1]Soy Complex'!BP410+'[1]Sun Complex'!BP325+'[1]Canola Complex'!BP345+'[1]Cottonseed Complex'!BP316+'[7]Distillers'' Corn Oil Complex'!AI110+'[7]Inedible Tallow Complex'!AI109+'[7]Yellow Grease Complex'!AI110+'[7]Used Cooking Oil Complex'!AI110+'[7]CWG Complex'!AI112+'[7]Poultry Byproduct Complex'!AI249</f>
        <v>1003.9033092780614</v>
      </c>
      <c r="S24" s="35">
        <f>'[1]Soy Complex'!BQ410+'[1]Sun Complex'!BQ325+'[1]Canola Complex'!BQ345+'[1]Cottonseed Complex'!BQ316+'[7]Distillers'' Corn Oil Complex'!AJ110+'[7]Inedible Tallow Complex'!AJ109+'[7]Yellow Grease Complex'!AJ110+'[7]Used Cooking Oil Complex'!AJ110+'[7]CWG Complex'!AJ112+'[7]Poultry Byproduct Complex'!AJ249</f>
        <v>809.17802518315534</v>
      </c>
      <c r="T24" s="35">
        <f>'[1]Soy Complex'!BR410+'[1]Sun Complex'!BR325+'[1]Canola Complex'!BR345+'[1]Cottonseed Complex'!BR316+'[7]Distillers'' Corn Oil Complex'!AK110+'[7]Inedible Tallow Complex'!AK109+'[7]Yellow Grease Complex'!AK110+'[7]Used Cooking Oil Complex'!AK110+'[7]CWG Complex'!AK112+'[7]Poultry Byproduct Complex'!AK249</f>
        <v>870.46697917458505</v>
      </c>
      <c r="U24" s="35">
        <f>'[1]Soy Complex'!BS410+'[1]Sun Complex'!BS325+'[1]Canola Complex'!BS345+'[1]Cottonseed Complex'!BS316+'[7]Distillers'' Corn Oil Complex'!AL110+'[7]Inedible Tallow Complex'!AL109+'[7]Yellow Grease Complex'!AL110+'[7]Used Cooking Oil Complex'!AL110+'[7]CWG Complex'!AL112+'[7]Poultry Byproduct Complex'!AL249</f>
        <v>872.50124167422518</v>
      </c>
      <c r="V24" s="35">
        <f>'[1]Soy Complex'!BT410+'[1]Sun Complex'!BT325+'[1]Canola Complex'!BT345+'[1]Cottonseed Complex'!BT316+'[7]Distillers'' Corn Oil Complex'!AM110+'[7]Inedible Tallow Complex'!AM109+'[7]Yellow Grease Complex'!AM110+'[7]Used Cooking Oil Complex'!AM110+'[7]CWG Complex'!AM112+'[7]Poultry Byproduct Complex'!AM249</f>
        <v>858.35115348153204</v>
      </c>
      <c r="W24" s="35">
        <f>'[1]Soy Complex'!BU410+'[1]Sun Complex'!BU325+'[1]Canola Complex'!BU345+'[1]Cottonseed Complex'!BU316+'[7]Distillers'' Corn Oil Complex'!AN110+'[7]Inedible Tallow Complex'!AN109+'[7]Yellow Grease Complex'!AN110+'[7]Used Cooking Oil Complex'!AN110+'[7]CWG Complex'!AN112+'[7]Poultry Byproduct Complex'!AN249</f>
        <v>897.97256162082476</v>
      </c>
      <c r="X24" s="35">
        <f>'[1]Soy Complex'!BV410+'[1]Sun Complex'!BV325+'[1]Canola Complex'!BV345+'[1]Cottonseed Complex'!BV316+'[7]Distillers'' Corn Oil Complex'!AO110+'[7]Inedible Tallow Complex'!AO109+'[7]Yellow Grease Complex'!AO110+'[7]Used Cooking Oil Complex'!AO110+'[7]CWG Complex'!AO112+'[7]Poultry Byproduct Complex'!AO249</f>
        <v>666.76214077891882</v>
      </c>
      <c r="Y24" s="35">
        <f>'[1]Soy Complex'!BW410+'[1]Sun Complex'!BW325+'[1]Canola Complex'!BW345+'[1]Cottonseed Complex'!BW316+'[7]Distillers'' Corn Oil Complex'!AP110+'[7]Inedible Tallow Complex'!AP109+'[7]Yellow Grease Complex'!AP110+'[7]Used Cooking Oil Complex'!AP110+'[7]CWG Complex'!AP112+'[7]Poultry Byproduct Complex'!AP249</f>
        <v>805.03867413092973</v>
      </c>
      <c r="Z24" s="35">
        <f>'[1]Soy Complex'!BX410+'[1]Sun Complex'!BX325+'[1]Canola Complex'!BX345+'[1]Cottonseed Complex'!BX316+'[7]Distillers'' Corn Oil Complex'!AQ110+'[7]Inedible Tallow Complex'!AQ109+'[7]Yellow Grease Complex'!AQ110+'[7]Used Cooking Oil Complex'!AQ110+'[7]CWG Complex'!AQ112+'[7]Poultry Byproduct Complex'!AQ249</f>
        <v>787.45135752658905</v>
      </c>
      <c r="AA24" s="35">
        <f>'[1]Soy Complex'!BY410+'[1]Sun Complex'!BY325+'[1]Canola Complex'!BY345+'[1]Cottonseed Complex'!BY316+'[7]Distillers'' Corn Oil Complex'!AR110+'[7]Inedible Tallow Complex'!AR109+'[7]Yellow Grease Complex'!AR110+'[7]Used Cooking Oil Complex'!AR110+'[7]CWG Complex'!AR112+'[7]Poultry Byproduct Complex'!AR249</f>
        <v>672.08442373899607</v>
      </c>
      <c r="AB24" s="35">
        <f>'[1]Soy Complex'!BZ410+'[1]Sun Complex'!BZ325+'[1]Canola Complex'!BZ345+'[1]Cottonseed Complex'!BZ316+'[7]Distillers'' Corn Oil Complex'!AS110+'[7]Inedible Tallow Complex'!AS109+'[7]Yellow Grease Complex'!AS110+'[7]Used Cooking Oil Complex'!AS110+'[7]CWG Complex'!AS112+'[7]Poultry Byproduct Complex'!AS249</f>
        <v>550.99793492088793</v>
      </c>
      <c r="AC24" s="35">
        <f>'[1]Soy Complex'!CA410+'[1]Sun Complex'!CA325+'[1]Canola Complex'!CA345+'[1]Cottonseed Complex'!CA316+'[7]Distillers'' Corn Oil Complex'!AT110+'[7]Inedible Tallow Complex'!AT109+'[7]Yellow Grease Complex'!AT110+'[7]Used Cooking Oil Complex'!AT110+'[7]CWG Complex'!AT112+'[7]Poultry Byproduct Complex'!AT249</f>
        <v>541.29602695865947</v>
      </c>
      <c r="AD24" s="35">
        <f>'[1]Soy Complex'!CB410+'[1]Sun Complex'!CB325+'[1]Canola Complex'!CB345+'[1]Cottonseed Complex'!CB316+'[7]Distillers'' Corn Oil Complex'!AU110+'[7]Inedible Tallow Complex'!AU109+'[7]Yellow Grease Complex'!AU110+'[7]Used Cooking Oil Complex'!AU110+'[7]CWG Complex'!AU112+'[7]Poultry Byproduct Complex'!AU249</f>
        <v>534.30557037476217</v>
      </c>
      <c r="AE24" s="35">
        <f>'[1]Soy Complex'!CC410+'[1]Sun Complex'!CC325+'[1]Canola Complex'!CC345+'[1]Cottonseed Complex'!CC316+'[7]Distillers'' Corn Oil Complex'!AV110+'[7]Inedible Tallow Complex'!AV109+'[7]Yellow Grease Complex'!AV110+'[7]Used Cooking Oil Complex'!AV110+'[7]CWG Complex'!AV112+'[7]Poultry Byproduct Complex'!AV249</f>
        <v>343.30254786379504</v>
      </c>
      <c r="AF24" s="35">
        <f>'[1]Soy Complex'!CD410+'[1]Sun Complex'!CD325+'[1]Canola Complex'!CD345+'[1]Cottonseed Complex'!CD316+'[7]Distillers'' Corn Oil Complex'!AW110+'[7]Inedible Tallow Complex'!AW109+'[7]Yellow Grease Complex'!AW110+'[7]Used Cooking Oil Complex'!AW110+'[7]CWG Complex'!AW112+'[7]Poultry Byproduct Complex'!AW249</f>
        <v>349.31100139416185</v>
      </c>
      <c r="AL24" s="70">
        <f t="shared" si="3"/>
        <v>0.34124087591240881</v>
      </c>
      <c r="AM24" s="70">
        <f t="shared" si="3"/>
        <v>2.5850340136054362E-2</v>
      </c>
      <c r="AN24" s="70">
        <f t="shared" si="3"/>
        <v>-1.7241379310344862E-2</v>
      </c>
      <c r="AO24" s="70">
        <f t="shared" si="3"/>
        <v>0.10391363022941968</v>
      </c>
      <c r="AP24" s="70">
        <f t="shared" si="3"/>
        <v>0.12340586797066</v>
      </c>
      <c r="AQ24" s="70">
        <f t="shared" si="3"/>
        <v>0.12737854019713901</v>
      </c>
      <c r="AR24" s="70">
        <f t="shared" si="3"/>
        <v>8.9005848063465232E-2</v>
      </c>
      <c r="AS24" s="70">
        <f t="shared" si="3"/>
        <v>1.1345353029562855E-2</v>
      </c>
      <c r="AT24" s="70">
        <f t="shared" si="3"/>
        <v>-5.6550307494274143E-3</v>
      </c>
      <c r="AU24" s="70">
        <f t="shared" si="3"/>
        <v>7.7362916142524885E-3</v>
      </c>
      <c r="AV24" s="70">
        <f t="shared" si="3"/>
        <v>-8.5558536659677165E-2</v>
      </c>
      <c r="AW24" s="70">
        <f t="shared" si="3"/>
        <v>0.17397523035832108</v>
      </c>
    </row>
    <row r="25" spans="1:49" x14ac:dyDescent="0.2">
      <c r="A25" s="61" t="s">
        <v>11</v>
      </c>
      <c r="B25" s="35">
        <f>'[1]Soy Complex'!AZ411+'[1]Sun Complex'!AZ326+'[1]Canola Complex'!AZ346+'[1]Cottonseed Complex'!AZ317+'[7]Distillers'' Corn Oil Complex'!S111+'[7]Inedible Tallow Complex'!S110+'[7]Yellow Grease Complex'!S111+'[7]Used Cooking Oil Complex'!S111+'[7]CWG Complex'!S113+'[7]Poultry Byproduct Complex'!S250</f>
        <v>597</v>
      </c>
      <c r="C25" s="35">
        <f>'[1]Soy Complex'!BA411+'[1]Sun Complex'!BA326+'[1]Canola Complex'!BA346+'[1]Cottonseed Complex'!BA317+'[7]Distillers'' Corn Oil Complex'!T111+'[7]Inedible Tallow Complex'!T110+'[7]Yellow Grease Complex'!T111+'[7]Used Cooking Oil Complex'!T111+'[7]CWG Complex'!T113+'[7]Poultry Byproduct Complex'!T250</f>
        <v>672</v>
      </c>
      <c r="D25" s="35">
        <f>'[1]Soy Complex'!BB411+'[1]Sun Complex'!BB326+'[1]Canola Complex'!BB346+'[1]Cottonseed Complex'!BB317+'[7]Distillers'' Corn Oil Complex'!U111+'[7]Inedible Tallow Complex'!U110+'[7]Yellow Grease Complex'!U111+'[7]Used Cooking Oil Complex'!U111+'[7]CWG Complex'!U113+'[7]Poultry Byproduct Complex'!U250</f>
        <v>824</v>
      </c>
      <c r="E25" s="35">
        <f>'[1]Soy Complex'!BC411+'[1]Sun Complex'!BC326+'[1]Canola Complex'!BC346+'[1]Cottonseed Complex'!BC317+'[7]Distillers'' Corn Oil Complex'!V111+'[7]Inedible Tallow Complex'!V110+'[7]Yellow Grease Complex'!V111+'[7]Used Cooking Oil Complex'!V111+'[7]CWG Complex'!V113+'[7]Poultry Byproduct Complex'!V250</f>
        <v>786.24</v>
      </c>
      <c r="F25" s="35">
        <f>'[1]Soy Complex'!BD411+'[1]Sun Complex'!BD326+'[1]Canola Complex'!BD346+'[1]Cottonseed Complex'!BD317+'[7]Distillers'' Corn Oil Complex'!W111+'[7]Inedible Tallow Complex'!W110+'[7]Yellow Grease Complex'!W111+'[7]Used Cooking Oil Complex'!W111+'[7]CWG Complex'!W113+'[7]Poultry Byproduct Complex'!W250</f>
        <v>871</v>
      </c>
      <c r="G25" s="35">
        <f>'[1]Soy Complex'!BE411+'[1]Sun Complex'!BE326+'[1]Canola Complex'!BE346+'[1]Cottonseed Complex'!BE317+'[7]Distillers'' Corn Oil Complex'!X111+'[7]Inedible Tallow Complex'!X110+'[7]Yellow Grease Complex'!X111+'[7]Used Cooking Oil Complex'!X111+'[7]CWG Complex'!X113+'[7]Poultry Byproduct Complex'!X250</f>
        <v>920.13200000000018</v>
      </c>
      <c r="H25" s="35">
        <f>'[1]Soy Complex'!BF411+'[1]Sun Complex'!BF326+'[1]Canola Complex'!BF346+'[1]Cottonseed Complex'!BF317+'[7]Distillers'' Corn Oil Complex'!Y111+'[7]Inedible Tallow Complex'!Y110+'[7]Yellow Grease Complex'!Y111+'[7]Used Cooking Oil Complex'!Y111+'[7]CWG Complex'!Y113+'[7]Poultry Byproduct Complex'!Y250</f>
        <v>1052.79</v>
      </c>
      <c r="I25" s="35">
        <f>'[1]Soy Complex'!BG411+'[1]Sun Complex'!BG326+'[1]Canola Complex'!BG346+'[1]Cottonseed Complex'!BG317+'[7]Distillers'' Corn Oil Complex'!Z111+'[7]Inedible Tallow Complex'!Z110+'[7]Yellow Grease Complex'!Z111+'[7]Used Cooking Oil Complex'!Z111+'[7]CWG Complex'!Z113+'[7]Poultry Byproduct Complex'!Z250</f>
        <v>1172.3829589843749</v>
      </c>
      <c r="J25" s="35">
        <f>'[1]Soy Complex'!BH411+'[1]Sun Complex'!BH326+'[1]Canola Complex'!BH346+'[1]Cottonseed Complex'!BH317+'[7]Distillers'' Corn Oil Complex'!AA111+'[7]Inedible Tallow Complex'!AA110+'[7]Yellow Grease Complex'!AA111+'[7]Used Cooking Oil Complex'!AA111+'[7]CWG Complex'!AA113+'[7]Poultry Byproduct Complex'!AA250</f>
        <v>1064.69</v>
      </c>
      <c r="K25" s="35">
        <f>'[1]Soy Complex'!BI411+'[1]Sun Complex'!BI326+'[1]Canola Complex'!BI346+'[1]Cottonseed Complex'!BI317+'[7]Distillers'' Corn Oil Complex'!AB111+'[7]Inedible Tallow Complex'!AB110+'[7]Yellow Grease Complex'!AB111+'[7]Used Cooking Oil Complex'!AB111+'[7]CWG Complex'!AB113+'[7]Poultry Byproduct Complex'!AB250</f>
        <v>1116.1371325904149</v>
      </c>
      <c r="L25" s="35">
        <f>'[1]Soy Complex'!BJ411+'[1]Sun Complex'!BJ326+'[1]Canola Complex'!BJ346+'[1]Cottonseed Complex'!BJ317+'[7]Distillers'' Corn Oil Complex'!AC111+'[7]Inedible Tallow Complex'!AC110+'[7]Yellow Grease Complex'!AC111+'[7]Used Cooking Oil Complex'!AC111+'[7]CWG Complex'!AC113+'[7]Poultry Byproduct Complex'!AC250</f>
        <v>1067.4138817481121</v>
      </c>
      <c r="M25" s="35">
        <f>'[1]Soy Complex'!BK411+'[1]Sun Complex'!BK326+'[1]Canola Complex'!BK346+'[1]Cottonseed Complex'!BK317+'[7]Distillers'' Corn Oil Complex'!AD111+'[7]Inedible Tallow Complex'!AD110+'[7]Yellow Grease Complex'!AD111+'[7]Used Cooking Oil Complex'!AD111+'[7]CWG Complex'!AD113+'[7]Poultry Byproduct Complex'!AD250</f>
        <v>1034.3121860233359</v>
      </c>
      <c r="N25" s="35">
        <f>'[1]Soy Complex'!BL411+'[1]Sun Complex'!BL326+'[1]Canola Complex'!BL346+'[1]Cottonseed Complex'!BL317+'[7]Distillers'' Corn Oil Complex'!AE111+'[7]Inedible Tallow Complex'!AE110+'[7]Yellow Grease Complex'!AE111+'[7]Used Cooking Oil Complex'!AE111+'[7]CWG Complex'!AE113+'[7]Poultry Byproduct Complex'!AE250</f>
        <v>1163.7038927981594</v>
      </c>
      <c r="O25" s="35">
        <f>'[1]Soy Complex'!BM411+'[1]Sun Complex'!BM326+'[1]Canola Complex'!BM346+'[1]Cottonseed Complex'!BM317+'[7]Distillers'' Corn Oil Complex'!AF111+'[7]Inedible Tallow Complex'!AF110+'[7]Yellow Grease Complex'!AF111+'[7]Used Cooking Oil Complex'!AF111+'[7]CWG Complex'!AF113+'[7]Poultry Byproduct Complex'!AF250</f>
        <v>1095.7422296459247</v>
      </c>
      <c r="P25" s="35">
        <f>'[1]Soy Complex'!BN411+'[1]Sun Complex'!BN326+'[1]Canola Complex'!BN346+'[1]Cottonseed Complex'!BN317+'[7]Distillers'' Corn Oil Complex'!AG111+'[7]Inedible Tallow Complex'!AG110+'[7]Yellow Grease Complex'!AG111+'[7]Used Cooking Oil Complex'!AG111+'[7]CWG Complex'!AG113+'[7]Poultry Byproduct Complex'!AG250</f>
        <v>1089.3562233544887</v>
      </c>
      <c r="Q25" s="35">
        <f>'[1]Soy Complex'!BO411+'[1]Sun Complex'!BO326+'[1]Canola Complex'!BO346+'[1]Cottonseed Complex'!BO317+'[7]Distillers'' Corn Oil Complex'!AH111+'[7]Inedible Tallow Complex'!AH110+'[7]Yellow Grease Complex'!AH111+'[7]Used Cooking Oil Complex'!AH111+'[7]CWG Complex'!AH113+'[7]Poultry Byproduct Complex'!AH250</f>
        <v>970.27983770232299</v>
      </c>
      <c r="R25" s="35">
        <f>'[1]Soy Complex'!BP411+'[1]Sun Complex'!BP326+'[1]Canola Complex'!BP346+'[1]Cottonseed Complex'!BP317+'[7]Distillers'' Corn Oil Complex'!AI111+'[7]Inedible Tallow Complex'!AI110+'[7]Yellow Grease Complex'!AI111+'[7]Used Cooking Oil Complex'!AI111+'[7]CWG Complex'!AI113+'[7]Poultry Byproduct Complex'!AI250</f>
        <v>986.50945945514445</v>
      </c>
      <c r="S25" s="35">
        <f>'[1]Soy Complex'!BQ411+'[1]Sun Complex'!BQ326+'[1]Canola Complex'!BQ346+'[1]Cottonseed Complex'!BQ317+'[7]Distillers'' Corn Oil Complex'!AJ111+'[7]Inedible Tallow Complex'!AJ110+'[7]Yellow Grease Complex'!AJ111+'[7]Used Cooking Oil Complex'!AJ111+'[7]CWG Complex'!AJ113+'[7]Poultry Byproduct Complex'!AJ250</f>
        <v>794.2608701808897</v>
      </c>
      <c r="T25" s="35">
        <f>'[1]Soy Complex'!BR411+'[1]Sun Complex'!BR326+'[1]Canola Complex'!BR346+'[1]Cottonseed Complex'!BR317+'[7]Distillers'' Corn Oil Complex'!AK111+'[7]Inedible Tallow Complex'!AK110+'[7]Yellow Grease Complex'!AK111+'[7]Used Cooking Oil Complex'!AK111+'[7]CWG Complex'!AK113+'[7]Poultry Byproduct Complex'!AK250</f>
        <v>858.85016448452711</v>
      </c>
      <c r="U25" s="35">
        <f>'[1]Soy Complex'!BS411+'[1]Sun Complex'!BS326+'[1]Canola Complex'!BS346+'[1]Cottonseed Complex'!BS317+'[7]Distillers'' Corn Oil Complex'!AL111+'[7]Inedible Tallow Complex'!AL110+'[7]Yellow Grease Complex'!AL111+'[7]Used Cooking Oil Complex'!AL111+'[7]CWG Complex'!AL113+'[7]Poultry Byproduct Complex'!AL250</f>
        <v>861.23905302973458</v>
      </c>
      <c r="V25" s="35">
        <f>'[1]Soy Complex'!BT411+'[1]Sun Complex'!BT326+'[1]Canola Complex'!BT346+'[1]Cottonseed Complex'!BT317+'[7]Distillers'' Corn Oil Complex'!AM111+'[7]Inedible Tallow Complex'!AM110+'[7]Yellow Grease Complex'!AM111+'[7]Used Cooking Oil Complex'!AM111+'[7]CWG Complex'!AM113+'[7]Poultry Byproduct Complex'!AM250</f>
        <v>844.94905071508401</v>
      </c>
      <c r="W25" s="35">
        <f>'[1]Soy Complex'!BU411+'[1]Sun Complex'!BU326+'[1]Canola Complex'!BU346+'[1]Cottonseed Complex'!BU317+'[7]Distillers'' Corn Oil Complex'!AN111+'[7]Inedible Tallow Complex'!AN110+'[7]Yellow Grease Complex'!AN111+'[7]Used Cooking Oil Complex'!AN111+'[7]CWG Complex'!AN113+'[7]Poultry Byproduct Complex'!AN250</f>
        <v>884.74917847827112</v>
      </c>
      <c r="X25" s="35">
        <f>'[1]Soy Complex'!BV411+'[1]Sun Complex'!BV326+'[1]Canola Complex'!BV346+'[1]Cottonseed Complex'!BV317+'[7]Distillers'' Corn Oil Complex'!AO111+'[7]Inedible Tallow Complex'!AO110+'[7]Yellow Grease Complex'!AO111+'[7]Used Cooking Oil Complex'!AO111+'[7]CWG Complex'!AO113+'[7]Poultry Byproduct Complex'!AO250</f>
        <v>678.05480870658766</v>
      </c>
      <c r="Y25" s="35">
        <f>'[1]Soy Complex'!BW411+'[1]Sun Complex'!BW326+'[1]Canola Complex'!BW346+'[1]Cottonseed Complex'!BW317+'[7]Distillers'' Corn Oil Complex'!AP111+'[7]Inedible Tallow Complex'!AP110+'[7]Yellow Grease Complex'!AP111+'[7]Used Cooking Oil Complex'!AP111+'[7]CWG Complex'!AP113+'[7]Poultry Byproduct Complex'!AP250</f>
        <v>793.68965959514162</v>
      </c>
      <c r="Z25" s="35">
        <f>'[1]Soy Complex'!BX411+'[1]Sun Complex'!BX326+'[1]Canola Complex'!BX346+'[1]Cottonseed Complex'!BX317+'[7]Distillers'' Corn Oil Complex'!AQ111+'[7]Inedible Tallow Complex'!AQ110+'[7]Yellow Grease Complex'!AQ111+'[7]Used Cooking Oil Complex'!AQ111+'[7]CWG Complex'!AQ113+'[7]Poultry Byproduct Complex'!AQ250</f>
        <v>776.32531632552912</v>
      </c>
      <c r="AA25" s="35">
        <f>'[1]Soy Complex'!BY411+'[1]Sun Complex'!BY326+'[1]Canola Complex'!BY346+'[1]Cottonseed Complex'!BY317+'[7]Distillers'' Corn Oil Complex'!AR111+'[7]Inedible Tallow Complex'!AR110+'[7]Yellow Grease Complex'!AR111+'[7]Used Cooking Oil Complex'!AR111+'[7]CWG Complex'!AR113+'[7]Poultry Byproduct Complex'!AR250</f>
        <v>661.33158051336932</v>
      </c>
      <c r="AB25" s="35">
        <f>'[1]Soy Complex'!BZ411+'[1]Sun Complex'!BZ326+'[1]Canola Complex'!BZ346+'[1]Cottonseed Complex'!BZ317+'[7]Distillers'' Corn Oil Complex'!AS111+'[7]Inedible Tallow Complex'!AS110+'[7]Yellow Grease Complex'!AS111+'[7]Used Cooking Oil Complex'!AS111+'[7]CWG Complex'!AS113+'[7]Poultry Byproduct Complex'!AS250</f>
        <v>539.71501744714931</v>
      </c>
      <c r="AC25" s="35">
        <f>'[1]Soy Complex'!CA411+'[1]Sun Complex'!CA326+'[1]Canola Complex'!CA346+'[1]Cottonseed Complex'!CA317+'[7]Distillers'' Corn Oil Complex'!AT111+'[7]Inedible Tallow Complex'!AT110+'[7]Yellow Grease Complex'!AT111+'[7]Used Cooking Oil Complex'!AT111+'[7]CWG Complex'!AT113+'[7]Poultry Byproduct Complex'!AT250</f>
        <v>530.0634860219908</v>
      </c>
      <c r="AD25" s="35">
        <f>'[1]Soy Complex'!CB411+'[1]Sun Complex'!CB326+'[1]Canola Complex'!CB346+'[1]Cottonseed Complex'!CB317+'[7]Distillers'' Corn Oil Complex'!AU111+'[7]Inedible Tallow Complex'!AU110+'[7]Yellow Grease Complex'!AU111+'[7]Used Cooking Oil Complex'!AU111+'[7]CWG Complex'!AU113+'[7]Poultry Byproduct Complex'!AU250</f>
        <v>522.78110172459947</v>
      </c>
      <c r="AE25" s="35">
        <f>'[1]Soy Complex'!CC411+'[1]Sun Complex'!CC326+'[1]Canola Complex'!CC346+'[1]Cottonseed Complex'!CC317+'[7]Distillers'' Corn Oil Complex'!AV111+'[7]Inedible Tallow Complex'!AV110+'[7]Yellow Grease Complex'!AV111+'[7]Used Cooking Oil Complex'!AV111+'[7]CWG Complex'!AV113+'[7]Poultry Byproduct Complex'!AV250</f>
        <v>347.43086655861265</v>
      </c>
      <c r="AF25" s="35">
        <f>'[1]Soy Complex'!CD411+'[1]Sun Complex'!CD326+'[1]Canola Complex'!CD346+'[1]Cottonseed Complex'!CD317+'[7]Distillers'' Corn Oil Complex'!AW111+'[7]Inedible Tallow Complex'!AW110+'[7]Yellow Grease Complex'!AW111+'[7]Used Cooking Oil Complex'!AW111+'[7]CWG Complex'!AW113+'[7]Poultry Byproduct Complex'!AW250</f>
        <v>352.3488986641288</v>
      </c>
      <c r="AL25" s="70">
        <f t="shared" si="3"/>
        <v>0.12562814070351758</v>
      </c>
      <c r="AM25" s="70">
        <f t="shared" si="3"/>
        <v>0.22619047619047628</v>
      </c>
      <c r="AN25" s="70">
        <f t="shared" si="3"/>
        <v>-4.5825242718446568E-2</v>
      </c>
      <c r="AO25" s="70">
        <f t="shared" si="3"/>
        <v>0.10780423280423279</v>
      </c>
      <c r="AP25" s="70">
        <f t="shared" si="3"/>
        <v>5.6408725602755672E-2</v>
      </c>
      <c r="AQ25" s="70">
        <f t="shared" si="3"/>
        <v>0.14417279259932236</v>
      </c>
      <c r="AR25" s="70">
        <f t="shared" si="3"/>
        <v>0.11359621480482818</v>
      </c>
      <c r="AS25" s="70">
        <f t="shared" si="3"/>
        <v>-9.1858174975238738E-2</v>
      </c>
      <c r="AT25" s="70">
        <f t="shared" si="3"/>
        <v>4.8321232086724564E-2</v>
      </c>
      <c r="AU25" s="70">
        <f t="shared" si="3"/>
        <v>-4.3653462840378965E-2</v>
      </c>
      <c r="AV25" s="70">
        <f t="shared" si="3"/>
        <v>-3.1011116016746221E-2</v>
      </c>
      <c r="AW25" s="70">
        <f t="shared" si="3"/>
        <v>0.12509927710733182</v>
      </c>
    </row>
    <row r="26" spans="1:49" x14ac:dyDescent="0.2">
      <c r="A26" s="61" t="s">
        <v>12</v>
      </c>
      <c r="B26" s="35">
        <f>'[1]Soy Complex'!AZ412+'[1]Sun Complex'!AZ327+'[1]Canola Complex'!AZ347+'[1]Cottonseed Complex'!AZ318+'[7]Distillers'' Corn Oil Complex'!S112+'[7]Inedible Tallow Complex'!S111+'[7]Yellow Grease Complex'!S112+'[7]Used Cooking Oil Complex'!S112+'[7]CWG Complex'!S114+'[7]Poultry Byproduct Complex'!S251</f>
        <v>663</v>
      </c>
      <c r="C26" s="35">
        <f>'[1]Soy Complex'!BA412+'[1]Sun Complex'!BA327+'[1]Canola Complex'!BA347+'[1]Cottonseed Complex'!BA318+'[7]Distillers'' Corn Oil Complex'!T112+'[7]Inedible Tallow Complex'!T111+'[7]Yellow Grease Complex'!T112+'[7]Used Cooking Oil Complex'!T112+'[7]CWG Complex'!T114+'[7]Poultry Byproduct Complex'!T251</f>
        <v>613</v>
      </c>
      <c r="D26" s="35">
        <f>'[1]Soy Complex'!BB412+'[1]Sun Complex'!BB327+'[1]Canola Complex'!BB347+'[1]Cottonseed Complex'!BB318+'[7]Distillers'' Corn Oil Complex'!U112+'[7]Inedible Tallow Complex'!U111+'[7]Yellow Grease Complex'!U112+'[7]Used Cooking Oil Complex'!U112+'[7]CWG Complex'!U114+'[7]Poultry Byproduct Complex'!U251</f>
        <v>854</v>
      </c>
      <c r="E26" s="35">
        <f>'[1]Soy Complex'!BC412+'[1]Sun Complex'!BC327+'[1]Canola Complex'!BC347+'[1]Cottonseed Complex'!BC318+'[7]Distillers'' Corn Oil Complex'!V112+'[7]Inedible Tallow Complex'!V111+'[7]Yellow Grease Complex'!V112+'[7]Used Cooking Oil Complex'!V112+'[7]CWG Complex'!V114+'[7]Poultry Byproduct Complex'!V251</f>
        <v>858.44999999999982</v>
      </c>
      <c r="F26" s="35">
        <f>'[1]Soy Complex'!BD412+'[1]Sun Complex'!BD327+'[1]Canola Complex'!BD347+'[1]Cottonseed Complex'!BD318+'[7]Distillers'' Corn Oil Complex'!W112+'[7]Inedible Tallow Complex'!W111+'[7]Yellow Grease Complex'!W112+'[7]Used Cooking Oil Complex'!W112+'[7]CWG Complex'!W114+'[7]Poultry Byproduct Complex'!W251</f>
        <v>869.4</v>
      </c>
      <c r="G26" s="35">
        <f>'[1]Soy Complex'!BE412+'[1]Sun Complex'!BE327+'[1]Canola Complex'!BE347+'[1]Cottonseed Complex'!BE318+'[7]Distillers'' Corn Oil Complex'!X112+'[7]Inedible Tallow Complex'!X111+'[7]Yellow Grease Complex'!X112+'[7]Used Cooking Oil Complex'!X112+'[7]CWG Complex'!X114+'[7]Poultry Byproduct Complex'!X251</f>
        <v>953.49800000000005</v>
      </c>
      <c r="H26" s="35">
        <f>'[1]Soy Complex'!BF412+'[1]Sun Complex'!BF327+'[1]Canola Complex'!BF347+'[1]Cottonseed Complex'!BF318+'[7]Distillers'' Corn Oil Complex'!Y112+'[7]Inedible Tallow Complex'!Y111+'[7]Yellow Grease Complex'!Y112+'[7]Used Cooking Oil Complex'!Y112+'[7]CWG Complex'!Y114+'[7]Poultry Byproduct Complex'!Y251</f>
        <v>1116.9799999999998</v>
      </c>
      <c r="I26" s="35">
        <f>'[1]Soy Complex'!BG412+'[1]Sun Complex'!BG327+'[1]Canola Complex'!BG347+'[1]Cottonseed Complex'!BG318+'[7]Distillers'' Corn Oil Complex'!Z112+'[7]Inedible Tallow Complex'!Z111+'[7]Yellow Grease Complex'!Z112+'[7]Used Cooking Oil Complex'!Z112+'[7]CWG Complex'!Z114+'[7]Poultry Byproduct Complex'!Z251</f>
        <v>1240.1900292968751</v>
      </c>
      <c r="J26" s="35">
        <f>'[1]Soy Complex'!BH412+'[1]Sun Complex'!BH327+'[1]Canola Complex'!BH347+'[1]Cottonseed Complex'!BH318+'[7]Distillers'' Corn Oil Complex'!AA112+'[7]Inedible Tallow Complex'!AA111+'[7]Yellow Grease Complex'!AA112+'[7]Used Cooking Oil Complex'!AA112+'[7]CWG Complex'!AA114+'[7]Poultry Byproduct Complex'!AA251</f>
        <v>1182.2327584290101</v>
      </c>
      <c r="K26" s="35">
        <f>'[1]Soy Complex'!BI412+'[1]Sun Complex'!BI327+'[1]Canola Complex'!BI347+'[1]Cottonseed Complex'!BI318+'[7]Distillers'' Corn Oil Complex'!AB112+'[7]Inedible Tallow Complex'!AB111+'[7]Yellow Grease Complex'!AB112+'[7]Used Cooking Oil Complex'!AB112+'[7]CWG Complex'!AB114+'[7]Poultry Byproduct Complex'!AB251</f>
        <v>1199.2512611969678</v>
      </c>
      <c r="L26" s="35">
        <f>'[1]Soy Complex'!BJ412+'[1]Sun Complex'!BJ327+'[1]Canola Complex'!BJ347+'[1]Cottonseed Complex'!BJ318+'[7]Distillers'' Corn Oil Complex'!AC112+'[7]Inedible Tallow Complex'!AC111+'[7]Yellow Grease Complex'!AC112+'[7]Used Cooking Oil Complex'!AC112+'[7]CWG Complex'!AC114+'[7]Poultry Byproduct Complex'!AC251</f>
        <v>1068.3503542020505</v>
      </c>
      <c r="M26" s="35">
        <f>'[1]Soy Complex'!BK412+'[1]Sun Complex'!BK327+'[1]Canola Complex'!BK347+'[1]Cottonseed Complex'!BK318+'[7]Distillers'' Corn Oil Complex'!AD112+'[7]Inedible Tallow Complex'!AD111+'[7]Yellow Grease Complex'!AD112+'[7]Used Cooking Oil Complex'!AD112+'[7]CWG Complex'!AD114+'[7]Poultry Byproduct Complex'!AD251</f>
        <v>1131.5608419021528</v>
      </c>
      <c r="N26" s="35">
        <f>'[1]Soy Complex'!BL412+'[1]Sun Complex'!BL327+'[1]Canola Complex'!BL347+'[1]Cottonseed Complex'!BL318+'[7]Distillers'' Corn Oil Complex'!AE112+'[7]Inedible Tallow Complex'!AE111+'[7]Yellow Grease Complex'!AE112+'[7]Used Cooking Oil Complex'!AE112+'[7]CWG Complex'!AE114+'[7]Poultry Byproduct Complex'!AE251</f>
        <v>1161.1808985040527</v>
      </c>
      <c r="O26" s="35">
        <f>'[1]Soy Complex'!BM412+'[1]Sun Complex'!BM327+'[1]Canola Complex'!BM347+'[1]Cottonseed Complex'!BM318+'[7]Distillers'' Corn Oil Complex'!AF112+'[7]Inedible Tallow Complex'!AF111+'[7]Yellow Grease Complex'!AF112+'[7]Used Cooking Oil Complex'!AF112+'[7]CWG Complex'!AF114+'[7]Poultry Byproduct Complex'!AF251</f>
        <v>1105.9666177507156</v>
      </c>
      <c r="P26" s="35">
        <f>'[1]Soy Complex'!BN412+'[1]Sun Complex'!BN327+'[1]Canola Complex'!BN347+'[1]Cottonseed Complex'!BN318+'[7]Distillers'' Corn Oil Complex'!AG112+'[7]Inedible Tallow Complex'!AG111+'[7]Yellow Grease Complex'!AG112+'[7]Used Cooking Oil Complex'!AG112+'[7]CWG Complex'!AG114+'[7]Poultry Byproduct Complex'!AG251</f>
        <v>1033.7164053918509</v>
      </c>
      <c r="Q26" s="35">
        <f>'[1]Soy Complex'!BO412+'[1]Sun Complex'!BO327+'[1]Canola Complex'!BO347+'[1]Cottonseed Complex'!BO318+'[7]Distillers'' Corn Oil Complex'!AH112+'[7]Inedible Tallow Complex'!AH111+'[7]Yellow Grease Complex'!AH112+'[7]Used Cooking Oil Complex'!AH112+'[7]CWG Complex'!AH114+'[7]Poultry Byproduct Complex'!AH251</f>
        <v>974.3029903844581</v>
      </c>
      <c r="R26" s="35">
        <f>'[1]Soy Complex'!BP412+'[1]Sun Complex'!BP327+'[1]Canola Complex'!BP347+'[1]Cottonseed Complex'!BP318+'[7]Distillers'' Corn Oil Complex'!AI112+'[7]Inedible Tallow Complex'!AI111+'[7]Yellow Grease Complex'!AI112+'[7]Used Cooking Oil Complex'!AI112+'[7]CWG Complex'!AI114+'[7]Poultry Byproduct Complex'!AI251</f>
        <v>992.57047637546145</v>
      </c>
      <c r="S26" s="35">
        <f>'[1]Soy Complex'!BQ412+'[1]Sun Complex'!BQ327+'[1]Canola Complex'!BQ347+'[1]Cottonseed Complex'!BQ318+'[7]Distillers'' Corn Oil Complex'!AJ112+'[7]Inedible Tallow Complex'!AJ111+'[7]Yellow Grease Complex'!AJ112+'[7]Used Cooking Oil Complex'!AJ112+'[7]CWG Complex'!AJ114+'[7]Poultry Byproduct Complex'!AJ251</f>
        <v>785.58033270744488</v>
      </c>
      <c r="T26" s="35">
        <f>'[1]Soy Complex'!BR412+'[1]Sun Complex'!BR327+'[1]Canola Complex'!BR347+'[1]Cottonseed Complex'!BR318+'[7]Distillers'' Corn Oil Complex'!AK112+'[7]Inedible Tallow Complex'!AK111+'[7]Yellow Grease Complex'!AK112+'[7]Used Cooking Oil Complex'!AK112+'[7]CWG Complex'!AK114+'[7]Poultry Byproduct Complex'!AK251</f>
        <v>850.60211264884219</v>
      </c>
      <c r="U26" s="35">
        <f>'[1]Soy Complex'!BS412+'[1]Sun Complex'!BS327+'[1]Canola Complex'!BS347+'[1]Cottonseed Complex'!BS318+'[7]Distillers'' Corn Oil Complex'!AL112+'[7]Inedible Tallow Complex'!AL111+'[7]Yellow Grease Complex'!AL112+'[7]Used Cooking Oil Complex'!AL112+'[7]CWG Complex'!AL114+'[7]Poultry Byproduct Complex'!AL251</f>
        <v>853.99952257810764</v>
      </c>
      <c r="V26" s="35">
        <f>'[1]Soy Complex'!BT412+'[1]Sun Complex'!BT327+'[1]Canola Complex'!BT347+'[1]Cottonseed Complex'!BT318+'[7]Distillers'' Corn Oil Complex'!AM112+'[7]Inedible Tallow Complex'!AM111+'[7]Yellow Grease Complex'!AM112+'[7]Used Cooking Oil Complex'!AM112+'[7]CWG Complex'!AM114+'[7]Poultry Byproduct Complex'!AM251</f>
        <v>843.01065348128475</v>
      </c>
      <c r="W26" s="35">
        <f>'[1]Soy Complex'!BU412+'[1]Sun Complex'!BU327+'[1]Canola Complex'!BU347+'[1]Cottonseed Complex'!BU318+'[7]Distillers'' Corn Oil Complex'!AN112+'[7]Inedible Tallow Complex'!AN111+'[7]Yellow Grease Complex'!AN112+'[7]Used Cooking Oil Complex'!AN112+'[7]CWG Complex'!AN114+'[7]Poultry Byproduct Complex'!AN251</f>
        <v>881.2226370177367</v>
      </c>
      <c r="X26" s="35">
        <f>'[1]Soy Complex'!BV412+'[1]Sun Complex'!BV327+'[1]Canola Complex'!BV347+'[1]Cottonseed Complex'!BV318+'[7]Distillers'' Corn Oil Complex'!AO112+'[7]Inedible Tallow Complex'!AO111+'[7]Yellow Grease Complex'!AO112+'[7]Used Cooking Oil Complex'!AO112+'[7]CWG Complex'!AO114+'[7]Poultry Byproduct Complex'!AO251</f>
        <v>659.12324916927287</v>
      </c>
      <c r="Y26" s="35">
        <f>'[1]Soy Complex'!BW412+'[1]Sun Complex'!BW327+'[1]Canola Complex'!BW347+'[1]Cottonseed Complex'!BW318+'[7]Distillers'' Corn Oil Complex'!AP112+'[7]Inedible Tallow Complex'!AP111+'[7]Yellow Grease Complex'!AP112+'[7]Used Cooking Oil Complex'!AP112+'[7]CWG Complex'!AP114+'[7]Poultry Byproduct Complex'!AP251</f>
        <v>788.82462111046016</v>
      </c>
      <c r="Z26" s="35">
        <f>'[1]Soy Complex'!BX412+'[1]Sun Complex'!BX327+'[1]Canola Complex'!BX347+'[1]Cottonseed Complex'!BX318+'[7]Distillers'' Corn Oil Complex'!AQ112+'[7]Inedible Tallow Complex'!AQ111+'[7]Yellow Grease Complex'!AQ112+'[7]Used Cooking Oil Complex'!AQ112+'[7]CWG Complex'!AQ114+'[7]Poultry Byproduct Complex'!AQ251</f>
        <v>772.15267337847354</v>
      </c>
      <c r="AA26" s="35">
        <f>'[1]Soy Complex'!BY412+'[1]Sun Complex'!BY327+'[1]Canola Complex'!BY347+'[1]Cottonseed Complex'!BY318+'[7]Distillers'' Corn Oil Complex'!AR112+'[7]Inedible Tallow Complex'!AR111+'[7]Yellow Grease Complex'!AR112+'[7]Used Cooking Oil Complex'!AR112+'[7]CWG Complex'!AR114+'[7]Poultry Byproduct Complex'!AR251</f>
        <v>657.34521882513411</v>
      </c>
      <c r="AB26" s="35">
        <f>'[1]Soy Complex'!BZ412+'[1]Sun Complex'!BZ327+'[1]Canola Complex'!BZ347+'[1]Cottonseed Complex'!BZ318+'[7]Distillers'' Corn Oil Complex'!AS112+'[7]Inedible Tallow Complex'!AS111+'[7]Yellow Grease Complex'!AS112+'[7]Used Cooking Oil Complex'!AS112+'[7]CWG Complex'!AS114+'[7]Poultry Byproduct Complex'!AS251</f>
        <v>536.70516230136502</v>
      </c>
      <c r="AC26" s="35">
        <f>'[1]Soy Complex'!CA412+'[1]Sun Complex'!CA327+'[1]Canola Complex'!CA347+'[1]Cottonseed Complex'!CA318+'[7]Distillers'' Corn Oil Complex'!AT112+'[7]Inedible Tallow Complex'!AT111+'[7]Yellow Grease Complex'!AT112+'[7]Used Cooking Oil Complex'!AT112+'[7]CWG Complex'!AT114+'[7]Poultry Byproduct Complex'!AT251</f>
        <v>526.98056074486033</v>
      </c>
      <c r="AD26" s="35">
        <f>'[1]Soy Complex'!CB412+'[1]Sun Complex'!CB327+'[1]Canola Complex'!CB347+'[1]Cottonseed Complex'!CB318+'[7]Distillers'' Corn Oil Complex'!AU112+'[7]Inedible Tallow Complex'!AU111+'[7]Yellow Grease Complex'!AU112+'[7]Used Cooking Oil Complex'!AU112+'[7]CWG Complex'!AU114+'[7]Poultry Byproduct Complex'!AU251</f>
        <v>520.010717818839</v>
      </c>
      <c r="AE26" s="35">
        <f>'[1]Soy Complex'!CC412+'[1]Sun Complex'!CC327+'[1]Canola Complex'!CC347+'[1]Cottonseed Complex'!CC318+'[7]Distillers'' Corn Oil Complex'!AV112+'[7]Inedible Tallow Complex'!AV111+'[7]Yellow Grease Complex'!AV112+'[7]Used Cooking Oil Complex'!AV112+'[7]CWG Complex'!AV114+'[7]Poultry Byproduct Complex'!AV251</f>
        <v>335.81568763057504</v>
      </c>
      <c r="AF26" s="35">
        <f>'[1]Soy Complex'!CD412+'[1]Sun Complex'!CD327+'[1]Canola Complex'!CD347+'[1]Cottonseed Complex'!CD318+'[7]Distillers'' Corn Oil Complex'!AW112+'[7]Inedible Tallow Complex'!AW111+'[7]Yellow Grease Complex'!AW112+'[7]Used Cooking Oil Complex'!AW112+'[7]CWG Complex'!AW114+'[7]Poultry Byproduct Complex'!AW251</f>
        <v>340.96542252362366</v>
      </c>
      <c r="AL26" s="70">
        <f t="shared" si="3"/>
        <v>-7.5414781297134192E-2</v>
      </c>
      <c r="AM26" s="70">
        <f t="shared" si="3"/>
        <v>0.39314845024469824</v>
      </c>
      <c r="AN26" s="70">
        <f t="shared" si="3"/>
        <v>5.2107728337233983E-3</v>
      </c>
      <c r="AO26" s="70">
        <f t="shared" si="3"/>
        <v>1.2755547789621069E-2</v>
      </c>
      <c r="AP26" s="70">
        <f t="shared" si="3"/>
        <v>9.6731078904991996E-2</v>
      </c>
      <c r="AQ26" s="70">
        <f t="shared" si="3"/>
        <v>0.17145500042999529</v>
      </c>
      <c r="AR26" s="70">
        <f t="shared" si="3"/>
        <v>0.1103063880256363</v>
      </c>
      <c r="AS26" s="70">
        <f t="shared" si="3"/>
        <v>-4.6732572830571639E-2</v>
      </c>
      <c r="AT26" s="70">
        <f t="shared" si="3"/>
        <v>1.4395221792510959E-2</v>
      </c>
      <c r="AU26" s="70">
        <f t="shared" si="3"/>
        <v>-0.10915219456535374</v>
      </c>
      <c r="AV26" s="70">
        <f t="shared" si="3"/>
        <v>5.9166440532810061E-2</v>
      </c>
      <c r="AW26" s="70">
        <f t="shared" si="3"/>
        <v>2.617628279899531E-2</v>
      </c>
    </row>
    <row r="27" spans="1:49" x14ac:dyDescent="0.2">
      <c r="A27" s="61" t="s">
        <v>13</v>
      </c>
      <c r="B27" s="35">
        <f>'[1]Soy Complex'!AZ413+'[1]Sun Complex'!AZ328+'[1]Canola Complex'!AZ348+'[1]Cottonseed Complex'!AZ319+'[7]Distillers'' Corn Oil Complex'!S113+'[7]Inedible Tallow Complex'!S112+'[7]Yellow Grease Complex'!S113+'[7]Used Cooking Oil Complex'!S113+'[7]CWG Complex'!S115+'[7]Poultry Byproduct Complex'!S252</f>
        <v>686</v>
      </c>
      <c r="C27" s="35">
        <f>'[1]Soy Complex'!BA413+'[1]Sun Complex'!BA328+'[1]Canola Complex'!BA348+'[1]Cottonseed Complex'!BA319+'[7]Distillers'' Corn Oil Complex'!T113+'[7]Inedible Tallow Complex'!T112+'[7]Yellow Grease Complex'!T113+'[7]Used Cooking Oil Complex'!T113+'[7]CWG Complex'!T115+'[7]Poultry Byproduct Complex'!T252</f>
        <v>661</v>
      </c>
      <c r="D27" s="35">
        <f>'[1]Soy Complex'!BB413+'[1]Sun Complex'!BB328+'[1]Canola Complex'!BB348+'[1]Cottonseed Complex'!BB319+'[7]Distillers'' Corn Oil Complex'!U113+'[7]Inedible Tallow Complex'!U112+'[7]Yellow Grease Complex'!U113+'[7]Used Cooking Oil Complex'!U113+'[7]CWG Complex'!U115+'[7]Poultry Byproduct Complex'!U252</f>
        <v>904</v>
      </c>
      <c r="E27" s="35">
        <f>'[1]Soy Complex'!BC413+'[1]Sun Complex'!BC328+'[1]Canola Complex'!BC348+'[1]Cottonseed Complex'!BC319+'[7]Distillers'' Corn Oil Complex'!V113+'[7]Inedible Tallow Complex'!V112+'[7]Yellow Grease Complex'!V113+'[7]Used Cooking Oil Complex'!V113+'[7]CWG Complex'!V115+'[7]Poultry Byproduct Complex'!V252</f>
        <v>866.02999999999986</v>
      </c>
      <c r="F27" s="35">
        <f>'[1]Soy Complex'!BD413+'[1]Sun Complex'!BD328+'[1]Canola Complex'!BD348+'[1]Cottonseed Complex'!BD319+'[7]Distillers'' Corn Oil Complex'!W113+'[7]Inedible Tallow Complex'!W112+'[7]Yellow Grease Complex'!W113+'[7]Used Cooking Oil Complex'!W113+'[7]CWG Complex'!W115+'[7]Poultry Byproduct Complex'!W252</f>
        <v>879.2</v>
      </c>
      <c r="G27" s="35">
        <f>'[1]Soy Complex'!BE413+'[1]Sun Complex'!BE328+'[1]Canola Complex'!BE348+'[1]Cottonseed Complex'!BE319+'[7]Distillers'' Corn Oil Complex'!X113+'[7]Inedible Tallow Complex'!X112+'[7]Yellow Grease Complex'!X113+'[7]Used Cooking Oil Complex'!X113+'[7]CWG Complex'!X115+'[7]Poultry Byproduct Complex'!X252</f>
        <v>974.48799999999983</v>
      </c>
      <c r="H27" s="35">
        <f>'[1]Soy Complex'!BF413+'[1]Sun Complex'!BF328+'[1]Canola Complex'!BF348+'[1]Cottonseed Complex'!BF319+'[7]Distillers'' Corn Oil Complex'!Y113+'[7]Inedible Tallow Complex'!Y112+'[7]Yellow Grease Complex'!Y113+'[7]Used Cooking Oil Complex'!Y113+'[7]CWG Complex'!Y115+'[7]Poultry Byproduct Complex'!Y252</f>
        <v>1123.0200000000002</v>
      </c>
      <c r="I27" s="35">
        <f>'[1]Soy Complex'!BG413+'[1]Sun Complex'!BG328+'[1]Canola Complex'!BG348+'[1]Cottonseed Complex'!BG319+'[7]Distillers'' Corn Oil Complex'!Z113+'[7]Inedible Tallow Complex'!Z112+'[7]Yellow Grease Complex'!Z113+'[7]Used Cooking Oil Complex'!Z113+'[7]CWG Complex'!Z115+'[7]Poultry Byproduct Complex'!Z252</f>
        <v>1292.94</v>
      </c>
      <c r="J27" s="35">
        <f>'[1]Soy Complex'!BH413+'[1]Sun Complex'!BH328+'[1]Canola Complex'!BH348+'[1]Cottonseed Complex'!BH319+'[7]Distillers'' Corn Oil Complex'!AA113+'[7]Inedible Tallow Complex'!AA112+'[7]Yellow Grease Complex'!AA113+'[7]Used Cooking Oil Complex'!AA113+'[7]CWG Complex'!AA115+'[7]Poultry Byproduct Complex'!AA252</f>
        <v>1159.1386143630411</v>
      </c>
      <c r="K27" s="35">
        <f>'[1]Soy Complex'!BI413+'[1]Sun Complex'!BI328+'[1]Canola Complex'!BI348+'[1]Cottonseed Complex'!BI319+'[7]Distillers'' Corn Oil Complex'!AB113+'[7]Inedible Tallow Complex'!AB112+'[7]Yellow Grease Complex'!AB113+'[7]Used Cooking Oil Complex'!AB113+'[7]CWG Complex'!AB115+'[7]Poultry Byproduct Complex'!AB252</f>
        <v>1201.5170869594326</v>
      </c>
      <c r="L27" s="35">
        <f>'[1]Soy Complex'!BJ413+'[1]Sun Complex'!BJ328+'[1]Canola Complex'!BJ348+'[1]Cottonseed Complex'!BJ319+'[7]Distillers'' Corn Oil Complex'!AC113+'[7]Inedible Tallow Complex'!AC112+'[7]Yellow Grease Complex'!AC113+'[7]Used Cooking Oil Complex'!AC113+'[7]CWG Complex'!AC115+'[7]Poultry Byproduct Complex'!AC252</f>
        <v>892.03893890298514</v>
      </c>
      <c r="M27" s="35">
        <f>'[1]Soy Complex'!BK413+'[1]Sun Complex'!BK328+'[1]Canola Complex'!BK348+'[1]Cottonseed Complex'!BK319+'[7]Distillers'' Corn Oil Complex'!AD113+'[7]Inedible Tallow Complex'!AD112+'[7]Yellow Grease Complex'!AD113+'[7]Used Cooking Oil Complex'!AD113+'[7]CWG Complex'!AD115+'[7]Poultry Byproduct Complex'!AD252</f>
        <v>1132.1637980129772</v>
      </c>
      <c r="N27" s="35">
        <f>'[1]Soy Complex'!BL413+'[1]Sun Complex'!BL328+'[1]Canola Complex'!BL348+'[1]Cottonseed Complex'!BL319+'[7]Distillers'' Corn Oil Complex'!AE113+'[7]Inedible Tallow Complex'!AE112+'[7]Yellow Grease Complex'!AE113+'[7]Used Cooking Oil Complex'!AE113+'[7]CWG Complex'!AE115+'[7]Poultry Byproduct Complex'!AE252</f>
        <v>1125.1217035737245</v>
      </c>
      <c r="O27" s="35">
        <f>'[1]Soy Complex'!BM413+'[1]Sun Complex'!BM328+'[1]Canola Complex'!BM348+'[1]Cottonseed Complex'!BM319+'[7]Distillers'' Corn Oil Complex'!AF113+'[7]Inedible Tallow Complex'!AF112+'[7]Yellow Grease Complex'!AF113+'[7]Used Cooking Oil Complex'!AF113+'[7]CWG Complex'!AF115+'[7]Poultry Byproduct Complex'!AF252</f>
        <v>1145.4410978090054</v>
      </c>
      <c r="P27" s="35">
        <f>'[1]Soy Complex'!BN413+'[1]Sun Complex'!BN328+'[1]Canola Complex'!BN348+'[1]Cottonseed Complex'!BN319+'[7]Distillers'' Corn Oil Complex'!AG113+'[7]Inedible Tallow Complex'!AG112+'[7]Yellow Grease Complex'!AG113+'[7]Used Cooking Oil Complex'!AG113+'[7]CWG Complex'!AG115+'[7]Poultry Byproduct Complex'!AG252</f>
        <v>1064.5345680789246</v>
      </c>
      <c r="Q27" s="35">
        <f>'[1]Soy Complex'!BO413+'[1]Sun Complex'!BO328+'[1]Canola Complex'!BO348+'[1]Cottonseed Complex'!BO319+'[7]Distillers'' Corn Oil Complex'!AH113+'[7]Inedible Tallow Complex'!AH112+'[7]Yellow Grease Complex'!AH113+'[7]Used Cooking Oil Complex'!AH113+'[7]CWG Complex'!AH115+'[7]Poultry Byproduct Complex'!AH252</f>
        <v>949.36126263899973</v>
      </c>
      <c r="R27" s="35">
        <f>'[1]Soy Complex'!BP413+'[1]Sun Complex'!BP328+'[1]Canola Complex'!BP348+'[1]Cottonseed Complex'!BP319+'[7]Distillers'' Corn Oil Complex'!AI113+'[7]Inedible Tallow Complex'!AI112+'[7]Yellow Grease Complex'!AI113+'[7]Used Cooking Oil Complex'!AI113+'[7]CWG Complex'!AI115+'[7]Poultry Byproduct Complex'!AI252</f>
        <v>994.45529514654584</v>
      </c>
      <c r="S27" s="35">
        <f>'[1]Soy Complex'!BQ413+'[1]Sun Complex'!BQ328+'[1]Canola Complex'!BQ348+'[1]Cottonseed Complex'!BQ319+'[7]Distillers'' Corn Oil Complex'!AJ113+'[7]Inedible Tallow Complex'!AJ112+'[7]Yellow Grease Complex'!AJ113+'[7]Used Cooking Oil Complex'!AJ113+'[7]CWG Complex'!AJ115+'[7]Poultry Byproduct Complex'!AJ252</f>
        <v>787.11977057974696</v>
      </c>
      <c r="T27" s="35">
        <f>'[1]Soy Complex'!BR413+'[1]Sun Complex'!BR328+'[1]Canola Complex'!BR348+'[1]Cottonseed Complex'!BR319+'[7]Distillers'' Corn Oil Complex'!AK113+'[7]Inedible Tallow Complex'!AK112+'[7]Yellow Grease Complex'!AK113+'[7]Used Cooking Oil Complex'!AK113+'[7]CWG Complex'!AK115+'[7]Poultry Byproduct Complex'!AK252</f>
        <v>859.80183924461676</v>
      </c>
      <c r="U27" s="35">
        <f>'[1]Soy Complex'!BS413+'[1]Sun Complex'!BS328+'[1]Canola Complex'!BS348+'[1]Cottonseed Complex'!BS319+'[7]Distillers'' Corn Oil Complex'!AL113+'[7]Inedible Tallow Complex'!AL112+'[7]Yellow Grease Complex'!AL113+'[7]Used Cooking Oil Complex'!AL113+'[7]CWG Complex'!AL115+'[7]Poultry Byproduct Complex'!AL252</f>
        <v>860.33170857799394</v>
      </c>
      <c r="V27" s="35">
        <f>'[1]Soy Complex'!BT413+'[1]Sun Complex'!BT328+'[1]Canola Complex'!BT348+'[1]Cottonseed Complex'!BT319+'[7]Distillers'' Corn Oil Complex'!AM113+'[7]Inedible Tallow Complex'!AM112+'[7]Yellow Grease Complex'!AM113+'[7]Used Cooking Oil Complex'!AM113+'[7]CWG Complex'!AM115+'[7]Poultry Byproduct Complex'!AM252</f>
        <v>843.93323766640606</v>
      </c>
      <c r="W27" s="35">
        <f>'[1]Soy Complex'!BU413+'[1]Sun Complex'!BU328+'[1]Canola Complex'!BU348+'[1]Cottonseed Complex'!BU319+'[7]Distillers'' Corn Oil Complex'!AN113+'[7]Inedible Tallow Complex'!AN112+'[7]Yellow Grease Complex'!AN113+'[7]Used Cooking Oil Complex'!AN113+'[7]CWG Complex'!AN115+'[7]Poultry Byproduct Complex'!AN252</f>
        <v>886.57347029420657</v>
      </c>
      <c r="X27" s="35">
        <f>'[1]Soy Complex'!BV413+'[1]Sun Complex'!BV328+'[1]Canola Complex'!BV348+'[1]Cottonseed Complex'!BV319+'[7]Distillers'' Corn Oil Complex'!AO113+'[7]Inedible Tallow Complex'!AO112+'[7]Yellow Grease Complex'!AO113+'[7]Used Cooking Oil Complex'!AO113+'[7]CWG Complex'!AO115+'[7]Poultry Byproduct Complex'!AO252</f>
        <v>672.6950239699238</v>
      </c>
      <c r="Y27" s="35">
        <f>'[1]Soy Complex'!BW413+'[1]Sun Complex'!BW328+'[1]Canola Complex'!BW348+'[1]Cottonseed Complex'!BW319+'[7]Distillers'' Corn Oil Complex'!AP113+'[7]Inedible Tallow Complex'!AP112+'[7]Yellow Grease Complex'!AP113+'[7]Used Cooking Oil Complex'!AP113+'[7]CWG Complex'!AP115+'[7]Poultry Byproduct Complex'!AP252</f>
        <v>793.85181129517673</v>
      </c>
      <c r="Z27" s="35">
        <f>'[1]Soy Complex'!BX413+'[1]Sun Complex'!BX328+'[1]Canola Complex'!BX348+'[1]Cottonseed Complex'!BX319+'[7]Distillers'' Corn Oil Complex'!AQ113+'[7]Inedible Tallow Complex'!AQ112+'[7]Yellow Grease Complex'!AQ113+'[7]Used Cooking Oil Complex'!AQ113+'[7]CWG Complex'!AQ115+'[7]Poultry Byproduct Complex'!AQ252</f>
        <v>776.35337824753401</v>
      </c>
      <c r="AA27" s="35">
        <f>'[1]Soy Complex'!BY413+'[1]Sun Complex'!BY328+'[1]Canola Complex'!BY348+'[1]Cottonseed Complex'!BY319+'[7]Distillers'' Corn Oil Complex'!AR113+'[7]Inedible Tallow Complex'!AR112+'[7]Yellow Grease Complex'!AR113+'[7]Used Cooking Oil Complex'!AR113+'[7]CWG Complex'!AR115+'[7]Poultry Byproduct Complex'!AR252</f>
        <v>659.93557877114677</v>
      </c>
      <c r="AB27" s="35">
        <f>'[1]Soy Complex'!BZ413+'[1]Sun Complex'!BZ328+'[1]Canola Complex'!BZ348+'[1]Cottonseed Complex'!BZ319+'[7]Distillers'' Corn Oil Complex'!AS113+'[7]Inedible Tallow Complex'!AS112+'[7]Yellow Grease Complex'!AS113+'[7]Used Cooking Oil Complex'!AS113+'[7]CWG Complex'!AS115+'[7]Poultry Byproduct Complex'!AS252</f>
        <v>539.92066097288875</v>
      </c>
      <c r="AC27" s="35">
        <f>'[1]Soy Complex'!CA413+'[1]Sun Complex'!CA328+'[1]Canola Complex'!CA348+'[1]Cottonseed Complex'!CA319+'[7]Distillers'' Corn Oil Complex'!AT113+'[7]Inedible Tallow Complex'!AT112+'[7]Yellow Grease Complex'!AT113+'[7]Used Cooking Oil Complex'!AT113+'[7]CWG Complex'!AT115+'[7]Poultry Byproduct Complex'!AT252</f>
        <v>530.17774964591717</v>
      </c>
      <c r="AD27" s="35">
        <f>'[1]Soy Complex'!CB413+'[1]Sun Complex'!CB328+'[1]Canola Complex'!CB348+'[1]Cottonseed Complex'!CB319+'[7]Distillers'' Corn Oil Complex'!AU113+'[7]Inedible Tallow Complex'!AU112+'[7]Yellow Grease Complex'!AU113+'[7]Used Cooking Oil Complex'!AU113+'[7]CWG Complex'!AU115+'[7]Poultry Byproduct Complex'!AU252</f>
        <v>523.19558517089934</v>
      </c>
      <c r="AE27" s="35">
        <f>'[1]Soy Complex'!CC413+'[1]Sun Complex'!CC328+'[1]Canola Complex'!CC348+'[1]Cottonseed Complex'!CC319+'[7]Distillers'' Corn Oil Complex'!AV113+'[7]Inedible Tallow Complex'!AV112+'[7]Yellow Grease Complex'!AV113+'[7]Used Cooking Oil Complex'!AV113+'[7]CWG Complex'!AV115+'[7]Poultry Byproduct Complex'!AV252</f>
        <v>343.67241027791323</v>
      </c>
      <c r="AF27" s="35">
        <f>'[1]Soy Complex'!CD413+'[1]Sun Complex'!CD328+'[1]Canola Complex'!CD348+'[1]Cottonseed Complex'!CD319+'[7]Distillers'' Corn Oil Complex'!AW113+'[7]Inedible Tallow Complex'!AW112+'[7]Yellow Grease Complex'!AW113+'[7]Used Cooking Oil Complex'!AW113+'[7]CWG Complex'!AW115+'[7]Poultry Byproduct Complex'!AW252</f>
        <v>348.63374429236461</v>
      </c>
      <c r="AL27" s="70">
        <f t="shared" si="3"/>
        <v>-3.6443148688046656E-2</v>
      </c>
      <c r="AM27" s="70">
        <f t="shared" si="3"/>
        <v>0.36762481089258703</v>
      </c>
      <c r="AN27" s="70">
        <f t="shared" si="3"/>
        <v>-4.2002212389380733E-2</v>
      </c>
      <c r="AO27" s="70">
        <f t="shared" si="3"/>
        <v>1.5207325381338066E-2</v>
      </c>
      <c r="AP27" s="70">
        <f t="shared" si="3"/>
        <v>0.10838034576888056</v>
      </c>
      <c r="AQ27" s="70">
        <f t="shared" si="3"/>
        <v>0.15242055315201464</v>
      </c>
      <c r="AR27" s="70">
        <f t="shared" si="3"/>
        <v>0.15130629908639182</v>
      </c>
      <c r="AS27" s="70">
        <f t="shared" si="3"/>
        <v>-0.10348615220888746</v>
      </c>
      <c r="AT27" s="70">
        <f t="shared" si="3"/>
        <v>3.6560314764148227E-2</v>
      </c>
      <c r="AU27" s="70">
        <f t="shared" si="3"/>
        <v>-0.2575728230712182</v>
      </c>
      <c r="AV27" s="70">
        <f t="shared" si="3"/>
        <v>0.26918652161675105</v>
      </c>
      <c r="AW27" s="70">
        <f t="shared" si="3"/>
        <v>-6.2200314580027616E-3</v>
      </c>
    </row>
    <row r="28" spans="1:49" x14ac:dyDescent="0.2">
      <c r="A28" s="61" t="s">
        <v>14</v>
      </c>
      <c r="B28" s="35">
        <f>'[1]Soy Complex'!AZ414+'[1]Sun Complex'!AZ329+'[1]Canola Complex'!AZ349+'[1]Cottonseed Complex'!AZ320+'[7]Distillers'' Corn Oil Complex'!S114+'[7]Inedible Tallow Complex'!S113+'[7]Yellow Grease Complex'!S114+'[7]Used Cooking Oil Complex'!S114+'[7]CWG Complex'!S116+'[7]Poultry Byproduct Complex'!S253</f>
        <v>700</v>
      </c>
      <c r="C28" s="35">
        <f>'[1]Soy Complex'!BA414+'[1]Sun Complex'!BA329+'[1]Canola Complex'!BA349+'[1]Cottonseed Complex'!BA320+'[7]Distillers'' Corn Oil Complex'!T114+'[7]Inedible Tallow Complex'!T113+'[7]Yellow Grease Complex'!T114+'[7]Used Cooking Oil Complex'!T114+'[7]CWG Complex'!T116+'[7]Poultry Byproduct Complex'!T253</f>
        <v>589</v>
      </c>
      <c r="D28" s="35">
        <f>'[1]Soy Complex'!BB414+'[1]Sun Complex'!BB329+'[1]Canola Complex'!BB349+'[1]Cottonseed Complex'!BB320+'[7]Distillers'' Corn Oil Complex'!U114+'[7]Inedible Tallow Complex'!U113+'[7]Yellow Grease Complex'!U114+'[7]Used Cooking Oil Complex'!U114+'[7]CWG Complex'!U116+'[7]Poultry Byproduct Complex'!U253</f>
        <v>851</v>
      </c>
      <c r="E28" s="35">
        <f>'[1]Soy Complex'!BC414+'[1]Sun Complex'!BC329+'[1]Canola Complex'!BC349+'[1]Cottonseed Complex'!BC320+'[7]Distillers'' Corn Oil Complex'!V114+'[7]Inedible Tallow Complex'!V113+'[7]Yellow Grease Complex'!V114+'[7]Used Cooking Oil Complex'!V114+'[7]CWG Complex'!V116+'[7]Poultry Byproduct Complex'!V253</f>
        <v>822.17</v>
      </c>
      <c r="F28" s="35">
        <f>'[1]Soy Complex'!BD414+'[1]Sun Complex'!BD329+'[1]Canola Complex'!BD349+'[1]Cottonseed Complex'!BD320+'[7]Distillers'' Corn Oil Complex'!W114+'[7]Inedible Tallow Complex'!W113+'[7]Yellow Grease Complex'!W114+'[7]Used Cooking Oil Complex'!W114+'[7]CWG Complex'!W116+'[7]Poultry Byproduct Complex'!W253</f>
        <v>775</v>
      </c>
      <c r="G28" s="35">
        <f>'[1]Soy Complex'!BE414+'[1]Sun Complex'!BE329+'[1]Canola Complex'!BE349+'[1]Cottonseed Complex'!BE320+'[7]Distillers'' Corn Oil Complex'!X114+'[7]Inedible Tallow Complex'!X113+'[7]Yellow Grease Complex'!X114+'[7]Used Cooking Oil Complex'!X114+'[7]CWG Complex'!X116+'[7]Poultry Byproduct Complex'!X253</f>
        <v>926.26199999999994</v>
      </c>
      <c r="H28" s="35">
        <f>'[1]Soy Complex'!BF414+'[1]Sun Complex'!BF329+'[1]Canola Complex'!BF349+'[1]Cottonseed Complex'!BF320+'[7]Distillers'' Corn Oil Complex'!Y114+'[7]Inedible Tallow Complex'!Y113+'[7]Yellow Grease Complex'!Y114+'[7]Used Cooking Oil Complex'!Y114+'[7]CWG Complex'!Y116+'[7]Poultry Byproduct Complex'!Y253</f>
        <v>1053.8699999999999</v>
      </c>
      <c r="I28" s="35">
        <f>'[1]Soy Complex'!BG414+'[1]Sun Complex'!BG329+'[1]Canola Complex'!BG349+'[1]Cottonseed Complex'!BG320+'[7]Distillers'' Corn Oil Complex'!Z114+'[7]Inedible Tallow Complex'!Z113+'[7]Yellow Grease Complex'!Z114+'[7]Used Cooking Oil Complex'!Z114+'[7]CWG Complex'!Z116+'[7]Poultry Byproduct Complex'!Z253</f>
        <v>1216.7499999999998</v>
      </c>
      <c r="J28" s="35">
        <f>'[1]Soy Complex'!BH414+'[1]Sun Complex'!BH329+'[1]Canola Complex'!BH349+'[1]Cottonseed Complex'!BH320+'[7]Distillers'' Corn Oil Complex'!AA114+'[7]Inedible Tallow Complex'!AA113+'[7]Yellow Grease Complex'!AA114+'[7]Used Cooking Oil Complex'!AA114+'[7]CWG Complex'!AA116+'[7]Poultry Byproduct Complex'!AA253</f>
        <v>1038.6391070435968</v>
      </c>
      <c r="K28" s="35">
        <f>'[1]Soy Complex'!BI414+'[1]Sun Complex'!BI329+'[1]Canola Complex'!BI349+'[1]Cottonseed Complex'!BI320+'[7]Distillers'' Corn Oil Complex'!AB114+'[7]Inedible Tallow Complex'!AB113+'[7]Yellow Grease Complex'!AB114+'[7]Used Cooking Oil Complex'!AB114+'[7]CWG Complex'!AB116+'[7]Poultry Byproduct Complex'!AB253</f>
        <v>1158.560497949956</v>
      </c>
      <c r="L28" s="35">
        <f>'[1]Soy Complex'!BJ414+'[1]Sun Complex'!BJ329+'[1]Canola Complex'!BJ349+'[1]Cottonseed Complex'!BJ320+'[7]Distillers'' Corn Oil Complex'!AC114+'[7]Inedible Tallow Complex'!AC113+'[7]Yellow Grease Complex'!AC114+'[7]Used Cooking Oil Complex'!AC114+'[7]CWG Complex'!AC116+'[7]Poultry Byproduct Complex'!AC253</f>
        <v>918.4863500675915</v>
      </c>
      <c r="M28" s="35">
        <f>'[1]Soy Complex'!BK414+'[1]Sun Complex'!BK329+'[1]Canola Complex'!BK349+'[1]Cottonseed Complex'!BK320+'[7]Distillers'' Corn Oil Complex'!AD114+'[7]Inedible Tallow Complex'!AD113+'[7]Yellow Grease Complex'!AD114+'[7]Used Cooking Oil Complex'!AD114+'[7]CWG Complex'!AD116+'[7]Poultry Byproduct Complex'!AD253</f>
        <v>1065.0133168606976</v>
      </c>
      <c r="N28" s="35">
        <f>'[1]Soy Complex'!BL414+'[1]Sun Complex'!BL329+'[1]Canola Complex'!BL349+'[1]Cottonseed Complex'!BL320+'[7]Distillers'' Corn Oil Complex'!AE114+'[7]Inedible Tallow Complex'!AE113+'[7]Yellow Grease Complex'!AE114+'[7]Used Cooking Oil Complex'!AE114+'[7]CWG Complex'!AE116+'[7]Poultry Byproduct Complex'!AE253</f>
        <v>1121.5487375449395</v>
      </c>
      <c r="O28" s="35">
        <f>'[1]Soy Complex'!BM414+'[1]Sun Complex'!BM329+'[1]Canola Complex'!BM349+'[1]Cottonseed Complex'!BM320+'[7]Distillers'' Corn Oil Complex'!AF114+'[7]Inedible Tallow Complex'!AF113+'[7]Yellow Grease Complex'!AF114+'[7]Used Cooking Oil Complex'!AF114+'[7]CWG Complex'!AF116+'[7]Poultry Byproduct Complex'!AF253</f>
        <v>1085.0253535235843</v>
      </c>
      <c r="P28" s="35">
        <f>'[1]Soy Complex'!BN414+'[1]Sun Complex'!BN329+'[1]Canola Complex'!BN349+'[1]Cottonseed Complex'!BN320+'[7]Distillers'' Corn Oil Complex'!AG114+'[7]Inedible Tallow Complex'!AG113+'[7]Yellow Grease Complex'!AG114+'[7]Used Cooking Oil Complex'!AG114+'[7]CWG Complex'!AG116+'[7]Poultry Byproduct Complex'!AG253</f>
        <v>1024.4583283980066</v>
      </c>
      <c r="Q28" s="35">
        <f>'[1]Soy Complex'!BO414+'[1]Sun Complex'!BO329+'[1]Canola Complex'!BO349+'[1]Cottonseed Complex'!BO320+'[7]Distillers'' Corn Oil Complex'!AH114+'[7]Inedible Tallow Complex'!AH113+'[7]Yellow Grease Complex'!AH114+'[7]Used Cooking Oil Complex'!AH114+'[7]CWG Complex'!AH116+'[7]Poultry Byproduct Complex'!AH253</f>
        <v>922.32527956504748</v>
      </c>
      <c r="R28" s="35">
        <f>'[1]Soy Complex'!BP414+'[1]Sun Complex'!BP329+'[1]Canola Complex'!BP349+'[1]Cottonseed Complex'!BP320+'[7]Distillers'' Corn Oil Complex'!AI114+'[7]Inedible Tallow Complex'!AI113+'[7]Yellow Grease Complex'!AI114+'[7]Used Cooking Oil Complex'!AI114+'[7]CWG Complex'!AI116+'[7]Poultry Byproduct Complex'!AI253</f>
        <v>957.11423755466569</v>
      </c>
      <c r="S28" s="35">
        <f>'[1]Soy Complex'!BQ414+'[1]Sun Complex'!BQ329+'[1]Canola Complex'!BQ349+'[1]Cottonseed Complex'!BQ320+'[7]Distillers'' Corn Oil Complex'!AJ114+'[7]Inedible Tallow Complex'!AJ113+'[7]Yellow Grease Complex'!AJ114+'[7]Used Cooking Oil Complex'!AJ114+'[7]CWG Complex'!AJ116+'[7]Poultry Byproduct Complex'!AJ253</f>
        <v>761.17227734953531</v>
      </c>
      <c r="T28" s="35">
        <f>'[1]Soy Complex'!BR414+'[1]Sun Complex'!BR329+'[1]Canola Complex'!BR349+'[1]Cottonseed Complex'!BR320+'[7]Distillers'' Corn Oil Complex'!AK114+'[7]Inedible Tallow Complex'!AK113+'[7]Yellow Grease Complex'!AK114+'[7]Used Cooking Oil Complex'!AK114+'[7]CWG Complex'!AK116+'[7]Poultry Byproduct Complex'!AK253</f>
        <v>844.44159872452792</v>
      </c>
      <c r="U28" s="35">
        <f>'[1]Soy Complex'!BS414+'[1]Sun Complex'!BS329+'[1]Canola Complex'!BS349+'[1]Cottonseed Complex'!BS320+'[7]Distillers'' Corn Oil Complex'!AL114+'[7]Inedible Tallow Complex'!AL113+'[7]Yellow Grease Complex'!AL114+'[7]Used Cooking Oil Complex'!AL114+'[7]CWG Complex'!AL116+'[7]Poultry Byproduct Complex'!AL253</f>
        <v>829.88989864958762</v>
      </c>
      <c r="V28" s="35">
        <f>'[1]Soy Complex'!BT414+'[1]Sun Complex'!BT329+'[1]Canola Complex'!BT349+'[1]Cottonseed Complex'!BT320+'[7]Distillers'' Corn Oil Complex'!AM114+'[7]Inedible Tallow Complex'!AM113+'[7]Yellow Grease Complex'!AM114+'[7]Used Cooking Oil Complex'!AM114+'[7]CWG Complex'!AM116+'[7]Poultry Byproduct Complex'!AM253</f>
        <v>815.37704464204955</v>
      </c>
      <c r="W28" s="35">
        <f>'[1]Soy Complex'!BU414+'[1]Sun Complex'!BU329+'[1]Canola Complex'!BU349+'[1]Cottonseed Complex'!BU320+'[7]Distillers'' Corn Oil Complex'!AN114+'[7]Inedible Tallow Complex'!AN113+'[7]Yellow Grease Complex'!AN114+'[7]Used Cooking Oil Complex'!AN114+'[7]CWG Complex'!AN116+'[7]Poultry Byproduct Complex'!AN253</f>
        <v>856.56142015124851</v>
      </c>
      <c r="X28" s="35">
        <f>'[1]Soy Complex'!BV414+'[1]Sun Complex'!BV329+'[1]Canola Complex'!BV349+'[1]Cottonseed Complex'!BV320+'[7]Distillers'' Corn Oil Complex'!AO114+'[7]Inedible Tallow Complex'!AO113+'[7]Yellow Grease Complex'!AO114+'[7]Used Cooking Oil Complex'!AO114+'[7]CWG Complex'!AO116+'[7]Poultry Byproduct Complex'!AO253</f>
        <v>640.07869900812921</v>
      </c>
      <c r="Y28" s="35">
        <f>'[1]Soy Complex'!BW414+'[1]Sun Complex'!BW329+'[1]Canola Complex'!BW349+'[1]Cottonseed Complex'!BW320+'[7]Distillers'' Corn Oil Complex'!AP114+'[7]Inedible Tallow Complex'!AP113+'[7]Yellow Grease Complex'!AP114+'[7]Used Cooking Oil Complex'!AP114+'[7]CWG Complex'!AP116+'[7]Poultry Byproduct Complex'!AP253</f>
        <v>769.53317913654064</v>
      </c>
      <c r="Z28" s="35">
        <f>'[1]Soy Complex'!BX414+'[1]Sun Complex'!BX329+'[1]Canola Complex'!BX349+'[1]Cottonseed Complex'!BX320+'[7]Distillers'' Corn Oil Complex'!AQ114+'[7]Inedible Tallow Complex'!AQ113+'[7]Yellow Grease Complex'!AQ114+'[7]Used Cooking Oil Complex'!AQ114+'[7]CWG Complex'!AQ116+'[7]Poultry Byproduct Complex'!AQ253</f>
        <v>750.58154280947815</v>
      </c>
      <c r="AA28" s="35">
        <f>'[1]Soy Complex'!BY414+'[1]Sun Complex'!BY329+'[1]Canola Complex'!BY349+'[1]Cottonseed Complex'!BY320+'[7]Distillers'' Corn Oil Complex'!AR114+'[7]Inedible Tallow Complex'!AR113+'[7]Yellow Grease Complex'!AR114+'[7]Used Cooking Oil Complex'!AR114+'[7]CWG Complex'!AR116+'[7]Poultry Byproduct Complex'!AR253</f>
        <v>639.64943064562476</v>
      </c>
      <c r="AB28" s="35">
        <f>'[1]Soy Complex'!BZ414+'[1]Sun Complex'!BZ329+'[1]Canola Complex'!BZ349+'[1]Cottonseed Complex'!BZ320+'[7]Distillers'' Corn Oil Complex'!AS114+'[7]Inedible Tallow Complex'!AS113+'[7]Yellow Grease Complex'!AS114+'[7]Used Cooking Oil Complex'!AS114+'[7]CWG Complex'!AS116+'[7]Poultry Byproduct Complex'!AS253</f>
        <v>521.97778714643005</v>
      </c>
      <c r="AC28" s="35">
        <f>'[1]Soy Complex'!CA414+'[1]Sun Complex'!CA329+'[1]Canola Complex'!CA349+'[1]Cottonseed Complex'!CA320+'[7]Distillers'' Corn Oil Complex'!AT114+'[7]Inedible Tallow Complex'!AT113+'[7]Yellow Grease Complex'!AT114+'[7]Used Cooking Oil Complex'!AT114+'[7]CWG Complex'!AT116+'[7]Poultry Byproduct Complex'!AT253</f>
        <v>512.62864401146328</v>
      </c>
      <c r="AD28" s="35">
        <f>'[1]Soy Complex'!CB414+'[1]Sun Complex'!CB329+'[1]Canola Complex'!CB349+'[1]Cottonseed Complex'!CB320+'[7]Distillers'' Corn Oil Complex'!AU114+'[7]Inedible Tallow Complex'!AU113+'[7]Yellow Grease Complex'!AU114+'[7]Used Cooking Oil Complex'!AU114+'[7]CWG Complex'!AU116+'[7]Poultry Byproduct Complex'!AU253</f>
        <v>506.34919511195289</v>
      </c>
      <c r="AE28" s="35">
        <f>'[1]Soy Complex'!CC414+'[1]Sun Complex'!CC329+'[1]Canola Complex'!CC349+'[1]Cottonseed Complex'!CC320+'[7]Distillers'' Corn Oil Complex'!AV114+'[7]Inedible Tallow Complex'!AV113+'[7]Yellow Grease Complex'!AV114+'[7]Used Cooking Oil Complex'!AV114+'[7]CWG Complex'!AV116+'[7]Poultry Byproduct Complex'!AV253</f>
        <v>322.64037733166424</v>
      </c>
      <c r="AF28" s="35">
        <f>'[1]Soy Complex'!CD414+'[1]Sun Complex'!CD329+'[1]Canola Complex'!CD349+'[1]Cottonseed Complex'!CD320+'[7]Distillers'' Corn Oil Complex'!AW114+'[7]Inedible Tallow Complex'!AW113+'[7]Yellow Grease Complex'!AW114+'[7]Used Cooking Oil Complex'!AW114+'[7]CWG Complex'!AW116+'[7]Poultry Byproduct Complex'!AW253</f>
        <v>327.89057469796353</v>
      </c>
      <c r="AL28" s="70">
        <f t="shared" si="3"/>
        <v>-0.15857142857142859</v>
      </c>
      <c r="AM28" s="70">
        <f t="shared" si="3"/>
        <v>0.44482173174872663</v>
      </c>
      <c r="AN28" s="70">
        <f t="shared" si="3"/>
        <v>-3.3877790834312638E-2</v>
      </c>
      <c r="AO28" s="70">
        <f t="shared" si="3"/>
        <v>-5.7372562851964903E-2</v>
      </c>
      <c r="AP28" s="70">
        <f t="shared" si="3"/>
        <v>0.1951767741935484</v>
      </c>
      <c r="AQ28" s="70">
        <f t="shared" si="3"/>
        <v>0.13776663622171692</v>
      </c>
      <c r="AR28" s="70">
        <f t="shared" si="3"/>
        <v>0.15455416702249791</v>
      </c>
      <c r="AS28" s="70">
        <f t="shared" si="3"/>
        <v>-0.1463824885608408</v>
      </c>
      <c r="AT28" s="70">
        <f t="shared" si="3"/>
        <v>0.11546011515752164</v>
      </c>
      <c r="AU28" s="70">
        <f t="shared" si="3"/>
        <v>-0.20721761902565272</v>
      </c>
      <c r="AV28" s="70">
        <f t="shared" si="3"/>
        <v>0.15953091385878859</v>
      </c>
      <c r="AW28" s="71">
        <f t="shared" si="3"/>
        <v>5.3084238280596718E-2</v>
      </c>
    </row>
    <row r="29" spans="1:49" x14ac:dyDescent="0.2">
      <c r="A29" s="61" t="s">
        <v>15</v>
      </c>
      <c r="B29" s="35">
        <f>'[1]Soy Complex'!BA403+'[1]Sun Complex'!BA318+'[1]Canola Complex'!BA338+'[1]Cottonseed Complex'!BA309+'[7]Distillers'' Corn Oil Complex'!T103+'[7]Inedible Tallow Complex'!T102+'[7]Yellow Grease Complex'!T103+'[7]Used Cooking Oil Complex'!T103+'[7]CWG Complex'!T105+'[7]Poultry Byproduct Complex'!T242</f>
        <v>767</v>
      </c>
      <c r="C29" s="35">
        <f>'[1]Soy Complex'!BB403+'[1]Sun Complex'!BB318+'[1]Canola Complex'!BB338+'[1]Cottonseed Complex'!BB309+'[7]Distillers'' Corn Oil Complex'!U103+'[7]Inedible Tallow Complex'!U102+'[7]Yellow Grease Complex'!U103+'[7]Used Cooking Oil Complex'!U103+'[7]CWG Complex'!U105+'[7]Poultry Byproduct Complex'!U242</f>
        <v>541</v>
      </c>
      <c r="D29" s="35">
        <f>'[1]Soy Complex'!BC403+'[1]Sun Complex'!BC318+'[1]Canola Complex'!BC338+'[1]Cottonseed Complex'!BC309+'[7]Distillers'' Corn Oil Complex'!V103+'[7]Inedible Tallow Complex'!V102+'[7]Yellow Grease Complex'!V103+'[7]Used Cooking Oil Complex'!V103+'[7]CWG Complex'!V105+'[7]Poultry Byproduct Complex'!V242</f>
        <v>915</v>
      </c>
      <c r="E29" s="35">
        <f>'[1]Soy Complex'!BD403+'[1]Sun Complex'!BD318+'[1]Canola Complex'!BD338+'[1]Cottonseed Complex'!BD309+'[7]Distillers'' Corn Oil Complex'!W103+'[7]Inedible Tallow Complex'!W102+'[7]Yellow Grease Complex'!W103+'[7]Used Cooking Oil Complex'!W103+'[7]CWG Complex'!W105+'[7]Poultry Byproduct Complex'!W242</f>
        <v>848.6400000000001</v>
      </c>
      <c r="F29" s="35">
        <f>'[1]Soy Complex'!BE403+'[1]Sun Complex'!BE318+'[1]Canola Complex'!BE338+'[1]Cottonseed Complex'!BE309+'[7]Distillers'' Corn Oil Complex'!X103+'[7]Inedible Tallow Complex'!X102+'[7]Yellow Grease Complex'!X103+'[7]Used Cooking Oil Complex'!X103+'[7]CWG Complex'!X105+'[7]Poultry Byproduct Complex'!X242</f>
        <v>791</v>
      </c>
      <c r="G29" s="35">
        <f>'[1]Soy Complex'!BF403+'[1]Sun Complex'!BF318+'[1]Canola Complex'!BF338+'[1]Cottonseed Complex'!BF309+'[7]Distillers'' Corn Oil Complex'!Y103+'[7]Inedible Tallow Complex'!Y102+'[7]Yellow Grease Complex'!Y103+'[7]Used Cooking Oil Complex'!Y103+'[7]CWG Complex'!Y105+'[7]Poultry Byproduct Complex'!Y242</f>
        <v>1003.8600000000001</v>
      </c>
      <c r="H29" s="35">
        <f>'[1]Soy Complex'!BG403+'[1]Sun Complex'!BG318+'[1]Canola Complex'!BG338+'[1]Cottonseed Complex'!BG309+'[7]Distillers'' Corn Oil Complex'!Z103+'[7]Inedible Tallow Complex'!Z102+'[7]Yellow Grease Complex'!Z103+'[7]Used Cooking Oil Complex'!Z103+'[7]CWG Complex'!Z105+'[7]Poultry Byproduct Complex'!Z242</f>
        <v>1108.04</v>
      </c>
      <c r="I29" s="35">
        <f>'[1]Soy Complex'!BH403+'[1]Sun Complex'!BH318+'[1]Canola Complex'!BH338+'[1]Cottonseed Complex'!BH309+'[7]Distillers'' Corn Oil Complex'!AA103+'[7]Inedible Tallow Complex'!AA102+'[7]Yellow Grease Complex'!AA103+'[7]Used Cooking Oil Complex'!AA103+'[7]CWG Complex'!AA105+'[7]Poultry Byproduct Complex'!AA242</f>
        <v>1263.3</v>
      </c>
      <c r="J29" s="35">
        <f>'[1]Soy Complex'!BI403+'[1]Sun Complex'!BI318+'[1]Canola Complex'!BI338+'[1]Cottonseed Complex'!BI309+'[7]Distillers'' Corn Oil Complex'!AB103+'[7]Inedible Tallow Complex'!AB102+'[7]Yellow Grease Complex'!AB103+'[7]Used Cooking Oil Complex'!AB103+'[7]CWG Complex'!AB105+'[7]Poultry Byproduct Complex'!AB242</f>
        <v>1013.2173609712297</v>
      </c>
      <c r="K29" s="35">
        <f>'[1]Soy Complex'!BJ403+'[1]Sun Complex'!BJ318+'[1]Canola Complex'!BJ338+'[1]Cottonseed Complex'!BJ309+'[7]Distillers'' Corn Oil Complex'!AC103+'[7]Inedible Tallow Complex'!AC102+'[7]Yellow Grease Complex'!AC103+'[7]Used Cooking Oil Complex'!AC103+'[7]CWG Complex'!AC105+'[7]Poultry Byproduct Complex'!AC242</f>
        <v>1145.308955764865</v>
      </c>
      <c r="L29" s="35">
        <f>'[1]Soy Complex'!BK403+'[1]Sun Complex'!BK318+'[1]Canola Complex'!BK338+'[1]Cottonseed Complex'!BK309+'[7]Distillers'' Corn Oil Complex'!AD103+'[7]Inedible Tallow Complex'!AD102+'[7]Yellow Grease Complex'!AD103+'[7]Used Cooking Oil Complex'!AD103+'[7]CWG Complex'!AD105+'[7]Poultry Byproduct Complex'!AD242</f>
        <v>1085.8581059220171</v>
      </c>
      <c r="M29" s="35">
        <f>'[1]Soy Complex'!BL403+'[1]Sun Complex'!BL318+'[1]Canola Complex'!BL338+'[1]Cottonseed Complex'!BL309+'[7]Distillers'' Corn Oil Complex'!AE103+'[7]Inedible Tallow Complex'!AE102+'[7]Yellow Grease Complex'!AE103+'[7]Used Cooking Oil Complex'!AE103+'[7]CWG Complex'!AE105+'[7]Poultry Byproduct Complex'!AE242</f>
        <v>1124.4359047020866</v>
      </c>
      <c r="N29" s="35">
        <f>'[1]Soy Complex'!BM403+'[1]Sun Complex'!BM318+'[1]Canola Complex'!BM338+'[1]Cottonseed Complex'!BM309+'[7]Distillers'' Corn Oil Complex'!AF103+'[7]Inedible Tallow Complex'!AF102+'[7]Yellow Grease Complex'!AF103+'[7]Used Cooking Oil Complex'!AF103+'[7]CWG Complex'!AF105+'[7]Poultry Byproduct Complex'!AF242</f>
        <v>1107.9231496672821</v>
      </c>
      <c r="O29" s="35">
        <f>'[1]Soy Complex'!BN403+'[1]Sun Complex'!BN318+'[1]Canola Complex'!BN338+'[1]Cottonseed Complex'!BN309+'[7]Distillers'' Corn Oil Complex'!AG103+'[7]Inedible Tallow Complex'!AG102+'[7]Yellow Grease Complex'!AG103+'[7]Used Cooking Oil Complex'!AG103+'[7]CWG Complex'!AG105+'[7]Poultry Byproduct Complex'!AG242</f>
        <v>1033.7354276408425</v>
      </c>
      <c r="P29" s="35">
        <f>'[1]Soy Complex'!BO403+'[1]Sun Complex'!BO318+'[1]Canola Complex'!BO338+'[1]Cottonseed Complex'!BO309+'[7]Distillers'' Corn Oil Complex'!AH103+'[7]Inedible Tallow Complex'!AH102+'[7]Yellow Grease Complex'!AH103+'[7]Used Cooking Oil Complex'!AH103+'[7]CWG Complex'!AH105+'[7]Poultry Byproduct Complex'!AH242</f>
        <v>969.30197052392282</v>
      </c>
      <c r="Q29" s="35">
        <f>'[1]Soy Complex'!BP403+'[1]Sun Complex'!BP318+'[1]Canola Complex'!BP338+'[1]Cottonseed Complex'!BP309+'[7]Distillers'' Corn Oil Complex'!AI103+'[7]Inedible Tallow Complex'!AI102+'[7]Yellow Grease Complex'!AI103+'[7]Used Cooking Oil Complex'!AI103+'[7]CWG Complex'!AI105+'[7]Poultry Byproduct Complex'!AI242</f>
        <v>944.10697639071714</v>
      </c>
      <c r="R29" s="35">
        <f>'[1]Soy Complex'!BQ403+'[1]Sun Complex'!BQ318+'[1]Canola Complex'!BQ338+'[1]Cottonseed Complex'!BQ309+'[7]Distillers'' Corn Oil Complex'!AJ103+'[7]Inedible Tallow Complex'!AJ102+'[7]Yellow Grease Complex'!AJ103+'[7]Used Cooking Oil Complex'!AJ103+'[7]CWG Complex'!AJ105+'[7]Poultry Byproduct Complex'!AJ242</f>
        <v>952.63530685458477</v>
      </c>
      <c r="S29" s="35">
        <f>'[1]Soy Complex'!BR403+'[1]Sun Complex'!BR318+'[1]Canola Complex'!BR338+'[1]Cottonseed Complex'!BR309+'[7]Distillers'' Corn Oil Complex'!AK103+'[7]Inedible Tallow Complex'!AK102+'[7]Yellow Grease Complex'!AK103+'[7]Used Cooking Oil Complex'!AK103+'[7]CWG Complex'!AK105+'[7]Poultry Byproduct Complex'!AK242</f>
        <v>718.22886622291389</v>
      </c>
      <c r="T29" s="35">
        <f>'[1]Soy Complex'!BS403+'[1]Sun Complex'!BS318+'[1]Canola Complex'!BS338+'[1]Cottonseed Complex'!BS309+'[7]Distillers'' Corn Oil Complex'!AL103+'[7]Inedible Tallow Complex'!AL102+'[7]Yellow Grease Complex'!AL103+'[7]Used Cooking Oil Complex'!AL103+'[7]CWG Complex'!AL105+'[7]Poultry Byproduct Complex'!AL242</f>
        <v>793.8096051886838</v>
      </c>
      <c r="U29" s="35">
        <f>'[1]Soy Complex'!BT403+'[1]Sun Complex'!BT318+'[1]Canola Complex'!BT338+'[1]Cottonseed Complex'!BT309+'[7]Distillers'' Corn Oil Complex'!AM103+'[7]Inedible Tallow Complex'!AM102+'[7]Yellow Grease Complex'!AM103+'[7]Used Cooking Oil Complex'!AM103+'[7]CWG Complex'!AM105+'[7]Poultry Byproduct Complex'!AM242</f>
        <v>799.7151205377902</v>
      </c>
      <c r="V29" s="35">
        <f>'[1]Soy Complex'!BU403+'[1]Sun Complex'!BU318+'[1]Canola Complex'!BU338+'[1]Cottonseed Complex'!BU309+'[7]Distillers'' Corn Oil Complex'!AN103+'[7]Inedible Tallow Complex'!AN102+'[7]Yellow Grease Complex'!AN103+'[7]Used Cooking Oil Complex'!AN103+'[7]CWG Complex'!AN105+'[7]Poultry Byproduct Complex'!AN242</f>
        <v>791.45489864451326</v>
      </c>
      <c r="W29" s="35">
        <f>'[1]Soy Complex'!BV403+'[1]Sun Complex'!BV318+'[1]Canola Complex'!BV338+'[1]Cottonseed Complex'!BV309+'[7]Distillers'' Corn Oil Complex'!AO103+'[7]Inedible Tallow Complex'!AO102+'[7]Yellow Grease Complex'!AO103+'[7]Used Cooking Oil Complex'!AO103+'[7]CWG Complex'!AO105+'[7]Poultry Byproduct Complex'!AO242</f>
        <v>829.77258574512393</v>
      </c>
      <c r="X29" s="35">
        <f>'[1]Soy Complex'!BW403+'[1]Sun Complex'!BW318+'[1]Canola Complex'!BW338+'[1]Cottonseed Complex'!BW309+'[7]Distillers'' Corn Oil Complex'!AP103+'[7]Inedible Tallow Complex'!AP102+'[7]Yellow Grease Complex'!AP103+'[7]Used Cooking Oil Complex'!AP103+'[7]CWG Complex'!AP105+'[7]Poultry Byproduct Complex'!AP242</f>
        <v>768.77297009300071</v>
      </c>
      <c r="Y29" s="35">
        <f>'[1]Soy Complex'!BX403+'[1]Sun Complex'!BX318+'[1]Canola Complex'!BX338+'[1]Cottonseed Complex'!BX309+'[7]Distillers'' Corn Oil Complex'!AQ103+'[7]Inedible Tallow Complex'!AQ102+'[7]Yellow Grease Complex'!AQ103+'[7]Used Cooking Oil Complex'!AQ103+'[7]CWG Complex'!AQ105+'[7]Poultry Byproduct Complex'!AQ242</f>
        <v>762.42396688432757</v>
      </c>
      <c r="Z29" s="35">
        <f>'[1]Soy Complex'!BY403+'[1]Sun Complex'!BY318+'[1]Canola Complex'!BY338+'[1]Cottonseed Complex'!BY309+'[7]Distillers'' Corn Oil Complex'!AR103+'[7]Inedible Tallow Complex'!AR102+'[7]Yellow Grease Complex'!AR103+'[7]Used Cooking Oil Complex'!AR103+'[7]CWG Complex'!AR105+'[7]Poultry Byproduct Complex'!AR242</f>
        <v>751.38344309289835</v>
      </c>
      <c r="AA29" s="35">
        <f>'[1]Soy Complex'!BZ403+'[1]Sun Complex'!BZ318+'[1]Canola Complex'!BZ338+'[1]Cottonseed Complex'!BZ309+'[7]Distillers'' Corn Oil Complex'!AS103+'[7]Inedible Tallow Complex'!AS102+'[7]Yellow Grease Complex'!AS103+'[7]Used Cooking Oil Complex'!AS103+'[7]CWG Complex'!AS105+'[7]Poultry Byproduct Complex'!AS242</f>
        <v>633.57591521411098</v>
      </c>
      <c r="AB29" s="35">
        <f>'[1]Soy Complex'!CA403+'[1]Sun Complex'!CA318+'[1]Canola Complex'!CA338+'[1]Cottonseed Complex'!CA309+'[7]Distillers'' Corn Oil Complex'!AT103+'[7]Inedible Tallow Complex'!AT102+'[7]Yellow Grease Complex'!AT103+'[7]Used Cooking Oil Complex'!AT103+'[7]CWG Complex'!AT105+'[7]Poultry Byproduct Complex'!AT242</f>
        <v>514.5037293146097</v>
      </c>
      <c r="AC29" s="35">
        <f>'[1]Soy Complex'!CB403+'[1]Sun Complex'!CB318+'[1]Canola Complex'!CB338+'[1]Cottonseed Complex'!CB309+'[7]Distillers'' Corn Oil Complex'!AU103+'[7]Inedible Tallow Complex'!AU102+'[7]Yellow Grease Complex'!AU103+'[7]Used Cooking Oil Complex'!AU103+'[7]CWG Complex'!AU105+'[7]Poultry Byproduct Complex'!AU242</f>
        <v>506.26196789046867</v>
      </c>
      <c r="AD29" s="35">
        <f>'[1]Soy Complex'!CC403+'[1]Sun Complex'!CC318+'[1]Canola Complex'!CC338+'[1]Cottonseed Complex'!CC309+'[7]Distillers'' Corn Oil Complex'!AV103+'[7]Inedible Tallow Complex'!AV102+'[7]Yellow Grease Complex'!AV103+'[7]Used Cooking Oil Complex'!AV103+'[7]CWG Complex'!AV105+'[7]Poultry Byproduct Complex'!AV242</f>
        <v>445.38198663936606</v>
      </c>
      <c r="AE29" s="35">
        <f>'[1]Soy Complex'!CD403+'[1]Sun Complex'!CD318+'[1]Canola Complex'!CD338+'[1]Cottonseed Complex'!CD309+'[7]Distillers'' Corn Oil Complex'!AW103+'[7]Inedible Tallow Complex'!AW102+'[7]Yellow Grease Complex'!AW103+'[7]Used Cooking Oil Complex'!AW103+'[7]CWG Complex'!AW105+'[7]Poultry Byproduct Complex'!AW242</f>
        <v>392.48674520241428</v>
      </c>
      <c r="AF29" s="35">
        <f>'[1]Soy Complex'!CE403+'[1]Sun Complex'!CE318+'[1]Canola Complex'!CE338+'[1]Cottonseed Complex'!CE309+'[7]Distillers'' Corn Oil Complex'!AX103+'[7]Inedible Tallow Complex'!AX102+'[7]Yellow Grease Complex'!AX103+'[7]Used Cooking Oil Complex'!AX103+'[7]CWG Complex'!AX105+'[7]Poultry Byproduct Complex'!AX242</f>
        <v>427.05020144428136</v>
      </c>
      <c r="AL29" s="70">
        <f t="shared" si="3"/>
        <v>-0.29465449804432853</v>
      </c>
      <c r="AM29" s="70">
        <f t="shared" si="3"/>
        <v>0.69131238447319787</v>
      </c>
      <c r="AN29" s="70">
        <f t="shared" si="3"/>
        <v>-7.252459016393431E-2</v>
      </c>
      <c r="AO29" s="70">
        <f t="shared" si="3"/>
        <v>-6.7920437405731615E-2</v>
      </c>
      <c r="AP29" s="70">
        <f t="shared" si="3"/>
        <v>0.26910240202275615</v>
      </c>
      <c r="AQ29" s="70">
        <f t="shared" si="3"/>
        <v>0.10377941147171899</v>
      </c>
      <c r="AR29" s="70">
        <f t="shared" si="3"/>
        <v>0.14012129526009898</v>
      </c>
      <c r="AS29" s="70">
        <f t="shared" si="3"/>
        <v>-0.19795981875150026</v>
      </c>
      <c r="AT29" s="70">
        <f t="shared" si="3"/>
        <v>0.13036846769682042</v>
      </c>
      <c r="AU29" s="70">
        <f t="shared" si="3"/>
        <v>-5.1908133210348595E-2</v>
      </c>
      <c r="AV29" s="70">
        <f t="shared" si="3"/>
        <v>3.5527476904832378E-2</v>
      </c>
      <c r="AW29" s="71">
        <f t="shared" si="3"/>
        <v>-1.4685367983851005E-2</v>
      </c>
    </row>
    <row r="30" spans="1:49" x14ac:dyDescent="0.2">
      <c r="A30" s="61" t="s">
        <v>16</v>
      </c>
      <c r="B30" s="35">
        <f>'[1]Soy Complex'!BA404+'[1]Sun Complex'!BA319+'[1]Canola Complex'!BA339+'[1]Cottonseed Complex'!BA310+'[7]Distillers'' Corn Oil Complex'!T104+'[7]Inedible Tallow Complex'!T103+'[7]Yellow Grease Complex'!T104+'[7]Used Cooking Oil Complex'!T104+'[7]CWG Complex'!T106+'[7]Poultry Byproduct Complex'!T243</f>
        <v>767</v>
      </c>
      <c r="C30" s="35">
        <f>'[1]Soy Complex'!BB404+'[1]Sun Complex'!BB319+'[1]Canola Complex'!BB339+'[1]Cottonseed Complex'!BB310+'[7]Distillers'' Corn Oil Complex'!U104+'[7]Inedible Tallow Complex'!U103+'[7]Yellow Grease Complex'!U104+'[7]Used Cooking Oil Complex'!U104+'[7]CWG Complex'!U106+'[7]Poultry Byproduct Complex'!U243</f>
        <v>409</v>
      </c>
      <c r="D30" s="35">
        <f>'[1]Soy Complex'!BC404+'[1]Sun Complex'!BC319+'[1]Canola Complex'!BC339+'[1]Cottonseed Complex'!BC310+'[7]Distillers'' Corn Oil Complex'!V104+'[7]Inedible Tallow Complex'!V103+'[7]Yellow Grease Complex'!V104+'[7]Used Cooking Oil Complex'!V104+'[7]CWG Complex'!V106+'[7]Poultry Byproduct Complex'!V243</f>
        <v>861</v>
      </c>
      <c r="E30" s="35">
        <f>'[1]Soy Complex'!BD404+'[1]Sun Complex'!BD319+'[1]Canola Complex'!BD339+'[1]Cottonseed Complex'!BD310+'[7]Distillers'' Corn Oil Complex'!W104+'[7]Inedible Tallow Complex'!W103+'[7]Yellow Grease Complex'!W104+'[7]Used Cooking Oil Complex'!W104+'[7]CWG Complex'!W106+'[7]Poultry Byproduct Complex'!W243</f>
        <v>776.59999999999991</v>
      </c>
      <c r="F30" s="35">
        <f>'[1]Soy Complex'!BE404+'[1]Sun Complex'!BE319+'[1]Canola Complex'!BE339+'[1]Cottonseed Complex'!BE310+'[7]Distillers'' Corn Oil Complex'!X104+'[7]Inedible Tallow Complex'!X103+'[7]Yellow Grease Complex'!X104+'[7]Used Cooking Oil Complex'!X104+'[7]CWG Complex'!X106+'[7]Poultry Byproduct Complex'!X243</f>
        <v>742.8</v>
      </c>
      <c r="G30" s="35">
        <f>'[1]Soy Complex'!BF404+'[1]Sun Complex'!BF319+'[1]Canola Complex'!BF339+'[1]Cottonseed Complex'!BF310+'[7]Distillers'' Corn Oil Complex'!Y104+'[7]Inedible Tallow Complex'!Y103+'[7]Yellow Grease Complex'!Y104+'[7]Used Cooking Oil Complex'!Y104+'[7]CWG Complex'!Y106+'[7]Poultry Byproduct Complex'!Y243</f>
        <v>1045.67</v>
      </c>
      <c r="H30" s="35">
        <f>'[1]Soy Complex'!BG404+'[1]Sun Complex'!BG319+'[1]Canola Complex'!BG339+'[1]Cottonseed Complex'!BG310+'[7]Distillers'' Corn Oil Complex'!Z104+'[7]Inedible Tallow Complex'!Z103+'[7]Yellow Grease Complex'!Z104+'[7]Used Cooking Oil Complex'!Z104+'[7]CWG Complex'!Z106+'[7]Poultry Byproduct Complex'!Z243</f>
        <v>1125.4799999999998</v>
      </c>
      <c r="I30" s="35">
        <f>'[1]Soy Complex'!BH404+'[1]Sun Complex'!BH319+'[1]Canola Complex'!BH339+'[1]Cottonseed Complex'!BH310+'[7]Distillers'' Corn Oil Complex'!AA104+'[7]Inedible Tallow Complex'!AA103+'[7]Yellow Grease Complex'!AA104+'[7]Used Cooking Oil Complex'!AA104+'[7]CWG Complex'!AA106+'[7]Poultry Byproduct Complex'!AA243</f>
        <v>1195.9200976562499</v>
      </c>
      <c r="J30" s="35">
        <f>'[1]Soy Complex'!BI404+'[1]Sun Complex'!BI319+'[1]Canola Complex'!BI339+'[1]Cottonseed Complex'!BI310+'[7]Distillers'' Corn Oil Complex'!AB104+'[7]Inedible Tallow Complex'!AB103+'[7]Yellow Grease Complex'!AB104+'[7]Used Cooking Oil Complex'!AB104+'[7]CWG Complex'!AB106+'[7]Poultry Byproduct Complex'!AB243</f>
        <v>957.00218139621131</v>
      </c>
      <c r="K30" s="35">
        <f>'[1]Soy Complex'!BJ404+'[1]Sun Complex'!BJ319+'[1]Canola Complex'!BJ339+'[1]Cottonseed Complex'!BJ310+'[7]Distillers'' Corn Oil Complex'!AC104+'[7]Inedible Tallow Complex'!AC103+'[7]Yellow Grease Complex'!AC104+'[7]Used Cooking Oil Complex'!AC104+'[7]CWG Complex'!AC106+'[7]Poultry Byproduct Complex'!AC243</f>
        <v>1115.2072449685895</v>
      </c>
      <c r="L30" s="35">
        <f>'[1]Soy Complex'!BK404+'[1]Sun Complex'!BK319+'[1]Canola Complex'!BK339+'[1]Cottonseed Complex'!BK310+'[7]Distillers'' Corn Oil Complex'!AD104+'[7]Inedible Tallow Complex'!AD103+'[7]Yellow Grease Complex'!AD104+'[7]Used Cooking Oil Complex'!AD104+'[7]CWG Complex'!AD106+'[7]Poultry Byproduct Complex'!AD243</f>
        <v>968.87388585714336</v>
      </c>
      <c r="M30" s="35">
        <f>'[1]Soy Complex'!BL404+'[1]Sun Complex'!BL319+'[1]Canola Complex'!BL339+'[1]Cottonseed Complex'!BL310+'[7]Distillers'' Corn Oil Complex'!AE104+'[7]Inedible Tallow Complex'!AE103+'[7]Yellow Grease Complex'!AE104+'[7]Used Cooking Oil Complex'!AE104+'[7]CWG Complex'!AE106+'[7]Poultry Byproduct Complex'!AE243</f>
        <v>1049.9717317815528</v>
      </c>
      <c r="N30" s="35">
        <f>'[1]Soy Complex'!BM404+'[1]Sun Complex'!BM319+'[1]Canola Complex'!BM339+'[1]Cottonseed Complex'!BM310+'[7]Distillers'' Corn Oil Complex'!AF104+'[7]Inedible Tallow Complex'!AF103+'[7]Yellow Grease Complex'!AF104+'[7]Used Cooking Oil Complex'!AF104+'[7]CWG Complex'!AF106+'[7]Poultry Byproduct Complex'!AF243</f>
        <v>1052.5028088213965</v>
      </c>
      <c r="O30" s="35">
        <f>'[1]Soy Complex'!BN404+'[1]Sun Complex'!BN319+'[1]Canola Complex'!BN339+'[1]Cottonseed Complex'!BN310+'[7]Distillers'' Corn Oil Complex'!AG104+'[7]Inedible Tallow Complex'!AG103+'[7]Yellow Grease Complex'!AG104+'[7]Used Cooking Oil Complex'!AG104+'[7]CWG Complex'!AG106+'[7]Poultry Byproduct Complex'!AG243</f>
        <v>988.43407609539281</v>
      </c>
      <c r="P30" s="35">
        <f>'[1]Soy Complex'!BO404+'[1]Sun Complex'!BO319+'[1]Canola Complex'!BO339+'[1]Cottonseed Complex'!BO310+'[7]Distillers'' Corn Oil Complex'!AH104+'[7]Inedible Tallow Complex'!AH103+'[7]Yellow Grease Complex'!AH104+'[7]Used Cooking Oil Complex'!AH104+'[7]CWG Complex'!AH106+'[7]Poultry Byproduct Complex'!AH243</f>
        <v>956.6497761269211</v>
      </c>
      <c r="Q30" s="35">
        <f>'[1]Soy Complex'!BP404+'[1]Sun Complex'!BP319+'[1]Canola Complex'!BP339+'[1]Cottonseed Complex'!BP310+'[7]Distillers'' Corn Oil Complex'!AI104+'[7]Inedible Tallow Complex'!AI103+'[7]Yellow Grease Complex'!AI104+'[7]Used Cooking Oil Complex'!AI104+'[7]CWG Complex'!AI106+'[7]Poultry Byproduct Complex'!AI243</f>
        <v>890.7701870689616</v>
      </c>
      <c r="R30" s="35">
        <f>'[1]Soy Complex'!BQ404+'[1]Sun Complex'!BQ319+'[1]Canola Complex'!BQ339+'[1]Cottonseed Complex'!BQ310+'[7]Distillers'' Corn Oil Complex'!AJ104+'[7]Inedible Tallow Complex'!AJ103+'[7]Yellow Grease Complex'!AJ104+'[7]Used Cooking Oil Complex'!AJ104+'[7]CWG Complex'!AJ106+'[7]Poultry Byproduct Complex'!AJ243</f>
        <v>908.52420333341968</v>
      </c>
      <c r="S30" s="35">
        <f>'[1]Soy Complex'!BR404+'[1]Sun Complex'!BR319+'[1]Canola Complex'!BR339+'[1]Cottonseed Complex'!BR310+'[7]Distillers'' Corn Oil Complex'!AK104+'[7]Inedible Tallow Complex'!AK103+'[7]Yellow Grease Complex'!AK104+'[7]Used Cooking Oil Complex'!AK104+'[7]CWG Complex'!AK106+'[7]Poultry Byproduct Complex'!AK243</f>
        <v>685.19380226924591</v>
      </c>
      <c r="T30" s="35">
        <f>'[1]Soy Complex'!BS404+'[1]Sun Complex'!BS319+'[1]Canola Complex'!BS339+'[1]Cottonseed Complex'!BS310+'[7]Distillers'' Corn Oil Complex'!AL104+'[7]Inedible Tallow Complex'!AL103+'[7]Yellow Grease Complex'!AL104+'[7]Used Cooking Oil Complex'!AL104+'[7]CWG Complex'!AL106+'[7]Poultry Byproduct Complex'!AL243</f>
        <v>757.24701973261335</v>
      </c>
      <c r="U30" s="35">
        <f>'[1]Soy Complex'!BT404+'[1]Sun Complex'!BT319+'[1]Canola Complex'!BT339+'[1]Cottonseed Complex'!BT310+'[7]Distillers'' Corn Oil Complex'!AM104+'[7]Inedible Tallow Complex'!AM103+'[7]Yellow Grease Complex'!AM104+'[7]Used Cooking Oil Complex'!AM104+'[7]CWG Complex'!AM106+'[7]Poultry Byproduct Complex'!AM243</f>
        <v>764.39302631396254</v>
      </c>
      <c r="V30" s="35">
        <f>'[1]Soy Complex'!BU404+'[1]Sun Complex'!BU319+'[1]Canola Complex'!BU339+'[1]Cottonseed Complex'!BU310+'[7]Distillers'' Corn Oil Complex'!AN104+'[7]Inedible Tallow Complex'!AN103+'[7]Yellow Grease Complex'!AN104+'[7]Used Cooking Oil Complex'!AN104+'[7]CWG Complex'!AN106+'[7]Poultry Byproduct Complex'!AN243</f>
        <v>751.79960446452662</v>
      </c>
      <c r="W30" s="35">
        <f>'[1]Soy Complex'!BV404+'[1]Sun Complex'!BV319+'[1]Canola Complex'!BV339+'[1]Cottonseed Complex'!BV310+'[7]Distillers'' Corn Oil Complex'!AO104+'[7]Inedible Tallow Complex'!AO103+'[7]Yellow Grease Complex'!AO104+'[7]Used Cooking Oil Complex'!AO104+'[7]CWG Complex'!AO106+'[7]Poultry Byproduct Complex'!AO243</f>
        <v>790.28775890860959</v>
      </c>
      <c r="X30" s="35">
        <f>'[1]Soy Complex'!BW404+'[1]Sun Complex'!BW319+'[1]Canola Complex'!BW339+'[1]Cottonseed Complex'!BW310+'[7]Distillers'' Corn Oil Complex'!AP104+'[7]Inedible Tallow Complex'!AP103+'[7]Yellow Grease Complex'!AP104+'[7]Used Cooking Oil Complex'!AP104+'[7]CWG Complex'!AP106+'[7]Poultry Byproduct Complex'!AP243</f>
        <v>732.7557006406455</v>
      </c>
      <c r="Y30" s="35">
        <f>'[1]Soy Complex'!BX404+'[1]Sun Complex'!BX319+'[1]Canola Complex'!BX339+'[1]Cottonseed Complex'!BX310+'[7]Distillers'' Corn Oil Complex'!AQ104+'[7]Inedible Tallow Complex'!AQ103+'[7]Yellow Grease Complex'!AQ104+'[7]Used Cooking Oil Complex'!AQ104+'[7]CWG Complex'!AQ106+'[7]Poultry Byproduct Complex'!AQ243</f>
        <v>726.55758938318604</v>
      </c>
      <c r="Z30" s="35">
        <f>'[1]Soy Complex'!BY404+'[1]Sun Complex'!BY319+'[1]Canola Complex'!BY339+'[1]Cottonseed Complex'!BY310+'[7]Distillers'' Corn Oil Complex'!AR104+'[7]Inedible Tallow Complex'!AR103+'[7]Yellow Grease Complex'!AR104+'[7]Used Cooking Oil Complex'!AR104+'[7]CWG Complex'!AR106+'[7]Poultry Byproduct Complex'!AR243</f>
        <v>719.09874247041057</v>
      </c>
      <c r="AA30" s="35">
        <f>'[1]Soy Complex'!BZ404+'[1]Sun Complex'!BZ319+'[1]Canola Complex'!BZ339+'[1]Cottonseed Complex'!BZ310+'[7]Distillers'' Corn Oil Complex'!AS104+'[7]Inedible Tallow Complex'!AS103+'[7]Yellow Grease Complex'!AS104+'[7]Used Cooking Oil Complex'!AS104+'[7]CWG Complex'!AS106+'[7]Poultry Byproduct Complex'!AS243</f>
        <v>610.71558867230203</v>
      </c>
      <c r="AB30" s="35">
        <f>'[1]Soy Complex'!CA404+'[1]Sun Complex'!CA319+'[1]Canola Complex'!CA339+'[1]Cottonseed Complex'!CA310+'[7]Distillers'' Corn Oil Complex'!AT104+'[7]Inedible Tallow Complex'!AT103+'[7]Yellow Grease Complex'!AT104+'[7]Used Cooking Oil Complex'!AT104+'[7]CWG Complex'!AT106+'[7]Poultry Byproduct Complex'!AT243</f>
        <v>498.64324836713456</v>
      </c>
      <c r="AC30" s="35">
        <f>'[1]Soy Complex'!CB404+'[1]Sun Complex'!CB319+'[1]Canola Complex'!CB339+'[1]Cottonseed Complex'!CB310+'[7]Distillers'' Corn Oil Complex'!AU104+'[7]Inedible Tallow Complex'!AU103+'[7]Yellow Grease Complex'!AU104+'[7]Used Cooking Oil Complex'!AU104+'[7]CWG Complex'!AU106+'[7]Poultry Byproduct Complex'!AU243</f>
        <v>491.40820535822252</v>
      </c>
      <c r="AD30" s="35">
        <f>'[1]Soy Complex'!CC404+'[1]Sun Complex'!CC319+'[1]Canola Complex'!CC339+'[1]Cottonseed Complex'!CC310+'[7]Distillers'' Corn Oil Complex'!AV104+'[7]Inedible Tallow Complex'!AV103+'[7]Yellow Grease Complex'!AV104+'[7]Used Cooking Oil Complex'!AV104+'[7]CWG Complex'!AV106+'[7]Poultry Byproduct Complex'!AV243</f>
        <v>433.68605578489871</v>
      </c>
      <c r="AE30" s="35">
        <f>'[1]Soy Complex'!CD404+'[1]Sun Complex'!CD319+'[1]Canola Complex'!CD339+'[1]Cottonseed Complex'!CD310+'[7]Distillers'' Corn Oil Complex'!AW104+'[7]Inedible Tallow Complex'!AW103+'[7]Yellow Grease Complex'!AW104+'[7]Used Cooking Oil Complex'!AW104+'[7]CWG Complex'!AW106+'[7]Poultry Byproduct Complex'!AW243</f>
        <v>318.96194292030452</v>
      </c>
      <c r="AF30" s="35">
        <f>'[1]Soy Complex'!CE404+'[1]Sun Complex'!CE319+'[1]Canola Complex'!CE339+'[1]Cottonseed Complex'!CE310+'[7]Distillers'' Corn Oil Complex'!AX104+'[7]Inedible Tallow Complex'!AX103+'[7]Yellow Grease Complex'!AX104+'[7]Used Cooking Oil Complex'!AX104+'[7]CWG Complex'!AX106+'[7]Poultry Byproduct Complex'!AX243</f>
        <v>357.17561446767746</v>
      </c>
      <c r="AL30" s="70">
        <f t="shared" si="3"/>
        <v>-0.46675358539765321</v>
      </c>
      <c r="AM30" s="70">
        <f t="shared" si="3"/>
        <v>1.1051344743276283</v>
      </c>
      <c r="AN30" s="70">
        <f t="shared" si="3"/>
        <v>-9.802555168408833E-2</v>
      </c>
      <c r="AO30" s="70">
        <f t="shared" si="3"/>
        <v>-4.3523049188771479E-2</v>
      </c>
      <c r="AP30" s="70">
        <f t="shared" si="3"/>
        <v>0.40774098007539061</v>
      </c>
      <c r="AQ30" s="70">
        <f t="shared" si="3"/>
        <v>7.6324270563370655E-2</v>
      </c>
      <c r="AR30" s="70">
        <f t="shared" si="3"/>
        <v>6.2586716473193693E-2</v>
      </c>
      <c r="AS30" s="70">
        <f t="shared" si="3"/>
        <v>-0.19977749076068474</v>
      </c>
      <c r="AT30" s="70">
        <f t="shared" si="3"/>
        <v>0.16531316923600547</v>
      </c>
      <c r="AU30" s="70">
        <f t="shared" si="3"/>
        <v>-0.13121629165489124</v>
      </c>
      <c r="AV30" s="70">
        <f t="shared" si="3"/>
        <v>8.3703201322908871E-2</v>
      </c>
      <c r="AW30" s="71">
        <f t="shared" si="3"/>
        <v>2.4106144605904323E-3</v>
      </c>
    </row>
    <row r="31" spans="1:49" x14ac:dyDescent="0.2">
      <c r="A31" s="61" t="s">
        <v>17</v>
      </c>
      <c r="B31" s="35">
        <f>'[1]Soy Complex'!BA405+'[1]Sun Complex'!BA320+'[1]Canola Complex'!BA340+'[1]Cottonseed Complex'!BA311+'[7]Distillers'' Corn Oil Complex'!T105+'[7]Inedible Tallow Complex'!T104+'[7]Yellow Grease Complex'!T105+'[7]Used Cooking Oil Complex'!T105+'[7]CWG Complex'!T107+'[7]Poultry Byproduct Complex'!T244</f>
        <v>796</v>
      </c>
      <c r="C31" s="35">
        <f>'[1]Soy Complex'!BB405+'[1]Sun Complex'!BB320+'[1]Canola Complex'!BB340+'[1]Cottonseed Complex'!BB311+'[7]Distillers'' Corn Oil Complex'!U105+'[7]Inedible Tallow Complex'!U104+'[7]Yellow Grease Complex'!U105+'[7]Used Cooking Oil Complex'!U105+'[7]CWG Complex'!U107+'[7]Poultry Byproduct Complex'!U244</f>
        <v>431</v>
      </c>
      <c r="D31" s="35">
        <f>'[1]Soy Complex'!BC405+'[1]Sun Complex'!BC320+'[1]Canola Complex'!BC340+'[1]Cottonseed Complex'!BC311+'[7]Distillers'' Corn Oil Complex'!V105+'[7]Inedible Tallow Complex'!V104+'[7]Yellow Grease Complex'!V105+'[7]Used Cooking Oil Complex'!V105+'[7]CWG Complex'!V107+'[7]Poultry Byproduct Complex'!V244</f>
        <v>916</v>
      </c>
      <c r="E31" s="35">
        <f>'[1]Soy Complex'!BD405+'[1]Sun Complex'!BD320+'[1]Canola Complex'!BD340+'[1]Cottonseed Complex'!BD311+'[7]Distillers'' Corn Oil Complex'!W105+'[7]Inedible Tallow Complex'!W104+'[7]Yellow Grease Complex'!W105+'[7]Used Cooking Oil Complex'!W105+'[7]CWG Complex'!W107+'[7]Poultry Byproduct Complex'!W244</f>
        <v>869.80000000000007</v>
      </c>
      <c r="F31" s="35">
        <f>'[1]Soy Complex'!BE405+'[1]Sun Complex'!BE320+'[1]Canola Complex'!BE340+'[1]Cottonseed Complex'!BE311+'[7]Distillers'' Corn Oil Complex'!X105+'[7]Inedible Tallow Complex'!X104+'[7]Yellow Grease Complex'!X105+'[7]Used Cooking Oil Complex'!X105+'[7]CWG Complex'!X107+'[7]Poultry Byproduct Complex'!X244</f>
        <v>754.6</v>
      </c>
      <c r="G31" s="35">
        <f>'[1]Soy Complex'!BF405+'[1]Sun Complex'!BF320+'[1]Canola Complex'!BF340+'[1]Cottonseed Complex'!BF311+'[7]Distillers'' Corn Oil Complex'!Y105+'[7]Inedible Tallow Complex'!Y104+'[7]Yellow Grease Complex'!Y105+'[7]Used Cooking Oil Complex'!Y105+'[7]CWG Complex'!Y107+'[7]Poultry Byproduct Complex'!Y244</f>
        <v>1029.58</v>
      </c>
      <c r="H31" s="35">
        <f>'[1]Soy Complex'!BG405+'[1]Sun Complex'!BG320+'[1]Canola Complex'!BG340+'[1]Cottonseed Complex'!BG311+'[7]Distillers'' Corn Oil Complex'!Z105+'[7]Inedible Tallow Complex'!Z104+'[7]Yellow Grease Complex'!Z105+'[7]Used Cooking Oil Complex'!Z105+'[7]CWG Complex'!Z107+'[7]Poultry Byproduct Complex'!Z244</f>
        <v>1113.1799999999998</v>
      </c>
      <c r="I31" s="35">
        <f>'[1]Soy Complex'!BH405+'[1]Sun Complex'!BH320+'[1]Canola Complex'!BH340+'[1]Cottonseed Complex'!BH311+'[7]Distillers'' Corn Oil Complex'!AA105+'[7]Inedible Tallow Complex'!AA104+'[7]Yellow Grease Complex'!AA105+'[7]Used Cooking Oil Complex'!AA105+'[7]CWG Complex'!AA107+'[7]Poultry Byproduct Complex'!AA244</f>
        <v>1254.0901464843751</v>
      </c>
      <c r="J31" s="35">
        <f>'[1]Soy Complex'!BI405+'[1]Sun Complex'!BI320+'[1]Canola Complex'!BI340+'[1]Cottonseed Complex'!BI311+'[7]Distillers'' Corn Oil Complex'!AB105+'[7]Inedible Tallow Complex'!AB104+'[7]Yellow Grease Complex'!AB105+'[7]Used Cooking Oil Complex'!AB105+'[7]CWG Complex'!AB107+'[7]Poultry Byproduct Complex'!AB244</f>
        <v>990.29795649039795</v>
      </c>
      <c r="K31" s="35">
        <f>'[1]Soy Complex'!BJ405+'[1]Sun Complex'!BJ320+'[1]Canola Complex'!BJ340+'[1]Cottonseed Complex'!BJ311+'[7]Distillers'' Corn Oil Complex'!AC105+'[7]Inedible Tallow Complex'!AC104+'[7]Yellow Grease Complex'!AC105+'[7]Used Cooking Oil Complex'!AC105+'[7]CWG Complex'!AC107+'[7]Poultry Byproduct Complex'!AC244</f>
        <v>1154.6347534887</v>
      </c>
      <c r="L31" s="35">
        <f>'[1]Soy Complex'!BK405+'[1]Sun Complex'!BK320+'[1]Canola Complex'!BK340+'[1]Cottonseed Complex'!BK311+'[7]Distillers'' Corn Oil Complex'!AD105+'[7]Inedible Tallow Complex'!AD104+'[7]Yellow Grease Complex'!AD105+'[7]Used Cooking Oil Complex'!AD105+'[7]CWG Complex'!AD107+'[7]Poultry Byproduct Complex'!AD244</f>
        <v>1127.3698271871315</v>
      </c>
      <c r="M31" s="35">
        <f>'[1]Soy Complex'!BL405+'[1]Sun Complex'!BL320+'[1]Canola Complex'!BL340+'[1]Cottonseed Complex'!BL311+'[7]Distillers'' Corn Oil Complex'!AE105+'[7]Inedible Tallow Complex'!AE104+'[7]Yellow Grease Complex'!AE105+'[7]Used Cooking Oil Complex'!AE105+'[7]CWG Complex'!AE107+'[7]Poultry Byproduct Complex'!AE244</f>
        <v>1030.8245384403133</v>
      </c>
      <c r="N31" s="35">
        <f>'[1]Soy Complex'!BM405+'[1]Sun Complex'!BM320+'[1]Canola Complex'!BM340+'[1]Cottonseed Complex'!BM311+'[7]Distillers'' Corn Oil Complex'!AF105+'[7]Inedible Tallow Complex'!AF104+'[7]Yellow Grease Complex'!AF105+'[7]Used Cooking Oil Complex'!AF105+'[7]CWG Complex'!AF107+'[7]Poultry Byproduct Complex'!AF244</f>
        <v>1014.009218091965</v>
      </c>
      <c r="O31" s="35">
        <f>'[1]Soy Complex'!BN405+'[1]Sun Complex'!BN320+'[1]Canola Complex'!BN340+'[1]Cottonseed Complex'!BN311+'[7]Distillers'' Corn Oil Complex'!AG105+'[7]Inedible Tallow Complex'!AG104+'[7]Yellow Grease Complex'!AG105+'[7]Used Cooking Oil Complex'!AG105+'[7]CWG Complex'!AG107+'[7]Poultry Byproduct Complex'!AG244</f>
        <v>982.92685917708218</v>
      </c>
      <c r="P31" s="35">
        <f>'[1]Soy Complex'!BO405+'[1]Sun Complex'!BO320+'[1]Canola Complex'!BO340+'[1]Cottonseed Complex'!BO311+'[7]Distillers'' Corn Oil Complex'!AH105+'[7]Inedible Tallow Complex'!AH104+'[7]Yellow Grease Complex'!AH105+'[7]Used Cooking Oil Complex'!AH105+'[7]CWG Complex'!AH107+'[7]Poultry Byproduct Complex'!AH244</f>
        <v>1837.1892050768404</v>
      </c>
      <c r="Q31" s="35">
        <f>'[1]Soy Complex'!BP405+'[1]Sun Complex'!BP320+'[1]Canola Complex'!BP340+'[1]Cottonseed Complex'!BP311+'[7]Distillers'' Corn Oil Complex'!AI105+'[7]Inedible Tallow Complex'!AI104+'[7]Yellow Grease Complex'!AI105+'[7]Used Cooking Oil Complex'!AI105+'[7]CWG Complex'!AI107+'[7]Poultry Byproduct Complex'!AI244</f>
        <v>946.25588047275903</v>
      </c>
      <c r="R31" s="35">
        <f>'[1]Soy Complex'!BQ405+'[1]Sun Complex'!BQ320+'[1]Canola Complex'!BQ340+'[1]Cottonseed Complex'!BQ311+'[7]Distillers'' Corn Oil Complex'!AJ105+'[7]Inedible Tallow Complex'!AJ104+'[7]Yellow Grease Complex'!AJ105+'[7]Used Cooking Oil Complex'!AJ105+'[7]CWG Complex'!AJ107+'[7]Poultry Byproduct Complex'!AJ244</f>
        <v>1077.0046779802724</v>
      </c>
      <c r="S31" s="35">
        <f>'[1]Soy Complex'!BR405+'[1]Sun Complex'!BR320+'[1]Canola Complex'!BR340+'[1]Cottonseed Complex'!BR311+'[7]Distillers'' Corn Oil Complex'!AK105+'[7]Inedible Tallow Complex'!AK104+'[7]Yellow Grease Complex'!AK105+'[7]Used Cooking Oil Complex'!AK105+'[7]CWG Complex'!AK107+'[7]Poultry Byproduct Complex'!AK244</f>
        <v>841.56109091044232</v>
      </c>
      <c r="T31" s="35">
        <f>'[1]Soy Complex'!BS405+'[1]Sun Complex'!BS320+'[1]Canola Complex'!BS340+'[1]Cottonseed Complex'!BS311+'[7]Distillers'' Corn Oil Complex'!AL105+'[7]Inedible Tallow Complex'!AL104+'[7]Yellow Grease Complex'!AL105+'[7]Used Cooking Oil Complex'!AL105+'[7]CWG Complex'!AL107+'[7]Poultry Byproduct Complex'!AL244</f>
        <v>976.79866845035826</v>
      </c>
      <c r="U31" s="35">
        <f>'[1]Soy Complex'!BT405+'[1]Sun Complex'!BT320+'[1]Canola Complex'!BT340+'[1]Cottonseed Complex'!BT311+'[7]Distillers'' Corn Oil Complex'!AM105+'[7]Inedible Tallow Complex'!AM104+'[7]Yellow Grease Complex'!AM105+'[7]Used Cooking Oil Complex'!AM105+'[7]CWG Complex'!AM107+'[7]Poultry Byproduct Complex'!AM244</f>
        <v>1034.6996327107129</v>
      </c>
      <c r="V31" s="35">
        <f>'[1]Soy Complex'!BU405+'[1]Sun Complex'!BU320+'[1]Canola Complex'!BU340+'[1]Cottonseed Complex'!BU311+'[7]Distillers'' Corn Oil Complex'!AN105+'[7]Inedible Tallow Complex'!AN104+'[7]Yellow Grease Complex'!AN105+'[7]Used Cooking Oil Complex'!AN105+'[7]CWG Complex'!AN107+'[7]Poultry Byproduct Complex'!AN244</f>
        <v>920.95265507523493</v>
      </c>
      <c r="W31" s="35">
        <f>'[1]Soy Complex'!BV405+'[1]Sun Complex'!BV320+'[1]Canola Complex'!BV340+'[1]Cottonseed Complex'!BV311+'[7]Distillers'' Corn Oil Complex'!AO105+'[7]Inedible Tallow Complex'!AO104+'[7]Yellow Grease Complex'!AO105+'[7]Used Cooking Oil Complex'!AO105+'[7]CWG Complex'!AO107+'[7]Poultry Byproduct Complex'!AO244</f>
        <v>994.29452302954803</v>
      </c>
      <c r="X31" s="35">
        <f>'[1]Soy Complex'!BW405+'[1]Sun Complex'!BW320+'[1]Canola Complex'!BW340+'[1]Cottonseed Complex'!BW311+'[7]Distillers'' Corn Oil Complex'!AP105+'[7]Inedible Tallow Complex'!AP104+'[7]Yellow Grease Complex'!AP105+'[7]Used Cooking Oil Complex'!AP105+'[7]CWG Complex'!AP107+'[7]Poultry Byproduct Complex'!AP244</f>
        <v>809.29894130018056</v>
      </c>
      <c r="Y31" s="35">
        <f>'[1]Soy Complex'!BX405+'[1]Sun Complex'!BX320+'[1]Canola Complex'!BX340+'[1]Cottonseed Complex'!BX311+'[7]Distillers'' Corn Oil Complex'!AQ105+'[7]Inedible Tallow Complex'!AQ104+'[7]Yellow Grease Complex'!AQ105+'[7]Used Cooking Oil Complex'!AQ105+'[7]CWG Complex'!AQ107+'[7]Poultry Byproduct Complex'!AQ244</f>
        <v>862.31932834667361</v>
      </c>
      <c r="Z31" s="35">
        <f>'[1]Soy Complex'!BY405+'[1]Sun Complex'!BY320+'[1]Canola Complex'!BY340+'[1]Cottonseed Complex'!BY311+'[7]Distillers'' Corn Oil Complex'!AR105+'[7]Inedible Tallow Complex'!AR104+'[7]Yellow Grease Complex'!AR105+'[7]Used Cooking Oil Complex'!AR105+'[7]CWG Complex'!AR107+'[7]Poultry Byproduct Complex'!AR244</f>
        <v>840.70323404070837</v>
      </c>
      <c r="AA31" s="35">
        <f>'[1]Soy Complex'!BZ405+'[1]Sun Complex'!BZ320+'[1]Canola Complex'!BZ340+'[1]Cottonseed Complex'!BZ311+'[7]Distillers'' Corn Oil Complex'!AS105+'[7]Inedible Tallow Complex'!AS104+'[7]Yellow Grease Complex'!AS105+'[7]Used Cooking Oil Complex'!AS105+'[7]CWG Complex'!AS107+'[7]Poultry Byproduct Complex'!AS244</f>
        <v>723.33107380864465</v>
      </c>
      <c r="AB31" s="35">
        <f>'[1]Soy Complex'!CA405+'[1]Sun Complex'!CA320+'[1]Canola Complex'!CA340+'[1]Cottonseed Complex'!CA311+'[7]Distillers'' Corn Oil Complex'!AT105+'[7]Inedible Tallow Complex'!AT104+'[7]Yellow Grease Complex'!AT105+'[7]Used Cooking Oil Complex'!AT105+'[7]CWG Complex'!AT107+'[7]Poultry Byproduct Complex'!AT244</f>
        <v>586.28315776146758</v>
      </c>
      <c r="AC31" s="35">
        <f>'[1]Soy Complex'!CB405+'[1]Sun Complex'!CB320+'[1]Canola Complex'!CB340+'[1]Cottonseed Complex'!CB311+'[7]Distillers'' Corn Oil Complex'!AU105+'[7]Inedible Tallow Complex'!AU104+'[7]Yellow Grease Complex'!AU105+'[7]Used Cooking Oil Complex'!AU105+'[7]CWG Complex'!AU107+'[7]Poultry Byproduct Complex'!AU244</f>
        <v>568.60183095713853</v>
      </c>
      <c r="AD31" s="35">
        <f>'[1]Soy Complex'!CC405+'[1]Sun Complex'!CC320+'[1]Canola Complex'!CC340+'[1]Cottonseed Complex'!CC311+'[7]Distillers'' Corn Oil Complex'!AV105+'[7]Inedible Tallow Complex'!AV104+'[7]Yellow Grease Complex'!AV105+'[7]Used Cooking Oil Complex'!AV105+'[7]CWG Complex'!AV107+'[7]Poultry Byproduct Complex'!AV244</f>
        <v>507.09458506793436</v>
      </c>
      <c r="AE31" s="35">
        <f>'[1]Soy Complex'!CD405+'[1]Sun Complex'!CD320+'[1]Canola Complex'!CD340+'[1]Cottonseed Complex'!CD311+'[7]Distillers'' Corn Oil Complex'!AW105+'[7]Inedible Tallow Complex'!AW104+'[7]Yellow Grease Complex'!AW105+'[7]Used Cooking Oil Complex'!AW105+'[7]CWG Complex'!AW107+'[7]Poultry Byproduct Complex'!AW244</f>
        <v>376.18471634033796</v>
      </c>
      <c r="AF31" s="35">
        <f>'[1]Soy Complex'!CE405+'[1]Sun Complex'!CE320+'[1]Canola Complex'!CE340+'[1]Cottonseed Complex'!CE311+'[7]Distillers'' Corn Oil Complex'!AX105+'[7]Inedible Tallow Complex'!AX104+'[7]Yellow Grease Complex'!AX105+'[7]Used Cooking Oil Complex'!AX105+'[7]CWG Complex'!AX107+'[7]Poultry Byproduct Complex'!AX244</f>
        <v>427.67654497006134</v>
      </c>
      <c r="AL31" s="70">
        <f t="shared" si="3"/>
        <v>-0.45854271356783916</v>
      </c>
      <c r="AM31" s="70">
        <f t="shared" si="3"/>
        <v>1.1252900232018561</v>
      </c>
      <c r="AN31" s="70">
        <f t="shared" si="3"/>
        <v>-5.0436681222707391E-2</v>
      </c>
      <c r="AO31" s="70">
        <f t="shared" si="3"/>
        <v>-0.13244424005518518</v>
      </c>
      <c r="AP31" s="70">
        <f t="shared" si="3"/>
        <v>0.36440498277232947</v>
      </c>
      <c r="AQ31" s="70">
        <f t="shared" si="3"/>
        <v>8.119815847238665E-2</v>
      </c>
      <c r="AR31" s="70">
        <f t="shared" si="3"/>
        <v>0.12658343348279266</v>
      </c>
      <c r="AS31" s="70">
        <f t="shared" si="3"/>
        <v>-0.2103454769447578</v>
      </c>
      <c r="AT31" s="70">
        <f t="shared" si="3"/>
        <v>0.16594682026883034</v>
      </c>
      <c r="AU31" s="70">
        <f t="shared" si="3"/>
        <v>-2.3613464101256421E-2</v>
      </c>
      <c r="AV31" s="70">
        <f t="shared" si="3"/>
        <v>-8.5637637639908837E-2</v>
      </c>
      <c r="AW31" s="71">
        <f t="shared" si="3"/>
        <v>-1.6312495212609801E-2</v>
      </c>
    </row>
    <row r="32" spans="1:49" ht="12" thickBot="1" x14ac:dyDescent="0.25">
      <c r="A32" s="64" t="s">
        <v>18</v>
      </c>
      <c r="B32" s="65">
        <f t="shared" ref="B32:L32" si="4">SUM(B20:B31)</f>
        <v>6978</v>
      </c>
      <c r="C32" s="65">
        <f t="shared" si="4"/>
        <v>7120</v>
      </c>
      <c r="D32" s="65">
        <f t="shared" si="4"/>
        <v>9360</v>
      </c>
      <c r="E32" s="65">
        <f t="shared" si="4"/>
        <v>8849.9299999999985</v>
      </c>
      <c r="F32" s="65">
        <f t="shared" si="4"/>
        <v>9057.6</v>
      </c>
      <c r="G32" s="65">
        <f t="shared" si="4"/>
        <v>10722.649999999998</v>
      </c>
      <c r="H32" s="65">
        <f t="shared" si="4"/>
        <v>11912.73</v>
      </c>
      <c r="I32" s="65">
        <f t="shared" si="4"/>
        <v>13769.085175781251</v>
      </c>
      <c r="J32" s="65">
        <f t="shared" si="4"/>
        <v>12780.107978693488</v>
      </c>
      <c r="K32" s="65">
        <f t="shared" si="4"/>
        <v>13358.957141432758</v>
      </c>
      <c r="L32" s="65">
        <f t="shared" si="4"/>
        <v>11984.644248205348</v>
      </c>
      <c r="M32" s="65">
        <f>SUM(M20:M31)</f>
        <v>12559.538563405345</v>
      </c>
      <c r="N32" s="65">
        <f>SUM(N20:N31)</f>
        <v>13048.723090066098</v>
      </c>
      <c r="O32" s="66">
        <f t="shared" ref="O32:AF32" si="5">SUM(O20:O31)</f>
        <v>12504.043626770459</v>
      </c>
      <c r="P32" s="66">
        <f t="shared" si="5"/>
        <v>12062.215779624759</v>
      </c>
      <c r="Q32" s="66">
        <f t="shared" si="5"/>
        <v>11196.758178796446</v>
      </c>
      <c r="R32" s="66">
        <f t="shared" si="5"/>
        <v>11355.454092453076</v>
      </c>
      <c r="S32" s="66">
        <f t="shared" si="5"/>
        <v>8931.4728457803467</v>
      </c>
      <c r="T32" s="66">
        <f t="shared" si="5"/>
        <v>9793.7606264425995</v>
      </c>
      <c r="U32" s="66">
        <f t="shared" si="5"/>
        <v>9780.6774677812209</v>
      </c>
      <c r="V32" s="66">
        <f t="shared" si="5"/>
        <v>9629.8253391191338</v>
      </c>
      <c r="W32" s="66">
        <f t="shared" si="5"/>
        <v>10077.75012230521</v>
      </c>
      <c r="X32" s="66">
        <f t="shared" si="5"/>
        <v>8076.1608299221616</v>
      </c>
      <c r="Y32" s="66">
        <f t="shared" si="5"/>
        <v>9125.112704499481</v>
      </c>
      <c r="Z32" s="66">
        <f t="shared" si="5"/>
        <v>8941.9691228854372</v>
      </c>
      <c r="AA32" s="66">
        <f t="shared" si="5"/>
        <v>7596.9925659751789</v>
      </c>
      <c r="AB32" s="66">
        <f t="shared" si="5"/>
        <v>6196.2236734897097</v>
      </c>
      <c r="AC32" s="66">
        <f t="shared" si="5"/>
        <v>6091.1091231785258</v>
      </c>
      <c r="AD32" s="66">
        <f t="shared" si="5"/>
        <v>5849.9119791626763</v>
      </c>
      <c r="AE32" s="66">
        <f t="shared" si="5"/>
        <v>3986.6596078295224</v>
      </c>
      <c r="AF32" s="66">
        <f t="shared" si="5"/>
        <v>4148.7003815544122</v>
      </c>
      <c r="AL32" s="72">
        <f t="shared" ref="AL32:AW32" si="6">AVERAGE(AL20:AL31)</f>
        <v>0.17838305341050278</v>
      </c>
      <c r="AM32" s="72">
        <f t="shared" si="6"/>
        <v>0.36369986690788503</v>
      </c>
      <c r="AN32" s="72">
        <f t="shared" si="6"/>
        <v>-5.5663730738950694E-2</v>
      </c>
      <c r="AO32" s="72">
        <f t="shared" si="6"/>
        <v>3.6526354498137258E-2</v>
      </c>
      <c r="AP32" s="72">
        <f t="shared" si="6"/>
        <v>0.19474577872673429</v>
      </c>
      <c r="AQ32" s="72">
        <f t="shared" si="6"/>
        <v>0.10815028809023365</v>
      </c>
      <c r="AR32" s="72">
        <f t="shared" si="6"/>
        <v>0.16720438148886216</v>
      </c>
      <c r="AS32" s="72">
        <f t="shared" si="6"/>
        <v>-6.1680969481702964E-2</v>
      </c>
      <c r="AT32" s="72">
        <f t="shared" si="6"/>
        <v>4.8789700215066061E-2</v>
      </c>
      <c r="AU32" s="72">
        <f t="shared" si="6"/>
        <v>-0.10245870371808273</v>
      </c>
      <c r="AV32" s="72">
        <f t="shared" si="6"/>
        <v>6.5672069808663039E-2</v>
      </c>
      <c r="AW32" s="73">
        <f t="shared" si="6"/>
        <v>3.9211585801542694E-2</v>
      </c>
    </row>
    <row r="33" spans="1:38" ht="12" thickTop="1" x14ac:dyDescent="0.2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</row>
    <row r="35" spans="1:38" ht="12" thickBot="1" x14ac:dyDescent="0.25">
      <c r="A35" s="61" t="s">
        <v>20</v>
      </c>
    </row>
    <row r="36" spans="1:38" ht="12.75" thickTop="1" thickBot="1" x14ac:dyDescent="0.25">
      <c r="A36" s="62"/>
      <c r="B36" s="63">
        <f>B2</f>
        <v>2011</v>
      </c>
      <c r="C36" s="63">
        <f t="shared" ref="C36:AF36" si="7">C2</f>
        <v>2012</v>
      </c>
      <c r="D36" s="63">
        <f t="shared" si="7"/>
        <v>2013</v>
      </c>
      <c r="E36" s="63">
        <f t="shared" si="7"/>
        <v>2014</v>
      </c>
      <c r="F36" s="63">
        <f t="shared" si="7"/>
        <v>2015</v>
      </c>
      <c r="G36" s="63">
        <f t="shared" si="7"/>
        <v>2016</v>
      </c>
      <c r="H36" s="63">
        <f t="shared" si="7"/>
        <v>2017</v>
      </c>
      <c r="I36" s="63">
        <f t="shared" si="7"/>
        <v>2018</v>
      </c>
      <c r="J36" s="63">
        <f t="shared" si="7"/>
        <v>2019</v>
      </c>
      <c r="K36" s="63">
        <f t="shared" si="7"/>
        <v>2020</v>
      </c>
      <c r="L36" s="63">
        <f t="shared" si="7"/>
        <v>2021</v>
      </c>
      <c r="M36" s="63">
        <f t="shared" si="7"/>
        <v>2022</v>
      </c>
      <c r="N36" s="63">
        <f t="shared" si="7"/>
        <v>2023</v>
      </c>
      <c r="O36" s="63">
        <f t="shared" si="7"/>
        <v>2024</v>
      </c>
      <c r="P36" s="63">
        <f t="shared" si="7"/>
        <v>2025</v>
      </c>
      <c r="Q36" s="63">
        <f t="shared" si="7"/>
        <v>2026</v>
      </c>
      <c r="R36" s="63">
        <f t="shared" si="7"/>
        <v>2027</v>
      </c>
      <c r="S36" s="63">
        <f t="shared" si="7"/>
        <v>2028</v>
      </c>
      <c r="T36" s="63">
        <f t="shared" si="7"/>
        <v>2029</v>
      </c>
      <c r="U36" s="63">
        <f t="shared" si="7"/>
        <v>2030</v>
      </c>
      <c r="V36" s="63">
        <f t="shared" si="7"/>
        <v>2031</v>
      </c>
      <c r="W36" s="63">
        <f t="shared" si="7"/>
        <v>2032</v>
      </c>
      <c r="X36" s="63">
        <f t="shared" si="7"/>
        <v>2033</v>
      </c>
      <c r="Y36" s="63">
        <f t="shared" si="7"/>
        <v>2034</v>
      </c>
      <c r="Z36" s="63">
        <f t="shared" si="7"/>
        <v>2035</v>
      </c>
      <c r="AA36" s="63">
        <f t="shared" si="7"/>
        <v>2036</v>
      </c>
      <c r="AB36" s="63">
        <f t="shared" si="7"/>
        <v>2037</v>
      </c>
      <c r="AC36" s="63">
        <f t="shared" si="7"/>
        <v>2038</v>
      </c>
      <c r="AD36" s="63">
        <f t="shared" si="7"/>
        <v>2039</v>
      </c>
      <c r="AE36" s="63">
        <f t="shared" si="7"/>
        <v>2040</v>
      </c>
      <c r="AF36" s="63">
        <f t="shared" si="7"/>
        <v>2041</v>
      </c>
      <c r="AJ36" s="32" t="s">
        <v>21</v>
      </c>
      <c r="AK36" s="32" t="s">
        <v>22</v>
      </c>
      <c r="AL36" s="32" t="s">
        <v>23</v>
      </c>
    </row>
    <row r="37" spans="1:38" ht="12" thickTop="1" x14ac:dyDescent="0.2">
      <c r="A37" s="61" t="s">
        <v>6</v>
      </c>
      <c r="B37" s="74">
        <f>(B20*1000000)/B3</f>
        <v>6.6746222445269572</v>
      </c>
      <c r="C37" s="74">
        <f t="shared" ref="C37:N37" si="8">(C20*1000000)/C3</f>
        <v>8.4090962857690084</v>
      </c>
      <c r="D37" s="74">
        <f t="shared" si="8"/>
        <v>6.8473707124950147</v>
      </c>
      <c r="E37" s="74">
        <f t="shared" si="8"/>
        <v>6.5946176342224012</v>
      </c>
      <c r="F37" s="74">
        <f t="shared" si="8"/>
        <v>7.2903646779405777</v>
      </c>
      <c r="G37" s="74">
        <f t="shared" si="8"/>
        <v>7.152473974168144</v>
      </c>
      <c r="H37" s="74">
        <f t="shared" si="8"/>
        <v>8.3499109018564148</v>
      </c>
      <c r="I37" s="74">
        <f t="shared" si="8"/>
        <v>7.4079061346404531</v>
      </c>
      <c r="J37" s="74">
        <f t="shared" si="8"/>
        <v>7.5291352080958855</v>
      </c>
      <c r="K37" s="74">
        <f t="shared" si="8"/>
        <v>6.2640427304760289</v>
      </c>
      <c r="L37" s="74">
        <f t="shared" si="8"/>
        <v>6.6078129509455463</v>
      </c>
      <c r="M37" s="74">
        <f t="shared" si="8"/>
        <v>5.3055846449772925</v>
      </c>
      <c r="N37" s="74">
        <f t="shared" si="8"/>
        <v>3.6932396718890677</v>
      </c>
      <c r="O37" s="74">
        <f>(O20*1000000)/O3</f>
        <v>2.8643375847017647</v>
      </c>
      <c r="P37" s="75">
        <f t="shared" ref="P37:AF37" si="9">(P20*1000000)/P3</f>
        <v>2.2113507604581528</v>
      </c>
      <c r="Q37" s="75">
        <f t="shared" si="9"/>
        <v>3.4279335848172452</v>
      </c>
      <c r="R37" s="75" t="e">
        <f t="shared" si="9"/>
        <v>#DIV/0!</v>
      </c>
      <c r="S37" s="75" t="e">
        <f t="shared" si="9"/>
        <v>#DIV/0!</v>
      </c>
      <c r="T37" s="75" t="e">
        <f t="shared" si="9"/>
        <v>#DIV/0!</v>
      </c>
      <c r="U37" s="75" t="e">
        <f t="shared" si="9"/>
        <v>#DIV/0!</v>
      </c>
      <c r="V37" s="75" t="e">
        <f t="shared" si="9"/>
        <v>#DIV/0!</v>
      </c>
      <c r="W37" s="75" t="e">
        <f t="shared" si="9"/>
        <v>#DIV/0!</v>
      </c>
      <c r="X37" s="75" t="e">
        <f t="shared" si="9"/>
        <v>#DIV/0!</v>
      </c>
      <c r="Y37" s="75" t="e">
        <f t="shared" si="9"/>
        <v>#DIV/0!</v>
      </c>
      <c r="Z37" s="75" t="e">
        <f t="shared" si="9"/>
        <v>#DIV/0!</v>
      </c>
      <c r="AA37" s="75" t="e">
        <f t="shared" si="9"/>
        <v>#DIV/0!</v>
      </c>
      <c r="AB37" s="75" t="e">
        <f t="shared" si="9"/>
        <v>#DIV/0!</v>
      </c>
      <c r="AC37" s="75" t="e">
        <f t="shared" si="9"/>
        <v>#DIV/0!</v>
      </c>
      <c r="AD37" s="75" t="e">
        <f t="shared" si="9"/>
        <v>#DIV/0!</v>
      </c>
      <c r="AE37" s="75" t="e">
        <f t="shared" si="9"/>
        <v>#DIV/0!</v>
      </c>
      <c r="AF37" s="75" t="e">
        <f t="shared" si="9"/>
        <v>#DIV/0!</v>
      </c>
      <c r="AJ37" s="74">
        <f t="shared" ref="AJ37:AJ48" si="10">AVERAGE(I37:M37)</f>
        <v>6.6228963338270415</v>
      </c>
      <c r="AK37" s="74">
        <f t="shared" ref="AK37:AK48" si="11">MAX(I37:M37)</f>
        <v>7.5291352080958855</v>
      </c>
      <c r="AL37" s="74">
        <f t="shared" ref="AL37:AL48" si="12">MIN(I37:M37)</f>
        <v>5.3055846449772925</v>
      </c>
    </row>
    <row r="38" spans="1:38" x14ac:dyDescent="0.2">
      <c r="A38" s="61" t="s">
        <v>7</v>
      </c>
      <c r="B38" s="74">
        <f t="shared" ref="B38:AF46" si="13">(B21*1000000)/B4</f>
        <v>6.6120696389762914</v>
      </c>
      <c r="C38" s="74">
        <f t="shared" si="13"/>
        <v>7.3975966872822276</v>
      </c>
      <c r="D38" s="74">
        <f t="shared" si="13"/>
        <v>6.7674358532498555</v>
      </c>
      <c r="E38" s="74">
        <f t="shared" si="13"/>
        <v>6.1105866461406135</v>
      </c>
      <c r="F38" s="74">
        <f t="shared" si="13"/>
        <v>6.9578633368717542</v>
      </c>
      <c r="G38" s="74">
        <f t="shared" si="13"/>
        <v>6.6152743805382981</v>
      </c>
      <c r="H38" s="74">
        <f t="shared" si="13"/>
        <v>7.1689913075992955</v>
      </c>
      <c r="I38" s="74">
        <f t="shared" si="13"/>
        <v>6.7642705593070573</v>
      </c>
      <c r="J38" s="74">
        <f t="shared" si="13"/>
        <v>6.094061532460036</v>
      </c>
      <c r="K38" s="74">
        <f t="shared" si="13"/>
        <v>5.8851576473520328</v>
      </c>
      <c r="L38" s="74">
        <f t="shared" si="13"/>
        <v>4.0889200046722713</v>
      </c>
      <c r="M38" s="74">
        <f t="shared" si="13"/>
        <v>4.3434516189313568</v>
      </c>
      <c r="N38" s="74">
        <f t="shared" si="13"/>
        <v>3.5356977117455854</v>
      </c>
      <c r="O38" s="74">
        <f t="shared" si="13"/>
        <v>2.7244654036031322</v>
      </c>
      <c r="P38" s="75">
        <f t="shared" si="13"/>
        <v>2.7504819988119928</v>
      </c>
      <c r="Q38" s="75">
        <f t="shared" si="13"/>
        <v>2.8691084573101722</v>
      </c>
      <c r="R38" s="75" t="e">
        <f t="shared" si="13"/>
        <v>#DIV/0!</v>
      </c>
      <c r="S38" s="75" t="e">
        <f t="shared" si="13"/>
        <v>#DIV/0!</v>
      </c>
      <c r="T38" s="75" t="e">
        <f t="shared" si="13"/>
        <v>#DIV/0!</v>
      </c>
      <c r="U38" s="75" t="e">
        <f t="shared" si="13"/>
        <v>#DIV/0!</v>
      </c>
      <c r="V38" s="75" t="e">
        <f t="shared" si="13"/>
        <v>#DIV/0!</v>
      </c>
      <c r="W38" s="75" t="e">
        <f t="shared" si="13"/>
        <v>#DIV/0!</v>
      </c>
      <c r="X38" s="75" t="e">
        <f t="shared" si="13"/>
        <v>#DIV/0!</v>
      </c>
      <c r="Y38" s="75" t="e">
        <f t="shared" si="13"/>
        <v>#DIV/0!</v>
      </c>
      <c r="Z38" s="75" t="e">
        <f t="shared" si="13"/>
        <v>#DIV/0!</v>
      </c>
      <c r="AA38" s="75" t="e">
        <f t="shared" si="13"/>
        <v>#DIV/0!</v>
      </c>
      <c r="AB38" s="75" t="e">
        <f t="shared" si="13"/>
        <v>#DIV/0!</v>
      </c>
      <c r="AC38" s="75" t="e">
        <f t="shared" si="13"/>
        <v>#DIV/0!</v>
      </c>
      <c r="AD38" s="75" t="e">
        <f t="shared" si="13"/>
        <v>#DIV/0!</v>
      </c>
      <c r="AE38" s="75" t="e">
        <f t="shared" si="13"/>
        <v>#DIV/0!</v>
      </c>
      <c r="AF38" s="75" t="e">
        <f t="shared" si="13"/>
        <v>#DIV/0!</v>
      </c>
      <c r="AJ38" s="74">
        <f t="shared" si="10"/>
        <v>5.435172272544551</v>
      </c>
      <c r="AK38" s="74">
        <f t="shared" si="11"/>
        <v>6.7642705593070573</v>
      </c>
      <c r="AL38" s="74">
        <f t="shared" si="12"/>
        <v>4.0889200046722713</v>
      </c>
    </row>
    <row r="39" spans="1:38" x14ac:dyDescent="0.2">
      <c r="A39" s="61" t="s">
        <v>8</v>
      </c>
      <c r="B39" s="74">
        <f t="shared" si="13"/>
        <v>6.1808278330106345</v>
      </c>
      <c r="C39" s="74">
        <f t="shared" si="13"/>
        <v>6.825347234317066</v>
      </c>
      <c r="D39" s="74">
        <f t="shared" si="13"/>
        <v>7.0743605079344203</v>
      </c>
      <c r="E39" s="74">
        <f t="shared" si="13"/>
        <v>6.4103412608517241</v>
      </c>
      <c r="F39" s="74">
        <f t="shared" si="13"/>
        <v>6.5448061856124733</v>
      </c>
      <c r="G39" s="74">
        <f t="shared" si="13"/>
        <v>5.301315450815685</v>
      </c>
      <c r="H39" s="74">
        <f t="shared" si="13"/>
        <v>6.5743876330937177</v>
      </c>
      <c r="I39" s="74">
        <f t="shared" si="13"/>
        <v>6.4417924496280445</v>
      </c>
      <c r="J39" s="74">
        <f t="shared" si="13"/>
        <v>5.7500206337387949</v>
      </c>
      <c r="K39" s="74">
        <f t="shared" si="13"/>
        <v>5.7181460555213386</v>
      </c>
      <c r="L39" s="74">
        <f t="shared" si="13"/>
        <v>4.5167113871078586</v>
      </c>
      <c r="M39" s="74">
        <f t="shared" si="13"/>
        <v>4.366830129940265</v>
      </c>
      <c r="N39" s="74">
        <f t="shared" si="13"/>
        <v>3.5747942830437771</v>
      </c>
      <c r="O39" s="75">
        <f t="shared" si="13"/>
        <v>2.9142459861429084</v>
      </c>
      <c r="P39" s="75">
        <f t="shared" si="13"/>
        <v>2.7602366570942367</v>
      </c>
      <c r="Q39" s="75">
        <f t="shared" si="13"/>
        <v>2.8815072242244151</v>
      </c>
      <c r="R39" s="75" t="e">
        <f t="shared" si="13"/>
        <v>#DIV/0!</v>
      </c>
      <c r="S39" s="75" t="e">
        <f t="shared" si="13"/>
        <v>#DIV/0!</v>
      </c>
      <c r="T39" s="75" t="e">
        <f t="shared" si="13"/>
        <v>#DIV/0!</v>
      </c>
      <c r="U39" s="75" t="e">
        <f t="shared" si="13"/>
        <v>#DIV/0!</v>
      </c>
      <c r="V39" s="75" t="e">
        <f t="shared" si="13"/>
        <v>#DIV/0!</v>
      </c>
      <c r="W39" s="75" t="e">
        <f t="shared" si="13"/>
        <v>#DIV/0!</v>
      </c>
      <c r="X39" s="75" t="e">
        <f t="shared" si="13"/>
        <v>#DIV/0!</v>
      </c>
      <c r="Y39" s="75" t="e">
        <f t="shared" si="13"/>
        <v>#DIV/0!</v>
      </c>
      <c r="Z39" s="75" t="e">
        <f t="shared" si="13"/>
        <v>#DIV/0!</v>
      </c>
      <c r="AA39" s="75" t="e">
        <f t="shared" si="13"/>
        <v>#DIV/0!</v>
      </c>
      <c r="AB39" s="75" t="e">
        <f t="shared" si="13"/>
        <v>#DIV/0!</v>
      </c>
      <c r="AC39" s="75" t="e">
        <f t="shared" si="13"/>
        <v>#DIV/0!</v>
      </c>
      <c r="AD39" s="75" t="e">
        <f t="shared" si="13"/>
        <v>#DIV/0!</v>
      </c>
      <c r="AE39" s="75" t="e">
        <f t="shared" si="13"/>
        <v>#DIV/0!</v>
      </c>
      <c r="AF39" s="75" t="e">
        <f t="shared" si="13"/>
        <v>#DIV/0!</v>
      </c>
      <c r="AJ39" s="74">
        <f t="shared" si="10"/>
        <v>5.35870013118726</v>
      </c>
      <c r="AK39" s="74">
        <f t="shared" si="11"/>
        <v>6.4417924496280445</v>
      </c>
      <c r="AL39" s="74">
        <f t="shared" si="12"/>
        <v>4.366830129940265</v>
      </c>
    </row>
    <row r="40" spans="1:38" x14ac:dyDescent="0.2">
      <c r="A40" s="61" t="s">
        <v>9</v>
      </c>
      <c r="B40" s="74">
        <f t="shared" si="13"/>
        <v>7.0862906452468222</v>
      </c>
      <c r="C40" s="74">
        <f t="shared" si="13"/>
        <v>7.0942681673103465</v>
      </c>
      <c r="D40" s="74">
        <f t="shared" si="13"/>
        <v>6.6054366952304155</v>
      </c>
      <c r="E40" s="74">
        <f t="shared" si="13"/>
        <v>5.6311887052265917</v>
      </c>
      <c r="F40" s="74">
        <f t="shared" si="13"/>
        <v>6.3865629987150134</v>
      </c>
      <c r="G40" s="74">
        <f t="shared" si="13"/>
        <v>5.2552647565264579</v>
      </c>
      <c r="H40" s="74">
        <f t="shared" si="13"/>
        <v>6.4059066755902947</v>
      </c>
      <c r="I40" s="74">
        <f t="shared" si="13"/>
        <v>6.2266059895440238</v>
      </c>
      <c r="J40" s="74">
        <f t="shared" si="13"/>
        <v>5.6859826667146907</v>
      </c>
      <c r="K40" s="74">
        <f t="shared" si="13"/>
        <v>5.5321638538793394</v>
      </c>
      <c r="L40" s="74">
        <f t="shared" si="13"/>
        <v>5.465502090742322</v>
      </c>
      <c r="M40" s="74">
        <f t="shared" si="13"/>
        <v>4.0227757361346459</v>
      </c>
      <c r="N40" s="74">
        <f t="shared" si="13"/>
        <v>3.4239479138820683</v>
      </c>
      <c r="O40" s="75">
        <f t="shared" si="13"/>
        <v>2.3892932078154607</v>
      </c>
      <c r="P40" s="75">
        <f t="shared" si="13"/>
        <v>2.7606822890464291</v>
      </c>
      <c r="Q40" s="75">
        <f t="shared" si="13"/>
        <v>2.9401125931815097</v>
      </c>
      <c r="R40" s="75" t="e">
        <f t="shared" si="13"/>
        <v>#DIV/0!</v>
      </c>
      <c r="S40" s="75" t="e">
        <f t="shared" si="13"/>
        <v>#DIV/0!</v>
      </c>
      <c r="T40" s="75" t="e">
        <f t="shared" si="13"/>
        <v>#DIV/0!</v>
      </c>
      <c r="U40" s="75" t="e">
        <f t="shared" si="13"/>
        <v>#DIV/0!</v>
      </c>
      <c r="V40" s="75" t="e">
        <f t="shared" si="13"/>
        <v>#DIV/0!</v>
      </c>
      <c r="W40" s="75" t="e">
        <f t="shared" si="13"/>
        <v>#DIV/0!</v>
      </c>
      <c r="X40" s="75" t="e">
        <f t="shared" si="13"/>
        <v>#DIV/0!</v>
      </c>
      <c r="Y40" s="75" t="e">
        <f t="shared" si="13"/>
        <v>#DIV/0!</v>
      </c>
      <c r="Z40" s="75" t="e">
        <f t="shared" si="13"/>
        <v>#DIV/0!</v>
      </c>
      <c r="AA40" s="75" t="e">
        <f t="shared" si="13"/>
        <v>#DIV/0!</v>
      </c>
      <c r="AB40" s="75" t="e">
        <f t="shared" si="13"/>
        <v>#DIV/0!</v>
      </c>
      <c r="AC40" s="75" t="e">
        <f t="shared" si="13"/>
        <v>#DIV/0!</v>
      </c>
      <c r="AD40" s="75" t="e">
        <f t="shared" si="13"/>
        <v>#DIV/0!</v>
      </c>
      <c r="AE40" s="75" t="e">
        <f t="shared" si="13"/>
        <v>#DIV/0!</v>
      </c>
      <c r="AF40" s="75" t="e">
        <f t="shared" si="13"/>
        <v>#DIV/0!</v>
      </c>
      <c r="AJ40" s="74">
        <f t="shared" si="10"/>
        <v>5.3866060674030036</v>
      </c>
      <c r="AK40" s="74">
        <f t="shared" si="11"/>
        <v>6.2266059895440238</v>
      </c>
      <c r="AL40" s="74">
        <f t="shared" si="12"/>
        <v>4.0227757361346459</v>
      </c>
    </row>
    <row r="41" spans="1:38" x14ac:dyDescent="0.2">
      <c r="A41" s="61" t="s">
        <v>10</v>
      </c>
      <c r="B41" s="74">
        <f t="shared" si="13"/>
        <v>6.4234661126294297</v>
      </c>
      <c r="C41" s="74">
        <f t="shared" si="13"/>
        <v>6.5778625392294545</v>
      </c>
      <c r="D41" s="74">
        <f t="shared" si="13"/>
        <v>6.1940704804056992</v>
      </c>
      <c r="E41" s="74">
        <f t="shared" si="13"/>
        <v>5.8774786977486988</v>
      </c>
      <c r="F41" s="74">
        <f t="shared" si="13"/>
        <v>5.9584794359653834</v>
      </c>
      <c r="G41" s="74">
        <f t="shared" si="13"/>
        <v>5.8458312441793501</v>
      </c>
      <c r="H41" s="74">
        <f t="shared" si="13"/>
        <v>6.0419856180913376</v>
      </c>
      <c r="I41" s="74">
        <f t="shared" si="13"/>
        <v>6.0093100362830834</v>
      </c>
      <c r="J41" s="74">
        <f t="shared" si="13"/>
        <v>5.5815500832526634</v>
      </c>
      <c r="K41" s="74">
        <f t="shared" si="13"/>
        <v>5.9840987137303339</v>
      </c>
      <c r="L41" s="74">
        <f t="shared" si="13"/>
        <v>5.4301421494139976</v>
      </c>
      <c r="M41" s="74">
        <f t="shared" si="13"/>
        <v>3.7887628594276253</v>
      </c>
      <c r="N41" s="74">
        <f t="shared" si="13"/>
        <v>3.1242927036544268</v>
      </c>
      <c r="O41" s="75">
        <f t="shared" si="13"/>
        <v>2.9583185979896753</v>
      </c>
      <c r="P41" s="75">
        <f t="shared" si="13"/>
        <v>2.7632751255363597</v>
      </c>
      <c r="Q41" s="75">
        <f t="shared" si="13"/>
        <v>2.8651799025942606</v>
      </c>
      <c r="R41" s="75" t="e">
        <f t="shared" si="13"/>
        <v>#DIV/0!</v>
      </c>
      <c r="S41" s="75" t="e">
        <f t="shared" si="13"/>
        <v>#DIV/0!</v>
      </c>
      <c r="T41" s="75" t="e">
        <f t="shared" si="13"/>
        <v>#DIV/0!</v>
      </c>
      <c r="U41" s="75" t="e">
        <f t="shared" si="13"/>
        <v>#DIV/0!</v>
      </c>
      <c r="V41" s="75" t="e">
        <f t="shared" si="13"/>
        <v>#DIV/0!</v>
      </c>
      <c r="W41" s="75" t="e">
        <f t="shared" si="13"/>
        <v>#DIV/0!</v>
      </c>
      <c r="X41" s="75" t="e">
        <f t="shared" si="13"/>
        <v>#DIV/0!</v>
      </c>
      <c r="Y41" s="75" t="e">
        <f t="shared" si="13"/>
        <v>#DIV/0!</v>
      </c>
      <c r="Z41" s="75" t="e">
        <f t="shared" si="13"/>
        <v>#DIV/0!</v>
      </c>
      <c r="AA41" s="75" t="e">
        <f t="shared" si="13"/>
        <v>#DIV/0!</v>
      </c>
      <c r="AB41" s="75" t="e">
        <f t="shared" si="13"/>
        <v>#DIV/0!</v>
      </c>
      <c r="AC41" s="75" t="e">
        <f t="shared" si="13"/>
        <v>#DIV/0!</v>
      </c>
      <c r="AD41" s="75" t="e">
        <f t="shared" si="13"/>
        <v>#DIV/0!</v>
      </c>
      <c r="AE41" s="75" t="e">
        <f t="shared" si="13"/>
        <v>#DIV/0!</v>
      </c>
      <c r="AF41" s="75" t="e">
        <f t="shared" si="13"/>
        <v>#DIV/0!</v>
      </c>
      <c r="AJ41" s="74">
        <f t="shared" si="10"/>
        <v>5.3587727684215398</v>
      </c>
      <c r="AK41" s="74">
        <f t="shared" si="11"/>
        <v>6.0093100362830834</v>
      </c>
      <c r="AL41" s="74">
        <f t="shared" si="12"/>
        <v>3.7887628594276253</v>
      </c>
    </row>
    <row r="42" spans="1:38" x14ac:dyDescent="0.2">
      <c r="A42" s="61" t="s">
        <v>11</v>
      </c>
      <c r="B42" s="74">
        <f t="shared" si="13"/>
        <v>7.2341310519913362</v>
      </c>
      <c r="C42" s="74">
        <f t="shared" si="13"/>
        <v>6.0976565834655947</v>
      </c>
      <c r="D42" s="74">
        <f t="shared" si="13"/>
        <v>6.6063457590920178</v>
      </c>
      <c r="E42" s="74">
        <f t="shared" si="13"/>
        <v>6.0988900297847595</v>
      </c>
      <c r="F42" s="74">
        <f t="shared" si="13"/>
        <v>5.9928635797057117</v>
      </c>
      <c r="G42" s="74">
        <f t="shared" si="13"/>
        <v>5.5660327138985686</v>
      </c>
      <c r="H42" s="74">
        <f t="shared" si="13"/>
        <v>6.4684253241895835</v>
      </c>
      <c r="I42" s="74">
        <f t="shared" si="13"/>
        <v>6.7794351403121471</v>
      </c>
      <c r="J42" s="74">
        <f t="shared" si="13"/>
        <v>5.7906678652034946</v>
      </c>
      <c r="K42" s="74">
        <f t="shared" si="13"/>
        <v>5.1028715029538887</v>
      </c>
      <c r="L42" s="74">
        <f t="shared" si="13"/>
        <v>4.7798219237590525</v>
      </c>
      <c r="M42" s="74">
        <f t="shared" si="13"/>
        <v>3.9918111601532971</v>
      </c>
      <c r="N42" s="74">
        <f t="shared" si="13"/>
        <v>3.2734535886457672</v>
      </c>
      <c r="O42" s="75">
        <f t="shared" si="13"/>
        <v>2.6314872538137051</v>
      </c>
      <c r="P42" s="75">
        <f t="shared" si="13"/>
        <v>3.2499505374750206</v>
      </c>
      <c r="Q42" s="75">
        <f t="shared" si="13"/>
        <v>2.8201679631524388</v>
      </c>
      <c r="R42" s="75" t="e">
        <f t="shared" si="13"/>
        <v>#DIV/0!</v>
      </c>
      <c r="S42" s="75" t="e">
        <f t="shared" si="13"/>
        <v>#DIV/0!</v>
      </c>
      <c r="T42" s="75" t="e">
        <f t="shared" si="13"/>
        <v>#DIV/0!</v>
      </c>
      <c r="U42" s="75" t="e">
        <f t="shared" si="13"/>
        <v>#DIV/0!</v>
      </c>
      <c r="V42" s="75" t="e">
        <f t="shared" si="13"/>
        <v>#DIV/0!</v>
      </c>
      <c r="W42" s="75" t="e">
        <f t="shared" si="13"/>
        <v>#DIV/0!</v>
      </c>
      <c r="X42" s="75" t="e">
        <f t="shared" si="13"/>
        <v>#DIV/0!</v>
      </c>
      <c r="Y42" s="75" t="e">
        <f t="shared" si="13"/>
        <v>#DIV/0!</v>
      </c>
      <c r="Z42" s="75" t="e">
        <f t="shared" si="13"/>
        <v>#DIV/0!</v>
      </c>
      <c r="AA42" s="75" t="e">
        <f t="shared" si="13"/>
        <v>#DIV/0!</v>
      </c>
      <c r="AB42" s="75" t="e">
        <f t="shared" si="13"/>
        <v>#DIV/0!</v>
      </c>
      <c r="AC42" s="75" t="e">
        <f t="shared" si="13"/>
        <v>#DIV/0!</v>
      </c>
      <c r="AD42" s="75" t="e">
        <f t="shared" si="13"/>
        <v>#DIV/0!</v>
      </c>
      <c r="AE42" s="75" t="e">
        <f t="shared" si="13"/>
        <v>#DIV/0!</v>
      </c>
      <c r="AF42" s="75" t="e">
        <f t="shared" si="13"/>
        <v>#DIV/0!</v>
      </c>
      <c r="AJ42" s="74">
        <f t="shared" si="10"/>
        <v>5.2889215184763758</v>
      </c>
      <c r="AK42" s="74">
        <f t="shared" si="11"/>
        <v>6.7794351403121471</v>
      </c>
      <c r="AL42" s="74">
        <f t="shared" si="12"/>
        <v>3.9918111601532971</v>
      </c>
    </row>
    <row r="43" spans="1:38" x14ac:dyDescent="0.2">
      <c r="A43" s="61" t="s">
        <v>12</v>
      </c>
      <c r="B43" s="74">
        <f t="shared" si="13"/>
        <v>7.1028000898488139</v>
      </c>
      <c r="C43" s="74">
        <f t="shared" si="13"/>
        <v>5.9157827621887948</v>
      </c>
      <c r="D43" s="74">
        <f t="shared" si="13"/>
        <v>5.9272506193976895</v>
      </c>
      <c r="E43" s="74">
        <f t="shared" si="13"/>
        <v>6.0430910936445459</v>
      </c>
      <c r="F43" s="74">
        <f t="shared" si="13"/>
        <v>6.0080576387093725</v>
      </c>
      <c r="G43" s="74">
        <f t="shared" si="13"/>
        <v>6.0542532326160847</v>
      </c>
      <c r="H43" s="74">
        <f t="shared" si="13"/>
        <v>6.5727063522954943</v>
      </c>
      <c r="I43" s="74">
        <f t="shared" si="13"/>
        <v>6.8772071026897326</v>
      </c>
      <c r="J43" s="74">
        <f t="shared" si="13"/>
        <v>5.4800251176263473</v>
      </c>
      <c r="K43" s="74">
        <f t="shared" si="13"/>
        <v>5.7264635942028121</v>
      </c>
      <c r="L43" s="74">
        <f t="shared" si="13"/>
        <v>4.937131366862495</v>
      </c>
      <c r="M43" s="74">
        <f t="shared" si="13"/>
        <v>4.59011194785404</v>
      </c>
      <c r="N43" s="74">
        <f t="shared" si="13"/>
        <v>3.5685819279141313</v>
      </c>
      <c r="O43" s="75">
        <f t="shared" si="13"/>
        <v>2.5216569392920531</v>
      </c>
      <c r="P43" s="75">
        <f t="shared" si="13"/>
        <v>3.137367911434743</v>
      </c>
      <c r="Q43" s="75">
        <f t="shared" si="13"/>
        <v>2.8962265368354418</v>
      </c>
      <c r="R43" s="75" t="e">
        <f t="shared" si="13"/>
        <v>#DIV/0!</v>
      </c>
      <c r="S43" s="75" t="e">
        <f t="shared" si="13"/>
        <v>#DIV/0!</v>
      </c>
      <c r="T43" s="75" t="e">
        <f t="shared" si="13"/>
        <v>#DIV/0!</v>
      </c>
      <c r="U43" s="75" t="e">
        <f t="shared" si="13"/>
        <v>#DIV/0!</v>
      </c>
      <c r="V43" s="75" t="e">
        <f t="shared" si="13"/>
        <v>#DIV/0!</v>
      </c>
      <c r="W43" s="75" t="e">
        <f t="shared" si="13"/>
        <v>#DIV/0!</v>
      </c>
      <c r="X43" s="75" t="e">
        <f t="shared" si="13"/>
        <v>#DIV/0!</v>
      </c>
      <c r="Y43" s="75" t="e">
        <f t="shared" si="13"/>
        <v>#DIV/0!</v>
      </c>
      <c r="Z43" s="75" t="e">
        <f t="shared" si="13"/>
        <v>#DIV/0!</v>
      </c>
      <c r="AA43" s="75" t="e">
        <f t="shared" si="13"/>
        <v>#DIV/0!</v>
      </c>
      <c r="AB43" s="75" t="e">
        <f t="shared" si="13"/>
        <v>#DIV/0!</v>
      </c>
      <c r="AC43" s="75" t="e">
        <f t="shared" si="13"/>
        <v>#DIV/0!</v>
      </c>
      <c r="AD43" s="75" t="e">
        <f t="shared" si="13"/>
        <v>#DIV/0!</v>
      </c>
      <c r="AE43" s="75" t="e">
        <f t="shared" si="13"/>
        <v>#DIV/0!</v>
      </c>
      <c r="AF43" s="75" t="e">
        <f t="shared" si="13"/>
        <v>#DIV/0!</v>
      </c>
      <c r="AJ43" s="74">
        <f t="shared" si="10"/>
        <v>5.5221878258470856</v>
      </c>
      <c r="AK43" s="74">
        <f t="shared" si="11"/>
        <v>6.8772071026897326</v>
      </c>
      <c r="AL43" s="74">
        <f t="shared" si="12"/>
        <v>4.59011194785404</v>
      </c>
    </row>
    <row r="44" spans="1:38" x14ac:dyDescent="0.2">
      <c r="A44" s="61" t="s">
        <v>13</v>
      </c>
      <c r="B44" s="74">
        <f t="shared" si="13"/>
        <v>6.2642753681213748</v>
      </c>
      <c r="C44" s="74">
        <f t="shared" si="13"/>
        <v>6.4972435223194713</v>
      </c>
      <c r="D44" s="74">
        <f t="shared" si="13"/>
        <v>6.2261277246023923</v>
      </c>
      <c r="E44" s="74">
        <f t="shared" si="13"/>
        <v>6.6648654196340189</v>
      </c>
      <c r="F44" s="74">
        <f t="shared" si="13"/>
        <v>6.2486984395403704</v>
      </c>
      <c r="G44" s="74">
        <f t="shared" si="13"/>
        <v>5.2263054320002222</v>
      </c>
      <c r="H44" s="74">
        <f t="shared" si="13"/>
        <v>6.1633588770281325</v>
      </c>
      <c r="I44" s="74">
        <f t="shared" si="13"/>
        <v>6.5746311865001879</v>
      </c>
      <c r="J44" s="74">
        <f t="shared" si="13"/>
        <v>6.3072311863688446</v>
      </c>
      <c r="K44" s="74">
        <f t="shared" si="13"/>
        <v>5.5768788174158423</v>
      </c>
      <c r="L44" s="74">
        <f t="shared" si="13"/>
        <v>3.7642781876078031</v>
      </c>
      <c r="M44" s="74">
        <f t="shared" si="13"/>
        <v>4.1307473697622115</v>
      </c>
      <c r="N44" s="74">
        <f t="shared" si="13"/>
        <v>2.8936696216497837</v>
      </c>
      <c r="O44" s="75">
        <f t="shared" si="13"/>
        <v>2.8620675100446196</v>
      </c>
      <c r="P44" s="75">
        <f t="shared" si="13"/>
        <v>3.1264093412564367</v>
      </c>
      <c r="Q44" s="75">
        <f t="shared" si="13"/>
        <v>2.7303941840521708</v>
      </c>
      <c r="R44" s="75" t="e">
        <f t="shared" si="13"/>
        <v>#DIV/0!</v>
      </c>
      <c r="S44" s="75" t="e">
        <f t="shared" si="13"/>
        <v>#DIV/0!</v>
      </c>
      <c r="T44" s="75" t="e">
        <f t="shared" si="13"/>
        <v>#DIV/0!</v>
      </c>
      <c r="U44" s="75" t="e">
        <f t="shared" si="13"/>
        <v>#DIV/0!</v>
      </c>
      <c r="V44" s="75" t="e">
        <f t="shared" si="13"/>
        <v>#DIV/0!</v>
      </c>
      <c r="W44" s="75" t="e">
        <f t="shared" si="13"/>
        <v>#DIV/0!</v>
      </c>
      <c r="X44" s="75" t="e">
        <f t="shared" si="13"/>
        <v>#DIV/0!</v>
      </c>
      <c r="Y44" s="75" t="e">
        <f t="shared" si="13"/>
        <v>#DIV/0!</v>
      </c>
      <c r="Z44" s="75" t="e">
        <f t="shared" si="13"/>
        <v>#DIV/0!</v>
      </c>
      <c r="AA44" s="75" t="e">
        <f t="shared" si="13"/>
        <v>#DIV/0!</v>
      </c>
      <c r="AB44" s="75" t="e">
        <f t="shared" si="13"/>
        <v>#DIV/0!</v>
      </c>
      <c r="AC44" s="75" t="e">
        <f t="shared" si="13"/>
        <v>#DIV/0!</v>
      </c>
      <c r="AD44" s="75" t="e">
        <f t="shared" si="13"/>
        <v>#DIV/0!</v>
      </c>
      <c r="AE44" s="75" t="e">
        <f t="shared" si="13"/>
        <v>#DIV/0!</v>
      </c>
      <c r="AF44" s="75" t="e">
        <f t="shared" si="13"/>
        <v>#DIV/0!</v>
      </c>
      <c r="AJ44" s="74">
        <f t="shared" si="10"/>
        <v>5.2707533495309784</v>
      </c>
      <c r="AK44" s="74">
        <f t="shared" si="11"/>
        <v>6.5746311865001879</v>
      </c>
      <c r="AL44" s="74">
        <f t="shared" si="12"/>
        <v>3.7642781876078031</v>
      </c>
    </row>
    <row r="45" spans="1:38" x14ac:dyDescent="0.2">
      <c r="A45" s="61" t="s">
        <v>14</v>
      </c>
      <c r="B45" s="74">
        <f t="shared" si="13"/>
        <v>5.8137978099323986</v>
      </c>
      <c r="C45" s="74">
        <f t="shared" si="13"/>
        <v>6.9230569685428636</v>
      </c>
      <c r="D45" s="74">
        <f t="shared" si="13"/>
        <v>5.8573141882533761</v>
      </c>
      <c r="E45" s="74">
        <f t="shared" si="13"/>
        <v>6.2805175674479976</v>
      </c>
      <c r="F45" s="74">
        <f t="shared" si="13"/>
        <v>5.8856849759795322</v>
      </c>
      <c r="G45" s="74">
        <f t="shared" si="13"/>
        <v>5.5846689140952304</v>
      </c>
      <c r="H45" s="74">
        <f t="shared" si="13"/>
        <v>6.1883055452653961</v>
      </c>
      <c r="I45" s="74">
        <f t="shared" si="13"/>
        <v>6.4291628156857632</v>
      </c>
      <c r="J45" s="74">
        <f t="shared" si="13"/>
        <v>5.6339938321839469</v>
      </c>
      <c r="K45" s="74">
        <f t="shared" si="13"/>
        <v>5.3642526164353876</v>
      </c>
      <c r="L45" s="74">
        <f t="shared" si="13"/>
        <v>4.6937635337629526</v>
      </c>
      <c r="M45" s="74">
        <f t="shared" si="13"/>
        <v>3.9521884868440607</v>
      </c>
      <c r="N45" s="74">
        <f t="shared" si="13"/>
        <v>2.9680070485580963</v>
      </c>
      <c r="O45" s="75">
        <f t="shared" si="13"/>
        <v>2.7646365433665312</v>
      </c>
      <c r="P45" s="75">
        <f t="shared" si="13"/>
        <v>3.0551600189486217</v>
      </c>
      <c r="Q45" s="75">
        <f t="shared" si="13"/>
        <v>2.6941476751281437</v>
      </c>
      <c r="R45" s="75" t="e">
        <f t="shared" si="13"/>
        <v>#DIV/0!</v>
      </c>
      <c r="S45" s="75" t="e">
        <f t="shared" si="13"/>
        <v>#DIV/0!</v>
      </c>
      <c r="T45" s="75" t="e">
        <f t="shared" si="13"/>
        <v>#DIV/0!</v>
      </c>
      <c r="U45" s="75" t="e">
        <f t="shared" si="13"/>
        <v>#DIV/0!</v>
      </c>
      <c r="V45" s="75" t="e">
        <f t="shared" si="13"/>
        <v>#DIV/0!</v>
      </c>
      <c r="W45" s="75" t="e">
        <f t="shared" si="13"/>
        <v>#DIV/0!</v>
      </c>
      <c r="X45" s="75" t="e">
        <f t="shared" si="13"/>
        <v>#DIV/0!</v>
      </c>
      <c r="Y45" s="75" t="e">
        <f t="shared" si="13"/>
        <v>#DIV/0!</v>
      </c>
      <c r="Z45" s="75" t="e">
        <f t="shared" si="13"/>
        <v>#DIV/0!</v>
      </c>
      <c r="AA45" s="75" t="e">
        <f t="shared" si="13"/>
        <v>#DIV/0!</v>
      </c>
      <c r="AB45" s="75" t="e">
        <f t="shared" si="13"/>
        <v>#DIV/0!</v>
      </c>
      <c r="AC45" s="75" t="e">
        <f t="shared" si="13"/>
        <v>#DIV/0!</v>
      </c>
      <c r="AD45" s="75" t="e">
        <f t="shared" si="13"/>
        <v>#DIV/0!</v>
      </c>
      <c r="AE45" s="75" t="e">
        <f t="shared" si="13"/>
        <v>#DIV/0!</v>
      </c>
      <c r="AF45" s="75" t="e">
        <f t="shared" si="13"/>
        <v>#DIV/0!</v>
      </c>
      <c r="AJ45" s="74">
        <f t="shared" si="10"/>
        <v>5.2146722569824231</v>
      </c>
      <c r="AK45" s="74">
        <f t="shared" si="11"/>
        <v>6.4291628156857632</v>
      </c>
      <c r="AL45" s="74">
        <f t="shared" si="12"/>
        <v>3.9521884868440607</v>
      </c>
    </row>
    <row r="46" spans="1:38" x14ac:dyDescent="0.2">
      <c r="A46" s="61" t="s">
        <v>15</v>
      </c>
      <c r="B46" s="74">
        <f t="shared" si="13"/>
        <v>6.4526260770574959</v>
      </c>
      <c r="C46" s="74">
        <f t="shared" si="13"/>
        <v>6.4058321537701897</v>
      </c>
      <c r="D46" s="74">
        <f t="shared" si="13"/>
        <v>6.1313905121214773</v>
      </c>
      <c r="E46" s="74">
        <f t="shared" si="13"/>
        <v>6.2272850286929229</v>
      </c>
      <c r="F46" s="74">
        <f t="shared" si="13"/>
        <v>6.6788467102597497</v>
      </c>
      <c r="G46" s="74">
        <f t="shared" si="13"/>
        <v>6.1321596779048102</v>
      </c>
      <c r="H46" s="74">
        <f t="shared" si="13"/>
        <v>6.3427208414311487</v>
      </c>
      <c r="I46" s="74">
        <f t="shared" ref="B46:AF48" si="14">(I29*1000000)/I12</f>
        <v>6.0171376252930306</v>
      </c>
      <c r="J46" s="74">
        <f t="shared" si="14"/>
        <v>5.1909929176756577</v>
      </c>
      <c r="K46" s="74">
        <f t="shared" si="14"/>
        <v>6.5548385637376745</v>
      </c>
      <c r="L46" s="74">
        <f t="shared" si="14"/>
        <v>5.0011000446050353</v>
      </c>
      <c r="M46" s="74">
        <f t="shared" si="14"/>
        <v>4.4670119524154099</v>
      </c>
      <c r="N46" s="74">
        <f t="shared" si="14"/>
        <v>3.0937320710915621</v>
      </c>
      <c r="O46" s="75">
        <f t="shared" si="14"/>
        <v>2.3619863201485356</v>
      </c>
      <c r="P46" s="75">
        <f t="shared" si="14"/>
        <v>2.7605878105198078</v>
      </c>
      <c r="Q46" s="75">
        <f t="shared" si="14"/>
        <v>2.5972081127674791</v>
      </c>
      <c r="R46" s="75" t="e">
        <f t="shared" si="14"/>
        <v>#DIV/0!</v>
      </c>
      <c r="S46" s="75" t="e">
        <f t="shared" si="14"/>
        <v>#DIV/0!</v>
      </c>
      <c r="T46" s="75" t="e">
        <f t="shared" si="14"/>
        <v>#DIV/0!</v>
      </c>
      <c r="U46" s="75" t="e">
        <f t="shared" si="14"/>
        <v>#DIV/0!</v>
      </c>
      <c r="V46" s="75" t="e">
        <f t="shared" si="14"/>
        <v>#DIV/0!</v>
      </c>
      <c r="W46" s="75" t="e">
        <f t="shared" si="14"/>
        <v>#DIV/0!</v>
      </c>
      <c r="X46" s="75" t="e">
        <f t="shared" si="14"/>
        <v>#DIV/0!</v>
      </c>
      <c r="Y46" s="75" t="e">
        <f t="shared" si="14"/>
        <v>#DIV/0!</v>
      </c>
      <c r="Z46" s="75" t="e">
        <f t="shared" si="14"/>
        <v>#DIV/0!</v>
      </c>
      <c r="AA46" s="75" t="e">
        <f t="shared" si="14"/>
        <v>#DIV/0!</v>
      </c>
      <c r="AB46" s="75" t="e">
        <f t="shared" si="14"/>
        <v>#DIV/0!</v>
      </c>
      <c r="AC46" s="75" t="e">
        <f t="shared" si="14"/>
        <v>#DIV/0!</v>
      </c>
      <c r="AD46" s="75" t="e">
        <f t="shared" si="14"/>
        <v>#DIV/0!</v>
      </c>
      <c r="AE46" s="75" t="e">
        <f t="shared" si="14"/>
        <v>#DIV/0!</v>
      </c>
      <c r="AF46" s="75" t="e">
        <f t="shared" si="14"/>
        <v>#DIV/0!</v>
      </c>
      <c r="AJ46" s="74">
        <f t="shared" si="10"/>
        <v>5.4462162207453613</v>
      </c>
      <c r="AK46" s="74">
        <f t="shared" si="11"/>
        <v>6.5548385637376745</v>
      </c>
      <c r="AL46" s="74">
        <f t="shared" si="12"/>
        <v>4.4670119524154099</v>
      </c>
    </row>
    <row r="47" spans="1:38" x14ac:dyDescent="0.2">
      <c r="A47" s="61" t="s">
        <v>16</v>
      </c>
      <c r="B47" s="74">
        <f t="shared" si="14"/>
        <v>6.9275430658346728</v>
      </c>
      <c r="C47" s="74">
        <f t="shared" si="14"/>
        <v>5.5525585918472471</v>
      </c>
      <c r="D47" s="74">
        <f t="shared" si="14"/>
        <v>6.8327538507329448</v>
      </c>
      <c r="E47" s="74">
        <f t="shared" si="14"/>
        <v>6.8201590623386066</v>
      </c>
      <c r="F47" s="74">
        <f t="shared" si="14"/>
        <v>6.8058089943658571</v>
      </c>
      <c r="G47" s="74">
        <f t="shared" si="14"/>
        <v>6.258567471740923</v>
      </c>
      <c r="H47" s="74">
        <f t="shared" si="14"/>
        <v>6.5814955907815635</v>
      </c>
      <c r="I47" s="74">
        <f t="shared" si="14"/>
        <v>6.2578908008518246</v>
      </c>
      <c r="J47" s="74">
        <f t="shared" si="14"/>
        <v>5.9200548911942557</v>
      </c>
      <c r="K47" s="74">
        <f t="shared" si="14"/>
        <v>5.8117416961115538</v>
      </c>
      <c r="L47" s="74">
        <f t="shared" si="14"/>
        <v>3.9917704517485211</v>
      </c>
      <c r="M47" s="74">
        <f t="shared" si="14"/>
        <v>3.3536507601163148</v>
      </c>
      <c r="N47" s="74">
        <f t="shared" si="14"/>
        <v>3.0892749042109298</v>
      </c>
      <c r="O47" s="75">
        <f t="shared" si="14"/>
        <v>2.5052631678479527</v>
      </c>
      <c r="P47" s="75">
        <f t="shared" si="14"/>
        <v>2.6306344031333642</v>
      </c>
      <c r="Q47" s="75">
        <f t="shared" si="14"/>
        <v>2.1794593356879943</v>
      </c>
      <c r="R47" s="75" t="e">
        <f t="shared" si="14"/>
        <v>#DIV/0!</v>
      </c>
      <c r="S47" s="75" t="e">
        <f t="shared" si="14"/>
        <v>#DIV/0!</v>
      </c>
      <c r="T47" s="75" t="e">
        <f t="shared" si="14"/>
        <v>#DIV/0!</v>
      </c>
      <c r="U47" s="75" t="e">
        <f t="shared" si="14"/>
        <v>#DIV/0!</v>
      </c>
      <c r="V47" s="75" t="e">
        <f t="shared" si="14"/>
        <v>#DIV/0!</v>
      </c>
      <c r="W47" s="75" t="e">
        <f t="shared" si="14"/>
        <v>#DIV/0!</v>
      </c>
      <c r="X47" s="75" t="e">
        <f t="shared" si="14"/>
        <v>#DIV/0!</v>
      </c>
      <c r="Y47" s="75" t="e">
        <f t="shared" si="14"/>
        <v>#DIV/0!</v>
      </c>
      <c r="Z47" s="75" t="e">
        <f t="shared" si="14"/>
        <v>#DIV/0!</v>
      </c>
      <c r="AA47" s="75" t="e">
        <f t="shared" si="14"/>
        <v>#DIV/0!</v>
      </c>
      <c r="AB47" s="75" t="e">
        <f t="shared" si="14"/>
        <v>#DIV/0!</v>
      </c>
      <c r="AC47" s="75" t="e">
        <f t="shared" si="14"/>
        <v>#DIV/0!</v>
      </c>
      <c r="AD47" s="75" t="e">
        <f t="shared" si="14"/>
        <v>#DIV/0!</v>
      </c>
      <c r="AE47" s="75" t="e">
        <f t="shared" si="14"/>
        <v>#DIV/0!</v>
      </c>
      <c r="AF47" s="75" t="e">
        <f t="shared" si="14"/>
        <v>#DIV/0!</v>
      </c>
      <c r="AJ47" s="74">
        <f t="shared" si="10"/>
        <v>5.0670217200044947</v>
      </c>
      <c r="AK47" s="74">
        <f t="shared" si="11"/>
        <v>6.2578908008518246</v>
      </c>
      <c r="AL47" s="74">
        <f t="shared" si="12"/>
        <v>3.3536507601163148</v>
      </c>
    </row>
    <row r="48" spans="1:38" x14ac:dyDescent="0.2">
      <c r="A48" s="61" t="s">
        <v>17</v>
      </c>
      <c r="B48" s="74">
        <f t="shared" si="14"/>
        <v>5.0581511362088039</v>
      </c>
      <c r="C48" s="74">
        <f t="shared" si="14"/>
        <v>6.9570771262538722</v>
      </c>
      <c r="D48" s="74">
        <f t="shared" si="14"/>
        <v>5.3154130719493269</v>
      </c>
      <c r="E48" s="74">
        <f t="shared" si="14"/>
        <v>4.6681650843288356</v>
      </c>
      <c r="F48" s="74">
        <f t="shared" si="14"/>
        <v>6.1140523723600824</v>
      </c>
      <c r="G48" s="74">
        <f t="shared" si="14"/>
        <v>4.8027239325310713</v>
      </c>
      <c r="H48" s="74">
        <f t="shared" si="14"/>
        <v>5.9174085350455741</v>
      </c>
      <c r="I48" s="74">
        <f t="shared" si="14"/>
        <v>5.4369686332497356</v>
      </c>
      <c r="J48" s="74">
        <f t="shared" si="14"/>
        <v>5.1471392093444486</v>
      </c>
      <c r="K48" s="74">
        <f t="shared" si="14"/>
        <v>4.9408988060082173</v>
      </c>
      <c r="L48" s="74">
        <f t="shared" si="14"/>
        <v>3.9699097828369236</v>
      </c>
      <c r="M48" s="74">
        <f t="shared" si="14"/>
        <v>3.443536350814834</v>
      </c>
      <c r="N48" s="74">
        <f t="shared" si="14"/>
        <v>2.463887586194466</v>
      </c>
      <c r="O48" s="75">
        <f t="shared" si="14"/>
        <v>2.0099379938846105</v>
      </c>
      <c r="P48" s="75">
        <f t="shared" si="14"/>
        <v>3.3888947678122192</v>
      </c>
      <c r="Q48" s="75">
        <f t="shared" si="14"/>
        <v>2.032117697992565</v>
      </c>
      <c r="R48" s="75" t="e">
        <f t="shared" si="14"/>
        <v>#DIV/0!</v>
      </c>
      <c r="S48" s="75" t="e">
        <f t="shared" si="14"/>
        <v>#DIV/0!</v>
      </c>
      <c r="T48" s="75" t="e">
        <f t="shared" si="14"/>
        <v>#DIV/0!</v>
      </c>
      <c r="U48" s="75" t="e">
        <f t="shared" si="14"/>
        <v>#DIV/0!</v>
      </c>
      <c r="V48" s="75" t="e">
        <f t="shared" si="14"/>
        <v>#DIV/0!</v>
      </c>
      <c r="W48" s="75" t="e">
        <f t="shared" si="14"/>
        <v>#DIV/0!</v>
      </c>
      <c r="X48" s="75" t="e">
        <f t="shared" si="14"/>
        <v>#DIV/0!</v>
      </c>
      <c r="Y48" s="75" t="e">
        <f t="shared" si="14"/>
        <v>#DIV/0!</v>
      </c>
      <c r="Z48" s="75" t="e">
        <f t="shared" si="14"/>
        <v>#DIV/0!</v>
      </c>
      <c r="AA48" s="75" t="e">
        <f t="shared" si="14"/>
        <v>#DIV/0!</v>
      </c>
      <c r="AB48" s="75" t="e">
        <f t="shared" si="14"/>
        <v>#DIV/0!</v>
      </c>
      <c r="AC48" s="75" t="e">
        <f t="shared" si="14"/>
        <v>#DIV/0!</v>
      </c>
      <c r="AD48" s="75" t="e">
        <f t="shared" si="14"/>
        <v>#DIV/0!</v>
      </c>
      <c r="AE48" s="75" t="e">
        <f t="shared" si="14"/>
        <v>#DIV/0!</v>
      </c>
      <c r="AF48" s="75" t="e">
        <f t="shared" si="14"/>
        <v>#DIV/0!</v>
      </c>
      <c r="AJ48" s="74">
        <f t="shared" si="10"/>
        <v>4.5876905564508323</v>
      </c>
      <c r="AK48" s="74">
        <f t="shared" si="11"/>
        <v>5.4369686332497356</v>
      </c>
      <c r="AL48" s="74">
        <f t="shared" si="12"/>
        <v>3.443536350814834</v>
      </c>
    </row>
    <row r="49" spans="1:38" ht="12" thickBot="1" x14ac:dyDescent="0.25">
      <c r="A49" s="64" t="s">
        <v>24</v>
      </c>
      <c r="B49" s="76">
        <f>AVERAGE(B37:B48)</f>
        <v>6.4858834227820852</v>
      </c>
      <c r="C49" s="76">
        <f t="shared" ref="C49:AF49" si="15">AVERAGE(C37:C48)</f>
        <v>6.7211148851913451</v>
      </c>
      <c r="D49" s="76">
        <f t="shared" si="15"/>
        <v>6.3654391646220523</v>
      </c>
      <c r="E49" s="76">
        <f t="shared" si="15"/>
        <v>6.1189321858384771</v>
      </c>
      <c r="F49" s="76">
        <f t="shared" si="15"/>
        <v>6.4060074455021558</v>
      </c>
      <c r="G49" s="76">
        <f t="shared" si="15"/>
        <v>5.8162392650845698</v>
      </c>
      <c r="H49" s="76">
        <f t="shared" si="15"/>
        <v>6.5646336001889951</v>
      </c>
      <c r="I49" s="76">
        <f t="shared" si="15"/>
        <v>6.4351932061654225</v>
      </c>
      <c r="J49" s="76">
        <f t="shared" si="15"/>
        <v>5.8425712619882555</v>
      </c>
      <c r="K49" s="76">
        <f t="shared" si="15"/>
        <v>5.7051295498187038</v>
      </c>
      <c r="L49" s="76">
        <f t="shared" si="15"/>
        <v>4.770571989505398</v>
      </c>
      <c r="M49" s="76">
        <f t="shared" si="15"/>
        <v>4.1463719181142791</v>
      </c>
      <c r="N49" s="76">
        <f t="shared" si="15"/>
        <v>3.2252149193733057</v>
      </c>
      <c r="O49" s="77">
        <f t="shared" si="15"/>
        <v>2.6256413757209125</v>
      </c>
      <c r="P49" s="77">
        <f t="shared" si="15"/>
        <v>2.8829193017939492</v>
      </c>
      <c r="Q49" s="77">
        <f t="shared" si="15"/>
        <v>2.7444636056453198</v>
      </c>
      <c r="R49" s="77" t="e">
        <f t="shared" si="15"/>
        <v>#DIV/0!</v>
      </c>
      <c r="S49" s="77" t="e">
        <f t="shared" si="15"/>
        <v>#DIV/0!</v>
      </c>
      <c r="T49" s="77" t="e">
        <f t="shared" si="15"/>
        <v>#DIV/0!</v>
      </c>
      <c r="U49" s="77" t="e">
        <f t="shared" si="15"/>
        <v>#DIV/0!</v>
      </c>
      <c r="V49" s="77" t="e">
        <f t="shared" si="15"/>
        <v>#DIV/0!</v>
      </c>
      <c r="W49" s="77" t="e">
        <f t="shared" si="15"/>
        <v>#DIV/0!</v>
      </c>
      <c r="X49" s="77" t="e">
        <f t="shared" si="15"/>
        <v>#DIV/0!</v>
      </c>
      <c r="Y49" s="77" t="e">
        <f t="shared" si="15"/>
        <v>#DIV/0!</v>
      </c>
      <c r="Z49" s="77" t="e">
        <f t="shared" si="15"/>
        <v>#DIV/0!</v>
      </c>
      <c r="AA49" s="77" t="e">
        <f t="shared" si="15"/>
        <v>#DIV/0!</v>
      </c>
      <c r="AB49" s="77" t="e">
        <f t="shared" si="15"/>
        <v>#DIV/0!</v>
      </c>
      <c r="AC49" s="77" t="e">
        <f t="shared" si="15"/>
        <v>#DIV/0!</v>
      </c>
      <c r="AD49" s="77" t="e">
        <f t="shared" si="15"/>
        <v>#DIV/0!</v>
      </c>
      <c r="AE49" s="77" t="e">
        <f t="shared" si="15"/>
        <v>#DIV/0!</v>
      </c>
      <c r="AF49" s="77" t="e">
        <f t="shared" si="15"/>
        <v>#DIV/0!</v>
      </c>
      <c r="AJ49" s="76">
        <f>AVERAGE(AJ37:AJ48)</f>
        <v>5.3799675851184121</v>
      </c>
      <c r="AK49" s="76">
        <f>AVERAGE(AK37:AK48)</f>
        <v>6.4901040404904293</v>
      </c>
      <c r="AL49" s="76">
        <f>AVERAGE(AL37:AL48)</f>
        <v>4.0946218517464876</v>
      </c>
    </row>
    <row r="50" spans="1:38" ht="12" thickTop="1" x14ac:dyDescent="0.2">
      <c r="A50" s="67" t="s">
        <v>25</v>
      </c>
      <c r="B50" s="78">
        <f>MAX(B37:B48)</f>
        <v>7.2341310519913362</v>
      </c>
      <c r="C50" s="78">
        <f t="shared" ref="C50:AF50" si="16">MAX(C37:C48)</f>
        <v>8.4090962857690084</v>
      </c>
      <c r="D50" s="78">
        <f t="shared" si="16"/>
        <v>7.0743605079344203</v>
      </c>
      <c r="E50" s="78">
        <f t="shared" si="16"/>
        <v>6.8201590623386066</v>
      </c>
      <c r="F50" s="78">
        <f t="shared" si="16"/>
        <v>7.2903646779405777</v>
      </c>
      <c r="G50" s="78">
        <f t="shared" si="16"/>
        <v>7.152473974168144</v>
      </c>
      <c r="H50" s="78">
        <f t="shared" si="16"/>
        <v>8.3499109018564148</v>
      </c>
      <c r="I50" s="78">
        <f t="shared" si="16"/>
        <v>7.4079061346404531</v>
      </c>
      <c r="J50" s="78">
        <f t="shared" si="16"/>
        <v>7.5291352080958855</v>
      </c>
      <c r="K50" s="78">
        <f t="shared" si="16"/>
        <v>6.5548385637376745</v>
      </c>
      <c r="L50" s="78">
        <f t="shared" si="16"/>
        <v>6.6078129509455463</v>
      </c>
      <c r="M50" s="78">
        <f t="shared" si="16"/>
        <v>5.3055846449772925</v>
      </c>
      <c r="N50" s="78">
        <f t="shared" si="16"/>
        <v>3.6932396718890677</v>
      </c>
      <c r="O50" s="79">
        <f t="shared" si="16"/>
        <v>2.9583185979896753</v>
      </c>
      <c r="P50" s="79">
        <f t="shared" si="16"/>
        <v>3.3888947678122192</v>
      </c>
      <c r="Q50" s="79">
        <f t="shared" si="16"/>
        <v>3.4279335848172452</v>
      </c>
      <c r="R50" s="79" t="e">
        <f t="shared" si="16"/>
        <v>#DIV/0!</v>
      </c>
      <c r="S50" s="79" t="e">
        <f t="shared" si="16"/>
        <v>#DIV/0!</v>
      </c>
      <c r="T50" s="79" t="e">
        <f t="shared" si="16"/>
        <v>#DIV/0!</v>
      </c>
      <c r="U50" s="79" t="e">
        <f t="shared" si="16"/>
        <v>#DIV/0!</v>
      </c>
      <c r="V50" s="79" t="e">
        <f t="shared" si="16"/>
        <v>#DIV/0!</v>
      </c>
      <c r="W50" s="79" t="e">
        <f t="shared" si="16"/>
        <v>#DIV/0!</v>
      </c>
      <c r="X50" s="79" t="e">
        <f t="shared" si="16"/>
        <v>#DIV/0!</v>
      </c>
      <c r="Y50" s="79" t="e">
        <f t="shared" si="16"/>
        <v>#DIV/0!</v>
      </c>
      <c r="Z50" s="79" t="e">
        <f t="shared" si="16"/>
        <v>#DIV/0!</v>
      </c>
      <c r="AA50" s="79" t="e">
        <f t="shared" si="16"/>
        <v>#DIV/0!</v>
      </c>
      <c r="AB50" s="79" t="e">
        <f t="shared" si="16"/>
        <v>#DIV/0!</v>
      </c>
      <c r="AC50" s="79" t="e">
        <f t="shared" si="16"/>
        <v>#DIV/0!</v>
      </c>
      <c r="AD50" s="79" t="e">
        <f t="shared" si="16"/>
        <v>#DIV/0!</v>
      </c>
      <c r="AE50" s="79" t="e">
        <f t="shared" si="16"/>
        <v>#DIV/0!</v>
      </c>
      <c r="AF50" s="79" t="e">
        <f t="shared" si="16"/>
        <v>#DIV/0!</v>
      </c>
    </row>
    <row r="51" spans="1:38" x14ac:dyDescent="0.2">
      <c r="A51" s="61" t="s">
        <v>26</v>
      </c>
      <c r="B51" s="74">
        <f>MIN(B37:B48)</f>
        <v>5.0581511362088039</v>
      </c>
      <c r="C51" s="74">
        <f t="shared" ref="C51:AF51" si="17">MIN(C37:C48)</f>
        <v>5.5525585918472471</v>
      </c>
      <c r="D51" s="74">
        <f t="shared" si="17"/>
        <v>5.3154130719493269</v>
      </c>
      <c r="E51" s="74">
        <f t="shared" si="17"/>
        <v>4.6681650843288356</v>
      </c>
      <c r="F51" s="74">
        <f t="shared" si="17"/>
        <v>5.8856849759795322</v>
      </c>
      <c r="G51" s="74">
        <f t="shared" si="17"/>
        <v>4.8027239325310713</v>
      </c>
      <c r="H51" s="74">
        <f t="shared" si="17"/>
        <v>5.9174085350455741</v>
      </c>
      <c r="I51" s="74">
        <f t="shared" si="17"/>
        <v>5.4369686332497356</v>
      </c>
      <c r="J51" s="74">
        <f t="shared" si="17"/>
        <v>5.1471392093444486</v>
      </c>
      <c r="K51" s="74">
        <f t="shared" si="17"/>
        <v>4.9408988060082173</v>
      </c>
      <c r="L51" s="74">
        <f t="shared" si="17"/>
        <v>3.7642781876078031</v>
      </c>
      <c r="M51" s="74">
        <f t="shared" si="17"/>
        <v>3.3536507601163148</v>
      </c>
      <c r="N51" s="74">
        <f t="shared" si="17"/>
        <v>2.463887586194466</v>
      </c>
      <c r="O51" s="75">
        <f t="shared" si="17"/>
        <v>2.0099379938846105</v>
      </c>
      <c r="P51" s="75">
        <f t="shared" si="17"/>
        <v>2.2113507604581528</v>
      </c>
      <c r="Q51" s="75">
        <f t="shared" si="17"/>
        <v>2.032117697992565</v>
      </c>
      <c r="R51" s="75" t="e">
        <f t="shared" si="17"/>
        <v>#DIV/0!</v>
      </c>
      <c r="S51" s="75" t="e">
        <f t="shared" si="17"/>
        <v>#DIV/0!</v>
      </c>
      <c r="T51" s="75" t="e">
        <f t="shared" si="17"/>
        <v>#DIV/0!</v>
      </c>
      <c r="U51" s="75" t="e">
        <f t="shared" si="17"/>
        <v>#DIV/0!</v>
      </c>
      <c r="V51" s="75" t="e">
        <f t="shared" si="17"/>
        <v>#DIV/0!</v>
      </c>
      <c r="W51" s="75" t="e">
        <f t="shared" si="17"/>
        <v>#DIV/0!</v>
      </c>
      <c r="X51" s="75" t="e">
        <f t="shared" si="17"/>
        <v>#DIV/0!</v>
      </c>
      <c r="Y51" s="75" t="e">
        <f t="shared" si="17"/>
        <v>#DIV/0!</v>
      </c>
      <c r="Z51" s="75" t="e">
        <f t="shared" si="17"/>
        <v>#DIV/0!</v>
      </c>
      <c r="AA51" s="75" t="e">
        <f t="shared" si="17"/>
        <v>#DIV/0!</v>
      </c>
      <c r="AB51" s="75" t="e">
        <f t="shared" si="17"/>
        <v>#DIV/0!</v>
      </c>
      <c r="AC51" s="75" t="e">
        <f t="shared" si="17"/>
        <v>#DIV/0!</v>
      </c>
      <c r="AD51" s="75" t="e">
        <f t="shared" si="17"/>
        <v>#DIV/0!</v>
      </c>
      <c r="AE51" s="75" t="e">
        <f t="shared" si="17"/>
        <v>#DIV/0!</v>
      </c>
      <c r="AF51" s="75" t="e">
        <f t="shared" si="17"/>
        <v>#DIV/0!</v>
      </c>
    </row>
    <row r="54" spans="1:38" ht="12" thickBot="1" x14ac:dyDescent="0.25">
      <c r="A54" s="61" t="s">
        <v>27</v>
      </c>
    </row>
    <row r="55" spans="1:38" ht="12.75" thickTop="1" thickBot="1" x14ac:dyDescent="0.25">
      <c r="A55" s="62"/>
      <c r="B55" s="63">
        <f>B2</f>
        <v>2011</v>
      </c>
      <c r="C55" s="63">
        <f t="shared" ref="C55:AF55" si="18">C2</f>
        <v>2012</v>
      </c>
      <c r="D55" s="63">
        <f t="shared" si="18"/>
        <v>2013</v>
      </c>
      <c r="E55" s="63">
        <f t="shared" si="18"/>
        <v>2014</v>
      </c>
      <c r="F55" s="63">
        <f t="shared" si="18"/>
        <v>2015</v>
      </c>
      <c r="G55" s="63">
        <f t="shared" si="18"/>
        <v>2016</v>
      </c>
      <c r="H55" s="63">
        <f t="shared" si="18"/>
        <v>2017</v>
      </c>
      <c r="I55" s="63">
        <f t="shared" si="18"/>
        <v>2018</v>
      </c>
      <c r="J55" s="63">
        <f t="shared" si="18"/>
        <v>2019</v>
      </c>
      <c r="K55" s="63">
        <f t="shared" si="18"/>
        <v>2020</v>
      </c>
      <c r="L55" s="63">
        <f t="shared" si="18"/>
        <v>2021</v>
      </c>
      <c r="M55" s="63">
        <f t="shared" si="18"/>
        <v>2022</v>
      </c>
      <c r="N55" s="63">
        <f t="shared" si="18"/>
        <v>2023</v>
      </c>
      <c r="O55" s="63">
        <f t="shared" si="18"/>
        <v>2024</v>
      </c>
      <c r="P55" s="63">
        <f t="shared" si="18"/>
        <v>2025</v>
      </c>
      <c r="Q55" s="63">
        <f t="shared" si="18"/>
        <v>2026</v>
      </c>
      <c r="R55" s="63">
        <f t="shared" si="18"/>
        <v>2027</v>
      </c>
      <c r="S55" s="63">
        <f t="shared" si="18"/>
        <v>2028</v>
      </c>
      <c r="T55" s="63">
        <f t="shared" si="18"/>
        <v>2029</v>
      </c>
      <c r="U55" s="63">
        <f t="shared" si="18"/>
        <v>2030</v>
      </c>
      <c r="V55" s="63">
        <f t="shared" si="18"/>
        <v>2031</v>
      </c>
      <c r="W55" s="63">
        <f t="shared" si="18"/>
        <v>2032</v>
      </c>
      <c r="X55" s="63">
        <f t="shared" si="18"/>
        <v>2033</v>
      </c>
      <c r="Y55" s="63">
        <f t="shared" si="18"/>
        <v>2034</v>
      </c>
      <c r="Z55" s="63">
        <f t="shared" si="18"/>
        <v>2035</v>
      </c>
      <c r="AA55" s="63">
        <f t="shared" si="18"/>
        <v>2036</v>
      </c>
      <c r="AB55" s="63">
        <f t="shared" si="18"/>
        <v>2037</v>
      </c>
      <c r="AC55" s="63">
        <f t="shared" si="18"/>
        <v>2038</v>
      </c>
      <c r="AD55" s="63">
        <f t="shared" si="18"/>
        <v>2039</v>
      </c>
      <c r="AE55" s="63">
        <f t="shared" si="18"/>
        <v>2040</v>
      </c>
      <c r="AF55" s="63">
        <f t="shared" si="18"/>
        <v>2041</v>
      </c>
    </row>
    <row r="56" spans="1:38" ht="12" thickTop="1" x14ac:dyDescent="0.2">
      <c r="A56" s="61" t="s">
        <v>6</v>
      </c>
      <c r="B56" s="35">
        <f>'[1]Soy Complex'!AZ406</f>
        <v>150</v>
      </c>
      <c r="C56" s="35">
        <f>'[1]Soy Complex'!BA406</f>
        <v>306</v>
      </c>
      <c r="D56" s="35">
        <f>'[1]Soy Complex'!BB406</f>
        <v>313</v>
      </c>
      <c r="E56" s="35">
        <f>'[1]Soy Complex'!BC406</f>
        <v>241</v>
      </c>
      <c r="F56" s="35">
        <f>'[1]Soy Complex'!BD406</f>
        <v>306</v>
      </c>
      <c r="G56" s="35">
        <f>'[1]Soy Complex'!BE406</f>
        <v>392.27</v>
      </c>
      <c r="H56" s="35">
        <f>'[1]Soy Complex'!BF406</f>
        <v>390.11</v>
      </c>
      <c r="I56" s="35">
        <f>'[1]Soy Complex'!BG406</f>
        <v>462.12</v>
      </c>
      <c r="J56" s="35">
        <f>'[1]Soy Complex'!BH406</f>
        <v>622.80999999999995</v>
      </c>
      <c r="K56" s="35">
        <f>'[1]Soy Complex'!BI406</f>
        <v>521</v>
      </c>
      <c r="L56" s="35">
        <f>'[1]Soy Complex'!BJ406</f>
        <v>464.92010627046363</v>
      </c>
      <c r="M56" s="35">
        <f>'[1]Soy Complex'!BK406</f>
        <v>543.04</v>
      </c>
      <c r="N56" s="35">
        <f>'[1]Soy Complex'!BL406</f>
        <v>556.82899999999995</v>
      </c>
      <c r="O56" s="35">
        <f>'[1]Soy Complex'!BM406</f>
        <v>544.50800000000004</v>
      </c>
      <c r="P56" s="35">
        <f>'[1]Soy Complex'!BN406</f>
        <v>384.27600000000001</v>
      </c>
      <c r="Q56" s="35">
        <f>'[1]Soy Complex'!BO406</f>
        <v>478.36360757242039</v>
      </c>
      <c r="R56" s="35">
        <f>'[1]Soy Complex'!BP406</f>
        <v>464.07479999959344</v>
      </c>
      <c r="S56" s="35">
        <f>'[1]Soy Complex'!BQ406</f>
        <v>367.73627538584213</v>
      </c>
      <c r="T56" s="35">
        <f>'[1]Soy Complex'!BR406</f>
        <v>403.22638169924284</v>
      </c>
      <c r="U56" s="35">
        <f>'[1]Soy Complex'!BS406</f>
        <v>386.85456256568551</v>
      </c>
      <c r="V56" s="35">
        <f>'[1]Soy Complex'!BT406</f>
        <v>391.09951312598355</v>
      </c>
      <c r="W56" s="35">
        <f>'[1]Soy Complex'!BU406</f>
        <v>397.89169599141644</v>
      </c>
      <c r="X56" s="35">
        <f>'[1]Soy Complex'!BV406</f>
        <v>286.02354450611637</v>
      </c>
      <c r="Y56" s="35">
        <f>'[1]Soy Complex'!BW406</f>
        <v>394.31582135946041</v>
      </c>
      <c r="Z56" s="35">
        <f>'[1]Soy Complex'!BX406</f>
        <v>393.24810364243757</v>
      </c>
      <c r="AA56" s="35">
        <f>'[1]Soy Complex'!BY406</f>
        <v>359.32640039795939</v>
      </c>
      <c r="AB56" s="35">
        <f>'[1]Soy Complex'!BZ406</f>
        <v>302.45109932727462</v>
      </c>
      <c r="AC56" s="35">
        <f>'[1]Soy Complex'!CA406</f>
        <v>308.68275200869294</v>
      </c>
      <c r="AD56" s="35">
        <f>'[1]Soy Complex'!CB406</f>
        <v>308.68275200869294</v>
      </c>
      <c r="AE56" s="35">
        <f>'[1]Soy Complex'!CC406</f>
        <v>135.79942391861636</v>
      </c>
      <c r="AF56" s="35">
        <f>'[1]Soy Complex'!CD406</f>
        <v>145.40564796226249</v>
      </c>
      <c r="AG56" s="35"/>
    </row>
    <row r="57" spans="1:38" x14ac:dyDescent="0.2">
      <c r="A57" s="61" t="s">
        <v>7</v>
      </c>
      <c r="B57" s="35">
        <f>'[1]Soy Complex'!AZ407</f>
        <v>150</v>
      </c>
      <c r="C57" s="35">
        <f>'[1]Soy Complex'!BA407</f>
        <v>321</v>
      </c>
      <c r="D57" s="35">
        <f>'[1]Soy Complex'!BB407</f>
        <v>287</v>
      </c>
      <c r="E57" s="35">
        <f>'[1]Soy Complex'!BC407</f>
        <v>277</v>
      </c>
      <c r="F57" s="35">
        <f>'[1]Soy Complex'!BD407</f>
        <v>311</v>
      </c>
      <c r="G57" s="35">
        <f>'[1]Soy Complex'!BE407</f>
        <v>416</v>
      </c>
      <c r="H57" s="35">
        <f>'[1]Soy Complex'!BF407</f>
        <v>369.18</v>
      </c>
      <c r="I57" s="35">
        <f>'[1]Soy Complex'!BG407</f>
        <v>495.59</v>
      </c>
      <c r="J57" s="35">
        <f>'[1]Soy Complex'!BH407</f>
        <v>559.57000000000005</v>
      </c>
      <c r="K57" s="35">
        <f>'[1]Soy Complex'!BI407</f>
        <v>574.78</v>
      </c>
      <c r="L57" s="35">
        <f>'[1]Soy Complex'!BJ407</f>
        <v>319.20156533980185</v>
      </c>
      <c r="M57" s="35">
        <f>'[1]Soy Complex'!BK407</f>
        <v>536.60199999999998</v>
      </c>
      <c r="N57" s="35">
        <f>'[1]Soy Complex'!BL407</f>
        <v>536.27599999999995</v>
      </c>
      <c r="O57" s="35">
        <f>'[1]Soy Complex'!BM407</f>
        <v>521.55999999999995</v>
      </c>
      <c r="P57" s="35">
        <f>'[1]Soy Complex'!BN407</f>
        <v>425.12799999999999</v>
      </c>
      <c r="Q57" s="35">
        <f>'[1]Soy Complex'!BO407</f>
        <v>428.78888334872056</v>
      </c>
      <c r="R57" s="35">
        <f>'[1]Soy Complex'!BP407</f>
        <v>429.60994569741672</v>
      </c>
      <c r="S57" s="35">
        <f>'[1]Soy Complex'!BQ407</f>
        <v>335.4308877301911</v>
      </c>
      <c r="T57" s="35">
        <f>'[1]Soy Complex'!BR407</f>
        <v>365.86033706819785</v>
      </c>
      <c r="U57" s="35">
        <f>'[1]Soy Complex'!BS407</f>
        <v>342.70842445045912</v>
      </c>
      <c r="V57" s="35">
        <f>'[1]Soy Complex'!BT407</f>
        <v>350.18716419575912</v>
      </c>
      <c r="W57" s="35">
        <f>'[1]Soy Complex'!BU407</f>
        <v>355.68443226855345</v>
      </c>
      <c r="X57" s="35">
        <f>'[1]Soy Complex'!BV407</f>
        <v>206.88726439213079</v>
      </c>
      <c r="Y57" s="35">
        <f>'[1]Soy Complex'!BW407</f>
        <v>304.21834699810864</v>
      </c>
      <c r="Z57" s="35">
        <f>'[1]Soy Complex'!BX407</f>
        <v>298.65800310366296</v>
      </c>
      <c r="AA57" s="35">
        <f>'[1]Soy Complex'!BY407</f>
        <v>289.34715273035238</v>
      </c>
      <c r="AB57" s="35">
        <f>'[1]Soy Complex'!BZ407</f>
        <v>240.04911910484046</v>
      </c>
      <c r="AC57" s="35">
        <f>'[1]Soy Complex'!CA407</f>
        <v>237.67844015722855</v>
      </c>
      <c r="AD57" s="35">
        <f>'[1]Soy Complex'!CB407</f>
        <v>237.67844015722855</v>
      </c>
      <c r="AE57" s="35">
        <f>'[1]Soy Complex'!CC407</f>
        <v>101.22137127139088</v>
      </c>
      <c r="AF57" s="35">
        <f>'[1]Soy Complex'!CD407</f>
        <v>107.10645051921406</v>
      </c>
      <c r="AG57" s="35"/>
    </row>
    <row r="58" spans="1:38" x14ac:dyDescent="0.2">
      <c r="A58" s="61" t="s">
        <v>8</v>
      </c>
      <c r="B58" s="35">
        <f>'[1]Soy Complex'!AZ408</f>
        <v>190</v>
      </c>
      <c r="C58" s="35">
        <f>'[1]Soy Complex'!BA408</f>
        <v>388</v>
      </c>
      <c r="D58" s="35">
        <f>'[1]Soy Complex'!BB408</f>
        <v>443</v>
      </c>
      <c r="E58" s="35">
        <f>'[1]Soy Complex'!BC408</f>
        <v>379</v>
      </c>
      <c r="F58" s="35">
        <f>'[1]Soy Complex'!BD408</f>
        <v>381</v>
      </c>
      <c r="G58" s="35">
        <f>'[1]Soy Complex'!BE408</f>
        <v>464.48</v>
      </c>
      <c r="H58" s="35">
        <f>'[1]Soy Complex'!BF408</f>
        <v>369.46</v>
      </c>
      <c r="I58" s="35">
        <f>'[1]Soy Complex'!BG408</f>
        <v>624.15</v>
      </c>
      <c r="J58" s="35">
        <f>'[1]Soy Complex'!BH408</f>
        <v>617.01</v>
      </c>
      <c r="K58" s="35">
        <f>'[1]Soy Complex'!BI408</f>
        <v>656.02</v>
      </c>
      <c r="L58" s="35">
        <f>'[1]Soy Complex'!BJ408</f>
        <v>516.98119277223532</v>
      </c>
      <c r="M58" s="35">
        <f>'[1]Soy Complex'!BK408</f>
        <v>657.06299999999999</v>
      </c>
      <c r="N58" s="35">
        <f>'[1]Soy Complex'!BL408</f>
        <v>592.54200000000003</v>
      </c>
      <c r="O58" s="35">
        <f>'[1]Soy Complex'!BM408</f>
        <v>547.69156099999998</v>
      </c>
      <c r="P58" s="35">
        <f>'[1]Soy Complex'!BN408</f>
        <v>501.69099999999997</v>
      </c>
      <c r="Q58" s="35">
        <f>'[1]Soy Complex'!BO408</f>
        <v>448.3644334219822</v>
      </c>
      <c r="R58" s="35">
        <f>'[1]Soy Complex'!BP408</f>
        <v>456.48917425084232</v>
      </c>
      <c r="S58" s="35">
        <f>'[1]Soy Complex'!BQ408</f>
        <v>346.94955314309254</v>
      </c>
      <c r="T58" s="35">
        <f>'[1]Soy Complex'!BR408</f>
        <v>373.76890540943754</v>
      </c>
      <c r="U58" s="35">
        <f>'[1]Soy Complex'!BS408</f>
        <v>354.3811001466666</v>
      </c>
      <c r="V58" s="35">
        <f>'[1]Soy Complex'!BT408</f>
        <v>364.02125326086008</v>
      </c>
      <c r="W58" s="35">
        <f>'[1]Soy Complex'!BU408</f>
        <v>369.78781682666033</v>
      </c>
      <c r="X58" s="35">
        <f>'[1]Soy Complex'!BV408</f>
        <v>213.84803326105228</v>
      </c>
      <c r="Y58" s="35">
        <f>'[1]Soy Complex'!BW408</f>
        <v>314.61911913249918</v>
      </c>
      <c r="Z58" s="35">
        <f>'[1]Soy Complex'!BX408</f>
        <v>309.61671799434049</v>
      </c>
      <c r="AA58" s="35">
        <f>'[1]Soy Complex'!BY408</f>
        <v>305.62774190323887</v>
      </c>
      <c r="AB58" s="35">
        <f>'[1]Soy Complex'!BZ408</f>
        <v>254.63998030748959</v>
      </c>
      <c r="AC58" s="35">
        <f>'[1]Soy Complex'!CA408</f>
        <v>253.10224456764371</v>
      </c>
      <c r="AD58" s="35">
        <f>'[1]Soy Complex'!CB408</f>
        <v>253.10224456764371</v>
      </c>
      <c r="AE58" s="35">
        <f>'[1]Soy Complex'!CC408</f>
        <v>109.60903106468538</v>
      </c>
      <c r="AF58" s="35">
        <f>'[1]Soy Complex'!CD408</f>
        <v>117.67136539165202</v>
      </c>
      <c r="AG58" s="35"/>
    </row>
    <row r="59" spans="1:38" x14ac:dyDescent="0.2">
      <c r="A59" s="61" t="s">
        <v>9</v>
      </c>
      <c r="B59" s="35">
        <f>'[1]Soy Complex'!AZ409</f>
        <v>236</v>
      </c>
      <c r="C59" s="35">
        <f>'[1]Soy Complex'!BA409</f>
        <v>350</v>
      </c>
      <c r="D59" s="35">
        <f>'[1]Soy Complex'!BB409</f>
        <v>423</v>
      </c>
      <c r="E59" s="35">
        <f>'[1]Soy Complex'!BC409</f>
        <v>360</v>
      </c>
      <c r="F59" s="35">
        <f>'[1]Soy Complex'!BD409</f>
        <v>384.6</v>
      </c>
      <c r="G59" s="35">
        <f>'[1]Soy Complex'!BE409</f>
        <v>414.75</v>
      </c>
      <c r="H59" s="35">
        <f>'[1]Soy Complex'!BF409</f>
        <v>426.71</v>
      </c>
      <c r="I59" s="35">
        <f>'[1]Soy Complex'!BG409</f>
        <v>519.55999999999995</v>
      </c>
      <c r="J59" s="35">
        <f>'[1]Soy Complex'!BH409</f>
        <v>631.84</v>
      </c>
      <c r="K59" s="35">
        <f>'[1]Soy Complex'!BI409</f>
        <v>671.81</v>
      </c>
      <c r="L59" s="35">
        <f>'[1]Soy Complex'!BJ409</f>
        <v>545.27086158299016</v>
      </c>
      <c r="M59" s="35">
        <f>'[1]Soy Complex'!BK409</f>
        <v>578.07399999999996</v>
      </c>
      <c r="N59" s="35">
        <f>'[1]Soy Complex'!BL409</f>
        <v>578.74400000000003</v>
      </c>
      <c r="O59" s="35">
        <f>'[1]Soy Complex'!BM409</f>
        <v>504.93900000000002</v>
      </c>
      <c r="P59" s="35">
        <f>'[1]Soy Complex'!BN409</f>
        <v>574.79999999999995</v>
      </c>
      <c r="Q59" s="35">
        <f>'[1]Soy Complex'!BO409</f>
        <v>493.10688917141965</v>
      </c>
      <c r="R59" s="35">
        <f>'[1]Soy Complex'!BP409</f>
        <v>503.31678359692626</v>
      </c>
      <c r="S59" s="35">
        <f>'[1]Soy Complex'!BQ409</f>
        <v>400.72201682768491</v>
      </c>
      <c r="T59" s="35">
        <f>'[1]Soy Complex'!BR409</f>
        <v>459.63595641753903</v>
      </c>
      <c r="U59" s="35">
        <f>'[1]Soy Complex'!BS409</f>
        <v>452.24324814946152</v>
      </c>
      <c r="V59" s="35">
        <f>'[1]Soy Complex'!BT409</f>
        <v>428.81945392794688</v>
      </c>
      <c r="W59" s="35">
        <f>'[1]Soy Complex'!BU409</f>
        <v>443.08424563138237</v>
      </c>
      <c r="X59" s="35">
        <f>'[1]Soy Complex'!BV409</f>
        <v>258.36528558541278</v>
      </c>
      <c r="Y59" s="35">
        <f>'[1]Soy Complex'!BW409</f>
        <v>388.17715186479148</v>
      </c>
      <c r="Z59" s="35">
        <f>'[1]Soy Complex'!BX409</f>
        <v>380.86202457364504</v>
      </c>
      <c r="AA59" s="35">
        <f>'[1]Soy Complex'!BY409</f>
        <v>359.76244251392063</v>
      </c>
      <c r="AB59" s="35">
        <f>'[1]Soy Complex'!BZ409</f>
        <v>300.76245620284135</v>
      </c>
      <c r="AC59" s="35">
        <f>'[1]Soy Complex'!CA409</f>
        <v>298.89111240712839</v>
      </c>
      <c r="AD59" s="35">
        <f>'[1]Soy Complex'!CB409</f>
        <v>298.89111240712839</v>
      </c>
      <c r="AE59" s="35">
        <f>'[1]Soy Complex'!CC409</f>
        <v>133.06032917880933</v>
      </c>
      <c r="AF59" s="35">
        <f>'[1]Soy Complex'!CD409</f>
        <v>142.85159801748139</v>
      </c>
      <c r="AG59" s="35"/>
    </row>
    <row r="60" spans="1:38" x14ac:dyDescent="0.2">
      <c r="A60" s="61" t="s">
        <v>10</v>
      </c>
      <c r="B60" s="35">
        <f>'[1]Soy Complex'!AZ410</f>
        <v>264</v>
      </c>
      <c r="C60" s="35">
        <f>'[1]Soy Complex'!BA410</f>
        <v>429</v>
      </c>
      <c r="D60" s="35">
        <f>'[1]Soy Complex'!BB410</f>
        <v>416</v>
      </c>
      <c r="E60" s="35">
        <f>'[1]Soy Complex'!BC410</f>
        <v>364</v>
      </c>
      <c r="F60" s="35">
        <f>'[1]Soy Complex'!BD410</f>
        <v>443</v>
      </c>
      <c r="G60" s="35">
        <f>'[1]Soy Complex'!BE410</f>
        <v>543.78</v>
      </c>
      <c r="H60" s="35">
        <f>'[1]Soy Complex'!BF410</f>
        <v>545.51</v>
      </c>
      <c r="I60" s="35">
        <f>'[1]Soy Complex'!BG410</f>
        <v>581.33000000000004</v>
      </c>
      <c r="J60" s="35">
        <f>'[1]Soy Complex'!BH410</f>
        <v>659.05</v>
      </c>
      <c r="K60" s="35">
        <f>'[1]Soy Complex'!BI410</f>
        <v>805.35</v>
      </c>
      <c r="L60" s="35">
        <f>'[1]Soy Complex'!BJ410</f>
        <v>607.24367577257226</v>
      </c>
      <c r="M60" s="35">
        <f>'[1]Soy Complex'!BK410</f>
        <v>593.74400000000003</v>
      </c>
      <c r="N60" s="35">
        <f>'[1]Soy Complex'!BL410</f>
        <v>662.75699999999995</v>
      </c>
      <c r="O60" s="35">
        <f>'[1]Soy Complex'!BM410</f>
        <v>596.85599999999999</v>
      </c>
      <c r="P60" s="35">
        <f>'[1]Soy Complex'!BN410</f>
        <v>581.18600000000004</v>
      </c>
      <c r="Q60" s="35">
        <f>'[1]Soy Complex'!BO410</f>
        <v>546.25113359902548</v>
      </c>
      <c r="R60" s="35">
        <f>'[1]Soy Complex'!BP410</f>
        <v>560.43133289904654</v>
      </c>
      <c r="S60" s="35">
        <f>'[1]Soy Complex'!BQ410</f>
        <v>453.26474050063194</v>
      </c>
      <c r="T60" s="35">
        <f>'[1]Soy Complex'!BR410</f>
        <v>504.39092036411125</v>
      </c>
      <c r="U60" s="35">
        <f>'[1]Soy Complex'!BS410</f>
        <v>500.83217369572662</v>
      </c>
      <c r="V60" s="35">
        <f>'[1]Soy Complex'!BT410</f>
        <v>479.44861536924287</v>
      </c>
      <c r="W60" s="35">
        <f>'[1]Soy Complex'!BU410</f>
        <v>495.74258728277994</v>
      </c>
      <c r="X60" s="35">
        <f>'[1]Soy Complex'!BV410</f>
        <v>287.86147749829581</v>
      </c>
      <c r="Y60" s="35">
        <f>'[1]Soy Complex'!BW410</f>
        <v>433.89320150014026</v>
      </c>
      <c r="Z60" s="35">
        <f>'[1]Soy Complex'!BX410</f>
        <v>426.34824663138772</v>
      </c>
      <c r="AA60" s="35">
        <f>'[1]Soy Complex'!BY410</f>
        <v>399.25428311394978</v>
      </c>
      <c r="AB60" s="35">
        <f>'[1]Soy Complex'!BZ410</f>
        <v>333.95148568321446</v>
      </c>
      <c r="AC60" s="35">
        <f>'[1]Soy Complex'!CA410</f>
        <v>331.40008346167758</v>
      </c>
      <c r="AD60" s="35">
        <f>'[1]Soy Complex'!CB410</f>
        <v>331.40008346167758</v>
      </c>
      <c r="AE60" s="35">
        <f>'[1]Soy Complex'!CC410</f>
        <v>148.58850972384732</v>
      </c>
      <c r="AF60" s="35">
        <f>'[1]Soy Complex'!CD410</f>
        <v>160.24822185973329</v>
      </c>
      <c r="AG60" s="35"/>
    </row>
    <row r="61" spans="1:38" x14ac:dyDescent="0.2">
      <c r="A61" s="61" t="s">
        <v>11</v>
      </c>
      <c r="B61" s="35">
        <f>'[1]Soy Complex'!AZ411</f>
        <v>311</v>
      </c>
      <c r="C61" s="35">
        <f>'[1]Soy Complex'!BA411</f>
        <v>369</v>
      </c>
      <c r="D61" s="35">
        <f>'[1]Soy Complex'!BB411</f>
        <v>486</v>
      </c>
      <c r="E61" s="35">
        <f>'[1]Soy Complex'!BC411</f>
        <v>466.61</v>
      </c>
      <c r="F61" s="35">
        <f>'[1]Soy Complex'!BD411</f>
        <v>474</v>
      </c>
      <c r="G61" s="35">
        <f>'[1]Soy Complex'!BE411</f>
        <v>519.69000000000005</v>
      </c>
      <c r="H61" s="35">
        <f>'[1]Soy Complex'!BF411</f>
        <v>548.84</v>
      </c>
      <c r="I61" s="35">
        <f>'[1]Soy Complex'!BG411</f>
        <v>623.61</v>
      </c>
      <c r="J61" s="35">
        <f>'[1]Soy Complex'!BH411</f>
        <v>594.15</v>
      </c>
      <c r="K61" s="35">
        <f>'[1]Soy Complex'!BI411</f>
        <v>747.07</v>
      </c>
      <c r="L61" s="35">
        <f>'[1]Soy Complex'!BJ411</f>
        <v>447.52073891518546</v>
      </c>
      <c r="M61" s="35">
        <f>'[1]Soy Complex'!BK411</f>
        <v>559.88699999999994</v>
      </c>
      <c r="N61" s="35">
        <f>'[1]Soy Complex'!BL411</f>
        <v>627.38300000000004</v>
      </c>
      <c r="O61" s="35">
        <f>'[1]Soy Complex'!BM411</f>
        <v>577.89058302499996</v>
      </c>
      <c r="P61" s="35">
        <f>'[1]Soy Complex'!BN411</f>
        <v>577.89058302499996</v>
      </c>
      <c r="Q61" s="35">
        <f>'[1]Soy Complex'!BO411</f>
        <v>461.83533453162818</v>
      </c>
      <c r="R61" s="35">
        <f>'[1]Soy Complex'!BP411</f>
        <v>505.41650033070573</v>
      </c>
      <c r="S61" s="35">
        <f>'[1]Soy Complex'!BQ411</f>
        <v>406.59054451624291</v>
      </c>
      <c r="T61" s="35">
        <f>'[1]Soy Complex'!BR411</f>
        <v>446.46097525409687</v>
      </c>
      <c r="U61" s="35">
        <f>'[1]Soy Complex'!BS411</f>
        <v>432.19584799962183</v>
      </c>
      <c r="V61" s="35">
        <f>'[1]Soy Complex'!BT411</f>
        <v>420.3874965282883</v>
      </c>
      <c r="W61" s="35">
        <f>'[1]Soy Complex'!BU411</f>
        <v>435.20364012958805</v>
      </c>
      <c r="X61" s="35">
        <f>'[1]Soy Complex'!BV411</f>
        <v>253.42712247691475</v>
      </c>
      <c r="Y61" s="35">
        <f>'[1]Soy Complex'!BW411</f>
        <v>376.27387402624731</v>
      </c>
      <c r="Z61" s="35">
        <f>'[1]Soy Complex'!BX411</f>
        <v>369.73477511401865</v>
      </c>
      <c r="AA61" s="35">
        <f>'[1]Soy Complex'!BY411</f>
        <v>359.56779492154459</v>
      </c>
      <c r="AB61" s="35">
        <f>'[1]Soy Complex'!BZ411</f>
        <v>301.46161310681907</v>
      </c>
      <c r="AC61" s="35">
        <f>'[1]Soy Complex'!CA411</f>
        <v>300.30904509144437</v>
      </c>
      <c r="AD61" s="35">
        <f>'[1]Soy Complex'!CB411</f>
        <v>300.30904509144437</v>
      </c>
      <c r="AE61" s="35">
        <f>'[1]Soy Complex'!CC411</f>
        <v>133.60807273574102</v>
      </c>
      <c r="AF61" s="35">
        <f>'[1]Soy Complex'!CD411</f>
        <v>144.466588611654</v>
      </c>
      <c r="AG61" s="35"/>
    </row>
    <row r="62" spans="1:38" x14ac:dyDescent="0.2">
      <c r="A62" s="61" t="s">
        <v>12</v>
      </c>
      <c r="B62" s="35">
        <f>'[1]Soy Complex'!AZ412</f>
        <v>367</v>
      </c>
      <c r="C62" s="35">
        <f>'[1]Soy Complex'!BA412</f>
        <v>347</v>
      </c>
      <c r="D62" s="35">
        <f>'[1]Soy Complex'!BB412</f>
        <v>480</v>
      </c>
      <c r="E62" s="35">
        <f>'[1]Soy Complex'!BC412</f>
        <v>434.63</v>
      </c>
      <c r="F62" s="35">
        <f>'[1]Soy Complex'!BD412</f>
        <v>446</v>
      </c>
      <c r="G62" s="35">
        <f>'[1]Soy Complex'!BE412</f>
        <v>535.6</v>
      </c>
      <c r="H62" s="35">
        <f>'[1]Soy Complex'!BF412</f>
        <v>606.15</v>
      </c>
      <c r="I62" s="35">
        <f>'[1]Soy Complex'!BG412</f>
        <v>671.27</v>
      </c>
      <c r="J62" s="35">
        <f>'[1]Soy Complex'!BH412</f>
        <v>708.5</v>
      </c>
      <c r="K62" s="35">
        <f>'[1]Soy Complex'!BI412</f>
        <v>774.83</v>
      </c>
      <c r="L62" s="35">
        <f>'[1]Soy Complex'!BJ412</f>
        <v>622.37633218578083</v>
      </c>
      <c r="M62" s="35">
        <f>'[1]Soy Complex'!BK412</f>
        <v>625.98500000000001</v>
      </c>
      <c r="N62" s="35">
        <f>'[1]Soy Complex'!BL412</f>
        <v>678.70100000000002</v>
      </c>
      <c r="O62" s="35">
        <f>'[1]Soy Complex'!BM412</f>
        <v>641.88599999999997</v>
      </c>
      <c r="P62" s="35">
        <f>'[1]Soy Complex'!BN412</f>
        <v>560.31575386306213</v>
      </c>
      <c r="Q62" s="35">
        <f>'[1]Soy Complex'!BO412</f>
        <v>533.67073822780458</v>
      </c>
      <c r="R62" s="35">
        <f>'[1]Soy Complex'!BP412</f>
        <v>545.44120680226638</v>
      </c>
      <c r="S62" s="35">
        <f>'[1]Soy Complex'!BQ412</f>
        <v>434.76397434239664</v>
      </c>
      <c r="T62" s="35">
        <f>'[1]Soy Complex'!BR412</f>
        <v>476.57111919495611</v>
      </c>
      <c r="U62" s="35">
        <f>'[1]Soy Complex'!BS412</f>
        <v>465.30901230736947</v>
      </c>
      <c r="V62" s="35">
        <f>'[1]Soy Complex'!BT412</f>
        <v>458.4039351066138</v>
      </c>
      <c r="W62" s="35">
        <f>'[1]Soy Complex'!BU412</f>
        <v>471.12526157071227</v>
      </c>
      <c r="X62" s="35">
        <f>'[1]Soy Complex'!BV412</f>
        <v>272.97951371151669</v>
      </c>
      <c r="Y62" s="35">
        <f>'[1]Soy Complex'!BW412</f>
        <v>408.96998070609533</v>
      </c>
      <c r="Z62" s="35">
        <f>'[1]Soy Complex'!BX412</f>
        <v>402.19921465654153</v>
      </c>
      <c r="AA62" s="35">
        <f>'[1]Soy Complex'!BY412</f>
        <v>380.33220497068692</v>
      </c>
      <c r="AB62" s="35">
        <f>'[1]Soy Complex'!BZ412</f>
        <v>317.27335556879871</v>
      </c>
      <c r="AC62" s="35">
        <f>'[1]Soy Complex'!CA412</f>
        <v>315.06356030377623</v>
      </c>
      <c r="AD62" s="35">
        <f>'[1]Soy Complex'!CB412</f>
        <v>315.06356030377623</v>
      </c>
      <c r="AE62" s="35">
        <f>'[1]Soy Complex'!CC412</f>
        <v>139.29109915967325</v>
      </c>
      <c r="AF62" s="35">
        <f>'[1]Soy Complex'!CD412</f>
        <v>150.19074598740505</v>
      </c>
      <c r="AG62" s="35"/>
    </row>
    <row r="63" spans="1:38" x14ac:dyDescent="0.2">
      <c r="A63" s="61" t="s">
        <v>13</v>
      </c>
      <c r="B63" s="35">
        <f>'[1]Soy Complex'!AZ413</f>
        <v>398</v>
      </c>
      <c r="C63" s="35">
        <f>'[1]Soy Complex'!BA413</f>
        <v>385</v>
      </c>
      <c r="D63" s="35">
        <f>'[1]Soy Complex'!BB413</f>
        <v>513</v>
      </c>
      <c r="E63" s="35">
        <f>'[1]Soy Complex'!BC413</f>
        <v>447.81</v>
      </c>
      <c r="F63" s="35">
        <f>'[1]Soy Complex'!BD413</f>
        <v>463.6</v>
      </c>
      <c r="G63" s="35">
        <f>'[1]Soy Complex'!BE413</f>
        <v>561.04</v>
      </c>
      <c r="H63" s="35">
        <f>'[1]Soy Complex'!BF413</f>
        <v>608.16999999999996</v>
      </c>
      <c r="I63" s="35">
        <f>'[1]Soy Complex'!BG413</f>
        <v>705.13</v>
      </c>
      <c r="J63" s="35">
        <f>'[1]Soy Complex'!BH413</f>
        <v>701.14</v>
      </c>
      <c r="K63" s="35">
        <f>'[1]Soy Complex'!BI413</f>
        <v>745.33</v>
      </c>
      <c r="L63" s="35">
        <f>'[1]Soy Complex'!BJ413</f>
        <v>513.57724767128968</v>
      </c>
      <c r="M63" s="35">
        <f>'[1]Soy Complex'!BK413</f>
        <v>642.899</v>
      </c>
      <c r="N63" s="35">
        <f>'[1]Soy Complex'!BL413</f>
        <v>617.53700000000003</v>
      </c>
      <c r="O63" s="35">
        <f>'[1]Soy Complex'!BM413</f>
        <v>636.02</v>
      </c>
      <c r="P63" s="35">
        <f>'[1]Soy Complex'!BN413</f>
        <v>555.61878854051258</v>
      </c>
      <c r="Q63" s="35">
        <f>'[1]Soy Complex'!BO413</f>
        <v>501.06467126689108</v>
      </c>
      <c r="R63" s="35">
        <f>'[1]Soy Complex'!BP413</f>
        <v>525.8255985867072</v>
      </c>
      <c r="S63" s="35">
        <f>'[1]Soy Complex'!BQ413</f>
        <v>414.19422032035686</v>
      </c>
      <c r="T63" s="35">
        <f>'[1]Soy Complex'!BR413</f>
        <v>458.36581128206257</v>
      </c>
      <c r="U63" s="35">
        <f>'[1]Soy Complex'!BS413</f>
        <v>445.3415257231909</v>
      </c>
      <c r="V63" s="35">
        <f>'[1]Soy Complex'!BT413</f>
        <v>436.17132480053908</v>
      </c>
      <c r="W63" s="35">
        <f>'[1]Soy Complex'!BU413</f>
        <v>449.76006891920969</v>
      </c>
      <c r="X63" s="35">
        <f>'[1]Soy Complex'!BV413</f>
        <v>260.91963765413448</v>
      </c>
      <c r="Y63" s="35">
        <f>'[1]Soy Complex'!BW413</f>
        <v>389.33737554298142</v>
      </c>
      <c r="Z63" s="35">
        <f>'[1]Soy Complex'!BX413</f>
        <v>382.64567152419158</v>
      </c>
      <c r="AA63" s="35">
        <f>'[1]Soy Complex'!BY413</f>
        <v>365.15396634007016</v>
      </c>
      <c r="AB63" s="35">
        <f>'[1]Soy Complex'!BZ413</f>
        <v>305.97592763503599</v>
      </c>
      <c r="AC63" s="35">
        <f>'[1]Soy Complex'!CA413</f>
        <v>304.35680250982011</v>
      </c>
      <c r="AD63" s="35">
        <f>'[1]Soy Complex'!CB413</f>
        <v>304.35680250982011</v>
      </c>
      <c r="AE63" s="35">
        <f>'[1]Soy Complex'!CC413</f>
        <v>133.39610754741804</v>
      </c>
      <c r="AF63" s="35">
        <f>'[1]Soy Complex'!CD413</f>
        <v>144.13674503949392</v>
      </c>
      <c r="AG63" s="35"/>
    </row>
    <row r="64" spans="1:38" x14ac:dyDescent="0.2">
      <c r="A64" s="61" t="s">
        <v>14</v>
      </c>
      <c r="B64" s="35">
        <f>'[1]Soy Complex'!AZ414</f>
        <v>430</v>
      </c>
      <c r="C64" s="35">
        <f>'[1]Soy Complex'!BA414</f>
        <v>322</v>
      </c>
      <c r="D64" s="35">
        <f>'[1]Soy Complex'!BB414</f>
        <v>502</v>
      </c>
      <c r="E64" s="35">
        <f>'[1]Soy Complex'!BC414</f>
        <v>395.21</v>
      </c>
      <c r="F64" s="35">
        <f>'[1]Soy Complex'!BD414</f>
        <v>390</v>
      </c>
      <c r="G64" s="35">
        <f>'[1]Soy Complex'!BE414</f>
        <v>536.84</v>
      </c>
      <c r="H64" s="35">
        <f>'[1]Soy Complex'!BF414</f>
        <v>603.91</v>
      </c>
      <c r="I64" s="35">
        <f>'[1]Soy Complex'!BG414</f>
        <v>688.71</v>
      </c>
      <c r="J64" s="35">
        <f>'[1]Soy Complex'!BH414</f>
        <v>598.79999999999995</v>
      </c>
      <c r="K64" s="35">
        <f>'[1]Soy Complex'!BI414</f>
        <v>736.53</v>
      </c>
      <c r="L64" s="35">
        <f>'[1]Soy Complex'!BJ414</f>
        <v>572.51958262530229</v>
      </c>
      <c r="M64" s="35">
        <f>'[1]Soy Complex'!BK414</f>
        <v>595.70399999999995</v>
      </c>
      <c r="N64" s="35">
        <f>'[1]Soy Complex'!BL414</f>
        <v>619.99400000000003</v>
      </c>
      <c r="O64" s="35">
        <f>'[1]Soy Complex'!BM414</f>
        <v>673.00900000000001</v>
      </c>
      <c r="P64" s="35">
        <f>'[1]Soy Complex'!BN414</f>
        <v>561.14771744976179</v>
      </c>
      <c r="Q64" s="35">
        <f>'[1]Soy Complex'!BO414</f>
        <v>510.94886124516131</v>
      </c>
      <c r="R64" s="35">
        <f>'[1]Soy Complex'!BP414</f>
        <v>531.79382214527379</v>
      </c>
      <c r="S64" s="35">
        <f>'[1]Soy Complex'!BQ414</f>
        <v>425.95494998719079</v>
      </c>
      <c r="T64" s="35">
        <f>'[1]Soy Complex'!BR414</f>
        <v>484.17450948437431</v>
      </c>
      <c r="U64" s="35">
        <f>'[1]Soy Complex'!BS414</f>
        <v>458.96784165779047</v>
      </c>
      <c r="V64" s="35">
        <f>'[1]Soy Complex'!BT414</f>
        <v>449.92809064909454</v>
      </c>
      <c r="W64" s="35">
        <f>'[1]Soy Complex'!BU414</f>
        <v>464.68715273083001</v>
      </c>
      <c r="X64" s="35">
        <f>'[1]Soy Complex'!BV414</f>
        <v>270.29838208920785</v>
      </c>
      <c r="Y64" s="35">
        <f>'[1]Soy Complex'!BW414</f>
        <v>405.20396861262338</v>
      </c>
      <c r="Z64" s="35">
        <f>'[1]Soy Complex'!BX414</f>
        <v>396.24863984975411</v>
      </c>
      <c r="AA64" s="35">
        <f>'[1]Soy Complex'!BY414</f>
        <v>375.77888844089449</v>
      </c>
      <c r="AB64" s="35">
        <f>'[1]Soy Complex'!BZ414</f>
        <v>313.08523698163856</v>
      </c>
      <c r="AC64" s="35">
        <f>'[1]Soy Complex'!CA414</f>
        <v>310.87142652552234</v>
      </c>
      <c r="AD64" s="35">
        <f>'[1]Soy Complex'!CB414</f>
        <v>310.87142652552234</v>
      </c>
      <c r="AE64" s="35">
        <f>'[1]Soy Complex'!CC414</f>
        <v>134.98833929983203</v>
      </c>
      <c r="AF64" s="35">
        <f>'[1]Soy Complex'!CD414</f>
        <v>145.45981896383333</v>
      </c>
      <c r="AG64" s="35"/>
    </row>
    <row r="65" spans="1:33" x14ac:dyDescent="0.2">
      <c r="A65" s="61" t="s">
        <v>15</v>
      </c>
      <c r="B65" s="35">
        <f>'[1]Soy Complex'!BA403</f>
        <v>527</v>
      </c>
      <c r="C65" s="35">
        <f>'[1]Soy Complex'!BB403</f>
        <v>307</v>
      </c>
      <c r="D65" s="35">
        <f>'[1]Soy Complex'!BC403</f>
        <v>551</v>
      </c>
      <c r="E65" s="35">
        <f>'[1]Soy Complex'!BD403</f>
        <v>458.81</v>
      </c>
      <c r="F65" s="35">
        <f>'[1]Soy Complex'!BE403</f>
        <v>408</v>
      </c>
      <c r="G65" s="35">
        <f>'[1]Soy Complex'!BF403</f>
        <v>525.96</v>
      </c>
      <c r="H65" s="35">
        <f>'[1]Soy Complex'!BG403</f>
        <v>577.42999999999995</v>
      </c>
      <c r="I65" s="35">
        <f>'[1]Soy Complex'!BH403</f>
        <v>698.88</v>
      </c>
      <c r="J65" s="35">
        <f>'[1]Soy Complex'!BI403</f>
        <v>557.52</v>
      </c>
      <c r="K65" s="35">
        <f>'[1]Soy Complex'!BJ403</f>
        <v>723</v>
      </c>
      <c r="L65" s="35">
        <f>'[1]Soy Complex'!BK403</f>
        <v>650.4058749447114</v>
      </c>
      <c r="M65" s="35">
        <f>'[1]Soy Complex'!BL403</f>
        <v>640.09400000000005</v>
      </c>
      <c r="N65" s="35">
        <f>'[1]Soy Complex'!BM403</f>
        <v>645.47</v>
      </c>
      <c r="O65" s="35">
        <f>'[1]Soy Complex'!BN403</f>
        <v>518.05399999999997</v>
      </c>
      <c r="P65" s="35">
        <f>'[1]Soy Complex'!BO403</f>
        <v>533.66914165410537</v>
      </c>
      <c r="Q65" s="35">
        <f>'[1]Soy Complex'!BP403</f>
        <v>522.3997203788324</v>
      </c>
      <c r="R65" s="35">
        <f>'[1]Soy Complex'!BQ403</f>
        <v>523.24517740508566</v>
      </c>
      <c r="S65" s="35">
        <f>'[1]Soy Complex'!BR403</f>
        <v>406.87240627962495</v>
      </c>
      <c r="T65" s="35">
        <f>'[1]Soy Complex'!BS403</f>
        <v>439.55799003494877</v>
      </c>
      <c r="U65" s="35">
        <f>'[1]Soy Complex'!BT403</f>
        <v>443.05703757056096</v>
      </c>
      <c r="V65" s="35">
        <f>'[1]Soy Complex'!BU403</f>
        <v>429.53492525955409</v>
      </c>
      <c r="W65" s="35">
        <f>'[1]Soy Complex'!BV403</f>
        <v>445.28439608517988</v>
      </c>
      <c r="X65" s="35">
        <f>'[1]Soy Complex'!BW403</f>
        <v>406.35313683695279</v>
      </c>
      <c r="Y65" s="35">
        <f>'[1]Soy Complex'!BX403</f>
        <v>404.89728393640047</v>
      </c>
      <c r="Z65" s="35">
        <f>'[1]Soy Complex'!BY403</f>
        <v>454.31837270063778</v>
      </c>
      <c r="AA65" s="35">
        <f>'[1]Soy Complex'!BZ403</f>
        <v>377.04511867652889</v>
      </c>
      <c r="AB65" s="35">
        <f>'[1]Soy Complex'!CA403</f>
        <v>317.13839201883991</v>
      </c>
      <c r="AC65" s="35">
        <f>'[1]Soy Complex'!CB403</f>
        <v>316.57162076545364</v>
      </c>
      <c r="AD65" s="35">
        <f>'[1]Soy Complex'!CC403</f>
        <v>258.26199130982684</v>
      </c>
      <c r="AE65" s="35">
        <f>'[1]Soy Complex'!CD403</f>
        <v>137.7765152296337</v>
      </c>
      <c r="AF65" s="35">
        <f>'[1]Soy Complex'!CE403</f>
        <v>146.61823160806512</v>
      </c>
      <c r="AG65" s="35"/>
    </row>
    <row r="66" spans="1:33" x14ac:dyDescent="0.2">
      <c r="A66" s="61" t="s">
        <v>16</v>
      </c>
      <c r="B66" s="35">
        <f>'[1]Soy Complex'!BA404</f>
        <v>538</v>
      </c>
      <c r="C66" s="35">
        <f>'[1]Soy Complex'!BB404</f>
        <v>246</v>
      </c>
      <c r="D66" s="35">
        <f>'[1]Soy Complex'!BC404</f>
        <v>535</v>
      </c>
      <c r="E66" s="35">
        <f>'[1]Soy Complex'!BD404</f>
        <v>447.12</v>
      </c>
      <c r="F66" s="35">
        <f>'[1]Soy Complex'!BE404</f>
        <v>464</v>
      </c>
      <c r="G66" s="35">
        <f>'[1]Soy Complex'!BF404</f>
        <v>595.83000000000004</v>
      </c>
      <c r="H66" s="35">
        <f>'[1]Soy Complex'!BG404</f>
        <v>590.79999999999995</v>
      </c>
      <c r="I66" s="35">
        <f>'[1]Soy Complex'!BH404</f>
        <v>703.79</v>
      </c>
      <c r="J66" s="35">
        <f>'[1]Soy Complex'!BI404</f>
        <v>526.53</v>
      </c>
      <c r="K66" s="35">
        <f>'[1]Soy Complex'!BJ404</f>
        <v>683</v>
      </c>
      <c r="L66" s="35">
        <f>'[1]Soy Complex'!BK404</f>
        <v>492.70689999400793</v>
      </c>
      <c r="M66" s="35">
        <f>'[1]Soy Complex'!BL404</f>
        <v>593.81100000000004</v>
      </c>
      <c r="N66" s="35">
        <f>'[1]Soy Complex'!BM404</f>
        <v>612.95299999999997</v>
      </c>
      <c r="O66" s="35">
        <f>'[1]Soy Complex'!BN404</f>
        <v>467.47699999999998</v>
      </c>
      <c r="P66" s="35">
        <f>'[1]Soy Complex'!BO404</f>
        <v>510.64365685281876</v>
      </c>
      <c r="Q66" s="35">
        <f>'[1]Soy Complex'!BP404</f>
        <v>461.36667774875764</v>
      </c>
      <c r="R66" s="35">
        <f>'[1]Soy Complex'!BQ404</f>
        <v>476.08905757178326</v>
      </c>
      <c r="S66" s="35">
        <f>'[1]Soy Complex'!BR404</f>
        <v>368.62326465643173</v>
      </c>
      <c r="T66" s="35">
        <f>'[1]Soy Complex'!BS404</f>
        <v>393.24500706061974</v>
      </c>
      <c r="U66" s="35">
        <f>'[1]Soy Complex'!BT404</f>
        <v>399.72958303528918</v>
      </c>
      <c r="V66" s="35">
        <f>'[1]Soy Complex'!BU404</f>
        <v>383.75353671134366</v>
      </c>
      <c r="W66" s="35">
        <f>'[1]Soy Complex'!BV404</f>
        <v>398.94110034947585</v>
      </c>
      <c r="X66" s="35">
        <f>'[1]Soy Complex'!BW404</f>
        <v>362.78498566162568</v>
      </c>
      <c r="Y66" s="35">
        <f>'[1]Soy Complex'!BX404</f>
        <v>361.48625101104074</v>
      </c>
      <c r="Z66" s="35">
        <f>'[1]Soy Complex'!BY404</f>
        <v>412.91919184540217</v>
      </c>
      <c r="AA66" s="35">
        <f>'[1]Soy Complex'!BZ404</f>
        <v>359.56324818405807</v>
      </c>
      <c r="AB66" s="35">
        <f>'[1]Soy Complex'!CA404</f>
        <v>294.01965308050558</v>
      </c>
      <c r="AC66" s="35">
        <f>'[1]Soy Complex'!CB404</f>
        <v>294.51697872776134</v>
      </c>
      <c r="AD66" s="35">
        <f>'[1]Soy Complex'!CC404</f>
        <v>239.54368210805441</v>
      </c>
      <c r="AE66" s="35">
        <f>'[1]Soy Complex'!CD404</f>
        <v>126.7195404887199</v>
      </c>
      <c r="AF66" s="35">
        <f>'[1]Soy Complex'!CE404</f>
        <v>135.07583764680493</v>
      </c>
      <c r="AG66" s="35"/>
    </row>
    <row r="67" spans="1:33" x14ac:dyDescent="0.2">
      <c r="A67" s="61" t="s">
        <v>17</v>
      </c>
      <c r="B67" s="35">
        <f>'[1]Soy Complex'!BA405</f>
        <v>592</v>
      </c>
      <c r="C67" s="35">
        <f>'[1]Soy Complex'!BB405</f>
        <v>273</v>
      </c>
      <c r="D67" s="35">
        <f>'[1]Soy Complex'!BC405</f>
        <v>559</v>
      </c>
      <c r="E67" s="35">
        <f>'[1]Soy Complex'!BD405</f>
        <v>531.30999999999995</v>
      </c>
      <c r="F67" s="35">
        <f>'[1]Soy Complex'!BE405</f>
        <v>436</v>
      </c>
      <c r="G67" s="35">
        <f>'[1]Soy Complex'!BF405</f>
        <v>610.47</v>
      </c>
      <c r="H67" s="35">
        <f>'[1]Soy Complex'!BG405</f>
        <v>593.99</v>
      </c>
      <c r="I67" s="35">
        <f>'[1]Soy Complex'!BH405</f>
        <v>767.76</v>
      </c>
      <c r="J67" s="35">
        <f>'[1]Soy Complex'!BI405</f>
        <v>541.04999999999995</v>
      </c>
      <c r="K67" s="35">
        <f>'[1]Soy Complex'!BJ405</f>
        <v>744</v>
      </c>
      <c r="L67" s="35">
        <f>'[1]Soy Complex'!BK405</f>
        <v>647.82612356375694</v>
      </c>
      <c r="M67" s="35">
        <f>'[1]Soy Complex'!BL405</f>
        <v>533.59299999999996</v>
      </c>
      <c r="N67" s="35">
        <f>'[1]Soy Complex'!BM405</f>
        <v>603</v>
      </c>
      <c r="O67" s="35">
        <f>'[1]Soy Complex'!BN405</f>
        <v>399.74799999999999</v>
      </c>
      <c r="P67" s="35">
        <f>'[1]Soy Complex'!BO405</f>
        <v>956.09398905716296</v>
      </c>
      <c r="Q67" s="35">
        <f>'[1]Soy Complex'!BP405</f>
        <v>492.52296821074714</v>
      </c>
      <c r="R67" s="35">
        <f>'[1]Soy Complex'!BQ405</f>
        <v>552.64340863047289</v>
      </c>
      <c r="S67" s="35">
        <f>'[1]Soy Complex'!BR405</f>
        <v>447.27747483787277</v>
      </c>
      <c r="T67" s="35">
        <f>'[1]Soy Complex'!BS405</f>
        <v>498.41094817462476</v>
      </c>
      <c r="U67" s="35">
        <f>'[1]Soy Complex'!BT405</f>
        <v>536.21871720282263</v>
      </c>
      <c r="V67" s="35">
        <f>'[1]Soy Complex'!BU405</f>
        <v>463.59891732391429</v>
      </c>
      <c r="W67" s="35">
        <f>'[1]Soy Complex'!BV405</f>
        <v>492.92517860697114</v>
      </c>
      <c r="X67" s="35">
        <f>'[1]Soy Complex'!BW405</f>
        <v>392.71009107891791</v>
      </c>
      <c r="Y67" s="35">
        <f>'[1]Soy Complex'!BX405</f>
        <v>421.05639879611931</v>
      </c>
      <c r="Z67" s="35">
        <f>'[1]Soy Complex'!BY405</f>
        <v>473.48062082796849</v>
      </c>
      <c r="AA67" s="35">
        <f>'[1]Soy Complex'!BZ405</f>
        <v>418.41727055624153</v>
      </c>
      <c r="AB67" s="35">
        <f>'[1]Soy Complex'!CA405</f>
        <v>339.88647844061524</v>
      </c>
      <c r="AC67" s="35">
        <f>'[1]Soy Complex'!CB405</f>
        <v>334.88971157688701</v>
      </c>
      <c r="AD67" s="35">
        <f>'[1]Soy Complex'!CC405</f>
        <v>276.62570683261748</v>
      </c>
      <c r="AE67" s="35">
        <f>'[1]Soy Complex'!CD405</f>
        <v>148.31663661248496</v>
      </c>
      <c r="AF67" s="35">
        <f>'[1]Soy Complex'!CE405</f>
        <v>160.06500501511397</v>
      </c>
      <c r="AG67" s="35"/>
    </row>
    <row r="68" spans="1:33" x14ac:dyDescent="0.2">
      <c r="A68" s="64" t="s">
        <v>18</v>
      </c>
      <c r="B68" s="66">
        <f>SUM(B56:B67)</f>
        <v>4153</v>
      </c>
      <c r="C68" s="66">
        <f t="shared" ref="C68:Q68" si="19">SUM(C56:C67)</f>
        <v>4043</v>
      </c>
      <c r="D68" s="66">
        <f t="shared" si="19"/>
        <v>5508</v>
      </c>
      <c r="E68" s="66">
        <f t="shared" si="19"/>
        <v>4802.5</v>
      </c>
      <c r="F68" s="66">
        <f t="shared" si="19"/>
        <v>4907.2</v>
      </c>
      <c r="G68" s="66">
        <f t="shared" si="19"/>
        <v>6116.71</v>
      </c>
      <c r="H68" s="66">
        <f t="shared" si="19"/>
        <v>6230.2600000000011</v>
      </c>
      <c r="I68" s="66">
        <f t="shared" si="19"/>
        <v>7541.9000000000005</v>
      </c>
      <c r="J68" s="66">
        <f t="shared" si="19"/>
        <v>7317.9700000000012</v>
      </c>
      <c r="K68" s="66">
        <f t="shared" si="19"/>
        <v>8382.7199999999993</v>
      </c>
      <c r="L68" s="66">
        <f t="shared" si="19"/>
        <v>6400.5502016380979</v>
      </c>
      <c r="M68" s="65">
        <f t="shared" si="19"/>
        <v>7100.4959999999992</v>
      </c>
      <c r="N68" s="65">
        <f t="shared" si="19"/>
        <v>7332.1859999999997</v>
      </c>
      <c r="O68" s="66">
        <f t="shared" si="19"/>
        <v>6629.639144025</v>
      </c>
      <c r="P68" s="66">
        <f t="shared" si="19"/>
        <v>6722.4606304424233</v>
      </c>
      <c r="Q68" s="66">
        <f t="shared" si="19"/>
        <v>5878.6839187233909</v>
      </c>
      <c r="R68" s="66">
        <f t="shared" ref="R68:AF68" si="20">SUM(R56:R67)</f>
        <v>6074.37680791612</v>
      </c>
      <c r="S68" s="66">
        <f t="shared" si="20"/>
        <v>4808.3803085275586</v>
      </c>
      <c r="T68" s="66">
        <f t="shared" si="20"/>
        <v>5303.6688614442119</v>
      </c>
      <c r="U68" s="66">
        <f t="shared" si="20"/>
        <v>5217.8390745046445</v>
      </c>
      <c r="V68" s="66">
        <f t="shared" si="20"/>
        <v>5055.3542262591391</v>
      </c>
      <c r="W68" s="66">
        <f t="shared" si="20"/>
        <v>5220.1175763927595</v>
      </c>
      <c r="X68" s="66">
        <f t="shared" si="20"/>
        <v>3472.4584747522786</v>
      </c>
      <c r="Y68" s="66">
        <f t="shared" si="20"/>
        <v>4602.4487734865079</v>
      </c>
      <c r="Z68" s="66">
        <f t="shared" si="20"/>
        <v>4700.2795824639879</v>
      </c>
      <c r="AA68" s="66">
        <f t="shared" si="20"/>
        <v>4349.1765127494455</v>
      </c>
      <c r="AB68" s="66">
        <f t="shared" si="20"/>
        <v>3620.6947974579134</v>
      </c>
      <c r="AC68" s="66">
        <f t="shared" si="20"/>
        <v>3606.3337781030359</v>
      </c>
      <c r="AD68" s="66">
        <f t="shared" si="20"/>
        <v>3434.786847283433</v>
      </c>
      <c r="AE68" s="66">
        <f t="shared" si="20"/>
        <v>1582.3749762308521</v>
      </c>
      <c r="AF68" s="66">
        <f t="shared" si="20"/>
        <v>1699.2962566227138</v>
      </c>
    </row>
    <row r="70" spans="1:33" ht="12" thickBot="1" x14ac:dyDescent="0.25">
      <c r="A70" s="61" t="s">
        <v>28</v>
      </c>
    </row>
    <row r="71" spans="1:33" ht="12.75" thickTop="1" thickBot="1" x14ac:dyDescent="0.25">
      <c r="A71" s="62"/>
      <c r="B71" s="63">
        <f t="shared" ref="B71:M71" si="21">B2</f>
        <v>2011</v>
      </c>
      <c r="C71" s="63">
        <f t="shared" si="21"/>
        <v>2012</v>
      </c>
      <c r="D71" s="63">
        <f t="shared" si="21"/>
        <v>2013</v>
      </c>
      <c r="E71" s="63">
        <f t="shared" si="21"/>
        <v>2014</v>
      </c>
      <c r="F71" s="63">
        <f t="shared" si="21"/>
        <v>2015</v>
      </c>
      <c r="G71" s="63">
        <f t="shared" si="21"/>
        <v>2016</v>
      </c>
      <c r="H71" s="63">
        <f t="shared" si="21"/>
        <v>2017</v>
      </c>
      <c r="I71" s="63">
        <f t="shared" si="21"/>
        <v>2018</v>
      </c>
      <c r="J71" s="63">
        <f t="shared" si="21"/>
        <v>2019</v>
      </c>
      <c r="K71" s="63">
        <f t="shared" si="21"/>
        <v>2020</v>
      </c>
      <c r="L71" s="63">
        <f t="shared" si="21"/>
        <v>2021</v>
      </c>
      <c r="M71" s="63">
        <f t="shared" si="21"/>
        <v>2022</v>
      </c>
      <c r="N71" s="63">
        <f>N2</f>
        <v>2023</v>
      </c>
      <c r="O71" s="63">
        <f>O2</f>
        <v>2024</v>
      </c>
      <c r="P71" s="63">
        <f t="shared" ref="P71:AF71" si="22">P2</f>
        <v>2025</v>
      </c>
      <c r="Q71" s="63">
        <f t="shared" si="22"/>
        <v>2026</v>
      </c>
      <c r="R71" s="63">
        <f t="shared" si="22"/>
        <v>2027</v>
      </c>
      <c r="S71" s="63">
        <f t="shared" si="22"/>
        <v>2028</v>
      </c>
      <c r="T71" s="63">
        <f t="shared" si="22"/>
        <v>2029</v>
      </c>
      <c r="U71" s="63">
        <f t="shared" si="22"/>
        <v>2030</v>
      </c>
      <c r="V71" s="63">
        <f t="shared" si="22"/>
        <v>2031</v>
      </c>
      <c r="W71" s="63">
        <f t="shared" si="22"/>
        <v>2032</v>
      </c>
      <c r="X71" s="63">
        <f t="shared" si="22"/>
        <v>2033</v>
      </c>
      <c r="Y71" s="63">
        <f t="shared" si="22"/>
        <v>2034</v>
      </c>
      <c r="Z71" s="63">
        <f t="shared" si="22"/>
        <v>2035</v>
      </c>
      <c r="AA71" s="63">
        <f t="shared" si="22"/>
        <v>2036</v>
      </c>
      <c r="AB71" s="63">
        <f t="shared" si="22"/>
        <v>2037</v>
      </c>
      <c r="AC71" s="63">
        <f t="shared" si="22"/>
        <v>2038</v>
      </c>
      <c r="AD71" s="63">
        <f t="shared" si="22"/>
        <v>2039</v>
      </c>
      <c r="AE71" s="63">
        <f t="shared" si="22"/>
        <v>2040</v>
      </c>
      <c r="AF71" s="63">
        <f t="shared" si="22"/>
        <v>2041</v>
      </c>
    </row>
    <row r="72" spans="1:33" ht="12" thickTop="1" x14ac:dyDescent="0.2">
      <c r="A72" s="61" t="s">
        <v>6</v>
      </c>
      <c r="B72" s="70">
        <f>B56/B20</f>
        <v>0.60240963855421692</v>
      </c>
      <c r="C72" s="70">
        <f t="shared" ref="C72:AF83" si="23">C56/C20</f>
        <v>0.56561922365988915</v>
      </c>
      <c r="D72" s="70">
        <f t="shared" si="23"/>
        <v>0.63104838709677424</v>
      </c>
      <c r="E72" s="70">
        <f t="shared" si="23"/>
        <v>0.54524886877828049</v>
      </c>
      <c r="F72" s="70">
        <f t="shared" si="23"/>
        <v>0.57196261682242988</v>
      </c>
      <c r="G72" s="70">
        <f t="shared" si="23"/>
        <v>0.5635528814796299</v>
      </c>
      <c r="H72" s="70">
        <f t="shared" si="23"/>
        <v>0.5529240014740483</v>
      </c>
      <c r="I72" s="70">
        <f t="shared" si="23"/>
        <v>0.50236474245798546</v>
      </c>
      <c r="J72" s="70">
        <f t="shared" si="23"/>
        <v>0.57382275168836427</v>
      </c>
      <c r="K72" s="70">
        <f t="shared" si="23"/>
        <v>0.51898442660843425</v>
      </c>
      <c r="L72" s="70">
        <f t="shared" si="23"/>
        <v>0.44622268700878509</v>
      </c>
      <c r="M72" s="70">
        <f t="shared" si="23"/>
        <v>0.5759031012268635</v>
      </c>
      <c r="N72" s="70">
        <f t="shared" si="23"/>
        <v>0.56293792664265319</v>
      </c>
      <c r="O72" s="70">
        <f t="shared" si="23"/>
        <v>0.54170718537464879</v>
      </c>
      <c r="P72" s="71">
        <f t="shared" si="23"/>
        <v>0.61403688037524673</v>
      </c>
      <c r="Q72" s="71">
        <f t="shared" si="23"/>
        <v>0.51433869905794105</v>
      </c>
      <c r="R72" s="71">
        <f t="shared" si="23"/>
        <v>0.54619408493391852</v>
      </c>
      <c r="S72" s="71">
        <f t="shared" si="23"/>
        <v>0.54392362379504267</v>
      </c>
      <c r="T72" s="71">
        <f t="shared" si="23"/>
        <v>0.55503521316116367</v>
      </c>
      <c r="U72" s="71">
        <f t="shared" si="23"/>
        <v>0.54825902043206864</v>
      </c>
      <c r="V72" s="71">
        <f t="shared" si="23"/>
        <v>0.53298405021154116</v>
      </c>
      <c r="W72" s="71">
        <f t="shared" si="23"/>
        <v>0.53150436771442588</v>
      </c>
      <c r="X72" s="71">
        <f t="shared" si="23"/>
        <v>0.41107272928760441</v>
      </c>
      <c r="Y72" s="71">
        <f t="shared" si="23"/>
        <v>0.51812295350896453</v>
      </c>
      <c r="Z72" s="71">
        <f t="shared" si="23"/>
        <v>0.52074758892424056</v>
      </c>
      <c r="AA72" s="71">
        <f t="shared" si="23"/>
        <v>0.58245700124743538</v>
      </c>
      <c r="AB72" s="71">
        <f t="shared" si="23"/>
        <v>0.59647454439897196</v>
      </c>
      <c r="AC72" s="71">
        <f t="shared" si="23"/>
        <v>0.60471918925913437</v>
      </c>
      <c r="AD72" s="71">
        <f t="shared" si="23"/>
        <v>0.61350693346194085</v>
      </c>
      <c r="AE72" s="71">
        <f t="shared" si="23"/>
        <v>0.42324660192447172</v>
      </c>
      <c r="AF72" s="71">
        <f t="shared" si="23"/>
        <v>0.44840559685983555</v>
      </c>
    </row>
    <row r="73" spans="1:33" x14ac:dyDescent="0.2">
      <c r="A73" s="61" t="s">
        <v>7</v>
      </c>
      <c r="B73" s="70">
        <f t="shared" ref="B73:N83" si="24">B57/B21</f>
        <v>0.53380782918149461</v>
      </c>
      <c r="C73" s="70">
        <f t="shared" si="24"/>
        <v>0.57321428571428568</v>
      </c>
      <c r="D73" s="70">
        <f t="shared" si="24"/>
        <v>0.55945419103313843</v>
      </c>
      <c r="E73" s="70">
        <f t="shared" si="24"/>
        <v>0.55179282868525892</v>
      </c>
      <c r="F73" s="70">
        <f t="shared" si="24"/>
        <v>0.5856873822975518</v>
      </c>
      <c r="G73" s="70">
        <f t="shared" si="24"/>
        <v>0.5835926298984605</v>
      </c>
      <c r="H73" s="70">
        <f t="shared" si="24"/>
        <v>0.51745742518746929</v>
      </c>
      <c r="I73" s="70">
        <f t="shared" si="24"/>
        <v>0.53423702882471646</v>
      </c>
      <c r="J73" s="70">
        <f t="shared" si="24"/>
        <v>0.58298258043007167</v>
      </c>
      <c r="K73" s="70">
        <f t="shared" si="24"/>
        <v>0.59072077346011187</v>
      </c>
      <c r="L73" s="70">
        <f t="shared" si="24"/>
        <v>0.48470493357060829</v>
      </c>
      <c r="M73" s="70">
        <f t="shared" si="24"/>
        <v>0.58319137437428381</v>
      </c>
      <c r="N73" s="70">
        <f t="shared" si="24"/>
        <v>0.59291260158617054</v>
      </c>
      <c r="O73" s="70">
        <f t="shared" si="23"/>
        <v>0.53793290505970537</v>
      </c>
      <c r="P73" s="71">
        <f t="shared" si="23"/>
        <v>0.59488153432756918</v>
      </c>
      <c r="Q73" s="71">
        <f t="shared" si="23"/>
        <v>0.510239505180764</v>
      </c>
      <c r="R73" s="71">
        <f t="shared" si="23"/>
        <v>0.53874588218009689</v>
      </c>
      <c r="S73" s="71">
        <f t="shared" si="23"/>
        <v>0.53717647267703883</v>
      </c>
      <c r="T73" s="71">
        <f t="shared" si="23"/>
        <v>0.54443802418889531</v>
      </c>
      <c r="U73" s="71">
        <f t="shared" si="23"/>
        <v>0.53466718862039375</v>
      </c>
      <c r="V73" s="71">
        <f t="shared" si="23"/>
        <v>0.52372062658093166</v>
      </c>
      <c r="W73" s="71">
        <f t="shared" si="23"/>
        <v>0.51804433178951526</v>
      </c>
      <c r="X73" s="71">
        <f t="shared" si="23"/>
        <v>0.39891277183880419</v>
      </c>
      <c r="Y73" s="71">
        <f t="shared" si="23"/>
        <v>0.49783098755113581</v>
      </c>
      <c r="Z73" s="71">
        <f t="shared" si="23"/>
        <v>0.5010071588159386</v>
      </c>
      <c r="AA73" s="71">
        <f t="shared" si="23"/>
        <v>0.56353609458401166</v>
      </c>
      <c r="AB73" s="71">
        <f t="shared" si="23"/>
        <v>0.57677257256889447</v>
      </c>
      <c r="AC73" s="71">
        <f t="shared" si="23"/>
        <v>0.58281316993051757</v>
      </c>
      <c r="AD73" s="71">
        <f t="shared" si="23"/>
        <v>0.59149170573348775</v>
      </c>
      <c r="AE73" s="71">
        <f t="shared" si="23"/>
        <v>0.39184094102795597</v>
      </c>
      <c r="AF73" s="71">
        <f t="shared" si="23"/>
        <v>0.41296453201501976</v>
      </c>
    </row>
    <row r="74" spans="1:33" x14ac:dyDescent="0.2">
      <c r="A74" s="61" t="s">
        <v>8</v>
      </c>
      <c r="B74" s="70">
        <f t="shared" si="24"/>
        <v>0.46228710462287104</v>
      </c>
      <c r="C74" s="70">
        <f t="shared" si="24"/>
        <v>0.56559766763848396</v>
      </c>
      <c r="D74" s="70">
        <f t="shared" si="24"/>
        <v>0.60851648351648346</v>
      </c>
      <c r="E74" s="70">
        <f t="shared" si="24"/>
        <v>0.55899705014749268</v>
      </c>
      <c r="F74" s="70">
        <f t="shared" si="24"/>
        <v>0.53661971830985911</v>
      </c>
      <c r="G74" s="70">
        <f t="shared" si="24"/>
        <v>0.60632959642426376</v>
      </c>
      <c r="H74" s="70">
        <f t="shared" si="24"/>
        <v>0.44126745255413424</v>
      </c>
      <c r="I74" s="70">
        <f t="shared" si="24"/>
        <v>0.5690593326617005</v>
      </c>
      <c r="J74" s="70">
        <f t="shared" si="24"/>
        <v>0.58508761948111065</v>
      </c>
      <c r="K74" s="70">
        <f t="shared" si="24"/>
        <v>0.58737615789407505</v>
      </c>
      <c r="L74" s="70">
        <f t="shared" si="24"/>
        <v>0.54618782627465823</v>
      </c>
      <c r="M74" s="70">
        <f t="shared" si="24"/>
        <v>0.61183924864313288</v>
      </c>
      <c r="N74" s="70">
        <f t="shared" si="24"/>
        <v>0.52609935797604279</v>
      </c>
      <c r="O74" s="71">
        <f t="shared" si="23"/>
        <v>0.53892083739710217</v>
      </c>
      <c r="P74" s="71">
        <f t="shared" si="23"/>
        <v>0.55884512477953552</v>
      </c>
      <c r="Q74" s="71">
        <f t="shared" si="23"/>
        <v>0.49335799199220215</v>
      </c>
      <c r="R74" s="71">
        <f t="shared" si="23"/>
        <v>0.50512065788330884</v>
      </c>
      <c r="S74" s="71">
        <f t="shared" si="23"/>
        <v>0.49330115533395613</v>
      </c>
      <c r="T74" s="71">
        <f t="shared" si="23"/>
        <v>0.50008319700282744</v>
      </c>
      <c r="U74" s="71">
        <f t="shared" si="23"/>
        <v>0.48178041821513101</v>
      </c>
      <c r="V74" s="71">
        <f t="shared" si="23"/>
        <v>0.48355586857677152</v>
      </c>
      <c r="W74" s="71">
        <f t="shared" si="23"/>
        <v>0.47454398755377186</v>
      </c>
      <c r="X74" s="71">
        <f t="shared" si="23"/>
        <v>0.35713861385093426</v>
      </c>
      <c r="Y74" s="71">
        <f t="shared" si="23"/>
        <v>0.45484387886442906</v>
      </c>
      <c r="Z74" s="71">
        <f t="shared" si="23"/>
        <v>0.45743263037163906</v>
      </c>
      <c r="AA74" s="71">
        <f t="shared" si="23"/>
        <v>0.52826034378199527</v>
      </c>
      <c r="AB74" s="71">
        <f t="shared" si="23"/>
        <v>0.54254520845075516</v>
      </c>
      <c r="AC74" s="71">
        <f t="shared" si="23"/>
        <v>0.5507197805742402</v>
      </c>
      <c r="AD74" s="71">
        <f t="shared" si="23"/>
        <v>0.55844805030517919</v>
      </c>
      <c r="AE74" s="71">
        <f t="shared" si="23"/>
        <v>0.36292642612550091</v>
      </c>
      <c r="AF74" s="71">
        <f t="shared" si="23"/>
        <v>0.38601777687890887</v>
      </c>
    </row>
    <row r="75" spans="1:33" x14ac:dyDescent="0.2">
      <c r="A75" s="61" t="s">
        <v>9</v>
      </c>
      <c r="B75" s="70">
        <f t="shared" si="24"/>
        <v>0.4600389863547758</v>
      </c>
      <c r="C75" s="70">
        <f t="shared" si="24"/>
        <v>0.51319648093841641</v>
      </c>
      <c r="D75" s="70">
        <f t="shared" si="24"/>
        <v>0.56854838709677424</v>
      </c>
      <c r="E75" s="70">
        <f t="shared" si="24"/>
        <v>0.54628224582701057</v>
      </c>
      <c r="F75" s="70">
        <f t="shared" si="24"/>
        <v>0.49269792467332824</v>
      </c>
      <c r="G75" s="70">
        <f t="shared" si="24"/>
        <v>0.53497491196615377</v>
      </c>
      <c r="H75" s="70">
        <f t="shared" si="24"/>
        <v>0.46025822178598014</v>
      </c>
      <c r="I75" s="70">
        <f t="shared" si="24"/>
        <v>0.48971526671853283</v>
      </c>
      <c r="J75" s="70">
        <f t="shared" si="24"/>
        <v>0.557124088492298</v>
      </c>
      <c r="K75" s="70">
        <f t="shared" si="24"/>
        <v>0.64595932525569855</v>
      </c>
      <c r="L75" s="70">
        <f t="shared" si="24"/>
        <v>0.51153898865482839</v>
      </c>
      <c r="M75" s="70">
        <f t="shared" si="24"/>
        <v>0.57304292379256871</v>
      </c>
      <c r="N75" s="70">
        <f t="shared" si="24"/>
        <v>0.54836034979670578</v>
      </c>
      <c r="O75" s="71">
        <f t="shared" si="23"/>
        <v>0.50418017005017046</v>
      </c>
      <c r="P75" s="71">
        <f t="shared" si="23"/>
        <v>0.62502194295093161</v>
      </c>
      <c r="Q75" s="71">
        <f t="shared" si="23"/>
        <v>0.5313799909352378</v>
      </c>
      <c r="R75" s="71">
        <f t="shared" si="23"/>
        <v>0.54007636864954056</v>
      </c>
      <c r="S75" s="71">
        <f t="shared" si="23"/>
        <v>0.53763525700089643</v>
      </c>
      <c r="T75" s="71">
        <f t="shared" si="23"/>
        <v>0.54990575353704696</v>
      </c>
      <c r="U75" s="71">
        <f t="shared" si="23"/>
        <v>0.55033363015290548</v>
      </c>
      <c r="V75" s="71">
        <f t="shared" si="23"/>
        <v>0.5328594912040816</v>
      </c>
      <c r="W75" s="71">
        <f t="shared" si="23"/>
        <v>0.52631436982022439</v>
      </c>
      <c r="X75" s="71">
        <f t="shared" si="23"/>
        <v>0.40661067804576301</v>
      </c>
      <c r="Y75" s="71">
        <f t="shared" si="23"/>
        <v>0.51141110695476022</v>
      </c>
      <c r="Z75" s="71">
        <f t="shared" si="23"/>
        <v>0.51482730186702641</v>
      </c>
      <c r="AA75" s="71">
        <f t="shared" si="23"/>
        <v>0.57095677326320815</v>
      </c>
      <c r="AB75" s="71">
        <f t="shared" si="23"/>
        <v>0.58414613689012396</v>
      </c>
      <c r="AC75" s="71">
        <f t="shared" si="23"/>
        <v>0.59088371732557443</v>
      </c>
      <c r="AD75" s="71">
        <f t="shared" si="23"/>
        <v>0.59908907562871871</v>
      </c>
      <c r="AE75" s="71">
        <f t="shared" si="23"/>
        <v>0.40944730206498636</v>
      </c>
      <c r="AF75" s="71">
        <f t="shared" si="23"/>
        <v>0.43395959146979868</v>
      </c>
    </row>
    <row r="76" spans="1:33" x14ac:dyDescent="0.2">
      <c r="A76" s="61" t="s">
        <v>10</v>
      </c>
      <c r="B76" s="70">
        <f t="shared" si="24"/>
        <v>0.48175182481751827</v>
      </c>
      <c r="C76" s="70">
        <f t="shared" si="24"/>
        <v>0.58367346938775511</v>
      </c>
      <c r="D76" s="70">
        <f t="shared" si="24"/>
        <v>0.55172413793103448</v>
      </c>
      <c r="E76" s="70">
        <f t="shared" si="24"/>
        <v>0.49122807017543857</v>
      </c>
      <c r="F76" s="70">
        <f t="shared" si="24"/>
        <v>0.54156479217603914</v>
      </c>
      <c r="G76" s="70">
        <f t="shared" si="24"/>
        <v>0.59174314921660254</v>
      </c>
      <c r="H76" s="70">
        <f t="shared" si="24"/>
        <v>0.52655405405405409</v>
      </c>
      <c r="I76" s="70">
        <f t="shared" si="24"/>
        <v>0.51526752094782324</v>
      </c>
      <c r="J76" s="70">
        <f t="shared" si="24"/>
        <v>0.57760229971691746</v>
      </c>
      <c r="K76" s="70">
        <f t="shared" si="24"/>
        <v>0.70983618029044726</v>
      </c>
      <c r="L76" s="70">
        <f t="shared" si="24"/>
        <v>0.53111622630556043</v>
      </c>
      <c r="M76" s="70">
        <f t="shared" si="24"/>
        <v>0.5678974170554355</v>
      </c>
      <c r="N76" s="70">
        <f t="shared" si="24"/>
        <v>0.53996554560331</v>
      </c>
      <c r="O76" s="71">
        <f t="shared" si="23"/>
        <v>0.55559804460811368</v>
      </c>
      <c r="P76" s="71">
        <f t="shared" si="23"/>
        <v>0.62548859003293988</v>
      </c>
      <c r="Q76" s="71">
        <f t="shared" si="23"/>
        <v>0.55056940173853763</v>
      </c>
      <c r="R76" s="71">
        <f t="shared" si="23"/>
        <v>0.55825230151105931</v>
      </c>
      <c r="S76" s="71">
        <f t="shared" si="23"/>
        <v>0.56015453508890911</v>
      </c>
      <c r="T76" s="71">
        <f t="shared" si="23"/>
        <v>0.57944865506833676</v>
      </c>
      <c r="U76" s="71">
        <f t="shared" si="23"/>
        <v>0.5740188664198228</v>
      </c>
      <c r="V76" s="71">
        <f t="shared" si="23"/>
        <v>0.55856931446362701</v>
      </c>
      <c r="W76" s="71">
        <f t="shared" si="23"/>
        <v>0.55206874738797507</v>
      </c>
      <c r="X76" s="71">
        <f t="shared" si="23"/>
        <v>0.43173038763420624</v>
      </c>
      <c r="Y76" s="71">
        <f t="shared" si="23"/>
        <v>0.53897187233712052</v>
      </c>
      <c r="Z76" s="71">
        <f t="shared" si="23"/>
        <v>0.5414280419435199</v>
      </c>
      <c r="AA76" s="71">
        <f t="shared" si="23"/>
        <v>0.59405376618131556</v>
      </c>
      <c r="AB76" s="71">
        <f t="shared" si="23"/>
        <v>0.60608482267935015</v>
      </c>
      <c r="AC76" s="71">
        <f t="shared" si="23"/>
        <v>0.61223446498155742</v>
      </c>
      <c r="AD76" s="71">
        <f t="shared" si="23"/>
        <v>0.62024448524695974</v>
      </c>
      <c r="AE76" s="71">
        <f t="shared" si="23"/>
        <v>0.43282087665367308</v>
      </c>
      <c r="AF76" s="71">
        <f t="shared" si="23"/>
        <v>0.45875515291575231</v>
      </c>
    </row>
    <row r="77" spans="1:33" x14ac:dyDescent="0.2">
      <c r="A77" s="61" t="s">
        <v>11</v>
      </c>
      <c r="B77" s="70">
        <f t="shared" si="24"/>
        <v>0.52093802345058626</v>
      </c>
      <c r="C77" s="70">
        <f t="shared" si="24"/>
        <v>0.5491071428571429</v>
      </c>
      <c r="D77" s="70">
        <f t="shared" si="24"/>
        <v>0.58980582524271841</v>
      </c>
      <c r="E77" s="70">
        <f t="shared" si="24"/>
        <v>0.59347018722018718</v>
      </c>
      <c r="F77" s="70">
        <f t="shared" si="24"/>
        <v>0.54420206659012627</v>
      </c>
      <c r="G77" s="70">
        <f t="shared" si="24"/>
        <v>0.56479939834719362</v>
      </c>
      <c r="H77" s="70">
        <f t="shared" si="24"/>
        <v>0.52131954140901804</v>
      </c>
      <c r="I77" s="70">
        <f t="shared" si="24"/>
        <v>0.53191663630135655</v>
      </c>
      <c r="J77" s="70">
        <f t="shared" si="24"/>
        <v>0.55804976096328507</v>
      </c>
      <c r="K77" s="70">
        <f t="shared" si="24"/>
        <v>0.66933531569381965</v>
      </c>
      <c r="L77" s="70">
        <f t="shared" si="24"/>
        <v>0.41925699727857879</v>
      </c>
      <c r="M77" s="70">
        <f t="shared" si="24"/>
        <v>0.54131335545085413</v>
      </c>
      <c r="N77" s="70">
        <f t="shared" si="24"/>
        <v>0.53912597859532774</v>
      </c>
      <c r="O77" s="71">
        <f t="shared" si="23"/>
        <v>0.52739646916021299</v>
      </c>
      <c r="P77" s="71">
        <f t="shared" si="23"/>
        <v>0.53048816414293143</v>
      </c>
      <c r="Q77" s="71">
        <f t="shared" si="23"/>
        <v>0.47598158447286726</v>
      </c>
      <c r="R77" s="71">
        <f t="shared" si="23"/>
        <v>0.51232808310814426</v>
      </c>
      <c r="S77" s="71">
        <f t="shared" si="23"/>
        <v>0.51191058225447206</v>
      </c>
      <c r="T77" s="71">
        <f t="shared" si="23"/>
        <v>0.51983569860763557</v>
      </c>
      <c r="U77" s="71">
        <f t="shared" si="23"/>
        <v>0.50183029494448639</v>
      </c>
      <c r="V77" s="71">
        <f t="shared" si="23"/>
        <v>0.49752999446832036</v>
      </c>
      <c r="W77" s="71">
        <f t="shared" si="23"/>
        <v>0.49189493555463798</v>
      </c>
      <c r="X77" s="71">
        <f t="shared" si="23"/>
        <v>0.37375610234272283</v>
      </c>
      <c r="Y77" s="71">
        <f t="shared" si="23"/>
        <v>0.47408186496745253</v>
      </c>
      <c r="Z77" s="71">
        <f t="shared" si="23"/>
        <v>0.4762626792386882</v>
      </c>
      <c r="AA77" s="71">
        <f t="shared" si="23"/>
        <v>0.54370274385267414</v>
      </c>
      <c r="AB77" s="71">
        <f t="shared" si="23"/>
        <v>0.55855702243145233</v>
      </c>
      <c r="AC77" s="71">
        <f t="shared" si="23"/>
        <v>0.56655297527697546</v>
      </c>
      <c r="AD77" s="71">
        <f t="shared" si="23"/>
        <v>0.57444510541937466</v>
      </c>
      <c r="AE77" s="71">
        <f t="shared" si="23"/>
        <v>0.38456016893133738</v>
      </c>
      <c r="AF77" s="71">
        <f t="shared" si="23"/>
        <v>0.41001004731212337</v>
      </c>
    </row>
    <row r="78" spans="1:33" x14ac:dyDescent="0.2">
      <c r="A78" s="61" t="s">
        <v>12</v>
      </c>
      <c r="B78" s="70">
        <f t="shared" si="24"/>
        <v>0.55354449472096534</v>
      </c>
      <c r="C78" s="70">
        <f t="shared" si="24"/>
        <v>0.56606851549755299</v>
      </c>
      <c r="D78" s="70">
        <f t="shared" si="24"/>
        <v>0.56206088992974235</v>
      </c>
      <c r="E78" s="70">
        <f t="shared" si="24"/>
        <v>0.50629623158017367</v>
      </c>
      <c r="F78" s="70">
        <f t="shared" si="24"/>
        <v>0.51299746951920866</v>
      </c>
      <c r="G78" s="70">
        <f t="shared" si="24"/>
        <v>0.56172115725465599</v>
      </c>
      <c r="H78" s="70">
        <f t="shared" si="24"/>
        <v>0.54266862432630847</v>
      </c>
      <c r="I78" s="70">
        <f t="shared" si="24"/>
        <v>0.54126382581915777</v>
      </c>
      <c r="J78" s="70">
        <f t="shared" si="24"/>
        <v>0.59928977178866039</v>
      </c>
      <c r="K78" s="70">
        <f t="shared" si="24"/>
        <v>0.64609479687071192</v>
      </c>
      <c r="L78" s="70">
        <f t="shared" si="24"/>
        <v>0.58255826821027534</v>
      </c>
      <c r="M78" s="70">
        <f t="shared" si="24"/>
        <v>0.5532048978892905</v>
      </c>
      <c r="N78" s="70">
        <f t="shared" si="24"/>
        <v>0.58449204673825528</v>
      </c>
      <c r="O78" s="71">
        <f t="shared" si="23"/>
        <v>0.58038460627812616</v>
      </c>
      <c r="P78" s="71">
        <f t="shared" si="23"/>
        <v>0.5420401097829759</v>
      </c>
      <c r="Q78" s="71">
        <f t="shared" si="23"/>
        <v>0.54774617700518313</v>
      </c>
      <c r="R78" s="71">
        <f t="shared" si="23"/>
        <v>0.54952390765644865</v>
      </c>
      <c r="S78" s="71">
        <f t="shared" si="23"/>
        <v>0.55343031926985053</v>
      </c>
      <c r="T78" s="71">
        <f t="shared" si="23"/>
        <v>0.56027502413658015</v>
      </c>
      <c r="U78" s="71">
        <f t="shared" si="23"/>
        <v>0.54485863282764524</v>
      </c>
      <c r="V78" s="71">
        <f t="shared" si="23"/>
        <v>0.54377003803403368</v>
      </c>
      <c r="W78" s="71">
        <f t="shared" si="23"/>
        <v>0.53462682616178614</v>
      </c>
      <c r="X78" s="71">
        <f t="shared" si="23"/>
        <v>0.41415549224756809</v>
      </c>
      <c r="Y78" s="71">
        <f t="shared" si="23"/>
        <v>0.51845488814785201</v>
      </c>
      <c r="Z78" s="71">
        <f t="shared" si="23"/>
        <v>0.52088042756720743</v>
      </c>
      <c r="AA78" s="71">
        <f t="shared" si="23"/>
        <v>0.5785882274316233</v>
      </c>
      <c r="AB78" s="71">
        <f t="shared" si="23"/>
        <v>0.59115018422469867</v>
      </c>
      <c r="AC78" s="71">
        <f t="shared" si="23"/>
        <v>0.59786562118809439</v>
      </c>
      <c r="AD78" s="71">
        <f t="shared" si="23"/>
        <v>0.60587897423594617</v>
      </c>
      <c r="AE78" s="71">
        <f t="shared" si="23"/>
        <v>0.41478437217294312</v>
      </c>
      <c r="AF78" s="71">
        <f t="shared" si="23"/>
        <v>0.44048673579796538</v>
      </c>
    </row>
    <row r="79" spans="1:33" x14ac:dyDescent="0.2">
      <c r="A79" s="61" t="s">
        <v>13</v>
      </c>
      <c r="B79" s="70">
        <f t="shared" si="24"/>
        <v>0.58017492711370267</v>
      </c>
      <c r="C79" s="70">
        <f t="shared" si="24"/>
        <v>0.58245083207261727</v>
      </c>
      <c r="D79" s="70">
        <f t="shared" si="24"/>
        <v>0.56747787610619471</v>
      </c>
      <c r="E79" s="70">
        <f t="shared" si="24"/>
        <v>0.51708370379779001</v>
      </c>
      <c r="F79" s="70">
        <f t="shared" si="24"/>
        <v>0.52729754322111011</v>
      </c>
      <c r="G79" s="70">
        <f t="shared" si="24"/>
        <v>0.57572797202223125</v>
      </c>
      <c r="H79" s="70">
        <f t="shared" si="24"/>
        <v>0.54154868123452815</v>
      </c>
      <c r="I79" s="70">
        <f t="shared" si="24"/>
        <v>0.54536946803409281</v>
      </c>
      <c r="J79" s="70">
        <f t="shared" si="24"/>
        <v>0.60488020268851439</v>
      </c>
      <c r="K79" s="70">
        <f t="shared" si="24"/>
        <v>0.6203240953369521</v>
      </c>
      <c r="L79" s="70">
        <f t="shared" si="24"/>
        <v>0.57573411347141257</v>
      </c>
      <c r="M79" s="70">
        <f t="shared" si="24"/>
        <v>0.56784981212818375</v>
      </c>
      <c r="N79" s="70">
        <f t="shared" si="24"/>
        <v>0.54886240131935682</v>
      </c>
      <c r="O79" s="71">
        <f t="shared" si="23"/>
        <v>0.55526207433675656</v>
      </c>
      <c r="P79" s="71">
        <f t="shared" si="23"/>
        <v>0.52193588184101036</v>
      </c>
      <c r="Q79" s="71">
        <f t="shared" si="23"/>
        <v>0.52779135929145649</v>
      </c>
      <c r="R79" s="71">
        <f t="shared" si="23"/>
        <v>0.52875740232165991</v>
      </c>
      <c r="S79" s="71">
        <f t="shared" si="23"/>
        <v>0.5262149876063783</v>
      </c>
      <c r="T79" s="71">
        <f t="shared" si="23"/>
        <v>0.53310633957792197</v>
      </c>
      <c r="U79" s="71">
        <f t="shared" si="23"/>
        <v>0.51763932595170437</v>
      </c>
      <c r="V79" s="71">
        <f t="shared" si="23"/>
        <v>0.51683155175475026</v>
      </c>
      <c r="W79" s="71">
        <f t="shared" si="23"/>
        <v>0.50730151982774563</v>
      </c>
      <c r="X79" s="71">
        <f t="shared" si="23"/>
        <v>0.38787210898976443</v>
      </c>
      <c r="Y79" s="71">
        <f t="shared" si="23"/>
        <v>0.49044087322516</v>
      </c>
      <c r="Z79" s="71">
        <f t="shared" si="23"/>
        <v>0.49287564432055336</v>
      </c>
      <c r="AA79" s="71">
        <f t="shared" si="23"/>
        <v>0.55331759354453391</v>
      </c>
      <c r="AB79" s="71">
        <f t="shared" si="23"/>
        <v>0.5667053509004355</v>
      </c>
      <c r="AC79" s="71">
        <f t="shared" si="23"/>
        <v>0.57406558972549659</v>
      </c>
      <c r="AD79" s="71">
        <f t="shared" si="23"/>
        <v>0.5817266260196049</v>
      </c>
      <c r="AE79" s="71">
        <f t="shared" si="23"/>
        <v>0.38814901504472327</v>
      </c>
      <c r="AF79" s="71">
        <f t="shared" si="23"/>
        <v>0.41343314409238796</v>
      </c>
    </row>
    <row r="80" spans="1:33" x14ac:dyDescent="0.2">
      <c r="A80" s="61" t="s">
        <v>14</v>
      </c>
      <c r="B80" s="70">
        <f t="shared" si="24"/>
        <v>0.61428571428571432</v>
      </c>
      <c r="C80" s="70">
        <f t="shared" si="24"/>
        <v>0.54668930390492365</v>
      </c>
      <c r="D80" s="70">
        <f t="shared" si="24"/>
        <v>0.58989424206815511</v>
      </c>
      <c r="E80" s="70">
        <f t="shared" si="24"/>
        <v>0.4806913412068064</v>
      </c>
      <c r="F80" s="70">
        <f t="shared" si="24"/>
        <v>0.50322580645161286</v>
      </c>
      <c r="G80" s="70">
        <f t="shared" si="24"/>
        <v>0.57957683679131833</v>
      </c>
      <c r="H80" s="70">
        <f t="shared" si="24"/>
        <v>0.57304031806579558</v>
      </c>
      <c r="I80" s="70">
        <f t="shared" si="24"/>
        <v>0.56602424491473202</v>
      </c>
      <c r="J80" s="70">
        <f t="shared" si="24"/>
        <v>0.57652364131024902</v>
      </c>
      <c r="K80" s="70">
        <f t="shared" si="24"/>
        <v>0.63572856255954824</v>
      </c>
      <c r="L80" s="70">
        <f t="shared" si="24"/>
        <v>0.62332944042464056</v>
      </c>
      <c r="M80" s="70">
        <f t="shared" si="24"/>
        <v>0.55933948483943441</v>
      </c>
      <c r="N80" s="70">
        <f t="shared" si="24"/>
        <v>0.55280165653537405</v>
      </c>
      <c r="O80" s="71">
        <f t="shared" si="23"/>
        <v>0.62027029858281679</v>
      </c>
      <c r="P80" s="71">
        <f t="shared" si="23"/>
        <v>0.54775065211998886</v>
      </c>
      <c r="Q80" s="71">
        <f t="shared" si="23"/>
        <v>0.55397902731899085</v>
      </c>
      <c r="R80" s="71">
        <f t="shared" si="23"/>
        <v>0.55562209951442743</v>
      </c>
      <c r="S80" s="71">
        <f t="shared" si="23"/>
        <v>0.55960386716973076</v>
      </c>
      <c r="T80" s="71">
        <f t="shared" si="23"/>
        <v>0.5733664829109405</v>
      </c>
      <c r="U80" s="71">
        <f t="shared" si="23"/>
        <v>0.55304666607538122</v>
      </c>
      <c r="V80" s="71">
        <f t="shared" si="23"/>
        <v>0.55180372516694154</v>
      </c>
      <c r="W80" s="71">
        <f t="shared" si="23"/>
        <v>0.54250301472692664</v>
      </c>
      <c r="X80" s="71">
        <f t="shared" si="23"/>
        <v>0.42228929428219414</v>
      </c>
      <c r="Y80" s="71">
        <f t="shared" si="23"/>
        <v>0.52655815187499122</v>
      </c>
      <c r="Z80" s="71">
        <f t="shared" si="23"/>
        <v>0.5279221740073281</v>
      </c>
      <c r="AA80" s="71">
        <f t="shared" si="23"/>
        <v>0.5874763119254327</v>
      </c>
      <c r="AB80" s="71">
        <f t="shared" si="23"/>
        <v>0.59980567122065864</v>
      </c>
      <c r="AC80" s="71">
        <f t="shared" si="23"/>
        <v>0.6064261725463993</v>
      </c>
      <c r="AD80" s="71">
        <f t="shared" si="23"/>
        <v>0.61394671804857759</v>
      </c>
      <c r="AE80" s="71">
        <f t="shared" si="23"/>
        <v>0.4183863793373519</v>
      </c>
      <c r="AF80" s="71">
        <f t="shared" si="23"/>
        <v>0.44362305655727879</v>
      </c>
    </row>
    <row r="81" spans="1:32" x14ac:dyDescent="0.2">
      <c r="A81" s="61" t="s">
        <v>15</v>
      </c>
      <c r="B81" s="70">
        <f t="shared" si="24"/>
        <v>0.68709256844850064</v>
      </c>
      <c r="C81" s="70">
        <f t="shared" si="24"/>
        <v>0.56746765249537889</v>
      </c>
      <c r="D81" s="70">
        <f t="shared" si="24"/>
        <v>0.6021857923497268</v>
      </c>
      <c r="E81" s="70">
        <f t="shared" si="24"/>
        <v>0.54064149698340869</v>
      </c>
      <c r="F81" s="70">
        <f t="shared" si="24"/>
        <v>0.51580278128950696</v>
      </c>
      <c r="G81" s="70">
        <f t="shared" si="24"/>
        <v>0.52393760086067775</v>
      </c>
      <c r="H81" s="70">
        <f t="shared" si="24"/>
        <v>0.52112739612288361</v>
      </c>
      <c r="I81" s="70">
        <f t="shared" si="24"/>
        <v>0.55321776300166237</v>
      </c>
      <c r="J81" s="70">
        <f t="shared" si="24"/>
        <v>0.55024718434116004</v>
      </c>
      <c r="K81" s="70">
        <f t="shared" si="24"/>
        <v>0.63127071202998075</v>
      </c>
      <c r="L81" s="70">
        <f t="shared" si="24"/>
        <v>0.59897869841146767</v>
      </c>
      <c r="M81" s="70">
        <f t="shared" si="24"/>
        <v>0.56925788061667204</v>
      </c>
      <c r="N81" s="70">
        <f t="shared" si="24"/>
        <v>0.58259456009547206</v>
      </c>
      <c r="O81" s="71">
        <f t="shared" si="23"/>
        <v>0.50114757233607254</v>
      </c>
      <c r="P81" s="71">
        <f t="shared" si="23"/>
        <v>0.55057057334325743</v>
      </c>
      <c r="Q81" s="71">
        <f t="shared" si="23"/>
        <v>0.55332682994881088</v>
      </c>
      <c r="R81" s="71">
        <f t="shared" si="23"/>
        <v>0.54926074400154112</v>
      </c>
      <c r="S81" s="71">
        <f t="shared" si="23"/>
        <v>0.56649408762881104</v>
      </c>
      <c r="T81" s="71">
        <f t="shared" si="23"/>
        <v>0.55373226421273714</v>
      </c>
      <c r="U81" s="71">
        <f t="shared" si="23"/>
        <v>0.55401858260803571</v>
      </c>
      <c r="V81" s="71">
        <f t="shared" si="23"/>
        <v>0.54271560640435468</v>
      </c>
      <c r="W81" s="71">
        <f t="shared" si="23"/>
        <v>0.53663425827128386</v>
      </c>
      <c r="X81" s="71">
        <f t="shared" si="23"/>
        <v>0.52857365261917966</v>
      </c>
      <c r="Y81" s="71">
        <f t="shared" si="23"/>
        <v>0.53106578691515627</v>
      </c>
      <c r="Z81" s="71">
        <f t="shared" si="23"/>
        <v>0.6046425122578426</v>
      </c>
      <c r="AA81" s="71">
        <f t="shared" si="23"/>
        <v>0.59510645784114136</v>
      </c>
      <c r="AB81" s="71">
        <f t="shared" si="23"/>
        <v>0.61639668276323711</v>
      </c>
      <c r="AC81" s="71">
        <f t="shared" si="23"/>
        <v>0.6253118757558831</v>
      </c>
      <c r="AD81" s="71">
        <f t="shared" si="23"/>
        <v>0.57986626998219015</v>
      </c>
      <c r="AE81" s="71">
        <f t="shared" si="23"/>
        <v>0.35103482324881885</v>
      </c>
      <c r="AF81" s="71">
        <f t="shared" si="23"/>
        <v>0.34332785961042306</v>
      </c>
    </row>
    <row r="82" spans="1:32" x14ac:dyDescent="0.2">
      <c r="A82" s="61" t="s">
        <v>16</v>
      </c>
      <c r="B82" s="70">
        <f t="shared" si="24"/>
        <v>0.70143415906127771</v>
      </c>
      <c r="C82" s="70">
        <f t="shared" si="24"/>
        <v>0.60146699266503667</v>
      </c>
      <c r="D82" s="70">
        <f t="shared" si="24"/>
        <v>0.62137049941927991</v>
      </c>
      <c r="E82" s="70">
        <f t="shared" si="24"/>
        <v>0.57574040690188011</v>
      </c>
      <c r="F82" s="70">
        <f t="shared" si="24"/>
        <v>0.62466343564889615</v>
      </c>
      <c r="G82" s="70">
        <f t="shared" si="24"/>
        <v>0.56980691805254047</v>
      </c>
      <c r="H82" s="70">
        <f t="shared" si="24"/>
        <v>0.52493158474606394</v>
      </c>
      <c r="I82" s="70">
        <f t="shared" si="24"/>
        <v>0.58849249325208208</v>
      </c>
      <c r="J82" s="70">
        <f t="shared" si="24"/>
        <v>0.55018683367244048</v>
      </c>
      <c r="K82" s="70">
        <f t="shared" si="24"/>
        <v>0.61244221922108932</v>
      </c>
      <c r="L82" s="70">
        <f t="shared" si="24"/>
        <v>0.50853563831800463</v>
      </c>
      <c r="M82" s="70">
        <f t="shared" si="24"/>
        <v>0.56554951150203225</v>
      </c>
      <c r="N82" s="70">
        <f t="shared" si="24"/>
        <v>0.58237659307189027</v>
      </c>
      <c r="O82" s="71">
        <f t="shared" si="23"/>
        <v>0.47294706982045026</v>
      </c>
      <c r="P82" s="71">
        <f t="shared" si="23"/>
        <v>0.53378328161033339</v>
      </c>
      <c r="Q82" s="71">
        <f t="shared" si="23"/>
        <v>0.51794131016762412</v>
      </c>
      <c r="R82" s="71">
        <f t="shared" si="23"/>
        <v>0.52402462788001603</v>
      </c>
      <c r="S82" s="71">
        <f t="shared" si="23"/>
        <v>0.53798394474032585</v>
      </c>
      <c r="T82" s="71">
        <f t="shared" si="23"/>
        <v>0.51930875502088603</v>
      </c>
      <c r="U82" s="71">
        <f t="shared" si="23"/>
        <v>0.52293724468269343</v>
      </c>
      <c r="V82" s="71">
        <f t="shared" si="23"/>
        <v>0.51044657969017448</v>
      </c>
      <c r="W82" s="71">
        <f t="shared" si="23"/>
        <v>0.50480485854977053</v>
      </c>
      <c r="X82" s="71">
        <f t="shared" si="23"/>
        <v>0.49509677692639464</v>
      </c>
      <c r="Y82" s="71">
        <f t="shared" si="23"/>
        <v>0.49753282643145458</v>
      </c>
      <c r="Z82" s="71">
        <f t="shared" si="23"/>
        <v>0.57421765253941182</v>
      </c>
      <c r="AA82" s="71">
        <f t="shared" si="23"/>
        <v>0.5887572789254486</v>
      </c>
      <c r="AB82" s="71">
        <f t="shared" si="23"/>
        <v>0.58963929431172923</v>
      </c>
      <c r="AC82" s="71">
        <f t="shared" si="23"/>
        <v>0.59933264344470372</v>
      </c>
      <c r="AD82" s="71">
        <f t="shared" si="23"/>
        <v>0.55234351880306753</v>
      </c>
      <c r="AE82" s="71">
        <f t="shared" si="23"/>
        <v>0.39728733568813851</v>
      </c>
      <c r="AF82" s="71">
        <f t="shared" si="23"/>
        <v>0.37817765876351167</v>
      </c>
    </row>
    <row r="83" spans="1:32" x14ac:dyDescent="0.2">
      <c r="A83" s="61" t="s">
        <v>17</v>
      </c>
      <c r="B83" s="70">
        <f t="shared" si="24"/>
        <v>0.74371859296482412</v>
      </c>
      <c r="C83" s="70">
        <f t="shared" si="24"/>
        <v>0.63341067285382835</v>
      </c>
      <c r="D83" s="70">
        <f t="shared" si="24"/>
        <v>0.61026200873362446</v>
      </c>
      <c r="E83" s="70">
        <f t="shared" si="24"/>
        <v>0.61084157277535056</v>
      </c>
      <c r="F83" s="70">
        <f t="shared" si="24"/>
        <v>0.57778955738139415</v>
      </c>
      <c r="G83" s="70">
        <f t="shared" si="24"/>
        <v>0.59293109811767908</v>
      </c>
      <c r="H83" s="70">
        <f t="shared" si="24"/>
        <v>0.53359744156380828</v>
      </c>
      <c r="I83" s="70">
        <f t="shared" si="24"/>
        <v>0.61220479417072404</v>
      </c>
      <c r="J83" s="70">
        <f t="shared" si="24"/>
        <v>0.54635071844182492</v>
      </c>
      <c r="K83" s="70">
        <f t="shared" si="24"/>
        <v>0.64435961047597312</v>
      </c>
      <c r="L83" s="70">
        <f t="shared" si="24"/>
        <v>0.57463496710758133</v>
      </c>
      <c r="M83" s="70">
        <f t="shared" si="24"/>
        <v>0.51763707605113052</v>
      </c>
      <c r="N83" s="70">
        <f t="shared" si="24"/>
        <v>0.59466915018252953</v>
      </c>
      <c r="O83" s="71">
        <f t="shared" si="23"/>
        <v>0.40669150127271286</v>
      </c>
      <c r="P83" s="71">
        <f t="shared" si="23"/>
        <v>0.52041128176407636</v>
      </c>
      <c r="Q83" s="71">
        <f t="shared" si="23"/>
        <v>0.52049659967732798</v>
      </c>
      <c r="R83" s="71">
        <f t="shared" si="23"/>
        <v>0.51312999834583417</v>
      </c>
      <c r="S83" s="71">
        <f t="shared" si="23"/>
        <v>0.53148544968254885</v>
      </c>
      <c r="T83" s="71">
        <f t="shared" si="23"/>
        <v>0.51024941400189305</v>
      </c>
      <c r="U83" s="71">
        <f t="shared" si="23"/>
        <v>0.51823611437653005</v>
      </c>
      <c r="V83" s="71">
        <f t="shared" si="23"/>
        <v>0.50339060837610783</v>
      </c>
      <c r="W83" s="71">
        <f t="shared" si="23"/>
        <v>0.49575368986752688</v>
      </c>
      <c r="X83" s="71">
        <f t="shared" si="23"/>
        <v>0.48524725665402313</v>
      </c>
      <c r="Y83" s="71">
        <f t="shared" si="23"/>
        <v>0.48828361484533983</v>
      </c>
      <c r="Z83" s="71">
        <f t="shared" si="23"/>
        <v>0.56319590749313297</v>
      </c>
      <c r="AA83" s="71">
        <f t="shared" si="23"/>
        <v>0.5784588630391575</v>
      </c>
      <c r="AB83" s="71">
        <f t="shared" si="23"/>
        <v>0.57973092684149707</v>
      </c>
      <c r="AC83" s="71">
        <f t="shared" si="23"/>
        <v>0.58897051213000962</v>
      </c>
      <c r="AD83" s="71">
        <f t="shared" si="23"/>
        <v>0.54551106436200369</v>
      </c>
      <c r="AE83" s="71">
        <f t="shared" si="23"/>
        <v>0.39426545037598354</v>
      </c>
      <c r="AF83" s="71">
        <f t="shared" si="23"/>
        <v>0.37426650326666616</v>
      </c>
    </row>
    <row r="84" spans="1:32" x14ac:dyDescent="0.2">
      <c r="A84" s="64" t="s">
        <v>24</v>
      </c>
      <c r="B84" s="80">
        <f>AVERAGE(B72:B83)</f>
        <v>0.57845698863137063</v>
      </c>
      <c r="C84" s="80">
        <f t="shared" ref="C84:AF84" si="25">AVERAGE(C72:C83)</f>
        <v>0.57066351997377596</v>
      </c>
      <c r="D84" s="80">
        <f t="shared" si="25"/>
        <v>0.58852906004363725</v>
      </c>
      <c r="E84" s="80">
        <f t="shared" si="25"/>
        <v>0.54319283367325644</v>
      </c>
      <c r="F84" s="80">
        <f t="shared" si="25"/>
        <v>0.54454259119842197</v>
      </c>
      <c r="G84" s="80">
        <f t="shared" si="25"/>
        <v>0.57072451253595069</v>
      </c>
      <c r="H84" s="80">
        <f t="shared" si="25"/>
        <v>0.52139122854367426</v>
      </c>
      <c r="I84" s="80">
        <f t="shared" si="25"/>
        <v>0.54576109309204723</v>
      </c>
      <c r="J84" s="80">
        <f t="shared" si="25"/>
        <v>0.57184562108457471</v>
      </c>
      <c r="K84" s="80">
        <f t="shared" si="25"/>
        <v>0.62603601464140346</v>
      </c>
      <c r="L84" s="80">
        <f t="shared" si="25"/>
        <v>0.53356656541970016</v>
      </c>
      <c r="M84" s="81">
        <f t="shared" si="25"/>
        <v>0.56550217363082356</v>
      </c>
      <c r="N84" s="81">
        <f t="shared" si="25"/>
        <v>0.56293318067859077</v>
      </c>
      <c r="O84" s="80">
        <f t="shared" si="25"/>
        <v>0.52853656118974068</v>
      </c>
      <c r="P84" s="80">
        <f t="shared" si="25"/>
        <v>0.56377116808923289</v>
      </c>
      <c r="Q84" s="80">
        <f t="shared" si="25"/>
        <v>0.52476237306557871</v>
      </c>
      <c r="R84" s="80">
        <f t="shared" si="25"/>
        <v>0.53508634649883302</v>
      </c>
      <c r="S84" s="80">
        <f t="shared" si="25"/>
        <v>0.53827619018733008</v>
      </c>
      <c r="T84" s="80">
        <f t="shared" si="25"/>
        <v>0.54156540178557211</v>
      </c>
      <c r="U84" s="80">
        <f t="shared" si="25"/>
        <v>0.53346883210889995</v>
      </c>
      <c r="V84" s="80">
        <f t="shared" si="25"/>
        <v>0.52484812124430302</v>
      </c>
      <c r="W84" s="80">
        <f t="shared" si="25"/>
        <v>0.5179995756021325</v>
      </c>
      <c r="X84" s="80">
        <f t="shared" si="25"/>
        <v>0.42603798872659659</v>
      </c>
      <c r="Y84" s="80">
        <f t="shared" si="25"/>
        <v>0.50396656713531807</v>
      </c>
      <c r="Z84" s="80">
        <f t="shared" si="25"/>
        <v>0.52461997661221071</v>
      </c>
      <c r="AA84" s="80">
        <f t="shared" si="25"/>
        <v>0.5720559546348315</v>
      </c>
      <c r="AB84" s="80">
        <f t="shared" si="25"/>
        <v>0.58400070147348371</v>
      </c>
      <c r="AC84" s="80">
        <f t="shared" si="25"/>
        <v>0.5916579760115489</v>
      </c>
      <c r="AD84" s="80">
        <f t="shared" si="25"/>
        <v>0.58637487727058757</v>
      </c>
      <c r="AE84" s="80">
        <f t="shared" si="25"/>
        <v>0.39739580771632371</v>
      </c>
      <c r="AF84" s="80">
        <f t="shared" si="25"/>
        <v>0.41195230462830595</v>
      </c>
    </row>
    <row r="86" spans="1:32" x14ac:dyDescent="0.2">
      <c r="K86" s="82" t="s">
        <v>29</v>
      </c>
      <c r="L86" s="36">
        <f>L32*0.2</f>
        <v>2396.9288496410695</v>
      </c>
      <c r="M86" s="36">
        <f>M32*0.2</f>
        <v>2511.9077126810694</v>
      </c>
      <c r="N86" s="36">
        <f>N32*0.2</f>
        <v>2609.7446180132197</v>
      </c>
      <c r="O86" s="36">
        <f t="shared" ref="O86:AF86" si="26">O32*0.2</f>
        <v>2500.8087253540921</v>
      </c>
      <c r="P86" s="36">
        <f t="shared" si="26"/>
        <v>2412.443155924952</v>
      </c>
      <c r="Q86" s="36">
        <f t="shared" si="26"/>
        <v>2239.3516357592894</v>
      </c>
      <c r="R86" s="36">
        <f t="shared" si="26"/>
        <v>2271.0908184906152</v>
      </c>
      <c r="S86" s="36">
        <f t="shared" si="26"/>
        <v>1786.2945691560694</v>
      </c>
      <c r="T86" s="36">
        <f t="shared" si="26"/>
        <v>1958.7521252885199</v>
      </c>
      <c r="U86" s="36">
        <f t="shared" si="26"/>
        <v>1956.1354935562442</v>
      </c>
      <c r="V86" s="36">
        <f t="shared" si="26"/>
        <v>1925.9650678238268</v>
      </c>
      <c r="W86" s="36">
        <f t="shared" si="26"/>
        <v>2015.5500244610421</v>
      </c>
      <c r="X86" s="36">
        <f t="shared" si="26"/>
        <v>1615.2321659844324</v>
      </c>
      <c r="Y86" s="36">
        <f t="shared" si="26"/>
        <v>1825.0225408998963</v>
      </c>
      <c r="Z86" s="36">
        <f t="shared" si="26"/>
        <v>1788.3938245770876</v>
      </c>
      <c r="AA86" s="36">
        <f t="shared" si="26"/>
        <v>1519.3985131950358</v>
      </c>
      <c r="AB86" s="36">
        <f t="shared" si="26"/>
        <v>1239.244734697942</v>
      </c>
      <c r="AC86" s="36">
        <f t="shared" si="26"/>
        <v>1218.2218246357052</v>
      </c>
      <c r="AD86" s="36">
        <f t="shared" si="26"/>
        <v>1169.9823958325353</v>
      </c>
      <c r="AE86" s="36">
        <f t="shared" si="26"/>
        <v>797.33192156590451</v>
      </c>
      <c r="AF86" s="36">
        <f t="shared" si="26"/>
        <v>829.7400763108825</v>
      </c>
    </row>
    <row r="87" spans="1:32" x14ac:dyDescent="0.2">
      <c r="K87" s="82" t="s">
        <v>30</v>
      </c>
      <c r="L87" s="36">
        <f>L68-L86</f>
        <v>4003.6213519970283</v>
      </c>
      <c r="M87" s="36">
        <f>M68-M86</f>
        <v>4588.5882873189294</v>
      </c>
      <c r="N87" s="36">
        <f>N68-N86</f>
        <v>4722.4413819867805</v>
      </c>
      <c r="O87" s="36">
        <f t="shared" ref="O87:AF87" si="27">O68-O86</f>
        <v>4128.8304186709083</v>
      </c>
      <c r="P87" s="36">
        <f t="shared" si="27"/>
        <v>4310.0174745174718</v>
      </c>
      <c r="Q87" s="36">
        <f t="shared" si="27"/>
        <v>3639.3322829641015</v>
      </c>
      <c r="R87" s="36">
        <f t="shared" si="27"/>
        <v>3803.2859894255048</v>
      </c>
      <c r="S87" s="36">
        <f t="shared" si="27"/>
        <v>3022.0857393714891</v>
      </c>
      <c r="T87" s="36">
        <f t="shared" si="27"/>
        <v>3344.916736155692</v>
      </c>
      <c r="U87" s="36">
        <f t="shared" si="27"/>
        <v>3261.7035809484005</v>
      </c>
      <c r="V87" s="36">
        <f t="shared" si="27"/>
        <v>3129.3891584353123</v>
      </c>
      <c r="W87" s="36">
        <f t="shared" si="27"/>
        <v>3204.5675519317174</v>
      </c>
      <c r="X87" s="36">
        <f t="shared" si="27"/>
        <v>1857.2263087678461</v>
      </c>
      <c r="Y87" s="36">
        <f t="shared" si="27"/>
        <v>2777.4262325866116</v>
      </c>
      <c r="Z87" s="36">
        <f t="shared" si="27"/>
        <v>2911.8857578869001</v>
      </c>
      <c r="AA87" s="36">
        <f t="shared" si="27"/>
        <v>2829.7779995544097</v>
      </c>
      <c r="AB87" s="36">
        <f t="shared" si="27"/>
        <v>2381.4500627599714</v>
      </c>
      <c r="AC87" s="36">
        <f t="shared" si="27"/>
        <v>2388.1119534673307</v>
      </c>
      <c r="AD87" s="36">
        <f t="shared" si="27"/>
        <v>2264.8044514508974</v>
      </c>
      <c r="AE87" s="36">
        <f t="shared" si="27"/>
        <v>785.04305466494759</v>
      </c>
      <c r="AF87" s="36">
        <f t="shared" si="27"/>
        <v>869.55618031183133</v>
      </c>
    </row>
    <row r="88" spans="1:32" x14ac:dyDescent="0.2">
      <c r="K88" s="82" t="s">
        <v>31</v>
      </c>
      <c r="L88" s="36">
        <f>L87/7.5</f>
        <v>533.81618026627041</v>
      </c>
      <c r="M88" s="36">
        <f>M87/7.5</f>
        <v>611.81177164252392</v>
      </c>
      <c r="N88" s="36">
        <f>N87/7.5</f>
        <v>629.65885093157078</v>
      </c>
      <c r="O88" s="36">
        <f t="shared" ref="O88:AF88" si="28">O87/7.5</f>
        <v>550.51072248945445</v>
      </c>
      <c r="P88" s="36">
        <f t="shared" si="28"/>
        <v>574.66899660232957</v>
      </c>
      <c r="Q88" s="36">
        <f t="shared" si="28"/>
        <v>485.24430439521353</v>
      </c>
      <c r="R88" s="36">
        <f t="shared" si="28"/>
        <v>507.10479859006733</v>
      </c>
      <c r="S88" s="36">
        <f t="shared" si="28"/>
        <v>402.94476524953188</v>
      </c>
      <c r="T88" s="36">
        <f t="shared" si="28"/>
        <v>445.98889815409228</v>
      </c>
      <c r="U88" s="36">
        <f t="shared" si="28"/>
        <v>434.89381079312005</v>
      </c>
      <c r="V88" s="36">
        <f t="shared" si="28"/>
        <v>417.251887791375</v>
      </c>
      <c r="W88" s="36">
        <f t="shared" si="28"/>
        <v>427.27567359089568</v>
      </c>
      <c r="X88" s="36">
        <f t="shared" si="28"/>
        <v>247.63017450237948</v>
      </c>
      <c r="Y88" s="36">
        <f t="shared" si="28"/>
        <v>370.32349767821489</v>
      </c>
      <c r="Z88" s="36">
        <f t="shared" si="28"/>
        <v>388.25143438492</v>
      </c>
      <c r="AA88" s="36">
        <f t="shared" si="28"/>
        <v>377.3037332739213</v>
      </c>
      <c r="AB88" s="36">
        <f t="shared" si="28"/>
        <v>317.52667503466284</v>
      </c>
      <c r="AC88" s="36">
        <f t="shared" si="28"/>
        <v>318.41492712897741</v>
      </c>
      <c r="AD88" s="36">
        <f t="shared" si="28"/>
        <v>301.97392686011966</v>
      </c>
      <c r="AE88" s="36">
        <f t="shared" si="28"/>
        <v>104.67240728865968</v>
      </c>
      <c r="AF88" s="36">
        <f t="shared" si="28"/>
        <v>115.94082404157751</v>
      </c>
    </row>
    <row r="90" spans="1:32" ht="12" thickBot="1" x14ac:dyDescent="0.25">
      <c r="A90" s="61" t="s">
        <v>32</v>
      </c>
    </row>
    <row r="91" spans="1:32" ht="12.75" thickTop="1" thickBot="1" x14ac:dyDescent="0.25">
      <c r="A91" s="62"/>
      <c r="B91" s="63">
        <f>B2</f>
        <v>2011</v>
      </c>
      <c r="C91" s="63">
        <f t="shared" ref="C91:AF91" si="29">C2</f>
        <v>2012</v>
      </c>
      <c r="D91" s="63">
        <f t="shared" si="29"/>
        <v>2013</v>
      </c>
      <c r="E91" s="63">
        <f t="shared" si="29"/>
        <v>2014</v>
      </c>
      <c r="F91" s="63">
        <f t="shared" si="29"/>
        <v>2015</v>
      </c>
      <c r="G91" s="63">
        <f t="shared" si="29"/>
        <v>2016</v>
      </c>
      <c r="H91" s="63">
        <f t="shared" si="29"/>
        <v>2017</v>
      </c>
      <c r="I91" s="63">
        <f t="shared" si="29"/>
        <v>2018</v>
      </c>
      <c r="J91" s="63">
        <f t="shared" si="29"/>
        <v>2019</v>
      </c>
      <c r="K91" s="63">
        <f t="shared" si="29"/>
        <v>2020</v>
      </c>
      <c r="L91" s="63">
        <f t="shared" si="29"/>
        <v>2021</v>
      </c>
      <c r="M91" s="63">
        <f t="shared" si="29"/>
        <v>2022</v>
      </c>
      <c r="N91" s="63">
        <f t="shared" si="29"/>
        <v>2023</v>
      </c>
      <c r="O91" s="63">
        <f t="shared" si="29"/>
        <v>2024</v>
      </c>
      <c r="P91" s="63">
        <f t="shared" si="29"/>
        <v>2025</v>
      </c>
      <c r="Q91" s="63">
        <f t="shared" si="29"/>
        <v>2026</v>
      </c>
      <c r="R91" s="63">
        <f t="shared" si="29"/>
        <v>2027</v>
      </c>
      <c r="S91" s="63">
        <f t="shared" si="29"/>
        <v>2028</v>
      </c>
      <c r="T91" s="63">
        <f t="shared" si="29"/>
        <v>2029</v>
      </c>
      <c r="U91" s="63">
        <f t="shared" si="29"/>
        <v>2030</v>
      </c>
      <c r="V91" s="63">
        <f t="shared" si="29"/>
        <v>2031</v>
      </c>
      <c r="W91" s="63">
        <f t="shared" si="29"/>
        <v>2032</v>
      </c>
      <c r="X91" s="63">
        <f t="shared" si="29"/>
        <v>2033</v>
      </c>
      <c r="Y91" s="63">
        <f t="shared" si="29"/>
        <v>2034</v>
      </c>
      <c r="Z91" s="63">
        <f t="shared" si="29"/>
        <v>2035</v>
      </c>
      <c r="AA91" s="63">
        <f t="shared" si="29"/>
        <v>2036</v>
      </c>
      <c r="AB91" s="63">
        <f t="shared" si="29"/>
        <v>2037</v>
      </c>
      <c r="AC91" s="63">
        <f t="shared" si="29"/>
        <v>2038</v>
      </c>
      <c r="AD91" s="63">
        <f t="shared" si="29"/>
        <v>2039</v>
      </c>
      <c r="AE91" s="63">
        <f t="shared" si="29"/>
        <v>2040</v>
      </c>
      <c r="AF91" s="63">
        <f t="shared" si="29"/>
        <v>2041</v>
      </c>
    </row>
    <row r="92" spans="1:32" ht="12" thickTop="1" x14ac:dyDescent="0.2">
      <c r="A92" s="61" t="s">
        <v>6</v>
      </c>
      <c r="B92" s="35">
        <f>'Renewable Fuel - EIA'!C3</f>
        <v>35364000</v>
      </c>
      <c r="C92" s="35">
        <f>'Renewable Fuel - EIA'!D3</f>
        <v>73542000</v>
      </c>
      <c r="D92" s="35">
        <f>'Renewable Fuel - EIA'!E3</f>
        <v>68880000</v>
      </c>
      <c r="E92" s="35">
        <f>'Renewable Fuel - EIA'!F3</f>
        <v>72534000</v>
      </c>
      <c r="F92" s="35">
        <f>'Renewable Fuel - EIA'!G3</f>
        <v>72534000</v>
      </c>
      <c r="G92" s="35">
        <f>'Renewable Fuel - EIA'!H3</f>
        <v>104580000</v>
      </c>
      <c r="H92" s="35">
        <f>'Renewable Fuel - EIA'!I3</f>
        <v>92736000</v>
      </c>
      <c r="I92" s="35">
        <f>'Renewable Fuel - EIA'!J3</f>
        <v>125538000</v>
      </c>
      <c r="J92" s="35">
        <f>'Renewable Fuel - EIA'!K3</f>
        <v>143934000</v>
      </c>
      <c r="K92" s="35">
        <f>'Renewable Fuel - EIA'!L3</f>
        <v>134232000</v>
      </c>
      <c r="L92" s="35">
        <f>'Renewable Fuel - EIA'!M3</f>
        <v>194502000</v>
      </c>
      <c r="M92" s="35">
        <f>'Renewable Fuel - EIA'!N3</f>
        <v>243558000</v>
      </c>
      <c r="N92" s="35">
        <f>'Renewable Fuel - EIA'!O3</f>
        <v>327516000</v>
      </c>
      <c r="O92" s="36">
        <f>'Renewable Fuel - EIA'!P3</f>
        <v>389508000</v>
      </c>
      <c r="P92" s="36">
        <f>'Renewable Fuel - EIA'!Q3</f>
        <v>0</v>
      </c>
      <c r="Q92" s="36">
        <f>'Renewable Fuel - EIA'!R3</f>
        <v>19194000</v>
      </c>
      <c r="R92" s="36">
        <f>'Renewable Fuel - EIA'!S3</f>
        <v>83958000</v>
      </c>
      <c r="S92" s="36">
        <f>'Renewable Fuel - EIA'!T3</f>
        <v>-7.8839800660731291E-2</v>
      </c>
      <c r="T92" s="36">
        <f>'Renewable Fuel - EIA'!U3</f>
        <v>-0.12599849284099474</v>
      </c>
      <c r="U92" s="36">
        <f>'Renewable Fuel - EIA'!V3</f>
        <v>391754157.70121264</v>
      </c>
      <c r="V92" s="36">
        <f>'Renewable Fuel - EIA'!W3</f>
        <v>2246157.7012126446</v>
      </c>
      <c r="W92" s="36">
        <f>'Renewable Fuel - EIA'!X3</f>
        <v>0</v>
      </c>
      <c r="X92" s="36">
        <f>'Renewable Fuel - EIA'!Y3</f>
        <v>0</v>
      </c>
      <c r="Y92" s="36">
        <f>'Renewable Fuel - EIA'!Z3</f>
        <v>0</v>
      </c>
      <c r="Z92" s="36">
        <f>'Renewable Fuel - EIA'!AA3</f>
        <v>0</v>
      </c>
      <c r="AA92" s="36">
        <f>'Renewable Fuel - EIA'!AB3</f>
        <v>0</v>
      </c>
      <c r="AB92" s="36">
        <f>'Renewable Fuel - EIA'!AC3</f>
        <v>0</v>
      </c>
      <c r="AC92" s="36">
        <f>'Renewable Fuel - EIA'!AD3</f>
        <v>0</v>
      </c>
      <c r="AD92" s="36">
        <f>'Renewable Fuel - EIA'!AE3</f>
        <v>0</v>
      </c>
      <c r="AE92" s="36">
        <f>'Renewable Fuel - EIA'!AF3</f>
        <v>0</v>
      </c>
      <c r="AF92" s="36">
        <f>'Renewable Fuel - EIA'!AG3</f>
        <v>0</v>
      </c>
    </row>
    <row r="93" spans="1:32" x14ac:dyDescent="0.2">
      <c r="A93" s="61" t="s">
        <v>7</v>
      </c>
      <c r="B93" s="35">
        <f>'Renewable Fuel - EIA'!C4</f>
        <v>40362000</v>
      </c>
      <c r="C93" s="35">
        <f>'Renewable Fuel - EIA'!D4</f>
        <v>79254000</v>
      </c>
      <c r="D93" s="35">
        <f>'Renewable Fuel - EIA'!E4</f>
        <v>70224000</v>
      </c>
      <c r="E93" s="35">
        <f>'Renewable Fuel - EIA'!F4</f>
        <v>75642000</v>
      </c>
      <c r="F93" s="35">
        <f>'Renewable Fuel - EIA'!G4</f>
        <v>77742000</v>
      </c>
      <c r="G93" s="35">
        <f>'Renewable Fuel - EIA'!H4</f>
        <v>105168000</v>
      </c>
      <c r="H93" s="35">
        <f>'Renewable Fuel - EIA'!I4</f>
        <v>93996000</v>
      </c>
      <c r="I93" s="35">
        <f>'Renewable Fuel - EIA'!J4</f>
        <v>127932000</v>
      </c>
      <c r="J93" s="35">
        <f>'Renewable Fuel - EIA'!K4</f>
        <v>130536000</v>
      </c>
      <c r="K93" s="35">
        <f>'Renewable Fuel - EIA'!L4</f>
        <v>131838000</v>
      </c>
      <c r="L93" s="35">
        <f>'Renewable Fuel - EIA'!M4</f>
        <v>156828000</v>
      </c>
      <c r="M93" s="35">
        <f>'Renewable Fuel - EIA'!N4</f>
        <v>223272000</v>
      </c>
      <c r="N93" s="35">
        <f>'Renewable Fuel - EIA'!O4</f>
        <v>298032000</v>
      </c>
      <c r="O93" s="36">
        <f>'Renewable Fuel - EIA'!P4</f>
        <v>397689653.80190063</v>
      </c>
      <c r="P93" s="36">
        <f>'Renewable Fuel - EIA'!Q4</f>
        <v>0</v>
      </c>
      <c r="Q93" s="36">
        <f>'Renewable Fuel - EIA'!R4</f>
        <v>-29484000</v>
      </c>
      <c r="R93" s="36">
        <f>'Renewable Fuel - EIA'!S4</f>
        <v>74760000</v>
      </c>
      <c r="S93" s="36">
        <f>'Renewable Fuel - EIA'!T4</f>
        <v>-7.2092881891678312E-2</v>
      </c>
      <c r="T93" s="36">
        <f>'Renewable Fuel - EIA'!U4</f>
        <v>-8.3290222452146928E-2</v>
      </c>
      <c r="U93" s="36">
        <f>'Renewable Fuel - EIA'!V4</f>
        <v>342783719.62192166</v>
      </c>
      <c r="V93" s="36">
        <f>'Renewable Fuel - EIA'!W4</f>
        <v>-54905934.179978967</v>
      </c>
      <c r="W93" s="36">
        <f>'Renewable Fuel - EIA'!X4</f>
        <v>0</v>
      </c>
      <c r="X93" s="36">
        <f>'Renewable Fuel - EIA'!Y4</f>
        <v>0</v>
      </c>
      <c r="Y93" s="36">
        <f>'Renewable Fuel - EIA'!Z4</f>
        <v>0</v>
      </c>
      <c r="Z93" s="36">
        <f>'Renewable Fuel - EIA'!AA4</f>
        <v>0</v>
      </c>
      <c r="AA93" s="36">
        <f>'Renewable Fuel - EIA'!AB4</f>
        <v>0</v>
      </c>
      <c r="AB93" s="36">
        <f>'Renewable Fuel - EIA'!AC4</f>
        <v>0</v>
      </c>
      <c r="AC93" s="36">
        <f>'Renewable Fuel - EIA'!AD4</f>
        <v>0</v>
      </c>
      <c r="AD93" s="36">
        <f>'Renewable Fuel - EIA'!AE4</f>
        <v>0</v>
      </c>
      <c r="AE93" s="36">
        <f>'Renewable Fuel - EIA'!AF4</f>
        <v>0</v>
      </c>
      <c r="AF93" s="36">
        <f>'Renewable Fuel - EIA'!AG4</f>
        <v>0</v>
      </c>
    </row>
    <row r="94" spans="1:32" x14ac:dyDescent="0.2">
      <c r="A94" s="61" t="s">
        <v>8</v>
      </c>
      <c r="B94" s="35">
        <f>'Renewable Fuel - EIA'!C5</f>
        <v>59598000</v>
      </c>
      <c r="C94" s="35">
        <f>'Renewable Fuel - EIA'!D5</f>
        <v>94542000</v>
      </c>
      <c r="D94" s="35">
        <f>'Renewable Fuel - EIA'!E5</f>
        <v>101304000</v>
      </c>
      <c r="E94" s="35">
        <f>'Renewable Fuel - EIA'!F5</f>
        <v>99162000</v>
      </c>
      <c r="F94" s="35">
        <f>'Renewable Fuel - EIA'!G5</f>
        <v>97692000</v>
      </c>
      <c r="G94" s="35">
        <f>'Renewable Fuel - EIA'!H5</f>
        <v>120162000</v>
      </c>
      <c r="H94" s="35">
        <f>'Renewable Fuel - EIA'!I5</f>
        <v>115962000</v>
      </c>
      <c r="I94" s="35">
        <f>'Renewable Fuel - EIA'!J5</f>
        <v>149142000</v>
      </c>
      <c r="J94" s="35">
        <f>'Renewable Fuel - EIA'!K5</f>
        <v>140826000</v>
      </c>
      <c r="K94" s="35">
        <f>'Renewable Fuel - EIA'!L5</f>
        <v>150948000</v>
      </c>
      <c r="L94" s="35">
        <f>'Renewable Fuel - EIA'!M5</f>
        <v>201012000</v>
      </c>
      <c r="M94" s="35">
        <f>'Renewable Fuel - EIA'!N5</f>
        <v>253596000</v>
      </c>
      <c r="N94" s="35">
        <f>'Renewable Fuel - EIA'!O5</f>
        <v>362670000</v>
      </c>
      <c r="O94" s="36">
        <f>'Renewable Fuel - EIA'!P5</f>
        <v>376618687.74207222</v>
      </c>
      <c r="P94" s="36">
        <f>'Renewable Fuel - EIA'!Q5</f>
        <v>0</v>
      </c>
      <c r="Q94" s="36">
        <f>'Renewable Fuel - EIA'!R5</f>
        <v>64638000</v>
      </c>
      <c r="R94" s="36">
        <f>'Renewable Fuel - EIA'!S5</f>
        <v>109074000</v>
      </c>
      <c r="S94" s="36">
        <f>'Renewable Fuel - EIA'!T5</f>
        <v>0.18211595152309204</v>
      </c>
      <c r="T94" s="36">
        <f>'Renewable Fuel - EIA'!U5</f>
        <v>0.13581640331075998</v>
      </c>
      <c r="U94" s="36">
        <f>'Renewable Fuel - EIA'!V5</f>
        <v>389765136.22361338</v>
      </c>
      <c r="V94" s="36">
        <f>'Renewable Fuel - EIA'!W5</f>
        <v>13146448.481541157</v>
      </c>
      <c r="W94" s="36">
        <f>'Renewable Fuel - EIA'!X5</f>
        <v>0</v>
      </c>
      <c r="X94" s="36">
        <f>'Renewable Fuel - EIA'!Y5</f>
        <v>0</v>
      </c>
      <c r="Y94" s="36">
        <f>'Renewable Fuel - EIA'!Z5</f>
        <v>0</v>
      </c>
      <c r="Z94" s="36">
        <f>'Renewable Fuel - EIA'!AA5</f>
        <v>0</v>
      </c>
      <c r="AA94" s="36">
        <f>'Renewable Fuel - EIA'!AB5</f>
        <v>0</v>
      </c>
      <c r="AB94" s="36">
        <f>'Renewable Fuel - EIA'!AC5</f>
        <v>0</v>
      </c>
      <c r="AC94" s="36">
        <f>'Renewable Fuel - EIA'!AD5</f>
        <v>0</v>
      </c>
      <c r="AD94" s="36">
        <f>'Renewable Fuel - EIA'!AE5</f>
        <v>0</v>
      </c>
      <c r="AE94" s="36">
        <f>'Renewable Fuel - EIA'!AF5</f>
        <v>0</v>
      </c>
      <c r="AF94" s="36">
        <f>'Renewable Fuel - EIA'!AG5</f>
        <v>0</v>
      </c>
    </row>
    <row r="95" spans="1:32" x14ac:dyDescent="0.2">
      <c r="A95" s="61" t="s">
        <v>9</v>
      </c>
      <c r="B95" s="35">
        <f>'Renewable Fuel - EIA'!C6</f>
        <v>71064000</v>
      </c>
      <c r="C95" s="35">
        <f>'Renewable Fuel - EIA'!D6</f>
        <v>93954000</v>
      </c>
      <c r="D95" s="35">
        <f>'Renewable Fuel - EIA'!E6</f>
        <v>107016000</v>
      </c>
      <c r="E95" s="35">
        <f>'Renewable Fuel - EIA'!F6</f>
        <v>93366000</v>
      </c>
      <c r="F95" s="35">
        <f>'Renewable Fuel - EIA'!G6</f>
        <v>107856000</v>
      </c>
      <c r="G95" s="35">
        <f>'Renewable Fuel - EIA'!H6</f>
        <v>119952000</v>
      </c>
      <c r="H95" s="35">
        <f>'Renewable Fuel - EIA'!I6</f>
        <v>126840000</v>
      </c>
      <c r="I95" s="35">
        <f>'Renewable Fuel - EIA'!J6</f>
        <v>142506000</v>
      </c>
      <c r="J95" s="35">
        <f>'Renewable Fuel - EIA'!K6</f>
        <v>152166000</v>
      </c>
      <c r="K95" s="35">
        <f>'Renewable Fuel - EIA'!L6</f>
        <v>143724000</v>
      </c>
      <c r="L95" s="35">
        <f>'Renewable Fuel - EIA'!M6</f>
        <v>191310000</v>
      </c>
      <c r="M95" s="35">
        <f>'Renewable Fuel - EIA'!N6</f>
        <v>259854000</v>
      </c>
      <c r="N95" s="35">
        <f>'Renewable Fuel - EIA'!O6</f>
        <v>352632000</v>
      </c>
      <c r="O95" s="36">
        <f>'Renewable Fuel - EIA'!P6</f>
        <v>434332891.53014255</v>
      </c>
      <c r="P95" s="36">
        <f>'Renewable Fuel - EIA'!Q6</f>
        <v>0</v>
      </c>
      <c r="Q95" s="36">
        <f>'Renewable Fuel - EIA'!R6</f>
        <v>-10038000</v>
      </c>
      <c r="R95" s="36">
        <f>'Renewable Fuel - EIA'!S6</f>
        <v>92778000</v>
      </c>
      <c r="S95" s="36">
        <f>'Renewable Fuel - EIA'!T6</f>
        <v>-1.7733444167359379E-3</v>
      </c>
      <c r="T95" s="36">
        <f>'Renewable Fuel - EIA'!U6</f>
        <v>2.4677045379264656E-2</v>
      </c>
      <c r="U95" s="36">
        <f>'Renewable Fuel - EIA'!V6</f>
        <v>385125441.70445538</v>
      </c>
      <c r="V95" s="36">
        <f>'Renewable Fuel - EIA'!W6</f>
        <v>-49207449.82568717</v>
      </c>
      <c r="W95" s="36">
        <f>'Renewable Fuel - EIA'!X6</f>
        <v>0</v>
      </c>
      <c r="X95" s="36">
        <f>'Renewable Fuel - EIA'!Y6</f>
        <v>0</v>
      </c>
      <c r="Y95" s="36">
        <f>'Renewable Fuel - EIA'!Z6</f>
        <v>0</v>
      </c>
      <c r="Z95" s="36">
        <f>'Renewable Fuel - EIA'!AA6</f>
        <v>0</v>
      </c>
      <c r="AA95" s="36">
        <f>'Renewable Fuel - EIA'!AB6</f>
        <v>0</v>
      </c>
      <c r="AB95" s="36">
        <f>'Renewable Fuel - EIA'!AC6</f>
        <v>0</v>
      </c>
      <c r="AC95" s="36">
        <f>'Renewable Fuel - EIA'!AD6</f>
        <v>0</v>
      </c>
      <c r="AD95" s="36">
        <f>'Renewable Fuel - EIA'!AE6</f>
        <v>0</v>
      </c>
      <c r="AE95" s="36">
        <f>'Renewable Fuel - EIA'!AF6</f>
        <v>0</v>
      </c>
      <c r="AF95" s="36">
        <f>'Renewable Fuel - EIA'!AG6</f>
        <v>0</v>
      </c>
    </row>
    <row r="96" spans="1:32" x14ac:dyDescent="0.2">
      <c r="A96" s="61" t="s">
        <v>10</v>
      </c>
      <c r="B96" s="35">
        <f>'Renewable Fuel - EIA'!C7</f>
        <v>77196000</v>
      </c>
      <c r="C96" s="35">
        <f>'Renewable Fuel - EIA'!D7</f>
        <v>101976000</v>
      </c>
      <c r="D96" s="35">
        <f>'Renewable Fuel - EIA'!E7</f>
        <v>111090000</v>
      </c>
      <c r="E96" s="35">
        <f>'Renewable Fuel - EIA'!F7</f>
        <v>106302000</v>
      </c>
      <c r="F96" s="35">
        <f>'Renewable Fuel - EIA'!G7</f>
        <v>116928000</v>
      </c>
      <c r="G96" s="35">
        <f>'Renewable Fuel - EIA'!H7</f>
        <v>135324000</v>
      </c>
      <c r="H96" s="35">
        <f>'Renewable Fuel - EIA'!I7</f>
        <v>136164000</v>
      </c>
      <c r="I96" s="35">
        <f>'Renewable Fuel - EIA'!J7</f>
        <v>151326000</v>
      </c>
      <c r="J96" s="35">
        <f>'Renewable Fuel - EIA'!K7</f>
        <v>154602000</v>
      </c>
      <c r="K96" s="35">
        <f>'Renewable Fuel - EIA'!L7</f>
        <v>152460000</v>
      </c>
      <c r="L96" s="35">
        <f>'Renewable Fuel - EIA'!M7</f>
        <v>217014000</v>
      </c>
      <c r="M96" s="35">
        <f>'Renewable Fuel - EIA'!N7</f>
        <v>276360000</v>
      </c>
      <c r="N96" s="35">
        <f>'Renewable Fuel - EIA'!O7</f>
        <v>405888000</v>
      </c>
      <c r="O96" s="36">
        <f>'Renewable Fuel - EIA'!P7</f>
        <v>402620227.60888451</v>
      </c>
      <c r="P96" s="36">
        <f>'Renewable Fuel - EIA'!Q7</f>
        <v>0</v>
      </c>
      <c r="Q96" s="36">
        <f>'Renewable Fuel - EIA'!R7</f>
        <v>53256000</v>
      </c>
      <c r="R96" s="36">
        <f>'Renewable Fuel - EIA'!S7</f>
        <v>129528000</v>
      </c>
      <c r="S96" s="36">
        <f>'Renewable Fuel - EIA'!T7</f>
        <v>7.2725253983234331E-2</v>
      </c>
      <c r="T96" s="36">
        <f>'Renewable Fuel - EIA'!U7</f>
        <v>6.3520284467431715E-2</v>
      </c>
      <c r="U96" s="36">
        <f>'Renewable Fuel - EIA'!V7</f>
        <v>422142659.44726664</v>
      </c>
      <c r="V96" s="36">
        <f>'Renewable Fuel - EIA'!W7</f>
        <v>19522431.838382125</v>
      </c>
      <c r="W96" s="36">
        <f>'Renewable Fuel - EIA'!X7</f>
        <v>0</v>
      </c>
      <c r="X96" s="36">
        <f>'Renewable Fuel - EIA'!Y7</f>
        <v>0</v>
      </c>
      <c r="Y96" s="36">
        <f>'Renewable Fuel - EIA'!Z7</f>
        <v>0</v>
      </c>
      <c r="Z96" s="36">
        <f>'Renewable Fuel - EIA'!AA7</f>
        <v>0</v>
      </c>
      <c r="AA96" s="36">
        <f>'Renewable Fuel - EIA'!AB7</f>
        <v>0</v>
      </c>
      <c r="AB96" s="36">
        <f>'Renewable Fuel - EIA'!AC7</f>
        <v>0</v>
      </c>
      <c r="AC96" s="36">
        <f>'Renewable Fuel - EIA'!AD7</f>
        <v>0</v>
      </c>
      <c r="AD96" s="36">
        <f>'Renewable Fuel - EIA'!AE7</f>
        <v>0</v>
      </c>
      <c r="AE96" s="36">
        <f>'Renewable Fuel - EIA'!AF7</f>
        <v>0</v>
      </c>
      <c r="AF96" s="36">
        <f>'Renewable Fuel - EIA'!AG7</f>
        <v>0</v>
      </c>
    </row>
    <row r="97" spans="1:50" x14ac:dyDescent="0.2">
      <c r="A97" s="61" t="s">
        <v>11</v>
      </c>
      <c r="B97" s="35">
        <f>'Renewable Fuel - EIA'!C8</f>
        <v>81396000</v>
      </c>
      <c r="C97" s="35">
        <f>'Renewable Fuel - EIA'!D8</f>
        <v>93366000</v>
      </c>
      <c r="D97" s="35">
        <f>'Renewable Fuel - EIA'!E8</f>
        <v>113358000</v>
      </c>
      <c r="E97" s="35">
        <f>'Renewable Fuel - EIA'!F8</f>
        <v>111090000</v>
      </c>
      <c r="F97" s="35">
        <f>'Renewable Fuel - EIA'!G8</f>
        <v>121842000</v>
      </c>
      <c r="G97" s="35">
        <f>'Renewable Fuel - EIA'!H8</f>
        <v>134610000</v>
      </c>
      <c r="H97" s="35">
        <f>'Renewable Fuel - EIA'!I8</f>
        <v>140448000</v>
      </c>
      <c r="I97" s="35">
        <f>'Renewable Fuel - EIA'!J8</f>
        <v>158886000</v>
      </c>
      <c r="J97" s="35">
        <f>'Renewable Fuel - EIA'!K8</f>
        <v>141540000</v>
      </c>
      <c r="K97" s="35">
        <f>'Renewable Fuel - EIA'!L8</f>
        <v>150780000</v>
      </c>
      <c r="L97" s="35">
        <f>'Renewable Fuel - EIA'!M8</f>
        <v>195174000</v>
      </c>
      <c r="M97" s="35">
        <f>'Renewable Fuel - EIA'!N8</f>
        <v>276276000</v>
      </c>
      <c r="N97" s="35">
        <f>'Renewable Fuel - EIA'!O8</f>
        <v>408828000</v>
      </c>
      <c r="O97" s="36">
        <f>'Renewable Fuel - EIA'!P8</f>
        <v>479979154.9009518</v>
      </c>
      <c r="P97" s="36">
        <f>'Renewable Fuel - EIA'!Q8</f>
        <v>0</v>
      </c>
      <c r="Q97" s="36">
        <f>'Renewable Fuel - EIA'!R8</f>
        <v>2940000</v>
      </c>
      <c r="R97" s="36">
        <f>'Renewable Fuel - EIA'!S8</f>
        <v>132552000</v>
      </c>
      <c r="S97" s="36">
        <f>'Renewable Fuel - EIA'!T8</f>
        <v>-3.0481809242871191E-2</v>
      </c>
      <c r="T97" s="36">
        <f>'Renewable Fuel - EIA'!U8</f>
        <v>-3.0395136778115504E-4</v>
      </c>
      <c r="U97" s="36">
        <f>'Renewable Fuel - EIA'!V8</f>
        <v>426281628.6452955</v>
      </c>
      <c r="V97" s="36">
        <f>'Renewable Fuel - EIA'!W8</f>
        <v>-53697526.255656302</v>
      </c>
      <c r="W97" s="36">
        <f>'Renewable Fuel - EIA'!X8</f>
        <v>0</v>
      </c>
      <c r="X97" s="36">
        <f>'Renewable Fuel - EIA'!Y8</f>
        <v>0</v>
      </c>
      <c r="Y97" s="36">
        <f>'Renewable Fuel - EIA'!Z8</f>
        <v>0</v>
      </c>
      <c r="Z97" s="36">
        <f>'Renewable Fuel - EIA'!AA8</f>
        <v>0</v>
      </c>
      <c r="AA97" s="36">
        <f>'Renewable Fuel - EIA'!AB8</f>
        <v>0</v>
      </c>
      <c r="AB97" s="36">
        <f>'Renewable Fuel - EIA'!AC8</f>
        <v>0</v>
      </c>
      <c r="AC97" s="36">
        <f>'Renewable Fuel - EIA'!AD8</f>
        <v>0</v>
      </c>
      <c r="AD97" s="36">
        <f>'Renewable Fuel - EIA'!AE8</f>
        <v>0</v>
      </c>
      <c r="AE97" s="36">
        <f>'Renewable Fuel - EIA'!AF8</f>
        <v>0</v>
      </c>
      <c r="AF97" s="36">
        <f>'Renewable Fuel - EIA'!AG8</f>
        <v>0</v>
      </c>
    </row>
    <row r="98" spans="1:50" x14ac:dyDescent="0.2">
      <c r="A98" s="61" t="s">
        <v>12</v>
      </c>
      <c r="B98" s="35">
        <f>'Renewable Fuel - EIA'!C9</f>
        <v>91686000</v>
      </c>
      <c r="C98" s="35">
        <f>'Renewable Fuel - EIA'!D9</f>
        <v>89334000</v>
      </c>
      <c r="D98" s="35">
        <f>'Renewable Fuel - EIA'!E9</f>
        <v>129024000</v>
      </c>
      <c r="E98" s="35">
        <f>'Renewable Fuel - EIA'!F9</f>
        <v>122892000</v>
      </c>
      <c r="F98" s="35">
        <f>'Renewable Fuel - EIA'!G9</f>
        <v>121086000</v>
      </c>
      <c r="G98" s="35">
        <f>'Renewable Fuel - EIA'!H9</f>
        <v>139902000</v>
      </c>
      <c r="H98" s="35">
        <f>'Renewable Fuel - EIA'!I9</f>
        <v>149520000</v>
      </c>
      <c r="I98" s="35">
        <f>'Renewable Fuel - EIA'!J9</f>
        <v>166320000</v>
      </c>
      <c r="J98" s="35">
        <f>'Renewable Fuel - EIA'!K9</f>
        <v>158592000</v>
      </c>
      <c r="K98" s="35">
        <f>'Renewable Fuel - EIA'!L9</f>
        <v>161658000</v>
      </c>
      <c r="L98" s="35">
        <f>'Renewable Fuel - EIA'!M9</f>
        <v>217014000</v>
      </c>
      <c r="M98" s="35">
        <f>'Renewable Fuel - EIA'!N9</f>
        <v>294042000</v>
      </c>
      <c r="N98" s="35">
        <f>'Renewable Fuel - EIA'!O9</f>
        <v>385392000</v>
      </c>
      <c r="O98" s="36">
        <f>'Renewable Fuel - EIA'!P9</f>
        <v>493586394.42956722</v>
      </c>
      <c r="P98" s="36">
        <f>'Renewable Fuel - EIA'!Q9</f>
        <v>0</v>
      </c>
      <c r="Q98" s="36">
        <f>'Renewable Fuel - EIA'!R9</f>
        <v>-23436000</v>
      </c>
      <c r="R98" s="36">
        <f>'Renewable Fuel - EIA'!S9</f>
        <v>91350000</v>
      </c>
      <c r="S98" s="36">
        <f>'Renewable Fuel - EIA'!T9</f>
        <v>8.4231877869114985E-2</v>
      </c>
      <c r="T98" s="36">
        <f>'Renewable Fuel - EIA'!U9</f>
        <v>6.4305259957433872E-2</v>
      </c>
      <c r="U98" s="36">
        <f>'Renewable Fuel - EIA'!V9</f>
        <v>439712275.41514719</v>
      </c>
      <c r="V98" s="36">
        <f>'Renewable Fuel - EIA'!W9</f>
        <v>-53874119.014420033</v>
      </c>
      <c r="W98" s="36">
        <f>'Renewable Fuel - EIA'!X9</f>
        <v>0</v>
      </c>
      <c r="X98" s="36">
        <f>'Renewable Fuel - EIA'!Y9</f>
        <v>0</v>
      </c>
      <c r="Y98" s="36">
        <f>'Renewable Fuel - EIA'!Z9</f>
        <v>0</v>
      </c>
      <c r="Z98" s="36">
        <f>'Renewable Fuel - EIA'!AA9</f>
        <v>0</v>
      </c>
      <c r="AA98" s="36">
        <f>'Renewable Fuel - EIA'!AB9</f>
        <v>0</v>
      </c>
      <c r="AB98" s="36">
        <f>'Renewable Fuel - EIA'!AC9</f>
        <v>0</v>
      </c>
      <c r="AC98" s="36">
        <f>'Renewable Fuel - EIA'!AD9</f>
        <v>0</v>
      </c>
      <c r="AD98" s="36">
        <f>'Renewable Fuel - EIA'!AE9</f>
        <v>0</v>
      </c>
      <c r="AE98" s="36">
        <f>'Renewable Fuel - EIA'!AF9</f>
        <v>0</v>
      </c>
      <c r="AF98" s="36">
        <f>'Renewable Fuel - EIA'!AG9</f>
        <v>0</v>
      </c>
    </row>
    <row r="99" spans="1:50" x14ac:dyDescent="0.2">
      <c r="A99" s="61" t="s">
        <v>13</v>
      </c>
      <c r="B99" s="35">
        <f>'Renewable Fuel - EIA'!C10</f>
        <v>95466000</v>
      </c>
      <c r="C99" s="35">
        <f>'Renewable Fuel - EIA'!D10</f>
        <v>91392000</v>
      </c>
      <c r="D99" s="35">
        <f>'Renewable Fuel - EIA'!E10</f>
        <v>129612000</v>
      </c>
      <c r="E99" s="35">
        <f>'Renewable Fuel - EIA'!F10</f>
        <v>125454000</v>
      </c>
      <c r="F99" s="35">
        <f>'Renewable Fuel - EIA'!G10</f>
        <v>123186000</v>
      </c>
      <c r="G99" s="35">
        <f>'Renewable Fuel - EIA'!H10</f>
        <v>142170000</v>
      </c>
      <c r="H99" s="35">
        <f>'Renewable Fuel - EIA'!I10</f>
        <v>149478000</v>
      </c>
      <c r="I99" s="35">
        <f>'Renewable Fuel - EIA'!J10</f>
        <v>172284000</v>
      </c>
      <c r="J99" s="35">
        <f>'Renewable Fuel - EIA'!K10</f>
        <v>155904000</v>
      </c>
      <c r="K99" s="35">
        <f>'Renewable Fuel - EIA'!L10</f>
        <v>162624000</v>
      </c>
      <c r="L99" s="35">
        <f>'Renewable Fuel - EIA'!M10</f>
        <v>216006000</v>
      </c>
      <c r="M99" s="35">
        <f>'Renewable Fuel - EIA'!N10</f>
        <v>283542000</v>
      </c>
      <c r="N99" s="35">
        <f>'Renewable Fuel - EIA'!O10</f>
        <v>410592000</v>
      </c>
      <c r="O99" s="36">
        <f>'Renewable Fuel - EIA'!P10</f>
        <v>438881819.0669089</v>
      </c>
      <c r="P99" s="36">
        <f>'Renewable Fuel - EIA'!Q10</f>
        <v>0</v>
      </c>
      <c r="Q99" s="36">
        <f>'Renewable Fuel - EIA'!R10</f>
        <v>25200000</v>
      </c>
      <c r="R99" s="36">
        <f>'Renewable Fuel - EIA'!S10</f>
        <v>127050000</v>
      </c>
      <c r="S99" s="36">
        <f>'Renewable Fuel - EIA'!T10</f>
        <v>3.7416305632138637E-3</v>
      </c>
      <c r="T99" s="36">
        <f>'Renewable Fuel - EIA'!U10</f>
        <v>-3.5709184402228256E-2</v>
      </c>
      <c r="U99" s="36">
        <f>'Renewable Fuel - EIA'!V10</f>
        <v>435205495.46169037</v>
      </c>
      <c r="V99" s="36">
        <f>'Renewable Fuel - EIA'!W10</f>
        <v>-3676323.6052185297</v>
      </c>
      <c r="W99" s="36">
        <f>'Renewable Fuel - EIA'!X10</f>
        <v>0</v>
      </c>
      <c r="X99" s="36">
        <f>'Renewable Fuel - EIA'!Y10</f>
        <v>0</v>
      </c>
      <c r="Y99" s="36">
        <f>'Renewable Fuel - EIA'!Z10</f>
        <v>0</v>
      </c>
      <c r="Z99" s="36">
        <f>'Renewable Fuel - EIA'!AA10</f>
        <v>0</v>
      </c>
      <c r="AA99" s="36">
        <f>'Renewable Fuel - EIA'!AB10</f>
        <v>0</v>
      </c>
      <c r="AB99" s="36">
        <f>'Renewable Fuel - EIA'!AC10</f>
        <v>0</v>
      </c>
      <c r="AC99" s="36">
        <f>'Renewable Fuel - EIA'!AD10</f>
        <v>0</v>
      </c>
      <c r="AD99" s="36">
        <f>'Renewable Fuel - EIA'!AE10</f>
        <v>0</v>
      </c>
      <c r="AE99" s="36">
        <f>'Renewable Fuel - EIA'!AF10</f>
        <v>0</v>
      </c>
      <c r="AF99" s="36">
        <f>'Renewable Fuel - EIA'!AG10</f>
        <v>0</v>
      </c>
    </row>
    <row r="100" spans="1:50" x14ac:dyDescent="0.2">
      <c r="A100" s="61" t="s">
        <v>14</v>
      </c>
      <c r="B100" s="35">
        <f>'Renewable Fuel - EIA'!C11</f>
        <v>95928000</v>
      </c>
      <c r="C100" s="35">
        <f>'Renewable Fuel - EIA'!D11</f>
        <v>81858000</v>
      </c>
      <c r="D100" s="35">
        <f>'Renewable Fuel - EIA'!E11</f>
        <v>127050000</v>
      </c>
      <c r="E100" s="35">
        <f>'Renewable Fuel - EIA'!F11</f>
        <v>115668000</v>
      </c>
      <c r="F100" s="35">
        <f>'Renewable Fuel - EIA'!G11</f>
        <v>104118000</v>
      </c>
      <c r="G100" s="35">
        <f>'Renewable Fuel - EIA'!H11</f>
        <v>134652000</v>
      </c>
      <c r="H100" s="35">
        <f>'Renewable Fuel - EIA'!I11</f>
        <v>147294000</v>
      </c>
      <c r="I100" s="35">
        <f>'Renewable Fuel - EIA'!J11</f>
        <v>164388000</v>
      </c>
      <c r="J100" s="35">
        <f>'Renewable Fuel - EIA'!K11</f>
        <v>141834000</v>
      </c>
      <c r="K100" s="35">
        <f>'Renewable Fuel - EIA'!L11</f>
        <v>159180000</v>
      </c>
      <c r="L100" s="35">
        <f>'Renewable Fuel - EIA'!M11</f>
        <v>182406000</v>
      </c>
      <c r="M100" s="35">
        <f>'Renewable Fuel - EIA'!N11</f>
        <v>294252000</v>
      </c>
      <c r="N100" s="35">
        <f>'Renewable Fuel - EIA'!O11</f>
        <v>420294000</v>
      </c>
      <c r="O100" s="36">
        <f>'Renewable Fuel - EIA'!P11</f>
        <v>435147430.52722788</v>
      </c>
      <c r="P100" s="36">
        <f>'Renewable Fuel - EIA'!Q11</f>
        <v>0</v>
      </c>
      <c r="Q100" s="36">
        <f>'Renewable Fuel - EIA'!R11</f>
        <v>9702000</v>
      </c>
      <c r="R100" s="36">
        <f>'Renewable Fuel - EIA'!S11</f>
        <v>126042000</v>
      </c>
      <c r="S100" s="36">
        <f>'Renewable Fuel - EIA'!T11</f>
        <v>-7.1463606042770259E-2</v>
      </c>
      <c r="T100" s="36">
        <f>'Renewable Fuel - EIA'!U11</f>
        <v>3.7772181898977929E-2</v>
      </c>
      <c r="U100" s="36">
        <f>'Renewable Fuel - EIA'!V11</f>
        <v>439138278.87949401</v>
      </c>
      <c r="V100" s="36">
        <f>'Renewable Fuel - EIA'!W11</f>
        <v>3990848.3522661328</v>
      </c>
      <c r="W100" s="36">
        <f>'Renewable Fuel - EIA'!X11</f>
        <v>0</v>
      </c>
      <c r="X100" s="36">
        <f>'Renewable Fuel - EIA'!Y11</f>
        <v>0</v>
      </c>
      <c r="Y100" s="36">
        <f>'Renewable Fuel - EIA'!Z11</f>
        <v>0</v>
      </c>
      <c r="Z100" s="36">
        <f>'Renewable Fuel - EIA'!AA11</f>
        <v>0</v>
      </c>
      <c r="AA100" s="36">
        <f>'Renewable Fuel - EIA'!AB11</f>
        <v>0</v>
      </c>
      <c r="AB100" s="36">
        <f>'Renewable Fuel - EIA'!AC11</f>
        <v>0</v>
      </c>
      <c r="AC100" s="36">
        <f>'Renewable Fuel - EIA'!AD11</f>
        <v>0</v>
      </c>
      <c r="AD100" s="36">
        <f>'Renewable Fuel - EIA'!AE11</f>
        <v>0</v>
      </c>
      <c r="AE100" s="36">
        <f>'Renewable Fuel - EIA'!AF11</f>
        <v>0</v>
      </c>
      <c r="AF100" s="36">
        <f>'Renewable Fuel - EIA'!AG11</f>
        <v>0</v>
      </c>
    </row>
    <row r="101" spans="1:50" x14ac:dyDescent="0.2">
      <c r="A101" s="61" t="s">
        <v>15</v>
      </c>
      <c r="B101" s="35">
        <f>'Renewable Fuel - EIA'!C12</f>
        <v>105336000</v>
      </c>
      <c r="C101" s="35">
        <f>'Renewable Fuel - EIA'!D12</f>
        <v>75264000</v>
      </c>
      <c r="D101" s="35">
        <f>'Renewable Fuel - EIA'!E12</f>
        <v>137424000</v>
      </c>
      <c r="E101" s="35">
        <f>'Renewable Fuel - EIA'!F12</f>
        <v>122976000</v>
      </c>
      <c r="F101" s="35">
        <f>'Renewable Fuel - EIA'!G12</f>
        <v>106470000</v>
      </c>
      <c r="G101" s="35">
        <f>'Renewable Fuel - EIA'!H12</f>
        <v>144186000</v>
      </c>
      <c r="H101" s="35">
        <f>'Renewable Fuel - EIA'!I12</f>
        <v>147630000</v>
      </c>
      <c r="I101" s="35">
        <f>'Renewable Fuel - EIA'!J12</f>
        <v>170940000</v>
      </c>
      <c r="J101" s="35">
        <f>'Renewable Fuel - EIA'!K12</f>
        <v>144312000</v>
      </c>
      <c r="K101" s="35">
        <f>'Renewable Fuel - EIA'!L12</f>
        <v>157206000</v>
      </c>
      <c r="L101" s="35">
        <f>'Renewable Fuel - EIA'!M12</f>
        <v>239064000</v>
      </c>
      <c r="M101" s="35">
        <f>'Renewable Fuel - EIA'!N12</f>
        <v>286860000</v>
      </c>
      <c r="N101" s="35">
        <f>'Renewable Fuel - EIA'!O12</f>
        <v>387534000</v>
      </c>
      <c r="O101" s="36">
        <f>'Renewable Fuel - EIA'!P12</f>
        <v>472356098.04337651</v>
      </c>
      <c r="P101" s="36">
        <f>'Renewable Fuel - EIA'!Q12</f>
        <v>0</v>
      </c>
      <c r="Q101" s="36">
        <f>'Renewable Fuel - EIA'!R12</f>
        <v>-32760000</v>
      </c>
      <c r="R101" s="36">
        <f>'Renewable Fuel - EIA'!S12</f>
        <v>100674000</v>
      </c>
      <c r="S101" s="36">
        <f>'Renewable Fuel - EIA'!T12</f>
        <v>8.0555702287253714E-2</v>
      </c>
      <c r="T101" s="36">
        <f>'Renewable Fuel - EIA'!U12</f>
        <v>-2.5121324578932343E-2</v>
      </c>
      <c r="U101" s="36">
        <f>'Renewable Fuel - EIA'!V12</f>
        <v>451160512.46397597</v>
      </c>
      <c r="V101" s="36">
        <f>'Renewable Fuel - EIA'!W12</f>
        <v>-21195585.579400539</v>
      </c>
      <c r="W101" s="36">
        <f>'Renewable Fuel - EIA'!X12</f>
        <v>0</v>
      </c>
      <c r="X101" s="36">
        <f>'Renewable Fuel - EIA'!Y12</f>
        <v>0</v>
      </c>
      <c r="Y101" s="36">
        <f>'Renewable Fuel - EIA'!Z12</f>
        <v>0</v>
      </c>
      <c r="Z101" s="36">
        <f>'Renewable Fuel - EIA'!AA12</f>
        <v>0</v>
      </c>
      <c r="AA101" s="36">
        <f>'Renewable Fuel - EIA'!AB12</f>
        <v>0</v>
      </c>
      <c r="AB101" s="36">
        <f>'Renewable Fuel - EIA'!AC12</f>
        <v>0</v>
      </c>
      <c r="AC101" s="36">
        <f>'Renewable Fuel - EIA'!AD12</f>
        <v>0</v>
      </c>
      <c r="AD101" s="36">
        <f>'Renewable Fuel - EIA'!AE12</f>
        <v>0</v>
      </c>
      <c r="AE101" s="36">
        <f>'Renewable Fuel - EIA'!AF12</f>
        <v>0</v>
      </c>
      <c r="AF101" s="36">
        <f>'Renewable Fuel - EIA'!AG12</f>
        <v>0</v>
      </c>
    </row>
    <row r="102" spans="1:50" x14ac:dyDescent="0.2">
      <c r="A102" s="61" t="s">
        <v>16</v>
      </c>
      <c r="B102" s="35">
        <f>'Renewable Fuel - EIA'!C13</f>
        <v>104748000</v>
      </c>
      <c r="C102" s="35">
        <f>'Renewable Fuel - EIA'!D13</f>
        <v>57246000</v>
      </c>
      <c r="D102" s="35">
        <f>'Renewable Fuel - EIA'!E13</f>
        <v>129360000</v>
      </c>
      <c r="E102" s="35">
        <f>'Renewable Fuel - EIA'!F13</f>
        <v>109620000</v>
      </c>
      <c r="F102" s="35">
        <f>'Renewable Fuel - EIA'!G13</f>
        <v>105882000</v>
      </c>
      <c r="G102" s="35">
        <f>'Renewable Fuel - EIA'!H13</f>
        <v>143136000</v>
      </c>
      <c r="H102" s="35">
        <f>'Renewable Fuel - EIA'!I13</f>
        <v>147966000</v>
      </c>
      <c r="I102" s="35">
        <f>'Renewable Fuel - EIA'!J13</f>
        <v>160272000</v>
      </c>
      <c r="J102" s="35">
        <f>'Renewable Fuel - EIA'!K13</f>
        <v>127428000</v>
      </c>
      <c r="K102" s="35">
        <f>'Renewable Fuel - EIA'!L13</f>
        <v>152082000</v>
      </c>
      <c r="L102" s="35">
        <f>'Renewable Fuel - EIA'!M13</f>
        <v>245322000</v>
      </c>
      <c r="M102" s="35">
        <f>'Renewable Fuel - EIA'!N13</f>
        <v>305886000</v>
      </c>
      <c r="N102" s="35">
        <f>'Renewable Fuel - EIA'!O13</f>
        <v>384048000</v>
      </c>
      <c r="O102" s="36">
        <f>'Renewable Fuel - EIA'!P13</f>
        <v>435778910.19441956</v>
      </c>
      <c r="P102" s="36">
        <f>'Renewable Fuel - EIA'!Q13</f>
        <v>0</v>
      </c>
      <c r="Q102" s="36">
        <f>'Renewable Fuel - EIA'!R13</f>
        <v>-3486000</v>
      </c>
      <c r="R102" s="36">
        <f>'Renewable Fuel - EIA'!S13</f>
        <v>78162000</v>
      </c>
      <c r="S102" s="36">
        <f>'Renewable Fuel - EIA'!T13</f>
        <v>-3.0357841220179899E-2</v>
      </c>
      <c r="T102" s="36">
        <f>'Renewable Fuel - EIA'!U13</f>
        <v>6.6325036603221088E-2</v>
      </c>
      <c r="U102" s="36">
        <f>'Renewable Fuel - EIA'!V13</f>
        <v>429956023.74411553</v>
      </c>
      <c r="V102" s="36">
        <f>'Renewable Fuel - EIA'!W13</f>
        <v>-5822886.4503040314</v>
      </c>
      <c r="W102" s="36">
        <f>'Renewable Fuel - EIA'!X13</f>
        <v>0</v>
      </c>
      <c r="X102" s="36">
        <f>'Renewable Fuel - EIA'!Y13</f>
        <v>0</v>
      </c>
      <c r="Y102" s="36">
        <f>'Renewable Fuel - EIA'!Z13</f>
        <v>0</v>
      </c>
      <c r="Z102" s="36">
        <f>'Renewable Fuel - EIA'!AA13</f>
        <v>0</v>
      </c>
      <c r="AA102" s="36">
        <f>'Renewable Fuel - EIA'!AB13</f>
        <v>0</v>
      </c>
      <c r="AB102" s="36">
        <f>'Renewable Fuel - EIA'!AC13</f>
        <v>0</v>
      </c>
      <c r="AC102" s="36">
        <f>'Renewable Fuel - EIA'!AD13</f>
        <v>0</v>
      </c>
      <c r="AD102" s="36">
        <f>'Renewable Fuel - EIA'!AE13</f>
        <v>0</v>
      </c>
      <c r="AE102" s="36">
        <f>'Renewable Fuel - EIA'!AF13</f>
        <v>0</v>
      </c>
      <c r="AF102" s="36">
        <f>'Renewable Fuel - EIA'!AG13</f>
        <v>0</v>
      </c>
    </row>
    <row r="103" spans="1:50" x14ac:dyDescent="0.2">
      <c r="A103" s="61" t="s">
        <v>17</v>
      </c>
      <c r="B103" s="35">
        <f>'Renewable Fuel - EIA'!C14</f>
        <v>109368000</v>
      </c>
      <c r="C103" s="35">
        <f>'Renewable Fuel - EIA'!D14</f>
        <v>59052000</v>
      </c>
      <c r="D103" s="35">
        <f>'Renewable Fuel - EIA'!E14</f>
        <v>135114000</v>
      </c>
      <c r="E103" s="35">
        <f>'Renewable Fuel - EIA'!F14</f>
        <v>124236000</v>
      </c>
      <c r="F103" s="35">
        <f>'Renewable Fuel - EIA'!G14</f>
        <v>108066000</v>
      </c>
      <c r="G103" s="35">
        <f>'Renewable Fuel - EIA'!H14</f>
        <v>143850000</v>
      </c>
      <c r="H103" s="35">
        <f>'Renewable Fuel - EIA'!I14</f>
        <v>147630000</v>
      </c>
      <c r="I103" s="35">
        <f>'Renewable Fuel - EIA'!J14</f>
        <v>167790000</v>
      </c>
      <c r="J103" s="35">
        <f>'Renewable Fuel - EIA'!K14</f>
        <v>132846000</v>
      </c>
      <c r="K103" s="35">
        <f>'Renewable Fuel - EIA'!L14</f>
        <v>157962000</v>
      </c>
      <c r="L103" s="35">
        <f>'Renewable Fuel - EIA'!M14</f>
        <v>278670000</v>
      </c>
      <c r="M103" s="35">
        <f>'Renewable Fuel - EIA'!N14</f>
        <v>308322000</v>
      </c>
      <c r="N103" s="35">
        <f>'Renewable Fuel - EIA'!O14</f>
        <v>437976000</v>
      </c>
      <c r="O103" s="36">
        <f>'Renewable Fuel - EIA'!P14</f>
        <v>565277688.66034234</v>
      </c>
      <c r="P103" s="36">
        <f>'Renewable Fuel - EIA'!Q14</f>
        <v>0</v>
      </c>
      <c r="Q103" s="36">
        <f>'Renewable Fuel - EIA'!R14</f>
        <v>53928000</v>
      </c>
      <c r="R103" s="36">
        <f>'Renewable Fuel - EIA'!S14</f>
        <v>129654000</v>
      </c>
      <c r="S103" s="36">
        <f>'Renewable Fuel - EIA'!T14</f>
        <v>6.2213259389967232E-2</v>
      </c>
      <c r="T103" s="36">
        <f>'Renewable Fuel - EIA'!U14</f>
        <v>7.9637512014279835E-3</v>
      </c>
      <c r="U103" s="36">
        <f>'Renewable Fuel - EIA'!V14</f>
        <v>422473933.73680478</v>
      </c>
      <c r="V103" s="36">
        <f>'Renewable Fuel - EIA'!W14</f>
        <v>-142803754.92353755</v>
      </c>
      <c r="W103" s="36">
        <f>'Renewable Fuel - EIA'!X14</f>
        <v>0</v>
      </c>
      <c r="X103" s="36">
        <f>'Renewable Fuel - EIA'!Y14</f>
        <v>0</v>
      </c>
      <c r="Y103" s="36">
        <f>'Renewable Fuel - EIA'!Z14</f>
        <v>0</v>
      </c>
      <c r="Z103" s="36">
        <f>'Renewable Fuel - EIA'!AA14</f>
        <v>0</v>
      </c>
      <c r="AA103" s="36">
        <f>'Renewable Fuel - EIA'!AB14</f>
        <v>0</v>
      </c>
      <c r="AB103" s="36">
        <f>'Renewable Fuel - EIA'!AC14</f>
        <v>0</v>
      </c>
      <c r="AC103" s="36">
        <f>'Renewable Fuel - EIA'!AD14</f>
        <v>0</v>
      </c>
      <c r="AD103" s="36">
        <f>'Renewable Fuel - EIA'!AE14</f>
        <v>0</v>
      </c>
      <c r="AE103" s="36">
        <f>'Renewable Fuel - EIA'!AF14</f>
        <v>0</v>
      </c>
      <c r="AF103" s="36">
        <f>'Renewable Fuel - EIA'!AG14</f>
        <v>0</v>
      </c>
    </row>
    <row r="104" spans="1:50" ht="12" thickBot="1" x14ac:dyDescent="0.25">
      <c r="A104" s="64" t="s">
        <v>18</v>
      </c>
      <c r="B104" s="65">
        <f>SUM(B92:B103)</f>
        <v>967512000</v>
      </c>
      <c r="C104" s="65">
        <f t="shared" ref="C104:AF104" si="30">SUM(C92:C103)</f>
        <v>990780000</v>
      </c>
      <c r="D104" s="65">
        <f t="shared" si="30"/>
        <v>1359456000</v>
      </c>
      <c r="E104" s="65">
        <f t="shared" si="30"/>
        <v>1278942000</v>
      </c>
      <c r="F104" s="65">
        <f t="shared" si="30"/>
        <v>1263402000</v>
      </c>
      <c r="G104" s="65">
        <f t="shared" si="30"/>
        <v>1567692000</v>
      </c>
      <c r="H104" s="65">
        <f t="shared" si="30"/>
        <v>1595664000</v>
      </c>
      <c r="I104" s="65">
        <f t="shared" si="30"/>
        <v>1857324000</v>
      </c>
      <c r="J104" s="65">
        <f t="shared" si="30"/>
        <v>1724520000</v>
      </c>
      <c r="K104" s="65">
        <f t="shared" si="30"/>
        <v>1814694000</v>
      </c>
      <c r="L104" s="65">
        <f t="shared" si="30"/>
        <v>2534322000</v>
      </c>
      <c r="M104" s="65">
        <f t="shared" si="30"/>
        <v>3305820000</v>
      </c>
      <c r="N104" s="65">
        <f t="shared" si="30"/>
        <v>4581402000</v>
      </c>
      <c r="O104" s="66">
        <f t="shared" si="30"/>
        <v>5321776956.5057945</v>
      </c>
      <c r="P104" s="66">
        <f t="shared" si="30"/>
        <v>0</v>
      </c>
      <c r="Q104" s="66">
        <f t="shared" si="30"/>
        <v>129654000</v>
      </c>
      <c r="R104" s="66">
        <f t="shared" si="30"/>
        <v>1275582000</v>
      </c>
      <c r="S104" s="66">
        <f t="shared" si="30"/>
        <v>0.20057439214090927</v>
      </c>
      <c r="T104" s="66">
        <f t="shared" si="30"/>
        <v>0.1299567871764338</v>
      </c>
      <c r="U104" s="66">
        <f t="shared" si="30"/>
        <v>4975499263.0449934</v>
      </c>
      <c r="V104" s="66">
        <f t="shared" si="30"/>
        <v>-346277693.46080106</v>
      </c>
      <c r="W104" s="66">
        <f t="shared" si="30"/>
        <v>0</v>
      </c>
      <c r="X104" s="66">
        <f t="shared" si="30"/>
        <v>0</v>
      </c>
      <c r="Y104" s="66">
        <f t="shared" si="30"/>
        <v>0</v>
      </c>
      <c r="Z104" s="66">
        <f t="shared" si="30"/>
        <v>0</v>
      </c>
      <c r="AA104" s="66">
        <f t="shared" si="30"/>
        <v>0</v>
      </c>
      <c r="AB104" s="66">
        <f t="shared" si="30"/>
        <v>0</v>
      </c>
      <c r="AC104" s="66">
        <f t="shared" si="30"/>
        <v>0</v>
      </c>
      <c r="AD104" s="66">
        <f t="shared" si="30"/>
        <v>0</v>
      </c>
      <c r="AE104" s="66">
        <f t="shared" si="30"/>
        <v>0</v>
      </c>
      <c r="AF104" s="66">
        <f t="shared" si="30"/>
        <v>0</v>
      </c>
    </row>
    <row r="105" spans="1:50" ht="12" thickTop="1" x14ac:dyDescent="0.2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spans="1:50" ht="12" thickBot="1" x14ac:dyDescent="0.25">
      <c r="A106" s="61" t="s">
        <v>33</v>
      </c>
    </row>
    <row r="107" spans="1:50" ht="12.75" thickTop="1" thickBot="1" x14ac:dyDescent="0.25">
      <c r="A107" s="62"/>
      <c r="B107" s="63">
        <f>B2</f>
        <v>2011</v>
      </c>
      <c r="C107" s="63">
        <f t="shared" ref="C107:N107" si="31">C2</f>
        <v>2012</v>
      </c>
      <c r="D107" s="63">
        <f t="shared" si="31"/>
        <v>2013</v>
      </c>
      <c r="E107" s="63">
        <f t="shared" si="31"/>
        <v>2014</v>
      </c>
      <c r="F107" s="63">
        <f t="shared" si="31"/>
        <v>2015</v>
      </c>
      <c r="G107" s="63">
        <f t="shared" si="31"/>
        <v>2016</v>
      </c>
      <c r="H107" s="63">
        <f t="shared" si="31"/>
        <v>2017</v>
      </c>
      <c r="I107" s="63">
        <f t="shared" si="31"/>
        <v>2018</v>
      </c>
      <c r="J107" s="63">
        <f t="shared" si="31"/>
        <v>2019</v>
      </c>
      <c r="K107" s="63">
        <f t="shared" si="31"/>
        <v>2020</v>
      </c>
      <c r="L107" s="63">
        <f t="shared" si="31"/>
        <v>2021</v>
      </c>
      <c r="M107" s="63">
        <f t="shared" si="31"/>
        <v>2022</v>
      </c>
      <c r="N107" s="63">
        <f t="shared" si="31"/>
        <v>2023</v>
      </c>
      <c r="O107" s="63">
        <f>O2</f>
        <v>2024</v>
      </c>
      <c r="AG107" s="32" t="s">
        <v>21</v>
      </c>
      <c r="AH107" s="32" t="s">
        <v>22</v>
      </c>
      <c r="AI107" s="32" t="s">
        <v>23</v>
      </c>
    </row>
    <row r="108" spans="1:50" ht="12" thickTop="1" x14ac:dyDescent="0.2">
      <c r="A108" s="61" t="s">
        <v>6</v>
      </c>
      <c r="B108" s="74">
        <f>B20/(B92/1000000)</f>
        <v>7.0410587037665424</v>
      </c>
      <c r="C108" s="74">
        <f t="shared" ref="C108:O119" si="32">C20/(C92/1000000)</f>
        <v>7.3563405944902227</v>
      </c>
      <c r="D108" s="74">
        <f t="shared" si="32"/>
        <v>7.2009291521486647</v>
      </c>
      <c r="E108" s="74">
        <f t="shared" si="32"/>
        <v>6.0936939917831632</v>
      </c>
      <c r="F108" s="74">
        <f t="shared" si="32"/>
        <v>7.3758513248959101</v>
      </c>
      <c r="G108" s="74">
        <f t="shared" si="32"/>
        <v>6.6558232931726904</v>
      </c>
      <c r="H108" s="74">
        <f t="shared" si="32"/>
        <v>7.608048654244306</v>
      </c>
      <c r="I108" s="74">
        <f t="shared" si="32"/>
        <v>7.3275772831545538</v>
      </c>
      <c r="J108" s="74">
        <f t="shared" si="32"/>
        <v>7.5407478427612666</v>
      </c>
      <c r="K108" s="74">
        <f t="shared" si="32"/>
        <v>7.4787210770756793</v>
      </c>
      <c r="L108" s="74">
        <f t="shared" si="32"/>
        <v>5.3567651918541985</v>
      </c>
      <c r="M108" s="74">
        <f t="shared" si="32"/>
        <v>3.8715066028420844</v>
      </c>
      <c r="N108" s="74">
        <f t="shared" si="32"/>
        <v>3.0201520980327583</v>
      </c>
      <c r="O108" s="74">
        <f t="shared" si="32"/>
        <v>2.580615412087675</v>
      </c>
      <c r="AG108" s="74">
        <f>AVERAGE(I108:M108)</f>
        <v>6.3150635995375568</v>
      </c>
      <c r="AH108" s="74">
        <f>MAX(I108:M108)</f>
        <v>7.5407478427612666</v>
      </c>
      <c r="AI108" s="74">
        <f>MIN(I108:M108)</f>
        <v>3.8715066028420844</v>
      </c>
      <c r="AJ108" s="74">
        <f t="shared" ref="AJ108:AJ119" si="33">MAX(K108:O108)</f>
        <v>7.4787210770756793</v>
      </c>
      <c r="AK108" s="74">
        <f t="shared" ref="AK108:AN119" si="34">MAX(L108:AG108)</f>
        <v>6.3150635995375568</v>
      </c>
      <c r="AL108" s="74">
        <f t="shared" si="34"/>
        <v>7.5407478427612666</v>
      </c>
      <c r="AM108" s="74">
        <f t="shared" si="34"/>
        <v>7.5407478427612666</v>
      </c>
      <c r="AN108" s="74">
        <f t="shared" si="34"/>
        <v>7.5407478427612666</v>
      </c>
      <c r="AO108" s="74">
        <f t="shared" ref="AO108:AX119" si="35">MAX(AG108:AK108)</f>
        <v>7.5407478427612666</v>
      </c>
      <c r="AP108" s="74">
        <f t="shared" si="35"/>
        <v>7.5407478427612666</v>
      </c>
      <c r="AQ108" s="74">
        <f t="shared" si="35"/>
        <v>7.5407478427612666</v>
      </c>
      <c r="AR108" s="74">
        <f t="shared" si="35"/>
        <v>7.5407478427612666</v>
      </c>
      <c r="AS108" s="74">
        <f t="shared" si="35"/>
        <v>7.5407478427612666</v>
      </c>
      <c r="AT108" s="74">
        <f t="shared" si="35"/>
        <v>7.5407478427612666</v>
      </c>
      <c r="AU108" s="74">
        <f t="shared" si="35"/>
        <v>7.5407478427612666</v>
      </c>
      <c r="AV108" s="74">
        <f t="shared" si="35"/>
        <v>7.5407478427612666</v>
      </c>
      <c r="AW108" s="74">
        <f t="shared" si="35"/>
        <v>7.5407478427612666</v>
      </c>
      <c r="AX108" s="74">
        <f t="shared" si="35"/>
        <v>7.5407478427612666</v>
      </c>
    </row>
    <row r="109" spans="1:50" x14ac:dyDescent="0.2">
      <c r="A109" s="61" t="s">
        <v>7</v>
      </c>
      <c r="B109" s="74">
        <f t="shared" ref="B109:M119" si="36">B21/(B93/1000000)</f>
        <v>6.9619939547098753</v>
      </c>
      <c r="C109" s="74">
        <f t="shared" si="36"/>
        <v>7.0658894188305945</v>
      </c>
      <c r="D109" s="74">
        <f t="shared" si="36"/>
        <v>7.3051948051948052</v>
      </c>
      <c r="E109" s="74">
        <f t="shared" si="36"/>
        <v>6.6365246820549437</v>
      </c>
      <c r="F109" s="74">
        <f t="shared" si="36"/>
        <v>6.8302847881454039</v>
      </c>
      <c r="G109" s="74">
        <f t="shared" si="36"/>
        <v>6.7779742887570364</v>
      </c>
      <c r="H109" s="74">
        <f t="shared" si="36"/>
        <v>7.5902166049619142</v>
      </c>
      <c r="I109" s="74">
        <f t="shared" si="36"/>
        <v>7.2511912341920404</v>
      </c>
      <c r="J109" s="74">
        <f t="shared" si="36"/>
        <v>7.3530673530673534</v>
      </c>
      <c r="K109" s="74">
        <f t="shared" si="36"/>
        <v>7.3803812745954867</v>
      </c>
      <c r="L109" s="74">
        <f t="shared" si="36"/>
        <v>4.1991749423043139</v>
      </c>
      <c r="M109" s="74">
        <f t="shared" si="36"/>
        <v>4.1210409721303076</v>
      </c>
      <c r="N109" s="74">
        <f t="shared" si="32"/>
        <v>3.0348328988868691</v>
      </c>
      <c r="O109" s="74">
        <f t="shared" si="32"/>
        <v>2.4379897386877087</v>
      </c>
      <c r="AG109" s="74">
        <f t="shared" ref="AG109:AG119" si="37">AVERAGE(I109:M109)</f>
        <v>6.0609711552579002</v>
      </c>
      <c r="AH109" s="74">
        <f t="shared" ref="AH109:AH119" si="38">MAX(I109:M109)</f>
        <v>7.3803812745954867</v>
      </c>
      <c r="AI109" s="74">
        <f t="shared" ref="AI109:AI119" si="39">MIN(I109:M109)</f>
        <v>4.1210409721303076</v>
      </c>
      <c r="AJ109" s="74">
        <f t="shared" si="33"/>
        <v>7.3803812745954867</v>
      </c>
      <c r="AK109" s="74">
        <f t="shared" si="34"/>
        <v>6.0609711552579002</v>
      </c>
      <c r="AL109" s="74">
        <f t="shared" si="34"/>
        <v>7.3803812745954867</v>
      </c>
      <c r="AM109" s="74">
        <f t="shared" si="34"/>
        <v>7.3803812745954867</v>
      </c>
      <c r="AN109" s="74">
        <f t="shared" si="34"/>
        <v>7.3803812745954867</v>
      </c>
      <c r="AO109" s="74">
        <f t="shared" si="35"/>
        <v>7.3803812745954867</v>
      </c>
      <c r="AP109" s="74">
        <f t="shared" si="35"/>
        <v>7.3803812745954867</v>
      </c>
      <c r="AQ109" s="74">
        <f t="shared" si="35"/>
        <v>7.3803812745954867</v>
      </c>
      <c r="AR109" s="74">
        <f t="shared" si="35"/>
        <v>7.3803812745954867</v>
      </c>
      <c r="AS109" s="74">
        <f t="shared" si="35"/>
        <v>7.3803812745954867</v>
      </c>
      <c r="AT109" s="74">
        <f t="shared" si="35"/>
        <v>7.3803812745954867</v>
      </c>
      <c r="AU109" s="74">
        <f t="shared" si="35"/>
        <v>7.3803812745954867</v>
      </c>
      <c r="AV109" s="74">
        <f t="shared" si="35"/>
        <v>7.3803812745954867</v>
      </c>
      <c r="AW109" s="74">
        <f t="shared" si="35"/>
        <v>7.3803812745954867</v>
      </c>
      <c r="AX109" s="74">
        <f t="shared" si="35"/>
        <v>7.3803812745954867</v>
      </c>
    </row>
    <row r="110" spans="1:50" x14ac:dyDescent="0.2">
      <c r="A110" s="61" t="s">
        <v>8</v>
      </c>
      <c r="B110" s="74">
        <f t="shared" si="36"/>
        <v>6.8962045706231754</v>
      </c>
      <c r="C110" s="74">
        <f t="shared" si="36"/>
        <v>7.2560343551014359</v>
      </c>
      <c r="D110" s="74">
        <f t="shared" si="36"/>
        <v>7.1862907683803208</v>
      </c>
      <c r="E110" s="74">
        <f t="shared" si="36"/>
        <v>6.8372965450474972</v>
      </c>
      <c r="F110" s="74">
        <f t="shared" si="36"/>
        <v>7.267739425950948</v>
      </c>
      <c r="G110" s="74">
        <f t="shared" si="36"/>
        <v>6.375160200396131</v>
      </c>
      <c r="H110" s="74">
        <f t="shared" si="36"/>
        <v>7.2202100688156463</v>
      </c>
      <c r="I110" s="74">
        <f t="shared" si="36"/>
        <v>7.3541326963145863</v>
      </c>
      <c r="J110" s="74">
        <f t="shared" si="36"/>
        <v>7.4883899279962503</v>
      </c>
      <c r="K110" s="74">
        <f t="shared" si="36"/>
        <v>7.3990063924000058</v>
      </c>
      <c r="L110" s="74">
        <f t="shared" si="36"/>
        <v>4.7088054066030889</v>
      </c>
      <c r="M110" s="74">
        <f t="shared" si="36"/>
        <v>4.234745158981692</v>
      </c>
      <c r="N110" s="74">
        <f t="shared" si="32"/>
        <v>3.1055586456408268</v>
      </c>
      <c r="O110" s="74">
        <f t="shared" si="32"/>
        <v>2.6984178900170104</v>
      </c>
      <c r="AG110" s="74">
        <f t="shared" si="37"/>
        <v>6.237015916459125</v>
      </c>
      <c r="AH110" s="74">
        <f t="shared" si="38"/>
        <v>7.4883899279962503</v>
      </c>
      <c r="AI110" s="74">
        <f t="shared" si="39"/>
        <v>4.234745158981692</v>
      </c>
      <c r="AJ110" s="74">
        <f t="shared" si="33"/>
        <v>7.3990063924000058</v>
      </c>
      <c r="AK110" s="74">
        <f t="shared" si="34"/>
        <v>6.237015916459125</v>
      </c>
      <c r="AL110" s="74">
        <f t="shared" si="34"/>
        <v>7.4883899279962503</v>
      </c>
      <c r="AM110" s="74">
        <f t="shared" si="34"/>
        <v>7.4883899279962503</v>
      </c>
      <c r="AN110" s="74">
        <f t="shared" si="34"/>
        <v>7.4883899279962503</v>
      </c>
      <c r="AO110" s="74">
        <f t="shared" si="35"/>
        <v>7.4883899279962503</v>
      </c>
      <c r="AP110" s="74">
        <f t="shared" si="35"/>
        <v>7.4883899279962503</v>
      </c>
      <c r="AQ110" s="74">
        <f t="shared" si="35"/>
        <v>7.4883899279962503</v>
      </c>
      <c r="AR110" s="74">
        <f t="shared" si="35"/>
        <v>7.4883899279962503</v>
      </c>
      <c r="AS110" s="74">
        <f t="shared" si="35"/>
        <v>7.4883899279962503</v>
      </c>
      <c r="AT110" s="74">
        <f t="shared" si="35"/>
        <v>7.4883899279962503</v>
      </c>
      <c r="AU110" s="74">
        <f t="shared" si="35"/>
        <v>7.4883899279962503</v>
      </c>
      <c r="AV110" s="74">
        <f t="shared" si="35"/>
        <v>7.4883899279962503</v>
      </c>
      <c r="AW110" s="74">
        <f t="shared" si="35"/>
        <v>7.4883899279962503</v>
      </c>
      <c r="AX110" s="74">
        <f t="shared" si="35"/>
        <v>7.4883899279962503</v>
      </c>
    </row>
    <row r="111" spans="1:50" x14ac:dyDescent="0.2">
      <c r="A111" s="61" t="s">
        <v>9</v>
      </c>
      <c r="B111" s="74">
        <f t="shared" si="36"/>
        <v>7.2188449848024323</v>
      </c>
      <c r="C111" s="74">
        <f t="shared" si="36"/>
        <v>7.2588713625816892</v>
      </c>
      <c r="D111" s="74">
        <f t="shared" si="36"/>
        <v>6.9522314420273599</v>
      </c>
      <c r="E111" s="74">
        <f t="shared" si="36"/>
        <v>7.0582439003491633</v>
      </c>
      <c r="F111" s="74">
        <f t="shared" si="36"/>
        <v>7.2374276813529157</v>
      </c>
      <c r="G111" s="74">
        <f t="shared" si="36"/>
        <v>6.463168600773642</v>
      </c>
      <c r="H111" s="74">
        <f t="shared" si="36"/>
        <v>7.3092872910753695</v>
      </c>
      <c r="I111" s="74">
        <f t="shared" si="36"/>
        <v>7.4449007917320138</v>
      </c>
      <c r="J111" s="74">
        <f t="shared" si="36"/>
        <v>7.4531104188846387</v>
      </c>
      <c r="K111" s="74">
        <f t="shared" si="36"/>
        <v>7.2362239022786525</v>
      </c>
      <c r="L111" s="74">
        <f t="shared" si="36"/>
        <v>5.571804606543898</v>
      </c>
      <c r="M111" s="74">
        <f t="shared" si="36"/>
        <v>3.8821014108899967</v>
      </c>
      <c r="N111" s="74">
        <f t="shared" si="32"/>
        <v>2.9929450028801279</v>
      </c>
      <c r="O111" s="74">
        <f t="shared" si="32"/>
        <v>2.3058467283383757</v>
      </c>
      <c r="AG111" s="74">
        <f t="shared" si="37"/>
        <v>6.3176282260658407</v>
      </c>
      <c r="AH111" s="74">
        <f t="shared" si="38"/>
        <v>7.4531104188846387</v>
      </c>
      <c r="AI111" s="74">
        <f t="shared" si="39"/>
        <v>3.8821014108899967</v>
      </c>
      <c r="AJ111" s="74">
        <f t="shared" si="33"/>
        <v>7.2362239022786525</v>
      </c>
      <c r="AK111" s="74">
        <f t="shared" si="34"/>
        <v>6.3176282260658407</v>
      </c>
      <c r="AL111" s="74">
        <f t="shared" si="34"/>
        <v>7.4531104188846387</v>
      </c>
      <c r="AM111" s="74">
        <f t="shared" si="34"/>
        <v>7.4531104188846387</v>
      </c>
      <c r="AN111" s="74">
        <f t="shared" si="34"/>
        <v>7.4531104188846387</v>
      </c>
      <c r="AO111" s="74">
        <f t="shared" si="35"/>
        <v>7.4531104188846387</v>
      </c>
      <c r="AP111" s="74">
        <f t="shared" si="35"/>
        <v>7.4531104188846387</v>
      </c>
      <c r="AQ111" s="74">
        <f t="shared" si="35"/>
        <v>7.4531104188846387</v>
      </c>
      <c r="AR111" s="74">
        <f t="shared" si="35"/>
        <v>7.4531104188846387</v>
      </c>
      <c r="AS111" s="74">
        <f t="shared" si="35"/>
        <v>7.4531104188846387</v>
      </c>
      <c r="AT111" s="74">
        <f t="shared" si="35"/>
        <v>7.4531104188846387</v>
      </c>
      <c r="AU111" s="74">
        <f t="shared" si="35"/>
        <v>7.4531104188846387</v>
      </c>
      <c r="AV111" s="74">
        <f t="shared" si="35"/>
        <v>7.4531104188846387</v>
      </c>
      <c r="AW111" s="74">
        <f t="shared" si="35"/>
        <v>7.4531104188846387</v>
      </c>
      <c r="AX111" s="74">
        <f t="shared" si="35"/>
        <v>7.4531104188846387</v>
      </c>
    </row>
    <row r="112" spans="1:50" x14ac:dyDescent="0.2">
      <c r="A112" s="61" t="s">
        <v>10</v>
      </c>
      <c r="B112" s="74">
        <f t="shared" si="36"/>
        <v>7.0988134100212452</v>
      </c>
      <c r="C112" s="74">
        <f t="shared" si="36"/>
        <v>7.207578253706755</v>
      </c>
      <c r="D112" s="74">
        <f t="shared" si="36"/>
        <v>6.7872895850211536</v>
      </c>
      <c r="E112" s="74">
        <f t="shared" si="36"/>
        <v>6.9707061014844491</v>
      </c>
      <c r="F112" s="74">
        <f t="shared" si="36"/>
        <v>6.9957580733442803</v>
      </c>
      <c r="G112" s="74">
        <f t="shared" si="36"/>
        <v>6.7907097041175239</v>
      </c>
      <c r="H112" s="74">
        <f t="shared" si="36"/>
        <v>7.6084721365412307</v>
      </c>
      <c r="I112" s="74">
        <f t="shared" si="36"/>
        <v>7.4554938252101435</v>
      </c>
      <c r="J112" s="74">
        <f t="shared" si="36"/>
        <v>7.380305558789666</v>
      </c>
      <c r="K112" s="74">
        <f t="shared" si="36"/>
        <v>7.4416735757877195</v>
      </c>
      <c r="L112" s="74">
        <f t="shared" si="36"/>
        <v>5.2684841597803702</v>
      </c>
      <c r="M112" s="74">
        <f t="shared" si="36"/>
        <v>3.7831551860443353</v>
      </c>
      <c r="N112" s="74">
        <f t="shared" si="32"/>
        <v>3.0240019210571512</v>
      </c>
      <c r="O112" s="74">
        <f t="shared" si="32"/>
        <v>2.6681685785202625</v>
      </c>
      <c r="AG112" s="74">
        <f t="shared" si="37"/>
        <v>6.2658224611224478</v>
      </c>
      <c r="AH112" s="74">
        <f t="shared" si="38"/>
        <v>7.4554938252101435</v>
      </c>
      <c r="AI112" s="74">
        <f t="shared" si="39"/>
        <v>3.7831551860443353</v>
      </c>
      <c r="AJ112" s="74">
        <f t="shared" si="33"/>
        <v>7.4416735757877195</v>
      </c>
      <c r="AK112" s="74">
        <f t="shared" si="34"/>
        <v>6.2658224611224478</v>
      </c>
      <c r="AL112" s="74">
        <f t="shared" si="34"/>
        <v>7.4554938252101435</v>
      </c>
      <c r="AM112" s="74">
        <f t="shared" si="34"/>
        <v>7.4554938252101435</v>
      </c>
      <c r="AN112" s="74">
        <f t="shared" si="34"/>
        <v>7.4554938252101435</v>
      </c>
      <c r="AO112" s="74">
        <f t="shared" si="35"/>
        <v>7.4554938252101435</v>
      </c>
      <c r="AP112" s="74">
        <f t="shared" si="35"/>
        <v>7.4554938252101435</v>
      </c>
      <c r="AQ112" s="74">
        <f t="shared" si="35"/>
        <v>7.4554938252101435</v>
      </c>
      <c r="AR112" s="74">
        <f t="shared" si="35"/>
        <v>7.4554938252101435</v>
      </c>
      <c r="AS112" s="74">
        <f t="shared" si="35"/>
        <v>7.4554938252101435</v>
      </c>
      <c r="AT112" s="74">
        <f t="shared" si="35"/>
        <v>7.4554938252101435</v>
      </c>
      <c r="AU112" s="74">
        <f t="shared" si="35"/>
        <v>7.4554938252101435</v>
      </c>
      <c r="AV112" s="74">
        <f t="shared" si="35"/>
        <v>7.4554938252101435</v>
      </c>
      <c r="AW112" s="74">
        <f t="shared" si="35"/>
        <v>7.4554938252101435</v>
      </c>
      <c r="AX112" s="74">
        <f t="shared" si="35"/>
        <v>7.4554938252101435</v>
      </c>
    </row>
    <row r="113" spans="1:50" x14ac:dyDescent="0.2">
      <c r="A113" s="61" t="s">
        <v>11</v>
      </c>
      <c r="B113" s="74">
        <f t="shared" si="36"/>
        <v>7.3345127524694087</v>
      </c>
      <c r="C113" s="74">
        <f t="shared" si="36"/>
        <v>7.1974808816914084</v>
      </c>
      <c r="D113" s="74">
        <f t="shared" si="36"/>
        <v>7.2690061574833713</v>
      </c>
      <c r="E113" s="74">
        <f t="shared" si="36"/>
        <v>7.0775047258979207</v>
      </c>
      <c r="F113" s="74">
        <f t="shared" si="36"/>
        <v>7.1486022882093208</v>
      </c>
      <c r="G113" s="74">
        <f t="shared" si="36"/>
        <v>6.8355397073025781</v>
      </c>
      <c r="H113" s="74">
        <f t="shared" si="36"/>
        <v>7.4959415584415581</v>
      </c>
      <c r="I113" s="74">
        <f t="shared" si="36"/>
        <v>7.3787681670151866</v>
      </c>
      <c r="J113" s="74">
        <f t="shared" si="36"/>
        <v>7.5221845414723765</v>
      </c>
      <c r="K113" s="74">
        <f t="shared" si="36"/>
        <v>7.4024216248203665</v>
      </c>
      <c r="L113" s="74">
        <f t="shared" si="36"/>
        <v>5.4690372782650973</v>
      </c>
      <c r="M113" s="74">
        <f t="shared" si="36"/>
        <v>3.7437641562181874</v>
      </c>
      <c r="N113" s="74">
        <f t="shared" si="32"/>
        <v>2.8464388270817054</v>
      </c>
      <c r="O113" s="75">
        <f t="shared" si="32"/>
        <v>2.2828954517244426</v>
      </c>
      <c r="AG113" s="74">
        <f t="shared" si="37"/>
        <v>6.3032351535582425</v>
      </c>
      <c r="AH113" s="74">
        <f t="shared" si="38"/>
        <v>7.5221845414723765</v>
      </c>
      <c r="AI113" s="74">
        <f t="shared" si="39"/>
        <v>3.7437641562181874</v>
      </c>
      <c r="AJ113" s="74">
        <f t="shared" si="33"/>
        <v>7.4024216248203665</v>
      </c>
      <c r="AK113" s="74">
        <f t="shared" si="34"/>
        <v>6.3032351535582425</v>
      </c>
      <c r="AL113" s="74">
        <f t="shared" si="34"/>
        <v>7.5221845414723765</v>
      </c>
      <c r="AM113" s="74">
        <f t="shared" si="34"/>
        <v>7.5221845414723765</v>
      </c>
      <c r="AN113" s="74">
        <f t="shared" si="34"/>
        <v>7.5221845414723765</v>
      </c>
      <c r="AO113" s="74">
        <f t="shared" si="35"/>
        <v>7.5221845414723765</v>
      </c>
      <c r="AP113" s="74">
        <f t="shared" si="35"/>
        <v>7.5221845414723765</v>
      </c>
      <c r="AQ113" s="74">
        <f t="shared" si="35"/>
        <v>7.5221845414723765</v>
      </c>
      <c r="AR113" s="74">
        <f t="shared" si="35"/>
        <v>7.5221845414723765</v>
      </c>
      <c r="AS113" s="74">
        <f t="shared" si="35"/>
        <v>7.5221845414723765</v>
      </c>
      <c r="AT113" s="74">
        <f t="shared" si="35"/>
        <v>7.5221845414723765</v>
      </c>
      <c r="AU113" s="74">
        <f t="shared" si="35"/>
        <v>7.5221845414723765</v>
      </c>
      <c r="AV113" s="74">
        <f t="shared" si="35"/>
        <v>7.5221845414723765</v>
      </c>
      <c r="AW113" s="74">
        <f t="shared" si="35"/>
        <v>7.5221845414723765</v>
      </c>
      <c r="AX113" s="74">
        <f t="shared" si="35"/>
        <v>7.5221845414723765</v>
      </c>
    </row>
    <row r="114" spans="1:50" x14ac:dyDescent="0.2">
      <c r="A114" s="61" t="s">
        <v>12</v>
      </c>
      <c r="B114" s="74">
        <f t="shared" si="36"/>
        <v>7.2312021464563836</v>
      </c>
      <c r="C114" s="74">
        <f t="shared" si="36"/>
        <v>6.8618890903799219</v>
      </c>
      <c r="D114" s="74">
        <f t="shared" si="36"/>
        <v>6.6189236111111107</v>
      </c>
      <c r="E114" s="74">
        <f t="shared" si="36"/>
        <v>6.9854018162288822</v>
      </c>
      <c r="F114" s="74">
        <f t="shared" si="36"/>
        <v>7.1800208116545265</v>
      </c>
      <c r="G114" s="74">
        <f t="shared" si="36"/>
        <v>6.8154708295807076</v>
      </c>
      <c r="H114" s="74">
        <f t="shared" si="36"/>
        <v>7.4704387372926684</v>
      </c>
      <c r="I114" s="74">
        <f t="shared" si="36"/>
        <v>7.4566500077974691</v>
      </c>
      <c r="J114" s="74">
        <f t="shared" si="36"/>
        <v>7.4545548226203717</v>
      </c>
      <c r="K114" s="74">
        <f t="shared" si="36"/>
        <v>7.4184467282594611</v>
      </c>
      <c r="L114" s="74">
        <f t="shared" si="36"/>
        <v>4.9229559116096215</v>
      </c>
      <c r="M114" s="74">
        <f t="shared" si="36"/>
        <v>3.8482966443642503</v>
      </c>
      <c r="N114" s="74">
        <f t="shared" si="32"/>
        <v>3.0129865137419891</v>
      </c>
      <c r="O114" s="75">
        <f t="shared" si="32"/>
        <v>2.2406748448341447</v>
      </c>
      <c r="AG114" s="74">
        <f t="shared" si="37"/>
        <v>6.2201808229302351</v>
      </c>
      <c r="AH114" s="74">
        <f t="shared" si="38"/>
        <v>7.4566500077974691</v>
      </c>
      <c r="AI114" s="74">
        <f t="shared" si="39"/>
        <v>3.8482966443642503</v>
      </c>
      <c r="AJ114" s="74">
        <f t="shared" si="33"/>
        <v>7.4184467282594611</v>
      </c>
      <c r="AK114" s="74">
        <f t="shared" si="34"/>
        <v>6.2201808229302351</v>
      </c>
      <c r="AL114" s="74">
        <f t="shared" si="34"/>
        <v>7.4566500077974691</v>
      </c>
      <c r="AM114" s="74">
        <f t="shared" si="34"/>
        <v>7.4566500077974691</v>
      </c>
      <c r="AN114" s="74">
        <f t="shared" si="34"/>
        <v>7.4566500077974691</v>
      </c>
      <c r="AO114" s="74">
        <f t="shared" si="35"/>
        <v>7.4566500077974691</v>
      </c>
      <c r="AP114" s="74">
        <f t="shared" si="35"/>
        <v>7.4566500077974691</v>
      </c>
      <c r="AQ114" s="74">
        <f t="shared" si="35"/>
        <v>7.4566500077974691</v>
      </c>
      <c r="AR114" s="74">
        <f t="shared" si="35"/>
        <v>7.4566500077974691</v>
      </c>
      <c r="AS114" s="74">
        <f t="shared" si="35"/>
        <v>7.4566500077974691</v>
      </c>
      <c r="AT114" s="74">
        <f t="shared" si="35"/>
        <v>7.4566500077974691</v>
      </c>
      <c r="AU114" s="74">
        <f t="shared" si="35"/>
        <v>7.4566500077974691</v>
      </c>
      <c r="AV114" s="74">
        <f t="shared" si="35"/>
        <v>7.4566500077974691</v>
      </c>
      <c r="AW114" s="74">
        <f t="shared" si="35"/>
        <v>7.4566500077974691</v>
      </c>
      <c r="AX114" s="74">
        <f t="shared" si="35"/>
        <v>7.4566500077974691</v>
      </c>
    </row>
    <row r="115" spans="1:50" x14ac:dyDescent="0.2">
      <c r="A115" s="61" t="s">
        <v>13</v>
      </c>
      <c r="B115" s="74">
        <f t="shared" si="36"/>
        <v>7.1858043701422503</v>
      </c>
      <c r="C115" s="74">
        <f t="shared" si="36"/>
        <v>7.2325805322128858</v>
      </c>
      <c r="D115" s="74">
        <f t="shared" si="36"/>
        <v>6.9746628398605068</v>
      </c>
      <c r="E115" s="74">
        <f t="shared" si="36"/>
        <v>6.903167694932006</v>
      </c>
      <c r="F115" s="74">
        <f t="shared" si="36"/>
        <v>7.1371746789407888</v>
      </c>
      <c r="G115" s="74">
        <f t="shared" si="36"/>
        <v>6.854385594710557</v>
      </c>
      <c r="H115" s="74">
        <f t="shared" si="36"/>
        <v>7.51294504876972</v>
      </c>
      <c r="I115" s="74">
        <f t="shared" si="36"/>
        <v>7.5047015393188001</v>
      </c>
      <c r="J115" s="74">
        <f t="shared" si="36"/>
        <v>7.4349510876118714</v>
      </c>
      <c r="K115" s="74">
        <f t="shared" si="36"/>
        <v>7.3883134528693963</v>
      </c>
      <c r="L115" s="74">
        <f t="shared" si="36"/>
        <v>4.1296951885733968</v>
      </c>
      <c r="M115" s="74">
        <f t="shared" si="36"/>
        <v>3.9929315516324824</v>
      </c>
      <c r="N115" s="74">
        <f t="shared" si="32"/>
        <v>2.7402426339863526</v>
      </c>
      <c r="O115" s="75">
        <f t="shared" si="32"/>
        <v>2.6099078340594906</v>
      </c>
      <c r="AG115" s="74">
        <f t="shared" si="37"/>
        <v>6.0901185640011892</v>
      </c>
      <c r="AH115" s="74">
        <f t="shared" si="38"/>
        <v>7.5047015393188001</v>
      </c>
      <c r="AI115" s="74">
        <f t="shared" si="39"/>
        <v>3.9929315516324824</v>
      </c>
      <c r="AJ115" s="74">
        <f t="shared" si="33"/>
        <v>7.3883134528693963</v>
      </c>
      <c r="AK115" s="74">
        <f t="shared" si="34"/>
        <v>6.0901185640011892</v>
      </c>
      <c r="AL115" s="74">
        <f t="shared" si="34"/>
        <v>7.5047015393188001</v>
      </c>
      <c r="AM115" s="74">
        <f t="shared" si="34"/>
        <v>7.5047015393188001</v>
      </c>
      <c r="AN115" s="74">
        <f t="shared" si="34"/>
        <v>7.5047015393188001</v>
      </c>
      <c r="AO115" s="74">
        <f t="shared" si="35"/>
        <v>7.5047015393188001</v>
      </c>
      <c r="AP115" s="74">
        <f t="shared" si="35"/>
        <v>7.5047015393188001</v>
      </c>
      <c r="AQ115" s="74">
        <f t="shared" si="35"/>
        <v>7.5047015393188001</v>
      </c>
      <c r="AR115" s="74">
        <f t="shared" si="35"/>
        <v>7.5047015393188001</v>
      </c>
      <c r="AS115" s="74">
        <f t="shared" si="35"/>
        <v>7.5047015393188001</v>
      </c>
      <c r="AT115" s="74">
        <f t="shared" si="35"/>
        <v>7.5047015393188001</v>
      </c>
      <c r="AU115" s="74">
        <f t="shared" si="35"/>
        <v>7.5047015393188001</v>
      </c>
      <c r="AV115" s="74">
        <f t="shared" si="35"/>
        <v>7.5047015393188001</v>
      </c>
      <c r="AW115" s="74">
        <f t="shared" si="35"/>
        <v>7.5047015393188001</v>
      </c>
      <c r="AX115" s="74">
        <f t="shared" si="35"/>
        <v>7.5047015393188001</v>
      </c>
    </row>
    <row r="116" spans="1:50" x14ac:dyDescent="0.2">
      <c r="A116" s="61" t="s">
        <v>14</v>
      </c>
      <c r="B116" s="74">
        <f t="shared" si="36"/>
        <v>7.2971395213076473</v>
      </c>
      <c r="C116" s="74">
        <f t="shared" si="36"/>
        <v>7.1953871338170972</v>
      </c>
      <c r="D116" s="74">
        <f t="shared" si="36"/>
        <v>6.6981503345139712</v>
      </c>
      <c r="E116" s="74">
        <f t="shared" si="36"/>
        <v>7.1080160459245416</v>
      </c>
      <c r="F116" s="74">
        <f t="shared" si="36"/>
        <v>7.4434775927313241</v>
      </c>
      <c r="G116" s="74">
        <f t="shared" si="36"/>
        <v>6.8789323589697888</v>
      </c>
      <c r="H116" s="74">
        <f t="shared" si="36"/>
        <v>7.1548739256181504</v>
      </c>
      <c r="I116" s="74">
        <f t="shared" si="36"/>
        <v>7.4016959875416681</v>
      </c>
      <c r="J116" s="74">
        <f t="shared" si="36"/>
        <v>7.3229205059689271</v>
      </c>
      <c r="K116" s="74">
        <f t="shared" si="36"/>
        <v>7.2783044223517779</v>
      </c>
      <c r="L116" s="74">
        <f t="shared" si="36"/>
        <v>5.035395491746935</v>
      </c>
      <c r="M116" s="74">
        <f t="shared" si="36"/>
        <v>3.619391939088596</v>
      </c>
      <c r="N116" s="75">
        <f t="shared" si="32"/>
        <v>2.6684861966740892</v>
      </c>
      <c r="O116" s="75">
        <f t="shared" si="32"/>
        <v>2.4934660701292879</v>
      </c>
      <c r="AG116" s="74">
        <f t="shared" si="37"/>
        <v>6.1315416693395814</v>
      </c>
      <c r="AH116" s="74">
        <f t="shared" si="38"/>
        <v>7.4016959875416681</v>
      </c>
      <c r="AI116" s="74">
        <f t="shared" si="39"/>
        <v>3.619391939088596</v>
      </c>
      <c r="AJ116" s="74">
        <f t="shared" si="33"/>
        <v>7.2783044223517779</v>
      </c>
      <c r="AK116" s="74">
        <f t="shared" si="34"/>
        <v>6.1315416693395814</v>
      </c>
      <c r="AL116" s="74">
        <f t="shared" si="34"/>
        <v>7.4016959875416681</v>
      </c>
      <c r="AM116" s="74">
        <f t="shared" si="34"/>
        <v>7.4016959875416681</v>
      </c>
      <c r="AN116" s="74">
        <f t="shared" si="34"/>
        <v>7.4016959875416681</v>
      </c>
      <c r="AO116" s="74">
        <f t="shared" si="35"/>
        <v>7.4016959875416681</v>
      </c>
      <c r="AP116" s="74">
        <f t="shared" si="35"/>
        <v>7.4016959875416681</v>
      </c>
      <c r="AQ116" s="74">
        <f t="shared" si="35"/>
        <v>7.4016959875416681</v>
      </c>
      <c r="AR116" s="74">
        <f t="shared" si="35"/>
        <v>7.4016959875416681</v>
      </c>
      <c r="AS116" s="74">
        <f t="shared" si="35"/>
        <v>7.4016959875416681</v>
      </c>
      <c r="AT116" s="74">
        <f t="shared" si="35"/>
        <v>7.4016959875416681</v>
      </c>
      <c r="AU116" s="74">
        <f t="shared" si="35"/>
        <v>7.4016959875416681</v>
      </c>
      <c r="AV116" s="74">
        <f t="shared" si="35"/>
        <v>7.4016959875416681</v>
      </c>
      <c r="AW116" s="74">
        <f t="shared" si="35"/>
        <v>7.4016959875416681</v>
      </c>
      <c r="AX116" s="74">
        <f t="shared" si="35"/>
        <v>7.4016959875416681</v>
      </c>
    </row>
    <row r="117" spans="1:50" x14ac:dyDescent="0.2">
      <c r="A117" s="61" t="s">
        <v>15</v>
      </c>
      <c r="B117" s="74">
        <f t="shared" si="36"/>
        <v>7.2814612288296496</v>
      </c>
      <c r="C117" s="74">
        <f t="shared" si="36"/>
        <v>7.1880314625850348</v>
      </c>
      <c r="D117" s="74">
        <f t="shared" si="36"/>
        <v>6.6582256374432411</v>
      </c>
      <c r="E117" s="74">
        <f t="shared" si="36"/>
        <v>6.9008587041373932</v>
      </c>
      <c r="F117" s="74">
        <f t="shared" si="36"/>
        <v>7.4293228139381986</v>
      </c>
      <c r="G117" s="74">
        <f t="shared" si="36"/>
        <v>6.9622570845990603</v>
      </c>
      <c r="H117" s="74">
        <f t="shared" si="36"/>
        <v>7.5055205581521367</v>
      </c>
      <c r="I117" s="74">
        <f t="shared" si="36"/>
        <v>7.3903123903123902</v>
      </c>
      <c r="J117" s="74">
        <f t="shared" si="36"/>
        <v>7.0210194645714123</v>
      </c>
      <c r="K117" s="74">
        <f t="shared" si="36"/>
        <v>7.285402311393109</v>
      </c>
      <c r="L117" s="74">
        <f t="shared" si="36"/>
        <v>4.5421230545879645</v>
      </c>
      <c r="M117" s="74">
        <f t="shared" si="36"/>
        <v>3.9198072394271999</v>
      </c>
      <c r="N117" s="75">
        <f t="shared" si="32"/>
        <v>2.8589056693536108</v>
      </c>
      <c r="O117" s="75">
        <f t="shared" si="32"/>
        <v>2.1884663539284182</v>
      </c>
      <c r="AG117" s="74">
        <f t="shared" si="37"/>
        <v>6.0317328920584155</v>
      </c>
      <c r="AH117" s="74">
        <f t="shared" si="38"/>
        <v>7.3903123903123902</v>
      </c>
      <c r="AI117" s="74">
        <f t="shared" si="39"/>
        <v>3.9198072394271999</v>
      </c>
      <c r="AJ117" s="74">
        <f t="shared" si="33"/>
        <v>7.285402311393109</v>
      </c>
      <c r="AK117" s="74">
        <f t="shared" si="34"/>
        <v>6.0317328920584155</v>
      </c>
      <c r="AL117" s="74">
        <f t="shared" si="34"/>
        <v>7.3903123903123902</v>
      </c>
      <c r="AM117" s="74">
        <f t="shared" si="34"/>
        <v>7.3903123903123902</v>
      </c>
      <c r="AN117" s="74">
        <f t="shared" si="34"/>
        <v>7.3903123903123902</v>
      </c>
      <c r="AO117" s="74">
        <f t="shared" si="35"/>
        <v>7.3903123903123902</v>
      </c>
      <c r="AP117" s="74">
        <f t="shared" si="35"/>
        <v>7.3903123903123902</v>
      </c>
      <c r="AQ117" s="74">
        <f t="shared" si="35"/>
        <v>7.3903123903123902</v>
      </c>
      <c r="AR117" s="74">
        <f t="shared" si="35"/>
        <v>7.3903123903123902</v>
      </c>
      <c r="AS117" s="74">
        <f t="shared" si="35"/>
        <v>7.3903123903123902</v>
      </c>
      <c r="AT117" s="74">
        <f t="shared" si="35"/>
        <v>7.3903123903123902</v>
      </c>
      <c r="AU117" s="74">
        <f t="shared" si="35"/>
        <v>7.3903123903123902</v>
      </c>
      <c r="AV117" s="74">
        <f t="shared" si="35"/>
        <v>7.3903123903123902</v>
      </c>
      <c r="AW117" s="74">
        <f t="shared" si="35"/>
        <v>7.3903123903123902</v>
      </c>
      <c r="AX117" s="74">
        <f t="shared" si="35"/>
        <v>7.3903123903123902</v>
      </c>
    </row>
    <row r="118" spans="1:50" x14ac:dyDescent="0.2">
      <c r="A118" s="61" t="s">
        <v>16</v>
      </c>
      <c r="B118" s="74">
        <f t="shared" si="36"/>
        <v>7.3223355099858702</v>
      </c>
      <c r="C118" s="74">
        <f t="shared" si="36"/>
        <v>7.1446039897984139</v>
      </c>
      <c r="D118" s="74">
        <f t="shared" si="36"/>
        <v>6.6558441558441555</v>
      </c>
      <c r="E118" s="74">
        <f t="shared" si="36"/>
        <v>7.0844736361977727</v>
      </c>
      <c r="F118" s="74">
        <f t="shared" si="36"/>
        <v>7.0153567178557257</v>
      </c>
      <c r="G118" s="74">
        <f t="shared" si="36"/>
        <v>7.3054298010283931</v>
      </c>
      <c r="H118" s="74">
        <f t="shared" si="36"/>
        <v>7.6063419974859068</v>
      </c>
      <c r="I118" s="74">
        <f t="shared" si="36"/>
        <v>7.461815523960829</v>
      </c>
      <c r="J118" s="74">
        <f t="shared" si="36"/>
        <v>7.5101404824387998</v>
      </c>
      <c r="K118" s="74">
        <f t="shared" si="36"/>
        <v>7.332933844692926</v>
      </c>
      <c r="L118" s="74">
        <f t="shared" si="36"/>
        <v>3.9493966536109415</v>
      </c>
      <c r="M118" s="74">
        <f t="shared" si="36"/>
        <v>3.4325589656981772</v>
      </c>
      <c r="N118" s="75">
        <f t="shared" si="32"/>
        <v>2.7405501625354032</v>
      </c>
      <c r="O118" s="75">
        <f t="shared" si="32"/>
        <v>2.268200807731632</v>
      </c>
      <c r="AG118" s="74">
        <f t="shared" si="37"/>
        <v>5.9373690940803341</v>
      </c>
      <c r="AH118" s="74">
        <f t="shared" si="38"/>
        <v>7.5101404824387998</v>
      </c>
      <c r="AI118" s="74">
        <f t="shared" si="39"/>
        <v>3.4325589656981772</v>
      </c>
      <c r="AJ118" s="74">
        <f t="shared" si="33"/>
        <v>7.332933844692926</v>
      </c>
      <c r="AK118" s="74">
        <f t="shared" si="34"/>
        <v>5.9373690940803341</v>
      </c>
      <c r="AL118" s="74">
        <f t="shared" si="34"/>
        <v>7.5101404824387998</v>
      </c>
      <c r="AM118" s="74">
        <f t="shared" si="34"/>
        <v>7.5101404824387998</v>
      </c>
      <c r="AN118" s="74">
        <f t="shared" si="34"/>
        <v>7.5101404824387998</v>
      </c>
      <c r="AO118" s="74">
        <f t="shared" si="35"/>
        <v>7.5101404824387998</v>
      </c>
      <c r="AP118" s="74">
        <f t="shared" si="35"/>
        <v>7.5101404824387998</v>
      </c>
      <c r="AQ118" s="74">
        <f t="shared" si="35"/>
        <v>7.5101404824387998</v>
      </c>
      <c r="AR118" s="74">
        <f t="shared" si="35"/>
        <v>7.5101404824387998</v>
      </c>
      <c r="AS118" s="74">
        <f t="shared" si="35"/>
        <v>7.5101404824387998</v>
      </c>
      <c r="AT118" s="74">
        <f t="shared" si="35"/>
        <v>7.5101404824387998</v>
      </c>
      <c r="AU118" s="74">
        <f t="shared" si="35"/>
        <v>7.5101404824387998</v>
      </c>
      <c r="AV118" s="74">
        <f t="shared" si="35"/>
        <v>7.5101404824387998</v>
      </c>
      <c r="AW118" s="74">
        <f t="shared" si="35"/>
        <v>7.5101404824387998</v>
      </c>
      <c r="AX118" s="74">
        <f t="shared" si="35"/>
        <v>7.5101404824387998</v>
      </c>
    </row>
    <row r="119" spans="1:50" x14ac:dyDescent="0.2">
      <c r="A119" s="61" t="s">
        <v>17</v>
      </c>
      <c r="B119" s="74">
        <f t="shared" si="36"/>
        <v>7.2781800892399975</v>
      </c>
      <c r="C119" s="74">
        <f t="shared" si="36"/>
        <v>7.2986520354941407</v>
      </c>
      <c r="D119" s="74">
        <f t="shared" si="36"/>
        <v>6.7794603075921076</v>
      </c>
      <c r="E119" s="74">
        <f t="shared" si="36"/>
        <v>7.0011912811101453</v>
      </c>
      <c r="F119" s="74">
        <f t="shared" si="36"/>
        <v>6.9827697888327505</v>
      </c>
      <c r="G119" s="74">
        <f t="shared" si="36"/>
        <v>7.157316649287452</v>
      </c>
      <c r="H119" s="74">
        <f t="shared" si="36"/>
        <v>7.5403373298110132</v>
      </c>
      <c r="I119" s="74">
        <f t="shared" si="36"/>
        <v>7.4741650067606837</v>
      </c>
      <c r="J119" s="74">
        <f t="shared" si="36"/>
        <v>7.4544808010056602</v>
      </c>
      <c r="K119" s="74">
        <f t="shared" si="36"/>
        <v>7.3095728940422386</v>
      </c>
      <c r="L119" s="74">
        <f t="shared" si="36"/>
        <v>4.0455371126677839</v>
      </c>
      <c r="M119" s="74">
        <f t="shared" si="36"/>
        <v>3.3433376095131493</v>
      </c>
      <c r="N119" s="75">
        <f t="shared" si="32"/>
        <v>2.3152164001953643</v>
      </c>
      <c r="O119" s="75">
        <f t="shared" si="32"/>
        <v>1.738838943929542</v>
      </c>
      <c r="AG119" s="74">
        <f t="shared" si="37"/>
        <v>5.9254186847979033</v>
      </c>
      <c r="AH119" s="74">
        <f t="shared" si="38"/>
        <v>7.4741650067606837</v>
      </c>
      <c r="AI119" s="74">
        <f t="shared" si="39"/>
        <v>3.3433376095131493</v>
      </c>
      <c r="AJ119" s="74">
        <f t="shared" si="33"/>
        <v>7.3095728940422386</v>
      </c>
      <c r="AK119" s="74">
        <f t="shared" si="34"/>
        <v>5.9254186847979033</v>
      </c>
      <c r="AL119" s="74">
        <f t="shared" si="34"/>
        <v>7.4741650067606837</v>
      </c>
      <c r="AM119" s="74">
        <f t="shared" si="34"/>
        <v>7.4741650067606837</v>
      </c>
      <c r="AN119" s="74">
        <f t="shared" si="34"/>
        <v>7.4741650067606837</v>
      </c>
      <c r="AO119" s="74">
        <f t="shared" si="35"/>
        <v>7.4741650067606837</v>
      </c>
      <c r="AP119" s="74">
        <f t="shared" si="35"/>
        <v>7.4741650067606837</v>
      </c>
      <c r="AQ119" s="74">
        <f t="shared" si="35"/>
        <v>7.4741650067606837</v>
      </c>
      <c r="AR119" s="74">
        <f t="shared" si="35"/>
        <v>7.4741650067606837</v>
      </c>
      <c r="AS119" s="74">
        <f t="shared" si="35"/>
        <v>7.4741650067606837</v>
      </c>
      <c r="AT119" s="74">
        <f t="shared" si="35"/>
        <v>7.4741650067606837</v>
      </c>
      <c r="AU119" s="74">
        <f t="shared" si="35"/>
        <v>7.4741650067606837</v>
      </c>
      <c r="AV119" s="74">
        <f t="shared" si="35"/>
        <v>7.4741650067606837</v>
      </c>
      <c r="AW119" s="74">
        <f t="shared" si="35"/>
        <v>7.4741650067606837</v>
      </c>
      <c r="AX119" s="74">
        <f t="shared" si="35"/>
        <v>7.4741650067606837</v>
      </c>
    </row>
    <row r="120" spans="1:50" ht="12" thickBot="1" x14ac:dyDescent="0.25">
      <c r="A120" s="64" t="s">
        <v>24</v>
      </c>
      <c r="B120" s="76">
        <f>AVERAGE(B108:B119)</f>
        <v>7.1789626035295404</v>
      </c>
      <c r="C120" s="76">
        <f t="shared" ref="C120:N120" si="40">AVERAGE(C108:C119)</f>
        <v>7.188611592557467</v>
      </c>
      <c r="D120" s="76">
        <f t="shared" si="40"/>
        <v>6.9238507330517303</v>
      </c>
      <c r="E120" s="76">
        <f t="shared" si="40"/>
        <v>6.8880899270956562</v>
      </c>
      <c r="F120" s="76">
        <f t="shared" si="40"/>
        <v>7.170315498821008</v>
      </c>
      <c r="G120" s="76">
        <f t="shared" si="40"/>
        <v>6.8226806760579644</v>
      </c>
      <c r="H120" s="76">
        <f t="shared" si="40"/>
        <v>7.4685528259341361</v>
      </c>
      <c r="I120" s="76">
        <f t="shared" si="40"/>
        <v>7.4084503711091969</v>
      </c>
      <c r="J120" s="76">
        <f t="shared" si="40"/>
        <v>7.4113227339323826</v>
      </c>
      <c r="K120" s="76">
        <f t="shared" si="40"/>
        <v>7.3626167917139016</v>
      </c>
      <c r="L120" s="76">
        <f t="shared" si="40"/>
        <v>4.7665979165123007</v>
      </c>
      <c r="M120" s="76">
        <f t="shared" si="40"/>
        <v>3.8160531197358716</v>
      </c>
      <c r="N120" s="77">
        <f t="shared" si="40"/>
        <v>2.863359747505521</v>
      </c>
      <c r="O120" s="77">
        <f>AVERAGE(O108:O119)</f>
        <v>2.3761240544989994</v>
      </c>
      <c r="AG120" s="76">
        <f t="shared" ref="AG120:AX120" si="41">AVERAGE(AG108:AG119)</f>
        <v>6.153008186600732</v>
      </c>
      <c r="AH120" s="76">
        <f t="shared" si="41"/>
        <v>7.4648311037574979</v>
      </c>
      <c r="AI120" s="76">
        <f t="shared" si="41"/>
        <v>3.8160531197358716</v>
      </c>
      <c r="AJ120" s="76">
        <f t="shared" si="41"/>
        <v>7.3626167917139016</v>
      </c>
      <c r="AK120" s="76">
        <f t="shared" si="41"/>
        <v>6.153008186600732</v>
      </c>
      <c r="AL120" s="76">
        <f t="shared" si="41"/>
        <v>7.4648311037574979</v>
      </c>
      <c r="AM120" s="76">
        <f t="shared" si="41"/>
        <v>7.4648311037574979</v>
      </c>
      <c r="AN120" s="76">
        <f t="shared" si="41"/>
        <v>7.4648311037574979</v>
      </c>
      <c r="AO120" s="76">
        <f t="shared" si="41"/>
        <v>7.4648311037574979</v>
      </c>
      <c r="AP120" s="76">
        <f t="shared" si="41"/>
        <v>7.4648311037574979</v>
      </c>
      <c r="AQ120" s="76">
        <f t="shared" si="41"/>
        <v>7.4648311037574979</v>
      </c>
      <c r="AR120" s="76">
        <f t="shared" si="41"/>
        <v>7.4648311037574979</v>
      </c>
      <c r="AS120" s="76">
        <f t="shared" si="41"/>
        <v>7.4648311037574979</v>
      </c>
      <c r="AT120" s="76">
        <f t="shared" si="41"/>
        <v>7.4648311037574979</v>
      </c>
      <c r="AU120" s="76">
        <f t="shared" si="41"/>
        <v>7.4648311037574979</v>
      </c>
      <c r="AV120" s="76">
        <f t="shared" si="41"/>
        <v>7.4648311037574979</v>
      </c>
      <c r="AW120" s="76">
        <f t="shared" si="41"/>
        <v>7.4648311037574979</v>
      </c>
      <c r="AX120" s="76">
        <f t="shared" si="41"/>
        <v>7.4648311037574979</v>
      </c>
    </row>
    <row r="121" spans="1:50" ht="12" thickTop="1" x14ac:dyDescent="0.2">
      <c r="A121" s="67" t="s">
        <v>25</v>
      </c>
      <c r="B121" s="78">
        <f>MAX(B108:B119)</f>
        <v>7.3345127524694087</v>
      </c>
      <c r="C121" s="78">
        <f t="shared" ref="C121:M121" si="42">MAX(C108:C119)</f>
        <v>7.3563405944902227</v>
      </c>
      <c r="D121" s="78">
        <f t="shared" si="42"/>
        <v>7.3051948051948052</v>
      </c>
      <c r="E121" s="78">
        <f t="shared" si="42"/>
        <v>7.1080160459245416</v>
      </c>
      <c r="F121" s="78">
        <f t="shared" si="42"/>
        <v>7.4434775927313241</v>
      </c>
      <c r="G121" s="78">
        <f t="shared" si="42"/>
        <v>7.3054298010283931</v>
      </c>
      <c r="H121" s="78">
        <f t="shared" si="42"/>
        <v>7.6084721365412307</v>
      </c>
      <c r="I121" s="78">
        <f t="shared" si="42"/>
        <v>7.5047015393188001</v>
      </c>
      <c r="J121" s="78">
        <f t="shared" si="42"/>
        <v>7.5407478427612666</v>
      </c>
      <c r="K121" s="78">
        <f t="shared" si="42"/>
        <v>7.4787210770756793</v>
      </c>
      <c r="L121" s="78">
        <f t="shared" si="42"/>
        <v>5.571804606543898</v>
      </c>
      <c r="M121" s="78">
        <f t="shared" si="42"/>
        <v>4.234745158981692</v>
      </c>
      <c r="N121" s="79">
        <f>MAX(N108:N119)</f>
        <v>3.1055586456408268</v>
      </c>
      <c r="O121" s="79">
        <f>MAX(O108:O119)</f>
        <v>2.6984178900170104</v>
      </c>
    </row>
    <row r="122" spans="1:50" x14ac:dyDescent="0.2">
      <c r="A122" s="61" t="s">
        <v>26</v>
      </c>
      <c r="B122" s="74">
        <f>MIN(B108:B119)</f>
        <v>6.8962045706231754</v>
      </c>
      <c r="C122" s="74">
        <f t="shared" ref="C122:M122" si="43">MIN(C108:C119)</f>
        <v>6.8618890903799219</v>
      </c>
      <c r="D122" s="74">
        <f t="shared" si="43"/>
        <v>6.6189236111111107</v>
      </c>
      <c r="E122" s="74">
        <f t="shared" si="43"/>
        <v>6.0936939917831632</v>
      </c>
      <c r="F122" s="74">
        <f t="shared" si="43"/>
        <v>6.8302847881454039</v>
      </c>
      <c r="G122" s="74">
        <f t="shared" si="43"/>
        <v>6.375160200396131</v>
      </c>
      <c r="H122" s="74">
        <f t="shared" si="43"/>
        <v>7.1548739256181504</v>
      </c>
      <c r="I122" s="74">
        <f t="shared" si="43"/>
        <v>7.2511912341920404</v>
      </c>
      <c r="J122" s="74">
        <f t="shared" si="43"/>
        <v>7.0210194645714123</v>
      </c>
      <c r="K122" s="74">
        <f t="shared" si="43"/>
        <v>7.2362239022786525</v>
      </c>
      <c r="L122" s="74">
        <f t="shared" si="43"/>
        <v>3.9493966536109415</v>
      </c>
      <c r="M122" s="74">
        <f t="shared" si="43"/>
        <v>3.3433376095131493</v>
      </c>
      <c r="N122" s="75">
        <f>MIN(N108:N119)</f>
        <v>2.3152164001953643</v>
      </c>
      <c r="O122" s="75">
        <f>MIN(O108:O119)</f>
        <v>1.738838943929542</v>
      </c>
    </row>
    <row r="124" spans="1:50" ht="12" thickBot="1" x14ac:dyDescent="0.25">
      <c r="A124" s="61" t="s">
        <v>34</v>
      </c>
    </row>
    <row r="125" spans="1:50" ht="12.75" thickTop="1" thickBot="1" x14ac:dyDescent="0.25">
      <c r="A125" s="62"/>
      <c r="B125" s="63">
        <f>B2</f>
        <v>2011</v>
      </c>
      <c r="C125" s="63">
        <f t="shared" ref="C125:N125" si="44">C2</f>
        <v>2012</v>
      </c>
      <c r="D125" s="63">
        <f t="shared" si="44"/>
        <v>2013</v>
      </c>
      <c r="E125" s="63">
        <f t="shared" si="44"/>
        <v>2014</v>
      </c>
      <c r="F125" s="63">
        <f t="shared" si="44"/>
        <v>2015</v>
      </c>
      <c r="G125" s="63">
        <f t="shared" si="44"/>
        <v>2016</v>
      </c>
      <c r="H125" s="63">
        <f t="shared" si="44"/>
        <v>2017</v>
      </c>
      <c r="I125" s="63">
        <f t="shared" si="44"/>
        <v>2018</v>
      </c>
      <c r="J125" s="63">
        <f t="shared" si="44"/>
        <v>2019</v>
      </c>
      <c r="K125" s="63">
        <f t="shared" si="44"/>
        <v>2020</v>
      </c>
      <c r="L125" s="63">
        <f t="shared" si="44"/>
        <v>2021</v>
      </c>
      <c r="M125" s="63">
        <f t="shared" si="44"/>
        <v>2022</v>
      </c>
      <c r="N125" s="63">
        <f t="shared" si="44"/>
        <v>2023</v>
      </c>
      <c r="O125" s="63">
        <f>O2</f>
        <v>2024</v>
      </c>
    </row>
    <row r="126" spans="1:50" ht="12" thickTop="1" x14ac:dyDescent="0.2">
      <c r="A126" s="61" t="s">
        <v>6</v>
      </c>
      <c r="B126" s="35">
        <f>'[2]US EIA'!$D150+'[2]US EIA'!$E150+'[2]US EIA'!$G150+'[2]US EIA'!$K150+'[2]US EIA'!$N150+'[2]US EIA'!$O150</f>
        <v>10</v>
      </c>
      <c r="C126" s="35">
        <f>'[2]US EIA'!$D162+'[2]US EIA'!$E162+'[2]US EIA'!$G162+'[2]US EIA'!$K162+'[2]US EIA'!$N162+'[2]US EIA'!$O162</f>
        <v>3</v>
      </c>
      <c r="D126" s="35">
        <f>'[2]US EIA'!$D174+'[2]US EIA'!$E174+'[2]US EIA'!$G174+'[2]US EIA'!$K174+'[2]US EIA'!$N174+'[2]US EIA'!$O174</f>
        <v>6</v>
      </c>
      <c r="E126" s="35">
        <f>'[2]US EIA'!$D186+'[2]US EIA'!$E186+'[2]US EIA'!$G186+'[2]US EIA'!$K186+'[2]US EIA'!$N186+'[2]US EIA'!$O186</f>
        <v>42</v>
      </c>
      <c r="F126" s="35">
        <f>'[2]US EIA'!$D198+'[2]US EIA'!$E198+'[2]US EIA'!$G198+'[2]US EIA'!$K198+'[2]US EIA'!$N198+'[2]US EIA'!$O198</f>
        <v>6</v>
      </c>
      <c r="G126" s="35">
        <f>'[2]US EIA'!$D210+'[2]US EIA'!$E210+'[2]US EIA'!$G210+'[2]US EIA'!$K210+'[2]US EIA'!$N210+'[2]US EIA'!$O210</f>
        <v>10.15</v>
      </c>
      <c r="H126" s="35">
        <f>'[2]US EIA'!$D222+'[2]US EIA'!$E222+'[2]US EIA'!$G222+'[2]US EIA'!$K222+'[2]US EIA'!$N222+'[2]US EIA'!$O222</f>
        <v>3.3899999999999997</v>
      </c>
      <c r="I126" s="35">
        <f>'[2]US EIA'!$D234+'[2]US EIA'!$E234+'[2]US EIA'!$G234+'[2]US EIA'!$K234+'[2]US EIA'!$N234+'[2]US EIA'!$O234</f>
        <v>8.99</v>
      </c>
      <c r="J126" s="35">
        <f>'[2]US EIA'!$D246+'[2]US EIA'!$E246+'[2]US EIA'!$G246+'[2]US EIA'!$K246+'[2]US EIA'!$N246+'[2]US EIA'!$O246</f>
        <v>7.91</v>
      </c>
      <c r="K126" s="35">
        <f>'[2]US EIA'!$D258+'[2]US EIA'!$E258+'[2]US EIA'!$G258+'[2]US EIA'!$K258+'[2]US EIA'!$N258+'[2]US EIA'!$O258</f>
        <v>11.243356236024706</v>
      </c>
      <c r="L126" s="35">
        <f>'[2]US EIA'!$D270+'[2]US EIA'!$E270+'[2]US EIA'!$G270+'[2]US EIA'!$K270+'[2]US EIA'!$N270+'[2]US EIA'!$O270</f>
        <v>25.889000000000003</v>
      </c>
      <c r="M126" s="35">
        <f>'[2]US EIA'!$D282+'[2]US EIA'!$E282+'[2]US EIA'!$G282+'[2]US EIA'!$K282+'[2]US EIA'!$N282+'[2]US EIA'!$O282</f>
        <v>39</v>
      </c>
      <c r="N126" s="35">
        <f>'[2]US EIA'!$D294+'[2]US EIA'!$E294+'[2]US EIA'!$G294+'[2]US EIA'!$K294+'[2]US EIA'!$N294+'[2]US EIA'!$O294</f>
        <v>58.634</v>
      </c>
      <c r="O126" s="35">
        <f>'[2]US EIA'!$D294+'[2]US EIA'!$E294+'[2]US EIA'!$G294+'[2]US EIA'!$K294+'[2]US EIA'!$N294+'[2]US EIA'!$O294</f>
        <v>58.634</v>
      </c>
    </row>
    <row r="127" spans="1:50" x14ac:dyDescent="0.2">
      <c r="A127" s="61" t="s">
        <v>7</v>
      </c>
      <c r="B127" s="35">
        <f>'[2]US EIA'!$D151+'[2]US EIA'!$E151+'[2]US EIA'!$G151+'[2]US EIA'!$K151+'[2]US EIA'!$N151+'[2]US EIA'!$O151</f>
        <v>6</v>
      </c>
      <c r="C127" s="35">
        <f>'[2]US EIA'!$D163+'[2]US EIA'!$E163+'[2]US EIA'!$G163+'[2]US EIA'!$K163+'[2]US EIA'!$N163+'[2]US EIA'!$O163</f>
        <v>4</v>
      </c>
      <c r="D127" s="35">
        <f>'[2]US EIA'!$D175+'[2]US EIA'!$E175+'[2]US EIA'!$G175+'[2]US EIA'!$K175+'[2]US EIA'!$N175+'[2]US EIA'!$O175</f>
        <v>6</v>
      </c>
      <c r="E127" s="35">
        <f>'[2]US EIA'!$D187+'[2]US EIA'!$E187+'[2]US EIA'!$G187+'[2]US EIA'!$K187+'[2]US EIA'!$N187+'[2]US EIA'!$O187</f>
        <v>21</v>
      </c>
      <c r="F127" s="35">
        <f>'[2]US EIA'!$D199+'[2]US EIA'!$E199+'[2]US EIA'!$G199+'[2]US EIA'!$K199+'[2]US EIA'!$N199+'[2]US EIA'!$O199</f>
        <v>7</v>
      </c>
      <c r="G127" s="35">
        <f>'[2]US EIA'!$D211+'[2]US EIA'!$E211+'[2]US EIA'!$G211+'[2]US EIA'!$K211+'[2]US EIA'!$N211+'[2]US EIA'!$O211</f>
        <v>24.97</v>
      </c>
      <c r="H127" s="35">
        <f>'[2]US EIA'!$D223+'[2]US EIA'!$E223+'[2]US EIA'!$G223+'[2]US EIA'!$K223+'[2]US EIA'!$N223+'[2]US EIA'!$O223</f>
        <v>13.969999999999999</v>
      </c>
      <c r="I127" s="35">
        <f>'[2]US EIA'!$D235+'[2]US EIA'!$E235+'[2]US EIA'!$G235+'[2]US EIA'!$K235+'[2]US EIA'!$N235+'[2]US EIA'!$O235</f>
        <v>11.219999999999999</v>
      </c>
      <c r="J127" s="35">
        <f>'[2]US EIA'!$D247+'[2]US EIA'!$E247+'[2]US EIA'!$G247+'[2]US EIA'!$K247+'[2]US EIA'!$N247+'[2]US EIA'!$O247</f>
        <v>8.4499999999999993</v>
      </c>
      <c r="K127" s="35">
        <f>'[2]US EIA'!$D259+'[2]US EIA'!$E259+'[2]US EIA'!$G259+'[2]US EIA'!$K259+'[2]US EIA'!$N259+'[2]US EIA'!$O259</f>
        <v>15.220000000000095</v>
      </c>
      <c r="L127" s="35">
        <f>'[2]US EIA'!$D271+'[2]US EIA'!$E271+'[2]US EIA'!$G271+'[2]US EIA'!$K271+'[2]US EIA'!$N271+'[2]US EIA'!$O271</f>
        <v>14.408000000000001</v>
      </c>
      <c r="M127" s="35">
        <f>'[2]US EIA'!$D283+'[2]US EIA'!$E283+'[2]US EIA'!$G283+'[2]US EIA'!$K283+'[2]US EIA'!$N283+'[2]US EIA'!$O283</f>
        <v>46</v>
      </c>
      <c r="N127" s="35">
        <f>'[2]US EIA'!$D295+'[2]US EIA'!$E295+'[2]US EIA'!$G295+'[2]US EIA'!$K295+'[2]US EIA'!$N295+'[2]US EIA'!$O295</f>
        <v>60.707999999999998</v>
      </c>
      <c r="O127" s="35">
        <f>'[2]US EIA'!$D295+'[2]US EIA'!$E295+'[2]US EIA'!$G295+'[2]US EIA'!$K295+'[2]US EIA'!$N295+'[2]US EIA'!$O295</f>
        <v>60.707999999999998</v>
      </c>
    </row>
    <row r="128" spans="1:50" x14ac:dyDescent="0.2">
      <c r="A128" s="61" t="s">
        <v>8</v>
      </c>
      <c r="B128" s="35">
        <f>'[2]US EIA'!$D152+'[2]US EIA'!$E152+'[2]US EIA'!$G152+'[2]US EIA'!$K152+'[2]US EIA'!$N152+'[2]US EIA'!$O152</f>
        <v>19</v>
      </c>
      <c r="C128" s="35">
        <f>'[2]US EIA'!$D164+'[2]US EIA'!$E164+'[2]US EIA'!$G164+'[2]US EIA'!$K164+'[2]US EIA'!$N164+'[2]US EIA'!$O164</f>
        <v>6</v>
      </c>
      <c r="D128" s="35">
        <f>'[2]US EIA'!$D176+'[2]US EIA'!$E176+'[2]US EIA'!$G176+'[2]US EIA'!$K176+'[2]US EIA'!$N176+'[2]US EIA'!$O176</f>
        <v>27</v>
      </c>
      <c r="E128" s="35">
        <f>'[2]US EIA'!$D188+'[2]US EIA'!$E188+'[2]US EIA'!$G188+'[2]US EIA'!$K188+'[2]US EIA'!$N188+'[2]US EIA'!$O188</f>
        <v>16</v>
      </c>
      <c r="F128" s="35">
        <f>'[2]US EIA'!$D200+'[2]US EIA'!$E200+'[2]US EIA'!$G200+'[2]US EIA'!$K200+'[2]US EIA'!$N200+'[2]US EIA'!$O200</f>
        <v>16.600000000000001</v>
      </c>
      <c r="G128" s="35">
        <f>'[2]US EIA'!$D212+'[2]US EIA'!$E212+'[2]US EIA'!$G212+'[2]US EIA'!$K212+'[2]US EIA'!$N212+'[2]US EIA'!$O212</f>
        <v>21.490000000000002</v>
      </c>
      <c r="H128" s="35">
        <f>'[2]US EIA'!$D224+'[2]US EIA'!$E224+'[2]US EIA'!$G224+'[2]US EIA'!$K224+'[2]US EIA'!$N224+'[2]US EIA'!$O224</f>
        <v>11.73</v>
      </c>
      <c r="I128" s="35">
        <f>'[2]US EIA'!$D236+'[2]US EIA'!$E236+'[2]US EIA'!$G236+'[2]US EIA'!$K236+'[2]US EIA'!$N236+'[2]US EIA'!$O236</f>
        <v>10.07</v>
      </c>
      <c r="J128" s="35">
        <f>'[2]US EIA'!$D248+'[2]US EIA'!$E248+'[2]US EIA'!$G248+'[2]US EIA'!$K248+'[2]US EIA'!$N248+'[2]US EIA'!$O248</f>
        <v>11.659999999999791</v>
      </c>
      <c r="K128" s="35">
        <f>'[2]US EIA'!$D260+'[2]US EIA'!$E260+'[2]US EIA'!$G260+'[2]US EIA'!$K260+'[2]US EIA'!$N260+'[2]US EIA'!$O260</f>
        <v>11.863361292560002</v>
      </c>
      <c r="L128" s="35">
        <f>'[2]US EIA'!$D272+'[2]US EIA'!$E272+'[2]US EIA'!$G272+'[2]US EIA'!$K272+'[2]US EIA'!$N272+'[2]US EIA'!$O272</f>
        <v>16.513999999999999</v>
      </c>
      <c r="M128" s="35">
        <f>'[2]US EIA'!$D284+'[2]US EIA'!$E284+'[2]US EIA'!$G284+'[2]US EIA'!$K284+'[2]US EIA'!$N284+'[2]US EIA'!$O284</f>
        <v>51</v>
      </c>
      <c r="N128" s="35">
        <f>'[2]US EIA'!$D296+'[2]US EIA'!$E296+'[2]US EIA'!$G296+'[2]US EIA'!$K296+'[2]US EIA'!$N296+'[2]US EIA'!$O296</f>
        <v>15.516</v>
      </c>
      <c r="O128" s="35">
        <f>'[2]US EIA'!$D296+'[2]US EIA'!$E296+'[2]US EIA'!$G296+'[2]US EIA'!$K296+'[2]US EIA'!$N296+'[2]US EIA'!$O296</f>
        <v>15.516</v>
      </c>
    </row>
    <row r="129" spans="1:15" x14ac:dyDescent="0.2">
      <c r="A129" s="61" t="s">
        <v>9</v>
      </c>
      <c r="B129" s="35">
        <f>'[2]US EIA'!$D153+'[2]US EIA'!$E153+'[2]US EIA'!$G153+'[2]US EIA'!$K153+'[2]US EIA'!$N153+'[2]US EIA'!$O153</f>
        <v>8</v>
      </c>
      <c r="C129" s="35">
        <f>'[2]US EIA'!$D165+'[2]US EIA'!$E165+'[2]US EIA'!$G165+'[2]US EIA'!$K165+'[2]US EIA'!$N165+'[2]US EIA'!$O165</f>
        <v>5</v>
      </c>
      <c r="D129" s="35">
        <f>'[2]US EIA'!$D177+'[2]US EIA'!$E177+'[2]US EIA'!$G177+'[2]US EIA'!$K177+'[2]US EIA'!$N177+'[2]US EIA'!$O177</f>
        <v>50</v>
      </c>
      <c r="E129" s="35">
        <f>'[2]US EIA'!$D189+'[2]US EIA'!$E189+'[2]US EIA'!$G189+'[2]US EIA'!$K189+'[2]US EIA'!$N189+'[2]US EIA'!$O189</f>
        <v>14</v>
      </c>
      <c r="F129" s="35">
        <f>'[2]US EIA'!$D201+'[2]US EIA'!$E201+'[2]US EIA'!$G201+'[2]US EIA'!$K201+'[2]US EIA'!$N201+'[2]US EIA'!$O201</f>
        <v>16.79</v>
      </c>
      <c r="G129" s="35">
        <f>'[2]US EIA'!$D213+'[2]US EIA'!$E213+'[2]US EIA'!$G213+'[2]US EIA'!$K213+'[2]US EIA'!$N213+'[2]US EIA'!$O213</f>
        <v>19.25</v>
      </c>
      <c r="H129" s="35">
        <f>'[2]US EIA'!$D225+'[2]US EIA'!$E225+'[2]US EIA'!$G225+'[2]US EIA'!$K225+'[2]US EIA'!$N225+'[2]US EIA'!$O225</f>
        <v>14.72</v>
      </c>
      <c r="I129" s="35">
        <f>'[2]US EIA'!$D237+'[2]US EIA'!$E237+'[2]US EIA'!$G237+'[2]US EIA'!$K237+'[2]US EIA'!$N237+'[2]US EIA'!$O237</f>
        <v>9.9470833333333299</v>
      </c>
      <c r="J129" s="35">
        <f>'[2]US EIA'!$D249+'[2]US EIA'!$E249+'[2]US EIA'!$G249+'[2]US EIA'!$K249+'[2]US EIA'!$N249+'[2]US EIA'!$O249</f>
        <v>9.2800000000000189</v>
      </c>
      <c r="K129" s="35">
        <f>'[2]US EIA'!$D261+'[2]US EIA'!$E261+'[2]US EIA'!$G261+'[2]US EIA'!$K261+'[2]US EIA'!$N261+'[2]US EIA'!$O261</f>
        <v>12.550955868903038</v>
      </c>
      <c r="L129" s="35">
        <f>'[2]US EIA'!$D273+'[2]US EIA'!$E273+'[2]US EIA'!$G273+'[2]US EIA'!$K273+'[2]US EIA'!$N273+'[2]US EIA'!$O273</f>
        <v>10.262</v>
      </c>
      <c r="M129" s="35">
        <f>'[2]US EIA'!$D285+'[2]US EIA'!$E285+'[2]US EIA'!$G285+'[2]US EIA'!$K285+'[2]US EIA'!$N285+'[2]US EIA'!$O285</f>
        <v>56</v>
      </c>
      <c r="N129" s="35">
        <f>'[2]US EIA'!$D297+'[2]US EIA'!$E297+'[2]US EIA'!$G297+'[2]US EIA'!$K297+'[2]US EIA'!$N297+'[2]US EIA'!$O297</f>
        <v>19.411999999999999</v>
      </c>
      <c r="O129" s="36">
        <f>'[2]US EIA'!$D297+'[2]US EIA'!$E297+'[2]US EIA'!$G297+'[2]US EIA'!$K297+'[2]US EIA'!$N297+'[2]US EIA'!$O297</f>
        <v>19.411999999999999</v>
      </c>
    </row>
    <row r="130" spans="1:15" x14ac:dyDescent="0.2">
      <c r="A130" s="61" t="s">
        <v>10</v>
      </c>
      <c r="B130" s="35">
        <f>'[2]US EIA'!$D154+'[2]US EIA'!$E154+'[2]US EIA'!$G154+'[2]US EIA'!$K154+'[2]US EIA'!$N154+'[2]US EIA'!$O154</f>
        <v>10</v>
      </c>
      <c r="C130" s="35">
        <f>'[2]US EIA'!$D166+'[2]US EIA'!$E166+'[2]US EIA'!$G166+'[2]US EIA'!$K166+'[2]US EIA'!$N166+'[2]US EIA'!$O166</f>
        <v>5</v>
      </c>
      <c r="D130" s="35">
        <f>'[2]US EIA'!$D178+'[2]US EIA'!$E178+'[2]US EIA'!$G178+'[2]US EIA'!$K178+'[2]US EIA'!$N178+'[2]US EIA'!$O178</f>
        <v>39</v>
      </c>
      <c r="E130" s="35">
        <f>'[2]US EIA'!$D190+'[2]US EIA'!$E190+'[2]US EIA'!$G190+'[2]US EIA'!$K190+'[2]US EIA'!$N190+'[2]US EIA'!$O190</f>
        <v>15.84</v>
      </c>
      <c r="F130" s="35">
        <f>'[2]US EIA'!$D202+'[2]US EIA'!$E202+'[2]US EIA'!$G202+'[2]US EIA'!$K202+'[2]US EIA'!$N202+'[2]US EIA'!$O202</f>
        <v>25</v>
      </c>
      <c r="G130" s="35">
        <f>'[2]US EIA'!$D214+'[2]US EIA'!$E214+'[2]US EIA'!$G214+'[2]US EIA'!$K214+'[2]US EIA'!$N214+'[2]US EIA'!$O214</f>
        <v>24.06</v>
      </c>
      <c r="H130" s="35">
        <f>'[2]US EIA'!$D226+'[2]US EIA'!$E226+'[2]US EIA'!$G226+'[2]US EIA'!$K226+'[2]US EIA'!$N226+'[2]US EIA'!$O226</f>
        <v>12</v>
      </c>
      <c r="I130" s="35">
        <f>'[2]US EIA'!$D238+'[2]US EIA'!$E238+'[2]US EIA'!$G238+'[2]US EIA'!$K238+'[2]US EIA'!$N238+'[2]US EIA'!$O238</f>
        <v>10.46</v>
      </c>
      <c r="J130" s="35">
        <f>'[2]US EIA'!$D250+'[2]US EIA'!$E250+'[2]US EIA'!$G250+'[2]US EIA'!$K250+'[2]US EIA'!$N250+'[2]US EIA'!$O250</f>
        <v>12.460358045877356</v>
      </c>
      <c r="K130" s="35">
        <f>'[2]US EIA'!$D262+'[2]US EIA'!$E262+'[2]US EIA'!$G262+'[2]US EIA'!$K262+'[2]US EIA'!$N262+'[2]US EIA'!$O262</f>
        <v>6.5499999999998231</v>
      </c>
      <c r="L130" s="35">
        <f>'[2]US EIA'!$D274+'[2]US EIA'!$E274+'[2]US EIA'!$G274+'[2]US EIA'!$K274+'[2]US EIA'!$N274+'[2]US EIA'!$O274</f>
        <v>25.371000000000002</v>
      </c>
      <c r="M130" s="35">
        <f>'[2]US EIA'!$D286+'[2]US EIA'!$E286+'[2]US EIA'!$G286+'[2]US EIA'!$K286+'[2]US EIA'!$N286+'[2]US EIA'!$O286</f>
        <v>62</v>
      </c>
      <c r="N130" s="35">
        <f>'[2]US EIA'!$D298+'[2]US EIA'!$E298+'[2]US EIA'!$G298+'[2]US EIA'!$K298+'[2]US EIA'!$N298+'[2]US EIA'!$O298</f>
        <v>22.936</v>
      </c>
      <c r="O130" s="36">
        <f>'[2]US EIA'!$D298+'[2]US EIA'!$E298+'[2]US EIA'!$G298+'[2]US EIA'!$K298+'[2]US EIA'!$N298+'[2]US EIA'!$O298</f>
        <v>22.936</v>
      </c>
    </row>
    <row r="131" spans="1:15" x14ac:dyDescent="0.2">
      <c r="A131" s="61" t="s">
        <v>11</v>
      </c>
      <c r="B131" s="35">
        <f>'[2]US EIA'!$D155+'[2]US EIA'!$E155+'[2]US EIA'!$G155+'[2]US EIA'!$K155+'[2]US EIA'!$N155+'[2]US EIA'!$O155</f>
        <v>8</v>
      </c>
      <c r="C131" s="35">
        <f>'[2]US EIA'!$D167+'[2]US EIA'!$E167+'[2]US EIA'!$G167+'[2]US EIA'!$K167+'[2]US EIA'!$N167+'[2]US EIA'!$O167</f>
        <v>4</v>
      </c>
      <c r="D131" s="35">
        <f>'[2]US EIA'!$D179+'[2]US EIA'!$E179+'[2]US EIA'!$G179+'[2]US EIA'!$K179+'[2]US EIA'!$N179+'[2]US EIA'!$O179</f>
        <v>36</v>
      </c>
      <c r="E131" s="35">
        <f>'[2]US EIA'!$D191+'[2]US EIA'!$E191+'[2]US EIA'!$G191+'[2]US EIA'!$K191+'[2]US EIA'!$N191+'[2]US EIA'!$O191</f>
        <v>21.98</v>
      </c>
      <c r="F131" s="35">
        <f>'[2]US EIA'!$D203+'[2]US EIA'!$E203+'[2]US EIA'!$G203+'[2]US EIA'!$K203+'[2]US EIA'!$N203+'[2]US EIA'!$O203</f>
        <v>26.6</v>
      </c>
      <c r="G131" s="35">
        <f>'[2]US EIA'!$D215+'[2]US EIA'!$E215+'[2]US EIA'!$G215+'[2]US EIA'!$K215+'[2]US EIA'!$N215+'[2]US EIA'!$O215</f>
        <v>16.66</v>
      </c>
      <c r="H131" s="35">
        <f>'[2]US EIA'!$D227+'[2]US EIA'!$E227+'[2]US EIA'!$G227+'[2]US EIA'!$K227+'[2]US EIA'!$N227+'[2]US EIA'!$O227</f>
        <v>12.21</v>
      </c>
      <c r="I131" s="35">
        <f>'[2]US EIA'!$D239+'[2]US EIA'!$E239+'[2]US EIA'!$G239+'[2]US EIA'!$K239+'[2]US EIA'!$N239+'[2]US EIA'!$O239</f>
        <v>9.9470833333333299</v>
      </c>
      <c r="J131" s="35">
        <f>'[2]US EIA'!$D251+'[2]US EIA'!$E251+'[2]US EIA'!$G251+'[2]US EIA'!$K251+'[2]US EIA'!$N251+'[2]US EIA'!$O251</f>
        <v>10.141076184243767</v>
      </c>
      <c r="K131" s="35">
        <f>'[2]US EIA'!$D263+'[2]US EIA'!$E263+'[2]US EIA'!$G263+'[2]US EIA'!$K263+'[2]US EIA'!$N263+'[2]US EIA'!$O263</f>
        <v>21.482867409585076</v>
      </c>
      <c r="L131" s="35">
        <f>'[2]US EIA'!$D275+'[2]US EIA'!$E275+'[2]US EIA'!$G275+'[2]US EIA'!$K275+'[2]US EIA'!$N275+'[2]US EIA'!$O275</f>
        <v>30.126000000000001</v>
      </c>
      <c r="M131" s="35">
        <f>'[2]US EIA'!$D287+'[2]US EIA'!$E287+'[2]US EIA'!$G287+'[2]US EIA'!$K287+'[2]US EIA'!$N287+'[2]US EIA'!$O287</f>
        <v>67</v>
      </c>
      <c r="N131" s="35">
        <f>'[2]US EIA'!$D299+'[2]US EIA'!$E299+'[2]US EIA'!$G299+'[2]US EIA'!$K299+'[2]US EIA'!$N299+'[2]US EIA'!$O299</f>
        <v>24.532</v>
      </c>
      <c r="O131" s="36">
        <f>'[2]US EIA'!$D299+'[2]US EIA'!$E299+'[2]US EIA'!$G299+'[2]US EIA'!$K299+'[2]US EIA'!$N299+'[2]US EIA'!$O299</f>
        <v>24.532</v>
      </c>
    </row>
    <row r="132" spans="1:15" x14ac:dyDescent="0.2">
      <c r="A132" s="61" t="s">
        <v>12</v>
      </c>
      <c r="B132" s="35">
        <f>'[2]US EIA'!$D156+'[2]US EIA'!$E156+'[2]US EIA'!$G156+'[2]US EIA'!$K156+'[2]US EIA'!$N156+'[2]US EIA'!$O156</f>
        <v>8</v>
      </c>
      <c r="C132" s="35">
        <f>'[2]US EIA'!$D168+'[2]US EIA'!$E168+'[2]US EIA'!$G168+'[2]US EIA'!$K168+'[2]US EIA'!$N168+'[2]US EIA'!$O168</f>
        <v>4</v>
      </c>
      <c r="D132" s="35">
        <f>'[2]US EIA'!$D180+'[2]US EIA'!$E180+'[2]US EIA'!$G180+'[2]US EIA'!$K180+'[2]US EIA'!$N180+'[2]US EIA'!$O180</f>
        <v>99</v>
      </c>
      <c r="E132" s="35">
        <f>'[2]US EIA'!$D192+'[2]US EIA'!$E192+'[2]US EIA'!$G192+'[2]US EIA'!$K192+'[2]US EIA'!$N192+'[2]US EIA'!$O192</f>
        <v>43.92</v>
      </c>
      <c r="F132" s="35">
        <f>'[2]US EIA'!$D204+'[2]US EIA'!$E204+'[2]US EIA'!$G204+'[2]US EIA'!$K204+'[2]US EIA'!$N204+'[2]US EIA'!$O204</f>
        <v>18</v>
      </c>
      <c r="G132" s="35">
        <f>'[2]US EIA'!$D216+'[2]US EIA'!$E216+'[2]US EIA'!$G216+'[2]US EIA'!$K216+'[2]US EIA'!$N216+'[2]US EIA'!$O216</f>
        <v>15.99</v>
      </c>
      <c r="H132" s="35">
        <f>'[2]US EIA'!$D228+'[2]US EIA'!$E228+'[2]US EIA'!$G228+'[2]US EIA'!$K228+'[2]US EIA'!$N228+'[2]US EIA'!$O228</f>
        <v>11.02</v>
      </c>
      <c r="I132" s="35">
        <f>'[2]US EIA'!$D240+'[2]US EIA'!$E240+'[2]US EIA'!$G240+'[2]US EIA'!$K240+'[2]US EIA'!$N240+'[2]US EIA'!$O240</f>
        <v>11.3</v>
      </c>
      <c r="J132" s="35">
        <f>'[2]US EIA'!$D252+'[2]US EIA'!$E252+'[2]US EIA'!$G252+'[2]US EIA'!$K252+'[2]US EIA'!$N252+'[2]US EIA'!$O252</f>
        <v>18.089999999999947</v>
      </c>
      <c r="K132" s="35">
        <f>'[2]US EIA'!$D264+'[2]US EIA'!$E264+'[2]US EIA'!$G264+'[2]US EIA'!$K264+'[2]US EIA'!$N264+'[2]US EIA'!$O264</f>
        <v>17.381034737202963</v>
      </c>
      <c r="L132" s="35">
        <f>'[2]US EIA'!$D276+'[2]US EIA'!$E276+'[2]US EIA'!$G276+'[2]US EIA'!$K276+'[2]US EIA'!$N276+'[2]US EIA'!$O276</f>
        <v>55.393000000000001</v>
      </c>
      <c r="M132" s="35">
        <f>'[2]US EIA'!$D288+'[2]US EIA'!$E288+'[2]US EIA'!$G288+'[2]US EIA'!$K288+'[2]US EIA'!$N288+'[2]US EIA'!$O288</f>
        <v>67</v>
      </c>
      <c r="N132" s="35">
        <f>'[2]US EIA'!$D300+'[2]US EIA'!$E300+'[2]US EIA'!$G300+'[2]US EIA'!$K300+'[2]US EIA'!$N300+'[2]US EIA'!$O300</f>
        <v>22.709</v>
      </c>
      <c r="O132" s="36">
        <f>'[2]US EIA'!$D300+'[2]US EIA'!$E300+'[2]US EIA'!$G300+'[2]US EIA'!$K300+'[2]US EIA'!$N300+'[2]US EIA'!$O300</f>
        <v>22.709</v>
      </c>
    </row>
    <row r="133" spans="1:15" x14ac:dyDescent="0.2">
      <c r="A133" s="61" t="s">
        <v>13</v>
      </c>
      <c r="B133" s="35">
        <f>'[2]US EIA'!$D157+'[2]US EIA'!$E157+'[2]US EIA'!$G157+'[2]US EIA'!$K157+'[2]US EIA'!$N157+'[2]US EIA'!$O157</f>
        <v>20</v>
      </c>
      <c r="C133" s="35">
        <f>'[2]US EIA'!$D169+'[2]US EIA'!$E169+'[2]US EIA'!$G169+'[2]US EIA'!$K169+'[2]US EIA'!$N169+'[2]US EIA'!$O169</f>
        <v>4</v>
      </c>
      <c r="D133" s="35">
        <f>'[2]US EIA'!$D181+'[2]US EIA'!$E181+'[2]US EIA'!$G181+'[2]US EIA'!$K181+'[2]US EIA'!$N181+'[2]US EIA'!$O181</f>
        <v>56</v>
      </c>
      <c r="E133" s="35">
        <f>'[2]US EIA'!$D193+'[2]US EIA'!$E193+'[2]US EIA'!$G193+'[2]US EIA'!$K193+'[2]US EIA'!$N193+'[2]US EIA'!$O193</f>
        <v>59.43</v>
      </c>
      <c r="F133" s="35">
        <f>'[2]US EIA'!$D205+'[2]US EIA'!$E205+'[2]US EIA'!$G205+'[2]US EIA'!$K205+'[2]US EIA'!$N205+'[2]US EIA'!$O205</f>
        <v>17.63</v>
      </c>
      <c r="G133" s="35">
        <f>'[2]US EIA'!$D217+'[2]US EIA'!$E217+'[2]US EIA'!$G217+'[2]US EIA'!$K217+'[2]US EIA'!$N217+'[2]US EIA'!$O217</f>
        <v>19.670000000000002</v>
      </c>
      <c r="H133" s="35">
        <f>'[2]US EIA'!$D229+'[2]US EIA'!$E229+'[2]US EIA'!$G229+'[2]US EIA'!$K229+'[2]US EIA'!$N229+'[2]US EIA'!$O229</f>
        <v>8.89</v>
      </c>
      <c r="I133" s="35">
        <f>'[2]US EIA'!$D241+'[2]US EIA'!$E241+'[2]US EIA'!$G241+'[2]US EIA'!$K241+'[2]US EIA'!$N241+'[2]US EIA'!$O241</f>
        <v>7.0800048828125002</v>
      </c>
      <c r="J133" s="35">
        <f>'[2]US EIA'!$D253+'[2]US EIA'!$E253+'[2]US EIA'!$G253+'[2]US EIA'!$K253+'[2]US EIA'!$N253+'[2]US EIA'!$O253</f>
        <v>13.700000000000209</v>
      </c>
      <c r="K133" s="35">
        <f>'[2]US EIA'!$D265+'[2]US EIA'!$E265+'[2]US EIA'!$G265+'[2]US EIA'!$K265+'[2]US EIA'!$N265+'[2]US EIA'!$O265</f>
        <v>15.987573854311442</v>
      </c>
      <c r="L133" s="35">
        <f>'[2]US EIA'!$D277+'[2]US EIA'!$E277+'[2]US EIA'!$G277+'[2]US EIA'!$K277+'[2]US EIA'!$N277+'[2]US EIA'!$O277</f>
        <v>83.581000000000003</v>
      </c>
      <c r="M133" s="35">
        <f>'[2]US EIA'!$D289+'[2]US EIA'!$E289+'[2]US EIA'!$G289+'[2]US EIA'!$K289+'[2]US EIA'!$N289+'[2]US EIA'!$O289</f>
        <v>68.83</v>
      </c>
      <c r="N133" s="35">
        <f>'[2]US EIA'!$D301+'[2]US EIA'!$E301+'[2]US EIA'!$G301+'[2]US EIA'!$K301+'[2]US EIA'!$N301+'[2]US EIA'!$O301</f>
        <v>23.814</v>
      </c>
      <c r="O133" s="36">
        <f>'[2]US EIA'!$D301+'[2]US EIA'!$E301+'[2]US EIA'!$G301+'[2]US EIA'!$K301+'[2]US EIA'!$N301+'[2]US EIA'!$O301</f>
        <v>23.814</v>
      </c>
    </row>
    <row r="134" spans="1:15" x14ac:dyDescent="0.2">
      <c r="A134" s="61" t="s">
        <v>14</v>
      </c>
      <c r="B134" s="35">
        <f>'[2]US EIA'!$D158+'[2]US EIA'!$E158+'[2]US EIA'!$G158+'[2]US EIA'!$K158+'[2]US EIA'!$N158+'[2]US EIA'!$O158</f>
        <v>4</v>
      </c>
      <c r="C134" s="35">
        <f>'[2]US EIA'!$D170+'[2]US EIA'!$E170+'[2]US EIA'!$G170+'[2]US EIA'!$K170+'[2]US EIA'!$N170+'[2]US EIA'!$O170</f>
        <v>4</v>
      </c>
      <c r="D134" s="35">
        <f>'[2]US EIA'!$D182+'[2]US EIA'!$E182+'[2]US EIA'!$G182+'[2]US EIA'!$K182+'[2]US EIA'!$N182+'[2]US EIA'!$O182</f>
        <v>99</v>
      </c>
      <c r="E134" s="35">
        <f>'[2]US EIA'!$D194+'[2]US EIA'!$E194+'[2]US EIA'!$G194+'[2]US EIA'!$K194+'[2]US EIA'!$N194+'[2]US EIA'!$O194</f>
        <v>27.35</v>
      </c>
      <c r="F134" s="35">
        <f>'[2]US EIA'!$D206+'[2]US EIA'!$E206+'[2]US EIA'!$G206+'[2]US EIA'!$K206+'[2]US EIA'!$N206+'[2]US EIA'!$O206</f>
        <v>9</v>
      </c>
      <c r="G134" s="35">
        <f>'[2]US EIA'!$D218+'[2]US EIA'!$E218+'[2]US EIA'!$G218+'[2]US EIA'!$K218+'[2]US EIA'!$N218+'[2]US EIA'!$O218</f>
        <v>33</v>
      </c>
      <c r="H134" s="35">
        <f>'[2]US EIA'!$D230+'[2]US EIA'!$E230+'[2]US EIA'!$G230+'[2]US EIA'!$K230+'[2]US EIA'!$N230+'[2]US EIA'!$O230</f>
        <v>9.629999999999999</v>
      </c>
      <c r="I134" s="35">
        <f>'[2]US EIA'!$D242+'[2]US EIA'!$E242+'[2]US EIA'!$G242+'[2]US EIA'!$K242+'[2]US EIA'!$N242+'[2]US EIA'!$O242</f>
        <v>11.190000000000001</v>
      </c>
      <c r="J134" s="35">
        <f>'[2]US EIA'!$D254+'[2]US EIA'!$E254+'[2]US EIA'!$G254+'[2]US EIA'!$K254+'[2]US EIA'!$N254+'[2]US EIA'!$O254</f>
        <v>17.070000000000043</v>
      </c>
      <c r="K134" s="35">
        <f>'[2]US EIA'!$D266+'[2]US EIA'!$E266+'[2]US EIA'!$G266+'[2]US EIA'!$K266+'[2]US EIA'!$N266+'[2]US EIA'!$O266</f>
        <v>18.144607976536719</v>
      </c>
      <c r="L134" s="35">
        <f>'[2]US EIA'!$D278+'[2]US EIA'!$E278+'[2]US EIA'!$G278+'[2]US EIA'!$K278+'[2]US EIA'!$N278+'[2]US EIA'!$O278</f>
        <v>9.1630000000000003</v>
      </c>
      <c r="M134" s="35">
        <f>'[2]US EIA'!$D290+'[2]US EIA'!$E290+'[2]US EIA'!$G290+'[2]US EIA'!$K290+'[2]US EIA'!$N290+'[2]US EIA'!$O290</f>
        <v>62</v>
      </c>
      <c r="N134" s="36">
        <f>'[2]US EIA'!$D302+'[2]US EIA'!$E302+'[2]US EIA'!$G302+'[2]US EIA'!$K302+'[2]US EIA'!$N302+'[2]US EIA'!$O302</f>
        <v>40.004080999999999</v>
      </c>
      <c r="O134" s="36">
        <f>'[2]US EIA'!$D302+'[2]US EIA'!$E302+'[2]US EIA'!$G302+'[2]US EIA'!$K302+'[2]US EIA'!$N302+'[2]US EIA'!$O302</f>
        <v>40.004080999999999</v>
      </c>
    </row>
    <row r="135" spans="1:15" x14ac:dyDescent="0.2">
      <c r="A135" s="61" t="s">
        <v>15</v>
      </c>
      <c r="B135" s="35">
        <f>'[2]US EIA'!$D159+'[2]US EIA'!$E159+'[2]US EIA'!$G159+'[2]US EIA'!$K159+'[2]US EIA'!$N159+'[2]US EIA'!$O159</f>
        <v>7</v>
      </c>
      <c r="C135" s="35">
        <f>'[2]US EIA'!$D171+'[2]US EIA'!$E171+'[2]US EIA'!$G171+'[2]US EIA'!$K171+'[2]US EIA'!$N171+'[2]US EIA'!$O171</f>
        <v>4</v>
      </c>
      <c r="D135" s="35">
        <f>'[2]US EIA'!$D183+'[2]US EIA'!$E183+'[2]US EIA'!$G183+'[2]US EIA'!$K183+'[2]US EIA'!$N183+'[2]US EIA'!$O183</f>
        <v>103</v>
      </c>
      <c r="E135" s="35">
        <f>'[2]US EIA'!$D195+'[2]US EIA'!$E195+'[2]US EIA'!$G195+'[2]US EIA'!$K195+'[2]US EIA'!$N195+'[2]US EIA'!$O195</f>
        <v>26.740000000000002</v>
      </c>
      <c r="F135" s="35">
        <f>'[2]US EIA'!$D207+'[2]US EIA'!$E207+'[2]US EIA'!$G207+'[2]US EIA'!$K207+'[2]US EIA'!$N207+'[2]US EIA'!$O207</f>
        <v>5</v>
      </c>
      <c r="G135" s="35">
        <f>'[2]US EIA'!$D219+'[2]US EIA'!$E219+'[2]US EIA'!$G219+'[2]US EIA'!$K219+'[2]US EIA'!$N219+'[2]US EIA'!$O219</f>
        <v>15.030000000000001</v>
      </c>
      <c r="H135" s="35">
        <f>'[2]US EIA'!$D231+'[2]US EIA'!$E231+'[2]US EIA'!$G231+'[2]US EIA'!$K231+'[2]US EIA'!$N231+'[2]US EIA'!$O231</f>
        <v>11.46</v>
      </c>
      <c r="I135" s="35">
        <f>'[2]US EIA'!$D243+'[2]US EIA'!$E243+'[2]US EIA'!$G243+'[2]US EIA'!$K243+'[2]US EIA'!$N243+'[2]US EIA'!$O243</f>
        <v>18.679951171875</v>
      </c>
      <c r="J135" s="35">
        <f>'[2]US EIA'!$D255+'[2]US EIA'!$E255+'[2]US EIA'!$G255+'[2]US EIA'!$K255+'[2]US EIA'!$N255+'[2]US EIA'!$O255</f>
        <v>58.150000000000141</v>
      </c>
      <c r="K135" s="35">
        <f>'[2]US EIA'!$D267+'[2]US EIA'!$E267+'[2]US EIA'!$G267+'[2]US EIA'!$K267+'[2]US EIA'!$N267+'[2]US EIA'!$O267</f>
        <v>12.117191209546631</v>
      </c>
      <c r="L135" s="35">
        <f>'[2]US EIA'!$D279+'[2]US EIA'!$E279+'[2]US EIA'!$G279+'[2]US EIA'!$K279+'[2]US EIA'!$N279+'[2]US EIA'!$O279</f>
        <v>34.769999999999996</v>
      </c>
      <c r="M135" s="35">
        <f>'[2]US EIA'!$D291+'[2]US EIA'!$E291+'[2]US EIA'!$G291+'[2]US EIA'!$K291+'[2]US EIA'!$N291+'[2]US EIA'!$O291</f>
        <v>57</v>
      </c>
      <c r="N135" s="36">
        <f>'[2]US EIA'!$D303+'[2]US EIA'!$E303+'[2]US EIA'!$G303+'[2]US EIA'!$K303+'[2]US EIA'!$N303+'[2]US EIA'!$O303</f>
        <v>63.954999999999998</v>
      </c>
      <c r="O135" s="36">
        <f>'[2]US EIA'!$D303+'[2]US EIA'!$E303+'[2]US EIA'!$G303+'[2]US EIA'!$K303+'[2]US EIA'!$N303+'[2]US EIA'!$O303</f>
        <v>63.954999999999998</v>
      </c>
    </row>
    <row r="136" spans="1:15" x14ac:dyDescent="0.2">
      <c r="A136" s="61" t="s">
        <v>16</v>
      </c>
      <c r="B136" s="35">
        <f>'[2]US EIA'!$D160+'[2]US EIA'!$E160+'[2]US EIA'!$G160+'[2]US EIA'!$K160+'[2]US EIA'!$N160+'[2]US EIA'!$O160</f>
        <v>8</v>
      </c>
      <c r="C136" s="35">
        <f>'[2]US EIA'!$D172+'[2]US EIA'!$E172+'[2]US EIA'!$G172+'[2]US EIA'!$K172+'[2]US EIA'!$N172+'[2]US EIA'!$O172</f>
        <v>4</v>
      </c>
      <c r="D136" s="35">
        <f>'[2]US EIA'!$D184+'[2]US EIA'!$E184+'[2]US EIA'!$G184+'[2]US EIA'!$K184+'[2]US EIA'!$N184+'[2]US EIA'!$O184</f>
        <v>95</v>
      </c>
      <c r="E136" s="35">
        <f>'[2]US EIA'!$D196+'[2]US EIA'!$E196+'[2]US EIA'!$G196+'[2]US EIA'!$K196+'[2]US EIA'!$N196+'[2]US EIA'!$O196</f>
        <v>25.57</v>
      </c>
      <c r="F136" s="35">
        <f>'[2]US EIA'!$D208+'[2]US EIA'!$E208+'[2]US EIA'!$G208+'[2]US EIA'!$K208+'[2]US EIA'!$N208+'[2]US EIA'!$O208</f>
        <v>12</v>
      </c>
      <c r="G136" s="35">
        <f>'[2]US EIA'!$D220+'[2]US EIA'!$E220+'[2]US EIA'!$G220+'[2]US EIA'!$K220+'[2]US EIA'!$N220+'[2]US EIA'!$O220</f>
        <v>12.82</v>
      </c>
      <c r="H136" s="35">
        <f>'[2]US EIA'!$D232+'[2]US EIA'!$E232+'[2]US EIA'!$G232+'[2]US EIA'!$K232+'[2]US EIA'!$N232+'[2]US EIA'!$O232</f>
        <v>11.02</v>
      </c>
      <c r="I136" s="35">
        <f>'[2]US EIA'!$D244+'[2]US EIA'!$E244+'[2]US EIA'!$G244+'[2]US EIA'!$K244+'[2]US EIA'!$N244+'[2]US EIA'!$O244</f>
        <v>10.08</v>
      </c>
      <c r="J136" s="35">
        <f>'[2]US EIA'!$D256+'[2]US EIA'!$E256+'[2]US EIA'!$G256+'[2]US EIA'!$K256+'[2]US EIA'!$N256+'[2]US EIA'!$O256</f>
        <v>7.8600000000000723</v>
      </c>
      <c r="K136" s="35">
        <f>'[2]US EIA'!$D268+'[2]US EIA'!$E268+'[2]US EIA'!$G268+'[2]US EIA'!$K268+'[2]US EIA'!$N268+'[2]US EIA'!$O268</f>
        <v>3</v>
      </c>
      <c r="L136" s="35">
        <f>'[2]US EIA'!$D280+'[2]US EIA'!$E280+'[2]US EIA'!$G280+'[2]US EIA'!$K280+'[2]US EIA'!$N280+'[2]US EIA'!$O280</f>
        <v>39</v>
      </c>
      <c r="M136" s="35">
        <f>'[2]US EIA'!$D292+'[2]US EIA'!$E292+'[2]US EIA'!$G292+'[2]US EIA'!$K292+'[2]US EIA'!$N292+'[2]US EIA'!$O292</f>
        <v>73</v>
      </c>
      <c r="N136" s="36">
        <f>'[2]US EIA'!$D304+'[2]US EIA'!$E304+'[2]US EIA'!$G304+'[2]US EIA'!$K304+'[2]US EIA'!$N304+'[2]US EIA'!$O304</f>
        <v>41.727000000000004</v>
      </c>
      <c r="O136" s="36">
        <f>'[2]US EIA'!$D304+'[2]US EIA'!$E304+'[2]US EIA'!$G304+'[2]US EIA'!$K304+'[2]US EIA'!$N304+'[2]US EIA'!$O304</f>
        <v>41.727000000000004</v>
      </c>
    </row>
    <row r="137" spans="1:15" x14ac:dyDescent="0.2">
      <c r="A137" s="61" t="s">
        <v>17</v>
      </c>
      <c r="B137" s="35">
        <f>'[2]US EIA'!$D161+'[2]US EIA'!$E161+'[2]US EIA'!$G161+'[2]US EIA'!$K161+'[2]US EIA'!$N161+'[2]US EIA'!$O161</f>
        <v>5</v>
      </c>
      <c r="C137" s="35">
        <f>'[2]US EIA'!$D173+'[2]US EIA'!$E173+'[2]US EIA'!$G173+'[2]US EIA'!$K173+'[2]US EIA'!$N173+'[2]US EIA'!$O173</f>
        <v>2</v>
      </c>
      <c r="D137" s="35">
        <f>'[2]US EIA'!$D185+'[2]US EIA'!$E185+'[2]US EIA'!$G185+'[2]US EIA'!$K185+'[2]US EIA'!$N185+'[2]US EIA'!$O185</f>
        <v>67.346419999999995</v>
      </c>
      <c r="E137" s="35">
        <f>'[2]US EIA'!$D197+'[2]US EIA'!$E197+'[2]US EIA'!$G197+'[2]US EIA'!$K197+'[2]US EIA'!$N197+'[2]US EIA'!$O197</f>
        <v>26</v>
      </c>
      <c r="F137" s="35">
        <f>'[2]US EIA'!$D209+'[2]US EIA'!$E209+'[2]US EIA'!$G209+'[2]US EIA'!$K209+'[2]US EIA'!$N209+'[2]US EIA'!$O209</f>
        <v>10</v>
      </c>
      <c r="G137" s="35">
        <f>'[2]US EIA'!$D221+'[2]US EIA'!$E221+'[2]US EIA'!$G221+'[2]US EIA'!$K221+'[2]US EIA'!$N221+'[2]US EIA'!$O221</f>
        <v>19</v>
      </c>
      <c r="H137" s="35">
        <f>'[2]US EIA'!$D233+'[2]US EIA'!$E233+'[2]US EIA'!$G233+'[2]US EIA'!$K233+'[2]US EIA'!$N233+'[2]US EIA'!$O233</f>
        <v>11.819999999999999</v>
      </c>
      <c r="I137" s="35">
        <f>'[2]US EIA'!$D245+'[2]US EIA'!$E245+'[2]US EIA'!$G245+'[2]US EIA'!$K245+'[2]US EIA'!$N245+'[2]US EIA'!$O245</f>
        <v>9.68</v>
      </c>
      <c r="J137" s="35">
        <f>'[2]US EIA'!$D257+'[2]US EIA'!$E257+'[2]US EIA'!$G257+'[2]US EIA'!$K257+'[2]US EIA'!$N257+'[2]US EIA'!$O257</f>
        <v>9.1500000000000412</v>
      </c>
      <c r="K137" s="35">
        <f>'[2]US EIA'!$D269+'[2]US EIA'!$E269+'[2]US EIA'!$G269+'[2]US EIA'!$K269+'[2]US EIA'!$N269+'[2]US EIA'!$O269</f>
        <v>4</v>
      </c>
      <c r="L137" s="35">
        <f>'[2]US EIA'!$D281+'[2]US EIA'!$E281+'[2]US EIA'!$G281+'[2]US EIA'!$K281+'[2]US EIA'!$N281+'[2]US EIA'!$O281</f>
        <v>44</v>
      </c>
      <c r="M137" s="35">
        <f>'[2]US EIA'!$D293+'[2]US EIA'!$E293+'[2]US EIA'!$G293+'[2]US EIA'!$K293+'[2]US EIA'!$N293+'[2]US EIA'!$O293</f>
        <v>69</v>
      </c>
      <c r="N137" s="36">
        <f>'[2]US EIA'!$D305+'[2]US EIA'!$E305+'[2]US EIA'!$G305+'[2]US EIA'!$K305+'[2]US EIA'!$N305+'[2]US EIA'!$O305</f>
        <v>121.589</v>
      </c>
      <c r="O137" s="36">
        <f>'[2]US EIA'!$D305+'[2]US EIA'!$E305+'[2]US EIA'!$G305+'[2]US EIA'!$K305+'[2]US EIA'!$N305+'[2]US EIA'!$O305</f>
        <v>121.589</v>
      </c>
    </row>
    <row r="138" spans="1:15" ht="12" thickBot="1" x14ac:dyDescent="0.25">
      <c r="A138" s="64" t="s">
        <v>18</v>
      </c>
      <c r="B138" s="65">
        <f>SUM(B126:B137)</f>
        <v>113</v>
      </c>
      <c r="C138" s="65">
        <f t="shared" ref="C138:N138" si="45">SUM(C126:C137)</f>
        <v>49</v>
      </c>
      <c r="D138" s="65">
        <f t="shared" si="45"/>
        <v>683.34641999999997</v>
      </c>
      <c r="E138" s="65">
        <f t="shared" si="45"/>
        <v>339.83000000000004</v>
      </c>
      <c r="F138" s="65">
        <f t="shared" si="45"/>
        <v>169.62</v>
      </c>
      <c r="G138" s="65">
        <f t="shared" si="45"/>
        <v>232.09</v>
      </c>
      <c r="H138" s="65">
        <f t="shared" si="45"/>
        <v>131.86000000000001</v>
      </c>
      <c r="I138" s="65">
        <f t="shared" si="45"/>
        <v>128.64412272135417</v>
      </c>
      <c r="J138" s="65">
        <f t="shared" si="45"/>
        <v>183.92143423012141</v>
      </c>
      <c r="K138" s="65">
        <f t="shared" si="45"/>
        <v>149.5409485846705</v>
      </c>
      <c r="L138" s="65">
        <f t="shared" si="45"/>
        <v>388.47700000000003</v>
      </c>
      <c r="M138" s="65">
        <f t="shared" si="45"/>
        <v>717.82999999999993</v>
      </c>
      <c r="N138" s="66">
        <f t="shared" si="45"/>
        <v>515.53608099999997</v>
      </c>
      <c r="O138" s="66">
        <f>SUM(O126:O137)</f>
        <v>515.53608099999997</v>
      </c>
    </row>
    <row r="139" spans="1:15" ht="12" thickTop="1" x14ac:dyDescent="0.2">
      <c r="A139" s="67" t="s">
        <v>35</v>
      </c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</row>
    <row r="140" spans="1:15" x14ac:dyDescent="0.2">
      <c r="A140" s="32" t="s">
        <v>36</v>
      </c>
    </row>
    <row r="141" spans="1:15" x14ac:dyDescent="0.2">
      <c r="A141" s="3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027B-88C9-4562-BE36-D35946839682}">
  <dimension ref="A1:AD159"/>
  <sheetViews>
    <sheetView zoomScaleNormal="100" workbookViewId="0">
      <pane xSplit="1" ySplit="3" topLeftCell="B122" activePane="bottomRight" state="frozen"/>
      <selection activeCell="P67" sqref="P67"/>
      <selection pane="topRight" activeCell="P67" sqref="P67"/>
      <selection pane="bottomLeft" activeCell="P67" sqref="P67"/>
      <selection pane="bottomRight" activeCell="B160" sqref="B160"/>
    </sheetView>
  </sheetViews>
  <sheetFormatPr defaultRowHeight="11.25" x14ac:dyDescent="0.2"/>
  <cols>
    <col min="1" max="1" width="9.140625" style="32"/>
    <col min="2" max="5" width="9.7109375" style="32" bestFit="1" customWidth="1"/>
    <col min="6" max="15" width="11.42578125" style="32" bestFit="1" customWidth="1"/>
    <col min="16" max="27" width="0" style="32" hidden="1" customWidth="1"/>
    <col min="28" max="28" width="10.5703125" style="32" bestFit="1" customWidth="1"/>
    <col min="29" max="30" width="11.140625" style="32" bestFit="1" customWidth="1"/>
    <col min="31" max="16384" width="9.140625" style="32"/>
  </cols>
  <sheetData>
    <row r="1" spans="1:29" ht="15.75" x14ac:dyDescent="0.25">
      <c r="A1" s="99" t="s">
        <v>38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29" ht="12" thickBot="1" x14ac:dyDescent="0.25">
      <c r="A2" s="61" t="s">
        <v>27</v>
      </c>
    </row>
    <row r="3" spans="1:29" ht="12.75" thickTop="1" thickBot="1" x14ac:dyDescent="0.25">
      <c r="A3" s="62"/>
      <c r="B3" s="63">
        <v>2011</v>
      </c>
      <c r="C3" s="63">
        <v>2012</v>
      </c>
      <c r="D3" s="63">
        <v>2013</v>
      </c>
      <c r="E3" s="63">
        <v>2014</v>
      </c>
      <c r="F3" s="63">
        <v>2015</v>
      </c>
      <c r="G3" s="63">
        <v>2016</v>
      </c>
      <c r="H3" s="63">
        <v>2017</v>
      </c>
      <c r="I3" s="63">
        <v>2018</v>
      </c>
      <c r="J3" s="63">
        <v>2019</v>
      </c>
      <c r="K3" s="63">
        <v>2020</v>
      </c>
      <c r="L3" s="63">
        <v>2021</v>
      </c>
      <c r="M3" s="63">
        <v>2022</v>
      </c>
      <c r="N3" s="63">
        <v>2023</v>
      </c>
      <c r="O3" s="63">
        <v>2024</v>
      </c>
      <c r="P3" s="63">
        <v>2025</v>
      </c>
      <c r="Q3" s="63">
        <v>2026</v>
      </c>
      <c r="R3" s="63">
        <v>2027</v>
      </c>
      <c r="S3" s="63">
        <v>2028</v>
      </c>
      <c r="T3" s="63">
        <v>2029</v>
      </c>
      <c r="U3" s="63">
        <v>2030</v>
      </c>
      <c r="V3" s="63">
        <v>2031</v>
      </c>
      <c r="W3" s="63">
        <v>2032</v>
      </c>
      <c r="X3" s="63">
        <v>2033</v>
      </c>
      <c r="Y3" s="63">
        <v>2034</v>
      </c>
      <c r="Z3" s="63">
        <v>2035</v>
      </c>
      <c r="AA3" s="63">
        <v>2036</v>
      </c>
      <c r="AB3" s="32" t="s">
        <v>39</v>
      </c>
      <c r="AC3" s="32" t="s">
        <v>40</v>
      </c>
    </row>
    <row r="4" spans="1:29" ht="12" thickTop="1" x14ac:dyDescent="0.2">
      <c r="A4" s="61" t="s">
        <v>6</v>
      </c>
      <c r="B4" s="35">
        <f>'Feedstock Yields'!B56</f>
        <v>150</v>
      </c>
      <c r="C4" s="35">
        <f>'Feedstock Yields'!C56</f>
        <v>306</v>
      </c>
      <c r="D4" s="35">
        <f>'Feedstock Yields'!D56</f>
        <v>313</v>
      </c>
      <c r="E4" s="35">
        <f>'Feedstock Yields'!E56</f>
        <v>241</v>
      </c>
      <c r="F4" s="35">
        <f>'Feedstock Yields'!F56</f>
        <v>306</v>
      </c>
      <c r="G4" s="35">
        <f>'Feedstock Yields'!G56</f>
        <v>392.27</v>
      </c>
      <c r="H4" s="35">
        <f>'Feedstock Yields'!H56</f>
        <v>390.11</v>
      </c>
      <c r="I4" s="35">
        <f>'Feedstock Yields'!I56</f>
        <v>462.12</v>
      </c>
      <c r="J4" s="35">
        <f>'Feedstock Yields'!J56</f>
        <v>622.80999999999995</v>
      </c>
      <c r="K4" s="35">
        <f>'Feedstock Yields'!K56</f>
        <v>521</v>
      </c>
      <c r="L4" s="35">
        <f>'Feedstock Yields'!L56</f>
        <v>464.92010627046363</v>
      </c>
      <c r="M4" s="35">
        <f>'Feedstock Yields'!M56</f>
        <v>543.04</v>
      </c>
      <c r="N4" s="35">
        <f>'Feedstock Yields'!N56</f>
        <v>556.82899999999995</v>
      </c>
      <c r="O4" s="35">
        <f>'Feedstock Yields'!O56</f>
        <v>544.50800000000004</v>
      </c>
      <c r="P4" s="36">
        <f>'Feedstock Yields'!P56</f>
        <v>384.27600000000001</v>
      </c>
      <c r="Q4" s="36">
        <f>'Feedstock Yields'!Q56</f>
        <v>478.36360757242039</v>
      </c>
      <c r="R4" s="36">
        <f>'Feedstock Yields'!R56</f>
        <v>464.07479999959344</v>
      </c>
      <c r="S4" s="36">
        <f>'Feedstock Yields'!S56</f>
        <v>367.73627538584213</v>
      </c>
      <c r="T4" s="36">
        <f>'Feedstock Yields'!T56</f>
        <v>403.22638169924284</v>
      </c>
      <c r="U4" s="36">
        <f>'Feedstock Yields'!U56</f>
        <v>386.85456256568551</v>
      </c>
      <c r="V4" s="36">
        <f>'Feedstock Yields'!V56</f>
        <v>391.09951312598355</v>
      </c>
      <c r="W4" s="36">
        <f>'Feedstock Yields'!W56</f>
        <v>397.89169599141644</v>
      </c>
      <c r="X4" s="36">
        <f>'Feedstock Yields'!X56</f>
        <v>286.02354450611637</v>
      </c>
      <c r="Y4" s="36">
        <f>'Feedstock Yields'!Y56</f>
        <v>394.31582135946041</v>
      </c>
      <c r="Z4" s="36">
        <f>'Feedstock Yields'!Z56</f>
        <v>393.24810364243757</v>
      </c>
      <c r="AA4" s="36">
        <f>'Feedstock Yields'!AA56</f>
        <v>359.32640039795939</v>
      </c>
      <c r="AB4" s="70">
        <f>(O4/N15)-1</f>
        <v>-9.7001658374792687E-2</v>
      </c>
      <c r="AC4" s="70">
        <f>O4/N4-1</f>
        <v>-2.2127080306521218E-2</v>
      </c>
    </row>
    <row r="5" spans="1:29" x14ac:dyDescent="0.2">
      <c r="A5" s="61" t="s">
        <v>7</v>
      </c>
      <c r="B5" s="35">
        <f>'Feedstock Yields'!B57</f>
        <v>150</v>
      </c>
      <c r="C5" s="35">
        <f>'Feedstock Yields'!C57</f>
        <v>321</v>
      </c>
      <c r="D5" s="35">
        <f>'Feedstock Yields'!D57</f>
        <v>287</v>
      </c>
      <c r="E5" s="35">
        <f>'Feedstock Yields'!E57</f>
        <v>277</v>
      </c>
      <c r="F5" s="35">
        <f>'Feedstock Yields'!F57</f>
        <v>311</v>
      </c>
      <c r="G5" s="35">
        <f>'Feedstock Yields'!G57</f>
        <v>416</v>
      </c>
      <c r="H5" s="35">
        <f>'Feedstock Yields'!H57</f>
        <v>369.18</v>
      </c>
      <c r="I5" s="35">
        <f>'Feedstock Yields'!I57</f>
        <v>495.59</v>
      </c>
      <c r="J5" s="35">
        <f>'Feedstock Yields'!J57</f>
        <v>559.57000000000005</v>
      </c>
      <c r="K5" s="35">
        <f>'Feedstock Yields'!K57</f>
        <v>574.78</v>
      </c>
      <c r="L5" s="35">
        <f>'Feedstock Yields'!L57</f>
        <v>319.20156533980185</v>
      </c>
      <c r="M5" s="35">
        <f>'Feedstock Yields'!M57</f>
        <v>536.60199999999998</v>
      </c>
      <c r="N5" s="35">
        <f>'Feedstock Yields'!N57</f>
        <v>536.27599999999995</v>
      </c>
      <c r="O5" s="35">
        <f>'Feedstock Yields'!O57</f>
        <v>521.55999999999995</v>
      </c>
      <c r="P5" s="36">
        <f>'Feedstock Yields'!P57</f>
        <v>425.12799999999999</v>
      </c>
      <c r="Q5" s="36">
        <f>'Feedstock Yields'!Q57</f>
        <v>428.78888334872056</v>
      </c>
      <c r="R5" s="36">
        <f>'Feedstock Yields'!R57</f>
        <v>429.60994569741672</v>
      </c>
      <c r="S5" s="36">
        <f>'Feedstock Yields'!S57</f>
        <v>335.4308877301911</v>
      </c>
      <c r="T5" s="36">
        <f>'Feedstock Yields'!T57</f>
        <v>365.86033706819785</v>
      </c>
      <c r="U5" s="36">
        <f>'Feedstock Yields'!U57</f>
        <v>342.70842445045912</v>
      </c>
      <c r="V5" s="36">
        <f>'Feedstock Yields'!V57</f>
        <v>350.18716419575912</v>
      </c>
      <c r="W5" s="36">
        <f>'Feedstock Yields'!W57</f>
        <v>355.68443226855345</v>
      </c>
      <c r="X5" s="36">
        <f>'Feedstock Yields'!X57</f>
        <v>206.88726439213079</v>
      </c>
      <c r="Y5" s="36">
        <f>'Feedstock Yields'!Y57</f>
        <v>304.21834699810864</v>
      </c>
      <c r="Z5" s="36">
        <f>'Feedstock Yields'!Z57</f>
        <v>298.65800310366296</v>
      </c>
      <c r="AA5" s="36">
        <f>'Feedstock Yields'!AA57</f>
        <v>289.34715273035238</v>
      </c>
      <c r="AB5" s="70">
        <f>O5/O4-1</f>
        <v>-4.2144468033527671E-2</v>
      </c>
      <c r="AC5" s="70">
        <f t="shared" ref="AC5:AC16" si="0">O5/N5-1</f>
        <v>-2.7441093765150804E-2</v>
      </c>
    </row>
    <row r="6" spans="1:29" x14ac:dyDescent="0.2">
      <c r="A6" s="61" t="s">
        <v>8</v>
      </c>
      <c r="B6" s="35">
        <f>'Feedstock Yields'!B58</f>
        <v>190</v>
      </c>
      <c r="C6" s="35">
        <f>'Feedstock Yields'!C58</f>
        <v>388</v>
      </c>
      <c r="D6" s="35">
        <f>'Feedstock Yields'!D58</f>
        <v>443</v>
      </c>
      <c r="E6" s="35">
        <f>'Feedstock Yields'!E58</f>
        <v>379</v>
      </c>
      <c r="F6" s="35">
        <f>'Feedstock Yields'!F58</f>
        <v>381</v>
      </c>
      <c r="G6" s="35">
        <f>'Feedstock Yields'!G58</f>
        <v>464.48</v>
      </c>
      <c r="H6" s="35">
        <f>'Feedstock Yields'!H58</f>
        <v>369.46</v>
      </c>
      <c r="I6" s="35">
        <f>'Feedstock Yields'!I58</f>
        <v>624.15</v>
      </c>
      <c r="J6" s="35">
        <f>'Feedstock Yields'!J58</f>
        <v>617.01</v>
      </c>
      <c r="K6" s="35">
        <f>'Feedstock Yields'!K58</f>
        <v>656.02</v>
      </c>
      <c r="L6" s="35">
        <f>'Feedstock Yields'!L58</f>
        <v>516.98119277223532</v>
      </c>
      <c r="M6" s="35">
        <f>'Feedstock Yields'!M58</f>
        <v>657.06299999999999</v>
      </c>
      <c r="N6" s="35">
        <f>'Feedstock Yields'!N58</f>
        <v>592.54200000000003</v>
      </c>
      <c r="O6" s="35">
        <f>'Feedstock Yields'!O58</f>
        <v>547.69156099999998</v>
      </c>
      <c r="P6" s="36">
        <f>'Feedstock Yields'!P58</f>
        <v>501.69099999999997</v>
      </c>
      <c r="Q6" s="36">
        <f>'Feedstock Yields'!Q58</f>
        <v>448.3644334219822</v>
      </c>
      <c r="R6" s="36">
        <f>'Feedstock Yields'!R58</f>
        <v>456.48917425084232</v>
      </c>
      <c r="S6" s="36">
        <f>'Feedstock Yields'!S58</f>
        <v>346.94955314309254</v>
      </c>
      <c r="T6" s="36">
        <f>'Feedstock Yields'!T58</f>
        <v>373.76890540943754</v>
      </c>
      <c r="U6" s="36">
        <f>'Feedstock Yields'!U58</f>
        <v>354.3811001466666</v>
      </c>
      <c r="V6" s="36">
        <f>'Feedstock Yields'!V58</f>
        <v>364.02125326086008</v>
      </c>
      <c r="W6" s="36">
        <f>'Feedstock Yields'!W58</f>
        <v>369.78781682666033</v>
      </c>
      <c r="X6" s="36">
        <f>'Feedstock Yields'!X58</f>
        <v>213.84803326105228</v>
      </c>
      <c r="Y6" s="36">
        <f>'Feedstock Yields'!Y58</f>
        <v>314.61911913249918</v>
      </c>
      <c r="Z6" s="36">
        <f>'Feedstock Yields'!Z58</f>
        <v>309.61671799434049</v>
      </c>
      <c r="AA6" s="36">
        <f>'Feedstock Yields'!AA58</f>
        <v>305.62774190323887</v>
      </c>
      <c r="AB6" s="70">
        <f t="shared" ref="AB6:AB15" si="1">O6/O5-1</f>
        <v>5.0102693841552304E-2</v>
      </c>
      <c r="AC6" s="70">
        <f t="shared" si="0"/>
        <v>-7.5691577980970259E-2</v>
      </c>
    </row>
    <row r="7" spans="1:29" x14ac:dyDescent="0.2">
      <c r="A7" s="61" t="s">
        <v>9</v>
      </c>
      <c r="B7" s="35">
        <f>'Feedstock Yields'!B59</f>
        <v>236</v>
      </c>
      <c r="C7" s="35">
        <f>'Feedstock Yields'!C59</f>
        <v>350</v>
      </c>
      <c r="D7" s="35">
        <f>'Feedstock Yields'!D59</f>
        <v>423</v>
      </c>
      <c r="E7" s="35">
        <f>'Feedstock Yields'!E59</f>
        <v>360</v>
      </c>
      <c r="F7" s="35">
        <f>'Feedstock Yields'!F59</f>
        <v>384.6</v>
      </c>
      <c r="G7" s="35">
        <f>'Feedstock Yields'!G59</f>
        <v>414.75</v>
      </c>
      <c r="H7" s="35">
        <f>'Feedstock Yields'!H59</f>
        <v>426.71</v>
      </c>
      <c r="I7" s="35">
        <f>'Feedstock Yields'!I59</f>
        <v>519.55999999999995</v>
      </c>
      <c r="J7" s="35">
        <f>'Feedstock Yields'!J59</f>
        <v>631.84</v>
      </c>
      <c r="K7" s="35">
        <f>'Feedstock Yields'!K59</f>
        <v>671.81</v>
      </c>
      <c r="L7" s="35">
        <f>'Feedstock Yields'!L59</f>
        <v>545.27086158299016</v>
      </c>
      <c r="M7" s="35">
        <f>'Feedstock Yields'!M59</f>
        <v>578.07399999999996</v>
      </c>
      <c r="N7" s="35">
        <f>'Feedstock Yields'!N59</f>
        <v>578.74400000000003</v>
      </c>
      <c r="O7" s="35">
        <f>'Feedstock Yields'!O59</f>
        <v>504.93900000000002</v>
      </c>
      <c r="P7" s="36">
        <f>'Feedstock Yields'!P59</f>
        <v>574.79999999999995</v>
      </c>
      <c r="Q7" s="36">
        <f>'Feedstock Yields'!Q59</f>
        <v>493.10688917141965</v>
      </c>
      <c r="R7" s="36">
        <f>'Feedstock Yields'!R59</f>
        <v>503.31678359692626</v>
      </c>
      <c r="S7" s="36">
        <f>'Feedstock Yields'!S59</f>
        <v>400.72201682768491</v>
      </c>
      <c r="T7" s="36">
        <f>'Feedstock Yields'!T59</f>
        <v>459.63595641753903</v>
      </c>
      <c r="U7" s="36">
        <f>'Feedstock Yields'!U59</f>
        <v>452.24324814946152</v>
      </c>
      <c r="V7" s="36">
        <f>'Feedstock Yields'!V59</f>
        <v>428.81945392794688</v>
      </c>
      <c r="W7" s="36">
        <f>'Feedstock Yields'!W59</f>
        <v>443.08424563138237</v>
      </c>
      <c r="X7" s="36">
        <f>'Feedstock Yields'!X59</f>
        <v>258.36528558541278</v>
      </c>
      <c r="Y7" s="36">
        <f>'Feedstock Yields'!Y59</f>
        <v>388.17715186479148</v>
      </c>
      <c r="Z7" s="36">
        <f>'Feedstock Yields'!Z59</f>
        <v>380.86202457364504</v>
      </c>
      <c r="AA7" s="36">
        <f>'Feedstock Yields'!AA59</f>
        <v>359.76244251392063</v>
      </c>
      <c r="AB7" s="70">
        <f t="shared" si="1"/>
        <v>-7.8059557685972725E-2</v>
      </c>
      <c r="AC7" s="70">
        <f t="shared" si="0"/>
        <v>-0.12752616009841999</v>
      </c>
    </row>
    <row r="8" spans="1:29" x14ac:dyDescent="0.2">
      <c r="A8" s="61" t="s">
        <v>10</v>
      </c>
      <c r="B8" s="35">
        <f>'Feedstock Yields'!B60</f>
        <v>264</v>
      </c>
      <c r="C8" s="35">
        <f>'Feedstock Yields'!C60</f>
        <v>429</v>
      </c>
      <c r="D8" s="35">
        <f>'Feedstock Yields'!D60</f>
        <v>416</v>
      </c>
      <c r="E8" s="35">
        <f>'Feedstock Yields'!E60</f>
        <v>364</v>
      </c>
      <c r="F8" s="35">
        <f>'Feedstock Yields'!F60</f>
        <v>443</v>
      </c>
      <c r="G8" s="35">
        <f>'Feedstock Yields'!G60</f>
        <v>543.78</v>
      </c>
      <c r="H8" s="35">
        <f>'Feedstock Yields'!H60</f>
        <v>545.51</v>
      </c>
      <c r="I8" s="35">
        <f>'Feedstock Yields'!I60</f>
        <v>581.33000000000004</v>
      </c>
      <c r="J8" s="35">
        <f>'Feedstock Yields'!J60</f>
        <v>659.05</v>
      </c>
      <c r="K8" s="35">
        <f>'Feedstock Yields'!K60</f>
        <v>805.35</v>
      </c>
      <c r="L8" s="35">
        <f>'Feedstock Yields'!L60</f>
        <v>607.24367577257226</v>
      </c>
      <c r="M8" s="35">
        <f>'Feedstock Yields'!M60</f>
        <v>593.74400000000003</v>
      </c>
      <c r="N8" s="35">
        <f>'Feedstock Yields'!N60</f>
        <v>662.75699999999995</v>
      </c>
      <c r="O8" s="36">
        <f>'Feedstock Yields'!O60</f>
        <v>596.85599999999999</v>
      </c>
      <c r="P8" s="36">
        <f>'Feedstock Yields'!P60</f>
        <v>581.18600000000004</v>
      </c>
      <c r="Q8" s="36">
        <f>'Feedstock Yields'!Q60</f>
        <v>546.25113359902548</v>
      </c>
      <c r="R8" s="36">
        <f>'Feedstock Yields'!R60</f>
        <v>560.43133289904654</v>
      </c>
      <c r="S8" s="36">
        <f>'Feedstock Yields'!S60</f>
        <v>453.26474050063194</v>
      </c>
      <c r="T8" s="36">
        <f>'Feedstock Yields'!T60</f>
        <v>504.39092036411125</v>
      </c>
      <c r="U8" s="36">
        <f>'Feedstock Yields'!U60</f>
        <v>500.83217369572662</v>
      </c>
      <c r="V8" s="36">
        <f>'Feedstock Yields'!V60</f>
        <v>479.44861536924287</v>
      </c>
      <c r="W8" s="36">
        <f>'Feedstock Yields'!W60</f>
        <v>495.74258728277994</v>
      </c>
      <c r="X8" s="36">
        <f>'Feedstock Yields'!X60</f>
        <v>287.86147749829581</v>
      </c>
      <c r="Y8" s="36">
        <f>'Feedstock Yields'!Y60</f>
        <v>433.89320150014026</v>
      </c>
      <c r="Z8" s="36">
        <f>'Feedstock Yields'!Z60</f>
        <v>426.34824663138772</v>
      </c>
      <c r="AA8" s="36">
        <f>'Feedstock Yields'!AA60</f>
        <v>399.25428311394978</v>
      </c>
      <c r="AB8" s="70">
        <f t="shared" si="1"/>
        <v>0.18203584987493526</v>
      </c>
      <c r="AC8" s="70">
        <f t="shared" si="0"/>
        <v>-9.9434634413517964E-2</v>
      </c>
    </row>
    <row r="9" spans="1:29" x14ac:dyDescent="0.2">
      <c r="A9" s="61" t="s">
        <v>11</v>
      </c>
      <c r="B9" s="35">
        <f>'Feedstock Yields'!B61</f>
        <v>311</v>
      </c>
      <c r="C9" s="35">
        <f>'Feedstock Yields'!C61</f>
        <v>369</v>
      </c>
      <c r="D9" s="35">
        <f>'Feedstock Yields'!D61</f>
        <v>486</v>
      </c>
      <c r="E9" s="35">
        <f>'Feedstock Yields'!E61</f>
        <v>466.61</v>
      </c>
      <c r="F9" s="35">
        <f>'Feedstock Yields'!F61</f>
        <v>474</v>
      </c>
      <c r="G9" s="35">
        <f>'Feedstock Yields'!G61</f>
        <v>519.69000000000005</v>
      </c>
      <c r="H9" s="35">
        <f>'Feedstock Yields'!H61</f>
        <v>548.84</v>
      </c>
      <c r="I9" s="35">
        <f>'Feedstock Yields'!I61</f>
        <v>623.61</v>
      </c>
      <c r="J9" s="35">
        <f>'Feedstock Yields'!J61</f>
        <v>594.15</v>
      </c>
      <c r="K9" s="35">
        <f>'Feedstock Yields'!K61</f>
        <v>747.07</v>
      </c>
      <c r="L9" s="35">
        <f>'Feedstock Yields'!L61</f>
        <v>447.52073891518546</v>
      </c>
      <c r="M9" s="35">
        <f>'Feedstock Yields'!M61</f>
        <v>559.88699999999994</v>
      </c>
      <c r="N9" s="35">
        <f>'Feedstock Yields'!N61</f>
        <v>627.38300000000004</v>
      </c>
      <c r="O9" s="36">
        <f>'Feedstock Yields'!O61</f>
        <v>577.89058302499996</v>
      </c>
      <c r="P9" s="36">
        <f>'Feedstock Yields'!P61</f>
        <v>577.89058302499996</v>
      </c>
      <c r="Q9" s="36">
        <f>'Feedstock Yields'!Q61</f>
        <v>461.83533453162818</v>
      </c>
      <c r="R9" s="36">
        <f>'Feedstock Yields'!R61</f>
        <v>505.41650033070573</v>
      </c>
      <c r="S9" s="36">
        <f>'Feedstock Yields'!S61</f>
        <v>406.59054451624291</v>
      </c>
      <c r="T9" s="36">
        <f>'Feedstock Yields'!T61</f>
        <v>446.46097525409687</v>
      </c>
      <c r="U9" s="36">
        <f>'Feedstock Yields'!U61</f>
        <v>432.19584799962183</v>
      </c>
      <c r="V9" s="36">
        <f>'Feedstock Yields'!V61</f>
        <v>420.3874965282883</v>
      </c>
      <c r="W9" s="36">
        <f>'Feedstock Yields'!W61</f>
        <v>435.20364012958805</v>
      </c>
      <c r="X9" s="36">
        <f>'Feedstock Yields'!X61</f>
        <v>253.42712247691475</v>
      </c>
      <c r="Y9" s="36">
        <f>'Feedstock Yields'!Y61</f>
        <v>376.27387402624731</v>
      </c>
      <c r="Z9" s="36">
        <f>'Feedstock Yields'!Z61</f>
        <v>369.73477511401865</v>
      </c>
      <c r="AA9" s="36">
        <f>'Feedstock Yields'!AA61</f>
        <v>359.56779492154459</v>
      </c>
      <c r="AB9" s="70">
        <f t="shared" si="1"/>
        <v>-3.177553207976469E-2</v>
      </c>
      <c r="AC9" s="70">
        <f t="shared" si="0"/>
        <v>-7.8887086476681856E-2</v>
      </c>
    </row>
    <row r="10" spans="1:29" x14ac:dyDescent="0.2">
      <c r="A10" s="61" t="s">
        <v>12</v>
      </c>
      <c r="B10" s="35">
        <f>'Feedstock Yields'!B62</f>
        <v>367</v>
      </c>
      <c r="C10" s="35">
        <f>'Feedstock Yields'!C62</f>
        <v>347</v>
      </c>
      <c r="D10" s="35">
        <f>'Feedstock Yields'!D62</f>
        <v>480</v>
      </c>
      <c r="E10" s="35">
        <f>'Feedstock Yields'!E62</f>
        <v>434.63</v>
      </c>
      <c r="F10" s="35">
        <f>'Feedstock Yields'!F62</f>
        <v>446</v>
      </c>
      <c r="G10" s="35">
        <f>'Feedstock Yields'!G62</f>
        <v>535.6</v>
      </c>
      <c r="H10" s="35">
        <f>'Feedstock Yields'!H62</f>
        <v>606.15</v>
      </c>
      <c r="I10" s="35">
        <f>'Feedstock Yields'!I62</f>
        <v>671.27</v>
      </c>
      <c r="J10" s="35">
        <f>'Feedstock Yields'!J62</f>
        <v>708.5</v>
      </c>
      <c r="K10" s="35">
        <f>'Feedstock Yields'!K62</f>
        <v>774.83</v>
      </c>
      <c r="L10" s="35">
        <f>'Feedstock Yields'!L62</f>
        <v>622.37633218578083</v>
      </c>
      <c r="M10" s="35">
        <f>'Feedstock Yields'!M62</f>
        <v>625.98500000000001</v>
      </c>
      <c r="N10" s="35">
        <f>'Feedstock Yields'!N62</f>
        <v>678.70100000000002</v>
      </c>
      <c r="O10" s="36">
        <f>'Feedstock Yields'!O62</f>
        <v>641.88599999999997</v>
      </c>
      <c r="P10" s="36">
        <f>'Feedstock Yields'!P62</f>
        <v>560.31575386306213</v>
      </c>
      <c r="Q10" s="36">
        <f>'Feedstock Yields'!Q62</f>
        <v>533.67073822780458</v>
      </c>
      <c r="R10" s="36">
        <f>'Feedstock Yields'!R62</f>
        <v>545.44120680226638</v>
      </c>
      <c r="S10" s="36">
        <f>'Feedstock Yields'!S62</f>
        <v>434.76397434239664</v>
      </c>
      <c r="T10" s="36">
        <f>'Feedstock Yields'!T62</f>
        <v>476.57111919495611</v>
      </c>
      <c r="U10" s="36">
        <f>'Feedstock Yields'!U62</f>
        <v>465.30901230736947</v>
      </c>
      <c r="V10" s="36">
        <f>'Feedstock Yields'!V62</f>
        <v>458.4039351066138</v>
      </c>
      <c r="W10" s="36">
        <f>'Feedstock Yields'!W62</f>
        <v>471.12526157071227</v>
      </c>
      <c r="X10" s="36">
        <f>'Feedstock Yields'!X62</f>
        <v>272.97951371151669</v>
      </c>
      <c r="Y10" s="36">
        <f>'Feedstock Yields'!Y62</f>
        <v>408.96998070609533</v>
      </c>
      <c r="Z10" s="36">
        <f>'Feedstock Yields'!Z62</f>
        <v>402.19921465654153</v>
      </c>
      <c r="AA10" s="36">
        <f>'Feedstock Yields'!AA62</f>
        <v>380.33220497068692</v>
      </c>
      <c r="AB10" s="70">
        <f t="shared" si="1"/>
        <v>0.11073967781238525</v>
      </c>
      <c r="AC10" s="70">
        <f t="shared" si="0"/>
        <v>-5.4243326590059593E-2</v>
      </c>
    </row>
    <row r="11" spans="1:29" x14ac:dyDescent="0.2">
      <c r="A11" s="61" t="s">
        <v>13</v>
      </c>
      <c r="B11" s="35">
        <f>'Feedstock Yields'!B63</f>
        <v>398</v>
      </c>
      <c r="C11" s="35">
        <f>'Feedstock Yields'!C63</f>
        <v>385</v>
      </c>
      <c r="D11" s="35">
        <f>'Feedstock Yields'!D63</f>
        <v>513</v>
      </c>
      <c r="E11" s="35">
        <f>'Feedstock Yields'!E63</f>
        <v>447.81</v>
      </c>
      <c r="F11" s="35">
        <f>'Feedstock Yields'!F63</f>
        <v>463.6</v>
      </c>
      <c r="G11" s="35">
        <f>'Feedstock Yields'!G63</f>
        <v>561.04</v>
      </c>
      <c r="H11" s="35">
        <f>'Feedstock Yields'!H63</f>
        <v>608.16999999999996</v>
      </c>
      <c r="I11" s="35">
        <f>'Feedstock Yields'!I63</f>
        <v>705.13</v>
      </c>
      <c r="J11" s="35">
        <f>'Feedstock Yields'!J63</f>
        <v>701.14</v>
      </c>
      <c r="K11" s="35">
        <f>'Feedstock Yields'!K63</f>
        <v>745.33</v>
      </c>
      <c r="L11" s="35">
        <f>'Feedstock Yields'!L63</f>
        <v>513.57724767128968</v>
      </c>
      <c r="M11" s="35">
        <f>'Feedstock Yields'!M63</f>
        <v>642.899</v>
      </c>
      <c r="N11" s="35">
        <f>'Feedstock Yields'!N63</f>
        <v>617.53700000000003</v>
      </c>
      <c r="O11" s="36">
        <f>'Feedstock Yields'!O63</f>
        <v>636.02</v>
      </c>
      <c r="P11" s="36">
        <f>'Feedstock Yields'!P63</f>
        <v>555.61878854051258</v>
      </c>
      <c r="Q11" s="36">
        <f>'Feedstock Yields'!Q63</f>
        <v>501.06467126689108</v>
      </c>
      <c r="R11" s="36">
        <f>'Feedstock Yields'!R63</f>
        <v>525.8255985867072</v>
      </c>
      <c r="S11" s="36">
        <f>'Feedstock Yields'!S63</f>
        <v>414.19422032035686</v>
      </c>
      <c r="T11" s="36">
        <f>'Feedstock Yields'!T63</f>
        <v>458.36581128206257</v>
      </c>
      <c r="U11" s="36">
        <f>'Feedstock Yields'!U63</f>
        <v>445.3415257231909</v>
      </c>
      <c r="V11" s="36">
        <f>'Feedstock Yields'!V63</f>
        <v>436.17132480053908</v>
      </c>
      <c r="W11" s="36">
        <f>'Feedstock Yields'!W63</f>
        <v>449.76006891920969</v>
      </c>
      <c r="X11" s="36">
        <f>'Feedstock Yields'!X63</f>
        <v>260.91963765413448</v>
      </c>
      <c r="Y11" s="36">
        <f>'Feedstock Yields'!Y63</f>
        <v>389.33737554298142</v>
      </c>
      <c r="Z11" s="36">
        <f>'Feedstock Yields'!Z63</f>
        <v>382.64567152419158</v>
      </c>
      <c r="AA11" s="36">
        <f>'Feedstock Yields'!AA63</f>
        <v>365.15396634007016</v>
      </c>
      <c r="AB11" s="70">
        <f t="shared" si="1"/>
        <v>-9.1386944099107748E-3</v>
      </c>
      <c r="AC11" s="70">
        <f t="shared" si="0"/>
        <v>2.9930190417740032E-2</v>
      </c>
    </row>
    <row r="12" spans="1:29" x14ac:dyDescent="0.2">
      <c r="A12" s="61" t="s">
        <v>14</v>
      </c>
      <c r="B12" s="35">
        <f>'Feedstock Yields'!B64</f>
        <v>430</v>
      </c>
      <c r="C12" s="35">
        <f>'Feedstock Yields'!C64</f>
        <v>322</v>
      </c>
      <c r="D12" s="35">
        <f>'Feedstock Yields'!D64</f>
        <v>502</v>
      </c>
      <c r="E12" s="35">
        <f>'Feedstock Yields'!E64</f>
        <v>395.21</v>
      </c>
      <c r="F12" s="35">
        <f>'Feedstock Yields'!F64</f>
        <v>390</v>
      </c>
      <c r="G12" s="35">
        <f>'Feedstock Yields'!G64</f>
        <v>536.84</v>
      </c>
      <c r="H12" s="35">
        <f>'Feedstock Yields'!H64</f>
        <v>603.91</v>
      </c>
      <c r="I12" s="35">
        <f>'Feedstock Yields'!I64</f>
        <v>688.71</v>
      </c>
      <c r="J12" s="35">
        <f>'Feedstock Yields'!J64</f>
        <v>598.79999999999995</v>
      </c>
      <c r="K12" s="35">
        <f>'Feedstock Yields'!K64</f>
        <v>736.53</v>
      </c>
      <c r="L12" s="35">
        <f>'Feedstock Yields'!L64</f>
        <v>572.51958262530229</v>
      </c>
      <c r="M12" s="35">
        <f>'Feedstock Yields'!M64</f>
        <v>595.70399999999995</v>
      </c>
      <c r="N12" s="35">
        <f>'Feedstock Yields'!N64</f>
        <v>619.99400000000003</v>
      </c>
      <c r="O12" s="36">
        <f>'Feedstock Yields'!O64</f>
        <v>673.00900000000001</v>
      </c>
      <c r="P12" s="36">
        <f>'Feedstock Yields'!P64</f>
        <v>561.14771744976179</v>
      </c>
      <c r="Q12" s="36">
        <f>'Feedstock Yields'!Q64</f>
        <v>510.94886124516131</v>
      </c>
      <c r="R12" s="36">
        <f>'Feedstock Yields'!R64</f>
        <v>531.79382214527379</v>
      </c>
      <c r="S12" s="36">
        <f>'Feedstock Yields'!S64</f>
        <v>425.95494998719079</v>
      </c>
      <c r="T12" s="36">
        <f>'Feedstock Yields'!T64</f>
        <v>484.17450948437431</v>
      </c>
      <c r="U12" s="36">
        <f>'Feedstock Yields'!U64</f>
        <v>458.96784165779047</v>
      </c>
      <c r="V12" s="36">
        <f>'Feedstock Yields'!V64</f>
        <v>449.92809064909454</v>
      </c>
      <c r="W12" s="36">
        <f>'Feedstock Yields'!W64</f>
        <v>464.68715273083001</v>
      </c>
      <c r="X12" s="36">
        <f>'Feedstock Yields'!X64</f>
        <v>270.29838208920785</v>
      </c>
      <c r="Y12" s="36">
        <f>'Feedstock Yields'!Y64</f>
        <v>405.20396861262338</v>
      </c>
      <c r="Z12" s="36">
        <f>'Feedstock Yields'!Z64</f>
        <v>396.24863984975411</v>
      </c>
      <c r="AA12" s="36">
        <f>'Feedstock Yields'!AA64</f>
        <v>375.77888844089449</v>
      </c>
      <c r="AB12" s="70">
        <f t="shared" si="1"/>
        <v>5.8156976195717247E-2</v>
      </c>
      <c r="AC12" s="70">
        <f t="shared" si="0"/>
        <v>8.5508892021535665E-2</v>
      </c>
    </row>
    <row r="13" spans="1:29" x14ac:dyDescent="0.2">
      <c r="A13" s="61" t="s">
        <v>15</v>
      </c>
      <c r="B13" s="35">
        <f>'Feedstock Yields'!B65</f>
        <v>527</v>
      </c>
      <c r="C13" s="35">
        <f>'Feedstock Yields'!C65</f>
        <v>307</v>
      </c>
      <c r="D13" s="35">
        <f>'Feedstock Yields'!D65</f>
        <v>551</v>
      </c>
      <c r="E13" s="35">
        <f>'Feedstock Yields'!E65</f>
        <v>458.81</v>
      </c>
      <c r="F13" s="35">
        <f>'Feedstock Yields'!F65</f>
        <v>408</v>
      </c>
      <c r="G13" s="35">
        <f>'Feedstock Yields'!G65</f>
        <v>525.96</v>
      </c>
      <c r="H13" s="35">
        <f>'Feedstock Yields'!H65</f>
        <v>577.42999999999995</v>
      </c>
      <c r="I13" s="35">
        <f>'Feedstock Yields'!I65</f>
        <v>698.88</v>
      </c>
      <c r="J13" s="35">
        <f>'Feedstock Yields'!J65</f>
        <v>557.52</v>
      </c>
      <c r="K13" s="35">
        <f>'Feedstock Yields'!K65</f>
        <v>723</v>
      </c>
      <c r="L13" s="35">
        <f>'Feedstock Yields'!L65</f>
        <v>650.4058749447114</v>
      </c>
      <c r="M13" s="35">
        <f>'Feedstock Yields'!M65</f>
        <v>640.09400000000005</v>
      </c>
      <c r="N13" s="35">
        <f>'Feedstock Yields'!N65</f>
        <v>645.47</v>
      </c>
      <c r="O13" s="36">
        <f>'Feedstock Yields'!O65</f>
        <v>518.05399999999997</v>
      </c>
      <c r="P13" s="36">
        <f>'Feedstock Yields'!P65</f>
        <v>533.66914165410537</v>
      </c>
      <c r="Q13" s="36">
        <f>'Feedstock Yields'!Q65</f>
        <v>522.3997203788324</v>
      </c>
      <c r="R13" s="36">
        <f>'Feedstock Yields'!R65</f>
        <v>523.24517740508566</v>
      </c>
      <c r="S13" s="36">
        <f>'Feedstock Yields'!S65</f>
        <v>406.87240627962495</v>
      </c>
      <c r="T13" s="36">
        <f>'Feedstock Yields'!T65</f>
        <v>439.55799003494877</v>
      </c>
      <c r="U13" s="36">
        <f>'Feedstock Yields'!U65</f>
        <v>443.05703757056096</v>
      </c>
      <c r="V13" s="36">
        <f>'Feedstock Yields'!V65</f>
        <v>429.53492525955409</v>
      </c>
      <c r="W13" s="36">
        <f>'Feedstock Yields'!W65</f>
        <v>445.28439608517988</v>
      </c>
      <c r="X13" s="36">
        <f>'Feedstock Yields'!X65</f>
        <v>406.35313683695279</v>
      </c>
      <c r="Y13" s="36">
        <f>'Feedstock Yields'!Y65</f>
        <v>404.89728393640047</v>
      </c>
      <c r="Z13" s="36">
        <f>'Feedstock Yields'!Z65</f>
        <v>454.31837270063778</v>
      </c>
      <c r="AA13" s="36">
        <f>'Feedstock Yields'!AA65</f>
        <v>377.04511867652889</v>
      </c>
      <c r="AB13" s="70">
        <f t="shared" si="1"/>
        <v>-0.2302420918590985</v>
      </c>
      <c r="AC13" s="70">
        <f t="shared" si="0"/>
        <v>-0.19740034393542694</v>
      </c>
    </row>
    <row r="14" spans="1:29" x14ac:dyDescent="0.2">
      <c r="A14" s="61" t="s">
        <v>16</v>
      </c>
      <c r="B14" s="35">
        <f>'Feedstock Yields'!B66</f>
        <v>538</v>
      </c>
      <c r="C14" s="35">
        <f>'Feedstock Yields'!C66</f>
        <v>246</v>
      </c>
      <c r="D14" s="35">
        <f>'Feedstock Yields'!D66</f>
        <v>535</v>
      </c>
      <c r="E14" s="35">
        <f>'Feedstock Yields'!E66</f>
        <v>447.12</v>
      </c>
      <c r="F14" s="35">
        <f>'Feedstock Yields'!F66</f>
        <v>464</v>
      </c>
      <c r="G14" s="35">
        <f>'Feedstock Yields'!G66</f>
        <v>595.83000000000004</v>
      </c>
      <c r="H14" s="35">
        <f>'Feedstock Yields'!H66</f>
        <v>590.79999999999995</v>
      </c>
      <c r="I14" s="35">
        <f>'Feedstock Yields'!I66</f>
        <v>703.79</v>
      </c>
      <c r="J14" s="35">
        <f>'Feedstock Yields'!J66</f>
        <v>526.53</v>
      </c>
      <c r="K14" s="35">
        <f>'Feedstock Yields'!K66</f>
        <v>683</v>
      </c>
      <c r="L14" s="35">
        <f>'Feedstock Yields'!L66</f>
        <v>492.70689999400793</v>
      </c>
      <c r="M14" s="35">
        <f>'Feedstock Yields'!M66</f>
        <v>593.81100000000004</v>
      </c>
      <c r="N14" s="35">
        <f>'Feedstock Yields'!N66</f>
        <v>612.95299999999997</v>
      </c>
      <c r="O14" s="36">
        <f>'Feedstock Yields'!O66</f>
        <v>467.47699999999998</v>
      </c>
      <c r="P14" s="36">
        <f>'Feedstock Yields'!P66</f>
        <v>510.64365685281876</v>
      </c>
      <c r="Q14" s="36">
        <f>'Feedstock Yields'!Q66</f>
        <v>461.36667774875764</v>
      </c>
      <c r="R14" s="36">
        <f>'Feedstock Yields'!R66</f>
        <v>476.08905757178326</v>
      </c>
      <c r="S14" s="36">
        <f>'Feedstock Yields'!S66</f>
        <v>368.62326465643173</v>
      </c>
      <c r="T14" s="36">
        <f>'Feedstock Yields'!T66</f>
        <v>393.24500706061974</v>
      </c>
      <c r="U14" s="36">
        <f>'Feedstock Yields'!U66</f>
        <v>399.72958303528918</v>
      </c>
      <c r="V14" s="36">
        <f>'Feedstock Yields'!V66</f>
        <v>383.75353671134366</v>
      </c>
      <c r="W14" s="36">
        <f>'Feedstock Yields'!W66</f>
        <v>398.94110034947585</v>
      </c>
      <c r="X14" s="36">
        <f>'Feedstock Yields'!X66</f>
        <v>362.78498566162568</v>
      </c>
      <c r="Y14" s="36">
        <f>'Feedstock Yields'!Y66</f>
        <v>361.48625101104074</v>
      </c>
      <c r="Z14" s="36">
        <f>'Feedstock Yields'!Z66</f>
        <v>412.91919184540217</v>
      </c>
      <c r="AA14" s="36">
        <f>'Feedstock Yields'!AA66</f>
        <v>359.56324818405807</v>
      </c>
      <c r="AB14" s="70">
        <f t="shared" si="1"/>
        <v>-9.7628818617364166E-2</v>
      </c>
      <c r="AC14" s="70">
        <f t="shared" si="0"/>
        <v>-0.23733630474114653</v>
      </c>
    </row>
    <row r="15" spans="1:29" x14ac:dyDescent="0.2">
      <c r="A15" s="61" t="s">
        <v>17</v>
      </c>
      <c r="B15" s="35">
        <f>'Feedstock Yields'!B67</f>
        <v>592</v>
      </c>
      <c r="C15" s="35">
        <f>'Feedstock Yields'!C67</f>
        <v>273</v>
      </c>
      <c r="D15" s="35">
        <f>'Feedstock Yields'!D67</f>
        <v>559</v>
      </c>
      <c r="E15" s="35">
        <f>'Feedstock Yields'!E67</f>
        <v>531.30999999999995</v>
      </c>
      <c r="F15" s="35">
        <f>'Feedstock Yields'!F67</f>
        <v>436</v>
      </c>
      <c r="G15" s="35">
        <f>'Feedstock Yields'!G67</f>
        <v>610.47</v>
      </c>
      <c r="H15" s="35">
        <f>'Feedstock Yields'!H67</f>
        <v>593.99</v>
      </c>
      <c r="I15" s="35">
        <f>'Feedstock Yields'!I67</f>
        <v>767.76</v>
      </c>
      <c r="J15" s="35">
        <f>'Feedstock Yields'!J67</f>
        <v>541.04999999999995</v>
      </c>
      <c r="K15" s="35">
        <f>'Feedstock Yields'!K67</f>
        <v>744</v>
      </c>
      <c r="L15" s="35">
        <f>'Feedstock Yields'!L67</f>
        <v>647.82612356375694</v>
      </c>
      <c r="M15" s="35">
        <f>'Feedstock Yields'!M67</f>
        <v>533.59299999999996</v>
      </c>
      <c r="N15" s="35">
        <f>'Feedstock Yields'!N67</f>
        <v>603</v>
      </c>
      <c r="O15" s="36">
        <f>'Feedstock Yields'!O67</f>
        <v>399.74799999999999</v>
      </c>
      <c r="P15" s="36">
        <f>'Feedstock Yields'!P67</f>
        <v>956.09398905716296</v>
      </c>
      <c r="Q15" s="36">
        <f>'Feedstock Yields'!Q67</f>
        <v>492.52296821074714</v>
      </c>
      <c r="R15" s="36">
        <f>'Feedstock Yields'!R67</f>
        <v>552.64340863047289</v>
      </c>
      <c r="S15" s="36">
        <f>'Feedstock Yields'!S67</f>
        <v>447.27747483787277</v>
      </c>
      <c r="T15" s="36">
        <f>'Feedstock Yields'!T67</f>
        <v>498.41094817462476</v>
      </c>
      <c r="U15" s="36">
        <f>'Feedstock Yields'!U67</f>
        <v>536.21871720282263</v>
      </c>
      <c r="V15" s="36">
        <f>'Feedstock Yields'!V67</f>
        <v>463.59891732391429</v>
      </c>
      <c r="W15" s="36">
        <f>'Feedstock Yields'!W67</f>
        <v>492.92517860697114</v>
      </c>
      <c r="X15" s="36">
        <f>'Feedstock Yields'!X67</f>
        <v>392.71009107891791</v>
      </c>
      <c r="Y15" s="36">
        <f>'Feedstock Yields'!Y67</f>
        <v>421.05639879611931</v>
      </c>
      <c r="Z15" s="36">
        <f>'Feedstock Yields'!Z67</f>
        <v>473.48062082796849</v>
      </c>
      <c r="AA15" s="36">
        <f>'Feedstock Yields'!AA67</f>
        <v>418.41727055624153</v>
      </c>
      <c r="AB15" s="70">
        <f t="shared" si="1"/>
        <v>-0.14488199419436676</v>
      </c>
      <c r="AC15" s="70">
        <f t="shared" si="0"/>
        <v>-0.33706799336650084</v>
      </c>
    </row>
    <row r="16" spans="1:29" x14ac:dyDescent="0.2">
      <c r="A16" s="64" t="s">
        <v>18</v>
      </c>
      <c r="B16" s="65">
        <f>SUM(B4:B15)</f>
        <v>4153</v>
      </c>
      <c r="C16" s="65">
        <f t="shared" ref="C16:AA16" si="2">SUM(C4:C15)</f>
        <v>4043</v>
      </c>
      <c r="D16" s="65">
        <f t="shared" si="2"/>
        <v>5508</v>
      </c>
      <c r="E16" s="65">
        <f t="shared" si="2"/>
        <v>4802.5</v>
      </c>
      <c r="F16" s="65">
        <f t="shared" si="2"/>
        <v>4907.2</v>
      </c>
      <c r="G16" s="65">
        <f t="shared" si="2"/>
        <v>6116.71</v>
      </c>
      <c r="H16" s="65">
        <f t="shared" si="2"/>
        <v>6230.2600000000011</v>
      </c>
      <c r="I16" s="65">
        <f t="shared" si="2"/>
        <v>7541.9000000000005</v>
      </c>
      <c r="J16" s="65">
        <f t="shared" si="2"/>
        <v>7317.9700000000012</v>
      </c>
      <c r="K16" s="65">
        <f t="shared" si="2"/>
        <v>8382.7199999999993</v>
      </c>
      <c r="L16" s="65">
        <f t="shared" si="2"/>
        <v>6400.5502016380979</v>
      </c>
      <c r="M16" s="65">
        <f t="shared" si="2"/>
        <v>7100.4959999999992</v>
      </c>
      <c r="N16" s="65">
        <f t="shared" si="2"/>
        <v>7332.1859999999997</v>
      </c>
      <c r="O16" s="66">
        <f t="shared" si="2"/>
        <v>6629.639144025</v>
      </c>
      <c r="P16" s="66">
        <f t="shared" si="2"/>
        <v>6722.4606304424233</v>
      </c>
      <c r="Q16" s="66">
        <f t="shared" si="2"/>
        <v>5878.6839187233909</v>
      </c>
      <c r="R16" s="66">
        <f t="shared" si="2"/>
        <v>6074.37680791612</v>
      </c>
      <c r="S16" s="66">
        <f t="shared" si="2"/>
        <v>4808.3803085275586</v>
      </c>
      <c r="T16" s="66">
        <f t="shared" si="2"/>
        <v>5303.6688614442119</v>
      </c>
      <c r="U16" s="66">
        <f t="shared" si="2"/>
        <v>5217.8390745046445</v>
      </c>
      <c r="V16" s="66">
        <f t="shared" si="2"/>
        <v>5055.3542262591391</v>
      </c>
      <c r="W16" s="66">
        <f t="shared" si="2"/>
        <v>5220.1175763927595</v>
      </c>
      <c r="X16" s="66">
        <f t="shared" si="2"/>
        <v>3472.4584747522786</v>
      </c>
      <c r="Y16" s="66">
        <f t="shared" si="2"/>
        <v>4602.4487734865079</v>
      </c>
      <c r="Z16" s="66">
        <f t="shared" si="2"/>
        <v>4700.2795824639879</v>
      </c>
      <c r="AA16" s="66">
        <f t="shared" si="2"/>
        <v>4349.1765127494455</v>
      </c>
      <c r="AC16" s="70">
        <f t="shared" si="0"/>
        <v>-9.5816834975953946E-2</v>
      </c>
    </row>
    <row r="18" spans="1:30" ht="12" thickBot="1" x14ac:dyDescent="0.25">
      <c r="A18" s="61" t="s">
        <v>41</v>
      </c>
    </row>
    <row r="19" spans="1:30" ht="12.75" thickTop="1" thickBot="1" x14ac:dyDescent="0.25">
      <c r="A19" s="62"/>
      <c r="B19" s="63">
        <f>B3</f>
        <v>2011</v>
      </c>
      <c r="C19" s="63">
        <f t="shared" ref="C19:AA19" si="3">C3</f>
        <v>2012</v>
      </c>
      <c r="D19" s="63">
        <f t="shared" si="3"/>
        <v>2013</v>
      </c>
      <c r="E19" s="63">
        <f t="shared" si="3"/>
        <v>2014</v>
      </c>
      <c r="F19" s="63">
        <f t="shared" si="3"/>
        <v>2015</v>
      </c>
      <c r="G19" s="63">
        <f t="shared" si="3"/>
        <v>2016</v>
      </c>
      <c r="H19" s="63">
        <f t="shared" si="3"/>
        <v>2017</v>
      </c>
      <c r="I19" s="63">
        <f t="shared" si="3"/>
        <v>2018</v>
      </c>
      <c r="J19" s="63">
        <f t="shared" si="3"/>
        <v>2019</v>
      </c>
      <c r="K19" s="63">
        <f t="shared" si="3"/>
        <v>2020</v>
      </c>
      <c r="L19" s="63">
        <f t="shared" si="3"/>
        <v>2021</v>
      </c>
      <c r="M19" s="63">
        <f t="shared" si="3"/>
        <v>2022</v>
      </c>
      <c r="N19" s="63">
        <f t="shared" si="3"/>
        <v>2023</v>
      </c>
      <c r="O19" s="63">
        <f t="shared" si="3"/>
        <v>2024</v>
      </c>
      <c r="P19" s="63">
        <f t="shared" si="3"/>
        <v>2025</v>
      </c>
      <c r="Q19" s="63">
        <f t="shared" si="3"/>
        <v>2026</v>
      </c>
      <c r="R19" s="63">
        <f t="shared" si="3"/>
        <v>2027</v>
      </c>
      <c r="S19" s="63">
        <f t="shared" si="3"/>
        <v>2028</v>
      </c>
      <c r="T19" s="63">
        <f t="shared" si="3"/>
        <v>2029</v>
      </c>
      <c r="U19" s="63">
        <f t="shared" si="3"/>
        <v>2030</v>
      </c>
      <c r="V19" s="63">
        <f t="shared" si="3"/>
        <v>2031</v>
      </c>
      <c r="W19" s="63">
        <f t="shared" si="3"/>
        <v>2032</v>
      </c>
      <c r="X19" s="63">
        <f t="shared" si="3"/>
        <v>2033</v>
      </c>
      <c r="Y19" s="63">
        <f t="shared" si="3"/>
        <v>2034</v>
      </c>
      <c r="Z19" s="63">
        <f t="shared" si="3"/>
        <v>2035</v>
      </c>
      <c r="AA19" s="63">
        <f t="shared" si="3"/>
        <v>2036</v>
      </c>
    </row>
    <row r="20" spans="1:30" ht="12" thickTop="1" x14ac:dyDescent="0.2">
      <c r="A20" s="61" t="s">
        <v>6</v>
      </c>
      <c r="B20" s="35">
        <f>'[1]Canola Complex'!AZ341</f>
        <v>8</v>
      </c>
      <c r="C20" s="35">
        <f>'[1]Canola Complex'!BA341</f>
        <v>73</v>
      </c>
      <c r="D20" s="35">
        <f>'[1]Canola Complex'!BB341</f>
        <v>16</v>
      </c>
      <c r="E20" s="35">
        <f>'[1]Canola Complex'!BC341</f>
        <v>36</v>
      </c>
      <c r="F20" s="35">
        <f>'[1]Canola Complex'!BD341</f>
        <v>65</v>
      </c>
      <c r="G20" s="35">
        <f>'[1]Canola Complex'!BE341</f>
        <v>60.83</v>
      </c>
      <c r="H20" s="35">
        <f>'[1]Canola Complex'!BF341</f>
        <v>37.909999999999997</v>
      </c>
      <c r="I20" s="35">
        <f>'[1]Canola Complex'!BG341</f>
        <v>128.03</v>
      </c>
      <c r="J20" s="35">
        <f>'[1]Canola Complex'!BH341</f>
        <v>95.188333333333389</v>
      </c>
      <c r="K20" s="35">
        <f>'[1]Canola Complex'!BI341</f>
        <v>109</v>
      </c>
      <c r="L20" s="35">
        <f>'[1]Canola Complex'!BJ341</f>
        <v>227.95051681497193</v>
      </c>
      <c r="M20" s="35">
        <f>'[1]Canola Complex'!BK341</f>
        <v>63.920999999999999</v>
      </c>
      <c r="N20" s="35">
        <f>'[1]Canola Complex'!BL341</f>
        <v>95.943749308474011</v>
      </c>
      <c r="O20" s="35">
        <f>'[1]Canola Complex'!BM341</f>
        <v>152.648</v>
      </c>
      <c r="P20" s="35">
        <f>'[1]Canola Complex'!BN341</f>
        <v>48.89</v>
      </c>
      <c r="Q20" s="35">
        <f>'[1]Canola Complex'!BO341</f>
        <v>214.58188351178646</v>
      </c>
      <c r="R20" s="35">
        <f>'[1]Canola Complex'!BP341</f>
        <v>117.07592701287648</v>
      </c>
      <c r="S20" s="35">
        <f>'[1]Canola Complex'!BQ341</f>
        <v>98.761686863973296</v>
      </c>
      <c r="T20" s="35">
        <f>'[1]Canola Complex'!BR341</f>
        <v>116.85472874670795</v>
      </c>
      <c r="U20" s="35">
        <f>'[1]Canola Complex'!BS341</f>
        <v>114.70989711368125</v>
      </c>
      <c r="V20" s="35">
        <f>'[1]Canola Complex'!BT341</f>
        <v>126.48828925065811</v>
      </c>
      <c r="W20" s="35">
        <f>'[1]Canola Complex'!BU341</f>
        <v>119.86224761994427</v>
      </c>
      <c r="X20" s="35">
        <f>'[1]Canola Complex'!BV341</f>
        <v>140.87090247299383</v>
      </c>
      <c r="Y20" s="35">
        <f>'[1]Canola Complex'!BW341</f>
        <v>125.61048490291391</v>
      </c>
      <c r="Z20" s="35">
        <f>'[1]Canola Complex'!BX341</f>
        <v>124.81362843006137</v>
      </c>
      <c r="AA20" s="35">
        <f>'[1]Canola Complex'!BY341</f>
        <v>80.28811418301521</v>
      </c>
      <c r="AD20" s="32">
        <v>2.9</v>
      </c>
    </row>
    <row r="21" spans="1:30" x14ac:dyDescent="0.2">
      <c r="A21" s="61" t="s">
        <v>7</v>
      </c>
      <c r="B21" s="35">
        <f>'[1]Canola Complex'!AZ342</f>
        <v>26</v>
      </c>
      <c r="C21" s="35">
        <f>'[1]Canola Complex'!BA342</f>
        <v>90</v>
      </c>
      <c r="D21" s="35">
        <f>'[1]Canola Complex'!BB342</f>
        <v>38</v>
      </c>
      <c r="E21" s="35">
        <f>'[1]Canola Complex'!BC342</f>
        <v>27</v>
      </c>
      <c r="F21" s="35">
        <f>'[1]Canola Complex'!BD342</f>
        <v>30</v>
      </c>
      <c r="G21" s="35">
        <f>'[1]Canola Complex'!BE342</f>
        <v>47.28</v>
      </c>
      <c r="H21" s="35">
        <f>'[1]Canola Complex'!BF342</f>
        <v>69</v>
      </c>
      <c r="I21" s="35">
        <f>'[1]Canola Complex'!BG342</f>
        <v>102.36</v>
      </c>
      <c r="J21" s="35">
        <f>'[1]Canola Complex'!BH342</f>
        <v>53.819999999999936</v>
      </c>
      <c r="K21" s="35">
        <f>'[1]Canola Complex'!BI342</f>
        <v>93.39</v>
      </c>
      <c r="L21" s="35">
        <f>'[1]Canola Complex'!BJ342</f>
        <v>85.328000000000003</v>
      </c>
      <c r="M21" s="35">
        <f>'[1]Canola Complex'!BK342</f>
        <v>59.081998216759644</v>
      </c>
      <c r="N21" s="35">
        <f>'[1]Canola Complex'!BL342</f>
        <v>66.343073137521245</v>
      </c>
      <c r="O21" s="35">
        <f>'[1]Canola Complex'!BM342</f>
        <v>129.77799999999999</v>
      </c>
      <c r="P21" s="35">
        <f>'[1]Canola Complex'!BN342</f>
        <v>50</v>
      </c>
      <c r="Q21" s="35">
        <f>'[1]Canola Complex'!BO342</f>
        <v>138.69069631712028</v>
      </c>
      <c r="R21" s="35">
        <f>'[1]Canola Complex'!BP342</f>
        <v>97.624179292075709</v>
      </c>
      <c r="S21" s="35">
        <f>'[1]Canola Complex'!BQ342</f>
        <v>76.159249655376513</v>
      </c>
      <c r="T21" s="35">
        <f>'[1]Canola Complex'!BR342</f>
        <v>92.04391393472379</v>
      </c>
      <c r="U21" s="35">
        <f>'[1]Canola Complex'!BS342</f>
        <v>88.16266359047539</v>
      </c>
      <c r="V21" s="35">
        <f>'[1]Canola Complex'!BT342</f>
        <v>94.769691995741312</v>
      </c>
      <c r="W21" s="35">
        <f>'[1]Canola Complex'!BU342</f>
        <v>93.559555284828221</v>
      </c>
      <c r="X21" s="35">
        <f>'[1]Canola Complex'!BV342</f>
        <v>87.397341542545703</v>
      </c>
      <c r="Y21" s="35">
        <f>'[1]Canola Complex'!BW342</f>
        <v>85.281197213966692</v>
      </c>
      <c r="Z21" s="35">
        <f>'[1]Canola Complex'!BX342</f>
        <v>83.14893496223695</v>
      </c>
      <c r="AA21" s="35">
        <f>'[1]Canola Complex'!BY342</f>
        <v>55.873587361236673</v>
      </c>
      <c r="AD21" s="32">
        <v>0.439</v>
      </c>
    </row>
    <row r="22" spans="1:30" x14ac:dyDescent="0.2">
      <c r="A22" s="61" t="s">
        <v>8</v>
      </c>
      <c r="B22" s="35">
        <f>'[1]Canola Complex'!AZ343</f>
        <v>68</v>
      </c>
      <c r="C22" s="35">
        <f>'[1]Canola Complex'!BA343</f>
        <v>117</v>
      </c>
      <c r="D22" s="35">
        <f>'[1]Canola Complex'!BB343</f>
        <v>39</v>
      </c>
      <c r="E22" s="35">
        <f>'[1]Canola Complex'!BC343</f>
        <v>32</v>
      </c>
      <c r="F22" s="35">
        <f>'[1]Canola Complex'!BD343</f>
        <v>80</v>
      </c>
      <c r="G22" s="35">
        <f>'[1]Canola Complex'!BE343</f>
        <v>68.19</v>
      </c>
      <c r="H22" s="35">
        <f>'[1]Canola Complex'!BF343</f>
        <v>129.93</v>
      </c>
      <c r="I22" s="35">
        <f>'[1]Canola Complex'!BG343</f>
        <v>100.98</v>
      </c>
      <c r="J22" s="35">
        <f>'[1]Canola Complex'!BH343</f>
        <v>83.11</v>
      </c>
      <c r="K22" s="35">
        <f>'[1]Canola Complex'!BI343</f>
        <v>131.41</v>
      </c>
      <c r="L22" s="35">
        <f>'[1]Canola Complex'!BJ343</f>
        <v>122.631</v>
      </c>
      <c r="M22" s="35">
        <f>'[1]Canola Complex'!BK343</f>
        <v>68.572284573221395</v>
      </c>
      <c r="N22" s="35">
        <f>'[1]Canola Complex'!BL343</f>
        <v>190.37899999999999</v>
      </c>
      <c r="O22" s="35">
        <f>'[1]Canola Complex'!BM343</f>
        <v>144.564888</v>
      </c>
      <c r="P22" s="35">
        <f>'[1]Canola Complex'!BN343</f>
        <v>150</v>
      </c>
      <c r="Q22" s="35">
        <f>'[1]Canola Complex'!BO343</f>
        <v>188.18592832449426</v>
      </c>
      <c r="R22" s="35">
        <f>'[1]Canola Complex'!BP343</f>
        <v>162.18215579738819</v>
      </c>
      <c r="S22" s="35">
        <f>'[1]Canola Complex'!BQ343</f>
        <v>132.63044739648942</v>
      </c>
      <c r="T22" s="35">
        <f>'[1]Canola Complex'!BR343</f>
        <v>148.41067244272656</v>
      </c>
      <c r="U22" s="35">
        <f>'[1]Canola Complex'!BS343</f>
        <v>155.04959454063342</v>
      </c>
      <c r="V22" s="35">
        <f>'[1]Canola Complex'!BT343</f>
        <v>152.50329918688766</v>
      </c>
      <c r="W22" s="35">
        <f>'[1]Canola Complex'!BU343</f>
        <v>156.74051688992077</v>
      </c>
      <c r="X22" s="35">
        <f>'[1]Canola Complex'!BV343</f>
        <v>146.61746447402018</v>
      </c>
      <c r="Y22" s="35">
        <f>'[1]Canola Complex'!BW343</f>
        <v>142.06066182314856</v>
      </c>
      <c r="Z22" s="35">
        <f>'[1]Canola Complex'!BX343</f>
        <v>139.41448378530035</v>
      </c>
      <c r="AA22" s="35">
        <f>'[1]Canola Complex'!BY343</f>
        <v>92.778104286812123</v>
      </c>
      <c r="AD22" s="32">
        <f>(AD21/AD20)</f>
        <v>0.1513793103448276</v>
      </c>
    </row>
    <row r="23" spans="1:30" x14ac:dyDescent="0.2">
      <c r="A23" s="61" t="s">
        <v>9</v>
      </c>
      <c r="B23" s="35">
        <f>'[1]Canola Complex'!AZ344</f>
        <v>88</v>
      </c>
      <c r="C23" s="35">
        <f>'[1]Canola Complex'!BA344</f>
        <v>112</v>
      </c>
      <c r="D23" s="35">
        <f>'[1]Canola Complex'!BB344</f>
        <v>47</v>
      </c>
      <c r="E23" s="35">
        <f>'[1]Canola Complex'!BC344</f>
        <v>58</v>
      </c>
      <c r="F23" s="35">
        <f>'[1]Canola Complex'!BD344</f>
        <v>94</v>
      </c>
      <c r="G23" s="35">
        <f>'[1]Canola Complex'!BE344</f>
        <v>91.57</v>
      </c>
      <c r="H23" s="35">
        <f>'[1]Canola Complex'!BF344</f>
        <v>119.74</v>
      </c>
      <c r="I23" s="35">
        <f>'[1]Canola Complex'!BG344</f>
        <v>116.42</v>
      </c>
      <c r="J23" s="35">
        <f>'[1]Canola Complex'!BH344</f>
        <v>120.72</v>
      </c>
      <c r="K23" s="35">
        <f>'[1]Canola Complex'!BI344</f>
        <v>138.44999999999999</v>
      </c>
      <c r="L23" s="35">
        <f>'[1]Canola Complex'!BJ344</f>
        <v>216.88422028148534</v>
      </c>
      <c r="M23" s="35">
        <f>'[1]Canola Complex'!BK344</f>
        <v>101.556</v>
      </c>
      <c r="N23" s="35">
        <f>'[1]Canola Complex'!BL344</f>
        <v>155.17699999999999</v>
      </c>
      <c r="O23" s="35">
        <f>'[1]Canola Complex'!BM344</f>
        <v>175.02799999999999</v>
      </c>
      <c r="P23" s="35">
        <f>'[1]Canola Complex'!BN344</f>
        <v>75</v>
      </c>
      <c r="Q23" s="35">
        <f>'[1]Canola Complex'!BO344</f>
        <v>159.73648914201027</v>
      </c>
      <c r="R23" s="35">
        <f>'[1]Canola Complex'!BP344</f>
        <v>137.02308144595852</v>
      </c>
      <c r="S23" s="35">
        <f>'[1]Canola Complex'!BQ344</f>
        <v>111.6891511973929</v>
      </c>
      <c r="T23" s="35">
        <f>'[1]Canola Complex'!BR344</f>
        <v>129.4500412671344</v>
      </c>
      <c r="U23" s="35">
        <f>'[1]Canola Complex'!BS344</f>
        <v>123.67939928297866</v>
      </c>
      <c r="V23" s="35">
        <f>'[1]Canola Complex'!BT344</f>
        <v>128.23784126933725</v>
      </c>
      <c r="W23" s="35">
        <f>'[1]Canola Complex'!BU344</f>
        <v>131.51423106424849</v>
      </c>
      <c r="X23" s="35">
        <f>'[1]Canola Complex'!BV344</f>
        <v>123.02137576406403</v>
      </c>
      <c r="Y23" s="35">
        <f>'[1]Canola Complex'!BW344</f>
        <v>119.0884440006356</v>
      </c>
      <c r="Z23" s="35">
        <f>'[1]Canola Complex'!BX344</f>
        <v>115.97363809027271</v>
      </c>
      <c r="AA23" s="35">
        <f>'[1]Canola Complex'!BY344</f>
        <v>77.896727682433038</v>
      </c>
    </row>
    <row r="24" spans="1:30" x14ac:dyDescent="0.2">
      <c r="A24" s="61" t="s">
        <v>10</v>
      </c>
      <c r="B24" s="35">
        <f>'[1]Canola Complex'!AZ345</f>
        <v>113</v>
      </c>
      <c r="C24" s="35">
        <f>'[1]Canola Complex'!BA345</f>
        <v>85</v>
      </c>
      <c r="D24" s="35">
        <f>'[1]Canola Complex'!BB345</f>
        <v>33</v>
      </c>
      <c r="E24" s="35">
        <f>'[1]Canola Complex'!BC345</f>
        <v>68</v>
      </c>
      <c r="F24" s="35">
        <f>'[1]Canola Complex'!BD345</f>
        <v>55</v>
      </c>
      <c r="G24" s="35">
        <f>'[1]Canola Complex'!BE345</f>
        <v>122.35</v>
      </c>
      <c r="H24" s="35">
        <f>'[1]Canola Complex'!BF345</f>
        <v>130.58000000000001</v>
      </c>
      <c r="I24" s="35">
        <f>'[1]Canola Complex'!BG345</f>
        <v>101.31005859375</v>
      </c>
      <c r="J24" s="35">
        <f>'[1]Canola Complex'!BH345</f>
        <v>102.51964195412279</v>
      </c>
      <c r="K24" s="35">
        <f>'[1]Canola Complex'!BI345</f>
        <v>129.75</v>
      </c>
      <c r="L24" s="35">
        <f>'[1]Canola Complex'!BJ345</f>
        <v>174.67826625670898</v>
      </c>
      <c r="M24" s="35">
        <f>'[1]Canola Complex'!BK345</f>
        <v>121.788</v>
      </c>
      <c r="N24" s="35">
        <f>'[1]Canola Complex'!BL345</f>
        <v>171.66900000000001</v>
      </c>
      <c r="O24" s="35">
        <f>'[1]Canola Complex'!BM345</f>
        <v>157.65700000000001</v>
      </c>
      <c r="P24" s="35">
        <f>'[1]Canola Complex'!BN345</f>
        <v>75</v>
      </c>
      <c r="Q24" s="35">
        <f>'[1]Canola Complex'!BO345</f>
        <v>146.05446951432239</v>
      </c>
      <c r="R24" s="35">
        <f>'[1]Canola Complex'!BP345</f>
        <v>136.99508084045408</v>
      </c>
      <c r="S24" s="35">
        <f>'[1]Canola Complex'!BQ345</f>
        <v>108.74245762421749</v>
      </c>
      <c r="T24" s="35">
        <f>'[1]Canola Complex'!BR345</f>
        <v>119.36955011564145</v>
      </c>
      <c r="U24" s="35">
        <f>'[1]Canola Complex'!BS345</f>
        <v>117.85045525654253</v>
      </c>
      <c r="V24" s="35">
        <f>'[1]Canola Complex'!BT345</f>
        <v>121.93854061822356</v>
      </c>
      <c r="W24" s="35">
        <f>'[1]Canola Complex'!BU345</f>
        <v>126.16518484217868</v>
      </c>
      <c r="X24" s="35">
        <f>'[1]Canola Complex'!BV345</f>
        <v>117.03164005221642</v>
      </c>
      <c r="Y24" s="35">
        <f>'[1]Canola Complex'!BW345</f>
        <v>112.79667957509666</v>
      </c>
      <c r="Z24" s="35">
        <f>'[1]Canola Complex'!BX345</f>
        <v>110.44468007690907</v>
      </c>
      <c r="AA24" s="35">
        <f>'[1]Canola Complex'!BY345</f>
        <v>74.174826650186205</v>
      </c>
    </row>
    <row r="25" spans="1:30" x14ac:dyDescent="0.2">
      <c r="A25" s="61" t="s">
        <v>11</v>
      </c>
      <c r="B25" s="35">
        <f>'[1]Canola Complex'!AZ346</f>
        <v>75</v>
      </c>
      <c r="C25" s="35">
        <f>'[1]Canola Complex'!BA346</f>
        <v>103</v>
      </c>
      <c r="D25" s="35">
        <f>'[1]Canola Complex'!BB346</f>
        <v>28</v>
      </c>
      <c r="E25" s="35">
        <f>'[1]Canola Complex'!BC346</f>
        <v>90.85</v>
      </c>
      <c r="F25" s="35">
        <f>'[1]Canola Complex'!BD346</f>
        <v>56</v>
      </c>
      <c r="G25" s="35">
        <f>'[1]Canola Complex'!BE346</f>
        <v>129.16</v>
      </c>
      <c r="H25" s="35">
        <f>'[1]Canola Complex'!BF346</f>
        <v>152.97</v>
      </c>
      <c r="I25" s="35">
        <f>'[1]Canola Complex'!BG346</f>
        <v>108.282958984375</v>
      </c>
      <c r="J25" s="35">
        <f>'[1]Canola Complex'!BH346</f>
        <v>109.85892381575638</v>
      </c>
      <c r="K25" s="35">
        <f>'[1]Canola Complex'!BI346</f>
        <v>110.15</v>
      </c>
      <c r="L25" s="35">
        <f>'[1]Canola Complex'!BJ346</f>
        <v>271.87014493241782</v>
      </c>
      <c r="M25" s="35">
        <f>'[1]Canola Complex'!BK346</f>
        <v>125.13800000000001</v>
      </c>
      <c r="N25" s="35">
        <f>'[1]Canola Complex'!BL346</f>
        <v>195.203</v>
      </c>
      <c r="O25" s="35">
        <f>'[1]Canola Complex'!BM346</f>
        <v>162.12700000000001</v>
      </c>
      <c r="P25" s="35">
        <f>'[1]Canola Complex'!BN346</f>
        <v>175</v>
      </c>
      <c r="Q25" s="35">
        <f>'[1]Canola Complex'!BO346</f>
        <v>201.07254793733713</v>
      </c>
      <c r="R25" s="35">
        <f>'[1]Canola Complex'!BP346</f>
        <v>175.60230365656534</v>
      </c>
      <c r="S25" s="35">
        <f>'[1]Canola Complex'!BQ346</f>
        <v>144.20356117754702</v>
      </c>
      <c r="T25" s="35">
        <f>'[1]Canola Complex'!BR346</f>
        <v>163.40605036515257</v>
      </c>
      <c r="U25" s="35">
        <f>'[1]Canola Complex'!BS346</f>
        <v>171.34788695179836</v>
      </c>
      <c r="V25" s="35">
        <f>'[1]Canola Complex'!BT346</f>
        <v>166.00692265644787</v>
      </c>
      <c r="W25" s="35">
        <f>'[1]Canola Complex'!BU346</f>
        <v>171.33092938479322</v>
      </c>
      <c r="X25" s="35">
        <f>'[1]Canola Complex'!BV346</f>
        <v>160.75379648933364</v>
      </c>
      <c r="Y25" s="35">
        <f>'[1]Canola Complex'!BW346</f>
        <v>156.01618146309991</v>
      </c>
      <c r="Z25" s="35">
        <f>'[1]Canola Complex'!BX346</f>
        <v>153.08657839080416</v>
      </c>
      <c r="AA25" s="35">
        <f>'[1]Canola Complex'!BY346</f>
        <v>101.85587386889206</v>
      </c>
    </row>
    <row r="26" spans="1:30" x14ac:dyDescent="0.2">
      <c r="A26" s="61" t="s">
        <v>12</v>
      </c>
      <c r="B26" s="35">
        <f>'[1]Canola Complex'!AZ347</f>
        <v>77</v>
      </c>
      <c r="C26" s="35">
        <f>'[1]Canola Complex'!BA347</f>
        <v>66</v>
      </c>
      <c r="D26" s="35">
        <f>'[1]Canola Complex'!BB347</f>
        <v>55</v>
      </c>
      <c r="E26" s="35">
        <f>'[1]Canola Complex'!BC347</f>
        <v>134.62</v>
      </c>
      <c r="F26" s="35">
        <f>'[1]Canola Complex'!BD347</f>
        <v>76</v>
      </c>
      <c r="G26" s="35">
        <f>'[1]Canola Complex'!BE347</f>
        <v>114.53</v>
      </c>
      <c r="H26" s="35">
        <f>'[1]Canola Complex'!BF347</f>
        <v>157.13</v>
      </c>
      <c r="I26" s="35">
        <f>'[1]Canola Complex'!BG347</f>
        <v>101.530029296875</v>
      </c>
      <c r="J26" s="35">
        <f>'[1]Canola Complex'!BH347</f>
        <v>118.13</v>
      </c>
      <c r="K26" s="35">
        <f>'[1]Canola Complex'!BI347</f>
        <v>86.754540830143696</v>
      </c>
      <c r="L26" s="35">
        <f>'[1]Canola Complex'!BJ347</f>
        <v>122.929</v>
      </c>
      <c r="M26" s="35">
        <f>'[1]Canola Complex'!BK347</f>
        <v>132.958</v>
      </c>
      <c r="N26" s="35">
        <f>'[1]Canola Complex'!BL347</f>
        <v>164.44</v>
      </c>
      <c r="O26" s="35">
        <f>'[1]Canola Complex'!BM347</f>
        <v>139.11799999999999</v>
      </c>
      <c r="P26" s="35">
        <f>'[1]Canola Complex'!BN347</f>
        <v>147.43362639613079</v>
      </c>
      <c r="Q26" s="35">
        <f>'[1]Canola Complex'!BO347</f>
        <v>150.41333939581864</v>
      </c>
      <c r="R26" s="35">
        <f>'[1]Canola Complex'!BP347</f>
        <v>148.99210147867629</v>
      </c>
      <c r="S26" s="35">
        <f>'[1]Canola Complex'!BQ347</f>
        <v>117.83599340617828</v>
      </c>
      <c r="T26" s="35">
        <f>'[1]Canola Complex'!BR347</f>
        <v>132.75980191166678</v>
      </c>
      <c r="U26" s="35">
        <f>'[1]Canola Complex'!BS347</f>
        <v>138.79227152424025</v>
      </c>
      <c r="V26" s="35">
        <f>'[1]Canola Complex'!BT347</f>
        <v>133.76885698530899</v>
      </c>
      <c r="W26" s="35">
        <f>'[1]Canola Complex'!BU347</f>
        <v>140.25038534857893</v>
      </c>
      <c r="X26" s="35">
        <f>'[1]Canola Complex'!BV347</f>
        <v>130.65641022505761</v>
      </c>
      <c r="Y26" s="35">
        <f>'[1]Canola Complex'!BW347</f>
        <v>126.67575664266681</v>
      </c>
      <c r="Z26" s="35">
        <f>'[1]Canola Complex'!BX347</f>
        <v>124.28614511864838</v>
      </c>
      <c r="AA26" s="35">
        <f>'[1]Canola Complex'!BY347</f>
        <v>82.733903476639355</v>
      </c>
    </row>
    <row r="27" spans="1:30" x14ac:dyDescent="0.2">
      <c r="A27" s="61" t="s">
        <v>13</v>
      </c>
      <c r="B27" s="35">
        <f>'[1]Canola Complex'!AZ348</f>
        <v>84</v>
      </c>
      <c r="C27" s="35">
        <f>'[1]Canola Complex'!BA348</f>
        <v>48</v>
      </c>
      <c r="D27" s="35">
        <f>'[1]Canola Complex'!BB348</f>
        <v>79</v>
      </c>
      <c r="E27" s="35">
        <f>'[1]Canola Complex'!BC348</f>
        <v>136.19999999999999</v>
      </c>
      <c r="F27" s="35">
        <f>'[1]Canola Complex'!BD348</f>
        <v>73</v>
      </c>
      <c r="G27" s="35">
        <f>'[1]Canola Complex'!BE348</f>
        <v>109.06</v>
      </c>
      <c r="H27" s="35">
        <f>'[1]Canola Complex'!BF348</f>
        <v>142.85</v>
      </c>
      <c r="I27" s="35">
        <f>'[1]Canola Complex'!BG348</f>
        <v>107.96</v>
      </c>
      <c r="J27" s="35">
        <f>'[1]Canola Complex'!BH348</f>
        <v>108.21</v>
      </c>
      <c r="K27" s="35">
        <f>'[1]Canola Complex'!BI348</f>
        <v>101.86899900356093</v>
      </c>
      <c r="L27" s="35">
        <f>'[1]Canola Complex'!BJ348</f>
        <v>141.64099999999999</v>
      </c>
      <c r="M27" s="35">
        <f>'[1]Canola Complex'!BK348</f>
        <v>133.40799999999999</v>
      </c>
      <c r="N27" s="35">
        <f>'[1]Canola Complex'!BL348</f>
        <v>174.27099999999999</v>
      </c>
      <c r="O27" s="35">
        <f>'[1]Canola Complex'!BM348</f>
        <v>168.06899999999999</v>
      </c>
      <c r="P27" s="35">
        <f>'[1]Canola Complex'!BN348</f>
        <v>175.54309029429749</v>
      </c>
      <c r="Q27" s="35">
        <f>'[1]Canola Complex'!BO348</f>
        <v>169.35432999198324</v>
      </c>
      <c r="R27" s="35">
        <f>'[1]Canola Complex'!BP348</f>
        <v>166.9789897350754</v>
      </c>
      <c r="S27" s="35">
        <f>'[1]Canola Complex'!BQ348</f>
        <v>134.26808827447653</v>
      </c>
      <c r="T27" s="35">
        <f>'[1]Canola Complex'!BR348</f>
        <v>153.56226299736849</v>
      </c>
      <c r="U27" s="35">
        <f>'[1]Canola Complex'!BS348</f>
        <v>159.35931551877292</v>
      </c>
      <c r="V27" s="35">
        <f>'[1]Canola Complex'!BT348</f>
        <v>152.29753193873839</v>
      </c>
      <c r="W27" s="35">
        <f>'[1]Canola Complex'!BU348</f>
        <v>160.03611505688559</v>
      </c>
      <c r="X27" s="35">
        <f>'[1]Canola Complex'!BV348</f>
        <v>149.61553044610633</v>
      </c>
      <c r="Y27" s="35">
        <f>'[1]Canola Complex'!BW348</f>
        <v>145.15482733444256</v>
      </c>
      <c r="Z27" s="35">
        <f>'[1]Canola Complex'!BX348</f>
        <v>142.14937298620697</v>
      </c>
      <c r="AA27" s="35">
        <f>'[1]Canola Complex'!BY348</f>
        <v>94.551617347051263</v>
      </c>
    </row>
    <row r="28" spans="1:30" x14ac:dyDescent="0.2">
      <c r="A28" s="61" t="s">
        <v>14</v>
      </c>
      <c r="B28" s="35">
        <f>'[1]Canola Complex'!AZ349</f>
        <v>84</v>
      </c>
      <c r="C28" s="35">
        <f>'[1]Canola Complex'!BA349</f>
        <v>46</v>
      </c>
      <c r="D28" s="35">
        <f>'[1]Canola Complex'!BB349</f>
        <v>44</v>
      </c>
      <c r="E28" s="35">
        <f>'[1]Canola Complex'!BC349</f>
        <v>126.05</v>
      </c>
      <c r="F28" s="35">
        <f>'[1]Canola Complex'!BD349</f>
        <v>68</v>
      </c>
      <c r="G28" s="35">
        <f>'[1]Canola Complex'!BE349</f>
        <v>116.88</v>
      </c>
      <c r="H28" s="35">
        <f>'[1]Canola Complex'!BF349</f>
        <v>83.64</v>
      </c>
      <c r="I28" s="35">
        <f>'[1]Canola Complex'!BG349</f>
        <v>96.17</v>
      </c>
      <c r="J28" s="35">
        <f>'[1]Canola Complex'!BH349</f>
        <v>124.46</v>
      </c>
      <c r="K28" s="35">
        <f>'[1]Canola Complex'!BI349</f>
        <v>73.455392023463219</v>
      </c>
      <c r="L28" s="35">
        <f>'[1]Canola Complex'!BJ349</f>
        <v>105.514</v>
      </c>
      <c r="M28" s="35">
        <f>'[1]Canola Complex'!BK349</f>
        <v>131.62100000000001</v>
      </c>
      <c r="N28" s="35">
        <f>'[1]Canola Complex'!BL349</f>
        <v>161.12799999999999</v>
      </c>
      <c r="O28" s="35">
        <f>'[1]Canola Complex'!BM349</f>
        <v>127.221</v>
      </c>
      <c r="P28" s="35">
        <f>'[1]Canola Complex'!BN349</f>
        <v>143.51880612057573</v>
      </c>
      <c r="Q28" s="35">
        <f>'[1]Canola Complex'!BO349</f>
        <v>141.54544747622813</v>
      </c>
      <c r="R28" s="35">
        <f>'[1]Canola Complex'!BP349</f>
        <v>142.84328640559727</v>
      </c>
      <c r="S28" s="35">
        <f>'[1]Canola Complex'!BQ349</f>
        <v>112.46616663308494</v>
      </c>
      <c r="T28" s="35">
        <f>'[1]Canola Complex'!BR349</f>
        <v>129.30847038516532</v>
      </c>
      <c r="U28" s="35">
        <f>'[1]Canola Complex'!BS349</f>
        <v>133.41309224148949</v>
      </c>
      <c r="V28" s="35">
        <f>'[1]Canola Complex'!BT349</f>
        <v>128.12923835313705</v>
      </c>
      <c r="W28" s="35">
        <f>'[1]Canola Complex'!BU349</f>
        <v>134.84561501185192</v>
      </c>
      <c r="X28" s="35">
        <f>'[1]Canola Complex'!BV349</f>
        <v>125.69850725833646</v>
      </c>
      <c r="Y28" s="35">
        <f>'[1]Canola Complex'!BW349</f>
        <v>122.04958522901559</v>
      </c>
      <c r="Z28" s="35">
        <f>'[1]Canola Complex'!BX349</f>
        <v>119.4749116141967</v>
      </c>
      <c r="AA28" s="35">
        <f>'[1]Canola Complex'!BY349</f>
        <v>79.538702910214212</v>
      </c>
    </row>
    <row r="29" spans="1:30" x14ac:dyDescent="0.2">
      <c r="A29" s="61" t="s">
        <v>15</v>
      </c>
      <c r="B29" s="35">
        <f>'[1]Canola Complex'!BA338</f>
        <v>69</v>
      </c>
      <c r="C29" s="35">
        <f>'[1]Canola Complex'!BB338</f>
        <v>16</v>
      </c>
      <c r="D29" s="35">
        <f>'[1]Canola Complex'!BC338</f>
        <v>82</v>
      </c>
      <c r="E29" s="35">
        <f>'[1]Canola Complex'!BD338</f>
        <v>132.9</v>
      </c>
      <c r="F29" s="35">
        <f>'[1]Canola Complex'!BE338</f>
        <v>60</v>
      </c>
      <c r="G29" s="35">
        <f>'[1]Canola Complex'!BF338</f>
        <v>116.95</v>
      </c>
      <c r="H29" s="35">
        <f>'[1]Canola Complex'!BG338</f>
        <v>159.29</v>
      </c>
      <c r="I29" s="35">
        <f>'[1]Canola Complex'!BH338</f>
        <v>100.71</v>
      </c>
      <c r="J29" s="35">
        <f>'[1]Canola Complex'!BI338</f>
        <v>114.98</v>
      </c>
      <c r="K29" s="35">
        <f>'[1]Canola Complex'!BJ338</f>
        <v>80.385273001550331</v>
      </c>
      <c r="L29" s="35">
        <f>'[1]Canola Complex'!BK338</f>
        <v>115.738</v>
      </c>
      <c r="M29" s="35">
        <f>'[1]Canola Complex'!BL338</f>
        <v>167.27600000000001</v>
      </c>
      <c r="N29" s="35">
        <f>'[1]Canola Complex'!BM338</f>
        <v>165.429</v>
      </c>
      <c r="O29" s="35">
        <f>'[1]Canola Complex'!BN338</f>
        <v>138.16900000000001</v>
      </c>
      <c r="P29" s="35">
        <f>'[1]Canola Complex'!BO338</f>
        <v>140.84869416942905</v>
      </c>
      <c r="Q29" s="35">
        <f>'[1]Canola Complex'!BP338</f>
        <v>141.89192468766237</v>
      </c>
      <c r="R29" s="35">
        <f>'[1]Canola Complex'!BQ338</f>
        <v>145.44919649419751</v>
      </c>
      <c r="S29" s="35">
        <f>'[1]Canola Complex'!BR338</f>
        <v>114.89778133963287</v>
      </c>
      <c r="T29" s="35">
        <f>'[1]Canola Complex'!BS338</f>
        <v>128.71906311891317</v>
      </c>
      <c r="U29" s="35">
        <f>'[1]Canola Complex'!BT338</f>
        <v>127.39198603260033</v>
      </c>
      <c r="V29" s="35">
        <f>'[1]Canola Complex'!BU338</f>
        <v>127.91175744588119</v>
      </c>
      <c r="W29" s="35">
        <f>'[1]Canola Complex'!BV338</f>
        <v>134.45970217364209</v>
      </c>
      <c r="X29" s="35">
        <f>'[1]Canola Complex'!BW338</f>
        <v>124.81049025120095</v>
      </c>
      <c r="Y29" s="35">
        <f>'[1]Canola Complex'!BX338</f>
        <v>123.68602771376155</v>
      </c>
      <c r="Z29" s="35">
        <f>'[1]Canola Complex'!BY338</f>
        <v>94.716808504500605</v>
      </c>
      <c r="AA29" s="35">
        <f>'[1]Canola Complex'!BZ338</f>
        <v>76.239501283594947</v>
      </c>
    </row>
    <row r="30" spans="1:30" x14ac:dyDescent="0.2">
      <c r="A30" s="61" t="s">
        <v>16</v>
      </c>
      <c r="B30" s="35">
        <f>'[1]Canola Complex'!BA339</f>
        <v>84</v>
      </c>
      <c r="C30" s="35">
        <f>'[1]Canola Complex'!BB339</f>
        <v>18</v>
      </c>
      <c r="D30" s="35">
        <f>'[1]Canola Complex'!BC339</f>
        <v>80</v>
      </c>
      <c r="E30" s="35">
        <f>'[1]Canola Complex'!BD339</f>
        <v>121.03</v>
      </c>
      <c r="F30" s="35">
        <f>'[1]Canola Complex'!BE339</f>
        <v>40</v>
      </c>
      <c r="G30" s="35">
        <f>'[1]Canola Complex'!BF339</f>
        <v>98.44</v>
      </c>
      <c r="H30" s="35">
        <f>'[1]Canola Complex'!BG339</f>
        <v>140.78</v>
      </c>
      <c r="I30" s="35">
        <f>'[1]Canola Complex'!BH339</f>
        <v>75.10009765625</v>
      </c>
      <c r="J30" s="35">
        <f>'[1]Canola Complex'!BI339</f>
        <v>100.08</v>
      </c>
      <c r="K30" s="35">
        <f>'[1]Canola Complex'!BJ339</f>
        <v>87.207244968589521</v>
      </c>
      <c r="L30" s="35">
        <f>'[1]Canola Complex'!BK339</f>
        <v>132.672888</v>
      </c>
      <c r="M30" s="35">
        <f>'[1]Canola Complex'!BL339</f>
        <v>113.45</v>
      </c>
      <c r="N30" s="35">
        <f>'[1]Canola Complex'!BM339</f>
        <v>137.553</v>
      </c>
      <c r="O30" s="35">
        <f>'[1]Canola Complex'!BN339</f>
        <v>120.133</v>
      </c>
      <c r="P30" s="35">
        <f>'[1]Canola Complex'!BO339</f>
        <v>131.68779259178785</v>
      </c>
      <c r="Q30" s="35">
        <f>'[1]Canola Complex'!BP339</f>
        <v>124.52182706718294</v>
      </c>
      <c r="R30" s="35">
        <f>'[1]Canola Complex'!BQ339</f>
        <v>121.77255935364585</v>
      </c>
      <c r="S30" s="35">
        <f>'[1]Canola Complex'!BR339</f>
        <v>99.875454880634706</v>
      </c>
      <c r="T30" s="35">
        <f>'[1]Canola Complex'!BS339</f>
        <v>112.89274979972606</v>
      </c>
      <c r="U30" s="35">
        <f>'[1]Canola Complex'!BT339</f>
        <v>112.01721723313827</v>
      </c>
      <c r="V30" s="35">
        <f>'[1]Canola Complex'!BU339</f>
        <v>111.06816848518181</v>
      </c>
      <c r="W30" s="35">
        <f>'[1]Canola Complex'!BV339</f>
        <v>116.51054252382831</v>
      </c>
      <c r="X30" s="35">
        <f>'[1]Canola Complex'!BW339</f>
        <v>108.8797713271004</v>
      </c>
      <c r="Y30" s="35">
        <f>'[1]Canola Complex'!BX339</f>
        <v>107.95444813224297</v>
      </c>
      <c r="Z30" s="35">
        <f>'[1]Canola Complex'!BY339</f>
        <v>82.590581648509072</v>
      </c>
      <c r="AA30" s="35">
        <f>'[1]Canola Complex'!BZ339</f>
        <v>66.371198105949901</v>
      </c>
    </row>
    <row r="31" spans="1:30" x14ac:dyDescent="0.2">
      <c r="A31" s="61" t="s">
        <v>17</v>
      </c>
      <c r="B31" s="35">
        <f>'[1]Canola Complex'!BA340</f>
        <v>71</v>
      </c>
      <c r="C31" s="35">
        <f>'[1]Canola Complex'!BB340</f>
        <v>16</v>
      </c>
      <c r="D31" s="35">
        <f>'[1]Canola Complex'!BC340</f>
        <v>105</v>
      </c>
      <c r="E31" s="35">
        <f>'[1]Canola Complex'!BD340</f>
        <v>84.59</v>
      </c>
      <c r="F31" s="35">
        <f>'[1]Canola Complex'!BE340</f>
        <v>48</v>
      </c>
      <c r="G31" s="35">
        <f>'[1]Canola Complex'!BF340</f>
        <v>55.23</v>
      </c>
      <c r="H31" s="35">
        <f>'[1]Canola Complex'!BG340</f>
        <v>127.85</v>
      </c>
      <c r="I31" s="35">
        <f>'[1]Canola Complex'!BH340</f>
        <v>85.650146484375</v>
      </c>
      <c r="J31" s="35">
        <f>'[1]Canola Complex'!BI340</f>
        <v>99.18</v>
      </c>
      <c r="K31" s="35">
        <f>'[1]Canola Complex'!BJ340</f>
        <v>75.634753488699971</v>
      </c>
      <c r="L31" s="35">
        <f>'[1]Canola Complex'!BK340</f>
        <v>126.211</v>
      </c>
      <c r="M31" s="35">
        <f>'[1]Canola Complex'!BL340</f>
        <v>119.591805422766</v>
      </c>
      <c r="N31" s="35">
        <f>'[1]Canola Complex'!BM340</f>
        <v>150.333786</v>
      </c>
      <c r="O31" s="35">
        <f>'[1]Canola Complex'!BN340</f>
        <v>132.01599999999999</v>
      </c>
      <c r="P31" s="35">
        <f>'[1]Canola Complex'!BO340</f>
        <v>251.94125775652333</v>
      </c>
      <c r="Q31" s="35">
        <f>'[1]Canola Complex'!BP340</f>
        <v>134.64105587149828</v>
      </c>
      <c r="R31" s="35">
        <f>'[1]Canola Complex'!BQ340</f>
        <v>153.22902122068766</v>
      </c>
      <c r="S31" s="35">
        <f>'[1]Canola Complex'!BR340</f>
        <v>129.57536792231122</v>
      </c>
      <c r="T31" s="35">
        <f>'[1]Canola Complex'!BS340</f>
        <v>151.35240198175748</v>
      </c>
      <c r="U31" s="35">
        <f>'[1]Canola Complex'!BT340</f>
        <v>155.95910223661107</v>
      </c>
      <c r="V31" s="35">
        <f>'[1]Canola Complex'!BU340</f>
        <v>141.03839516954625</v>
      </c>
      <c r="W31" s="35">
        <f>'[1]Canola Complex'!BV340</f>
        <v>152.6974029049523</v>
      </c>
      <c r="X31" s="35">
        <f>'[1]Canola Complex'!BW340</f>
        <v>125.19380862234544</v>
      </c>
      <c r="Y31" s="35">
        <f>'[1]Canola Complex'!BX340</f>
        <v>132.88146812084813</v>
      </c>
      <c r="Z31" s="35">
        <f>'[1]Canola Complex'!BY340</f>
        <v>100.4002148413939</v>
      </c>
      <c r="AA31" s="35">
        <f>'[1]Canola Complex'!BZ340</f>
        <v>81.999629299857503</v>
      </c>
    </row>
    <row r="32" spans="1:30" x14ac:dyDescent="0.2">
      <c r="A32" s="64" t="s">
        <v>18</v>
      </c>
      <c r="B32" s="65">
        <f>SUM(B20:B31)</f>
        <v>847</v>
      </c>
      <c r="C32" s="65">
        <f t="shared" ref="C32:AA32" si="4">SUM(C20:C31)</f>
        <v>790</v>
      </c>
      <c r="D32" s="65">
        <f t="shared" si="4"/>
        <v>646</v>
      </c>
      <c r="E32" s="65">
        <f t="shared" si="4"/>
        <v>1047.24</v>
      </c>
      <c r="F32" s="65">
        <f t="shared" si="4"/>
        <v>745</v>
      </c>
      <c r="G32" s="65">
        <f t="shared" si="4"/>
        <v>1130.47</v>
      </c>
      <c r="H32" s="65">
        <f t="shared" si="4"/>
        <v>1451.6699999999998</v>
      </c>
      <c r="I32" s="65">
        <f t="shared" si="4"/>
        <v>1224.5032910156249</v>
      </c>
      <c r="J32" s="65">
        <f t="shared" si="4"/>
        <v>1230.2568991032126</v>
      </c>
      <c r="K32" s="65">
        <f t="shared" si="4"/>
        <v>1217.4562033160075</v>
      </c>
      <c r="L32" s="65">
        <f t="shared" si="4"/>
        <v>1844.0480362855842</v>
      </c>
      <c r="M32" s="65">
        <f t="shared" si="4"/>
        <v>1338.362088212747</v>
      </c>
      <c r="N32" s="65">
        <f t="shared" si="4"/>
        <v>1827.869608445995</v>
      </c>
      <c r="O32" s="66">
        <f t="shared" si="4"/>
        <v>1746.5288880000001</v>
      </c>
      <c r="P32" s="66">
        <f t="shared" si="4"/>
        <v>1564.8632673287443</v>
      </c>
      <c r="Q32" s="66">
        <f t="shared" si="4"/>
        <v>1910.6899392374444</v>
      </c>
      <c r="R32" s="66">
        <f t="shared" si="4"/>
        <v>1705.7678827331986</v>
      </c>
      <c r="S32" s="66">
        <f t="shared" si="4"/>
        <v>1381.1054063713152</v>
      </c>
      <c r="T32" s="66">
        <f t="shared" si="4"/>
        <v>1578.129707066684</v>
      </c>
      <c r="U32" s="66">
        <f t="shared" si="4"/>
        <v>1597.7328815229619</v>
      </c>
      <c r="V32" s="66">
        <f t="shared" si="4"/>
        <v>1584.1585333550893</v>
      </c>
      <c r="W32" s="66">
        <f t="shared" si="4"/>
        <v>1637.9724281056529</v>
      </c>
      <c r="X32" s="66">
        <f t="shared" si="4"/>
        <v>1540.5470389253207</v>
      </c>
      <c r="Y32" s="66">
        <f t="shared" si="4"/>
        <v>1499.255762151839</v>
      </c>
      <c r="Z32" s="66">
        <f t="shared" si="4"/>
        <v>1390.4999784490406</v>
      </c>
      <c r="AA32" s="66">
        <f t="shared" si="4"/>
        <v>964.30178645588251</v>
      </c>
    </row>
    <row r="34" spans="1:27" ht="12" thickBot="1" x14ac:dyDescent="0.25">
      <c r="A34" s="61" t="s">
        <v>42</v>
      </c>
    </row>
    <row r="35" spans="1:27" ht="12.75" thickTop="1" thickBot="1" x14ac:dyDescent="0.25">
      <c r="A35" s="62"/>
      <c r="B35" s="63">
        <f>B3</f>
        <v>2011</v>
      </c>
      <c r="C35" s="63">
        <f t="shared" ref="C35:AA35" si="5">C3</f>
        <v>2012</v>
      </c>
      <c r="D35" s="63">
        <f t="shared" si="5"/>
        <v>2013</v>
      </c>
      <c r="E35" s="63">
        <f t="shared" si="5"/>
        <v>2014</v>
      </c>
      <c r="F35" s="63">
        <f t="shared" si="5"/>
        <v>2015</v>
      </c>
      <c r="G35" s="63">
        <f t="shared" si="5"/>
        <v>2016</v>
      </c>
      <c r="H35" s="63">
        <f t="shared" si="5"/>
        <v>2017</v>
      </c>
      <c r="I35" s="63">
        <f t="shared" si="5"/>
        <v>2018</v>
      </c>
      <c r="J35" s="63">
        <f t="shared" si="5"/>
        <v>2019</v>
      </c>
      <c r="K35" s="63">
        <f t="shared" si="5"/>
        <v>2020</v>
      </c>
      <c r="L35" s="63">
        <f t="shared" si="5"/>
        <v>2021</v>
      </c>
      <c r="M35" s="63">
        <f t="shared" si="5"/>
        <v>2022</v>
      </c>
      <c r="N35" s="63">
        <f t="shared" si="5"/>
        <v>2023</v>
      </c>
      <c r="O35" s="63">
        <f t="shared" si="5"/>
        <v>2024</v>
      </c>
      <c r="P35" s="63">
        <f t="shared" si="5"/>
        <v>2025</v>
      </c>
      <c r="Q35" s="63">
        <f t="shared" si="5"/>
        <v>2026</v>
      </c>
      <c r="R35" s="63">
        <f t="shared" si="5"/>
        <v>2027</v>
      </c>
      <c r="S35" s="63">
        <f t="shared" si="5"/>
        <v>2028</v>
      </c>
      <c r="T35" s="63">
        <f t="shared" si="5"/>
        <v>2029</v>
      </c>
      <c r="U35" s="63">
        <f t="shared" si="5"/>
        <v>2030</v>
      </c>
      <c r="V35" s="63">
        <f t="shared" si="5"/>
        <v>2031</v>
      </c>
      <c r="W35" s="63">
        <f t="shared" si="5"/>
        <v>2032</v>
      </c>
      <c r="X35" s="63">
        <f t="shared" si="5"/>
        <v>2033</v>
      </c>
      <c r="Y35" s="63">
        <f t="shared" si="5"/>
        <v>2034</v>
      </c>
      <c r="Z35" s="63">
        <f t="shared" si="5"/>
        <v>2035</v>
      </c>
      <c r="AA35" s="63">
        <f t="shared" si="5"/>
        <v>2036</v>
      </c>
    </row>
    <row r="36" spans="1:27" ht="12" thickTop="1" x14ac:dyDescent="0.2">
      <c r="A36" s="61" t="s">
        <v>6</v>
      </c>
      <c r="B36" s="35">
        <f>'[7]Distillers'' Corn Oil Complex'!S106</f>
        <v>17</v>
      </c>
      <c r="C36" s="35">
        <f>'[7]Distillers'' Corn Oil Complex'!T106</f>
        <v>50</v>
      </c>
      <c r="D36" s="35">
        <f>'[7]Distillers'' Corn Oil Complex'!U106</f>
        <v>60</v>
      </c>
      <c r="E36" s="35">
        <f>'[7]Distillers'' Corn Oil Complex'!V106</f>
        <v>73</v>
      </c>
      <c r="F36" s="35">
        <f>'[7]Distillers'' Corn Oil Complex'!W106</f>
        <v>54</v>
      </c>
      <c r="G36" s="35">
        <f>'[7]Distillers'' Corn Oil Complex'!X106</f>
        <v>93.66</v>
      </c>
      <c r="H36" s="35">
        <f>'[7]Distillers'' Corn Oil Complex'!Y106</f>
        <v>111.88</v>
      </c>
      <c r="I36" s="35">
        <f>'[7]Distillers'' Corn Oil Complex'!Z106</f>
        <v>152.88999999999999</v>
      </c>
      <c r="J36" s="35">
        <f>'[7]Distillers'' Corn Oil Complex'!AA106</f>
        <v>144.58000000000001</v>
      </c>
      <c r="K36" s="35">
        <f>'[7]Distillers'' Corn Oil Complex'!AB106</f>
        <v>177</v>
      </c>
      <c r="L36" s="35">
        <f>'[7]Distillers'' Corn Oil Complex'!AC106</f>
        <v>112.66256969861432</v>
      </c>
      <c r="M36" s="35">
        <f>'[7]Distillers'' Corn Oil Complex'!AD106</f>
        <v>153.07208812566179</v>
      </c>
      <c r="N36" s="35">
        <f>'[7]Distillers'' Corn Oil Complex'!AE106</f>
        <v>111.878</v>
      </c>
      <c r="O36" s="35">
        <f>'[7]Distillers'' Corn Oil Complex'!AF106</f>
        <v>71.075999999999993</v>
      </c>
      <c r="P36" s="35">
        <f>'[7]Distillers'' Corn Oil Complex'!AG106</f>
        <v>58.406999999999996</v>
      </c>
      <c r="Q36" s="35">
        <f>'[7]Distillers'' Corn Oil Complex'!AH106</f>
        <v>61.022755743238264</v>
      </c>
      <c r="R36" s="35">
        <f>'[7]Distillers'' Corn Oil Complex'!AI106</f>
        <v>77.000792116168824</v>
      </c>
      <c r="S36" s="35">
        <f>'[7]Distillers'' Corn Oil Complex'!AJ106</f>
        <v>52.636792829204801</v>
      </c>
      <c r="T36" s="35">
        <f>'[7]Distillers'' Corn Oil Complex'!AK106</f>
        <v>53.678350038501257</v>
      </c>
      <c r="U36" s="35">
        <f>'[7]Distillers'' Corn Oil Complex'!AL106</f>
        <v>52.535608079115072</v>
      </c>
      <c r="V36" s="35">
        <f>'[7]Distillers'' Corn Oil Complex'!AM106</f>
        <v>51.947704707163147</v>
      </c>
      <c r="W36" s="35">
        <f>'[7]Distillers'' Corn Oil Complex'!AN106</f>
        <v>53.753971563297242</v>
      </c>
      <c r="X36" s="35">
        <f>'[7]Distillers'' Corn Oil Complex'!AO106</f>
        <v>58.370381089410643</v>
      </c>
      <c r="Y36" s="35">
        <f>'[7]Distillers'' Corn Oil Complex'!AP106</f>
        <v>49.500144444653422</v>
      </c>
      <c r="Z36" s="35">
        <f>'[7]Distillers'' Corn Oil Complex'!AQ106</f>
        <v>47.723436831325913</v>
      </c>
      <c r="AA36" s="35">
        <f>'[7]Distillers'' Corn Oil Complex'!AR106</f>
        <v>37.008997721286683</v>
      </c>
    </row>
    <row r="37" spans="1:27" x14ac:dyDescent="0.2">
      <c r="A37" s="61" t="s">
        <v>7</v>
      </c>
      <c r="B37" s="35">
        <f>'[7]Distillers'' Corn Oil Complex'!S107</f>
        <v>13</v>
      </c>
      <c r="C37" s="35">
        <f>'[7]Distillers'' Corn Oil Complex'!T107</f>
        <v>51</v>
      </c>
      <c r="D37" s="35">
        <f>'[7]Distillers'' Corn Oil Complex'!U107</f>
        <v>61</v>
      </c>
      <c r="E37" s="35">
        <f>'[7]Distillers'' Corn Oil Complex'!V107</f>
        <v>54</v>
      </c>
      <c r="F37" s="35">
        <f>'[7]Distillers'' Corn Oil Complex'!W107</f>
        <v>63</v>
      </c>
      <c r="G37" s="35">
        <f>'[7]Distillers'' Corn Oil Complex'!X107</f>
        <v>88.13</v>
      </c>
      <c r="H37" s="35">
        <f>'[7]Distillers'' Corn Oil Complex'!Y107</f>
        <v>111.55</v>
      </c>
      <c r="I37" s="35">
        <f>'[7]Distillers'' Corn Oil Complex'!Z107</f>
        <v>143.28</v>
      </c>
      <c r="J37" s="35">
        <f>'[7]Distillers'' Corn Oil Complex'!AA107</f>
        <v>136.61000000000001</v>
      </c>
      <c r="K37" s="35">
        <f>'[7]Distillers'' Corn Oil Complex'!AB107</f>
        <v>133.87</v>
      </c>
      <c r="L37" s="35">
        <f>'[7]Distillers'' Corn Oil Complex'!AC107</f>
        <v>79.493695352216392</v>
      </c>
      <c r="M37" s="35">
        <f>'[7]Distillers'' Corn Oil Complex'!AD107</f>
        <v>134.68609331312609</v>
      </c>
      <c r="N37" s="35">
        <f>'[7]Distillers'' Corn Oil Complex'!AE107</f>
        <v>95.100999999999999</v>
      </c>
      <c r="O37" s="35">
        <f>'[7]Distillers'' Corn Oil Complex'!AF107</f>
        <v>73.781000000000006</v>
      </c>
      <c r="P37" s="35">
        <f>'[7]Distillers'' Corn Oil Complex'!AG107</f>
        <v>58.213158564022265</v>
      </c>
      <c r="Q37" s="35">
        <f>'[7]Distillers'' Corn Oil Complex'!AH107</f>
        <v>65.37015220618045</v>
      </c>
      <c r="R37" s="35">
        <f>'[7]Distillers'' Corn Oil Complex'!AI107</f>
        <v>71.528940661509068</v>
      </c>
      <c r="S37" s="35">
        <f>'[7]Distillers'' Corn Oil Complex'!AJ107</f>
        <v>50.276741233390091</v>
      </c>
      <c r="T37" s="35">
        <f>'[7]Distillers'' Corn Oil Complex'!AK107</f>
        <v>53.166208447804827</v>
      </c>
      <c r="U37" s="35">
        <f>'[7]Distillers'' Corn Oil Complex'!AL107</f>
        <v>51.106609426157604</v>
      </c>
      <c r="V37" s="35">
        <f>'[7]Distillers'' Corn Oil Complex'!AM107</f>
        <v>50.749014503596726</v>
      </c>
      <c r="W37" s="35">
        <f>'[7]Distillers'' Corn Oil Complex'!AN107</f>
        <v>51.727547386878683</v>
      </c>
      <c r="X37" s="35">
        <f>'[7]Distillers'' Corn Oil Complex'!AO107</f>
        <v>45.612685386774579</v>
      </c>
      <c r="Y37" s="35">
        <f>'[7]Distillers'' Corn Oil Complex'!AP107</f>
        <v>42.487278534239479</v>
      </c>
      <c r="Z37" s="35">
        <f>'[7]Distillers'' Corn Oil Complex'!AQ107</f>
        <v>40.232020950915199</v>
      </c>
      <c r="AA37" s="35">
        <f>'[7]Distillers'' Corn Oil Complex'!AR107</f>
        <v>32.585517376070634</v>
      </c>
    </row>
    <row r="38" spans="1:27" x14ac:dyDescent="0.2">
      <c r="A38" s="61" t="s">
        <v>8</v>
      </c>
      <c r="B38" s="35">
        <f>'[7]Distillers'' Corn Oil Complex'!S108</f>
        <v>14</v>
      </c>
      <c r="C38" s="35">
        <f>'[7]Distillers'' Corn Oil Complex'!T108</f>
        <v>54</v>
      </c>
      <c r="D38" s="35">
        <f>'[7]Distillers'' Corn Oil Complex'!U108</f>
        <v>71</v>
      </c>
      <c r="E38" s="35">
        <f>'[7]Distillers'' Corn Oil Complex'!V108</f>
        <v>77</v>
      </c>
      <c r="F38" s="35">
        <f>'[7]Distillers'' Corn Oil Complex'!W108</f>
        <v>72</v>
      </c>
      <c r="G38" s="35">
        <f>'[7]Distillers'' Corn Oil Complex'!X108</f>
        <v>93.09</v>
      </c>
      <c r="H38" s="35">
        <f>'[7]Distillers'' Corn Oil Complex'!Y108</f>
        <v>121.53</v>
      </c>
      <c r="I38" s="35">
        <f>'[7]Distillers'' Corn Oil Complex'!Z108</f>
        <v>154.71</v>
      </c>
      <c r="J38" s="35">
        <f>'[7]Distillers'' Corn Oil Complex'!AA108</f>
        <v>140.68</v>
      </c>
      <c r="K38" s="35">
        <f>'[7]Distillers'' Corn Oil Complex'!AB108</f>
        <v>144.85</v>
      </c>
      <c r="L38" s="35">
        <f>'[7]Distillers'' Corn Oil Complex'!AC108</f>
        <v>95.26608662118052</v>
      </c>
      <c r="M38" s="35">
        <f>'[7]Distillers'' Corn Oil Complex'!AD108</f>
        <v>164.3963753382962</v>
      </c>
      <c r="N38" s="35">
        <f>'[7]Distillers'' Corn Oil Complex'!AE108</f>
        <v>87.424999999999997</v>
      </c>
      <c r="O38" s="35">
        <f>'[7]Distillers'' Corn Oil Complex'!AF108</f>
        <v>83.418310000000005</v>
      </c>
      <c r="P38" s="35">
        <f>'[7]Distillers'' Corn Oil Complex'!AG108</f>
        <v>69.99980952137814</v>
      </c>
      <c r="Q38" s="35">
        <f>'[7]Distillers'' Corn Oil Complex'!AH108</f>
        <v>66.247664089888303</v>
      </c>
      <c r="R38" s="35">
        <f>'[7]Distillers'' Corn Oil Complex'!AI108</f>
        <v>76.878598970882052</v>
      </c>
      <c r="S38" s="35">
        <f>'[7]Distillers'' Corn Oil Complex'!AJ108</f>
        <v>52.040055278155592</v>
      </c>
      <c r="T38" s="35">
        <f>'[7]Distillers'' Corn Oil Complex'!AK108</f>
        <v>56.485315652344561</v>
      </c>
      <c r="U38" s="35">
        <f>'[7]Distillers'' Corn Oil Complex'!AL108</f>
        <v>54.743573411810722</v>
      </c>
      <c r="V38" s="35">
        <f>'[7]Distillers'' Corn Oil Complex'!AM108</f>
        <v>53.290160791479799</v>
      </c>
      <c r="W38" s="35">
        <f>'[7]Distillers'' Corn Oil Complex'!AN108</f>
        <v>54.764539954810736</v>
      </c>
      <c r="X38" s="35">
        <f>'[7]Distillers'' Corn Oil Complex'!AO108</f>
        <v>48.128127403397151</v>
      </c>
      <c r="Y38" s="35">
        <f>'[7]Distillers'' Corn Oil Complex'!AP108</f>
        <v>45.020934469516156</v>
      </c>
      <c r="Z38" s="35">
        <f>'[7]Distillers'' Corn Oil Complex'!AQ108</f>
        <v>42.597297321661422</v>
      </c>
      <c r="AA38" s="35">
        <f>'[7]Distillers'' Corn Oil Complex'!AR108</f>
        <v>34.423629918558952</v>
      </c>
    </row>
    <row r="39" spans="1:27" x14ac:dyDescent="0.2">
      <c r="A39" s="61" t="s">
        <v>9</v>
      </c>
      <c r="B39" s="35">
        <f>'[7]Distillers'' Corn Oil Complex'!S109</f>
        <v>20</v>
      </c>
      <c r="C39" s="35">
        <f>'[7]Distillers'' Corn Oil Complex'!T109</f>
        <v>54</v>
      </c>
      <c r="D39" s="35">
        <f>'[7]Distillers'' Corn Oil Complex'!U109</f>
        <v>71</v>
      </c>
      <c r="E39" s="35">
        <f>'[7]Distillers'' Corn Oil Complex'!V109</f>
        <v>66</v>
      </c>
      <c r="F39" s="35">
        <f>'[7]Distillers'' Corn Oil Complex'!W109</f>
        <v>94</v>
      </c>
      <c r="G39" s="35">
        <f>'[7]Distillers'' Corn Oil Complex'!X109</f>
        <v>87.28</v>
      </c>
      <c r="H39" s="35">
        <f>'[7]Distillers'' Corn Oil Complex'!Y109</f>
        <v>128.58000000000001</v>
      </c>
      <c r="I39" s="35">
        <f>'[7]Distillers'' Corn Oil Complex'!Z109</f>
        <v>177.52</v>
      </c>
      <c r="J39" s="35">
        <f>'[7]Distillers'' Corn Oil Complex'!AA109</f>
        <v>154.05000000000001</v>
      </c>
      <c r="K39" s="35">
        <f>'[7]Distillers'' Corn Oil Complex'!AB109</f>
        <v>83.67</v>
      </c>
      <c r="L39" s="35">
        <f>'[7]Distillers'' Corn Oil Complex'!AC109</f>
        <v>109.8520735023011</v>
      </c>
      <c r="M39" s="35">
        <f>'[7]Distillers'' Corn Oil Complex'!AD109</f>
        <v>157.76216516262048</v>
      </c>
      <c r="N39" s="35">
        <f>'[7]Distillers'' Corn Oil Complex'!AE109</f>
        <v>83.272999999999996</v>
      </c>
      <c r="O39" s="35">
        <f>'[7]Distillers'' Corn Oil Complex'!AF109</f>
        <v>96.388298992940378</v>
      </c>
      <c r="P39" s="35">
        <f>'[7]Distillers'' Corn Oil Complex'!AG109</f>
        <v>93.531399069412231</v>
      </c>
      <c r="Q39" s="35">
        <f>'[7]Distillers'' Corn Oil Complex'!AH109</f>
        <v>72.631155981595867</v>
      </c>
      <c r="R39" s="35">
        <f>'[7]Distillers'' Corn Oil Complex'!AI109</f>
        <v>83.721955484699578</v>
      </c>
      <c r="S39" s="35">
        <f>'[7]Distillers'' Corn Oil Complex'!AJ109</f>
        <v>58.276269781499749</v>
      </c>
      <c r="T39" s="35">
        <f>'[7]Distillers'' Corn Oil Complex'!AK109</f>
        <v>67.172970369193351</v>
      </c>
      <c r="U39" s="35">
        <f>'[7]Distillers'' Corn Oil Complex'!AL109</f>
        <v>63.648821055486053</v>
      </c>
      <c r="V39" s="35">
        <f>'[7]Distillers'' Corn Oil Complex'!AM109</f>
        <v>60.229338633817918</v>
      </c>
      <c r="W39" s="35">
        <f>'[7]Distillers'' Corn Oil Complex'!AN109</f>
        <v>62.335309986593629</v>
      </c>
      <c r="X39" s="35">
        <f>'[7]Distillers'' Corn Oil Complex'!AO109</f>
        <v>55.318896387245807</v>
      </c>
      <c r="Y39" s="35">
        <f>'[7]Distillers'' Corn Oil Complex'!AP109</f>
        <v>52.002398029737456</v>
      </c>
      <c r="Z39" s="35">
        <f>'[7]Distillers'' Corn Oil Complex'!AQ109</f>
        <v>48.918306529058867</v>
      </c>
      <c r="AA39" s="35">
        <f>'[7]Distillers'' Corn Oil Complex'!AR109</f>
        <v>39.47379868888266</v>
      </c>
    </row>
    <row r="40" spans="1:27" x14ac:dyDescent="0.2">
      <c r="A40" s="61" t="s">
        <v>10</v>
      </c>
      <c r="B40" s="35">
        <f>'[7]Distillers'' Corn Oil Complex'!S110</f>
        <v>21</v>
      </c>
      <c r="C40" s="35">
        <f>'[7]Distillers'' Corn Oil Complex'!T110</f>
        <v>56</v>
      </c>
      <c r="D40" s="35">
        <f>'[7]Distillers'' Corn Oil Complex'!U110</f>
        <v>91</v>
      </c>
      <c r="E40" s="35">
        <f>'[7]Distillers'' Corn Oil Complex'!V110</f>
        <v>87</v>
      </c>
      <c r="F40" s="35">
        <f>'[7]Distillers'' Corn Oil Complex'!W110</f>
        <v>87</v>
      </c>
      <c r="G40" s="35">
        <f>'[7]Distillers'' Corn Oil Complex'!X110</f>
        <v>94.22</v>
      </c>
      <c r="H40" s="35">
        <f>'[7]Distillers'' Corn Oil Complex'!Y110</f>
        <v>124.39</v>
      </c>
      <c r="I40" s="35">
        <f>'[7]Distillers'' Corn Oil Complex'!Z110</f>
        <v>178.48</v>
      </c>
      <c r="J40" s="35">
        <f>'[7]Distillers'' Corn Oil Complex'!AA110</f>
        <v>144.38999999999999</v>
      </c>
      <c r="K40" s="35">
        <f>'[7]Distillers'' Corn Oil Complex'!AB110</f>
        <v>84.36</v>
      </c>
      <c r="L40" s="35">
        <f>'[7]Distillers'' Corn Oil Complex'!AC110</f>
        <v>156.3439605572656</v>
      </c>
      <c r="M40" s="35">
        <f>'[7]Distillers'' Corn Oil Complex'!AD110</f>
        <v>148.10802853691865</v>
      </c>
      <c r="N40" s="35">
        <f>'[7]Distillers'' Corn Oil Complex'!AE110</f>
        <v>96.176000000000002</v>
      </c>
      <c r="O40" s="35">
        <f>'[7]Distillers'' Corn Oil Complex'!AF110</f>
        <v>81.438000000000002</v>
      </c>
      <c r="P40" s="35">
        <f>'[7]Distillers'' Corn Oil Complex'!AG110</f>
        <v>97.072703853490125</v>
      </c>
      <c r="Q40" s="35">
        <f>'[7]Distillers'' Corn Oil Complex'!AH110</f>
        <v>77.938449469745478</v>
      </c>
      <c r="R40" s="35">
        <f>'[7]Distillers'' Corn Oil Complex'!AI110</f>
        <v>83.711945136975643</v>
      </c>
      <c r="S40" s="35">
        <f>'[7]Distillers'' Corn Oil Complex'!AJ110</f>
        <v>59.234979961443443</v>
      </c>
      <c r="T40" s="35">
        <f>'[7]Distillers'' Corn Oil Complex'!AK110</f>
        <v>64.760521382984322</v>
      </c>
      <c r="U40" s="35">
        <f>'[7]Distillers'' Corn Oil Complex'!AL110</f>
        <v>64.76309614546355</v>
      </c>
      <c r="V40" s="35">
        <f>'[7]Distillers'' Corn Oil Complex'!AM110</f>
        <v>61.024824232611543</v>
      </c>
      <c r="W40" s="35">
        <f>'[7]Distillers'' Corn Oil Complex'!AN110</f>
        <v>62.415027060840899</v>
      </c>
      <c r="X40" s="35">
        <f>'[7]Distillers'' Corn Oil Complex'!AO110</f>
        <v>55.421336386404171</v>
      </c>
      <c r="Y40" s="35">
        <f>'[7]Distillers'' Corn Oil Complex'!AP110</f>
        <v>51.966519731052642</v>
      </c>
      <c r="Z40" s="35">
        <f>'[7]Distillers'' Corn Oil Complex'!AQ110</f>
        <v>49.258049427829405</v>
      </c>
      <c r="AA40" s="35">
        <f>'[7]Distillers'' Corn Oil Complex'!AR110</f>
        <v>39.653828956158307</v>
      </c>
    </row>
    <row r="41" spans="1:27" x14ac:dyDescent="0.2">
      <c r="A41" s="61" t="s">
        <v>11</v>
      </c>
      <c r="B41" s="35">
        <f>'[7]Distillers'' Corn Oil Complex'!S111</f>
        <v>34</v>
      </c>
      <c r="C41" s="35">
        <f>'[7]Distillers'' Corn Oil Complex'!T111</f>
        <v>55</v>
      </c>
      <c r="D41" s="35">
        <f>'[7]Distillers'' Corn Oil Complex'!U111</f>
        <v>98</v>
      </c>
      <c r="E41" s="35">
        <f>'[7]Distillers'' Corn Oil Complex'!V111</f>
        <v>75.36</v>
      </c>
      <c r="F41" s="35">
        <f>'[7]Distillers'' Corn Oil Complex'!W111</f>
        <v>78</v>
      </c>
      <c r="G41" s="35">
        <f>'[7]Distillers'' Corn Oil Complex'!X111</f>
        <v>103.12</v>
      </c>
      <c r="H41" s="35">
        <f>'[7]Distillers'' Corn Oil Complex'!Y111</f>
        <v>113.42</v>
      </c>
      <c r="I41" s="35">
        <f>'[7]Distillers'' Corn Oil Complex'!Z111</f>
        <v>170.09</v>
      </c>
      <c r="J41" s="35">
        <f>'[7]Distillers'' Corn Oil Complex'!AA111</f>
        <v>154.85</v>
      </c>
      <c r="K41" s="35">
        <f>'[7]Distillers'' Corn Oil Complex'!AB111</f>
        <v>94.13</v>
      </c>
      <c r="L41" s="35">
        <f>'[7]Distillers'' Corn Oil Complex'!AC111</f>
        <v>140.08574075212724</v>
      </c>
      <c r="M41" s="35">
        <f>'[7]Distillers'' Corn Oil Complex'!AD111</f>
        <v>174.29355895617817</v>
      </c>
      <c r="N41" s="35">
        <f>'[7]Distillers'' Corn Oil Complex'!AE111</f>
        <v>97.825000000000003</v>
      </c>
      <c r="O41" s="35">
        <f>'[7]Distillers'' Corn Oil Complex'!AF111</f>
        <v>79.507999999999996</v>
      </c>
      <c r="P41" s="35">
        <f>'[7]Distillers'' Corn Oil Complex'!AG111</f>
        <v>102.9082594462066</v>
      </c>
      <c r="Q41" s="35">
        <f>'[7]Distillers'' Corn Oil Complex'!AH111</f>
        <v>79.91066150211779</v>
      </c>
      <c r="R41" s="35">
        <f>'[7]Distillers'' Corn Oil Complex'!AI111</f>
        <v>89.018734659233402</v>
      </c>
      <c r="S41" s="35">
        <f>'[7]Distillers'' Corn Oil Complex'!AJ111</f>
        <v>60.838684552596781</v>
      </c>
      <c r="T41" s="35">
        <f>'[7]Distillers'' Corn Oil Complex'!AK111</f>
        <v>66.659590039817147</v>
      </c>
      <c r="U41" s="35">
        <f>'[7]Distillers'' Corn Oil Complex'!AL111</f>
        <v>67.537982914456819</v>
      </c>
      <c r="V41" s="35">
        <f>'[7]Distillers'' Corn Oil Complex'!AM111</f>
        <v>63.369961939255724</v>
      </c>
      <c r="W41" s="35">
        <f>'[7]Distillers'' Corn Oil Complex'!AN111</f>
        <v>64.989575421727238</v>
      </c>
      <c r="X41" s="35">
        <f>'[7]Distillers'' Corn Oil Complex'!AO111</f>
        <v>57.414983927211978</v>
      </c>
      <c r="Y41" s="35">
        <f>'[7]Distillers'' Corn Oil Complex'!AP111</f>
        <v>53.930229279502527</v>
      </c>
      <c r="Z41" s="35">
        <f>'[7]Distillers'' Corn Oil Complex'!AQ111</f>
        <v>51.216198174428307</v>
      </c>
      <c r="AA41" s="35">
        <f>'[7]Distillers'' Corn Oil Complex'!AR111</f>
        <v>41.212052485845398</v>
      </c>
    </row>
    <row r="42" spans="1:27" x14ac:dyDescent="0.2">
      <c r="A42" s="61" t="s">
        <v>12</v>
      </c>
      <c r="B42" s="35">
        <f>'[7]Distillers'' Corn Oil Complex'!S112</f>
        <v>35</v>
      </c>
      <c r="C42" s="35">
        <f>'[7]Distillers'' Corn Oil Complex'!T112</f>
        <v>54</v>
      </c>
      <c r="D42" s="35">
        <f>'[7]Distillers'' Corn Oil Complex'!U112</f>
        <v>108</v>
      </c>
      <c r="E42" s="35">
        <f>'[7]Distillers'' Corn Oil Complex'!V112</f>
        <v>90.71</v>
      </c>
      <c r="F42" s="35">
        <f>'[7]Distillers'' Corn Oil Complex'!W112</f>
        <v>105.4</v>
      </c>
      <c r="G42" s="35">
        <f>'[7]Distillers'' Corn Oil Complex'!X112</f>
        <v>126.6</v>
      </c>
      <c r="H42" s="35">
        <f>'[7]Distillers'' Corn Oil Complex'!Y112</f>
        <v>130.30000000000001</v>
      </c>
      <c r="I42" s="35">
        <f>'[7]Distillers'' Corn Oil Complex'!Z112</f>
        <v>192.9</v>
      </c>
      <c r="J42" s="35">
        <f>'[7]Distillers'' Corn Oil Complex'!AA112</f>
        <v>154.28</v>
      </c>
      <c r="K42" s="35">
        <f>'[7]Distillers'' Corn Oil Complex'!AB112</f>
        <v>133.43</v>
      </c>
      <c r="L42" s="35">
        <f>'[7]Distillers'' Corn Oil Complex'!AC112</f>
        <v>135.56058547432329</v>
      </c>
      <c r="M42" s="35">
        <f>'[7]Distillers'' Corn Oil Complex'!AD112</f>
        <v>154.27151619947387</v>
      </c>
      <c r="N42" s="35">
        <f>'[7]Distillers'' Corn Oil Complex'!AE112</f>
        <v>89.481999999999999</v>
      </c>
      <c r="O42" s="35">
        <f>'[7]Distillers'' Corn Oil Complex'!AF112</f>
        <v>84.588999999999999</v>
      </c>
      <c r="P42" s="35">
        <f>'[7]Distillers'' Corn Oil Complex'!AG112</f>
        <v>97.497107016940404</v>
      </c>
      <c r="Q42" s="35">
        <f>'[7]Distillers'' Corn Oil Complex'!AH112</f>
        <v>74.395547727545164</v>
      </c>
      <c r="R42" s="35">
        <f>'[7]Distillers'' Corn Oil Complex'!AI112</f>
        <v>82.022629162026561</v>
      </c>
      <c r="S42" s="35">
        <f>'[7]Distillers'' Corn Oil Complex'!AJ112</f>
        <v>57.517401669548128</v>
      </c>
      <c r="T42" s="35">
        <f>'[7]Distillers'' Corn Oil Complex'!AK112</f>
        <v>63.448120927710796</v>
      </c>
      <c r="U42" s="35">
        <f>'[7]Distillers'' Corn Oil Complex'!AL112</f>
        <v>63.389797085477994</v>
      </c>
      <c r="V42" s="35">
        <f>'[7]Distillers'' Corn Oil Complex'!AM112</f>
        <v>59.375010700993506</v>
      </c>
      <c r="W42" s="35">
        <f>'[7]Distillers'' Corn Oil Complex'!AN112</f>
        <v>60.968854712529456</v>
      </c>
      <c r="X42" s="35">
        <f>'[7]Distillers'' Corn Oil Complex'!AO112</f>
        <v>54.110395967326788</v>
      </c>
      <c r="Y42" s="35">
        <f>'[7]Distillers'' Corn Oil Complex'!AP112</f>
        <v>50.790610752434276</v>
      </c>
      <c r="Z42" s="35">
        <f>'[7]Distillers'' Corn Oil Complex'!AQ112</f>
        <v>48.121014360788202</v>
      </c>
      <c r="AA42" s="35">
        <f>'[7]Distillers'' Corn Oil Complex'!AR112</f>
        <v>38.729431356608416</v>
      </c>
    </row>
    <row r="43" spans="1:27" x14ac:dyDescent="0.2">
      <c r="A43" s="61" t="s">
        <v>13</v>
      </c>
      <c r="B43" s="35">
        <f>'[7]Distillers'' Corn Oil Complex'!S113</f>
        <v>37</v>
      </c>
      <c r="C43" s="35">
        <f>'[7]Distillers'' Corn Oil Complex'!T113</f>
        <v>59</v>
      </c>
      <c r="D43" s="35">
        <f>'[7]Distillers'' Corn Oil Complex'!U113</f>
        <v>106</v>
      </c>
      <c r="E43" s="35">
        <f>'[7]Distillers'' Corn Oil Complex'!V113</f>
        <v>90.76</v>
      </c>
      <c r="F43" s="35">
        <f>'[7]Distillers'' Corn Oil Complex'!W113</f>
        <v>107.6</v>
      </c>
      <c r="G43" s="35">
        <f>'[7]Distillers'' Corn Oil Complex'!X113</f>
        <v>123.25</v>
      </c>
      <c r="H43" s="35">
        <f>'[7]Distillers'' Corn Oil Complex'!Y113</f>
        <v>143</v>
      </c>
      <c r="I43" s="35">
        <f>'[7]Distillers'' Corn Oil Complex'!Z113</f>
        <v>202.34</v>
      </c>
      <c r="J43" s="35">
        <f>'[7]Distillers'' Corn Oil Complex'!AA113</f>
        <v>162.37</v>
      </c>
      <c r="K43" s="35">
        <f>'[7]Distillers'' Corn Oil Complex'!AB113</f>
        <v>148.41999999999999</v>
      </c>
      <c r="L43" s="35">
        <f>'[7]Distillers'' Corn Oil Complex'!AC113</f>
        <v>72.740445753841811</v>
      </c>
      <c r="M43" s="35">
        <f>'[7]Distillers'' Corn Oil Complex'!AD113</f>
        <v>166.45136479140911</v>
      </c>
      <c r="N43" s="35">
        <f>'[7]Distillers'' Corn Oil Complex'!AE113</f>
        <v>87.953000000000003</v>
      </c>
      <c r="O43" s="35">
        <f>'[7]Distillers'' Corn Oil Complex'!AF113</f>
        <v>90.349000000000004</v>
      </c>
      <c r="P43" s="35">
        <f>'[7]Distillers'' Corn Oil Complex'!AG113</f>
        <v>97.020601038494149</v>
      </c>
      <c r="Q43" s="35">
        <f>'[7]Distillers'' Corn Oil Complex'!AH113</f>
        <v>67.740123140061868</v>
      </c>
      <c r="R43" s="35">
        <f>'[7]Distillers'' Corn Oil Complex'!AI113</f>
        <v>83.243763355646593</v>
      </c>
      <c r="S43" s="35">
        <f>'[7]Distillers'' Corn Oil Complex'!AJ113</f>
        <v>57.129305996182474</v>
      </c>
      <c r="T43" s="35">
        <f>'[7]Distillers'' Corn Oil Complex'!AK113</f>
        <v>63.202879697603876</v>
      </c>
      <c r="U43" s="35">
        <f>'[7]Distillers'' Corn Oil Complex'!AL113</f>
        <v>62.313319258707061</v>
      </c>
      <c r="V43" s="35">
        <f>'[7]Distillers'' Corn Oil Complex'!AM113</f>
        <v>58.186023100927173</v>
      </c>
      <c r="W43" s="35">
        <f>'[7]Distillers'' Corn Oil Complex'!AN113</f>
        <v>60.636016375650726</v>
      </c>
      <c r="X43" s="35">
        <f>'[7]Distillers'' Corn Oil Complex'!AO113</f>
        <v>53.551487100949458</v>
      </c>
      <c r="Y43" s="35">
        <f>'[7]Distillers'' Corn Oil Complex'!AP113</f>
        <v>50.208950505488481</v>
      </c>
      <c r="Z43" s="35">
        <f>'[7]Distillers'' Corn Oil Complex'!AQ113</f>
        <v>47.494218723804543</v>
      </c>
      <c r="AA43" s="35">
        <f>'[7]Distillers'' Corn Oil Complex'!AR113</f>
        <v>38.262174758918995</v>
      </c>
    </row>
    <row r="44" spans="1:27" x14ac:dyDescent="0.2">
      <c r="A44" s="61" t="s">
        <v>14</v>
      </c>
      <c r="B44" s="35">
        <f>'[7]Distillers'' Corn Oil Complex'!S114</f>
        <v>27</v>
      </c>
      <c r="C44" s="35">
        <f>'[7]Distillers'' Corn Oil Complex'!T114</f>
        <v>55</v>
      </c>
      <c r="D44" s="35">
        <f>'[7]Distillers'' Corn Oil Complex'!U114</f>
        <v>95</v>
      </c>
      <c r="E44" s="35">
        <f>'[7]Distillers'' Corn Oil Complex'!V114</f>
        <v>91.86</v>
      </c>
      <c r="F44" s="35">
        <f>'[7]Distillers'' Corn Oil Complex'!W114</f>
        <v>92</v>
      </c>
      <c r="G44" s="35">
        <f>'[7]Distillers'' Corn Oil Complex'!X114</f>
        <v>106.17</v>
      </c>
      <c r="H44" s="35">
        <f>'[7]Distillers'' Corn Oil Complex'!Y114</f>
        <v>144.19999999999999</v>
      </c>
      <c r="I44" s="35">
        <f>'[7]Distillers'' Corn Oil Complex'!Z114</f>
        <v>168.79</v>
      </c>
      <c r="J44" s="35">
        <f>'[7]Distillers'' Corn Oil Complex'!AA114</f>
        <v>133.77000000000001</v>
      </c>
      <c r="K44" s="35">
        <f>'[7]Distillers'' Corn Oil Complex'!AB114</f>
        <v>135.94999999999999</v>
      </c>
      <c r="L44" s="35">
        <f>'[7]Distillers'' Corn Oil Complex'!AC114</f>
        <v>66.280529424396377</v>
      </c>
      <c r="M44" s="35">
        <f>'[7]Distillers'' Corn Oil Complex'!AD114</f>
        <v>133.406418281404</v>
      </c>
      <c r="N44" s="35">
        <f>'[7]Distillers'' Corn Oil Complex'!AE114</f>
        <v>73.75</v>
      </c>
      <c r="O44" s="35">
        <f>'[7]Distillers'' Corn Oil Complex'!AF114</f>
        <v>69.864999999999995</v>
      </c>
      <c r="P44" s="35">
        <f>'[7]Distillers'' Corn Oil Complex'!AG114</f>
        <v>81.300004787190488</v>
      </c>
      <c r="Q44" s="35">
        <f>'[7]Distillers'' Corn Oil Complex'!AH114</f>
        <v>56.075022133037024</v>
      </c>
      <c r="R44" s="35">
        <f>'[7]Distillers'' Corn Oil Complex'!AI114</f>
        <v>67.889469178103028</v>
      </c>
      <c r="S44" s="35">
        <f>'[7]Distillers'' Corn Oil Complex'!AJ114</f>
        <v>46.751353312055549</v>
      </c>
      <c r="T44" s="35">
        <f>'[7]Distillers'' Corn Oil Complex'!AK114</f>
        <v>52.764129625713139</v>
      </c>
      <c r="U44" s="35">
        <f>'[7]Distillers'' Corn Oil Complex'!AL114</f>
        <v>51.542221156563443</v>
      </c>
      <c r="V44" s="35">
        <f>'[7]Distillers'' Corn Oil Complex'!AM114</f>
        <v>47.961904276859968</v>
      </c>
      <c r="W44" s="35">
        <f>'[7]Distillers'' Corn Oil Complex'!AN114</f>
        <v>49.952417656113028</v>
      </c>
      <c r="X44" s="35">
        <f>'[7]Distillers'' Corn Oil Complex'!AO114</f>
        <v>44.212417079800353</v>
      </c>
      <c r="Y44" s="35">
        <f>'[7]Distillers'' Corn Oil Complex'!AP114</f>
        <v>41.538285985547013</v>
      </c>
      <c r="Z44" s="35">
        <f>'[7]Distillers'' Corn Oil Complex'!AQ114</f>
        <v>39.220694983849548</v>
      </c>
      <c r="AA44" s="35">
        <f>'[7]Distillers'' Corn Oil Complex'!AR114</f>
        <v>31.584960504242645</v>
      </c>
    </row>
    <row r="45" spans="1:27" x14ac:dyDescent="0.2">
      <c r="A45" s="61" t="s">
        <v>15</v>
      </c>
      <c r="B45" s="35">
        <f>'[7]Distillers'' Corn Oil Complex'!T103</f>
        <v>30</v>
      </c>
      <c r="C45" s="35">
        <f>'[7]Distillers'' Corn Oil Complex'!U103</f>
        <v>59</v>
      </c>
      <c r="D45" s="35">
        <f>'[7]Distillers'' Corn Oil Complex'!V103</f>
        <v>103</v>
      </c>
      <c r="E45" s="35">
        <f>'[7]Distillers'' Corn Oil Complex'!W103</f>
        <v>86.27</v>
      </c>
      <c r="F45" s="35">
        <f>'[7]Distillers'' Corn Oil Complex'!X103</f>
        <v>102</v>
      </c>
      <c r="G45" s="35">
        <f>'[7]Distillers'' Corn Oil Complex'!Y103</f>
        <v>119.72</v>
      </c>
      <c r="H45" s="35">
        <f>'[7]Distillers'' Corn Oil Complex'!Z103</f>
        <v>131.61000000000001</v>
      </c>
      <c r="I45" s="35">
        <f>'[7]Distillers'' Corn Oil Complex'!AA103</f>
        <v>177.77</v>
      </c>
      <c r="J45" s="35">
        <f>'[7]Distillers'' Corn Oil Complex'!AB103</f>
        <v>131.25</v>
      </c>
      <c r="K45" s="35">
        <f>'[7]Distillers'' Corn Oil Complex'!AC103</f>
        <v>101</v>
      </c>
      <c r="L45" s="35">
        <f>'[7]Distillers'' Corn Oil Complex'!AD103</f>
        <v>116.78623301776037</v>
      </c>
      <c r="M45" s="35">
        <f>'[7]Distillers'' Corn Oil Complex'!AE103</f>
        <v>106.99013809186347</v>
      </c>
      <c r="N45" s="35">
        <f>'[7]Distillers'' Corn Oil Complex'!AF103</f>
        <v>76.281999999999996</v>
      </c>
      <c r="O45" s="35">
        <f>'[7]Distillers'' Corn Oil Complex'!AG103</f>
        <v>65.177999999999997</v>
      </c>
      <c r="P45" s="35">
        <f>'[7]Distillers'' Corn Oil Complex'!AH103</f>
        <v>61.289471702144539</v>
      </c>
      <c r="Q45" s="35">
        <f>'[7]Distillers'' Corn Oil Complex'!AI103</f>
        <v>67.564031806133272</v>
      </c>
      <c r="R45" s="35">
        <f>'[7]Distillers'' Corn Oil Complex'!AJ103</f>
        <v>61.972189692827442</v>
      </c>
      <c r="S45" s="35">
        <f>'[7]Distillers'' Corn Oil Complex'!AK103</f>
        <v>44.681359025988876</v>
      </c>
      <c r="T45" s="35">
        <f>'[7]Distillers'' Corn Oil Complex'!AL103</f>
        <v>48.404199211522446</v>
      </c>
      <c r="U45" s="35">
        <f>'[7]Distillers'' Corn Oil Complex'!AM103</f>
        <v>48.151104162615049</v>
      </c>
      <c r="V45" s="35">
        <f>'[7]Distillers'' Corn Oil Complex'!AN103</f>
        <v>47.053412404453937</v>
      </c>
      <c r="W45" s="35">
        <f>'[7]Distillers'' Corn Oil Complex'!AO103</f>
        <v>46.873613176713697</v>
      </c>
      <c r="X45" s="35">
        <f>'[7]Distillers'' Corn Oil Complex'!AP103</f>
        <v>41.773941029495091</v>
      </c>
      <c r="Y45" s="35">
        <f>'[7]Distillers'' Corn Oil Complex'!AQ103</f>
        <v>40.189279690503504</v>
      </c>
      <c r="Z45" s="35">
        <f>'[7]Distillers'' Corn Oil Complex'!AR103</f>
        <v>37.374145305263291</v>
      </c>
      <c r="AA45" s="35">
        <f>'[7]Distillers'' Corn Oil Complex'!AS103</f>
        <v>30.226916541839351</v>
      </c>
    </row>
    <row r="46" spans="1:27" x14ac:dyDescent="0.2">
      <c r="A46" s="61" t="s">
        <v>16</v>
      </c>
      <c r="B46" s="35">
        <f>'[7]Distillers'' Corn Oil Complex'!T104</f>
        <v>27</v>
      </c>
      <c r="C46" s="35">
        <f>'[7]Distillers'' Corn Oil Complex'!U104</f>
        <v>48</v>
      </c>
      <c r="D46" s="35">
        <f>'[7]Distillers'' Corn Oil Complex'!V104</f>
        <v>98</v>
      </c>
      <c r="E46" s="35">
        <f>'[7]Distillers'' Corn Oil Complex'!W104</f>
        <v>84.13</v>
      </c>
      <c r="F46" s="35">
        <f>'[7]Distillers'' Corn Oil Complex'!X104</f>
        <v>89</v>
      </c>
      <c r="G46" s="35">
        <f>'[7]Distillers'' Corn Oil Complex'!Y104</f>
        <v>136.1</v>
      </c>
      <c r="H46" s="35">
        <f>'[7]Distillers'' Corn Oil Complex'!Z104</f>
        <v>153.29</v>
      </c>
      <c r="I46" s="35">
        <f>'[7]Distillers'' Corn Oil Complex'!AA104</f>
        <v>185.38</v>
      </c>
      <c r="J46" s="35">
        <f>'[7]Distillers'' Corn Oil Complex'!AB104</f>
        <v>141.57</v>
      </c>
      <c r="K46" s="35">
        <f>'[7]Distillers'' Corn Oil Complex'!AC104</f>
        <v>133</v>
      </c>
      <c r="L46" s="35">
        <f>'[7]Distillers'' Corn Oil Complex'!AD104</f>
        <v>143.27134692397613</v>
      </c>
      <c r="M46" s="35">
        <f>'[7]Distillers'' Corn Oil Complex'!AE104</f>
        <v>102.55446605916929</v>
      </c>
      <c r="N46" s="35">
        <f>'[7]Distillers'' Corn Oil Complex'!AF104</f>
        <v>85</v>
      </c>
      <c r="O46" s="35">
        <f>'[7]Distillers'' Corn Oil Complex'!AG104</f>
        <v>62.813000000000002</v>
      </c>
      <c r="P46" s="35">
        <f>'[7]Distillers'' Corn Oil Complex'!AH104</f>
        <v>72.908507830113379</v>
      </c>
      <c r="Q46" s="35">
        <f>'[7]Distillers'' Corn Oil Complex'!AI104</f>
        <v>74.636362828090029</v>
      </c>
      <c r="R46" s="35">
        <f>'[7]Distillers'' Corn Oil Complex'!AJ104</f>
        <v>65.624201978897574</v>
      </c>
      <c r="S46" s="35">
        <f>'[7]Distillers'' Corn Oil Complex'!AK104</f>
        <v>48.562467823632204</v>
      </c>
      <c r="T46" s="35">
        <f>'[7]Distillers'' Corn Oil Complex'!AL104</f>
        <v>52.311505453888721</v>
      </c>
      <c r="U46" s="35">
        <f>'[7]Distillers'' Corn Oil Complex'!AM104</f>
        <v>53.22733755399662</v>
      </c>
      <c r="V46" s="35">
        <f>'[7]Distillers'' Corn Oil Complex'!AN104</f>
        <v>51.209273937616146</v>
      </c>
      <c r="W46" s="35">
        <f>'[7]Distillers'' Corn Oil Complex'!AO104</f>
        <v>50.802153841556404</v>
      </c>
      <c r="X46" s="35">
        <f>'[7]Distillers'' Corn Oil Complex'!AP104</f>
        <v>45.508483198192017</v>
      </c>
      <c r="Y46" s="35">
        <f>'[7]Distillers'' Corn Oil Complex'!AQ104</f>
        <v>43.793471997273393</v>
      </c>
      <c r="Z46" s="35">
        <f>'[7]Distillers'' Corn Oil Complex'!AR104</f>
        <v>40.800645228925717</v>
      </c>
      <c r="AA46" s="35">
        <f>'[7]Distillers'' Corn Oil Complex'!AS104</f>
        <v>32.911562146106391</v>
      </c>
    </row>
    <row r="47" spans="1:27" x14ac:dyDescent="0.2">
      <c r="A47" s="61" t="s">
        <v>17</v>
      </c>
      <c r="B47" s="35">
        <f>'[7]Distillers'' Corn Oil Complex'!T105</f>
        <v>30</v>
      </c>
      <c r="C47" s="35">
        <f>'[7]Distillers'' Corn Oil Complex'!U105</f>
        <v>50</v>
      </c>
      <c r="D47" s="35">
        <f>'[7]Distillers'' Corn Oil Complex'!V105</f>
        <v>104</v>
      </c>
      <c r="E47" s="35">
        <f>'[7]Distillers'' Corn Oil Complex'!W105</f>
        <v>94.22</v>
      </c>
      <c r="F47" s="35">
        <f>'[7]Distillers'' Corn Oil Complex'!X105</f>
        <v>100</v>
      </c>
      <c r="G47" s="35">
        <f>'[7]Distillers'' Corn Oil Complex'!Y105</f>
        <v>135.04</v>
      </c>
      <c r="H47" s="35">
        <f>'[7]Distillers'' Corn Oil Complex'!Z105</f>
        <v>165.18</v>
      </c>
      <c r="I47" s="35">
        <f>'[7]Distillers'' Corn Oil Complex'!AA105</f>
        <v>180.82</v>
      </c>
      <c r="J47" s="35">
        <f>'[7]Distillers'' Corn Oil Complex'!AB105</f>
        <v>161.32</v>
      </c>
      <c r="K47" s="35">
        <f>'[7]Distillers'' Corn Oil Complex'!AC105</f>
        <v>147</v>
      </c>
      <c r="L47" s="35">
        <f>'[7]Distillers'' Corn Oil Complex'!AD105</f>
        <v>150.29797397803216</v>
      </c>
      <c r="M47" s="35">
        <f>'[7]Distillers'' Corn Oil Complex'!AE105</f>
        <v>110.42206778143442</v>
      </c>
      <c r="N47" s="35">
        <f>'[7]Distillers'' Corn Oil Complex'!AF105</f>
        <v>63.088000000000001</v>
      </c>
      <c r="O47" s="35">
        <f>'[7]Distillers'' Corn Oil Complex'!AG105</f>
        <v>66.537000000000006</v>
      </c>
      <c r="P47" s="35">
        <f>'[7]Distillers'' Corn Oil Complex'!AH105</f>
        <v>137.33212525216979</v>
      </c>
      <c r="Q47" s="35">
        <f>'[7]Distillers'' Corn Oil Complex'!AI105</f>
        <v>75.985360407138899</v>
      </c>
      <c r="R47" s="35">
        <f>'[7]Distillers'' Corn Oil Complex'!AJ105</f>
        <v>76.030236108261434</v>
      </c>
      <c r="S47" s="35">
        <f>'[7]Distillers'' Corn Oil Complex'!AK105</f>
        <v>56.187905117108713</v>
      </c>
      <c r="T47" s="35">
        <f>'[7]Distillers'' Corn Oil Complex'!AL105</f>
        <v>65.8938489645696</v>
      </c>
      <c r="U47" s="35">
        <f>'[7]Distillers'' Corn Oil Complex'!AM105</f>
        <v>69.290354845512539</v>
      </c>
      <c r="V47" s="35">
        <f>'[7]Distillers'' Corn Oil Complex'!AN105</f>
        <v>60.170549155200824</v>
      </c>
      <c r="W47" s="35">
        <f>'[7]Distillers'' Corn Oil Complex'!AO105</f>
        <v>61.416520538868866</v>
      </c>
      <c r="X47" s="35">
        <f>'[7]Distillers'' Corn Oil Complex'!AP105</f>
        <v>48.274179501689659</v>
      </c>
      <c r="Y47" s="35">
        <f>'[7]Distillers'' Corn Oil Complex'!AQ105</f>
        <v>50.086219189155713</v>
      </c>
      <c r="Z47" s="35">
        <f>'[7]Distillers'' Corn Oil Complex'!AR105</f>
        <v>45.969888730520559</v>
      </c>
      <c r="AA47" s="35">
        <f>'[7]Distillers'' Corn Oil Complex'!AS105</f>
        <v>37.617179022009637</v>
      </c>
    </row>
    <row r="48" spans="1:27" x14ac:dyDescent="0.2">
      <c r="A48" s="64" t="s">
        <v>18</v>
      </c>
      <c r="B48" s="65">
        <f>SUM(B36:B47)</f>
        <v>305</v>
      </c>
      <c r="C48" s="65">
        <f t="shared" ref="C48:O48" si="6">SUM(C36:C47)</f>
        <v>645</v>
      </c>
      <c r="D48" s="65">
        <f t="shared" si="6"/>
        <v>1066</v>
      </c>
      <c r="E48" s="65">
        <f t="shared" si="6"/>
        <v>970.31000000000006</v>
      </c>
      <c r="F48" s="65">
        <f t="shared" si="6"/>
        <v>1044</v>
      </c>
      <c r="G48" s="65">
        <f t="shared" si="6"/>
        <v>1306.3799999999999</v>
      </c>
      <c r="H48" s="65">
        <f t="shared" si="6"/>
        <v>1578.93</v>
      </c>
      <c r="I48" s="65">
        <f t="shared" si="6"/>
        <v>2084.9700000000003</v>
      </c>
      <c r="J48" s="65">
        <f t="shared" si="6"/>
        <v>1759.7199999999998</v>
      </c>
      <c r="K48" s="65">
        <f t="shared" si="6"/>
        <v>1516.6799999999998</v>
      </c>
      <c r="L48" s="65">
        <f t="shared" si="6"/>
        <v>1378.6412410560351</v>
      </c>
      <c r="M48" s="65">
        <f t="shared" si="6"/>
        <v>1706.4142806375555</v>
      </c>
      <c r="N48" s="66">
        <f t="shared" si="6"/>
        <v>1047.2329999999999</v>
      </c>
      <c r="O48" s="66">
        <f t="shared" si="6"/>
        <v>924.94060899294038</v>
      </c>
      <c r="P48" s="66">
        <f t="shared" ref="P48:AA48" si="7">SUM(P36:P47)</f>
        <v>1027.4801480815622</v>
      </c>
      <c r="Q48" s="66">
        <f t="shared" si="7"/>
        <v>839.51728703477238</v>
      </c>
      <c r="R48" s="66">
        <f t="shared" si="7"/>
        <v>918.64345650523114</v>
      </c>
      <c r="S48" s="66">
        <f t="shared" si="7"/>
        <v>644.13331658080642</v>
      </c>
      <c r="T48" s="66">
        <f t="shared" si="7"/>
        <v>707.94763981165397</v>
      </c>
      <c r="U48" s="66">
        <f t="shared" si="7"/>
        <v>702.24982509536255</v>
      </c>
      <c r="V48" s="66">
        <f t="shared" si="7"/>
        <v>664.5671783839764</v>
      </c>
      <c r="W48" s="66">
        <f t="shared" si="7"/>
        <v>680.6355476755806</v>
      </c>
      <c r="X48" s="66">
        <f t="shared" si="7"/>
        <v>607.69731445789773</v>
      </c>
      <c r="Y48" s="66">
        <f t="shared" si="7"/>
        <v>571.51432260910406</v>
      </c>
      <c r="Z48" s="66">
        <f t="shared" si="7"/>
        <v>538.92591656837101</v>
      </c>
      <c r="AA48" s="66">
        <f t="shared" si="7"/>
        <v>433.69004947652803</v>
      </c>
    </row>
    <row r="50" spans="1:27" ht="12" thickBot="1" x14ac:dyDescent="0.25">
      <c r="A50" s="61" t="s">
        <v>43</v>
      </c>
    </row>
    <row r="51" spans="1:27" ht="12.75" thickTop="1" thickBot="1" x14ac:dyDescent="0.25">
      <c r="A51" s="62"/>
      <c r="B51" s="63">
        <f>B3</f>
        <v>2011</v>
      </c>
      <c r="C51" s="63">
        <f t="shared" ref="C51:AA51" si="8">C3</f>
        <v>2012</v>
      </c>
      <c r="D51" s="63">
        <f t="shared" si="8"/>
        <v>2013</v>
      </c>
      <c r="E51" s="63">
        <f t="shared" si="8"/>
        <v>2014</v>
      </c>
      <c r="F51" s="63">
        <f t="shared" si="8"/>
        <v>2015</v>
      </c>
      <c r="G51" s="63">
        <f t="shared" si="8"/>
        <v>2016</v>
      </c>
      <c r="H51" s="63">
        <f t="shared" si="8"/>
        <v>2017</v>
      </c>
      <c r="I51" s="63">
        <f t="shared" si="8"/>
        <v>2018</v>
      </c>
      <c r="J51" s="63">
        <f t="shared" si="8"/>
        <v>2019</v>
      </c>
      <c r="K51" s="63">
        <f t="shared" si="8"/>
        <v>2020</v>
      </c>
      <c r="L51" s="63">
        <f t="shared" si="8"/>
        <v>2021</v>
      </c>
      <c r="M51" s="63">
        <f t="shared" si="8"/>
        <v>2022</v>
      </c>
      <c r="N51" s="63">
        <f t="shared" si="8"/>
        <v>2023</v>
      </c>
      <c r="O51" s="63">
        <f t="shared" si="8"/>
        <v>2024</v>
      </c>
      <c r="P51" s="63">
        <f t="shared" si="8"/>
        <v>2025</v>
      </c>
      <c r="Q51" s="63">
        <f t="shared" si="8"/>
        <v>2026</v>
      </c>
      <c r="R51" s="63">
        <f t="shared" si="8"/>
        <v>2027</v>
      </c>
      <c r="S51" s="63">
        <f t="shared" si="8"/>
        <v>2028</v>
      </c>
      <c r="T51" s="63">
        <f t="shared" si="8"/>
        <v>2029</v>
      </c>
      <c r="U51" s="63">
        <f t="shared" si="8"/>
        <v>2030</v>
      </c>
      <c r="V51" s="63">
        <f t="shared" si="8"/>
        <v>2031</v>
      </c>
      <c r="W51" s="63">
        <f t="shared" si="8"/>
        <v>2032</v>
      </c>
      <c r="X51" s="63">
        <f t="shared" si="8"/>
        <v>2033</v>
      </c>
      <c r="Y51" s="63">
        <f t="shared" si="8"/>
        <v>2034</v>
      </c>
      <c r="Z51" s="63">
        <f t="shared" si="8"/>
        <v>2035</v>
      </c>
      <c r="AA51" s="63">
        <f t="shared" si="8"/>
        <v>2036</v>
      </c>
    </row>
    <row r="52" spans="1:27" ht="12" thickTop="1" x14ac:dyDescent="0.2">
      <c r="A52" s="61" t="s">
        <v>6</v>
      </c>
      <c r="B52" s="35">
        <f>'[7]Inedible Tallow Complex'!S105</f>
        <v>11</v>
      </c>
      <c r="C52" s="35">
        <f>'[7]Inedible Tallow Complex'!T105</f>
        <v>26</v>
      </c>
      <c r="D52" s="35">
        <f>'[7]Inedible Tallow Complex'!U105</f>
        <v>15</v>
      </c>
      <c r="E52" s="35">
        <f>'[7]Inedible Tallow Complex'!V105</f>
        <v>5</v>
      </c>
      <c r="F52" s="35">
        <f>'[7]Inedible Tallow Complex'!W105</f>
        <v>19</v>
      </c>
      <c r="G52" s="35">
        <f>'[7]Inedible Tallow Complex'!X105</f>
        <v>22.98</v>
      </c>
      <c r="H52" s="35">
        <f>'[7]Inedible Tallow Complex'!Y105</f>
        <v>27</v>
      </c>
      <c r="I52" s="35">
        <f>'[7]Inedible Tallow Complex'!Z105</f>
        <v>21.0693969726562</v>
      </c>
      <c r="J52" s="35">
        <f>'[7]Inedible Tallow Complex'!AA105</f>
        <v>24.38</v>
      </c>
      <c r="K52" s="35">
        <f>'[7]Inedible Tallow Complex'!AB105</f>
        <v>20.756643763975227</v>
      </c>
      <c r="L52" s="35">
        <f>'[7]Inedible Tallow Complex'!AC105</f>
        <v>34.87645999055772</v>
      </c>
      <c r="M52" s="35">
        <f>'[7]Inedible Tallow Complex'!AD105</f>
        <v>52.167653173468828</v>
      </c>
      <c r="N52" s="35">
        <f>'[7]Inedible Tallow Complex'!AE105</f>
        <v>66.012282677561259</v>
      </c>
      <c r="O52" s="35">
        <f>'[7]Inedible Tallow Complex'!AF105</f>
        <v>72.590086245091967</v>
      </c>
      <c r="P52" s="35">
        <f>'[7]Inedible Tallow Complex'!AG105</f>
        <v>52.538280832739439</v>
      </c>
      <c r="Q52" s="35">
        <f>'[7]Inedible Tallow Complex'!AH105</f>
        <v>51.801992654515743</v>
      </c>
      <c r="R52" s="35">
        <f>'[7]Inedible Tallow Complex'!AI105</f>
        <v>56.839729476272588</v>
      </c>
      <c r="S52" s="35">
        <f>'[7]Inedible Tallow Complex'!AJ105</f>
        <v>46.774250557138664</v>
      </c>
      <c r="T52" s="35">
        <f>'[7]Inedible Tallow Complex'!AK105</f>
        <v>52.155943042212328</v>
      </c>
      <c r="U52" s="35">
        <f>'[7]Inedible Tallow Complex'!AL105</f>
        <v>50.534478597485986</v>
      </c>
      <c r="V52" s="35">
        <f>'[7]Inedible Tallow Complex'!AM105</f>
        <v>50.538055879563807</v>
      </c>
      <c r="W52" s="35">
        <f>'[7]Inedible Tallow Complex'!AN105</f>
        <v>53.608621163919956</v>
      </c>
      <c r="X52" s="35">
        <f>'[7]Inedible Tallow Complex'!AO105</f>
        <v>62.054083699597236</v>
      </c>
      <c r="Y52" s="35">
        <f>'[7]Inedible Tallow Complex'!AP105</f>
        <v>54.561975426135824</v>
      </c>
      <c r="Z52" s="35">
        <f>'[7]Inedible Tallow Complex'!AQ105</f>
        <v>53.919203056343761</v>
      </c>
      <c r="AA52" s="35">
        <f>'[7]Inedible Tallow Complex'!AR105</f>
        <v>36.706635185808089</v>
      </c>
    </row>
    <row r="53" spans="1:27" x14ac:dyDescent="0.2">
      <c r="A53" s="61" t="s">
        <v>7</v>
      </c>
      <c r="B53" s="35">
        <f>'[7]Inedible Tallow Complex'!S106</f>
        <v>11</v>
      </c>
      <c r="C53" s="35">
        <f>'[7]Inedible Tallow Complex'!T106</f>
        <v>20</v>
      </c>
      <c r="D53" s="35">
        <f>'[7]Inedible Tallow Complex'!U106</f>
        <v>28</v>
      </c>
      <c r="E53" s="35">
        <f>'[7]Inedible Tallow Complex'!V106</f>
        <v>21</v>
      </c>
      <c r="F53" s="35">
        <f>'[7]Inedible Tallow Complex'!W106</f>
        <v>9</v>
      </c>
      <c r="G53" s="35">
        <f>'[7]Inedible Tallow Complex'!X106</f>
        <v>19.100000000000001</v>
      </c>
      <c r="H53" s="35">
        <f>'[7]Inedible Tallow Complex'!Y106</f>
        <v>15.13</v>
      </c>
      <c r="I53" s="35">
        <f>'[7]Inedible Tallow Complex'!Z106</f>
        <v>11.0693969726562</v>
      </c>
      <c r="J53" s="35">
        <f>'[7]Inedible Tallow Complex'!AA106</f>
        <v>20.38</v>
      </c>
      <c r="K53" s="35">
        <f>'[7]Inedible Tallow Complex'!AB106</f>
        <v>20.78</v>
      </c>
      <c r="L53" s="35">
        <f>'[7]Inedible Tallow Complex'!AC106</f>
        <v>17.651621377404553</v>
      </c>
      <c r="M53" s="35">
        <f>'[7]Inedible Tallow Complex'!AD106</f>
        <v>35.037082005240109</v>
      </c>
      <c r="N53" s="35">
        <f>'[7]Inedible Tallow Complex'!AE106</f>
        <v>59.944033865187315</v>
      </c>
      <c r="O53" s="35">
        <f>'[7]Inedible Tallow Complex'!AF106</f>
        <v>77.980262967164947</v>
      </c>
      <c r="P53" s="35">
        <f>'[7]Inedible Tallow Complex'!AG106</f>
        <v>31.220722896054166</v>
      </c>
      <c r="Q53" s="35">
        <f>'[7]Inedible Tallow Complex'!AH106</f>
        <v>43.331289598786618</v>
      </c>
      <c r="R53" s="35">
        <f>'[7]Inedible Tallow Complex'!AI106</f>
        <v>45.973870145328853</v>
      </c>
      <c r="S53" s="35">
        <f>'[7]Inedible Tallow Complex'!AJ106</f>
        <v>38.593612535983077</v>
      </c>
      <c r="T53" s="35">
        <f>'[7]Inedible Tallow Complex'!AK106</f>
        <v>42.530424237420512</v>
      </c>
      <c r="U53" s="35">
        <f>'[7]Inedible Tallow Complex'!AL106</f>
        <v>38.232703873404972</v>
      </c>
      <c r="V53" s="35">
        <f>'[7]Inedible Tallow Complex'!AM106</f>
        <v>40.701946227103107</v>
      </c>
      <c r="W53" s="35">
        <f>'[7]Inedible Tallow Complex'!AN106</f>
        <v>42.996835767423121</v>
      </c>
      <c r="X53" s="35">
        <f>'[7]Inedible Tallow Complex'!AO106</f>
        <v>39.978173116611089</v>
      </c>
      <c r="Y53" s="35">
        <f>'[7]Inedible Tallow Complex'!AP106</f>
        <v>38.230703320473857</v>
      </c>
      <c r="Z53" s="35">
        <f>'[7]Inedible Tallow Complex'!AQ106</f>
        <v>37.043722330427769</v>
      </c>
      <c r="AA53" s="35">
        <f>'[7]Inedible Tallow Complex'!AR106</f>
        <v>26.589413823038875</v>
      </c>
    </row>
    <row r="54" spans="1:27" x14ac:dyDescent="0.2">
      <c r="A54" s="61" t="s">
        <v>8</v>
      </c>
      <c r="B54" s="35">
        <f>'[7]Inedible Tallow Complex'!S107</f>
        <v>27</v>
      </c>
      <c r="C54" s="35">
        <f>'[7]Inedible Tallow Complex'!T107</f>
        <v>24</v>
      </c>
      <c r="D54" s="35">
        <f>'[7]Inedible Tallow Complex'!U107</f>
        <v>53</v>
      </c>
      <c r="E54" s="35">
        <f>'[7]Inedible Tallow Complex'!V107</f>
        <v>43</v>
      </c>
      <c r="F54" s="35">
        <f>'[7]Inedible Tallow Complex'!W107</f>
        <v>34</v>
      </c>
      <c r="G54" s="35">
        <f>'[7]Inedible Tallow Complex'!X107</f>
        <v>15.14</v>
      </c>
      <c r="H54" s="35">
        <f>'[7]Inedible Tallow Complex'!Y107</f>
        <v>20</v>
      </c>
      <c r="I54" s="35">
        <f>'[7]Inedible Tallow Complex'!Z107</f>
        <v>22.92</v>
      </c>
      <c r="J54" s="35">
        <f>'[7]Inedible Tallow Complex'!AA107</f>
        <v>23.94</v>
      </c>
      <c r="K54" s="35">
        <f>'[7]Inedible Tallow Complex'!AB107</f>
        <v>19.946638707440083</v>
      </c>
      <c r="L54" s="35">
        <f>'[7]Inedible Tallow Complex'!AC107</f>
        <v>26.547811991464474</v>
      </c>
      <c r="M54" s="35">
        <f>'[7]Inedible Tallow Complex'!AD107</f>
        <v>33.436403587412826</v>
      </c>
      <c r="N54" s="35">
        <f>'[7]Inedible Tallow Complex'!AE107</f>
        <v>91.523085954609073</v>
      </c>
      <c r="O54" s="35">
        <f>'[7]Inedible Tallow Complex'!AF107</f>
        <v>82.974981291108975</v>
      </c>
      <c r="P54" s="35">
        <f>'[7]Inedible Tallow Complex'!AG107</f>
        <v>40.077029250027053</v>
      </c>
      <c r="Q54" s="35">
        <f>'[7]Inedible Tallow Complex'!AH107</f>
        <v>49.256551640036967</v>
      </c>
      <c r="R54" s="35">
        <f>'[7]Inedible Tallow Complex'!AI107</f>
        <v>54.484814538788804</v>
      </c>
      <c r="S54" s="35">
        <f>'[7]Inedible Tallow Complex'!AJ107</f>
        <v>46.552211303046292</v>
      </c>
      <c r="T54" s="35">
        <f>'[7]Inedible Tallow Complex'!AK107</f>
        <v>48.633106997003821</v>
      </c>
      <c r="U54" s="35">
        <f>'[7]Inedible Tallow Complex'!AL107</f>
        <v>45.351042275908135</v>
      </c>
      <c r="V54" s="35">
        <f>'[7]Inedible Tallow Complex'!AM107</f>
        <v>47.629661764314243</v>
      </c>
      <c r="W54" s="35">
        <f>'[7]Inedible Tallow Complex'!AN107</f>
        <v>50.664988270362471</v>
      </c>
      <c r="X54" s="35">
        <f>'[7]Inedible Tallow Complex'!AO107</f>
        <v>47.049205220837784</v>
      </c>
      <c r="Y54" s="35">
        <f>'[7]Inedible Tallow Complex'!AP107</f>
        <v>44.759684320132152</v>
      </c>
      <c r="Z54" s="35">
        <f>'[7]Inedible Tallow Complex'!AQ107</f>
        <v>43.57949289620862</v>
      </c>
      <c r="AA54" s="35">
        <f>'[7]Inedible Tallow Complex'!AR107</f>
        <v>31.228995237366753</v>
      </c>
    </row>
    <row r="55" spans="1:27" x14ac:dyDescent="0.2">
      <c r="A55" s="61" t="s">
        <v>9</v>
      </c>
      <c r="B55" s="35">
        <f>'[7]Inedible Tallow Complex'!S108</f>
        <v>47</v>
      </c>
      <c r="C55" s="35">
        <f>'[7]Inedible Tallow Complex'!T108</f>
        <v>45</v>
      </c>
      <c r="D55" s="35">
        <f>'[7]Inedible Tallow Complex'!U108</f>
        <v>56</v>
      </c>
      <c r="E55" s="35">
        <f>'[7]Inedible Tallow Complex'!V108</f>
        <v>33</v>
      </c>
      <c r="F55" s="35">
        <f>'[7]Inedible Tallow Complex'!W108</f>
        <v>31</v>
      </c>
      <c r="G55" s="35">
        <f>'[7]Inedible Tallow Complex'!X108</f>
        <v>38.04</v>
      </c>
      <c r="H55" s="35">
        <f>'[7]Inedible Tallow Complex'!Y108</f>
        <v>44.6</v>
      </c>
      <c r="I55" s="35">
        <f>'[7]Inedible Tallow Complex'!Z108</f>
        <v>42.93</v>
      </c>
      <c r="J55" s="35">
        <f>'[7]Inedible Tallow Complex'!AA108</f>
        <v>25.88</v>
      </c>
      <c r="K55" s="35">
        <f>'[7]Inedible Tallow Complex'!AB108</f>
        <v>24.05</v>
      </c>
      <c r="L55" s="35">
        <f>'[7]Inedible Tallow Complex'!AC108</f>
        <v>21.363774467652096</v>
      </c>
      <c r="M55" s="35">
        <f>'[7]Inedible Tallow Complex'!AD108</f>
        <v>34.742019646143326</v>
      </c>
      <c r="N55" s="35">
        <f>'[7]Inedible Tallow Complex'!AE108</f>
        <v>72.594399409519482</v>
      </c>
      <c r="O55" s="35">
        <f>'[7]Inedible Tallow Complex'!AF108</f>
        <v>66.115810659397127</v>
      </c>
      <c r="P55" s="35">
        <f>'[7]Inedible Tallow Complex'!AG108</f>
        <v>48.122420616202291</v>
      </c>
      <c r="Q55" s="35">
        <f>'[7]Inedible Tallow Complex'!AH108</f>
        <v>43.776228730215763</v>
      </c>
      <c r="R55" s="35">
        <f>'[7]Inedible Tallow Complex'!AI108</f>
        <v>49.189222342990007</v>
      </c>
      <c r="S55" s="35">
        <f>'[7]Inedible Tallow Complex'!AJ108</f>
        <v>41.988527937822603</v>
      </c>
      <c r="T55" s="35">
        <f>'[7]Inedible Tallow Complex'!AK108</f>
        <v>46.322875538646137</v>
      </c>
      <c r="U55" s="35">
        <f>'[7]Inedible Tallow Complex'!AL108</f>
        <v>43.740137056185468</v>
      </c>
      <c r="V55" s="35">
        <f>'[7]Inedible Tallow Complex'!AM108</f>
        <v>43.853211506001088</v>
      </c>
      <c r="W55" s="35">
        <f>'[7]Inedible Tallow Complex'!AN108</f>
        <v>47.034461039114923</v>
      </c>
      <c r="X55" s="35">
        <f>'[7]Inedible Tallow Complex'!AO108</f>
        <v>43.964645538789171</v>
      </c>
      <c r="Y55" s="35">
        <f>'[7]Inedible Tallow Complex'!AP108</f>
        <v>42.11528023797171</v>
      </c>
      <c r="Z55" s="35">
        <f>'[7]Inedible Tallow Complex'!AQ108</f>
        <v>40.915600452823945</v>
      </c>
      <c r="AA55" s="35">
        <f>'[7]Inedible Tallow Complex'!AR108</f>
        <v>29.185919674618045</v>
      </c>
    </row>
    <row r="56" spans="1:27" x14ac:dyDescent="0.2">
      <c r="A56" s="61" t="s">
        <v>10</v>
      </c>
      <c r="B56" s="35">
        <f>'[7]Inedible Tallow Complex'!S109</f>
        <v>36</v>
      </c>
      <c r="C56" s="35">
        <f>'[7]Inedible Tallow Complex'!T109</f>
        <v>50</v>
      </c>
      <c r="D56" s="35">
        <f>'[7]Inedible Tallow Complex'!U109</f>
        <v>61</v>
      </c>
      <c r="E56" s="35">
        <f>'[7]Inedible Tallow Complex'!V109</f>
        <v>48</v>
      </c>
      <c r="F56" s="35">
        <f>'[7]Inedible Tallow Complex'!W109</f>
        <v>49</v>
      </c>
      <c r="G56" s="35">
        <f>'[7]Inedible Tallow Complex'!X109</f>
        <v>24</v>
      </c>
      <c r="H56" s="35">
        <f>'[7]Inedible Tallow Complex'!Y109</f>
        <v>40.86</v>
      </c>
      <c r="I56" s="35">
        <f>'[7]Inedible Tallow Complex'!Z109</f>
        <v>49.05</v>
      </c>
      <c r="J56" s="35">
        <f>'[7]Inedible Tallow Complex'!AA109</f>
        <v>29.35</v>
      </c>
      <c r="K56" s="35">
        <f>'[7]Inedible Tallow Complex'!AB109</f>
        <v>11.74</v>
      </c>
      <c r="L56" s="35">
        <f>'[7]Inedible Tallow Complex'!AC109</f>
        <v>25.392375458331561</v>
      </c>
      <c r="M56" s="35">
        <f>'[7]Inedible Tallow Complex'!AD109</f>
        <v>26.180596370130456</v>
      </c>
      <c r="N56" s="35">
        <f>'[7]Inedible Tallow Complex'!AE109</f>
        <v>87.359508103225821</v>
      </c>
      <c r="O56" s="35">
        <f>'[7]Inedible Tallow Complex'!AF109</f>
        <v>67.180565093294831</v>
      </c>
      <c r="P56" s="35">
        <f>'[7]Inedible Tallow Complex'!AG109</f>
        <v>45.822234927004025</v>
      </c>
      <c r="Q56" s="35">
        <f>'[7]Inedible Tallow Complex'!AH109</f>
        <v>44.613096656455042</v>
      </c>
      <c r="R56" s="35">
        <f>'[7]Inedible Tallow Complex'!AI109</f>
        <v>49.670373118173956</v>
      </c>
      <c r="S56" s="35">
        <f>'[7]Inedible Tallow Complex'!AJ109</f>
        <v>43.857242377077441</v>
      </c>
      <c r="T56" s="35">
        <f>'[7]Inedible Tallow Complex'!AK109</f>
        <v>45.506710228147298</v>
      </c>
      <c r="U56" s="35">
        <f>'[7]Inedible Tallow Complex'!AL109</f>
        <v>43.780772347238042</v>
      </c>
      <c r="V56" s="35">
        <f>'[7]Inedible Tallow Complex'!AM109</f>
        <v>44.346144411539207</v>
      </c>
      <c r="W56" s="35">
        <f>'[7]Inedible Tallow Complex'!AN109</f>
        <v>47.491119934987061</v>
      </c>
      <c r="X56" s="35">
        <f>'[7]Inedible Tallow Complex'!AO109</f>
        <v>44.382533596713962</v>
      </c>
      <c r="Y56" s="35">
        <f>'[7]Inedible Tallow Complex'!AP109</f>
        <v>42.229053642186457</v>
      </c>
      <c r="Z56" s="35">
        <f>'[7]Inedible Tallow Complex'!AQ109</f>
        <v>41.197642648683725</v>
      </c>
      <c r="AA56" s="35">
        <f>'[7]Inedible Tallow Complex'!AR109</f>
        <v>29.420982424689704</v>
      </c>
    </row>
    <row r="57" spans="1:27" x14ac:dyDescent="0.2">
      <c r="A57" s="61" t="s">
        <v>11</v>
      </c>
      <c r="B57" s="35">
        <f>'[7]Inedible Tallow Complex'!S110</f>
        <v>49</v>
      </c>
      <c r="C57" s="35">
        <f>'[7]Inedible Tallow Complex'!T110</f>
        <v>28</v>
      </c>
      <c r="D57" s="35">
        <f>'[7]Inedible Tallow Complex'!U110</f>
        <v>58</v>
      </c>
      <c r="E57" s="35">
        <f>'[7]Inedible Tallow Complex'!V110</f>
        <v>20.81</v>
      </c>
      <c r="F57" s="35">
        <f>'[7]Inedible Tallow Complex'!W110</f>
        <v>57</v>
      </c>
      <c r="G57" s="35">
        <f>'[7]Inedible Tallow Complex'!X110</f>
        <v>35.75</v>
      </c>
      <c r="H57" s="35">
        <f>'[7]Inedible Tallow Complex'!Y110</f>
        <v>34.43</v>
      </c>
      <c r="I57" s="35">
        <f>'[7]Inedible Tallow Complex'!Z110</f>
        <v>51.06</v>
      </c>
      <c r="J57" s="35">
        <f>'[7]Inedible Tallow Complex'!AA110</f>
        <v>22.5</v>
      </c>
      <c r="K57" s="35">
        <f>'[7]Inedible Tallow Complex'!AB110</f>
        <v>21.4</v>
      </c>
      <c r="L57" s="35">
        <f>'[7]Inedible Tallow Complex'!AC110</f>
        <v>32.680021748384746</v>
      </c>
      <c r="M57" s="35">
        <f>'[7]Inedible Tallow Complex'!AD110</f>
        <v>44.125254716974446</v>
      </c>
      <c r="N57" s="35">
        <f>'[7]Inedible Tallow Complex'!AE110</f>
        <v>82.546761291824581</v>
      </c>
      <c r="O57" s="35">
        <f>'[7]Inedible Tallow Complex'!AF110</f>
        <v>68.630729380506381</v>
      </c>
      <c r="P57" s="35">
        <f>'[7]Inedible Tallow Complex'!AG110</f>
        <v>53.135320392222347</v>
      </c>
      <c r="Q57" s="35">
        <f>'[7]Inedible Tallow Complex'!AH110</f>
        <v>49.855155651675858</v>
      </c>
      <c r="R57" s="35">
        <f>'[7]Inedible Tallow Complex'!AI110</f>
        <v>54.860928220760833</v>
      </c>
      <c r="S57" s="35">
        <f>'[7]Inedible Tallow Complex'!AJ110</f>
        <v>46.152735252363208</v>
      </c>
      <c r="T57" s="35">
        <f>'[7]Inedible Tallow Complex'!AK110</f>
        <v>49.175895102777794</v>
      </c>
      <c r="U57" s="35">
        <f>'[7]Inedible Tallow Complex'!AL110</f>
        <v>48.218905931270669</v>
      </c>
      <c r="V57" s="35">
        <f>'[7]Inedible Tallow Complex'!AM110</f>
        <v>48.340184917873152</v>
      </c>
      <c r="W57" s="35">
        <f>'[7]Inedible Tallow Complex'!AN110</f>
        <v>51.546478617741293</v>
      </c>
      <c r="X57" s="35">
        <f>'[7]Inedible Tallow Complex'!AO110</f>
        <v>48.010757417395354</v>
      </c>
      <c r="Y57" s="35">
        <f>'[7]Inedible Tallow Complex'!AP110</f>
        <v>45.947254079581995</v>
      </c>
      <c r="Z57" s="35">
        <f>'[7]Inedible Tallow Complex'!AQ110</f>
        <v>44.890728213932348</v>
      </c>
      <c r="AA57" s="35">
        <f>'[7]Inedible Tallow Complex'!AR110</f>
        <v>31.99767628012119</v>
      </c>
    </row>
    <row r="58" spans="1:27" x14ac:dyDescent="0.2">
      <c r="A58" s="61" t="s">
        <v>12</v>
      </c>
      <c r="B58" s="35">
        <f>'[7]Inedible Tallow Complex'!S111</f>
        <v>64</v>
      </c>
      <c r="C58" s="35">
        <f>'[7]Inedible Tallow Complex'!T111</f>
        <v>30</v>
      </c>
      <c r="D58" s="35">
        <f>'[7]Inedible Tallow Complex'!U111</f>
        <v>50</v>
      </c>
      <c r="E58" s="35">
        <f>'[7]Inedible Tallow Complex'!V111</f>
        <v>41.78</v>
      </c>
      <c r="F58" s="35">
        <f>'[7]Inedible Tallow Complex'!W111</f>
        <v>47</v>
      </c>
      <c r="G58" s="35">
        <f>'[7]Inedible Tallow Complex'!X111</f>
        <v>36.44</v>
      </c>
      <c r="H58" s="35">
        <f>'[7]Inedible Tallow Complex'!Y111</f>
        <v>36.090000000000003</v>
      </c>
      <c r="I58" s="35">
        <f>'[7]Inedible Tallow Complex'!Z111</f>
        <v>56.37</v>
      </c>
      <c r="J58" s="35">
        <f>'[7]Inedible Tallow Complex'!AA111</f>
        <v>21.6</v>
      </c>
      <c r="K58" s="35">
        <f>'[7]Inedible Tallow Complex'!AB111</f>
        <v>54.3</v>
      </c>
      <c r="L58" s="35">
        <f>'[7]Inedible Tallow Complex'!AC111</f>
        <v>27.395879169331749</v>
      </c>
      <c r="M58" s="35">
        <f>'[7]Inedible Tallow Complex'!AD111</f>
        <v>53.705097905498256</v>
      </c>
      <c r="N58" s="35">
        <f>'[7]Inedible Tallow Complex'!AE111</f>
        <v>91.02308875409372</v>
      </c>
      <c r="O58" s="35">
        <f>'[7]Inedible Tallow Complex'!AF111</f>
        <v>60.615335366791165</v>
      </c>
      <c r="P58" s="35">
        <f>'[7]Inedible Tallow Complex'!AG111</f>
        <v>57.015160242127585</v>
      </c>
      <c r="Q58" s="35">
        <f>'[7]Inedible Tallow Complex'!AH111</f>
        <v>51.149841134353366</v>
      </c>
      <c r="R58" s="35">
        <f>'[7]Inedible Tallow Complex'!AI111</f>
        <v>57.348907581999406</v>
      </c>
      <c r="S58" s="35">
        <f>'[7]Inedible Tallow Complex'!AJ111</f>
        <v>46.961994230368667</v>
      </c>
      <c r="T58" s="35">
        <f>'[7]Inedible Tallow Complex'!AK111</f>
        <v>48.992863239861627</v>
      </c>
      <c r="U58" s="35">
        <f>'[7]Inedible Tallow Complex'!AL111</f>
        <v>49.643190315182238</v>
      </c>
      <c r="V58" s="35">
        <f>'[7]Inedible Tallow Complex'!AM111</f>
        <v>49.467396773760861</v>
      </c>
      <c r="W58" s="35">
        <f>'[7]Inedible Tallow Complex'!AN111</f>
        <v>52.705232693513508</v>
      </c>
      <c r="X58" s="35">
        <f>'[7]Inedible Tallow Complex'!AO111</f>
        <v>48.866375363334903</v>
      </c>
      <c r="Y58" s="35">
        <f>'[7]Inedible Tallow Complex'!AP111</f>
        <v>46.767921443211918</v>
      </c>
      <c r="Z58" s="35">
        <f>'[7]Inedible Tallow Complex'!AQ111</f>
        <v>45.889623892742129</v>
      </c>
      <c r="AA58" s="35">
        <f>'[7]Inedible Tallow Complex'!AR111</f>
        <v>32.665191218771469</v>
      </c>
    </row>
    <row r="59" spans="1:27" x14ac:dyDescent="0.2">
      <c r="A59" s="61" t="s">
        <v>13</v>
      </c>
      <c r="B59" s="35">
        <f>'[7]Inedible Tallow Complex'!S112</f>
        <v>38</v>
      </c>
      <c r="C59" s="35">
        <f>'[7]Inedible Tallow Complex'!T112</f>
        <v>44</v>
      </c>
      <c r="D59" s="35">
        <f>'[7]Inedible Tallow Complex'!U112</f>
        <v>51</v>
      </c>
      <c r="E59" s="35">
        <f>'[7]Inedible Tallow Complex'!V112</f>
        <v>35.36</v>
      </c>
      <c r="F59" s="35">
        <f>'[7]Inedible Tallow Complex'!W112</f>
        <v>44</v>
      </c>
      <c r="G59" s="35">
        <f>'[7]Inedible Tallow Complex'!X112</f>
        <v>31.66</v>
      </c>
      <c r="H59" s="35">
        <f>'[7]Inedible Tallow Complex'!Y112</f>
        <v>38.590000000000003</v>
      </c>
      <c r="I59" s="35">
        <f>'[7]Inedible Tallow Complex'!Z112</f>
        <v>54.14</v>
      </c>
      <c r="J59" s="35">
        <f>'[7]Inedible Tallow Complex'!AA112</f>
        <v>23.94</v>
      </c>
      <c r="K59" s="35">
        <f>'[7]Inedible Tallow Complex'!AB112</f>
        <v>44.12</v>
      </c>
      <c r="L59" s="35">
        <f>'[7]Inedible Tallow Complex'!AC112</f>
        <v>24.758974566951753</v>
      </c>
      <c r="M59" s="35">
        <f>'[7]Inedible Tallow Complex'!AD112</f>
        <v>41.34410230160276</v>
      </c>
      <c r="N59" s="35">
        <f>'[7]Inedible Tallow Complex'!AE112</f>
        <v>103.63008670702204</v>
      </c>
      <c r="O59" s="35">
        <f>'[7]Inedible Tallow Complex'!AF112</f>
        <v>67.478324706507806</v>
      </c>
      <c r="P59" s="35">
        <f>'[7]Inedible Tallow Complex'!AG112</f>
        <v>58.927436691474448</v>
      </c>
      <c r="Q59" s="35">
        <f>'[7]Inedible Tallow Complex'!AH112</f>
        <v>51.871547921701215</v>
      </c>
      <c r="R59" s="35">
        <f>'[7]Inedible Tallow Complex'!AI112</f>
        <v>59.41074102691671</v>
      </c>
      <c r="S59" s="35">
        <f>'[7]Inedible Tallow Complex'!AJ112</f>
        <v>50.581498718687882</v>
      </c>
      <c r="T59" s="35">
        <f>'[7]Inedible Tallow Complex'!AK112</f>
        <v>51.740394334064575</v>
      </c>
      <c r="U59" s="35">
        <f>'[7]Inedible Tallow Complex'!AL112</f>
        <v>51.910902784301562</v>
      </c>
      <c r="V59" s="35">
        <f>'[7]Inedible Tallow Complex'!AM112</f>
        <v>51.761954639028069</v>
      </c>
      <c r="W59" s="35">
        <f>'[7]Inedible Tallow Complex'!AN112</f>
        <v>55.488612127818044</v>
      </c>
      <c r="X59" s="35">
        <f>'[7]Inedible Tallow Complex'!AO112</f>
        <v>51.614277674158629</v>
      </c>
      <c r="Y59" s="35">
        <f>'[7]Inedible Tallow Complex'!AP112</f>
        <v>49.173694265868988</v>
      </c>
      <c r="Z59" s="35">
        <f>'[7]Inedible Tallow Complex'!AQ112</f>
        <v>48.207328767229157</v>
      </c>
      <c r="AA59" s="35">
        <f>'[7]Inedible Tallow Complex'!AR112</f>
        <v>34.346225593643247</v>
      </c>
    </row>
    <row r="60" spans="1:27" x14ac:dyDescent="0.2">
      <c r="A60" s="61" t="s">
        <v>14</v>
      </c>
      <c r="B60" s="35">
        <f>'[7]Inedible Tallow Complex'!S113</f>
        <v>49</v>
      </c>
      <c r="C60" s="35">
        <f>'[7]Inedible Tallow Complex'!T113</f>
        <v>49</v>
      </c>
      <c r="D60" s="35">
        <f>'[7]Inedible Tallow Complex'!U113</f>
        <v>50</v>
      </c>
      <c r="E60" s="35">
        <f>'[7]Inedible Tallow Complex'!V113</f>
        <v>45.95</v>
      </c>
      <c r="F60" s="35">
        <f>'[7]Inedible Tallow Complex'!W113</f>
        <v>40</v>
      </c>
      <c r="G60" s="35">
        <f>'[7]Inedible Tallow Complex'!X113</f>
        <v>29.07</v>
      </c>
      <c r="H60" s="35">
        <f>'[7]Inedible Tallow Complex'!Y113</f>
        <v>32.880000000000003</v>
      </c>
      <c r="I60" s="35">
        <f>'[7]Inedible Tallow Complex'!Z113</f>
        <v>49.28</v>
      </c>
      <c r="J60" s="35">
        <f>'[7]Inedible Tallow Complex'!AA113</f>
        <v>24.25</v>
      </c>
      <c r="K60" s="35">
        <f>'[7]Inedible Tallow Complex'!AB113</f>
        <v>27.41</v>
      </c>
      <c r="L60" s="35">
        <f>'[7]Inedible Tallow Complex'!AC113</f>
        <v>25.388351974495912</v>
      </c>
      <c r="M60" s="35">
        <f>'[7]Inedible Tallow Complex'!AD113</f>
        <v>51.602875113423359</v>
      </c>
      <c r="N60" s="35">
        <f>'[7]Inedible Tallow Complex'!AE113</f>
        <v>114.22391630840667</v>
      </c>
      <c r="O60" s="35">
        <f>'[7]Inedible Tallow Complex'!AF113</f>
        <v>49.541812152161917</v>
      </c>
      <c r="P60" s="35">
        <f>'[7]Inedible Tallow Complex'!AG113</f>
        <v>55.442528504594407</v>
      </c>
      <c r="Q60" s="35">
        <f>'[7]Inedible Tallow Complex'!AH113</f>
        <v>51.214857477225358</v>
      </c>
      <c r="R60" s="35">
        <f>'[7]Inedible Tallow Complex'!AI113</f>
        <v>58.593413440781639</v>
      </c>
      <c r="S60" s="35">
        <f>'[7]Inedible Tallow Complex'!AJ113</f>
        <v>48.480832555120365</v>
      </c>
      <c r="T60" s="35">
        <f>'[7]Inedible Tallow Complex'!AK113</f>
        <v>48.754020420974584</v>
      </c>
      <c r="U60" s="35">
        <f>'[7]Inedible Tallow Complex'!AL113</f>
        <v>49.950704959279882</v>
      </c>
      <c r="V60" s="35">
        <f>'[7]Inedible Tallow Complex'!AM113</f>
        <v>50.039880121062922</v>
      </c>
      <c r="W60" s="35">
        <f>'[7]Inedible Tallow Complex'!AN113</f>
        <v>53.45345957983826</v>
      </c>
      <c r="X60" s="35">
        <f>'[7]Inedible Tallow Complex'!AO113</f>
        <v>49.485273933713579</v>
      </c>
      <c r="Y60" s="35">
        <f>'[7]Inedible Tallow Complex'!AP113</f>
        <v>47.155205779269373</v>
      </c>
      <c r="Z60" s="35">
        <f>'[7]Inedible Tallow Complex'!AQ113</f>
        <v>46.379027745550331</v>
      </c>
      <c r="AA60" s="35">
        <f>'[7]Inedible Tallow Complex'!AR113</f>
        <v>33.045618058302615</v>
      </c>
    </row>
    <row r="61" spans="1:27" x14ac:dyDescent="0.2">
      <c r="A61" s="61" t="s">
        <v>15</v>
      </c>
      <c r="B61" s="35">
        <f>'[7]Inedible Tallow Complex'!T102</f>
        <v>39</v>
      </c>
      <c r="C61" s="35">
        <f>'[7]Inedible Tallow Complex'!U102</f>
        <v>44</v>
      </c>
      <c r="D61" s="35">
        <f>'[7]Inedible Tallow Complex'!V102</f>
        <v>23</v>
      </c>
      <c r="E61" s="35">
        <f>'[7]Inedible Tallow Complex'!W102</f>
        <v>28.74</v>
      </c>
      <c r="F61" s="35">
        <f>'[7]Inedible Tallow Complex'!X102</f>
        <v>42</v>
      </c>
      <c r="G61" s="35">
        <f>'[7]Inedible Tallow Complex'!Y102</f>
        <v>31.44</v>
      </c>
      <c r="H61" s="35">
        <f>'[7]Inedible Tallow Complex'!Z102</f>
        <v>37.6</v>
      </c>
      <c r="I61" s="35">
        <f>'[7]Inedible Tallow Complex'!AA102</f>
        <v>59.32</v>
      </c>
      <c r="J61" s="35">
        <f>'[7]Inedible Tallow Complex'!AB102</f>
        <v>28.55</v>
      </c>
      <c r="K61" s="35">
        <f>'[7]Inedible Tallow Complex'!AC102</f>
        <v>52</v>
      </c>
      <c r="L61" s="35">
        <f>'[7]Inedible Tallow Complex'!AD102</f>
        <v>36.393954469162871</v>
      </c>
      <c r="M61" s="35">
        <f>'[7]Inedible Tallow Complex'!AE102</f>
        <v>54.835067504636712</v>
      </c>
      <c r="N61" s="35">
        <f>'[7]Inedible Tallow Complex'!AF102</f>
        <v>54.998405648361405</v>
      </c>
      <c r="O61" s="35">
        <f>'[7]Inedible Tallow Complex'!AG102</f>
        <v>68.829830185646358</v>
      </c>
      <c r="P61" s="35">
        <f>'[7]Inedible Tallow Complex'!AH102</f>
        <v>47.183938321712631</v>
      </c>
      <c r="Q61" s="35">
        <f>'[7]Inedible Tallow Complex'!AI102</f>
        <v>46.711850860616003</v>
      </c>
      <c r="R61" s="35">
        <f>'[7]Inedible Tallow Complex'!AJ102</f>
        <v>50.193612250232967</v>
      </c>
      <c r="S61" s="35">
        <f>'[7]Inedible Tallow Complex'!AK102</f>
        <v>40.015396640133311</v>
      </c>
      <c r="T61" s="35">
        <f>'[7]Inedible Tallow Complex'!AL102</f>
        <v>45.196906406482093</v>
      </c>
      <c r="U61" s="35">
        <f>'[7]Inedible Tallow Complex'!AM102</f>
        <v>43.552230134793255</v>
      </c>
      <c r="V61" s="35">
        <f>'[7]Inedible Tallow Complex'!AN102</f>
        <v>43.898277161709963</v>
      </c>
      <c r="W61" s="35">
        <f>'[7]Inedible Tallow Complex'!AO102</f>
        <v>46.514685354401301</v>
      </c>
      <c r="X61" s="35">
        <f>'[7]Inedible Tallow Complex'!AP102</f>
        <v>43.197632859816508</v>
      </c>
      <c r="Y61" s="35">
        <f>'[7]Inedible Tallow Complex'!AQ102</f>
        <v>42.754710885498049</v>
      </c>
      <c r="Z61" s="35">
        <f>'[7]Inedible Tallow Complex'!AR102</f>
        <v>34.675659058397841</v>
      </c>
      <c r="AA61" s="35">
        <f>'[7]Inedible Tallow Complex'!AS102</f>
        <v>28.246347414105667</v>
      </c>
    </row>
    <row r="62" spans="1:27" x14ac:dyDescent="0.2">
      <c r="A62" s="61" t="s">
        <v>16</v>
      </c>
      <c r="B62" s="35">
        <f>'[7]Inedible Tallow Complex'!T103</f>
        <v>31</v>
      </c>
      <c r="C62" s="35">
        <f>'[7]Inedible Tallow Complex'!U103</f>
        <v>22</v>
      </c>
      <c r="D62" s="35">
        <f>'[7]Inedible Tallow Complex'!V103</f>
        <v>12</v>
      </c>
      <c r="E62" s="35">
        <f>'[7]Inedible Tallow Complex'!W103</f>
        <v>12.3</v>
      </c>
      <c r="F62" s="35">
        <f>'[7]Inedible Tallow Complex'!X103</f>
        <v>24</v>
      </c>
      <c r="G62" s="35">
        <f>'[7]Inedible Tallow Complex'!Y103</f>
        <v>24.93</v>
      </c>
      <c r="H62" s="35">
        <f>'[7]Inedible Tallow Complex'!Z103</f>
        <v>33.51</v>
      </c>
      <c r="I62" s="35">
        <f>'[7]Inedible Tallow Complex'!AA103</f>
        <v>30.37</v>
      </c>
      <c r="J62" s="35">
        <f>'[7]Inedible Tallow Complex'!AB103</f>
        <v>26.33</v>
      </c>
      <c r="K62" s="35">
        <f>'[7]Inedible Tallow Complex'!AC103</f>
        <v>33</v>
      </c>
      <c r="L62" s="35">
        <f>'[7]Inedible Tallow Complex'!AD103</f>
        <v>32.371481818907306</v>
      </c>
      <c r="M62" s="35">
        <f>'[7]Inedible Tallow Complex'!AE103</f>
        <v>59.214329663939431</v>
      </c>
      <c r="N62" s="35">
        <f>'[7]Inedible Tallow Complex'!AF103</f>
        <v>57.781512307298065</v>
      </c>
      <c r="O62" s="35">
        <f>'[7]Inedible Tallow Complex'!AG103</f>
        <v>77.655615187255918</v>
      </c>
      <c r="P62" s="35">
        <f>'[7]Inedible Tallow Complex'!AH103</f>
        <v>48.202406335448018</v>
      </c>
      <c r="Q62" s="35">
        <f>'[7]Inedible Tallow Complex'!AI103</f>
        <v>48.786955769602734</v>
      </c>
      <c r="R62" s="35">
        <f>'[7]Inedible Tallow Complex'!AJ103</f>
        <v>53.648417870463511</v>
      </c>
      <c r="S62" s="35">
        <f>'[7]Inedible Tallow Complex'!AK103</f>
        <v>42.689961352696095</v>
      </c>
      <c r="T62" s="35">
        <f>'[7]Inedible Tallow Complex'!AL103</f>
        <v>48.378956752484818</v>
      </c>
      <c r="U62" s="35">
        <f>'[7]Inedible Tallow Complex'!AM103</f>
        <v>46.012582149563386</v>
      </c>
      <c r="V62" s="35">
        <f>'[7]Inedible Tallow Complex'!AN103</f>
        <v>46.613719984524145</v>
      </c>
      <c r="W62" s="35">
        <f>'[7]Inedible Tallow Complex'!AO103</f>
        <v>49.552758965601925</v>
      </c>
      <c r="X62" s="35">
        <f>'[7]Inedible Tallow Complex'!AP103</f>
        <v>45.988644794677924</v>
      </c>
      <c r="Y62" s="35">
        <f>'[7]Inedible Tallow Complex'!AQ103</f>
        <v>45.488383337787333</v>
      </c>
      <c r="Z62" s="35">
        <f>'[7]Inedible Tallow Complex'!AR103</f>
        <v>36.847636475284489</v>
      </c>
      <c r="AA62" s="35">
        <f>'[7]Inedible Tallow Complex'!AS103</f>
        <v>30.053634718489466</v>
      </c>
    </row>
    <row r="63" spans="1:27" x14ac:dyDescent="0.2">
      <c r="A63" s="61" t="s">
        <v>17</v>
      </c>
      <c r="B63" s="35">
        <f>'[7]Inedible Tallow Complex'!T104</f>
        <v>27</v>
      </c>
      <c r="C63" s="35">
        <f>'[7]Inedible Tallow Complex'!U104</f>
        <v>3</v>
      </c>
      <c r="D63" s="35">
        <f>'[7]Inedible Tallow Complex'!V104</f>
        <v>8</v>
      </c>
      <c r="E63" s="35">
        <f>'[7]Inedible Tallow Complex'!W104</f>
        <v>21</v>
      </c>
      <c r="F63" s="35">
        <f>'[7]Inedible Tallow Complex'!X104</f>
        <v>33</v>
      </c>
      <c r="G63" s="35">
        <f>'[7]Inedible Tallow Complex'!Y104</f>
        <v>23.31</v>
      </c>
      <c r="H63" s="35">
        <f>'[7]Inedible Tallow Complex'!Z104</f>
        <v>30.27</v>
      </c>
      <c r="I63" s="35">
        <f>'[7]Inedible Tallow Complex'!AA104</f>
        <v>21.36</v>
      </c>
      <c r="J63" s="35">
        <f>'[7]Inedible Tallow Complex'!AB104</f>
        <v>21.31</v>
      </c>
      <c r="K63" s="35">
        <f>'[7]Inedible Tallow Complex'!AC104</f>
        <v>38</v>
      </c>
      <c r="L63" s="35">
        <f>'[7]Inedible Tallow Complex'!AD104</f>
        <v>46.93825971606968</v>
      </c>
      <c r="M63" s="35">
        <f>'[7]Inedible Tallow Complex'!AE104</f>
        <v>76.13872767261681</v>
      </c>
      <c r="N63" s="35">
        <f>'[7]Inedible Tallow Complex'!AF104</f>
        <v>55.560636930267734</v>
      </c>
      <c r="O63" s="35">
        <f>'[7]Inedible Tallow Complex'!AG104</f>
        <v>87.464534815173636</v>
      </c>
      <c r="P63" s="35">
        <f>'[7]Inedible Tallow Complex'!AH104</f>
        <v>107.04224059602016</v>
      </c>
      <c r="Q63" s="35">
        <f>'[7]Inedible Tallow Complex'!AI104</f>
        <v>60.276460079990009</v>
      </c>
      <c r="R63" s="35">
        <f>'[7]Inedible Tallow Complex'!AJ104</f>
        <v>73.452916158559361</v>
      </c>
      <c r="S63" s="35">
        <f>'[7]Inedible Tallow Complex'!AK104</f>
        <v>58.828480586657072</v>
      </c>
      <c r="T63" s="35">
        <f>'[7]Inedible Tallow Complex'!AL104</f>
        <v>71.087478175157898</v>
      </c>
      <c r="U63" s="35">
        <f>'[7]Inedible Tallow Complex'!AM104</f>
        <v>71.023892303045088</v>
      </c>
      <c r="V63" s="35">
        <f>'[7]Inedible Tallow Complex'!AN104</f>
        <v>65.051249499249707</v>
      </c>
      <c r="W63" s="35">
        <f>'[7]Inedible Tallow Complex'!AO104</f>
        <v>70.8336818983596</v>
      </c>
      <c r="X63" s="35">
        <f>'[7]Inedible Tallow Complex'!AP104</f>
        <v>57.698950778292996</v>
      </c>
      <c r="Y63" s="35">
        <f>'[7]Inedible Tallow Complex'!AQ104</f>
        <v>61.426591832314656</v>
      </c>
      <c r="Z63" s="35">
        <f>'[7]Inedible Tallow Complex'!AR104</f>
        <v>49.149970546229902</v>
      </c>
      <c r="AA63" s="35">
        <f>'[7]Inedible Tallow Complex'!AS104</f>
        <v>40.655284070006473</v>
      </c>
    </row>
    <row r="64" spans="1:27" x14ac:dyDescent="0.2">
      <c r="A64" s="64" t="s">
        <v>18</v>
      </c>
      <c r="B64" s="65">
        <f>SUM(B52:B63)</f>
        <v>429</v>
      </c>
      <c r="C64" s="65">
        <f t="shared" ref="C64:AA64" si="9">SUM(C52:C63)</f>
        <v>385</v>
      </c>
      <c r="D64" s="65">
        <f t="shared" si="9"/>
        <v>465</v>
      </c>
      <c r="E64" s="65">
        <f t="shared" si="9"/>
        <v>355.94</v>
      </c>
      <c r="F64" s="65">
        <f t="shared" si="9"/>
        <v>429</v>
      </c>
      <c r="G64" s="65">
        <f t="shared" si="9"/>
        <v>331.86</v>
      </c>
      <c r="H64" s="65">
        <f t="shared" si="9"/>
        <v>390.96000000000004</v>
      </c>
      <c r="I64" s="65">
        <f t="shared" si="9"/>
        <v>468.9387939453124</v>
      </c>
      <c r="J64" s="65">
        <f t="shared" si="9"/>
        <v>292.41000000000003</v>
      </c>
      <c r="K64" s="65">
        <f t="shared" si="9"/>
        <v>367.50328247141533</v>
      </c>
      <c r="L64" s="65">
        <f t="shared" si="9"/>
        <v>351.75896674871439</v>
      </c>
      <c r="M64" s="65">
        <f t="shared" si="9"/>
        <v>562.52920966108729</v>
      </c>
      <c r="N64" s="66">
        <f t="shared" si="9"/>
        <v>937.19771795737722</v>
      </c>
      <c r="O64" s="66">
        <f t="shared" si="9"/>
        <v>847.05788805010093</v>
      </c>
      <c r="P64" s="66">
        <f t="shared" si="9"/>
        <v>644.72971960562654</v>
      </c>
      <c r="Q64" s="66">
        <f t="shared" si="9"/>
        <v>592.64582817517464</v>
      </c>
      <c r="R64" s="66">
        <f t="shared" si="9"/>
        <v>663.66694617126871</v>
      </c>
      <c r="S64" s="66">
        <f t="shared" si="9"/>
        <v>551.47674404709471</v>
      </c>
      <c r="T64" s="66">
        <f t="shared" si="9"/>
        <v>598.47557447523343</v>
      </c>
      <c r="U64" s="66">
        <f t="shared" si="9"/>
        <v>581.95154272765876</v>
      </c>
      <c r="V64" s="66">
        <f t="shared" si="9"/>
        <v>582.24168288573026</v>
      </c>
      <c r="W64" s="66">
        <f t="shared" si="9"/>
        <v>621.89093541308148</v>
      </c>
      <c r="X64" s="66">
        <f t="shared" si="9"/>
        <v>582.29055399393917</v>
      </c>
      <c r="Y64" s="66">
        <f t="shared" si="9"/>
        <v>560.61045857043234</v>
      </c>
      <c r="Z64" s="66">
        <f t="shared" si="9"/>
        <v>522.69563608385408</v>
      </c>
      <c r="AA64" s="66">
        <f t="shared" si="9"/>
        <v>384.14192369896165</v>
      </c>
    </row>
    <row r="66" spans="1:27" ht="12" thickBot="1" x14ac:dyDescent="0.25">
      <c r="A66" s="61" t="s">
        <v>44</v>
      </c>
    </row>
    <row r="67" spans="1:27" ht="12.75" thickTop="1" thickBot="1" x14ac:dyDescent="0.25">
      <c r="A67" s="62"/>
      <c r="B67" s="63">
        <f>B3</f>
        <v>2011</v>
      </c>
      <c r="C67" s="63">
        <f t="shared" ref="C67:AA67" si="10">C3</f>
        <v>2012</v>
      </c>
      <c r="D67" s="63">
        <f t="shared" si="10"/>
        <v>2013</v>
      </c>
      <c r="E67" s="63">
        <f t="shared" si="10"/>
        <v>2014</v>
      </c>
      <c r="F67" s="63">
        <f t="shared" si="10"/>
        <v>2015</v>
      </c>
      <c r="G67" s="63">
        <f t="shared" si="10"/>
        <v>2016</v>
      </c>
      <c r="H67" s="63">
        <f t="shared" si="10"/>
        <v>2017</v>
      </c>
      <c r="I67" s="63">
        <f t="shared" si="10"/>
        <v>2018</v>
      </c>
      <c r="J67" s="63">
        <f t="shared" si="10"/>
        <v>2019</v>
      </c>
      <c r="K67" s="63">
        <f t="shared" si="10"/>
        <v>2020</v>
      </c>
      <c r="L67" s="63">
        <f t="shared" si="10"/>
        <v>2021</v>
      </c>
      <c r="M67" s="63">
        <f t="shared" si="10"/>
        <v>2022</v>
      </c>
      <c r="N67" s="63">
        <f t="shared" si="10"/>
        <v>2023</v>
      </c>
      <c r="O67" s="63">
        <f t="shared" si="10"/>
        <v>2024</v>
      </c>
      <c r="P67" s="63">
        <f t="shared" si="10"/>
        <v>2025</v>
      </c>
      <c r="Q67" s="63">
        <f t="shared" si="10"/>
        <v>2026</v>
      </c>
      <c r="R67" s="63">
        <f t="shared" si="10"/>
        <v>2027</v>
      </c>
      <c r="S67" s="63">
        <f t="shared" si="10"/>
        <v>2028</v>
      </c>
      <c r="T67" s="63">
        <f t="shared" si="10"/>
        <v>2029</v>
      </c>
      <c r="U67" s="63">
        <f t="shared" si="10"/>
        <v>2030</v>
      </c>
      <c r="V67" s="63">
        <f t="shared" si="10"/>
        <v>2031</v>
      </c>
      <c r="W67" s="63">
        <f t="shared" si="10"/>
        <v>2032</v>
      </c>
      <c r="X67" s="63">
        <f t="shared" si="10"/>
        <v>2033</v>
      </c>
      <c r="Y67" s="63">
        <f t="shared" si="10"/>
        <v>2034</v>
      </c>
      <c r="Z67" s="63">
        <f t="shared" si="10"/>
        <v>2035</v>
      </c>
      <c r="AA67" s="63">
        <f t="shared" si="10"/>
        <v>2036</v>
      </c>
    </row>
    <row r="68" spans="1:27" ht="12" thickTop="1" x14ac:dyDescent="0.2">
      <c r="A68" s="61" t="s">
        <v>6</v>
      </c>
      <c r="B68" s="35">
        <f>'[7]Grease Complex'!S105+'[7]Used Cooking Oil Complex'!S106</f>
        <v>27</v>
      </c>
      <c r="C68" s="35">
        <f>'[7]Grease Complex'!T105+'[7]Used Cooking Oil Complex'!T106</f>
        <v>71.749922246681862</v>
      </c>
      <c r="D68" s="35">
        <f>'[7]Grease Complex'!U105+'[7]Used Cooking Oil Complex'!U106</f>
        <v>84.837973530370633</v>
      </c>
      <c r="E68" s="35">
        <f>'[7]Grease Complex'!V105+'[7]Used Cooking Oil Complex'!V106</f>
        <v>134.27819366392629</v>
      </c>
      <c r="F68" s="35">
        <f>'[7]Grease Complex'!W105+'[7]Used Cooking Oil Complex'!W106</f>
        <v>124.36921027734351</v>
      </c>
      <c r="G68" s="35">
        <f>'[7]Grease Complex'!X105+'[7]Used Cooking Oil Complex'!X106</f>
        <v>131.40176807535505</v>
      </c>
      <c r="H68" s="35">
        <f>'[7]Grease Complex'!Y105+'[7]Used Cooking Oil Complex'!Y106</f>
        <v>170.71750139328145</v>
      </c>
      <c r="I68" s="35">
        <f>'[7]Grease Complex'!Z105+'[7]Used Cooking Oil Complex'!Z106</f>
        <v>185.54228205123096</v>
      </c>
      <c r="J68" s="35">
        <f>'[7]Grease Complex'!AA105+'[7]Used Cooking Oil Complex'!AA106</f>
        <v>236.12311132810498</v>
      </c>
      <c r="K68" s="35">
        <f>'[7]Grease Complex'!AB105+'[7]Used Cooking Oil Complex'!AB106</f>
        <v>206.20132977054516</v>
      </c>
      <c r="L68" s="35">
        <f>'[7]Grease Complex'!AC105+'[7]Used Cooking Oil Complex'!AC106</f>
        <v>228.03635095055751</v>
      </c>
      <c r="M68" s="35">
        <f>'[7]Grease Complex'!AD105+'[7]Used Cooking Oil Complex'!AD106</f>
        <v>588.66354740120664</v>
      </c>
      <c r="N68" s="35">
        <f>'[7]Grease Complex'!AE105+'[7]Used Cooking Oil Complex'!AE106</f>
        <v>759.11132592933086</v>
      </c>
      <c r="O68" s="35">
        <f>'[7]Grease Complex'!AF105+'[7]Used Cooking Oil Complex'!AF106</f>
        <v>790.10363482109813</v>
      </c>
      <c r="P68" s="35">
        <f>'[7]Grease Complex'!AG105+'[7]Used Cooking Oil Complex'!AG106</f>
        <v>755.2342361579083</v>
      </c>
      <c r="Q68" s="35">
        <f>'[7]Grease Complex'!AH105+'[7]Used Cooking Oil Complex'!AH106</f>
        <v>864.67181431481447</v>
      </c>
      <c r="R68" s="35">
        <f>'[7]Grease Complex'!AI105+'[7]Used Cooking Oil Complex'!AI106</f>
        <v>761.1703442765612</v>
      </c>
      <c r="S68" s="35">
        <f>'[7]Grease Complex'!AJ105+'[7]Used Cooking Oil Complex'!AJ106</f>
        <v>813.73953532530368</v>
      </c>
      <c r="T68" s="35">
        <f>'[7]Grease Complex'!AK105+'[7]Used Cooking Oil Complex'!AK106</f>
        <v>771.29014509775993</v>
      </c>
      <c r="U68" s="35">
        <f>'[7]Grease Complex'!AL105+'[7]Used Cooking Oil Complex'!AL106</f>
        <v>1171.15598031948</v>
      </c>
      <c r="V68" s="35">
        <f>'[7]Grease Complex'!AM105+'[7]Used Cooking Oil Complex'!AM106</f>
        <v>1205.9999749912865</v>
      </c>
      <c r="W68" s="35">
        <f>'[7]Grease Complex'!AN105+'[7]Used Cooking Oil Complex'!AN106</f>
        <v>1440.879984627014</v>
      </c>
      <c r="X68" s="35">
        <f>'[7]Grease Complex'!AO105+'[7]Used Cooking Oil Complex'!AO106</f>
        <v>1492.2948800512074</v>
      </c>
      <c r="Y68" s="35">
        <f>'[7]Grease Complex'!AP105+'[7]Used Cooking Oil Complex'!AP106</f>
        <v>1450.6728913522122</v>
      </c>
      <c r="Z68" s="35">
        <f>'[7]Grease Complex'!AQ105+'[7]Used Cooking Oil Complex'!AQ106</f>
        <v>1461.7550024984278</v>
      </c>
      <c r="AA68" s="35">
        <f>'[7]Grease Complex'!AR105+'[7]Used Cooking Oil Complex'!AR106</f>
        <v>1487.7141004620958</v>
      </c>
    </row>
    <row r="69" spans="1:27" x14ac:dyDescent="0.2">
      <c r="A69" s="61" t="s">
        <v>7</v>
      </c>
      <c r="B69" s="35">
        <f>'[7]Grease Complex'!S106+'[7]Used Cooking Oil Complex'!S107</f>
        <v>28.5</v>
      </c>
      <c r="C69" s="35">
        <f>'[7]Grease Complex'!T106+'[7]Used Cooking Oil Complex'!T107</f>
        <v>67.933079223477421</v>
      </c>
      <c r="D69" s="35">
        <f>'[7]Grease Complex'!U106+'[7]Used Cooking Oil Complex'!U107</f>
        <v>91.612444216057696</v>
      </c>
      <c r="E69" s="35">
        <f>'[7]Grease Complex'!V106+'[7]Used Cooking Oil Complex'!V107</f>
        <v>165.62733342402439</v>
      </c>
      <c r="F69" s="35">
        <f>'[7]Grease Complex'!W106+'[7]Used Cooking Oil Complex'!W107</f>
        <v>149.00799987922707</v>
      </c>
      <c r="G69" s="35">
        <f>'[7]Grease Complex'!X106+'[7]Used Cooking Oil Complex'!X107</f>
        <v>137.30987828967372</v>
      </c>
      <c r="H69" s="35">
        <f>'[7]Grease Complex'!Y106+'[7]Used Cooking Oil Complex'!Y107</f>
        <v>171.27973649869654</v>
      </c>
      <c r="I69" s="35">
        <f>'[7]Grease Complex'!Z106+'[7]Used Cooking Oil Complex'!Z107</f>
        <v>227.49672195993929</v>
      </c>
      <c r="J69" s="35">
        <f>'[7]Grease Complex'!AA106+'[7]Used Cooking Oil Complex'!AA107</f>
        <v>245.40453085705451</v>
      </c>
      <c r="K69" s="35">
        <f>'[7]Grease Complex'!AB106+'[7]Used Cooking Oil Complex'!AB107</f>
        <v>163.87420628095725</v>
      </c>
      <c r="L69" s="35">
        <f>'[7]Grease Complex'!AC106+'[7]Used Cooking Oil Complex'!AC107</f>
        <v>187.49914464860089</v>
      </c>
      <c r="M69" s="35">
        <f>'[7]Grease Complex'!AD106+'[7]Used Cooking Oil Complex'!AD107</f>
        <v>772.19566545965677</v>
      </c>
      <c r="N69" s="35">
        <f>'[7]Grease Complex'!AE106+'[7]Used Cooking Oil Complex'!AE107</f>
        <v>736.1244510620262</v>
      </c>
      <c r="O69" s="35">
        <f>'[7]Grease Complex'!AF106+'[7]Used Cooking Oil Complex'!AF107</f>
        <v>848.82893966469157</v>
      </c>
      <c r="P69" s="35">
        <f>'[7]Grease Complex'!AG106+'[7]Used Cooking Oil Complex'!AG107</f>
        <v>805.38808073978885</v>
      </c>
      <c r="Q69" s="35">
        <f>'[7]Grease Complex'!AH106+'[7]Used Cooking Oil Complex'!AH107</f>
        <v>1136.8272121881052</v>
      </c>
      <c r="R69" s="35">
        <f>'[7]Grease Complex'!AI106+'[7]Used Cooking Oil Complex'!AI107</f>
        <v>1391.3254688979159</v>
      </c>
      <c r="S69" s="35">
        <f>'[7]Grease Complex'!AJ106+'[7]Used Cooking Oil Complex'!AJ107</f>
        <v>1312.6188530855557</v>
      </c>
      <c r="T69" s="35">
        <f>'[7]Grease Complex'!AK106+'[7]Used Cooking Oil Complex'!AK107</f>
        <v>1750.7863792789283</v>
      </c>
      <c r="U69" s="35">
        <f>'[7]Grease Complex'!AL106+'[7]Used Cooking Oil Complex'!AL107</f>
        <v>2136.252260490141</v>
      </c>
      <c r="V69" s="35">
        <f>'[7]Grease Complex'!AM106+'[7]Used Cooking Oil Complex'!AM107</f>
        <v>2364.9810287465752</v>
      </c>
      <c r="W69" s="35">
        <f>'[7]Grease Complex'!AN106+'[7]Used Cooking Oil Complex'!AN107</f>
        <v>2837.7603866361151</v>
      </c>
      <c r="X69" s="35">
        <f>'[7]Grease Complex'!AO106+'[7]Used Cooking Oil Complex'!AO107</f>
        <v>2967.5840987207848</v>
      </c>
      <c r="Y69" s="35">
        <f>'[7]Grease Complex'!AP106+'[7]Used Cooking Oil Complex'!AP107</f>
        <v>2923.3866505849219</v>
      </c>
      <c r="Z69" s="35">
        <f>'[7]Grease Complex'!AQ106+'[7]Used Cooking Oil Complex'!AQ107</f>
        <v>3013.9576471228306</v>
      </c>
      <c r="AA69" s="35">
        <f>'[7]Grease Complex'!AR106+'[7]Used Cooking Oil Complex'!AR107</f>
        <v>2863.6036659200636</v>
      </c>
    </row>
    <row r="70" spans="1:27" x14ac:dyDescent="0.2">
      <c r="A70" s="61" t="s">
        <v>8</v>
      </c>
      <c r="B70" s="35">
        <f>'[7]Grease Complex'!S107+'[7]Used Cooking Oil Complex'!S108</f>
        <v>49.5</v>
      </c>
      <c r="C70" s="35">
        <f>'[7]Grease Complex'!T107+'[7]Used Cooking Oil Complex'!T108</f>
        <v>112.13597405656884</v>
      </c>
      <c r="D70" s="35">
        <f>'[7]Grease Complex'!U107+'[7]Used Cooking Oil Complex'!U108</f>
        <v>120.67604776264768</v>
      </c>
      <c r="E70" s="35">
        <f>'[7]Grease Complex'!V107+'[7]Used Cooking Oil Complex'!V108</f>
        <v>201.85156949541152</v>
      </c>
      <c r="F70" s="35">
        <f>'[7]Grease Complex'!W107+'[7]Used Cooking Oil Complex'!W108</f>
        <v>179.20735817944154</v>
      </c>
      <c r="G70" s="35">
        <f>'[7]Grease Complex'!X107+'[7]Used Cooking Oil Complex'!X108</f>
        <v>159.07068567428144</v>
      </c>
      <c r="H70" s="35">
        <f>'[7]Grease Complex'!Y107+'[7]Used Cooking Oil Complex'!Y108</f>
        <v>217.72202971002039</v>
      </c>
      <c r="I70" s="35">
        <f>'[7]Grease Complex'!Z107+'[7]Used Cooking Oil Complex'!Z108</f>
        <v>254.67116942806319</v>
      </c>
      <c r="J70" s="35">
        <f>'[7]Grease Complex'!AA107+'[7]Used Cooking Oil Complex'!AA108</f>
        <v>235.61711166017574</v>
      </c>
      <c r="K70" s="35">
        <f>'[7]Grease Complex'!AB107+'[7]Used Cooking Oil Complex'!AB108</f>
        <v>189.01096201833761</v>
      </c>
      <c r="L70" s="35">
        <f>'[7]Grease Complex'!AC107+'[7]Used Cooking Oil Complex'!AC108</f>
        <v>219.19457260697058</v>
      </c>
      <c r="M70" s="35">
        <f>'[7]Grease Complex'!AD107+'[7]Used Cooking Oil Complex'!AD108</f>
        <v>745.42103016163753</v>
      </c>
      <c r="N70" s="35">
        <f>'[7]Grease Complex'!AE107+'[7]Used Cooking Oil Complex'!AE108</f>
        <v>1153.6083492262737</v>
      </c>
      <c r="O70" s="35">
        <f>'[7]Grease Complex'!AF107+'[7]Used Cooking Oil Complex'!AF108</f>
        <v>750.30971602176635</v>
      </c>
      <c r="P70" s="35">
        <f>'[7]Grease Complex'!AG107+'[7]Used Cooking Oil Complex'!AG108</f>
        <v>939.95680704812958</v>
      </c>
      <c r="Q70" s="35">
        <f>'[7]Grease Complex'!AH107+'[7]Used Cooking Oil Complex'!AH108</f>
        <v>1035.2694950361422</v>
      </c>
      <c r="R70" s="35">
        <f>'[7]Grease Complex'!AI107+'[7]Used Cooking Oil Complex'!AI108</f>
        <v>1199.2478933269426</v>
      </c>
      <c r="S70" s="35">
        <f>'[7]Grease Complex'!AJ107+'[7]Used Cooking Oil Complex'!AJ108</f>
        <v>1002.5344850321878</v>
      </c>
      <c r="T70" s="35">
        <f>'[7]Grease Complex'!AK107+'[7]Used Cooking Oil Complex'!AK108</f>
        <v>1302.2145358592584</v>
      </c>
      <c r="U70" s="35">
        <f>'[7]Grease Complex'!AL107+'[7]Used Cooking Oil Complex'!AL108</f>
        <v>1521.5242627658222</v>
      </c>
      <c r="V70" s="35">
        <f>'[7]Grease Complex'!AM107+'[7]Used Cooking Oil Complex'!AM108</f>
        <v>1642.7691432558854</v>
      </c>
      <c r="W70" s="35">
        <f>'[7]Grease Complex'!AN107+'[7]Used Cooking Oil Complex'!AN108</f>
        <v>1923.5485556791411</v>
      </c>
      <c r="X70" s="35">
        <f>'[7]Grease Complex'!AO107+'[7]Used Cooking Oil Complex'!AO108</f>
        <v>1994.8107839127947</v>
      </c>
      <c r="Y70" s="35">
        <f>'[7]Grease Complex'!AP107+'[7]Used Cooking Oil Complex'!AP108</f>
        <v>1933.4984350125162</v>
      </c>
      <c r="Z70" s="35">
        <f>'[7]Grease Complex'!AQ107+'[7]Used Cooking Oil Complex'!AQ108</f>
        <v>1991.8145104332941</v>
      </c>
      <c r="AA70" s="35">
        <f>'[7]Grease Complex'!AR107+'[7]Used Cooking Oil Complex'!AR108</f>
        <v>2024.8817448907025</v>
      </c>
    </row>
    <row r="71" spans="1:27" x14ac:dyDescent="0.2">
      <c r="A71" s="61" t="s">
        <v>9</v>
      </c>
      <c r="B71" s="35">
        <f>'[7]Grease Complex'!S108+'[7]Used Cooking Oil Complex'!S109</f>
        <v>78</v>
      </c>
      <c r="C71" s="35">
        <f>'[7]Grease Complex'!T108+'[7]Used Cooking Oil Complex'!T109</f>
        <v>114.45766544235175</v>
      </c>
      <c r="D71" s="35">
        <f>'[7]Grease Complex'!U108+'[7]Used Cooking Oil Complex'!U109</f>
        <v>130.4908950834924</v>
      </c>
      <c r="E71" s="35">
        <f>'[7]Grease Complex'!V108+'[7]Used Cooking Oil Complex'!V109</f>
        <v>184.95888883899568</v>
      </c>
      <c r="F71" s="35">
        <f>'[7]Grease Complex'!W108+'[7]Used Cooking Oil Complex'!W109</f>
        <v>196.58184048849608</v>
      </c>
      <c r="G71" s="35">
        <f>'[7]Grease Complex'!X108+'[7]Used Cooking Oil Complex'!X109</f>
        <v>172.43241837495799</v>
      </c>
      <c r="H71" s="35">
        <f>'[7]Grease Complex'!Y108+'[7]Used Cooking Oil Complex'!Y109</f>
        <v>253.64053077959215</v>
      </c>
      <c r="I71" s="35">
        <f>'[7]Grease Complex'!Z108+'[7]Used Cooking Oil Complex'!Z109</f>
        <v>259.77114488736976</v>
      </c>
      <c r="J71" s="35">
        <f>'[7]Grease Complex'!AA108+'[7]Used Cooking Oil Complex'!AA109</f>
        <v>260.07367959492717</v>
      </c>
      <c r="K71" s="35">
        <f>'[7]Grease Complex'!AB108+'[7]Used Cooking Oil Complex'!AB109</f>
        <v>137.01043869910427</v>
      </c>
      <c r="L71" s="35">
        <f>'[7]Grease Complex'!AC108+'[7]Used Cooking Oil Complex'!AC109</f>
        <v>241.12883021696916</v>
      </c>
      <c r="M71" s="35">
        <f>'[7]Grease Complex'!AD108+'[7]Used Cooking Oil Complex'!AD109</f>
        <v>721.61793528706937</v>
      </c>
      <c r="N71" s="35">
        <f>'[7]Grease Complex'!AE108+'[7]Used Cooking Oil Complex'!AE109</f>
        <v>1057.7499570489874</v>
      </c>
      <c r="O71" s="35">
        <f>'[7]Grease Complex'!AF108+'[7]Used Cooking Oil Complex'!AF109</f>
        <v>1306.9110898520216</v>
      </c>
      <c r="P71" s="35">
        <f>'[7]Grease Complex'!AG108+'[7]Used Cooking Oil Complex'!AG109</f>
        <v>1107.6142124395428</v>
      </c>
      <c r="Q71" s="35">
        <f>'[7]Grease Complex'!AH108+'[7]Used Cooking Oil Complex'!AH109</f>
        <v>1240.0963466080395</v>
      </c>
      <c r="R71" s="35">
        <f>'[7]Grease Complex'!AI108+'[7]Used Cooking Oil Complex'!AI109</f>
        <v>1556.542585741314</v>
      </c>
      <c r="S71" s="35">
        <f>'[7]Grease Complex'!AJ108+'[7]Used Cooking Oil Complex'!AJ109</f>
        <v>1418.1248223892842</v>
      </c>
      <c r="T71" s="35">
        <f>'[7]Grease Complex'!AK108+'[7]Used Cooking Oil Complex'!AK109</f>
        <v>1853.0938483642285</v>
      </c>
      <c r="U71" s="35">
        <f>'[7]Grease Complex'!AL108+'[7]Used Cooking Oil Complex'!AL109</f>
        <v>2135.0838922467101</v>
      </c>
      <c r="V71" s="35">
        <f>'[7]Grease Complex'!AM108+'[7]Used Cooking Oil Complex'!AM109</f>
        <v>2341.5538309313492</v>
      </c>
      <c r="W71" s="35">
        <f>'[7]Grease Complex'!AN108+'[7]Used Cooking Oil Complex'!AN109</f>
        <v>2793.7458192403105</v>
      </c>
      <c r="X71" s="35">
        <f>'[7]Grease Complex'!AO108+'[7]Used Cooking Oil Complex'!AO109</f>
        <v>2909.817362814124</v>
      </c>
      <c r="Y71" s="35">
        <f>'[7]Grease Complex'!AP108+'[7]Used Cooking Oil Complex'!AP109</f>
        <v>2866.9848974404586</v>
      </c>
      <c r="Z71" s="35">
        <f>'[7]Grease Complex'!AQ108+'[7]Used Cooking Oil Complex'!AQ109</f>
        <v>2957.3936085503747</v>
      </c>
      <c r="AA71" s="35">
        <f>'[7]Grease Complex'!AR108+'[7]Used Cooking Oil Complex'!AR109</f>
        <v>2873.1808161798731</v>
      </c>
    </row>
    <row r="72" spans="1:27" x14ac:dyDescent="0.2">
      <c r="A72" s="61" t="s">
        <v>10</v>
      </c>
      <c r="B72" s="35">
        <f>'[7]Grease Complex'!S109+'[7]Used Cooking Oil Complex'!S110</f>
        <v>61.5</v>
      </c>
      <c r="C72" s="35">
        <f>'[7]Grease Complex'!T109+'[7]Used Cooking Oil Complex'!T110</f>
        <v>106.22835254688174</v>
      </c>
      <c r="D72" s="35">
        <f>'[7]Grease Complex'!U109+'[7]Used Cooking Oil Complex'!U110</f>
        <v>142.24048537704158</v>
      </c>
      <c r="E72" s="35">
        <f>'[7]Grease Complex'!V109+'[7]Used Cooking Oil Complex'!V110</f>
        <v>225.30109494107646</v>
      </c>
      <c r="F72" s="35">
        <f>'[7]Grease Complex'!W109+'[7]Used Cooking Oil Complex'!W110</f>
        <v>206.18492590202177</v>
      </c>
      <c r="G72" s="35">
        <f>'[7]Grease Complex'!X109+'[7]Used Cooking Oil Complex'!X110</f>
        <v>158.2094231611006</v>
      </c>
      <c r="H72" s="35">
        <f>'[7]Grease Complex'!Y109+'[7]Used Cooking Oil Complex'!Y110</f>
        <v>258.45521445841928</v>
      </c>
      <c r="I72" s="35">
        <f>'[7]Grease Complex'!Z109+'[7]Used Cooking Oil Complex'!Z110</f>
        <v>278.92567333458635</v>
      </c>
      <c r="J72" s="35">
        <f>'[7]Grease Complex'!AA109+'[7]Used Cooking Oil Complex'!AA110</f>
        <v>268.82963976695663</v>
      </c>
      <c r="K72" s="35">
        <f>'[7]Grease Complex'!AB109+'[7]Used Cooking Oil Complex'!AB110</f>
        <v>108.62122173057573</v>
      </c>
      <c r="L72" s="35">
        <f>'[7]Grease Complex'!AC109+'[7]Used Cooking Oil Complex'!AC110</f>
        <v>250.89675313333822</v>
      </c>
      <c r="M72" s="35">
        <f>'[7]Grease Complex'!AD109+'[7]Used Cooking Oil Complex'!AD110</f>
        <v>964.64577762173019</v>
      </c>
      <c r="N72" s="35">
        <f>'[7]Grease Complex'!AE109+'[7]Used Cooking Oil Complex'!AE110</f>
        <v>1318.1899525913916</v>
      </c>
      <c r="O72" s="35">
        <f>'[7]Grease Complex'!AF109+'[7]Used Cooking Oil Complex'!AF110</f>
        <v>896.81106876712249</v>
      </c>
      <c r="P72" s="35">
        <f>'[7]Grease Complex'!AG109+'[7]Used Cooking Oil Complex'!AG110</f>
        <v>1099.4072515235534</v>
      </c>
      <c r="Q72" s="35">
        <f>'[7]Grease Complex'!AH109+'[7]Used Cooking Oil Complex'!AH110</f>
        <v>1358.2767792463123</v>
      </c>
      <c r="R72" s="35">
        <f>'[7]Grease Complex'!AI109+'[7]Used Cooking Oil Complex'!AI110</f>
        <v>1715.9655280024272</v>
      </c>
      <c r="S72" s="35">
        <f>'[7]Grease Complex'!AJ109+'[7]Used Cooking Oil Complex'!AJ110</f>
        <v>1890.2096962363155</v>
      </c>
      <c r="T72" s="35">
        <f>'[7]Grease Complex'!AK109+'[7]Used Cooking Oil Complex'!AK110</f>
        <v>2197.1083670930329</v>
      </c>
      <c r="U72" s="35">
        <f>'[7]Grease Complex'!AL109+'[7]Used Cooking Oil Complex'!AL110</f>
        <v>2580.0768116227164</v>
      </c>
      <c r="V72" s="35">
        <f>'[7]Grease Complex'!AM109+'[7]Used Cooking Oil Complex'!AM110</f>
        <v>2874.3093976088526</v>
      </c>
      <c r="W72" s="35">
        <f>'[7]Grease Complex'!AN109+'[7]Used Cooking Oil Complex'!AN110</f>
        <v>3508.5607151737263</v>
      </c>
      <c r="X72" s="35">
        <f>'[7]Grease Complex'!AO109+'[7]Used Cooking Oil Complex'!AO110</f>
        <v>3354.9166979641418</v>
      </c>
      <c r="Y72" s="35">
        <f>'[7]Grease Complex'!AP109+'[7]Used Cooking Oil Complex'!AP110</f>
        <v>3516.9132900862305</v>
      </c>
      <c r="Z72" s="35">
        <f>'[7]Grease Complex'!AQ109+'[7]Used Cooking Oil Complex'!AQ110</f>
        <v>3628.7056938192441</v>
      </c>
      <c r="AA72" s="35">
        <f>'[7]Grease Complex'!AR109+'[7]Used Cooking Oil Complex'!AR110</f>
        <v>3440.7438221149027</v>
      </c>
    </row>
    <row r="73" spans="1:27" x14ac:dyDescent="0.2">
      <c r="A73" s="61" t="s">
        <v>11</v>
      </c>
      <c r="B73" s="35">
        <f>'[7]Grease Complex'!S110+'[7]Used Cooking Oil Complex'!S111</f>
        <v>75</v>
      </c>
      <c r="C73" s="35">
        <f>'[7]Grease Complex'!T110+'[7]Used Cooking Oil Complex'!T111</f>
        <v>109.51967654786384</v>
      </c>
      <c r="D73" s="35">
        <f>'[7]Grease Complex'!U110+'[7]Used Cooking Oil Complex'!U111</f>
        <v>148.01671350566491</v>
      </c>
      <c r="E73" s="35">
        <f>'[7]Grease Complex'!V110+'[7]Used Cooking Oil Complex'!V111</f>
        <v>194.61952490600132</v>
      </c>
      <c r="F73" s="35">
        <f>'[7]Grease Complex'!W110+'[7]Used Cooking Oil Complex'!W111</f>
        <v>232.10882758832668</v>
      </c>
      <c r="G73" s="35">
        <f>'[7]Grease Complex'!X110+'[7]Used Cooking Oil Complex'!X111</f>
        <v>162.23872782574767</v>
      </c>
      <c r="H73" s="35">
        <f>'[7]Grease Complex'!Y110+'[7]Used Cooking Oil Complex'!Y111</f>
        <v>264.85662292057708</v>
      </c>
      <c r="I73" s="35">
        <f>'[7]Grease Complex'!Z110+'[7]Used Cooking Oil Complex'!Z111</f>
        <v>261.07252302418414</v>
      </c>
      <c r="J73" s="35">
        <f>'[7]Grease Complex'!AA110+'[7]Used Cooking Oil Complex'!AA111</f>
        <v>237.57471269479015</v>
      </c>
      <c r="K73" s="35">
        <f>'[7]Grease Complex'!AB110+'[7]Used Cooking Oil Complex'!AB111</f>
        <v>145.56526266015331</v>
      </c>
      <c r="L73" s="35">
        <f>'[7]Grease Complex'!AC110+'[7]Used Cooking Oil Complex'!AC111</f>
        <v>266.80766165855226</v>
      </c>
      <c r="M73" s="35">
        <f>'[7]Grease Complex'!AD110+'[7]Used Cooking Oil Complex'!AD111</f>
        <v>835.70210586801147</v>
      </c>
      <c r="N73" s="35">
        <f>'[7]Grease Complex'!AE110+'[7]Used Cooking Oil Complex'!AE111</f>
        <v>1063.9093675508134</v>
      </c>
      <c r="O73" s="35">
        <f>'[7]Grease Complex'!AF110+'[7]Used Cooking Oil Complex'!AF111</f>
        <v>1126.0796371185875</v>
      </c>
      <c r="P73" s="35">
        <f>'[7]Grease Complex'!AG110+'[7]Used Cooking Oil Complex'!AG111</f>
        <v>1117.4058837887869</v>
      </c>
      <c r="Q73" s="35">
        <f>'[7]Grease Complex'!AH110+'[7]Used Cooking Oil Complex'!AH111</f>
        <v>1289.4932081229879</v>
      </c>
      <c r="R73" s="35">
        <f>'[7]Grease Complex'!AI110+'[7]Used Cooking Oil Complex'!AI111</f>
        <v>1610.5829267750792</v>
      </c>
      <c r="S73" s="35">
        <f>'[7]Grease Complex'!AJ110+'[7]Used Cooking Oil Complex'!AJ111</f>
        <v>1823.540050296926</v>
      </c>
      <c r="T73" s="35">
        <f>'[7]Grease Complex'!AK110+'[7]Used Cooking Oil Complex'!AK111</f>
        <v>2098.5722273447864</v>
      </c>
      <c r="U73" s="35">
        <f>'[7]Grease Complex'!AL110+'[7]Used Cooking Oil Complex'!AL111</f>
        <v>2459.6089591335635</v>
      </c>
      <c r="V73" s="35">
        <f>'[7]Grease Complex'!AM110+'[7]Used Cooking Oil Complex'!AM111</f>
        <v>2737.3535616948434</v>
      </c>
      <c r="W73" s="35">
        <f>'[7]Grease Complex'!AN110+'[7]Used Cooking Oil Complex'!AN111</f>
        <v>3345.3821277356692</v>
      </c>
      <c r="X73" s="35">
        <f>'[7]Grease Complex'!AO110+'[7]Used Cooking Oil Complex'!AO111</f>
        <v>3190.1913256809817</v>
      </c>
      <c r="Y73" s="35">
        <f>'[7]Grease Complex'!AP110+'[7]Used Cooking Oil Complex'!AP111</f>
        <v>3336.3992788173523</v>
      </c>
      <c r="Z73" s="35">
        <f>'[7]Grease Complex'!AQ110+'[7]Used Cooking Oil Complex'!AQ111</f>
        <v>3443.8070014225896</v>
      </c>
      <c r="AA73" s="35">
        <f>'[7]Grease Complex'!AR110+'[7]Used Cooking Oil Complex'!AR111</f>
        <v>3287.2697069709147</v>
      </c>
    </row>
    <row r="74" spans="1:27" x14ac:dyDescent="0.2">
      <c r="A74" s="61" t="s">
        <v>12</v>
      </c>
      <c r="B74" s="35">
        <f>'[7]Grease Complex'!S111+'[7]Used Cooking Oil Complex'!S112</f>
        <v>67.5</v>
      </c>
      <c r="C74" s="35">
        <f>'[7]Grease Complex'!T111+'[7]Used Cooking Oil Complex'!T112</f>
        <v>122.60877093292811</v>
      </c>
      <c r="D74" s="35">
        <f>'[7]Grease Complex'!U111+'[7]Used Cooking Oil Complex'!U112</f>
        <v>201.30648973579014</v>
      </c>
      <c r="E74" s="35">
        <f>'[7]Grease Complex'!V111+'[7]Used Cooking Oil Complex'!V112</f>
        <v>202.88168854871856</v>
      </c>
      <c r="F74" s="35">
        <f>'[7]Grease Complex'!W111+'[7]Used Cooking Oil Complex'!W112</f>
        <v>232.2354693303445</v>
      </c>
      <c r="G74" s="35">
        <f>'[7]Grease Complex'!X111+'[7]Used Cooking Oil Complex'!X112</f>
        <v>175.58845195538908</v>
      </c>
      <c r="H74" s="35">
        <f>'[7]Grease Complex'!Y111+'[7]Used Cooking Oil Complex'!Y112</f>
        <v>256.00164319331299</v>
      </c>
      <c r="I74" s="35">
        <f>'[7]Grease Complex'!Z111+'[7]Used Cooking Oil Complex'!Z112</f>
        <v>252.06781234089323</v>
      </c>
      <c r="J74" s="35">
        <f>'[7]Grease Complex'!AA111+'[7]Used Cooking Oil Complex'!AA112</f>
        <v>242.04570869412447</v>
      </c>
      <c r="K74" s="35">
        <f>'[7]Grease Complex'!AB111+'[7]Used Cooking Oil Complex'!AB112</f>
        <v>155.84730772248238</v>
      </c>
      <c r="L74" s="35">
        <f>'[7]Grease Complex'!AC111+'[7]Used Cooking Oil Complex'!AC112</f>
        <v>282.53128421786363</v>
      </c>
      <c r="M74" s="35">
        <f>'[7]Grease Complex'!AD111+'[7]Used Cooking Oil Complex'!AD112</f>
        <v>690.40517407751429</v>
      </c>
      <c r="N74" s="35">
        <f>'[7]Grease Complex'!AE111+'[7]Used Cooking Oil Complex'!AE112</f>
        <v>910.92278681794824</v>
      </c>
      <c r="O74" s="35">
        <f>'[7]Grease Complex'!AF111+'[7]Used Cooking Oil Complex'!AF112</f>
        <v>1091.9598411871709</v>
      </c>
      <c r="P74" s="35">
        <f>'[7]Grease Complex'!AG111+'[7]Used Cooking Oil Complex'!AG112</f>
        <v>1050.1806204751163</v>
      </c>
      <c r="Q74" s="35">
        <f>'[7]Grease Complex'!AH111+'[7]Used Cooking Oil Complex'!AH112</f>
        <v>1158.3832539711075</v>
      </c>
      <c r="R74" s="35">
        <f>'[7]Grease Complex'!AI111+'[7]Used Cooking Oil Complex'!AI112</f>
        <v>1505.1032699976713</v>
      </c>
      <c r="S74" s="35">
        <f>'[7]Grease Complex'!AJ111+'[7]Used Cooking Oil Complex'!AJ112</f>
        <v>1738.3206303115228</v>
      </c>
      <c r="T74" s="35">
        <f>'[7]Grease Complex'!AK111+'[7]Used Cooking Oil Complex'!AK112</f>
        <v>2014.3978144321745</v>
      </c>
      <c r="U74" s="35">
        <f>'[7]Grease Complex'!AL111+'[7]Used Cooking Oil Complex'!AL112</f>
        <v>2369.4714384955323</v>
      </c>
      <c r="V74" s="35">
        <f>'[7]Grease Complex'!AM111+'[7]Used Cooking Oil Complex'!AM112</f>
        <v>2659.3230837194114</v>
      </c>
      <c r="W74" s="35">
        <f>'[7]Grease Complex'!AN111+'[7]Used Cooking Oil Complex'!AN112</f>
        <v>3255.2946020879458</v>
      </c>
      <c r="X74" s="35">
        <f>'[7]Grease Complex'!AO111+'[7]Used Cooking Oil Complex'!AO112</f>
        <v>3079.9833424078611</v>
      </c>
      <c r="Y74" s="35">
        <f>'[7]Grease Complex'!AP111+'[7]Used Cooking Oil Complex'!AP112</f>
        <v>3234.3543333782022</v>
      </c>
      <c r="Z74" s="35">
        <f>'[7]Grease Complex'!AQ111+'[7]Used Cooking Oil Complex'!AQ112</f>
        <v>3337.6560122349465</v>
      </c>
      <c r="AA74" s="35">
        <f>'[7]Grease Complex'!AR111+'[7]Used Cooking Oil Complex'!AR112</f>
        <v>3178.7520522883883</v>
      </c>
    </row>
    <row r="75" spans="1:27" x14ac:dyDescent="0.2">
      <c r="A75" s="61" t="s">
        <v>13</v>
      </c>
      <c r="B75" s="35">
        <f>'[7]Grease Complex'!S112+'[7]Used Cooking Oil Complex'!S113</f>
        <v>70.5</v>
      </c>
      <c r="C75" s="35">
        <f>'[7]Grease Complex'!T112+'[7]Used Cooking Oil Complex'!T113</f>
        <v>123.6313848771066</v>
      </c>
      <c r="D75" s="35">
        <f>'[7]Grease Complex'!U112+'[7]Used Cooking Oil Complex'!U113</f>
        <v>184.49413127436313</v>
      </c>
      <c r="E75" s="35">
        <f>'[7]Grease Complex'!V112+'[7]Used Cooking Oil Complex'!V113</f>
        <v>162.95368595858972</v>
      </c>
      <c r="F75" s="35">
        <f>'[7]Grease Complex'!W112+'[7]Used Cooking Oil Complex'!W113</f>
        <v>213.19329642272709</v>
      </c>
      <c r="G75" s="35">
        <f>'[7]Grease Complex'!X112+'[7]Used Cooking Oil Complex'!X113</f>
        <v>181.97129746803938</v>
      </c>
      <c r="H75" s="35">
        <f>'[7]Grease Complex'!Y112+'[7]Used Cooking Oil Complex'!Y113</f>
        <v>265.10085482986011</v>
      </c>
      <c r="I75" s="35">
        <f>'[7]Grease Complex'!Z112+'[7]Used Cooking Oil Complex'!Z113</f>
        <v>258.8296869413922</v>
      </c>
      <c r="J75" s="35">
        <f>'[7]Grease Complex'!AA112+'[7]Used Cooking Oil Complex'!AA113</f>
        <v>219.62182911128599</v>
      </c>
      <c r="K75" s="35">
        <f>'[7]Grease Complex'!AB112+'[7]Used Cooking Oil Complex'!AB113</f>
        <v>147.67795302851059</v>
      </c>
      <c r="L75" s="35">
        <f>'[7]Grease Complex'!AC112+'[7]Used Cooking Oil Complex'!AC113</f>
        <v>270.03679974264185</v>
      </c>
      <c r="M75" s="35">
        <f>'[7]Grease Complex'!AD112+'[7]Used Cooking Oil Complex'!AD113</f>
        <v>852.35160611574304</v>
      </c>
      <c r="N75" s="35">
        <f>'[7]Grease Complex'!AE112+'[7]Used Cooking Oil Complex'!AE113</f>
        <v>1145.854995618093</v>
      </c>
      <c r="O75" s="35">
        <f>'[7]Grease Complex'!AF112+'[7]Used Cooking Oil Complex'!AF113</f>
        <v>980.44806086608298</v>
      </c>
      <c r="P75" s="35">
        <f>'[7]Grease Complex'!AG112+'[7]Used Cooking Oil Complex'!AG113</f>
        <v>1081.2902812378584</v>
      </c>
      <c r="Q75" s="35">
        <f>'[7]Grease Complex'!AH112+'[7]Used Cooking Oil Complex'!AH113</f>
        <v>1242.677023208021</v>
      </c>
      <c r="R75" s="35">
        <f>'[7]Grease Complex'!AI112+'[7]Used Cooking Oil Complex'!AI113</f>
        <v>1591.3637025393805</v>
      </c>
      <c r="S75" s="35">
        <f>'[7]Grease Complex'!AJ112+'[7]Used Cooking Oil Complex'!AJ113</f>
        <v>1849.3036628032198</v>
      </c>
      <c r="T75" s="35">
        <f>'[7]Grease Complex'!AK112+'[7]Used Cooking Oil Complex'!AK113</f>
        <v>2181.602947958635</v>
      </c>
      <c r="U75" s="35">
        <f>'[7]Grease Complex'!AL112+'[7]Used Cooking Oil Complex'!AL113</f>
        <v>2580.6667967853741</v>
      </c>
      <c r="V75" s="35">
        <f>'[7]Grease Complex'!AM112+'[7]Used Cooking Oil Complex'!AM113</f>
        <v>2886.3412947189918</v>
      </c>
      <c r="W75" s="35">
        <f>'[7]Grease Complex'!AN112+'[7]Used Cooking Oil Complex'!AN113</f>
        <v>3540.2688299114361</v>
      </c>
      <c r="X75" s="35">
        <f>'[7]Grease Complex'!AO112+'[7]Used Cooking Oil Complex'!AO113</f>
        <v>3370.9170253688567</v>
      </c>
      <c r="Y75" s="35">
        <f>'[7]Grease Complex'!AP112+'[7]Used Cooking Oil Complex'!AP113</f>
        <v>3542.6417987383543</v>
      </c>
      <c r="Z75" s="35">
        <f>'[7]Grease Complex'!AQ112+'[7]Used Cooking Oil Complex'!AQ113</f>
        <v>3655.3556777547165</v>
      </c>
      <c r="AA75" s="35">
        <f>'[7]Grease Complex'!AR112+'[7]Used Cooking Oil Complex'!AR113</f>
        <v>3459.8758034321468</v>
      </c>
    </row>
    <row r="76" spans="1:27" x14ac:dyDescent="0.2">
      <c r="A76" s="61" t="s">
        <v>14</v>
      </c>
      <c r="B76" s="35">
        <f>'[7]Grease Complex'!S113+'[7]Used Cooking Oil Complex'!S114</f>
        <v>75</v>
      </c>
      <c r="C76" s="35">
        <f>'[7]Grease Complex'!T113+'[7]Used Cooking Oil Complex'!T114</f>
        <v>109.33792938081203</v>
      </c>
      <c r="D76" s="35">
        <f>'[7]Grease Complex'!U113+'[7]Used Cooking Oil Complex'!U114</f>
        <v>204.84610174582969</v>
      </c>
      <c r="E76" s="35">
        <f>'[7]Grease Complex'!V113+'[7]Used Cooking Oil Complex'!V114</f>
        <v>180.55054721682976</v>
      </c>
      <c r="F76" s="35">
        <f>'[7]Grease Complex'!W113+'[7]Used Cooking Oil Complex'!W114</f>
        <v>198.03901013472833</v>
      </c>
      <c r="G76" s="35">
        <f>'[7]Grease Complex'!X113+'[7]Used Cooking Oil Complex'!X114</f>
        <v>161.76642963373914</v>
      </c>
      <c r="H76" s="35">
        <f>'[7]Grease Complex'!Y113+'[7]Used Cooking Oil Complex'!Y114</f>
        <v>247.48441374395836</v>
      </c>
      <c r="I76" s="35">
        <f>'[7]Grease Complex'!Z113+'[7]Used Cooking Oil Complex'!Z114</f>
        <v>262.23313369773268</v>
      </c>
      <c r="J76" s="35">
        <f>'[7]Grease Complex'!AA113+'[7]Used Cooking Oil Complex'!AA114</f>
        <v>231.23306429200417</v>
      </c>
      <c r="K76" s="35">
        <f>'[7]Grease Complex'!AB113+'[7]Used Cooking Oil Complex'!AB114</f>
        <v>155.77911264315759</v>
      </c>
      <c r="L76" s="35">
        <f>'[7]Grease Complex'!AC113+'[7]Used Cooking Oil Complex'!AC114</f>
        <v>214.71321987608576</v>
      </c>
      <c r="M76" s="35">
        <f>'[7]Grease Complex'!AD113+'[7]Used Cooking Oil Complex'!AD114</f>
        <v>891.2715033856756</v>
      </c>
      <c r="N76" s="35">
        <f>'[7]Grease Complex'!AE113+'[7]Used Cooking Oil Complex'!AE114</f>
        <v>1053.3741035494511</v>
      </c>
      <c r="O76" s="35">
        <f>'[7]Grease Complex'!AF113+'[7]Used Cooking Oil Complex'!AF114</f>
        <v>1272.120005979845</v>
      </c>
      <c r="P76" s="35">
        <f>'[7]Grease Complex'!AG113+'[7]Used Cooking Oil Complex'!AG114</f>
        <v>1159.7078831963731</v>
      </c>
      <c r="Q76" s="35">
        <f>'[7]Grease Complex'!AH113+'[7]Used Cooking Oil Complex'!AH114</f>
        <v>1366.1500759712126</v>
      </c>
      <c r="R76" s="35">
        <f>'[7]Grease Complex'!AI113+'[7]Used Cooking Oil Complex'!AI114</f>
        <v>1811.5961403490662</v>
      </c>
      <c r="S76" s="35">
        <f>'[7]Grease Complex'!AJ113+'[7]Used Cooking Oil Complex'!AJ114</f>
        <v>2187.2379665191934</v>
      </c>
      <c r="T76" s="35">
        <f>'[7]Grease Complex'!AK113+'[7]Used Cooking Oil Complex'!AK114</f>
        <v>2529.3529766753063</v>
      </c>
      <c r="U76" s="35">
        <f>'[7]Grease Complex'!AL113+'[7]Used Cooking Oil Complex'!AL114</f>
        <v>3022.0414345931613</v>
      </c>
      <c r="V76" s="35">
        <f>'[7]Grease Complex'!AM113+'[7]Used Cooking Oil Complex'!AM114</f>
        <v>3345.8879177335393</v>
      </c>
      <c r="W76" s="35">
        <f>'[7]Grease Complex'!AN113+'[7]Used Cooking Oil Complex'!AN114</f>
        <v>4185.55911132047</v>
      </c>
      <c r="X76" s="35">
        <f>'[7]Grease Complex'!AO113+'[7]Used Cooking Oil Complex'!AO114</f>
        <v>3988.7409225971014</v>
      </c>
      <c r="Y76" s="35">
        <f>'[7]Grease Complex'!AP113+'[7]Used Cooking Oil Complex'!AP114</f>
        <v>4207.1997871618214</v>
      </c>
      <c r="Z76" s="35">
        <f>'[7]Grease Complex'!AQ113+'[7]Used Cooking Oil Complex'!AQ114</f>
        <v>4336.6741612936557</v>
      </c>
      <c r="AA76" s="35">
        <f>'[7]Grease Complex'!AR113+'[7]Used Cooking Oil Complex'!AR114</f>
        <v>4043.7107805215701</v>
      </c>
    </row>
    <row r="77" spans="1:27" x14ac:dyDescent="0.2">
      <c r="A77" s="61" t="s">
        <v>15</v>
      </c>
      <c r="B77" s="35">
        <f>'[7]Grease Complex'!T102+'[7]Used Cooking Oil Complex'!T103</f>
        <v>88.301100571359115</v>
      </c>
      <c r="C77" s="35">
        <f>'[7]Grease Complex'!U102+'[7]Used Cooking Oil Complex'!U103</f>
        <v>101.99418103725806</v>
      </c>
      <c r="D77" s="35">
        <f>'[7]Grease Complex'!V102+'[7]Used Cooking Oil Complex'!V103</f>
        <v>208.9829475830652</v>
      </c>
      <c r="E77" s="35">
        <f>'[7]Grease Complex'!W102+'[7]Used Cooking Oil Complex'!W103</f>
        <v>204.89480276308342</v>
      </c>
      <c r="F77" s="35">
        <f>'[7]Grease Complex'!X102+'[7]Used Cooking Oil Complex'!X103</f>
        <v>240.06644760886127</v>
      </c>
      <c r="G77" s="35">
        <f>'[7]Grease Complex'!Y102+'[7]Used Cooking Oil Complex'!Y103</f>
        <v>261.61264027413915</v>
      </c>
      <c r="H77" s="35">
        <f>'[7]Grease Complex'!Z102+'[7]Used Cooking Oil Complex'!Z103</f>
        <v>258.417950156475</v>
      </c>
      <c r="I77" s="35">
        <f>'[7]Grease Complex'!AA102+'[7]Used Cooking Oil Complex'!AA103</f>
        <v>293.97247375753579</v>
      </c>
      <c r="J77" s="35">
        <f>'[7]Grease Complex'!AB102+'[7]Used Cooking Oil Complex'!AB103</f>
        <v>212.98584692430256</v>
      </c>
      <c r="K77" s="35">
        <f>'[7]Grease Complex'!AC102+'[7]Used Cooking Oil Complex'!AC103</f>
        <v>198.37605047497402</v>
      </c>
      <c r="L77" s="35">
        <f>'[7]Grease Complex'!AD102+'[7]Used Cooking Oil Complex'!AD103</f>
        <v>501.35217295584437</v>
      </c>
      <c r="M77" s="35">
        <f>'[7]Grease Complex'!AE102+'[7]Used Cooking Oil Complex'!AE103</f>
        <v>815.31321202909578</v>
      </c>
      <c r="N77" s="35">
        <f>'[7]Grease Complex'!AF102+'[7]Used Cooking Oil Complex'!AF103</f>
        <v>824.7167274217129</v>
      </c>
      <c r="O77" s="35">
        <f>'[7]Grease Complex'!AG102+'[7]Used Cooking Oil Complex'!AG103</f>
        <v>1257.4594475317954</v>
      </c>
      <c r="P77" s="35">
        <f>'[7]Grease Complex'!AH102+'[7]Used Cooking Oil Complex'!AH103</f>
        <v>1087.9178174056944</v>
      </c>
      <c r="Q77" s="35">
        <f>'[7]Grease Complex'!AI102+'[7]Used Cooking Oil Complex'!AI103</f>
        <v>1334.8721321628745</v>
      </c>
      <c r="R77" s="35">
        <f>'[7]Grease Complex'!AJ102+'[7]Used Cooking Oil Complex'!AJ103</f>
        <v>1474.9276298019481</v>
      </c>
      <c r="S77" s="35">
        <f>'[7]Grease Complex'!AK102+'[7]Used Cooking Oil Complex'!AK103</f>
        <v>1523.1743211262803</v>
      </c>
      <c r="T77" s="35">
        <f>'[7]Grease Complex'!AL102+'[7]Used Cooking Oil Complex'!AL103</f>
        <v>2142.6434153057039</v>
      </c>
      <c r="U77" s="35">
        <f>'[7]Grease Complex'!AM102+'[7]Used Cooking Oil Complex'!AM103</f>
        <v>2465.6397512781446</v>
      </c>
      <c r="V77" s="35">
        <f>'[7]Grease Complex'!AN102+'[7]Used Cooking Oil Complex'!AN103</f>
        <v>3110.918513208589</v>
      </c>
      <c r="W77" s="35">
        <f>'[7]Grease Complex'!AO102+'[7]Used Cooking Oil Complex'!AO103</f>
        <v>3848.6289313479938</v>
      </c>
      <c r="X77" s="35">
        <f>'[7]Grease Complex'!AP102+'[7]Used Cooking Oil Complex'!AP103</f>
        <v>3557.6804375705678</v>
      </c>
      <c r="Y77" s="35">
        <f>'[7]Grease Complex'!AQ102+'[7]Used Cooking Oil Complex'!AQ103</f>
        <v>3695.02752311832</v>
      </c>
      <c r="Z77" s="35">
        <f>'[7]Grease Complex'!AR102+'[7]Used Cooking Oil Complex'!AR103</f>
        <v>4204.0095470057422</v>
      </c>
      <c r="AA77" s="35">
        <f>'[7]Grease Complex'!AS102+'[7]Used Cooking Oil Complex'!AS103</f>
        <v>3627.4586271006247</v>
      </c>
    </row>
    <row r="78" spans="1:27" x14ac:dyDescent="0.2">
      <c r="A78" s="61" t="s">
        <v>16</v>
      </c>
      <c r="B78" s="35">
        <f>'[7]Grease Complex'!T103+'[7]Used Cooking Oil Complex'!T104</f>
        <v>74.731359083185168</v>
      </c>
      <c r="C78" s="35">
        <f>'[7]Grease Complex'!U103+'[7]Used Cooking Oil Complex'!U104</f>
        <v>70.122541748585405</v>
      </c>
      <c r="D78" s="35">
        <f>'[7]Grease Complex'!V103+'[7]Used Cooking Oil Complex'!V104</f>
        <v>185.88381369663469</v>
      </c>
      <c r="E78" s="35">
        <f>'[7]Grease Complex'!W103+'[7]Used Cooking Oil Complex'!W104</f>
        <v>169.65083737578541</v>
      </c>
      <c r="F78" s="35">
        <f>'[7]Grease Complex'!X103+'[7]Used Cooking Oil Complex'!X104</f>
        <v>146.31259959507287</v>
      </c>
      <c r="G78" s="35">
        <f>'[7]Grease Complex'!Y103+'[7]Used Cooking Oil Complex'!Y104</f>
        <v>240.7471589512752</v>
      </c>
      <c r="H78" s="35">
        <f>'[7]Grease Complex'!Z103+'[7]Used Cooking Oil Complex'!Z104</f>
        <v>255.93041619616557</v>
      </c>
      <c r="I78" s="35">
        <f>'[7]Grease Complex'!AA103+'[7]Used Cooking Oil Complex'!AA104</f>
        <v>286.74863423772422</v>
      </c>
      <c r="J78" s="35">
        <f>'[7]Grease Complex'!AB103+'[7]Used Cooking Oil Complex'!AB104</f>
        <v>199.20907476897884</v>
      </c>
      <c r="K78" s="35">
        <f>'[7]Grease Complex'!AC103+'[7]Used Cooking Oil Complex'!AC104</f>
        <v>230.838805064837</v>
      </c>
      <c r="L78" s="35">
        <f>'[7]Grease Complex'!AD103+'[7]Used Cooking Oil Complex'!AD104</f>
        <v>555.79120042705199</v>
      </c>
      <c r="M78" s="35">
        <f>'[7]Grease Complex'!AE103+'[7]Used Cooking Oil Complex'!AE104</f>
        <v>1188.94847449339</v>
      </c>
      <c r="N78" s="35">
        <f>'[7]Grease Complex'!AF103+'[7]Used Cooking Oil Complex'!AF104</f>
        <v>807.6554000000001</v>
      </c>
      <c r="O78" s="35">
        <f>'[7]Grease Complex'!AG103+'[7]Used Cooking Oil Complex'!AG104</f>
        <v>894.57345259842054</v>
      </c>
      <c r="P78" s="35">
        <f>'[7]Grease Complex'!AH103+'[7]Used Cooking Oil Complex'!AH104</f>
        <v>994.98264347527493</v>
      </c>
      <c r="Q78" s="35">
        <f>'[7]Grease Complex'!AI103+'[7]Used Cooking Oil Complex'!AI104</f>
        <v>1152.0959721218837</v>
      </c>
      <c r="R78" s="35">
        <f>'[7]Grease Complex'!AJ103+'[7]Used Cooking Oil Complex'!AJ104</f>
        <v>1350.5013227848351</v>
      </c>
      <c r="S78" s="35">
        <f>'[7]Grease Complex'!AK103+'[7]Used Cooking Oil Complex'!AK104</f>
        <v>1303.0205889596377</v>
      </c>
      <c r="T78" s="35">
        <f>'[7]Grease Complex'!AL103+'[7]Used Cooking Oil Complex'!AL104</f>
        <v>1817.3308905316101</v>
      </c>
      <c r="U78" s="35">
        <f>'[7]Grease Complex'!AM103+'[7]Used Cooking Oil Complex'!AM104</f>
        <v>2048.9055830844786</v>
      </c>
      <c r="V78" s="35">
        <f>'[7]Grease Complex'!AN103+'[7]Used Cooking Oil Complex'!AN104</f>
        <v>2213.9647645029759</v>
      </c>
      <c r="W78" s="35">
        <f>'[7]Grease Complex'!AO103+'[7]Used Cooking Oil Complex'!AO104</f>
        <v>3346.5104631327767</v>
      </c>
      <c r="X78" s="35">
        <f>'[7]Grease Complex'!AP103+'[7]Used Cooking Oil Complex'!AP104</f>
        <v>2841.2100407701901</v>
      </c>
      <c r="Y78" s="35">
        <f>'[7]Grease Complex'!AQ103+'[7]Used Cooking Oil Complex'!AQ104</f>
        <v>2905.3390861490552</v>
      </c>
      <c r="Z78" s="35">
        <f>'[7]Grease Complex'!AR103+'[7]Used Cooking Oil Complex'!AR104</f>
        <v>3285.8497435684476</v>
      </c>
      <c r="AA78" s="35">
        <f>'[7]Grease Complex'!AS103+'[7]Used Cooking Oil Complex'!AS104</f>
        <v>2970.2676695449823</v>
      </c>
    </row>
    <row r="79" spans="1:27" x14ac:dyDescent="0.2">
      <c r="A79" s="61" t="s">
        <v>17</v>
      </c>
      <c r="B79" s="35">
        <f>'[7]Grease Complex'!T104+'[7]Used Cooking Oil Complex'!T105</f>
        <v>76.786872832693035</v>
      </c>
      <c r="C79" s="35">
        <f>'[7]Grease Complex'!U104+'[7]Used Cooking Oil Complex'!U105</f>
        <v>74.593220759376976</v>
      </c>
      <c r="D79" s="35">
        <f>'[7]Grease Complex'!V104+'[7]Used Cooking Oil Complex'!V105</f>
        <v>184.4639026570886</v>
      </c>
      <c r="E79" s="35">
        <f>'[7]Grease Complex'!W104+'[7]Used Cooking Oil Complex'!W105</f>
        <v>209.18800872780702</v>
      </c>
      <c r="F79" s="35">
        <f>'[7]Grease Complex'!X104+'[7]Used Cooking Oil Complex'!X105</f>
        <v>151.42428412700627</v>
      </c>
      <c r="G79" s="35">
        <f>'[7]Grease Complex'!Y104+'[7]Used Cooking Oil Complex'!Y105</f>
        <v>232.18543753160367</v>
      </c>
      <c r="H79" s="35">
        <f>'[7]Grease Complex'!Z104+'[7]Used Cooking Oil Complex'!Z105</f>
        <v>248.62508396103962</v>
      </c>
      <c r="I79" s="35">
        <f>'[7]Grease Complex'!AA104+'[7]Used Cooking Oil Complex'!AA105</f>
        <v>304.62925596657408</v>
      </c>
      <c r="J79" s="35">
        <f>'[7]Grease Complex'!AB104+'[7]Used Cooking Oil Complex'!AB105</f>
        <v>213.1477034845885</v>
      </c>
      <c r="K79" s="35">
        <f>'[7]Grease Complex'!AC104+'[7]Used Cooking Oil Complex'!AC105</f>
        <v>192.66859005437243</v>
      </c>
      <c r="L79" s="35">
        <f>'[7]Grease Complex'!AD104+'[7]Used Cooking Oil Complex'!AD105</f>
        <v>708.39189367229676</v>
      </c>
      <c r="M79" s="35">
        <f>'[7]Grease Complex'!AE104+'[7]Used Cooking Oil Complex'!AE105</f>
        <v>998.35235937177436</v>
      </c>
      <c r="N79" s="35">
        <f>'[7]Grease Complex'!AF104+'[7]Used Cooking Oil Complex'!AF105</f>
        <v>932.77785698604123</v>
      </c>
      <c r="O79" s="35">
        <f>'[7]Grease Complex'!AG104+'[7]Used Cooking Oil Complex'!AG105</f>
        <v>1276.4008288691691</v>
      </c>
      <c r="P79" s="35">
        <f>'[7]Grease Complex'!AH104+'[7]Used Cooking Oil Complex'!AH105</f>
        <v>1380.3829102140016</v>
      </c>
      <c r="Q79" s="35">
        <f>'[7]Grease Complex'!AI104+'[7]Used Cooking Oil Complex'!AI105</f>
        <v>1301.4874660607254</v>
      </c>
      <c r="R79" s="35">
        <f>'[7]Grease Complex'!AJ104+'[7]Used Cooking Oil Complex'!AJ105</f>
        <v>1613.955557207202</v>
      </c>
      <c r="S79" s="35">
        <f>'[7]Grease Complex'!AK104+'[7]Used Cooking Oil Complex'!AK105</f>
        <v>1617.7295860680765</v>
      </c>
      <c r="T79" s="35">
        <f>'[7]Grease Complex'!AL104+'[7]Used Cooking Oil Complex'!AL105</f>
        <v>2105.2040456401924</v>
      </c>
      <c r="U79" s="35">
        <f>'[7]Grease Complex'!AM104+'[7]Used Cooking Oil Complex'!AM105</f>
        <v>2343.7150428818372</v>
      </c>
      <c r="V79" s="35">
        <f>'[7]Grease Complex'!AN104+'[7]Used Cooking Oil Complex'!AN105</f>
        <v>2534.6871858064997</v>
      </c>
      <c r="W79" s="35">
        <f>'[7]Grease Complex'!AO104+'[7]Used Cooking Oil Complex'!AO105</f>
        <v>2423.0567840492049</v>
      </c>
      <c r="X79" s="35">
        <f>'[7]Grease Complex'!AP104+'[7]Used Cooking Oil Complex'!AP105</f>
        <v>2851.7506386700375</v>
      </c>
      <c r="Y79" s="35">
        <f>'[7]Grease Complex'!AQ104+'[7]Used Cooking Oil Complex'!AQ105</f>
        <v>2840.6217129739312</v>
      </c>
      <c r="Z79" s="35">
        <f>'[7]Grease Complex'!AR104+'[7]Used Cooking Oil Complex'!AR105</f>
        <v>3059.5161494880831</v>
      </c>
      <c r="AA79" s="35">
        <f>'[7]Grease Complex'!AS104+'[7]Used Cooking Oil Complex'!AS105</f>
        <v>2700.6896215007414</v>
      </c>
    </row>
    <row r="80" spans="1:27" x14ac:dyDescent="0.2">
      <c r="A80" s="64" t="s">
        <v>18</v>
      </c>
      <c r="B80" s="65">
        <f>SUM(B68:B79)</f>
        <v>772.31933248723726</v>
      </c>
      <c r="C80" s="65">
        <f t="shared" ref="C80:AA80" si="11">SUM(C68:C79)</f>
        <v>1184.3126987998928</v>
      </c>
      <c r="D80" s="65">
        <f t="shared" si="11"/>
        <v>1887.8519461680462</v>
      </c>
      <c r="E80" s="65">
        <f t="shared" si="11"/>
        <v>2236.7561758602492</v>
      </c>
      <c r="F80" s="65">
        <f t="shared" si="11"/>
        <v>2268.7312695335968</v>
      </c>
      <c r="G80" s="65">
        <f t="shared" si="11"/>
        <v>2174.5343172153021</v>
      </c>
      <c r="H80" s="65">
        <f t="shared" si="11"/>
        <v>2868.2319978413984</v>
      </c>
      <c r="I80" s="65">
        <f t="shared" si="11"/>
        <v>3125.960511627226</v>
      </c>
      <c r="J80" s="65">
        <f t="shared" si="11"/>
        <v>2801.8660131772936</v>
      </c>
      <c r="K80" s="65">
        <f t="shared" si="11"/>
        <v>2031.4712401480069</v>
      </c>
      <c r="L80" s="65">
        <f t="shared" si="11"/>
        <v>3926.3798841067728</v>
      </c>
      <c r="M80" s="65">
        <f t="shared" si="11"/>
        <v>10064.888391272505</v>
      </c>
      <c r="N80" s="66">
        <f t="shared" si="11"/>
        <v>11763.995273802069</v>
      </c>
      <c r="O80" s="66">
        <f t="shared" si="11"/>
        <v>12492.005723277773</v>
      </c>
      <c r="P80" s="66">
        <f t="shared" si="11"/>
        <v>12579.468627702026</v>
      </c>
      <c r="Q80" s="66">
        <f t="shared" si="11"/>
        <v>14480.300779012226</v>
      </c>
      <c r="R80" s="66">
        <f t="shared" si="11"/>
        <v>17582.282369700344</v>
      </c>
      <c r="S80" s="66">
        <f t="shared" si="11"/>
        <v>18479.554198153503</v>
      </c>
      <c r="T80" s="66">
        <f t="shared" si="11"/>
        <v>22763.59759358162</v>
      </c>
      <c r="U80" s="66">
        <f t="shared" si="11"/>
        <v>26834.14221369696</v>
      </c>
      <c r="V80" s="66">
        <f t="shared" si="11"/>
        <v>29918.0896969188</v>
      </c>
      <c r="W80" s="66">
        <f t="shared" si="11"/>
        <v>36449.196310941807</v>
      </c>
      <c r="X80" s="66">
        <f t="shared" si="11"/>
        <v>35599.897556528653</v>
      </c>
      <c r="Y80" s="66">
        <f t="shared" si="11"/>
        <v>36453.039684813375</v>
      </c>
      <c r="Z80" s="66">
        <f t="shared" si="11"/>
        <v>38376.494755192347</v>
      </c>
      <c r="AA80" s="66">
        <f t="shared" si="11"/>
        <v>35958.14841092701</v>
      </c>
    </row>
    <row r="82" spans="1:27" ht="12" thickBot="1" x14ac:dyDescent="0.25">
      <c r="A82" s="61" t="s">
        <v>45</v>
      </c>
    </row>
    <row r="83" spans="1:27" ht="12.75" thickTop="1" thickBot="1" x14ac:dyDescent="0.25">
      <c r="A83" s="62"/>
      <c r="B83" s="63">
        <f>B3</f>
        <v>2011</v>
      </c>
      <c r="C83" s="63">
        <f t="shared" ref="C83:AA83" si="12">C3</f>
        <v>2012</v>
      </c>
      <c r="D83" s="63">
        <f t="shared" si="12"/>
        <v>2013</v>
      </c>
      <c r="E83" s="63">
        <f t="shared" si="12"/>
        <v>2014</v>
      </c>
      <c r="F83" s="63">
        <f t="shared" si="12"/>
        <v>2015</v>
      </c>
      <c r="G83" s="63">
        <f t="shared" si="12"/>
        <v>2016</v>
      </c>
      <c r="H83" s="63">
        <f t="shared" si="12"/>
        <v>2017</v>
      </c>
      <c r="I83" s="63">
        <f t="shared" si="12"/>
        <v>2018</v>
      </c>
      <c r="J83" s="63">
        <f t="shared" si="12"/>
        <v>2019</v>
      </c>
      <c r="K83" s="63">
        <f t="shared" si="12"/>
        <v>2020</v>
      </c>
      <c r="L83" s="63">
        <f t="shared" si="12"/>
        <v>2021</v>
      </c>
      <c r="M83" s="63">
        <f t="shared" si="12"/>
        <v>2022</v>
      </c>
      <c r="N83" s="63">
        <f t="shared" si="12"/>
        <v>2023</v>
      </c>
      <c r="O83" s="63">
        <f t="shared" si="12"/>
        <v>2024</v>
      </c>
      <c r="P83" s="63">
        <f t="shared" si="12"/>
        <v>2025</v>
      </c>
      <c r="Q83" s="63">
        <f t="shared" si="12"/>
        <v>2026</v>
      </c>
      <c r="R83" s="63">
        <f t="shared" si="12"/>
        <v>2027</v>
      </c>
      <c r="S83" s="63">
        <f t="shared" si="12"/>
        <v>2028</v>
      </c>
      <c r="T83" s="63">
        <f t="shared" si="12"/>
        <v>2029</v>
      </c>
      <c r="U83" s="63">
        <f t="shared" si="12"/>
        <v>2030</v>
      </c>
      <c r="V83" s="63">
        <f t="shared" si="12"/>
        <v>2031</v>
      </c>
      <c r="W83" s="63">
        <f t="shared" si="12"/>
        <v>2032</v>
      </c>
      <c r="X83" s="63">
        <f t="shared" si="12"/>
        <v>2033</v>
      </c>
      <c r="Y83" s="63">
        <f t="shared" si="12"/>
        <v>2034</v>
      </c>
      <c r="Z83" s="63">
        <f t="shared" si="12"/>
        <v>2035</v>
      </c>
      <c r="AA83" s="63">
        <f t="shared" si="12"/>
        <v>2036</v>
      </c>
    </row>
    <row r="84" spans="1:27" ht="12" thickTop="1" x14ac:dyDescent="0.2">
      <c r="A84" s="61" t="s">
        <v>6</v>
      </c>
      <c r="B84" s="35">
        <f>'[7]CWG Complex'!S108</f>
        <v>31</v>
      </c>
      <c r="C84" s="35">
        <f>'[7]CWG Complex'!T108</f>
        <v>29</v>
      </c>
      <c r="D84" s="35">
        <f>'[7]CWG Complex'!U108</f>
        <v>31</v>
      </c>
      <c r="E84" s="35">
        <f>'[7]CWG Complex'!V108</f>
        <v>25</v>
      </c>
      <c r="F84" s="35">
        <f>'[7]CWG Complex'!W108</f>
        <v>28</v>
      </c>
      <c r="G84" s="35">
        <f>'[7]CWG Complex'!X108</f>
        <v>57.13</v>
      </c>
      <c r="H84" s="35">
        <f>'[7]CWG Complex'!Y108</f>
        <v>47.41</v>
      </c>
      <c r="I84" s="35">
        <f>'[7]CWG Complex'!Z108</f>
        <v>44.21</v>
      </c>
      <c r="J84" s="35">
        <f>'[7]CWG Complex'!AA108</f>
        <v>62.9</v>
      </c>
      <c r="K84" s="35">
        <f>'[7]CWG Complex'!AB108</f>
        <v>48</v>
      </c>
      <c r="L84" s="35">
        <f>'[7]CWG Complex'!AC108</f>
        <v>46.51149385066099</v>
      </c>
      <c r="M84" s="35">
        <f>'[7]CWG Complex'!AD108</f>
        <v>18.10479481541778</v>
      </c>
      <c r="N84" s="35">
        <f>'[7]CWG Complex'!AE108</f>
        <v>17.979682322250461</v>
      </c>
      <c r="O84" s="35">
        <f>'[7]CWG Complex'!AF108</f>
        <v>4.6272370370542362</v>
      </c>
      <c r="P84" s="35">
        <f>'[7]CWG Complex'!AG108</f>
        <v>4.9599164132293243</v>
      </c>
      <c r="Q84" s="35">
        <f>'[7]CWG Complex'!AH108</f>
        <v>9.1900128100593772</v>
      </c>
      <c r="R84" s="35">
        <f>'[7]CWG Complex'!AI108</f>
        <v>10.083740320397098</v>
      </c>
      <c r="S84" s="35">
        <f>'[7]CWG Complex'!AJ108</f>
        <v>7.0442621514895327</v>
      </c>
      <c r="T84" s="35">
        <f>'[7]CWG Complex'!AK108</f>
        <v>6.6809856636624003</v>
      </c>
      <c r="U84" s="35">
        <f>'[7]CWG Complex'!AL108</f>
        <v>7.1585116888070139</v>
      </c>
      <c r="V84" s="35">
        <f>'[7]CWG Complex'!AM108</f>
        <v>7.7763619202954652</v>
      </c>
      <c r="W84" s="35">
        <f>'[7]CWG Complex'!AN108</f>
        <v>8.0433984608429707</v>
      </c>
      <c r="X84" s="35">
        <f>'[7]CWG Complex'!AO108</f>
        <v>8.9802478070236784</v>
      </c>
      <c r="Y84" s="35">
        <f>'[7]CWG Complex'!AP108</f>
        <v>7.831201636125571</v>
      </c>
      <c r="Z84" s="35">
        <f>'[7]CWG Complex'!AQ108</f>
        <v>7.9098238304146884</v>
      </c>
      <c r="AA84" s="35">
        <f>'[7]CWG Complex'!AR108</f>
        <v>7.9098238304146884</v>
      </c>
    </row>
    <row r="85" spans="1:27" x14ac:dyDescent="0.2">
      <c r="A85" s="61" t="s">
        <v>7</v>
      </c>
      <c r="B85" s="35">
        <f>'[7]CWG Complex'!S109</f>
        <v>48</v>
      </c>
      <c r="C85" s="35">
        <f>'[7]CWG Complex'!T109</f>
        <v>29</v>
      </c>
      <c r="D85" s="35">
        <f>'[7]CWG Complex'!U109</f>
        <v>32</v>
      </c>
      <c r="E85" s="35">
        <f>'[7]CWG Complex'!V109</f>
        <v>41</v>
      </c>
      <c r="F85" s="35">
        <f>'[7]CWG Complex'!W109</f>
        <v>33</v>
      </c>
      <c r="G85" s="35">
        <f>'[7]CWG Complex'!X109</f>
        <v>53.46</v>
      </c>
      <c r="H85" s="35">
        <f>'[7]CWG Complex'!Y109</f>
        <v>54.87</v>
      </c>
      <c r="I85" s="35">
        <f>'[7]CWG Complex'!Z109</f>
        <v>43.86</v>
      </c>
      <c r="J85" s="35">
        <f>'[7]CWG Complex'!AA109</f>
        <v>49.46</v>
      </c>
      <c r="K85" s="35">
        <f>'[7]CWG Complex'!AB109</f>
        <v>43.36</v>
      </c>
      <c r="L85" s="35">
        <f>'[7]CWG Complex'!AC109</f>
        <v>23.415303304755309</v>
      </c>
      <c r="M85" s="35">
        <f>'[7]CWG Complex'!AD109</f>
        <v>17.735924180117653</v>
      </c>
      <c r="N85" s="35">
        <f>'[7]CWG Complex'!AE109</f>
        <v>13.712724760479736</v>
      </c>
      <c r="O85" s="35">
        <f>'[7]CWG Complex'!AF109</f>
        <v>15.304777894846277</v>
      </c>
      <c r="P85" s="35">
        <f>'[7]CWG Complex'!AG109</f>
        <v>15.030759101716283</v>
      </c>
      <c r="Q85" s="35">
        <f>'[7]CWG Complex'!AH109</f>
        <v>17.534608675331008</v>
      </c>
      <c r="R85" s="35">
        <f>'[7]CWG Complex'!AI109</f>
        <v>15.330701192448425</v>
      </c>
      <c r="S85" s="35">
        <f>'[7]CWG Complex'!AJ109</f>
        <v>12.084719837170747</v>
      </c>
      <c r="T85" s="35">
        <f>'[7]CWG Complex'!AK109</f>
        <v>14.073399228051523</v>
      </c>
      <c r="U85" s="35">
        <f>'[7]CWG Complex'!AL109</f>
        <v>14.116127460829487</v>
      </c>
      <c r="V85" s="35">
        <f>'[7]CWG Complex'!AM109</f>
        <v>14.178755376925887</v>
      </c>
      <c r="W85" s="35">
        <f>'[7]CWG Complex'!AN109</f>
        <v>14.555165758469242</v>
      </c>
      <c r="X85" s="35">
        <f>'[7]CWG Complex'!AO109</f>
        <v>13.572395433477476</v>
      </c>
      <c r="Y85" s="35">
        <f>'[7]CWG Complex'!AP109</f>
        <v>13.190320645453273</v>
      </c>
      <c r="Z85" s="35">
        <f>'[7]CWG Complex'!AQ109</f>
        <v>12.890216040845967</v>
      </c>
      <c r="AA85" s="35">
        <f>'[7]CWG Complex'!AR109</f>
        <v>12.890216040845967</v>
      </c>
    </row>
    <row r="86" spans="1:27" x14ac:dyDescent="0.2">
      <c r="A86" s="61" t="s">
        <v>8</v>
      </c>
      <c r="B86" s="35">
        <f>'[7]CWG Complex'!S110</f>
        <v>60</v>
      </c>
      <c r="C86" s="35">
        <f>'[7]CWG Complex'!T110</f>
        <v>31</v>
      </c>
      <c r="D86" s="35">
        <f>'[7]CWG Complex'!U110</f>
        <v>36</v>
      </c>
      <c r="E86" s="35">
        <f>'[7]CWG Complex'!V110</f>
        <v>41</v>
      </c>
      <c r="F86" s="35">
        <f>'[7]CWG Complex'!W110</f>
        <v>43</v>
      </c>
      <c r="G86" s="35">
        <f>'[7]CWG Complex'!X110</f>
        <v>43.63</v>
      </c>
      <c r="H86" s="35">
        <f>'[7]CWG Complex'!Y110</f>
        <v>67.47</v>
      </c>
      <c r="I86" s="35">
        <f>'[7]CWG Complex'!Z110</f>
        <v>49.31</v>
      </c>
      <c r="J86" s="35">
        <f>'[7]CWG Complex'!AA110</f>
        <v>58.48</v>
      </c>
      <c r="K86" s="35">
        <f>'[7]CWG Complex'!AB110</f>
        <v>36</v>
      </c>
      <c r="L86" s="35">
        <f>'[7]CWG Complex'!AC110</f>
        <v>31.727419492229764</v>
      </c>
      <c r="M86" s="35">
        <f>'[7]CWG Complex'!AD110</f>
        <v>19.608091188659177</v>
      </c>
      <c r="N86" s="35">
        <f>'[7]CWG Complex'!AE110</f>
        <v>26.566346423946968</v>
      </c>
      <c r="O86" s="35">
        <f>'[7]CWG Complex'!AF110</f>
        <v>9.335565909043515</v>
      </c>
      <c r="P86" s="35">
        <f>'[7]CWG Complex'!AG110</f>
        <v>17.442874118250892</v>
      </c>
      <c r="Q86" s="35">
        <f>'[7]CWG Complex'!AH110</f>
        <v>18.653540414655126</v>
      </c>
      <c r="R86" s="35">
        <f>'[7]CWG Complex'!AI110</f>
        <v>17.047216921582596</v>
      </c>
      <c r="S86" s="35">
        <f>'[7]CWG Complex'!AJ110</f>
        <v>13.434980301303344</v>
      </c>
      <c r="T86" s="35">
        <f>'[7]CWG Complex'!AK110</f>
        <v>14.014449533173726</v>
      </c>
      <c r="U86" s="35">
        <f>'[7]CWG Complex'!AL110</f>
        <v>15.251030523533871</v>
      </c>
      <c r="V86" s="35">
        <f>'[7]CWG Complex'!AM110</f>
        <v>15.183108566809969</v>
      </c>
      <c r="W86" s="35">
        <f>'[7]CWG Complex'!AN110</f>
        <v>15.6197309187764</v>
      </c>
      <c r="X86" s="35">
        <f>'[7]CWG Complex'!AO110</f>
        <v>14.46334849011088</v>
      </c>
      <c r="Y86" s="35">
        <f>'[7]CWG Complex'!AP110</f>
        <v>13.941002276849266</v>
      </c>
      <c r="Z86" s="35">
        <f>'[7]CWG Complex'!AQ110</f>
        <v>13.783017233210742</v>
      </c>
      <c r="AA86" s="35">
        <f>'[7]CWG Complex'!AR110</f>
        <v>13.783017233210742</v>
      </c>
    </row>
    <row r="87" spans="1:27" x14ac:dyDescent="0.2">
      <c r="A87" s="61" t="s">
        <v>9</v>
      </c>
      <c r="B87" s="35">
        <f>'[7]CWG Complex'!S111</f>
        <v>55</v>
      </c>
      <c r="C87" s="35">
        <f>'[7]CWG Complex'!T111</f>
        <v>41</v>
      </c>
      <c r="D87" s="35">
        <f>'[7]CWG Complex'!U111</f>
        <v>48</v>
      </c>
      <c r="E87" s="35">
        <f>'[7]CWG Complex'!V111</f>
        <v>39</v>
      </c>
      <c r="F87" s="35">
        <f>'[7]CWG Complex'!W111</f>
        <v>57</v>
      </c>
      <c r="G87" s="35">
        <f>'[7]CWG Complex'!X111</f>
        <v>52.8</v>
      </c>
      <c r="H87" s="35">
        <f>'[7]CWG Complex'!Y111</f>
        <v>59.35</v>
      </c>
      <c r="I87" s="35">
        <f>'[7]CWG Complex'!Z111</f>
        <v>54</v>
      </c>
      <c r="J87" s="35">
        <f>'[7]CWG Complex'!AA111</f>
        <v>57.04</v>
      </c>
      <c r="K87" s="35">
        <f>'[7]CWG Complex'!AB111</f>
        <v>41.88</v>
      </c>
      <c r="L87" s="35">
        <f>'[7]CWG Complex'!AC111</f>
        <v>21.139088583794067</v>
      </c>
      <c r="M87" s="35">
        <f>'[7]CWG Complex'!AD111</f>
        <v>17.532824255587588</v>
      </c>
      <c r="N87" s="35">
        <f>'[7]CWG Complex'!AE111</f>
        <v>33.64198191490825</v>
      </c>
      <c r="O87" s="35">
        <f>'[7]CWG Complex'!AF111</f>
        <v>9.5585545551382758</v>
      </c>
      <c r="P87" s="35">
        <f>'[7]CWG Complex'!AG111</f>
        <v>25.309511817903953</v>
      </c>
      <c r="Q87" s="35">
        <f>'[7]CWG Complex'!AH111</f>
        <v>19.126496618107158</v>
      </c>
      <c r="R87" s="35">
        <f>'[7]CWG Complex'!AI111</f>
        <v>19.433028768835392</v>
      </c>
      <c r="S87" s="35">
        <f>'[7]CWG Complex'!AJ111</f>
        <v>16.043373273519272</v>
      </c>
      <c r="T87" s="35">
        <f>'[7]CWG Complex'!AK111</f>
        <v>16.732302396804982</v>
      </c>
      <c r="U87" s="35">
        <f>'[7]CWG Complex'!AL111</f>
        <v>18.231589320404805</v>
      </c>
      <c r="V87" s="35">
        <f>'[7]CWG Complex'!AM111</f>
        <v>17.414745132273168</v>
      </c>
      <c r="W87" s="35">
        <f>'[7]CWG Complex'!AN111</f>
        <v>18.34708616011234</v>
      </c>
      <c r="X87" s="35">
        <f>'[7]CWG Complex'!AO111</f>
        <v>17.106477163244453</v>
      </c>
      <c r="Y87" s="35">
        <f>'[7]CWG Complex'!AP111</f>
        <v>16.449864353262836</v>
      </c>
      <c r="Z87" s="35">
        <f>'[7]CWG Complex'!AQ111</f>
        <v>16.227147323657523</v>
      </c>
      <c r="AA87" s="35">
        <f>'[7]CWG Complex'!AR111</f>
        <v>16.227147323657523</v>
      </c>
    </row>
    <row r="88" spans="1:27" x14ac:dyDescent="0.2">
      <c r="A88" s="61" t="s">
        <v>10</v>
      </c>
      <c r="B88" s="35">
        <f>'[7]CWG Complex'!S112</f>
        <v>57</v>
      </c>
      <c r="C88" s="35">
        <f>'[7]CWG Complex'!T112</f>
        <v>38</v>
      </c>
      <c r="D88" s="35">
        <f>'[7]CWG Complex'!U112</f>
        <v>41</v>
      </c>
      <c r="E88" s="35">
        <f>'[7]CWG Complex'!V112</f>
        <v>46</v>
      </c>
      <c r="F88" s="35">
        <f>'[7]CWG Complex'!W112</f>
        <v>60</v>
      </c>
      <c r="G88" s="35">
        <f>'[7]CWG Complex'!X112</f>
        <v>46.67</v>
      </c>
      <c r="H88" s="35">
        <f>'[7]CWG Complex'!Y112</f>
        <v>48.64</v>
      </c>
      <c r="I88" s="35">
        <f>'[7]CWG Complex'!Z112</f>
        <v>52.71</v>
      </c>
      <c r="J88" s="35">
        <f>'[7]CWG Complex'!AA112</f>
        <v>42.99</v>
      </c>
      <c r="K88" s="35">
        <f>'[7]CWG Complex'!AB112</f>
        <v>39.71</v>
      </c>
      <c r="L88" s="35">
        <f>'[7]CWG Complex'!AC112</f>
        <v>18.700041479024726</v>
      </c>
      <c r="M88" s="35">
        <f>'[7]CWG Complex'!AD112</f>
        <v>20.553320262475836</v>
      </c>
      <c r="N88" s="35">
        <f>'[7]CWG Complex'!AE112</f>
        <v>48.676772042633772</v>
      </c>
      <c r="O88" s="35">
        <f>'[7]CWG Complex'!AF112</f>
        <v>21.709939631642687</v>
      </c>
      <c r="P88" s="35">
        <f>'[7]CWG Complex'!AG112</f>
        <v>29.359548236314293</v>
      </c>
      <c r="Q88" s="35">
        <f>'[7]CWG Complex'!AH112</f>
        <v>24.555210627829283</v>
      </c>
      <c r="R88" s="35">
        <f>'[7]CWG Complex'!AI112</f>
        <v>26.492000304095757</v>
      </c>
      <c r="S88" s="35">
        <f>'[7]CWG Complex'!AJ112</f>
        <v>22.40589077967228</v>
      </c>
      <c r="T88" s="35">
        <f>'[7]CWG Complex'!AK112</f>
        <v>22.655046037308104</v>
      </c>
      <c r="U88" s="35">
        <f>'[7]CWG Complex'!AL112</f>
        <v>23.776788982384716</v>
      </c>
      <c r="V88" s="35">
        <f>'[7]CWG Complex'!AM112</f>
        <v>23.331840215775166</v>
      </c>
      <c r="W88" s="35">
        <f>'[7]CWG Complex'!AN112</f>
        <v>24.781746122584305</v>
      </c>
      <c r="X88" s="35">
        <f>'[7]CWG Complex'!AO112</f>
        <v>23.060115541378071</v>
      </c>
      <c r="Y88" s="35">
        <f>'[7]CWG Complex'!AP112</f>
        <v>22.020940689105959</v>
      </c>
      <c r="Z88" s="35">
        <f>'[7]CWG Complex'!AQ112</f>
        <v>21.681642977906492</v>
      </c>
      <c r="AA88" s="35">
        <f>'[7]CWG Complex'!AR112</f>
        <v>21.681642977906492</v>
      </c>
    </row>
    <row r="89" spans="1:27" x14ac:dyDescent="0.2">
      <c r="A89" s="61" t="s">
        <v>11</v>
      </c>
      <c r="B89" s="35">
        <f>'[7]CWG Complex'!S113</f>
        <v>55</v>
      </c>
      <c r="C89" s="35">
        <f>'[7]CWG Complex'!T113</f>
        <v>39</v>
      </c>
      <c r="D89" s="35">
        <f>'[7]CWG Complex'!U113</f>
        <v>41</v>
      </c>
      <c r="E89" s="35">
        <f>'[7]CWG Complex'!V113</f>
        <v>28.62</v>
      </c>
      <c r="F89" s="35">
        <f>'[7]CWG Complex'!W113</f>
        <v>56</v>
      </c>
      <c r="G89" s="35">
        <f>'[7]CWG Complex'!X113</f>
        <v>42.2</v>
      </c>
      <c r="H89" s="35">
        <f>'[7]CWG Complex'!Y113</f>
        <v>43.7</v>
      </c>
      <c r="I89" s="35">
        <f>'[7]CWG Complex'!Z113</f>
        <v>56.86</v>
      </c>
      <c r="J89" s="35">
        <f>'[7]CWG Complex'!AA113</f>
        <v>44.81</v>
      </c>
      <c r="K89" s="35">
        <f>'[7]CWG Complex'!AB113</f>
        <v>52.95</v>
      </c>
      <c r="L89" s="35">
        <f>'[7]CWG Complex'!AC113</f>
        <v>27.632865208265326</v>
      </c>
      <c r="M89" s="35">
        <f>'[7]CWG Complex'!AD113</f>
        <v>21.490937486635943</v>
      </c>
      <c r="N89" s="35">
        <f>'[7]CWG Complex'!AE113</f>
        <v>24.272817833821286</v>
      </c>
      <c r="O89" s="35">
        <f>'[7]CWG Complex'!AF113</f>
        <v>3.2582435156062619</v>
      </c>
      <c r="P89" s="35">
        <f>'[7]CWG Complex'!AG113</f>
        <v>26.365907897027085</v>
      </c>
      <c r="Q89" s="35">
        <f>'[7]CWG Complex'!AH113</f>
        <v>18.400779839275149</v>
      </c>
      <c r="R89" s="35">
        <f>'[7]CWG Complex'!AI113</f>
        <v>17.38529877670484</v>
      </c>
      <c r="S89" s="35">
        <f>'[7]CWG Complex'!AJ113</f>
        <v>13.51403598236932</v>
      </c>
      <c r="T89" s="35">
        <f>'[7]CWG Complex'!AK113</f>
        <v>14.383529003160515</v>
      </c>
      <c r="U89" s="35">
        <f>'[7]CWG Complex'!AL113</f>
        <v>16.859304225482607</v>
      </c>
      <c r="V89" s="35">
        <f>'[7]CWG Complex'!AM113</f>
        <v>15.61559921964264</v>
      </c>
      <c r="W89" s="35">
        <f>'[7]CWG Complex'!AN113</f>
        <v>16.214155541535675</v>
      </c>
      <c r="X89" s="35">
        <f>'[7]CWG Complex'!AO113</f>
        <v>15.079584554626164</v>
      </c>
      <c r="Y89" s="35">
        <f>'[7]CWG Complex'!AP113</f>
        <v>14.637913190591711</v>
      </c>
      <c r="Z89" s="35">
        <f>'[7]CWG Complex'!AQ113</f>
        <v>14.537542839203107</v>
      </c>
      <c r="AA89" s="35">
        <f>'[7]CWG Complex'!AR113</f>
        <v>14.537542839203107</v>
      </c>
    </row>
    <row r="90" spans="1:27" x14ac:dyDescent="0.2">
      <c r="A90" s="61" t="s">
        <v>12</v>
      </c>
      <c r="B90" s="35">
        <f>'[7]CWG Complex'!S114</f>
        <v>49</v>
      </c>
      <c r="C90" s="35">
        <f>'[7]CWG Complex'!T114</f>
        <v>31</v>
      </c>
      <c r="D90" s="35">
        <f>'[7]CWG Complex'!U114</f>
        <v>43</v>
      </c>
      <c r="E90" s="35">
        <f>'[7]CWG Complex'!V114</f>
        <v>36.67</v>
      </c>
      <c r="F90" s="35">
        <f>'[7]CWG Complex'!W114</f>
        <v>49</v>
      </c>
      <c r="G90" s="35">
        <f>'[7]CWG Complex'!X114</f>
        <v>37.93</v>
      </c>
      <c r="H90" s="35">
        <f>'[7]CWG Complex'!Y114</f>
        <v>33.29</v>
      </c>
      <c r="I90" s="35">
        <f>'[7]CWG Complex'!Z114</f>
        <v>50.96</v>
      </c>
      <c r="J90" s="35">
        <f>'[7]CWG Complex'!AA114</f>
        <v>40.270000000000003</v>
      </c>
      <c r="K90" s="35">
        <f>'[7]CWG Complex'!AB114</f>
        <v>55.38</v>
      </c>
      <c r="L90" s="35">
        <f>'[7]CWG Complex'!AC114</f>
        <v>19.176138475083587</v>
      </c>
      <c r="M90" s="35">
        <f>'[7]CWG Complex'!AD114</f>
        <v>19.659876578107184</v>
      </c>
      <c r="N90" s="35">
        <f>'[7]CWG Complex'!AE114</f>
        <v>26.558214183198217</v>
      </c>
      <c r="O90" s="35">
        <f>'[7]CWG Complex'!AF114</f>
        <v>13.168262905898681</v>
      </c>
      <c r="P90" s="35">
        <f>'[7]CWG Complex'!AG114</f>
        <v>25.164594437807782</v>
      </c>
      <c r="Q90" s="35">
        <f>'[7]CWG Complex'!AH114</f>
        <v>18.412155238779022</v>
      </c>
      <c r="R90" s="35">
        <f>'[7]CWG Complex'!AI114</f>
        <v>18.943945606411063</v>
      </c>
      <c r="S90" s="35">
        <f>'[7]CWG Complex'!AJ114</f>
        <v>15.25423888683215</v>
      </c>
      <c r="T90" s="35">
        <f>'[7]CWG Complex'!AK114</f>
        <v>16.37337365277379</v>
      </c>
      <c r="U90" s="35">
        <f>'[7]CWG Complex'!AL114</f>
        <v>17.732754633751668</v>
      </c>
      <c r="V90" s="35">
        <f>'[7]CWG Complex'!AM114</f>
        <v>16.85695333791757</v>
      </c>
      <c r="W90" s="35">
        <f>'[7]CWG Complex'!AN114</f>
        <v>17.775686901953787</v>
      </c>
      <c r="X90" s="35">
        <f>'[7]CWG Complex'!AO114</f>
        <v>16.549356620366964</v>
      </c>
      <c r="Y90" s="35">
        <f>'[7]CWG Complex'!AP114</f>
        <v>15.97581409046869</v>
      </c>
      <c r="Z90" s="35">
        <f>'[7]CWG Complex'!AQ114</f>
        <v>15.74286696660459</v>
      </c>
      <c r="AA90" s="35">
        <f>'[7]CWG Complex'!AR114</f>
        <v>15.74286696660459</v>
      </c>
    </row>
    <row r="91" spans="1:27" x14ac:dyDescent="0.2">
      <c r="A91" s="61" t="s">
        <v>13</v>
      </c>
      <c r="B91" s="35">
        <f>'[7]CWG Complex'!S115</f>
        <v>48</v>
      </c>
      <c r="C91" s="35">
        <f>'[7]CWG Complex'!T115</f>
        <v>34</v>
      </c>
      <c r="D91" s="35">
        <f>'[7]CWG Complex'!U115</f>
        <v>41</v>
      </c>
      <c r="E91" s="35">
        <f>'[7]CWG Complex'!V115</f>
        <v>36.380000000000003</v>
      </c>
      <c r="F91" s="35">
        <f>'[7]CWG Complex'!W115</f>
        <v>54</v>
      </c>
      <c r="G91" s="35">
        <f>'[7]CWG Complex'!X115</f>
        <v>38.28</v>
      </c>
      <c r="H91" s="35">
        <f>'[7]CWG Complex'!Y115</f>
        <v>35.130000000000003</v>
      </c>
      <c r="I91" s="35">
        <f>'[7]CWG Complex'!Z115</f>
        <v>54.77</v>
      </c>
      <c r="J91" s="35">
        <f>'[7]CWG Complex'!AA115</f>
        <v>29.61</v>
      </c>
      <c r="K91" s="35">
        <f>'[7]CWG Complex'!AB115</f>
        <v>54.52</v>
      </c>
      <c r="L91" s="35">
        <f>'[7]CWG Complex'!AC115</f>
        <v>14.715028424302634</v>
      </c>
      <c r="M91" s="35">
        <f>'[7]CWG Complex'!AD115</f>
        <v>19.731583582260278</v>
      </c>
      <c r="N91" s="35">
        <f>'[7]CWG Complex'!AE115</f>
        <v>40.577882091969094</v>
      </c>
      <c r="O91" s="35">
        <f>'[7]CWG Complex'!AF115</f>
        <v>9.0076143998447691</v>
      </c>
      <c r="P91" s="35">
        <f>'[7]CWG Complex'!AG115</f>
        <v>27.576938692997565</v>
      </c>
      <c r="Q91" s="35">
        <f>'[7]CWG Complex'!AH115</f>
        <v>19.771446519579193</v>
      </c>
      <c r="R91" s="35">
        <f>'[7]CWG Complex'!AI115</f>
        <v>21.529220381496604</v>
      </c>
      <c r="S91" s="35">
        <f>'[7]CWG Complex'!AJ115</f>
        <v>17.687072403163114</v>
      </c>
      <c r="T91" s="35">
        <f>'[7]CWG Complex'!AK115</f>
        <v>17.399096120742957</v>
      </c>
      <c r="U91" s="35">
        <f>'[7]CWG Complex'!AL115</f>
        <v>19.609422398210967</v>
      </c>
      <c r="V91" s="35">
        <f>'[7]CWG Complex'!AM115</f>
        <v>18.68115952342648</v>
      </c>
      <c r="W91" s="35">
        <f>'[7]CWG Complex'!AN115</f>
        <v>19.823556928830676</v>
      </c>
      <c r="X91" s="35">
        <f>'[7]CWG Complex'!AO115</f>
        <v>18.386925564803942</v>
      </c>
      <c r="Y91" s="35">
        <f>'[7]CWG Complex'!AP115</f>
        <v>17.587732692107377</v>
      </c>
      <c r="Z91" s="35">
        <f>'[7]CWG Complex'!AQ115</f>
        <v>17.445700670504536</v>
      </c>
      <c r="AA91" s="35">
        <f>'[7]CWG Complex'!AR115</f>
        <v>17.445700670504536</v>
      </c>
    </row>
    <row r="92" spans="1:27" x14ac:dyDescent="0.2">
      <c r="A92" s="61" t="s">
        <v>14</v>
      </c>
      <c r="B92" s="35">
        <f>'[7]CWG Complex'!S116</f>
        <v>40</v>
      </c>
      <c r="C92" s="35">
        <f>'[7]CWG Complex'!T116</f>
        <v>33</v>
      </c>
      <c r="D92" s="35">
        <f>'[7]CWG Complex'!U116</f>
        <v>38</v>
      </c>
      <c r="E92" s="35">
        <f>'[7]CWG Complex'!V116</f>
        <v>40.76</v>
      </c>
      <c r="F92" s="35">
        <f>'[7]CWG Complex'!W116</f>
        <v>54</v>
      </c>
      <c r="G92" s="35">
        <f>'[7]CWG Complex'!X116</f>
        <v>36</v>
      </c>
      <c r="H92" s="35">
        <f>'[7]CWG Complex'!Y116</f>
        <v>45.87</v>
      </c>
      <c r="I92" s="35">
        <f>'[7]CWG Complex'!Z116</f>
        <v>58.35</v>
      </c>
      <c r="J92" s="35">
        <f>'[7]CWG Complex'!AA116</f>
        <v>26.9</v>
      </c>
      <c r="K92" s="35">
        <f>'[7]CWG Complex'!AB116</f>
        <v>73.08</v>
      </c>
      <c r="L92" s="35">
        <f>'[7]CWG Complex'!AC116</f>
        <v>15.515162820757276</v>
      </c>
      <c r="M92" s="35">
        <f>'[7]CWG Complex'!AD116</f>
        <v>17.589755161114937</v>
      </c>
      <c r="N92" s="35">
        <f>'[7]CWG Complex'!AE116</f>
        <v>28.447345668360651</v>
      </c>
      <c r="O92" s="35">
        <f>'[7]CWG Complex'!AF116</f>
        <v>-1.0099043615745145</v>
      </c>
      <c r="P92" s="35">
        <f>'[7]CWG Complex'!AG116</f>
        <v>25.806522835024026</v>
      </c>
      <c r="Q92" s="35">
        <f>'[7]CWG Complex'!AH116</f>
        <v>15.314523771441227</v>
      </c>
      <c r="R92" s="35">
        <f>'[7]CWG Complex'!AI116</f>
        <v>15.835946506545637</v>
      </c>
      <c r="S92" s="35">
        <f>'[7]CWG Complex'!AJ116</f>
        <v>12.598339524740577</v>
      </c>
      <c r="T92" s="35">
        <f>'[7]CWG Complex'!AK116</f>
        <v>12.861733991943488</v>
      </c>
      <c r="U92" s="35">
        <f>'[7]CWG Complex'!AL116</f>
        <v>15.417905259346703</v>
      </c>
      <c r="V92" s="35">
        <f>'[7]CWG Complex'!AM116</f>
        <v>14.000273458146243</v>
      </c>
      <c r="W92" s="35">
        <f>'[7]CWG Complex'!AN116</f>
        <v>14.763654754580482</v>
      </c>
      <c r="X92" s="35">
        <f>'[7]CWG Complex'!AO116</f>
        <v>13.728007779430538</v>
      </c>
      <c r="Y92" s="35">
        <f>'[7]CWG Complex'!AP116</f>
        <v>13.262453693182479</v>
      </c>
      <c r="Z92" s="35">
        <f>'[7]CWG Complex'!AQ116</f>
        <v>13.1983109550031</v>
      </c>
      <c r="AA92" s="35">
        <f>'[7]CWG Complex'!AR116</f>
        <v>13.1983109550031</v>
      </c>
    </row>
    <row r="93" spans="1:27" x14ac:dyDescent="0.2">
      <c r="A93" s="61" t="s">
        <v>15</v>
      </c>
      <c r="B93" s="35">
        <f>'[7]CWG Complex'!T105</f>
        <v>29</v>
      </c>
      <c r="C93" s="35">
        <f>'[7]CWG Complex'!U105</f>
        <v>41</v>
      </c>
      <c r="D93" s="35">
        <f>'[7]CWG Complex'!V105</f>
        <v>36</v>
      </c>
      <c r="E93" s="35">
        <f>'[7]CWG Complex'!W105</f>
        <v>33.450000000000003</v>
      </c>
      <c r="F93" s="35">
        <f>'[7]CWG Complex'!X105</f>
        <v>52</v>
      </c>
      <c r="G93" s="35">
        <f>'[7]CWG Complex'!Y105</f>
        <v>47.25</v>
      </c>
      <c r="H93" s="35">
        <f>'[7]CWG Complex'!Z105</f>
        <v>49.41</v>
      </c>
      <c r="I93" s="35">
        <f>'[7]CWG Complex'!AA105</f>
        <v>59.01</v>
      </c>
      <c r="J93" s="35">
        <f>'[7]CWG Complex'!AB105</f>
        <v>46.44</v>
      </c>
      <c r="K93" s="35">
        <f>'[7]CWG Complex'!AC105</f>
        <v>57</v>
      </c>
      <c r="L93" s="35">
        <f>'[7]CWG Complex'!AD105</f>
        <v>42.256396960623931</v>
      </c>
      <c r="M93" s="35">
        <f>'[7]CWG Complex'!AE105</f>
        <v>18.342527144698717</v>
      </c>
      <c r="N93" s="35">
        <f>'[7]CWG Complex'!AF105</f>
        <v>12.854891234883162</v>
      </c>
      <c r="O93" s="35">
        <f>'[7]CWG Complex'!AG105</f>
        <v>3.5428347112779726</v>
      </c>
      <c r="P93" s="35">
        <f>'[7]CWG Complex'!AH105</f>
        <v>23.28281824770534</v>
      </c>
      <c r="Q93" s="35">
        <f>'[7]CWG Complex'!AI105</f>
        <v>17.803092572067779</v>
      </c>
      <c r="R93" s="35">
        <f>'[7]CWG Complex'!AJ105</f>
        <v>14.11866200413604</v>
      </c>
      <c r="S93" s="35">
        <f>'[7]CWG Complex'!AK105</f>
        <v>10.872624002832461</v>
      </c>
      <c r="T93" s="35">
        <f>'[7]CWG Complex'!AL105</f>
        <v>12.589229622185082</v>
      </c>
      <c r="U93" s="35">
        <f>'[7]CWG Complex'!AM105</f>
        <v>14.714992781212784</v>
      </c>
      <c r="V93" s="35">
        <f>'[7]CWG Complex'!AN105</f>
        <v>13.556311976767615</v>
      </c>
      <c r="W93" s="35">
        <f>'[7]CWG Complex'!AO105</f>
        <v>13.735783741385058</v>
      </c>
      <c r="X93" s="35">
        <f>'[7]CWG Complex'!AP105</f>
        <v>12.876461692906402</v>
      </c>
      <c r="Y93" s="35">
        <f>'[7]CWG Complex'!AQ105</f>
        <v>12.972539144333895</v>
      </c>
      <c r="Z93" s="35">
        <f>'[7]CWG Complex'!AR105</f>
        <v>12.972539144333895</v>
      </c>
      <c r="AA93" s="35">
        <f>'[7]CWG Complex'!AS105</f>
        <v>12.972539144333895</v>
      </c>
    </row>
    <row r="94" spans="1:27" x14ac:dyDescent="0.2">
      <c r="A94" s="61" t="s">
        <v>16</v>
      </c>
      <c r="B94" s="35">
        <f>'[7]CWG Complex'!T106</f>
        <v>35</v>
      </c>
      <c r="C94" s="35">
        <f>'[7]CWG Complex'!U106</f>
        <v>28</v>
      </c>
      <c r="D94" s="35">
        <f>'[7]CWG Complex'!V106</f>
        <v>34</v>
      </c>
      <c r="E94" s="35">
        <f>'[7]CWG Complex'!W106</f>
        <v>23.92</v>
      </c>
      <c r="F94" s="35">
        <f>'[7]CWG Complex'!X106</f>
        <v>45</v>
      </c>
      <c r="G94" s="35">
        <f>'[7]CWG Complex'!Y106</f>
        <v>48.66</v>
      </c>
      <c r="H94" s="35">
        <f>'[7]CWG Complex'!Z106</f>
        <v>49.23</v>
      </c>
      <c r="I94" s="35">
        <f>'[7]CWG Complex'!AA106</f>
        <v>48.18</v>
      </c>
      <c r="J94" s="35">
        <f>'[7]CWG Complex'!AB106</f>
        <v>36.49</v>
      </c>
      <c r="K94" s="35">
        <f>'[7]CWG Complex'!AC106</f>
        <v>53</v>
      </c>
      <c r="L94" s="35">
        <f>'[7]CWG Complex'!AD106</f>
        <v>34.81884158560392</v>
      </c>
      <c r="M94" s="35">
        <f>'[7]CWG Complex'!AE106</f>
        <v>19.026145053098343</v>
      </c>
      <c r="N94" s="35">
        <f>'[7]CWG Complex'!AF106</f>
        <v>13.667000000000002</v>
      </c>
      <c r="O94" s="35">
        <f>'[7]CWG Complex'!AG106</f>
        <v>43.216498237065878</v>
      </c>
      <c r="P94" s="35">
        <f>'[7]CWG Complex'!AH106</f>
        <v>30.380511927629161</v>
      </c>
      <c r="Q94" s="35">
        <f>'[7]CWG Complex'!AI106</f>
        <v>25.463712162145367</v>
      </c>
      <c r="R94" s="35">
        <f>'[7]CWG Complex'!AJ106</f>
        <v>24.632635668183621</v>
      </c>
      <c r="S94" s="35">
        <f>'[7]CWG Complex'!AK106</f>
        <v>20.680400029549208</v>
      </c>
      <c r="T94" s="35">
        <f>'[7]CWG Complex'!AL106</f>
        <v>25.615744309860581</v>
      </c>
      <c r="U94" s="35">
        <f>'[7]CWG Complex'!AM106</f>
        <v>24.015785398955337</v>
      </c>
      <c r="V94" s="35">
        <f>'[7]CWG Complex'!AN106</f>
        <v>23.451017254262098</v>
      </c>
      <c r="W94" s="35">
        <f>'[7]CWG Complex'!AO106</f>
        <v>24.756253670058285</v>
      </c>
      <c r="X94" s="35">
        <f>'[7]CWG Complex'!AP106</f>
        <v>23.347878910135261</v>
      </c>
      <c r="Y94" s="35">
        <f>'[7]CWG Complex'!AQ106</f>
        <v>23.309204605848457</v>
      </c>
      <c r="Z94" s="35">
        <f>'[7]CWG Complex'!AR106</f>
        <v>23.309204605848457</v>
      </c>
      <c r="AA94" s="35">
        <f>'[7]CWG Complex'!AS106</f>
        <v>23.309204605848457</v>
      </c>
    </row>
    <row r="95" spans="1:27" x14ac:dyDescent="0.2">
      <c r="A95" s="61" t="s">
        <v>17</v>
      </c>
      <c r="B95" s="35">
        <f>'[7]CWG Complex'!T107</f>
        <v>26</v>
      </c>
      <c r="C95" s="35">
        <f>'[7]CWG Complex'!U107</f>
        <v>35</v>
      </c>
      <c r="D95" s="35">
        <f>'[7]CWG Complex'!V107</f>
        <v>45</v>
      </c>
      <c r="E95" s="35">
        <f>'[7]CWG Complex'!W107</f>
        <v>35.6</v>
      </c>
      <c r="F95" s="35">
        <f>'[7]CWG Complex'!X107</f>
        <v>58</v>
      </c>
      <c r="G95" s="35">
        <f>'[7]CWG Complex'!Y107</f>
        <v>74.02</v>
      </c>
      <c r="H95" s="35">
        <f>'[7]CWG Complex'!Z107</f>
        <v>56.22</v>
      </c>
      <c r="I95" s="35">
        <f>'[7]CWG Complex'!AA107</f>
        <v>45.48</v>
      </c>
      <c r="J95" s="35">
        <f>'[7]CWG Complex'!AB107</f>
        <v>40.71</v>
      </c>
      <c r="K95" s="35">
        <f>'[7]CWG Complex'!AC107</f>
        <v>57</v>
      </c>
      <c r="L95" s="35">
        <f>'[7]CWG Complex'!AD107</f>
        <v>40.391914002886487</v>
      </c>
      <c r="M95" s="35">
        <f>'[7]CWG Complex'!AE107</f>
        <v>22.833451805726607</v>
      </c>
      <c r="N95" s="35">
        <f>'[7]CWG Complex'!AF107</f>
        <v>2.4820046687072925</v>
      </c>
      <c r="O95" s="35">
        <f>'[7]CWG Complex'!AG107</f>
        <v>37.751700312783285</v>
      </c>
      <c r="P95" s="35">
        <f>'[7]CWG Complex'!AH107</f>
        <v>55.275789712474428</v>
      </c>
      <c r="Q95" s="35">
        <f>'[7]CWG Complex'!AI107</f>
        <v>24.778201302635104</v>
      </c>
      <c r="R95" s="35">
        <f>'[7]CWG Complex'!AJ107</f>
        <v>26.083315768655186</v>
      </c>
      <c r="S95" s="35">
        <f>'[7]CWG Complex'!AK107</f>
        <v>21.598943675127206</v>
      </c>
      <c r="T95" s="35">
        <f>'[7]CWG Complex'!AL107</f>
        <v>29.495429634563209</v>
      </c>
      <c r="U95" s="35">
        <f>'[7]CWG Complex'!AM107</f>
        <v>29.133754678208732</v>
      </c>
      <c r="V95" s="35">
        <f>'[7]CWG Complex'!AN107</f>
        <v>25.468642490543122</v>
      </c>
      <c r="W95" s="35">
        <f>'[7]CWG Complex'!AO107</f>
        <v>27.470842565129153</v>
      </c>
      <c r="X95" s="35">
        <f>'[7]CWG Complex'!AP107</f>
        <v>22.758066426841612</v>
      </c>
      <c r="Y95" s="35">
        <f>'[7]CWG Complex'!AQ107</f>
        <v>24.561198237607144</v>
      </c>
      <c r="Z95" s="35">
        <f>'[7]CWG Complex'!AR107</f>
        <v>24.561198237607144</v>
      </c>
      <c r="AA95" s="35">
        <f>'[7]CWG Complex'!AS107</f>
        <v>24.561198237607144</v>
      </c>
    </row>
    <row r="96" spans="1:27" x14ac:dyDescent="0.2">
      <c r="A96" s="64" t="s">
        <v>18</v>
      </c>
      <c r="B96" s="65">
        <f>SUM(B84:B95)</f>
        <v>533</v>
      </c>
      <c r="C96" s="65">
        <f t="shared" ref="C96:AA96" si="13">SUM(C84:C95)</f>
        <v>409</v>
      </c>
      <c r="D96" s="65">
        <f t="shared" si="13"/>
        <v>466</v>
      </c>
      <c r="E96" s="65">
        <f t="shared" si="13"/>
        <v>427.40000000000003</v>
      </c>
      <c r="F96" s="65">
        <f t="shared" si="13"/>
        <v>589</v>
      </c>
      <c r="G96" s="65">
        <f t="shared" si="13"/>
        <v>578.03</v>
      </c>
      <c r="H96" s="65">
        <f t="shared" si="13"/>
        <v>590.59</v>
      </c>
      <c r="I96" s="65">
        <f t="shared" si="13"/>
        <v>617.69999999999993</v>
      </c>
      <c r="J96" s="65">
        <f t="shared" si="13"/>
        <v>536.1</v>
      </c>
      <c r="K96" s="65">
        <f t="shared" si="13"/>
        <v>611.88</v>
      </c>
      <c r="L96" s="65">
        <f t="shared" si="13"/>
        <v>335.99969418798798</v>
      </c>
      <c r="M96" s="65">
        <f t="shared" si="13"/>
        <v>232.20923151390002</v>
      </c>
      <c r="N96" s="66">
        <f t="shared" si="13"/>
        <v>289.43766314515892</v>
      </c>
      <c r="O96" s="66">
        <f t="shared" si="13"/>
        <v>169.4713247486273</v>
      </c>
      <c r="P96" s="66">
        <f t="shared" si="13"/>
        <v>305.95569343808012</v>
      </c>
      <c r="Q96" s="66">
        <f t="shared" si="13"/>
        <v>229.00378055190478</v>
      </c>
      <c r="R96" s="66">
        <f t="shared" si="13"/>
        <v>226.91571221949226</v>
      </c>
      <c r="S96" s="66">
        <f t="shared" si="13"/>
        <v>183.21888084776921</v>
      </c>
      <c r="T96" s="66">
        <f t="shared" si="13"/>
        <v>202.87431919423037</v>
      </c>
      <c r="U96" s="66">
        <f t="shared" si="13"/>
        <v>216.01796735112868</v>
      </c>
      <c r="V96" s="66">
        <f t="shared" si="13"/>
        <v>205.51476847278539</v>
      </c>
      <c r="W96" s="66">
        <f t="shared" si="13"/>
        <v>215.88706152425834</v>
      </c>
      <c r="X96" s="66">
        <f t="shared" si="13"/>
        <v>199.90886598434543</v>
      </c>
      <c r="Y96" s="66">
        <f t="shared" si="13"/>
        <v>195.74018525493665</v>
      </c>
      <c r="Z96" s="66">
        <f t="shared" si="13"/>
        <v>194.25921082514026</v>
      </c>
      <c r="AA96" s="66">
        <f t="shared" si="13"/>
        <v>194.25921082514026</v>
      </c>
    </row>
    <row r="98" spans="1:27" ht="12" thickBot="1" x14ac:dyDescent="0.25">
      <c r="A98" s="61" t="s">
        <v>46</v>
      </c>
    </row>
    <row r="99" spans="1:27" ht="12.75" thickTop="1" thickBot="1" x14ac:dyDescent="0.25">
      <c r="A99" s="62"/>
      <c r="B99" s="63">
        <f>B3</f>
        <v>2011</v>
      </c>
      <c r="C99" s="63">
        <f t="shared" ref="C99:AA99" si="14">C3</f>
        <v>2012</v>
      </c>
      <c r="D99" s="63">
        <f t="shared" si="14"/>
        <v>2013</v>
      </c>
      <c r="E99" s="63">
        <f t="shared" si="14"/>
        <v>2014</v>
      </c>
      <c r="F99" s="63">
        <f t="shared" si="14"/>
        <v>2015</v>
      </c>
      <c r="G99" s="63">
        <f t="shared" si="14"/>
        <v>2016</v>
      </c>
      <c r="H99" s="63">
        <f t="shared" si="14"/>
        <v>2017</v>
      </c>
      <c r="I99" s="63">
        <f t="shared" si="14"/>
        <v>2018</v>
      </c>
      <c r="J99" s="63">
        <f t="shared" si="14"/>
        <v>2019</v>
      </c>
      <c r="K99" s="63">
        <f t="shared" si="14"/>
        <v>2020</v>
      </c>
      <c r="L99" s="63">
        <f t="shared" si="14"/>
        <v>2021</v>
      </c>
      <c r="M99" s="63">
        <f t="shared" si="14"/>
        <v>2022</v>
      </c>
      <c r="N99" s="63">
        <f t="shared" si="14"/>
        <v>2023</v>
      </c>
      <c r="O99" s="63">
        <f t="shared" si="14"/>
        <v>2024</v>
      </c>
      <c r="P99" s="63">
        <f t="shared" si="14"/>
        <v>2025</v>
      </c>
      <c r="Q99" s="63">
        <f t="shared" si="14"/>
        <v>2026</v>
      </c>
      <c r="R99" s="63">
        <f t="shared" si="14"/>
        <v>2027</v>
      </c>
      <c r="S99" s="63">
        <f t="shared" si="14"/>
        <v>2028</v>
      </c>
      <c r="T99" s="63">
        <f t="shared" si="14"/>
        <v>2029</v>
      </c>
      <c r="U99" s="63">
        <f t="shared" si="14"/>
        <v>2030</v>
      </c>
      <c r="V99" s="63">
        <f t="shared" si="14"/>
        <v>2031</v>
      </c>
      <c r="W99" s="63">
        <f t="shared" si="14"/>
        <v>2032</v>
      </c>
      <c r="X99" s="63">
        <f t="shared" si="14"/>
        <v>2033</v>
      </c>
      <c r="Y99" s="63">
        <f t="shared" si="14"/>
        <v>2034</v>
      </c>
      <c r="Z99" s="63">
        <f t="shared" si="14"/>
        <v>2035</v>
      </c>
      <c r="AA99" s="63">
        <f t="shared" si="14"/>
        <v>2036</v>
      </c>
    </row>
    <row r="100" spans="1:27" ht="12" thickTop="1" x14ac:dyDescent="0.2">
      <c r="A100" s="61" t="s">
        <v>6</v>
      </c>
      <c r="B100" s="35">
        <f>'[7]Poultry Byproduct Complex'!S245</f>
        <v>14</v>
      </c>
      <c r="C100" s="35">
        <f>'[7]Poultry Byproduct Complex'!T245</f>
        <v>20</v>
      </c>
      <c r="D100" s="35">
        <f>'[7]Poultry Byproduct Complex'!U245</f>
        <v>7</v>
      </c>
      <c r="E100" s="35">
        <f>'[7]Poultry Byproduct Complex'!V245</f>
        <v>2</v>
      </c>
      <c r="F100" s="35">
        <f>'[7]Poultry Byproduct Complex'!W245</f>
        <v>11</v>
      </c>
      <c r="G100" s="35">
        <f>'[7]Poultry Byproduct Complex'!X245</f>
        <v>10.55</v>
      </c>
      <c r="H100" s="35">
        <f>'[7]Poultry Byproduct Complex'!Y245</f>
        <v>6.92</v>
      </c>
      <c r="I100" s="35">
        <f>'[7]Poultry Byproduct Complex'!Z245</f>
        <v>5.85</v>
      </c>
      <c r="J100" s="35">
        <f>'[7]Poultry Byproduct Complex'!AA245</f>
        <v>13.3016666666667</v>
      </c>
      <c r="K100" s="35">
        <f>'[7]Poultry Byproduct Complex'!AB245</f>
        <v>11</v>
      </c>
      <c r="L100" s="35">
        <f>'[7]Poultry Byproduct Complex'!AC245</f>
        <v>33.534999999999997</v>
      </c>
      <c r="M100" s="35">
        <f>'[7]Poultry Byproduct Complex'!AD245</f>
        <v>13.810885546858449</v>
      </c>
      <c r="N100" s="35">
        <f>'[7]Poultry Byproduct Complex'!AE245</f>
        <v>12.668129782598223</v>
      </c>
      <c r="O100" s="35">
        <f>'[7]Poultry Byproduct Complex'!AF245</f>
        <v>15.967255106517104</v>
      </c>
      <c r="P100" s="35">
        <f>'[7]Poultry Byproduct Complex'!AG245</f>
        <v>16.180423627331475</v>
      </c>
      <c r="Q100" s="35">
        <f>'[7]Poultry Byproduct Complex'!AH245</f>
        <v>12.914893849591342</v>
      </c>
      <c r="R100" s="35">
        <f>'[7]Poultry Byproduct Complex'!AI245</f>
        <v>14.17086554027679</v>
      </c>
      <c r="S100" s="35">
        <f>'[7]Poultry Byproduct Complex'!AJ245</f>
        <v>11.547391336191767</v>
      </c>
      <c r="T100" s="35">
        <f>'[7]Poultry Byproduct Complex'!AK245</f>
        <v>13.405868159591273</v>
      </c>
      <c r="U100" s="35">
        <f>'[7]Poultry Byproduct Complex'!AL245</f>
        <v>13.383821838390492</v>
      </c>
      <c r="V100" s="35">
        <f>'[7]Poultry Byproduct Complex'!AM245</f>
        <v>12.821276161321808</v>
      </c>
      <c r="W100" s="35">
        <f>'[7]Poultry Byproduct Complex'!AN245</f>
        <v>13.638521596037867</v>
      </c>
      <c r="X100" s="35">
        <f>'[7]Poultry Byproduct Complex'!AO245</f>
        <v>15.848634081537798</v>
      </c>
      <c r="Y100" s="35">
        <f>'[7]Poultry Byproduct Complex'!AP245</f>
        <v>14.029044679247431</v>
      </c>
      <c r="Z100" s="35">
        <f>'[7]Poultry Byproduct Complex'!AQ245</f>
        <v>13.864736893819449</v>
      </c>
      <c r="AA100" s="35">
        <f>'[7]Poultry Byproduct Complex'!AR245</f>
        <v>11.036389875188252</v>
      </c>
    </row>
    <row r="101" spans="1:27" x14ac:dyDescent="0.2">
      <c r="A101" s="61" t="s">
        <v>7</v>
      </c>
      <c r="B101" s="35">
        <f>'[7]Poultry Byproduct Complex'!S246</f>
        <v>14</v>
      </c>
      <c r="C101" s="35">
        <f>'[7]Poultry Byproduct Complex'!T246</f>
        <v>8</v>
      </c>
      <c r="D101" s="35">
        <f>'[7]Poultry Byproduct Complex'!U246</f>
        <v>8</v>
      </c>
      <c r="E101" s="35">
        <f>'[7]Poultry Byproduct Complex'!V246</f>
        <v>6</v>
      </c>
      <c r="F101" s="35">
        <f>'[7]Poultry Byproduct Complex'!W246</f>
        <v>9</v>
      </c>
      <c r="G101" s="35">
        <f>'[7]Poultry Byproduct Complex'!X246</f>
        <v>11.39</v>
      </c>
      <c r="H101" s="35">
        <f>'[7]Poultry Byproduct Complex'!Y246</f>
        <v>9.74</v>
      </c>
      <c r="I101" s="35">
        <f>'[7]Poultry Byproduct Complex'!Z246</f>
        <v>6.35</v>
      </c>
      <c r="J101" s="35">
        <f>'[7]Poultry Byproduct Complex'!AA246</f>
        <v>16</v>
      </c>
      <c r="K101" s="35">
        <f>'[7]Poultry Byproduct Complex'!AB246</f>
        <v>11.87</v>
      </c>
      <c r="L101" s="35">
        <f>'[7]Poultry Byproduct Complex'!AC246</f>
        <v>34.244999999999997</v>
      </c>
      <c r="M101" s="35">
        <f>'[7]Poultry Byproduct Complex'!AD246</f>
        <v>11.639601875815378</v>
      </c>
      <c r="N101" s="35">
        <f>'[7]Poultry Byproduct Complex'!AE246</f>
        <v>9.6003876941036772</v>
      </c>
      <c r="O101" s="35">
        <f>'[7]Poultry Byproduct Complex'!AF246</f>
        <v>9.868403647004131</v>
      </c>
      <c r="P101" s="35">
        <f>'[7]Poultry Byproduct Complex'!AG246</f>
        <v>10.221550460502892</v>
      </c>
      <c r="Q101" s="35">
        <f>'[7]Poultry Byproduct Complex'!AH246</f>
        <v>15.675582619687429</v>
      </c>
      <c r="R101" s="35">
        <f>'[7]Poultry Byproduct Complex'!AI246</f>
        <v>11.027516129823772</v>
      </c>
      <c r="S101" s="35">
        <f>'[7]Poultry Byproduct Complex'!AJ246</f>
        <v>8.8376469809423313</v>
      </c>
      <c r="T101" s="35">
        <f>'[7]Poultry Byproduct Complex'!AK246</f>
        <v>10.355933461744742</v>
      </c>
      <c r="U101" s="35">
        <f>'[7]Poultry Byproduct Complex'!AL246</f>
        <v>10.58181944672919</v>
      </c>
      <c r="V101" s="35">
        <f>'[7]Poultry Byproduct Complex'!AM246</f>
        <v>10.882231013438432</v>
      </c>
      <c r="W101" s="35">
        <f>'[7]Poultry Byproduct Complex'!AN246</f>
        <v>10.786620856769092</v>
      </c>
      <c r="X101" s="35">
        <f>'[7]Poultry Byproduct Complex'!AO246</f>
        <v>10.114507716454098</v>
      </c>
      <c r="Y101" s="35">
        <f>'[7]Poultry Byproduct Complex'!AP246</f>
        <v>9.8646823974390045</v>
      </c>
      <c r="Z101" s="35">
        <f>'[7]Poultry Byproduct Complex'!AQ246</f>
        <v>9.6710759035271465</v>
      </c>
      <c r="AA101" s="35">
        <f>'[7]Poultry Byproduct Complex'!AR246</f>
        <v>8.0711835128510607</v>
      </c>
    </row>
    <row r="102" spans="1:27" x14ac:dyDescent="0.2">
      <c r="A102" s="61" t="s">
        <v>8</v>
      </c>
      <c r="B102" s="35">
        <f>'[7]Poultry Byproduct Complex'!S247</f>
        <v>19</v>
      </c>
      <c r="C102" s="35">
        <f>'[7]Poultry Byproduct Complex'!T247</f>
        <v>11</v>
      </c>
      <c r="D102" s="35">
        <f>'[7]Poultry Byproduct Complex'!U247</f>
        <v>9</v>
      </c>
      <c r="E102" s="35">
        <f>'[7]Poultry Byproduct Complex'!V247</f>
        <v>13</v>
      </c>
      <c r="F102" s="35">
        <f>'[7]Poultry Byproduct Complex'!W247</f>
        <v>8</v>
      </c>
      <c r="G102" s="35">
        <f>'[7]Poultry Byproduct Complex'!X247</f>
        <v>14.77</v>
      </c>
      <c r="H102" s="35">
        <f>'[7]Poultry Byproduct Complex'!Y247</f>
        <v>13.22</v>
      </c>
      <c r="I102" s="35">
        <f>'[7]Poultry Byproduct Complex'!Z247</f>
        <v>4.81005859375</v>
      </c>
      <c r="J102" s="35">
        <f>'[7]Poultry Byproduct Complex'!AA247</f>
        <v>8</v>
      </c>
      <c r="K102" s="35">
        <f>'[7]Poultry Byproduct Complex'!AB247</f>
        <v>23.6</v>
      </c>
      <c r="L102" s="35">
        <f>'[7]Poultry Byproduct Complex'!AC247</f>
        <v>43.158000000000001</v>
      </c>
      <c r="M102" s="35">
        <f>'[7]Poultry Byproduct Complex'!AD247</f>
        <v>13.945280767206244</v>
      </c>
      <c r="N102" s="35">
        <f>'[7]Poultry Byproduct Complex'!AE247</f>
        <v>6.9373389872466005</v>
      </c>
      <c r="O102" s="35">
        <f>'[7]Poultry Byproduct Complex'!AF247</f>
        <v>17.858638578776393</v>
      </c>
      <c r="P102" s="35">
        <f>'[7]Poultry Byproduct Complex'!AG247</f>
        <v>14.394613433946333</v>
      </c>
      <c r="Q102" s="35">
        <f>'[7]Poultry Byproduct Complex'!AH247</f>
        <v>17.227451362410932</v>
      </c>
      <c r="R102" s="35">
        <f>'[7]Poultry Byproduct Complex'!AI247</f>
        <v>13.451198073708261</v>
      </c>
      <c r="S102" s="35">
        <f>'[7]Poultry Byproduct Complex'!AJ247</f>
        <v>10.789592136674129</v>
      </c>
      <c r="T102" s="35">
        <f>'[7]Poultry Byproduct Complex'!AK247</f>
        <v>13.241598509441532</v>
      </c>
      <c r="U102" s="35">
        <f>'[7]Poultry Byproduct Complex'!AL247</f>
        <v>13.056718300064835</v>
      </c>
      <c r="V102" s="35">
        <f>'[7]Poultry Byproduct Complex'!AM247</f>
        <v>13.111869702445436</v>
      </c>
      <c r="W102" s="35">
        <f>'[7]Poultry Byproduct Complex'!AN247</f>
        <v>13.287724200233162</v>
      </c>
      <c r="X102" s="35">
        <f>'[7]Poultry Byproduct Complex'!AO247</f>
        <v>12.479196950745965</v>
      </c>
      <c r="Y102" s="35">
        <f>'[7]Poultry Byproduct Complex'!AP247</f>
        <v>12.194794975999296</v>
      </c>
      <c r="Z102" s="35">
        <f>'[7]Poultry Byproduct Complex'!AQ247</f>
        <v>11.874826061390737</v>
      </c>
      <c r="AA102" s="35">
        <f>'[7]Poultry Byproduct Complex'!AR247</f>
        <v>9.9016110968795452</v>
      </c>
    </row>
    <row r="103" spans="1:27" x14ac:dyDescent="0.2">
      <c r="A103" s="61" t="s">
        <v>9</v>
      </c>
      <c r="B103" s="35">
        <f>'[7]Poultry Byproduct Complex'!S248</f>
        <v>15</v>
      </c>
      <c r="C103" s="35">
        <f>'[7]Poultry Byproduct Complex'!T248</f>
        <v>13</v>
      </c>
      <c r="D103" s="35">
        <f>'[7]Poultry Byproduct Complex'!U248</f>
        <v>15</v>
      </c>
      <c r="E103" s="35">
        <f>'[7]Poultry Byproduct Complex'!V248</f>
        <v>17</v>
      </c>
      <c r="F103" s="35">
        <f>'[7]Poultry Byproduct Complex'!W248</f>
        <v>16</v>
      </c>
      <c r="G103" s="35">
        <f>'[7]Poultry Byproduct Complex'!X248</f>
        <v>19.149999999999999</v>
      </c>
      <c r="H103" s="35">
        <f>'[7]Poultry Byproduct Complex'!Y248</f>
        <v>13.39</v>
      </c>
      <c r="I103" s="35">
        <f>'[7]Poultry Byproduct Complex'!Z248</f>
        <v>7.9830322265625</v>
      </c>
      <c r="J103" s="35">
        <f>'[7]Poultry Byproduct Complex'!AA248</f>
        <v>9.27</v>
      </c>
      <c r="K103" s="35">
        <f>'[7]Poultry Byproduct Complex'!AB248</f>
        <v>8.3990441310971509</v>
      </c>
      <c r="L103" s="35">
        <f>'[7]Poultry Byproduct Complex'!AC248</f>
        <v>36.418999999999997</v>
      </c>
      <c r="M103" s="35">
        <f>'[7]Poultry Byproduct Complex'!AD248</f>
        <v>11.616042093179136</v>
      </c>
      <c r="N103" s="35">
        <f>'[7]Poultry Byproduct Complex'!AE248</f>
        <v>6.8940717767666522</v>
      </c>
      <c r="O103" s="35">
        <f>'[7]Poultry Byproduct Complex'!AF248</f>
        <v>24.533619768693136</v>
      </c>
      <c r="P103" s="35">
        <f>'[7]Poultry Byproduct Complex'!AG248</f>
        <v>11.186231930932186</v>
      </c>
      <c r="Q103" s="35">
        <f>'[7]Poultry Byproduct Complex'!AH248</f>
        <v>16.18708843135526</v>
      </c>
      <c r="R103" s="35">
        <f>'[7]Poultry Byproduct Complex'!AI248</f>
        <v>13.215581390226042</v>
      </c>
      <c r="S103" s="35">
        <f>'[7]Poultry Byproduct Complex'!AJ248</f>
        <v>10.954398128703961</v>
      </c>
      <c r="T103" s="35">
        <f>'[7]Poultry Byproduct Complex'!AK248</f>
        <v>14.058243982460764</v>
      </c>
      <c r="U103" s="35">
        <f>'[7]Poultry Byproduct Complex'!AL248</f>
        <v>12.51562719117703</v>
      </c>
      <c r="V103" s="35">
        <f>'[7]Poultry Byproduct Complex'!AM248</f>
        <v>12.973004553163767</v>
      </c>
      <c r="W103" s="35">
        <f>'[7]Poultry Byproduct Complex'!AN248</f>
        <v>13.299219348949578</v>
      </c>
      <c r="X103" s="35">
        <f>'[7]Poultry Byproduct Complex'!AO248</f>
        <v>12.553022741118081</v>
      </c>
      <c r="Y103" s="35">
        <f>'[7]Poultry Byproduct Complex'!AP248</f>
        <v>12.246372186976583</v>
      </c>
      <c r="Z103" s="35">
        <f>'[7]Poultry Byproduct Complex'!AQ248</f>
        <v>11.791235914475232</v>
      </c>
      <c r="AA103" s="35">
        <f>'[7]Poultry Byproduct Complex'!AR248</f>
        <v>9.9088783313918043</v>
      </c>
    </row>
    <row r="104" spans="1:27" x14ac:dyDescent="0.2">
      <c r="A104" s="61" t="s">
        <v>10</v>
      </c>
      <c r="B104" s="35">
        <f>'[7]Poultry Byproduct Complex'!S249</f>
        <v>16</v>
      </c>
      <c r="C104" s="35">
        <f>'[7]Poultry Byproduct Complex'!T249</f>
        <v>16</v>
      </c>
      <c r="D104" s="35">
        <f>'[7]Poultry Byproduct Complex'!U249</f>
        <v>20</v>
      </c>
      <c r="E104" s="35">
        <f>'[7]Poultry Byproduct Complex'!V249</f>
        <v>23</v>
      </c>
      <c r="F104" s="35">
        <f>'[7]Poultry Byproduct Complex'!W249</f>
        <v>14</v>
      </c>
      <c r="G104" s="35">
        <f>'[7]Poultry Byproduct Complex'!X249</f>
        <v>20.41</v>
      </c>
      <c r="H104" s="35">
        <f>'[7]Poultry Byproduct Complex'!Y249</f>
        <v>12.64</v>
      </c>
      <c r="I104" s="35">
        <f>'[7]Poultry Byproduct Complex'!Z249</f>
        <v>8.31</v>
      </c>
      <c r="J104" s="35">
        <f>'[7]Poultry Byproduct Complex'!AA249</f>
        <v>19.079999999999998</v>
      </c>
      <c r="K104" s="35">
        <f>'[7]Poultry Byproduct Complex'!AB249</f>
        <v>8.5299999999999994</v>
      </c>
      <c r="L104" s="35">
        <f>'[7]Poultry Byproduct Complex'!AC249</f>
        <v>31.837</v>
      </c>
      <c r="M104" s="35">
        <f>'[7]Poultry Byproduct Complex'!AD249</f>
        <v>7.7839089713121261</v>
      </c>
      <c r="N104" s="35">
        <f>'[7]Poultry Byproduct Complex'!AE249</f>
        <v>7.8819898722625243</v>
      </c>
      <c r="O104" s="35">
        <f>'[7]Poultry Byproduct Complex'!AF249</f>
        <v>18.369841190357018</v>
      </c>
      <c r="P104" s="35">
        <f>'[7]Poultry Byproduct Complex'!AG249</f>
        <v>9.2415305284072531</v>
      </c>
      <c r="Q104" s="35">
        <f>'[7]Poultry Byproduct Complex'!AH249</f>
        <v>13.495604731661501</v>
      </c>
      <c r="R104" s="35">
        <f>'[7]Poultry Byproduct Complex'!AI249</f>
        <v>10.695639497318554</v>
      </c>
      <c r="S104" s="35">
        <f>'[7]Poultry Byproduct Complex'!AJ249</f>
        <v>9.1228460089417869</v>
      </c>
      <c r="T104" s="35">
        <f>'[7]Poultry Byproduct Complex'!AK249</f>
        <v>10.975301481922109</v>
      </c>
      <c r="U104" s="35">
        <f>'[7]Poultry Byproduct Complex'!AL249</f>
        <v>10.19319477618912</v>
      </c>
      <c r="V104" s="35">
        <f>'[7]Poultry Byproduct Complex'!AM249</f>
        <v>10.56466908721195</v>
      </c>
      <c r="W104" s="35">
        <f>'[7]Poultry Byproduct Complex'!AN249</f>
        <v>10.771740991905622</v>
      </c>
      <c r="X104" s="35">
        <f>'[7]Poultry Byproduct Complex'!AO249</f>
        <v>10.16570994958122</v>
      </c>
      <c r="Y104" s="35">
        <f>'[7]Poultry Byproduct Complex'!AP249</f>
        <v>9.865349519060377</v>
      </c>
      <c r="Z104" s="35">
        <f>'[7]Poultry Byproduct Complex'!AQ249</f>
        <v>9.5608212730475888</v>
      </c>
      <c r="AA104" s="35">
        <f>'[7]Poultry Byproduct Complex'!AR249</f>
        <v>8.0276617848903609</v>
      </c>
    </row>
    <row r="105" spans="1:27" x14ac:dyDescent="0.2">
      <c r="A105" s="61" t="s">
        <v>11</v>
      </c>
      <c r="B105" s="35">
        <f>'[7]Poultry Byproduct Complex'!S250</f>
        <v>23</v>
      </c>
      <c r="C105" s="35">
        <f>'[7]Poultry Byproduct Complex'!T250</f>
        <v>14</v>
      </c>
      <c r="D105" s="35">
        <f>'[7]Poultry Byproduct Complex'!U250</f>
        <v>19</v>
      </c>
      <c r="E105" s="35">
        <f>'[7]Poultry Byproduct Complex'!V250</f>
        <v>17.78</v>
      </c>
      <c r="F105" s="35">
        <f>'[7]Poultry Byproduct Complex'!W250</f>
        <v>20</v>
      </c>
      <c r="G105" s="35">
        <f>'[7]Poultry Byproduct Complex'!X250</f>
        <v>17.46</v>
      </c>
      <c r="H105" s="35">
        <f>'[7]Poultry Byproduct Complex'!Y250</f>
        <v>15.21</v>
      </c>
      <c r="I105" s="35">
        <f>'[7]Poultry Byproduct Complex'!Z250</f>
        <v>9.51</v>
      </c>
      <c r="J105" s="35">
        <f>'[7]Poultry Byproduct Complex'!AA250</f>
        <v>15.52</v>
      </c>
      <c r="K105" s="35">
        <f>'[7]Poultry Byproduct Complex'!AB250</f>
        <v>7.2971325904147903</v>
      </c>
      <c r="L105" s="35">
        <f>'[7]Poultry Byproduct Complex'!AC250</f>
        <v>19.489000000000001</v>
      </c>
      <c r="M105" s="35">
        <f>'[7]Poultry Byproduct Complex'!AD250</f>
        <v>7.6405620942472385</v>
      </c>
      <c r="N105" s="35">
        <f>'[7]Poultry Byproduct Complex'!AE250</f>
        <v>9.3664648656530964</v>
      </c>
      <c r="O105" s="35">
        <f>'[7]Poultry Byproduct Complex'!AF250</f>
        <v>18.674778867115887</v>
      </c>
      <c r="P105" s="35">
        <f>'[7]Poultry Byproduct Complex'!AG250</f>
        <v>12.184285865948224</v>
      </c>
      <c r="Q105" s="35">
        <f>'[7]Poultry Byproduct Complex'!AH250</f>
        <v>12.057458411821838</v>
      </c>
      <c r="R105" s="35">
        <f>'[7]Poultry Byproduct Complex'!AI250</f>
        <v>11.137932044701694</v>
      </c>
      <c r="S105" s="35">
        <f>'[7]Poultry Byproduct Complex'!AJ250</f>
        <v>9.5651082039327378</v>
      </c>
      <c r="T105" s="35">
        <f>'[7]Poultry Byproduct Complex'!AK250</f>
        <v>11.382475768471249</v>
      </c>
      <c r="U105" s="35">
        <f>'[7]Poultry Byproduct Complex'!AL250</f>
        <v>10.703883362899379</v>
      </c>
      <c r="V105" s="35">
        <f>'[7]Poultry Byproduct Complex'!AM250</f>
        <v>10.666557836647916</v>
      </c>
      <c r="W105" s="35">
        <f>'[7]Poultry Byproduct Complex'!AN250</f>
        <v>11.172833945693332</v>
      </c>
      <c r="X105" s="35">
        <f>'[7]Poultry Byproduct Complex'!AO250</f>
        <v>10.537676920654507</v>
      </c>
      <c r="Y105" s="35">
        <f>'[7]Poultry Byproduct Complex'!AP250</f>
        <v>10.203502805731105</v>
      </c>
      <c r="Z105" s="35">
        <f>'[7]Poultry Byproduct Complex'!AQ250</f>
        <v>9.8838193068364699</v>
      </c>
      <c r="AA105" s="35">
        <f>'[7]Poultry Byproduct Complex'!AR250</f>
        <v>8.2750187019447665</v>
      </c>
    </row>
    <row r="106" spans="1:27" x14ac:dyDescent="0.2">
      <c r="A106" s="61" t="s">
        <v>12</v>
      </c>
      <c r="B106" s="35">
        <f>'[7]Poultry Byproduct Complex'!S251</f>
        <v>26</v>
      </c>
      <c r="C106" s="35">
        <f>'[7]Poultry Byproduct Complex'!T251</f>
        <v>20</v>
      </c>
      <c r="D106" s="35">
        <f>'[7]Poultry Byproduct Complex'!U251</f>
        <v>17</v>
      </c>
      <c r="E106" s="35">
        <f>'[7]Poultry Byproduct Complex'!V251</f>
        <v>21.67</v>
      </c>
      <c r="F106" s="35">
        <f>'[7]Poultry Byproduct Complex'!W251</f>
        <v>18</v>
      </c>
      <c r="G106" s="35">
        <f>'[7]Poultry Byproduct Complex'!X251</f>
        <v>20.59</v>
      </c>
      <c r="H106" s="35">
        <f>'[7]Poultry Byproduct Complex'!Y251</f>
        <v>17</v>
      </c>
      <c r="I106" s="35">
        <f>'[7]Poultry Byproduct Complex'!Z251</f>
        <v>11.67</v>
      </c>
      <c r="J106" s="35">
        <f>'[7]Poultry Byproduct Complex'!AA251</f>
        <v>17.57</v>
      </c>
      <c r="K106" s="35">
        <f>'[7]Poultry Byproduct Complex'!AB251</f>
        <v>9.5444244326531162</v>
      </c>
      <c r="L106" s="35">
        <f>'[7]Poultry Byproduct Complex'!AC251</f>
        <v>21.032</v>
      </c>
      <c r="M106" s="35">
        <f>'[7]Poultry Byproduct Complex'!AD251</f>
        <v>9.4493116801392887</v>
      </c>
      <c r="N106" s="35">
        <f>'[7]Poultry Byproduct Complex'!AE251</f>
        <v>6.8679904007033183</v>
      </c>
      <c r="O106" s="35">
        <f>'[7]Poultry Byproduct Complex'!AF251</f>
        <v>20.385783219984223</v>
      </c>
      <c r="P106" s="35">
        <f>'[7]Poultry Byproduct Complex'!AG251</f>
        <v>12.40917082096659</v>
      </c>
      <c r="Q106" s="35">
        <f>'[7]Poultry Byproduct Complex'!AH251</f>
        <v>12.532552040066204</v>
      </c>
      <c r="R106" s="35">
        <f>'[7]Poultry Byproduct Complex'!AI251</f>
        <v>11.438495907739108</v>
      </c>
      <c r="S106" s="35">
        <f>'[7]Poultry Byproduct Complex'!AJ251</f>
        <v>9.5368600344324683</v>
      </c>
      <c r="T106" s="35">
        <f>'[7]Poultry Byproduct Complex'!AK251</f>
        <v>11.723703035896836</v>
      </c>
      <c r="U106" s="35">
        <f>'[7]Poultry Byproduct Complex'!AL251</f>
        <v>10.931951566240857</v>
      </c>
      <c r="V106" s="35">
        <f>'[7]Poultry Byproduct Complex'!AM251</f>
        <v>10.91800457442627</v>
      </c>
      <c r="W106" s="35">
        <f>'[7]Poultry Byproduct Complex'!AN251</f>
        <v>11.398872023878656</v>
      </c>
      <c r="X106" s="35">
        <f>'[7]Poultry Byproduct Complex'!AO251</f>
        <v>10.734420634606948</v>
      </c>
      <c r="Y106" s="35">
        <f>'[7]Poultry Byproduct Complex'!AP251</f>
        <v>10.437807570154691</v>
      </c>
      <c r="Z106" s="35">
        <f>'[7]Poultry Byproduct Complex'!AQ251</f>
        <v>10.095718985334061</v>
      </c>
      <c r="AA106" s="35">
        <f>'[7]Poultry Byproduct Complex'!AR251</f>
        <v>8.4529222439153244</v>
      </c>
    </row>
    <row r="107" spans="1:27" x14ac:dyDescent="0.2">
      <c r="A107" s="61" t="s">
        <v>13</v>
      </c>
      <c r="B107" s="35">
        <f>'[7]Poultry Byproduct Complex'!S252</f>
        <v>34</v>
      </c>
      <c r="C107" s="35">
        <f>'[7]Poultry Byproduct Complex'!T252</f>
        <v>21</v>
      </c>
      <c r="D107" s="35">
        <f>'[7]Poultry Byproduct Complex'!U252</f>
        <v>17</v>
      </c>
      <c r="E107" s="35">
        <f>'[7]Poultry Byproduct Complex'!V252</f>
        <v>15.43</v>
      </c>
      <c r="F107" s="35">
        <f>'[7]Poultry Byproduct Complex'!W252</f>
        <v>21</v>
      </c>
      <c r="G107" s="35">
        <f>'[7]Poultry Byproduct Complex'!X252</f>
        <v>26.83</v>
      </c>
      <c r="H107" s="35">
        <f>'[7]Poultry Byproduct Complex'!Y252</f>
        <v>18.13</v>
      </c>
      <c r="I107" s="35">
        <f>'[7]Poultry Byproduct Complex'!Z252</f>
        <v>19.25</v>
      </c>
      <c r="J107" s="35">
        <f>'[7]Poultry Byproduct Complex'!AA252</f>
        <v>15.52</v>
      </c>
      <c r="K107" s="35">
        <f>'[7]Poultry Byproduct Complex'!AB252</f>
        <v>22.863427142127684</v>
      </c>
      <c r="L107" s="35">
        <f>'[7]Poultry Byproduct Complex'!AC252</f>
        <v>18.109000000000002</v>
      </c>
      <c r="M107" s="35">
        <f>'[7]Poultry Byproduct Complex'!AD252</f>
        <v>10.949932258344866</v>
      </c>
      <c r="N107" s="35">
        <f>'[7]Poultry Byproduct Complex'!AE252</f>
        <v>13.37347180378473</v>
      </c>
      <c r="O107" s="35">
        <f>'[7]Poultry Byproduct Complex'!AF252</f>
        <v>22.050831728015009</v>
      </c>
      <c r="P107" s="35">
        <f>'[7]Poultry Byproduct Complex'!AG252</f>
        <v>16.969755690647993</v>
      </c>
      <c r="Q107" s="35">
        <f>'[7]Poultry Byproduct Complex'!AH252</f>
        <v>14.602564853437045</v>
      </c>
      <c r="R107" s="35">
        <f>'[7]Poultry Byproduct Complex'!AI252</f>
        <v>14.369874537528766</v>
      </c>
      <c r="S107" s="35">
        <f>'[7]Poultry Byproduct Complex'!AJ252</f>
        <v>12.105789612648694</v>
      </c>
      <c r="T107" s="35">
        <f>'[7]Poultry Byproduct Complex'!AK252</f>
        <v>14.208149363127417</v>
      </c>
      <c r="U107" s="35">
        <f>'[7]Poultry Byproduct Complex'!AL252</f>
        <v>13.700986310483849</v>
      </c>
      <c r="V107" s="35">
        <f>'[7]Poultry Byproduct Complex'!AM252</f>
        <v>13.429304192510191</v>
      </c>
      <c r="W107" s="35">
        <f>'[7]Poultry Byproduct Complex'!AN252</f>
        <v>14.175448260249036</v>
      </c>
      <c r="X107" s="35">
        <f>'[7]Poultry Byproduct Complex'!AO252</f>
        <v>13.324956510762949</v>
      </c>
      <c r="Y107" s="35">
        <f>'[7]Poultry Byproduct Complex'!AP252</f>
        <v>12.896429842048372</v>
      </c>
      <c r="Z107" s="35">
        <f>'[7]Poultry Byproduct Complex'!AQ252</f>
        <v>12.525503593026972</v>
      </c>
      <c r="AA107" s="35">
        <f>'[7]Poultry Byproduct Complex'!AR252</f>
        <v>10.466321570215136</v>
      </c>
    </row>
    <row r="108" spans="1:27" x14ac:dyDescent="0.2">
      <c r="A108" s="61" t="s">
        <v>14</v>
      </c>
      <c r="B108" s="35">
        <f>'[7]Poultry Byproduct Complex'!S253</f>
        <v>20</v>
      </c>
      <c r="C108" s="35">
        <f>'[7]Poultry Byproduct Complex'!T253</f>
        <v>19</v>
      </c>
      <c r="D108" s="35">
        <f>'[7]Poultry Byproduct Complex'!U253</f>
        <v>14</v>
      </c>
      <c r="E108" s="35">
        <f>'[7]Poultry Byproduct Complex'!V253</f>
        <v>17.54</v>
      </c>
      <c r="F108" s="35">
        <f>'[7]Poultry Byproduct Complex'!W253</f>
        <v>23</v>
      </c>
      <c r="G108" s="35">
        <f>'[7]Poultry Byproduct Complex'!X253</f>
        <v>21.03</v>
      </c>
      <c r="H108" s="35">
        <f>'[7]Poultry Byproduct Complex'!Y253</f>
        <v>13.09</v>
      </c>
      <c r="I108" s="35">
        <f>'[7]Poultry Byproduct Complex'!Z253</f>
        <v>16.55</v>
      </c>
      <c r="J108" s="35">
        <f>'[7]Poultry Byproduct Complex'!AA253</f>
        <v>10.51</v>
      </c>
      <c r="K108" s="35">
        <f>'[7]Poultry Byproduct Complex'!AB253</f>
        <v>22.84</v>
      </c>
      <c r="L108" s="35">
        <f>'[7]Poultry Byproduct Complex'!AC253</f>
        <v>17.348973118689422</v>
      </c>
      <c r="M108" s="35">
        <f>'[7]Poultry Byproduct Complex'!AD253</f>
        <v>12.499562364605062</v>
      </c>
      <c r="N108" s="35">
        <f>'[7]Poultry Byproduct Complex'!AE253</f>
        <v>14.148829436907954</v>
      </c>
      <c r="O108" s="35">
        <f>'[7]Poultry Byproduct Complex'!AF253</f>
        <v>23.073462483975153</v>
      </c>
      <c r="P108" s="35">
        <f>'[7]Poultry Byproduct Complex'!AG253</f>
        <v>17.203593915142502</v>
      </c>
      <c r="Q108" s="35">
        <f>'[7]Poultry Byproduct Complex'!AH253</f>
        <v>15.030862402204335</v>
      </c>
      <c r="R108" s="35">
        <f>'[7]Poultry Byproduct Complex'!AI253</f>
        <v>15.091546648830613</v>
      </c>
      <c r="S108" s="35">
        <f>'[7]Poultry Byproduct Complex'!AJ253</f>
        <v>12.596513495765413</v>
      </c>
      <c r="T108" s="35">
        <f>'[7]Poultry Byproduct Complex'!AK253</f>
        <v>15.086568601064444</v>
      </c>
      <c r="U108" s="35">
        <f>'[7]Poultry Byproduct Complex'!AL253</f>
        <v>14.224705762398962</v>
      </c>
      <c r="V108" s="35">
        <f>'[7]Poultry Byproduct Complex'!AM253</f>
        <v>14.014886709752894</v>
      </c>
      <c r="W108" s="35">
        <f>'[7]Poultry Byproduct Complex'!AN253</f>
        <v>14.837344729718675</v>
      </c>
      <c r="X108" s="35">
        <f>'[7]Poultry Byproduct Complex'!AO253</f>
        <v>13.939602785689589</v>
      </c>
      <c r="Y108" s="35">
        <f>'[7]Poultry Byproduct Complex'!AP253</f>
        <v>13.508525402299592</v>
      </c>
      <c r="Z108" s="35">
        <f>'[7]Poultry Byproduct Complex'!AQ253</f>
        <v>13.083134987771023</v>
      </c>
      <c r="AA108" s="35">
        <f>'[7]Poultry Byproduct Complex'!AR253</f>
        <v>10.946379816163127</v>
      </c>
    </row>
    <row r="109" spans="1:27" x14ac:dyDescent="0.2">
      <c r="A109" s="61" t="s">
        <v>15</v>
      </c>
      <c r="B109" s="35">
        <f>'[7]Poultry Byproduct Complex'!T242</f>
        <v>31</v>
      </c>
      <c r="C109" s="35">
        <f>'[7]Poultry Byproduct Complex'!U242</f>
        <v>14</v>
      </c>
      <c r="D109" s="35">
        <f>'[7]Poultry Byproduct Complex'!V242</f>
        <v>13</v>
      </c>
      <c r="E109" s="35">
        <f>'[7]Poultry Byproduct Complex'!W242</f>
        <v>12.46</v>
      </c>
      <c r="F109" s="35">
        <f>'[7]Poultry Byproduct Complex'!X242</f>
        <v>18</v>
      </c>
      <c r="G109" s="35">
        <f>'[7]Poultry Byproduct Complex'!Y242</f>
        <v>20.2</v>
      </c>
      <c r="H109" s="35">
        <f>'[7]Poultry Byproduct Complex'!Z242</f>
        <v>19.579999999999998</v>
      </c>
      <c r="I109" s="35">
        <f>'[7]Poultry Byproduct Complex'!AA242</f>
        <v>16.82</v>
      </c>
      <c r="J109" s="35">
        <f>'[7]Poultry Byproduct Complex'!AB242</f>
        <v>14.99</v>
      </c>
      <c r="K109" s="35">
        <f>'[7]Poultry Byproduct Complex'!AC242</f>
        <v>21</v>
      </c>
      <c r="L109" s="35">
        <f>'[7]Poultry Byproduct Complex'!AD242</f>
        <v>13.856086855318358</v>
      </c>
      <c r="M109" s="35">
        <f>'[7]Poultry Byproduct Complex'!AE242</f>
        <v>14.036830680131867</v>
      </c>
      <c r="N109" s="35">
        <f>'[7]Poultry Byproduct Complex'!AF242</f>
        <v>13.397368060732608</v>
      </c>
      <c r="O109" s="35">
        <f>'[7]Poultry Byproduct Complex'!AG242</f>
        <v>21.908444806482599</v>
      </c>
      <c r="P109" s="35">
        <f>'[7]Poultry Byproduct Complex'!AH242</f>
        <v>14.900730858933818</v>
      </c>
      <c r="Q109" s="35">
        <f>'[7]Poultry Byproduct Complex'!AI242</f>
        <v>13.985179204453871</v>
      </c>
      <c r="R109" s="35">
        <f>'[7]Poultry Byproduct Complex'!AJ242</f>
        <v>14.505011281650251</v>
      </c>
      <c r="S109" s="35">
        <f>'[7]Poultry Byproduct Complex'!AK242</f>
        <v>11.801217506738839</v>
      </c>
      <c r="T109" s="35">
        <f>'[7]Poultry Byproduct Complex'!AL242</f>
        <v>13.746525687674024</v>
      </c>
      <c r="U109" s="35">
        <f>'[7]Poultry Byproduct Complex'!AM242</f>
        <v>13.08527186204333</v>
      </c>
      <c r="V109" s="35">
        <f>'[7]Poultry Byproduct Complex'!AN242</f>
        <v>13.063378799257698</v>
      </c>
      <c r="W109" s="35">
        <f>'[7]Poultry Byproduct Complex'!AO242</f>
        <v>13.826249545200316</v>
      </c>
      <c r="X109" s="35">
        <f>'[7]Poultry Byproduct Complex'!AP242</f>
        <v>12.911143308052175</v>
      </c>
      <c r="Y109" s="35">
        <f>'[7]Poultry Byproduct Complex'!AQ242</f>
        <v>12.81308665438679</v>
      </c>
      <c r="Z109" s="35">
        <f>'[7]Poultry Byproduct Complex'!AR242</f>
        <v>12.188104544594934</v>
      </c>
      <c r="AA109" s="35">
        <f>'[7]Poultry Byproduct Complex'!AS242</f>
        <v>10.223027930155153</v>
      </c>
    </row>
    <row r="110" spans="1:27" x14ac:dyDescent="0.2">
      <c r="A110" s="61" t="s">
        <v>16</v>
      </c>
      <c r="B110" s="35">
        <f>'[7]Poultry Byproduct Complex'!T243</f>
        <v>13</v>
      </c>
      <c r="C110" s="35">
        <f>'[7]Poultry Byproduct Complex'!U243</f>
        <v>11</v>
      </c>
      <c r="D110" s="35">
        <f>'[7]Poultry Byproduct Complex'!V243</f>
        <v>11</v>
      </c>
      <c r="E110" s="35">
        <f>'[7]Poultry Byproduct Complex'!W243</f>
        <v>14.9</v>
      </c>
      <c r="F110" s="35">
        <f>'[7]Poultry Byproduct Complex'!X243</f>
        <v>17</v>
      </c>
      <c r="G110" s="35">
        <f>'[7]Poultry Byproduct Complex'!Y243</f>
        <v>20.21</v>
      </c>
      <c r="H110" s="35">
        <f>'[7]Poultry Byproduct Complex'!Z243</f>
        <v>23.51</v>
      </c>
      <c r="I110" s="35">
        <f>'[7]Poultry Byproduct Complex'!AA243</f>
        <v>12.69</v>
      </c>
      <c r="J110" s="35">
        <f>'[7]Poultry Byproduct Complex'!AB243</f>
        <v>12.42</v>
      </c>
      <c r="K110" s="35">
        <f>'[7]Poultry Byproduct Complex'!AC243</f>
        <v>14</v>
      </c>
      <c r="L110" s="35">
        <f>'[7]Poultry Byproduct Complex'!AD243</f>
        <v>15.474356610903197</v>
      </c>
      <c r="M110" s="35">
        <f>'[7]Poultry Byproduct Complex'!AE243</f>
        <v>16.366640745613111</v>
      </c>
      <c r="N110" s="35">
        <f>'[7]Poultry Byproduct Complex'!AF243</f>
        <v>17.847896514098561</v>
      </c>
      <c r="O110" s="35">
        <f>'[7]Poultry Byproduct Complex'!AG243</f>
        <v>19.237162671071015</v>
      </c>
      <c r="P110" s="35">
        <f>'[7]Poultry Byproduct Complex'!AH243</f>
        <v>15.368052922590573</v>
      </c>
      <c r="Q110" s="35">
        <f>'[7]Poultry Byproduct Complex'!AI243</f>
        <v>14.983434581159676</v>
      </c>
      <c r="R110" s="35">
        <f>'[7]Poultry Byproduct Complex'!AJ243</f>
        <v>15.436716026886806</v>
      </c>
      <c r="S110" s="35">
        <f>'[7]Poultry Byproduct Complex'!AK243</f>
        <v>12.372357066408526</v>
      </c>
      <c r="T110" s="35">
        <f>'[7]Poultry Byproduct Complex'!AL243</f>
        <v>13.853509914956829</v>
      </c>
      <c r="U110" s="35">
        <f>'[7]Poultry Byproduct Complex'!AM243</f>
        <v>13.671749568179004</v>
      </c>
      <c r="V110" s="35">
        <f>'[7]Poultry Byproduct Complex'!AN243</f>
        <v>13.674444672245723</v>
      </c>
      <c r="W110" s="35">
        <f>'[7]Poultry Byproduct Complex'!AO243</f>
        <v>14.410007871260763</v>
      </c>
      <c r="X110" s="35">
        <f>'[7]Poultry Byproduct Complex'!AP243</f>
        <v>13.401747600927882</v>
      </c>
      <c r="Y110" s="35">
        <f>'[7]Poultry Byproduct Complex'!AQ243</f>
        <v>13.270734573183534</v>
      </c>
      <c r="Z110" s="35">
        <f>'[7]Poultry Byproduct Complex'!AR243</f>
        <v>12.695501809054006</v>
      </c>
      <c r="AA110" s="35">
        <f>'[7]Poultry Byproduct Complex'!AS243</f>
        <v>10.643125795940016</v>
      </c>
    </row>
    <row r="111" spans="1:27" x14ac:dyDescent="0.2">
      <c r="A111" s="61" t="s">
        <v>17</v>
      </c>
      <c r="B111" s="35">
        <f>'[7]Poultry Byproduct Complex'!T244</f>
        <v>15</v>
      </c>
      <c r="C111" s="35">
        <f>'[7]Poultry Byproduct Complex'!U244</f>
        <v>9</v>
      </c>
      <c r="D111" s="35">
        <f>'[7]Poultry Byproduct Complex'!V244</f>
        <v>11</v>
      </c>
      <c r="E111" s="35">
        <f>'[7]Poultry Byproduct Complex'!W244</f>
        <v>11.83</v>
      </c>
      <c r="F111" s="35">
        <f>'[7]Poultry Byproduct Complex'!X244</f>
        <v>15</v>
      </c>
      <c r="G111" s="35">
        <f>'[7]Poultry Byproduct Complex'!Y244</f>
        <v>17.079999999999998</v>
      </c>
      <c r="H111" s="35">
        <f>'[7]Poultry Byproduct Complex'!Z244</f>
        <v>12.53</v>
      </c>
      <c r="I111" s="35">
        <f>'[7]Poultry Byproduct Complex'!AA244</f>
        <v>9.93</v>
      </c>
      <c r="J111" s="35">
        <f>'[7]Poultry Byproduct Complex'!AB244</f>
        <v>10.82</v>
      </c>
      <c r="K111" s="35">
        <f>'[7]Poultry Byproduct Complex'!AC244</f>
        <v>7</v>
      </c>
      <c r="L111" s="35">
        <f>'[7]Poultry Byproduct Complex'!AD244</f>
        <v>18.657485713200082</v>
      </c>
      <c r="M111" s="35">
        <f>'[7]Poultry Byproduct Complex'!AE244</f>
        <v>15.954255006775046</v>
      </c>
      <c r="N111" s="35">
        <f>'[7]Poultry Byproduct Complex'!AF244</f>
        <v>12.888400545977545</v>
      </c>
      <c r="O111" s="35">
        <f>'[7]Poultry Byproduct Complex'!AG244</f>
        <v>13.64741544633336</v>
      </c>
      <c r="P111" s="35">
        <f>'[7]Poultry Byproduct Complex'!AH244</f>
        <v>23.633255679763931</v>
      </c>
      <c r="Q111" s="35">
        <f>'[7]Poultry Byproduct Complex'!AI244</f>
        <v>13.544145211299982</v>
      </c>
      <c r="R111" s="35">
        <f>'[7]Poultry Byproduct Complex'!AJ244</f>
        <v>14.924307272079021</v>
      </c>
      <c r="S111" s="35">
        <f>'[7]Poultry Byproduct Complex'!AK244</f>
        <v>11.871234502191745</v>
      </c>
      <c r="T111" s="35">
        <f>'[7]Poultry Byproduct Complex'!AL244</f>
        <v>14.027285127221568</v>
      </c>
      <c r="U111" s="35">
        <f>'[7]Poultry Byproduct Complex'!AM244</f>
        <v>14.843467460589045</v>
      </c>
      <c r="V111" s="35">
        <f>'[7]Poultry Byproduct Complex'!AN244</f>
        <v>13.460300657503662</v>
      </c>
      <c r="W111" s="35">
        <f>'[7]Poultry Byproduct Complex'!AO244</f>
        <v>14.418856336180362</v>
      </c>
      <c r="X111" s="35">
        <f>'[7]Poultry Byproduct Complex'!AP244</f>
        <v>11.749555433163563</v>
      </c>
      <c r="Y111" s="35">
        <f>'[7]Poultry Byproduct Complex'!AQ244</f>
        <v>12.531106852712284</v>
      </c>
      <c r="Z111" s="35">
        <f>'[7]Poultry Byproduct Complex'!AR244</f>
        <v>11.876850877597084</v>
      </c>
      <c r="AA111" s="35">
        <f>'[7]Poultry Byproduct Complex'!AS244</f>
        <v>10.092124885842606</v>
      </c>
    </row>
    <row r="112" spans="1:27" x14ac:dyDescent="0.2">
      <c r="A112" s="64" t="s">
        <v>18</v>
      </c>
      <c r="B112" s="65">
        <f>SUM(B100:B111)</f>
        <v>240</v>
      </c>
      <c r="C112" s="65">
        <f t="shared" ref="C112:AA112" si="15">SUM(C100:C111)</f>
        <v>176</v>
      </c>
      <c r="D112" s="65">
        <f t="shared" si="15"/>
        <v>161</v>
      </c>
      <c r="E112" s="65">
        <f t="shared" si="15"/>
        <v>172.61</v>
      </c>
      <c r="F112" s="65">
        <f t="shared" si="15"/>
        <v>190</v>
      </c>
      <c r="G112" s="65">
        <f t="shared" si="15"/>
        <v>219.66999999999996</v>
      </c>
      <c r="H112" s="65">
        <f t="shared" si="15"/>
        <v>174.96</v>
      </c>
      <c r="I112" s="65">
        <f t="shared" si="15"/>
        <v>129.72309082031251</v>
      </c>
      <c r="J112" s="65">
        <f t="shared" si="15"/>
        <v>163.00166666666669</v>
      </c>
      <c r="K112" s="65">
        <f t="shared" si="15"/>
        <v>167.94402829629274</v>
      </c>
      <c r="L112" s="65">
        <f t="shared" si="15"/>
        <v>303.16090229811107</v>
      </c>
      <c r="M112" s="65">
        <f t="shared" si="15"/>
        <v>145.69281408422782</v>
      </c>
      <c r="N112" s="66">
        <f t="shared" si="15"/>
        <v>131.87233974083549</v>
      </c>
      <c r="O112" s="66">
        <f t="shared" si="15"/>
        <v>225.57563751432505</v>
      </c>
      <c r="P112" s="66">
        <f t="shared" si="15"/>
        <v>173.89319573511378</v>
      </c>
      <c r="Q112" s="66">
        <f t="shared" si="15"/>
        <v>172.23681769914941</v>
      </c>
      <c r="R112" s="66">
        <f t="shared" si="15"/>
        <v>159.46468435076969</v>
      </c>
      <c r="S112" s="66">
        <f t="shared" si="15"/>
        <v>131.10095501357239</v>
      </c>
      <c r="T112" s="66">
        <f t="shared" si="15"/>
        <v>156.06516309357278</v>
      </c>
      <c r="U112" s="66">
        <f t="shared" si="15"/>
        <v>150.89319744538508</v>
      </c>
      <c r="V112" s="66">
        <f t="shared" si="15"/>
        <v>149.57992795992573</v>
      </c>
      <c r="W112" s="66">
        <f t="shared" si="15"/>
        <v>156.02343970607649</v>
      </c>
      <c r="X112" s="66">
        <f t="shared" si="15"/>
        <v>147.76017463329475</v>
      </c>
      <c r="Y112" s="66">
        <f t="shared" si="15"/>
        <v>143.86143745923908</v>
      </c>
      <c r="Z112" s="66">
        <f t="shared" si="15"/>
        <v>139.11133015047469</v>
      </c>
      <c r="AA112" s="66">
        <f t="shared" si="15"/>
        <v>116.04464554537718</v>
      </c>
    </row>
    <row r="114" spans="1:30" ht="12" thickBot="1" x14ac:dyDescent="0.25">
      <c r="A114" s="61" t="s">
        <v>47</v>
      </c>
    </row>
    <row r="115" spans="1:30" ht="12.75" thickTop="1" thickBot="1" x14ac:dyDescent="0.25">
      <c r="A115" s="62"/>
      <c r="B115" s="63">
        <f>B3</f>
        <v>2011</v>
      </c>
      <c r="C115" s="63">
        <f t="shared" ref="C115:AA115" si="16">C3</f>
        <v>2012</v>
      </c>
      <c r="D115" s="63">
        <f t="shared" si="16"/>
        <v>2013</v>
      </c>
      <c r="E115" s="63">
        <f t="shared" si="16"/>
        <v>2014</v>
      </c>
      <c r="F115" s="63">
        <f t="shared" si="16"/>
        <v>2015</v>
      </c>
      <c r="G115" s="63">
        <f t="shared" si="16"/>
        <v>2016</v>
      </c>
      <c r="H115" s="63">
        <f t="shared" si="16"/>
        <v>2017</v>
      </c>
      <c r="I115" s="63">
        <f t="shared" si="16"/>
        <v>2018</v>
      </c>
      <c r="J115" s="63">
        <f t="shared" si="16"/>
        <v>2019</v>
      </c>
      <c r="K115" s="63">
        <f t="shared" si="16"/>
        <v>2020</v>
      </c>
      <c r="L115" s="63">
        <f t="shared" si="16"/>
        <v>2021</v>
      </c>
      <c r="M115" s="63">
        <f t="shared" si="16"/>
        <v>2022</v>
      </c>
      <c r="N115" s="63">
        <f t="shared" si="16"/>
        <v>2023</v>
      </c>
      <c r="O115" s="63">
        <f t="shared" si="16"/>
        <v>2024</v>
      </c>
      <c r="P115" s="63">
        <f t="shared" si="16"/>
        <v>2025</v>
      </c>
      <c r="Q115" s="63">
        <f t="shared" si="16"/>
        <v>2026</v>
      </c>
      <c r="R115" s="63">
        <f t="shared" si="16"/>
        <v>2027</v>
      </c>
      <c r="S115" s="63">
        <f t="shared" si="16"/>
        <v>2028</v>
      </c>
      <c r="T115" s="63">
        <f t="shared" si="16"/>
        <v>2029</v>
      </c>
      <c r="U115" s="63">
        <f t="shared" si="16"/>
        <v>2030</v>
      </c>
      <c r="V115" s="63">
        <f t="shared" si="16"/>
        <v>2031</v>
      </c>
      <c r="W115" s="63">
        <f t="shared" si="16"/>
        <v>2032</v>
      </c>
      <c r="X115" s="63">
        <f t="shared" si="16"/>
        <v>2033</v>
      </c>
      <c r="Y115" s="63">
        <f t="shared" si="16"/>
        <v>2034</v>
      </c>
      <c r="Z115" s="63">
        <f t="shared" si="16"/>
        <v>2035</v>
      </c>
      <c r="AA115" s="63">
        <f t="shared" si="16"/>
        <v>2036</v>
      </c>
      <c r="AD115" s="61" t="s">
        <v>48</v>
      </c>
    </row>
    <row r="116" spans="1:30" ht="12" thickTop="1" x14ac:dyDescent="0.2">
      <c r="A116" s="61" t="s">
        <v>6</v>
      </c>
      <c r="B116" s="85">
        <f t="shared" ref="B116:AA125" si="17">B4/SUM(B4,B20,B36,B52,B68,B84,B100)</f>
        <v>0.58139534883720934</v>
      </c>
      <c r="C116" s="85">
        <f t="shared" si="17"/>
        <v>0.53148074915222188</v>
      </c>
      <c r="D116" s="85">
        <f t="shared" si="17"/>
        <v>0.59411055338811203</v>
      </c>
      <c r="E116" s="85">
        <f t="shared" si="17"/>
        <v>0.46680259394585261</v>
      </c>
      <c r="F116" s="85">
        <f t="shared" si="17"/>
        <v>0.50381217029468939</v>
      </c>
      <c r="G116" s="85">
        <f t="shared" si="17"/>
        <v>0.5102222859558162</v>
      </c>
      <c r="H116" s="85">
        <f t="shared" si="17"/>
        <v>0.49259578357615313</v>
      </c>
      <c r="I116" s="85">
        <f t="shared" si="17"/>
        <v>0.46225327731612714</v>
      </c>
      <c r="J116" s="85">
        <f t="shared" si="17"/>
        <v>0.51931857800473002</v>
      </c>
      <c r="K116" s="85">
        <f t="shared" si="17"/>
        <v>0.4766880453007139</v>
      </c>
      <c r="L116" s="85">
        <f t="shared" si="17"/>
        <v>0.40480900593760166</v>
      </c>
      <c r="M116" s="85">
        <f t="shared" si="17"/>
        <v>0.37901144050421098</v>
      </c>
      <c r="N116" s="85">
        <f t="shared" si="17"/>
        <v>0.3436320548447282</v>
      </c>
      <c r="O116" s="86">
        <f t="shared" si="17"/>
        <v>0.32970108124909847</v>
      </c>
      <c r="P116" s="86">
        <f t="shared" si="17"/>
        <v>0.2910110683532432</v>
      </c>
      <c r="Q116" s="86">
        <f t="shared" si="17"/>
        <v>0.28262944470587742</v>
      </c>
      <c r="R116" s="86">
        <f t="shared" si="17"/>
        <v>0.30929738054590739</v>
      </c>
      <c r="S116" s="86">
        <f t="shared" si="17"/>
        <v>0.26299935937023822</v>
      </c>
      <c r="T116" s="86">
        <f t="shared" si="17"/>
        <v>0.28450472252787556</v>
      </c>
      <c r="U116" s="86">
        <f t="shared" si="17"/>
        <v>0.21535795015298234</v>
      </c>
      <c r="V116" s="86">
        <f t="shared" si="17"/>
        <v>0.21178622279979833</v>
      </c>
      <c r="W116" s="86">
        <f t="shared" si="17"/>
        <v>0.19059050865924679</v>
      </c>
      <c r="X116" s="86">
        <f t="shared" si="17"/>
        <v>0.13854758388248078</v>
      </c>
      <c r="Y116" s="86">
        <f t="shared" si="17"/>
        <v>0.18808097573039598</v>
      </c>
      <c r="Z116" s="86">
        <f t="shared" si="17"/>
        <v>0.18697306897924942</v>
      </c>
      <c r="AA116" s="86">
        <f t="shared" si="17"/>
        <v>0.17788519659811797</v>
      </c>
      <c r="AD116" s="85">
        <f t="shared" ref="AD116:AD127" si="18">AVERAGE(I116:M116)</f>
        <v>0.44841606941267675</v>
      </c>
    </row>
    <row r="117" spans="1:30" x14ac:dyDescent="0.2">
      <c r="A117" s="61" t="s">
        <v>7</v>
      </c>
      <c r="B117" s="85">
        <f t="shared" si="17"/>
        <v>0.51635111876075734</v>
      </c>
      <c r="C117" s="85">
        <f t="shared" si="17"/>
        <v>0.5469107320117117</v>
      </c>
      <c r="D117" s="85">
        <f t="shared" si="17"/>
        <v>0.52601439546043516</v>
      </c>
      <c r="E117" s="85">
        <f t="shared" si="17"/>
        <v>0.4682001394304609</v>
      </c>
      <c r="F117" s="85">
        <f t="shared" si="17"/>
        <v>0.51489384256861703</v>
      </c>
      <c r="G117" s="85">
        <f t="shared" si="17"/>
        <v>0.53839293039457881</v>
      </c>
      <c r="H117" s="85">
        <f t="shared" si="17"/>
        <v>0.46104292411540615</v>
      </c>
      <c r="I117" s="85">
        <f t="shared" si="17"/>
        <v>0.48115248141786221</v>
      </c>
      <c r="J117" s="85">
        <f t="shared" si="17"/>
        <v>0.5175240050060218</v>
      </c>
      <c r="K117" s="85">
        <f t="shared" si="17"/>
        <v>0.55165241054492731</v>
      </c>
      <c r="L117" s="85">
        <f t="shared" si="17"/>
        <v>0.42740612276094214</v>
      </c>
      <c r="M117" s="85">
        <f t="shared" si="17"/>
        <v>0.34244378350599164</v>
      </c>
      <c r="N117" s="85">
        <f t="shared" si="17"/>
        <v>0.35348718574439886</v>
      </c>
      <c r="O117" s="86">
        <f t="shared" si="17"/>
        <v>0.3109889508897925</v>
      </c>
      <c r="P117" s="86">
        <f t="shared" si="17"/>
        <v>0.3047070726620022</v>
      </c>
      <c r="Q117" s="86">
        <f t="shared" si="17"/>
        <v>0.23225252091145177</v>
      </c>
      <c r="R117" s="86">
        <f t="shared" si="17"/>
        <v>0.20830374808673527</v>
      </c>
      <c r="S117" s="86">
        <f t="shared" si="17"/>
        <v>0.18289562420123154</v>
      </c>
      <c r="T117" s="86">
        <f t="shared" si="17"/>
        <v>0.15710139551156987</v>
      </c>
      <c r="U117" s="86">
        <f t="shared" si="17"/>
        <v>0.1278209232723824</v>
      </c>
      <c r="V117" s="86">
        <f t="shared" si="17"/>
        <v>0.1196627942702017</v>
      </c>
      <c r="W117" s="86">
        <f t="shared" si="17"/>
        <v>0.10439596940521402</v>
      </c>
      <c r="X117" s="86">
        <f t="shared" si="17"/>
        <v>6.1370001707063478E-2</v>
      </c>
      <c r="Y117" s="86">
        <f t="shared" si="17"/>
        <v>8.9039711308079944E-2</v>
      </c>
      <c r="Z117" s="86">
        <f t="shared" si="17"/>
        <v>8.5438226530016703E-2</v>
      </c>
      <c r="AA117" s="86">
        <f t="shared" si="17"/>
        <v>8.7975252941146359E-2</v>
      </c>
      <c r="AD117" s="85">
        <f t="shared" si="18"/>
        <v>0.46403576064714896</v>
      </c>
    </row>
    <row r="118" spans="1:30" x14ac:dyDescent="0.2">
      <c r="A118" s="61" t="s">
        <v>8</v>
      </c>
      <c r="B118" s="85">
        <f t="shared" si="17"/>
        <v>0.44444444444444442</v>
      </c>
      <c r="C118" s="85">
        <f t="shared" si="17"/>
        <v>0.52636150405844173</v>
      </c>
      <c r="D118" s="85">
        <f t="shared" si="17"/>
        <v>0.57407509444462901</v>
      </c>
      <c r="E118" s="85">
        <f t="shared" si="17"/>
        <v>0.48166644726024166</v>
      </c>
      <c r="F118" s="85">
        <f t="shared" si="17"/>
        <v>0.4779183183533055</v>
      </c>
      <c r="G118" s="85">
        <f t="shared" si="17"/>
        <v>0.54111819957497032</v>
      </c>
      <c r="H118" s="85">
        <f t="shared" si="17"/>
        <v>0.39332205047245683</v>
      </c>
      <c r="I118" s="85">
        <f t="shared" si="17"/>
        <v>0.51516600005357971</v>
      </c>
      <c r="J118" s="85">
        <f t="shared" si="17"/>
        <v>0.52878846056080464</v>
      </c>
      <c r="K118" s="85">
        <f t="shared" si="17"/>
        <v>0.54630201419701241</v>
      </c>
      <c r="L118" s="85">
        <f t="shared" si="17"/>
        <v>0.48979461214070069</v>
      </c>
      <c r="M118" s="85">
        <f t="shared" si="17"/>
        <v>0.38595313102818163</v>
      </c>
      <c r="N118" s="85">
        <f t="shared" si="17"/>
        <v>0.27573159872002312</v>
      </c>
      <c r="O118" s="86">
        <f t="shared" si="17"/>
        <v>0.33474335212010137</v>
      </c>
      <c r="P118" s="86">
        <f t="shared" si="17"/>
        <v>0.28939891472146106</v>
      </c>
      <c r="Q118" s="86">
        <f t="shared" si="17"/>
        <v>0.24592101141221989</v>
      </c>
      <c r="R118" s="86">
        <f t="shared" si="17"/>
        <v>0.23057558502104519</v>
      </c>
      <c r="S118" s="86">
        <f t="shared" si="17"/>
        <v>0.21617719576351344</v>
      </c>
      <c r="T118" s="86">
        <f t="shared" si="17"/>
        <v>0.19101334127530403</v>
      </c>
      <c r="U118" s="86">
        <f t="shared" si="17"/>
        <v>0.16411415403184604</v>
      </c>
      <c r="V118" s="86">
        <f t="shared" si="17"/>
        <v>0.1590648467388365</v>
      </c>
      <c r="W118" s="86">
        <f t="shared" si="17"/>
        <v>0.14308382288422877</v>
      </c>
      <c r="X118" s="86">
        <f t="shared" si="17"/>
        <v>8.6319675770317475E-2</v>
      </c>
      <c r="Y118" s="86">
        <f t="shared" si="17"/>
        <v>0.12554159572181742</v>
      </c>
      <c r="Z118" s="86">
        <f t="shared" si="17"/>
        <v>0.12129083005351984</v>
      </c>
      <c r="AA118" s="86">
        <f t="shared" si="17"/>
        <v>0.12163683829049127</v>
      </c>
      <c r="AD118" s="85">
        <f t="shared" si="18"/>
        <v>0.49320084359605582</v>
      </c>
    </row>
    <row r="119" spans="1:30" x14ac:dyDescent="0.2">
      <c r="A119" s="61" t="s">
        <v>9</v>
      </c>
      <c r="B119" s="85">
        <f t="shared" si="17"/>
        <v>0.43784786641929502</v>
      </c>
      <c r="C119" s="85">
        <f t="shared" si="17"/>
        <v>0.47980851608126684</v>
      </c>
      <c r="D119" s="85">
        <f t="shared" si="17"/>
        <v>0.53511052768713085</v>
      </c>
      <c r="E119" s="85">
        <f t="shared" si="17"/>
        <v>0.47495979702992913</v>
      </c>
      <c r="F119" s="85">
        <f t="shared" si="17"/>
        <v>0.44045808349019022</v>
      </c>
      <c r="G119" s="85">
        <f t="shared" si="17"/>
        <v>0.47344678777669974</v>
      </c>
      <c r="H119" s="85">
        <f t="shared" si="17"/>
        <v>0.40794044366070842</v>
      </c>
      <c r="I119" s="85">
        <f t="shared" si="17"/>
        <v>0.44098368497250473</v>
      </c>
      <c r="J119" s="85">
        <f t="shared" si="17"/>
        <v>0.50190897644576205</v>
      </c>
      <c r="K119" s="85">
        <f t="shared" si="17"/>
        <v>0.60782461692485512</v>
      </c>
      <c r="L119" s="85">
        <f t="shared" si="17"/>
        <v>0.45741979905361163</v>
      </c>
      <c r="M119" s="85">
        <f t="shared" si="17"/>
        <v>0.35619794727368187</v>
      </c>
      <c r="N119" s="85">
        <f t="shared" si="17"/>
        <v>0.29110781620909298</v>
      </c>
      <c r="O119" s="86">
        <f t="shared" si="17"/>
        <v>0.23125483223085072</v>
      </c>
      <c r="P119" s="86">
        <f t="shared" si="17"/>
        <v>0.29696773992396719</v>
      </c>
      <c r="Q119" s="86">
        <f t="shared" si="17"/>
        <v>0.24116807764426254</v>
      </c>
      <c r="R119" s="86">
        <f t="shared" si="17"/>
        <v>0.21304935009068185</v>
      </c>
      <c r="S119" s="86">
        <f t="shared" si="17"/>
        <v>0.19473335471575953</v>
      </c>
      <c r="T119" s="86">
        <f t="shared" si="17"/>
        <v>0.17770808279068973</v>
      </c>
      <c r="U119" s="86">
        <f t="shared" si="17"/>
        <v>0.15872958763323677</v>
      </c>
      <c r="V119" s="86">
        <f t="shared" si="17"/>
        <v>0.14138079190969469</v>
      </c>
      <c r="W119" s="86">
        <f t="shared" si="17"/>
        <v>0.12625783578887215</v>
      </c>
      <c r="X119" s="86">
        <f t="shared" si="17"/>
        <v>7.5542156696798063E-2</v>
      </c>
      <c r="Y119" s="86">
        <f t="shared" si="17"/>
        <v>0.11100085859561205</v>
      </c>
      <c r="Z119" s="86">
        <f t="shared" si="17"/>
        <v>0.10662187243583443</v>
      </c>
      <c r="AA119" s="86">
        <f t="shared" si="17"/>
        <v>0.10563738197338489</v>
      </c>
      <c r="AD119" s="85">
        <f t="shared" si="18"/>
        <v>0.47286700493408312</v>
      </c>
    </row>
    <row r="120" spans="1:30" x14ac:dyDescent="0.2">
      <c r="A120" s="61" t="s">
        <v>10</v>
      </c>
      <c r="B120" s="85">
        <f t="shared" si="17"/>
        <v>0.46437994722955145</v>
      </c>
      <c r="C120" s="85">
        <f t="shared" si="17"/>
        <v>0.54983902930420947</v>
      </c>
      <c r="D120" s="85">
        <f t="shared" si="17"/>
        <v>0.51725821761506097</v>
      </c>
      <c r="E120" s="85">
        <f t="shared" si="17"/>
        <v>0.42261643708336633</v>
      </c>
      <c r="F120" s="85">
        <f t="shared" si="17"/>
        <v>0.4845846693029795</v>
      </c>
      <c r="G120" s="85">
        <f t="shared" si="17"/>
        <v>0.53858831928082618</v>
      </c>
      <c r="H120" s="85">
        <f t="shared" si="17"/>
        <v>0.46983175009420192</v>
      </c>
      <c r="I120" s="85">
        <f t="shared" si="17"/>
        <v>0.46502094578338221</v>
      </c>
      <c r="J120" s="85">
        <f t="shared" si="17"/>
        <v>0.520490577279764</v>
      </c>
      <c r="K120" s="85">
        <f t="shared" si="17"/>
        <v>0.6778691074748624</v>
      </c>
      <c r="L120" s="85">
        <f t="shared" si="17"/>
        <v>0.47999958967183903</v>
      </c>
      <c r="M120" s="85">
        <f t="shared" si="17"/>
        <v>0.31535099570855019</v>
      </c>
      <c r="N120" s="85">
        <f t="shared" si="17"/>
        <v>0.27699008168117845</v>
      </c>
      <c r="O120" s="86">
        <f t="shared" si="17"/>
        <v>0.32437430937656037</v>
      </c>
      <c r="P120" s="86">
        <f t="shared" si="17"/>
        <v>0.30003057127016025</v>
      </c>
      <c r="Q120" s="86">
        <f t="shared" si="17"/>
        <v>0.24704002463813579</v>
      </c>
      <c r="R120" s="86">
        <f t="shared" si="17"/>
        <v>0.21688838869596</v>
      </c>
      <c r="S120" s="86">
        <f t="shared" si="17"/>
        <v>0.17521961799399735</v>
      </c>
      <c r="T120" s="86">
        <f t="shared" si="17"/>
        <v>0.17012838432141963</v>
      </c>
      <c r="U120" s="86">
        <f t="shared" si="17"/>
        <v>0.14989260973384519</v>
      </c>
      <c r="V120" s="86">
        <f t="shared" si="17"/>
        <v>0.13262887574694235</v>
      </c>
      <c r="W120" s="86">
        <f t="shared" si="17"/>
        <v>0.11593800765748677</v>
      </c>
      <c r="X120" s="86">
        <f t="shared" si="17"/>
        <v>7.3946402538742906E-2</v>
      </c>
      <c r="Y120" s="86">
        <f t="shared" si="17"/>
        <v>0.10356224821247666</v>
      </c>
      <c r="Z120" s="86">
        <f t="shared" si="17"/>
        <v>9.9446857427465049E-2</v>
      </c>
      <c r="AA120" s="86">
        <f t="shared" si="17"/>
        <v>9.9491292415072208E-2</v>
      </c>
      <c r="AD120" s="85">
        <f t="shared" si="18"/>
        <v>0.4917462431836796</v>
      </c>
    </row>
    <row r="121" spans="1:30" x14ac:dyDescent="0.2">
      <c r="A121" s="61" t="s">
        <v>11</v>
      </c>
      <c r="B121" s="85">
        <f t="shared" si="17"/>
        <v>0.5</v>
      </c>
      <c r="C121" s="85">
        <f t="shared" si="17"/>
        <v>0.51427161102443297</v>
      </c>
      <c r="D121" s="85">
        <f t="shared" si="17"/>
        <v>0.55352021496213166</v>
      </c>
      <c r="E121" s="85">
        <f t="shared" si="17"/>
        <v>0.521556192687886</v>
      </c>
      <c r="F121" s="85">
        <f t="shared" si="17"/>
        <v>0.48709865388306345</v>
      </c>
      <c r="G121" s="85">
        <f t="shared" si="17"/>
        <v>0.51473886693759352</v>
      </c>
      <c r="H121" s="85">
        <f t="shared" si="17"/>
        <v>0.46772417574264297</v>
      </c>
      <c r="I121" s="85">
        <f t="shared" si="17"/>
        <v>0.48701059774751249</v>
      </c>
      <c r="J121" s="85">
        <f t="shared" si="17"/>
        <v>0.5038313584891807</v>
      </c>
      <c r="K121" s="85">
        <f t="shared" si="17"/>
        <v>0.63388243423562596</v>
      </c>
      <c r="L121" s="85">
        <f t="shared" si="17"/>
        <v>0.37105204325680813</v>
      </c>
      <c r="M121" s="85">
        <f t="shared" si="17"/>
        <v>0.31662848484373274</v>
      </c>
      <c r="N121" s="85">
        <f t="shared" si="17"/>
        <v>0.2986817829036757</v>
      </c>
      <c r="O121" s="86">
        <f t="shared" si="17"/>
        <v>0.28381268499726786</v>
      </c>
      <c r="P121" s="86">
        <f t="shared" si="17"/>
        <v>0.27986503675314112</v>
      </c>
      <c r="Q121" s="86">
        <f t="shared" si="17"/>
        <v>0.21860732624845799</v>
      </c>
      <c r="R121" s="86">
        <f t="shared" si="17"/>
        <v>0.20511994795492769</v>
      </c>
      <c r="S121" s="86">
        <f t="shared" si="17"/>
        <v>0.16235017498256785</v>
      </c>
      <c r="T121" s="86">
        <f t="shared" si="17"/>
        <v>0.1566507343341397</v>
      </c>
      <c r="U121" s="86">
        <f t="shared" si="17"/>
        <v>0.13478856018155241</v>
      </c>
      <c r="V121" s="86">
        <f t="shared" si="17"/>
        <v>0.12143819638203336</v>
      </c>
      <c r="W121" s="86">
        <f t="shared" si="17"/>
        <v>0.10625504601580302</v>
      </c>
      <c r="X121" s="86">
        <f t="shared" si="17"/>
        <v>6.7844431124158597E-2</v>
      </c>
      <c r="Y121" s="86">
        <f t="shared" si="17"/>
        <v>9.422374373210271E-2</v>
      </c>
      <c r="Z121" s="86">
        <f t="shared" si="17"/>
        <v>9.0462589855830458E-2</v>
      </c>
      <c r="AA121" s="86">
        <f t="shared" si="17"/>
        <v>9.3522597287208992E-2</v>
      </c>
      <c r="AD121" s="85">
        <f t="shared" si="18"/>
        <v>0.46248098371457197</v>
      </c>
    </row>
    <row r="122" spans="1:30" x14ac:dyDescent="0.2">
      <c r="A122" s="61" t="s">
        <v>12</v>
      </c>
      <c r="B122" s="85">
        <f t="shared" si="17"/>
        <v>0.53537563822027712</v>
      </c>
      <c r="C122" s="85">
        <f t="shared" si="17"/>
        <v>0.5174402946106198</v>
      </c>
      <c r="D122" s="85">
        <f t="shared" si="17"/>
        <v>0.50298306169215412</v>
      </c>
      <c r="E122" s="85">
        <f t="shared" si="17"/>
        <v>0.45134713578795826</v>
      </c>
      <c r="F122" s="85">
        <f t="shared" si="17"/>
        <v>0.45807698471251646</v>
      </c>
      <c r="G122" s="85">
        <f t="shared" si="17"/>
        <v>0.51142081554334795</v>
      </c>
      <c r="H122" s="85">
        <f t="shared" si="17"/>
        <v>0.49042784081382201</v>
      </c>
      <c r="I122" s="85">
        <f t="shared" si="17"/>
        <v>0.50215899806325381</v>
      </c>
      <c r="J122" s="85">
        <f t="shared" si="17"/>
        <v>0.54399749267478248</v>
      </c>
      <c r="K122" s="85">
        <f t="shared" si="17"/>
        <v>0.61006091986082001</v>
      </c>
      <c r="L122" s="85">
        <f t="shared" si="17"/>
        <v>0.50558547165961132</v>
      </c>
      <c r="M122" s="85">
        <f t="shared" si="17"/>
        <v>0.37118856044466042</v>
      </c>
      <c r="N122" s="85">
        <f t="shared" si="17"/>
        <v>0.34486925645475691</v>
      </c>
      <c r="O122" s="86">
        <f t="shared" si="17"/>
        <v>0.31285229204253795</v>
      </c>
      <c r="P122" s="86">
        <f t="shared" si="17"/>
        <v>0.28733904968391055</v>
      </c>
      <c r="Q122" s="86">
        <f t="shared" si="17"/>
        <v>0.26697453923887476</v>
      </c>
      <c r="R122" s="86">
        <f t="shared" si="17"/>
        <v>0.23021288178328872</v>
      </c>
      <c r="S122" s="86">
        <f t="shared" si="17"/>
        <v>0.17964034973155887</v>
      </c>
      <c r="T122" s="86">
        <f t="shared" si="17"/>
        <v>0.17240416873525599</v>
      </c>
      <c r="U122" s="86">
        <f t="shared" si="17"/>
        <v>0.1493639235709143</v>
      </c>
      <c r="V122" s="86">
        <f t="shared" si="17"/>
        <v>0.13529770183964354</v>
      </c>
      <c r="W122" s="86">
        <f t="shared" si="17"/>
        <v>0.11750169381128855</v>
      </c>
      <c r="X122" s="86">
        <f t="shared" si="17"/>
        <v>7.5536411748877944E-2</v>
      </c>
      <c r="Y122" s="86">
        <f t="shared" si="17"/>
        <v>0.10502642471977744</v>
      </c>
      <c r="Z122" s="86">
        <f t="shared" si="17"/>
        <v>0.10095385642691797</v>
      </c>
      <c r="AA122" s="86">
        <f t="shared" si="17"/>
        <v>0.10176361443781842</v>
      </c>
      <c r="AD122" s="85">
        <f t="shared" si="18"/>
        <v>0.50659828854062572</v>
      </c>
    </row>
    <row r="123" spans="1:30" x14ac:dyDescent="0.2">
      <c r="A123" s="61" t="s">
        <v>13</v>
      </c>
      <c r="B123" s="85">
        <f t="shared" si="17"/>
        <v>0.56095842142353769</v>
      </c>
      <c r="C123" s="85">
        <f t="shared" si="17"/>
        <v>0.53873928314274566</v>
      </c>
      <c r="D123" s="85">
        <f t="shared" si="17"/>
        <v>0.51740094451254426</v>
      </c>
      <c r="E123" s="85">
        <f t="shared" si="17"/>
        <v>0.48417456708645951</v>
      </c>
      <c r="F123" s="85">
        <f t="shared" si="17"/>
        <v>0.47480866746885725</v>
      </c>
      <c r="G123" s="85">
        <f t="shared" si="17"/>
        <v>0.52331364066195629</v>
      </c>
      <c r="H123" s="85">
        <f t="shared" si="17"/>
        <v>0.48615840860873993</v>
      </c>
      <c r="I123" s="85">
        <f t="shared" si="17"/>
        <v>0.50279528058954559</v>
      </c>
      <c r="J123" s="85">
        <f t="shared" si="17"/>
        <v>0.55627849866687817</v>
      </c>
      <c r="K123" s="85">
        <f t="shared" si="17"/>
        <v>0.58928666710760602</v>
      </c>
      <c r="L123" s="85">
        <f t="shared" si="17"/>
        <v>0.48653629222275946</v>
      </c>
      <c r="M123" s="85">
        <f t="shared" si="17"/>
        <v>0.34432368156365539</v>
      </c>
      <c r="N123" s="85">
        <f t="shared" si="17"/>
        <v>0.28285898002379539</v>
      </c>
      <c r="O123" s="86">
        <f t="shared" si="17"/>
        <v>0.32229281519559444</v>
      </c>
      <c r="P123" s="86">
        <f t="shared" si="17"/>
        <v>0.27602257699757254</v>
      </c>
      <c r="Q123" s="86">
        <f t="shared" si="17"/>
        <v>0.24240196678917511</v>
      </c>
      <c r="R123" s="86">
        <f t="shared" si="17"/>
        <v>0.21351399875361382</v>
      </c>
      <c r="S123" s="86">
        <f t="shared" si="17"/>
        <v>0.1633728476415908</v>
      </c>
      <c r="T123" s="86">
        <f t="shared" si="17"/>
        <v>0.15590241453258175</v>
      </c>
      <c r="U123" s="86">
        <f t="shared" si="17"/>
        <v>0.13361973733671315</v>
      </c>
      <c r="V123" s="86">
        <f t="shared" si="17"/>
        <v>0.1205936333034178</v>
      </c>
      <c r="W123" s="86">
        <f t="shared" si="17"/>
        <v>0.10459077630752571</v>
      </c>
      <c r="X123" s="86">
        <f t="shared" si="17"/>
        <v>6.658950325448891E-2</v>
      </c>
      <c r="Y123" s="86">
        <f t="shared" si="17"/>
        <v>9.2545115445986953E-2</v>
      </c>
      <c r="Z123" s="86">
        <f t="shared" si="17"/>
        <v>8.8867013205019912E-2</v>
      </c>
      <c r="AA123" s="86">
        <f t="shared" si="17"/>
        <v>9.0832019591608248E-2</v>
      </c>
      <c r="AD123" s="85">
        <f t="shared" si="18"/>
        <v>0.49584408403008895</v>
      </c>
    </row>
    <row r="124" spans="1:30" x14ac:dyDescent="0.2">
      <c r="A124" s="61" t="s">
        <v>14</v>
      </c>
      <c r="B124" s="85">
        <f t="shared" si="17"/>
        <v>0.59310344827586203</v>
      </c>
      <c r="C124" s="85">
        <f t="shared" si="17"/>
        <v>0.50841736308893726</v>
      </c>
      <c r="D124" s="85">
        <f t="shared" si="17"/>
        <v>0.52962184375224042</v>
      </c>
      <c r="E124" s="85">
        <f t="shared" si="17"/>
        <v>0.44013916512433332</v>
      </c>
      <c r="F124" s="85">
        <f t="shared" si="17"/>
        <v>0.45084671954766314</v>
      </c>
      <c r="G124" s="85">
        <f t="shared" si="17"/>
        <v>0.53270808720626095</v>
      </c>
      <c r="H124" s="85">
        <f t="shared" si="17"/>
        <v>0.51568883489588213</v>
      </c>
      <c r="I124" s="85">
        <f t="shared" si="17"/>
        <v>0.51393080226270849</v>
      </c>
      <c r="J124" s="85">
        <f t="shared" si="17"/>
        <v>0.52073048936423838</v>
      </c>
      <c r="K124" s="85">
        <f t="shared" si="17"/>
        <v>0.60122713680548012</v>
      </c>
      <c r="L124" s="85">
        <f t="shared" si="17"/>
        <v>0.56279459344382066</v>
      </c>
      <c r="M124" s="85">
        <f t="shared" si="17"/>
        <v>0.32486534721743215</v>
      </c>
      <c r="N124" s="85">
        <f t="shared" si="17"/>
        <v>0.30022960111991503</v>
      </c>
      <c r="O124" s="86">
        <f t="shared" si="17"/>
        <v>0.30400343551750708</v>
      </c>
      <c r="P124" s="86">
        <f t="shared" si="17"/>
        <v>0.27451704412436989</v>
      </c>
      <c r="Q124" s="86">
        <f t="shared" si="17"/>
        <v>0.23695853231849967</v>
      </c>
      <c r="R124" s="86">
        <f t="shared" si="17"/>
        <v>0.20115942148246702</v>
      </c>
      <c r="S124" s="86">
        <f t="shared" si="17"/>
        <v>0.14966340852813001</v>
      </c>
      <c r="T124" s="86">
        <f t="shared" si="17"/>
        <v>0.14796141949638167</v>
      </c>
      <c r="U124" s="86">
        <f t="shared" si="17"/>
        <v>0.12253657618479369</v>
      </c>
      <c r="V124" s="86">
        <f t="shared" si="17"/>
        <v>0.11109439283542914</v>
      </c>
      <c r="W124" s="86">
        <f t="shared" si="17"/>
        <v>9.4485120329148423E-2</v>
      </c>
      <c r="X124" s="86">
        <f t="shared" si="17"/>
        <v>5.9984952691831357E-2</v>
      </c>
      <c r="Y124" s="86">
        <f t="shared" si="17"/>
        <v>8.3548625838859081E-2</v>
      </c>
      <c r="Z124" s="86">
        <f t="shared" si="17"/>
        <v>7.9819979762222604E-2</v>
      </c>
      <c r="AA124" s="86">
        <f t="shared" si="17"/>
        <v>8.1908232746875184E-2</v>
      </c>
      <c r="AD124" s="85">
        <f t="shared" si="18"/>
        <v>0.50470967381873588</v>
      </c>
    </row>
    <row r="125" spans="1:30" x14ac:dyDescent="0.2">
      <c r="A125" s="61" t="s">
        <v>15</v>
      </c>
      <c r="B125" s="85">
        <f t="shared" si="17"/>
        <v>0.64797649926917933</v>
      </c>
      <c r="C125" s="85">
        <f t="shared" si="17"/>
        <v>0.52659187687566333</v>
      </c>
      <c r="D125" s="85">
        <f t="shared" si="17"/>
        <v>0.54179866172731017</v>
      </c>
      <c r="E125" s="85">
        <f t="shared" si="17"/>
        <v>0.47916252265845644</v>
      </c>
      <c r="F125" s="85">
        <f t="shared" si="17"/>
        <v>0.44248437957811126</v>
      </c>
      <c r="G125" s="85">
        <f t="shared" si="17"/>
        <v>0.46829731515203871</v>
      </c>
      <c r="H125" s="85">
        <f t="shared" si="17"/>
        <v>0.46818473389774534</v>
      </c>
      <c r="I125" s="85">
        <f t="shared" si="17"/>
        <v>0.49689918860693905</v>
      </c>
      <c r="J125" s="85">
        <f t="shared" si="17"/>
        <v>0.50376074540670546</v>
      </c>
      <c r="K125" s="85">
        <f t="shared" si="17"/>
        <v>0.58648822463139849</v>
      </c>
      <c r="L125" s="85">
        <f t="shared" si="17"/>
        <v>0.44041904335207804</v>
      </c>
      <c r="M125" s="85">
        <f t="shared" si="17"/>
        <v>0.35230244192782545</v>
      </c>
      <c r="N125" s="85">
        <f t="shared" si="17"/>
        <v>0.35996463134232592</v>
      </c>
      <c r="O125" s="86">
        <f t="shared" si="17"/>
        <v>0.2498883871156829</v>
      </c>
      <c r="P125" s="86">
        <f t="shared" si="17"/>
        <v>0.27954072955867032</v>
      </c>
      <c r="Q125" s="86">
        <f t="shared" si="17"/>
        <v>0.2435171166037895</v>
      </c>
      <c r="R125" s="86">
        <f t="shared" si="17"/>
        <v>0.22905031874999668</v>
      </c>
      <c r="S125" s="86">
        <f t="shared" si="17"/>
        <v>0.18903942325186437</v>
      </c>
      <c r="T125" s="86">
        <f t="shared" si="17"/>
        <v>0.15527380538462707</v>
      </c>
      <c r="U125" s="86">
        <f t="shared" si="17"/>
        <v>0.14040376103265262</v>
      </c>
      <c r="V125" s="86">
        <f t="shared" si="17"/>
        <v>0.11345539382603889</v>
      </c>
      <c r="W125" s="86">
        <f t="shared" ref="W125:AA125" si="19">W13/SUM(W13,W29,W45,W61,W77,W93,W109)</f>
        <v>9.7879258234514543E-2</v>
      </c>
      <c r="X125" s="86">
        <f t="shared" si="19"/>
        <v>9.6759887368205927E-2</v>
      </c>
      <c r="Y125" s="86">
        <f t="shared" si="19"/>
        <v>9.3459248759999322E-2</v>
      </c>
      <c r="Z125" s="86">
        <f t="shared" si="19"/>
        <v>9.3668963011268744E-2</v>
      </c>
      <c r="AA125" s="86">
        <f t="shared" si="19"/>
        <v>9.0583323227679077E-2</v>
      </c>
      <c r="AD125" s="85">
        <f t="shared" si="18"/>
        <v>0.47597392878498923</v>
      </c>
    </row>
    <row r="126" spans="1:30" x14ac:dyDescent="0.2">
      <c r="A126" s="61" t="s">
        <v>16</v>
      </c>
      <c r="B126" s="85">
        <f t="shared" ref="B126:AA127" si="20">B14/SUM(B14,B30,B46,B62,B78,B94,B110)</f>
        <v>0.67021176376423119</v>
      </c>
      <c r="C126" s="85">
        <f t="shared" si="20"/>
        <v>0.55515117563026872</v>
      </c>
      <c r="D126" s="85">
        <f t="shared" si="20"/>
        <v>0.55969145238585549</v>
      </c>
      <c r="E126" s="85">
        <f t="shared" si="20"/>
        <v>0.51213512530834127</v>
      </c>
      <c r="F126" s="85">
        <f t="shared" si="20"/>
        <v>0.56221121575952504</v>
      </c>
      <c r="G126" s="85">
        <f t="shared" si="20"/>
        <v>0.51147843039448415</v>
      </c>
      <c r="H126" s="85">
        <f t="shared" si="20"/>
        <v>0.4737579109288112</v>
      </c>
      <c r="I126" s="85">
        <f t="shared" si="20"/>
        <v>0.5243325919786922</v>
      </c>
      <c r="J126" s="85">
        <f t="shared" si="20"/>
        <v>0.50500222249860627</v>
      </c>
      <c r="K126" s="85">
        <f t="shared" si="20"/>
        <v>0.55346394891949091</v>
      </c>
      <c r="L126" s="85">
        <f t="shared" si="20"/>
        <v>0.35015595446220843</v>
      </c>
      <c r="M126" s="85">
        <f t="shared" si="20"/>
        <v>0.28366256344937513</v>
      </c>
      <c r="N126" s="85">
        <f t="shared" si="20"/>
        <v>0.35380544154030297</v>
      </c>
      <c r="O126" s="86">
        <f t="shared" si="20"/>
        <v>0.27741701427978549</v>
      </c>
      <c r="P126" s="86">
        <f t="shared" si="20"/>
        <v>0.28303466185072157</v>
      </c>
      <c r="Q126" s="86">
        <f t="shared" si="20"/>
        <v>0.24258773237245077</v>
      </c>
      <c r="R126" s="86">
        <f t="shared" si="20"/>
        <v>0.22588031893343757</v>
      </c>
      <c r="S126" s="86">
        <f t="shared" si="20"/>
        <v>0.19443955159011128</v>
      </c>
      <c r="T126" s="86">
        <f t="shared" si="20"/>
        <v>0.15962026287535028</v>
      </c>
      <c r="U126" s="86">
        <f t="shared" si="20"/>
        <v>0.14818081652335957</v>
      </c>
      <c r="V126" s="86">
        <f t="shared" si="20"/>
        <v>0.13494701396522482</v>
      </c>
      <c r="W126" s="86">
        <f t="shared" si="20"/>
        <v>9.9698304953089026E-2</v>
      </c>
      <c r="X126" s="86">
        <f t="shared" si="20"/>
        <v>0.10542637920565801</v>
      </c>
      <c r="Y126" s="86">
        <f t="shared" si="20"/>
        <v>0.10326285704205944</v>
      </c>
      <c r="Z126" s="86">
        <f t="shared" si="20"/>
        <v>0.10601228912515749</v>
      </c>
      <c r="AA126" s="86">
        <f t="shared" si="20"/>
        <v>0.10293470734509941</v>
      </c>
      <c r="AD126" s="85">
        <f t="shared" si="18"/>
        <v>0.44332345626167458</v>
      </c>
    </row>
    <row r="127" spans="1:30" x14ac:dyDescent="0.2">
      <c r="A127" s="61" t="s">
        <v>17</v>
      </c>
      <c r="B127" s="85">
        <f t="shared" si="20"/>
        <v>0.70662362851109395</v>
      </c>
      <c r="C127" s="85">
        <f t="shared" si="20"/>
        <v>0.59271389090335869</v>
      </c>
      <c r="D127" s="85">
        <f t="shared" si="20"/>
        <v>0.54994574675868513</v>
      </c>
      <c r="E127" s="85">
        <f t="shared" si="20"/>
        <v>0.5379057961779965</v>
      </c>
      <c r="F127" s="85">
        <f t="shared" si="20"/>
        <v>0.51816902390968933</v>
      </c>
      <c r="G127" s="85">
        <f t="shared" si="20"/>
        <v>0.53207630482797197</v>
      </c>
      <c r="H127" s="85">
        <f t="shared" si="20"/>
        <v>0.48109402923614519</v>
      </c>
      <c r="I127" s="85">
        <f t="shared" si="20"/>
        <v>0.54234533322827227</v>
      </c>
      <c r="J127" s="85">
        <f t="shared" si="20"/>
        <v>0.49749999311878318</v>
      </c>
      <c r="K127" s="85">
        <f t="shared" si="20"/>
        <v>0.58986603326529041</v>
      </c>
      <c r="L127" s="85">
        <f t="shared" si="20"/>
        <v>0.3725890981150784</v>
      </c>
      <c r="M127" s="85">
        <f t="shared" si="20"/>
        <v>0.28429701892045584</v>
      </c>
      <c r="N127" s="86">
        <f t="shared" si="20"/>
        <v>0.33129489268327039</v>
      </c>
      <c r="O127" s="86">
        <f t="shared" si="20"/>
        <v>0.19852744004654302</v>
      </c>
      <c r="P127" s="86">
        <f t="shared" si="20"/>
        <v>0.32836263148556433</v>
      </c>
      <c r="Q127" s="86">
        <f t="shared" si="20"/>
        <v>0.23417393411803403</v>
      </c>
      <c r="R127" s="86">
        <f t="shared" si="20"/>
        <v>0.22014869860974118</v>
      </c>
      <c r="S127" s="86">
        <f t="shared" si="20"/>
        <v>0.19089385597676123</v>
      </c>
      <c r="T127" s="86">
        <f t="shared" si="20"/>
        <v>0.1697890641257489</v>
      </c>
      <c r="U127" s="86">
        <f t="shared" si="20"/>
        <v>0.16651801946224529</v>
      </c>
      <c r="V127" s="86">
        <f t="shared" si="20"/>
        <v>0.14033673135977123</v>
      </c>
      <c r="W127" s="86">
        <f t="shared" si="20"/>
        <v>0.15200513443298916</v>
      </c>
      <c r="X127" s="86">
        <f t="shared" si="20"/>
        <v>0.11187890453695747</v>
      </c>
      <c r="Y127" s="86">
        <f t="shared" si="20"/>
        <v>0.11883624807820671</v>
      </c>
      <c r="Z127" s="86">
        <f t="shared" si="20"/>
        <v>0.12575997169028391</v>
      </c>
      <c r="AA127" s="86">
        <f t="shared" si="20"/>
        <v>0.12625624367034399</v>
      </c>
      <c r="AD127" s="85">
        <f t="shared" si="18"/>
        <v>0.45731949532957605</v>
      </c>
    </row>
    <row r="128" spans="1:30" x14ac:dyDescent="0.2">
      <c r="A128" s="64" t="s">
        <v>18</v>
      </c>
      <c r="B128" s="101">
        <f t="shared" ref="B128:AA128" si="21">AVERAGE(B116:B127)</f>
        <v>0.55488901042962002</v>
      </c>
      <c r="C128" s="101">
        <f t="shared" si="21"/>
        <v>0.53231050215698983</v>
      </c>
      <c r="D128" s="101">
        <f t="shared" si="21"/>
        <v>0.54179422619885742</v>
      </c>
      <c r="E128" s="101">
        <f t="shared" si="21"/>
        <v>0.47838882663177351</v>
      </c>
      <c r="F128" s="101">
        <f t="shared" si="21"/>
        <v>0.48461356073910072</v>
      </c>
      <c r="G128" s="101">
        <f t="shared" si="21"/>
        <v>0.51631683197554534</v>
      </c>
      <c r="H128" s="101">
        <f t="shared" si="21"/>
        <v>0.46731407383689288</v>
      </c>
      <c r="I128" s="101">
        <f t="shared" si="21"/>
        <v>0.49450409850169835</v>
      </c>
      <c r="J128" s="101">
        <f t="shared" si="21"/>
        <v>0.5182609497930214</v>
      </c>
      <c r="K128" s="101">
        <f t="shared" si="21"/>
        <v>0.58538429660567359</v>
      </c>
      <c r="L128" s="101">
        <f t="shared" si="21"/>
        <v>0.44571346883975499</v>
      </c>
      <c r="M128" s="101">
        <f t="shared" si="21"/>
        <v>0.33801878303231275</v>
      </c>
      <c r="N128" s="101">
        <f t="shared" si="21"/>
        <v>0.31772111027228872</v>
      </c>
      <c r="O128" s="101">
        <f t="shared" si="21"/>
        <v>0.28998804958844354</v>
      </c>
      <c r="P128" s="101">
        <f t="shared" si="21"/>
        <v>0.2908997581153987</v>
      </c>
      <c r="Q128" s="101">
        <f t="shared" si="21"/>
        <v>0.24451935225010243</v>
      </c>
      <c r="R128" s="101">
        <f t="shared" si="21"/>
        <v>0.22526666989231689</v>
      </c>
      <c r="S128" s="101">
        <f t="shared" si="21"/>
        <v>0.1884520636456104</v>
      </c>
      <c r="T128" s="101">
        <f t="shared" si="21"/>
        <v>0.17483814965924535</v>
      </c>
      <c r="U128" s="101">
        <f t="shared" si="21"/>
        <v>0.15094388492637698</v>
      </c>
      <c r="V128" s="101">
        <f t="shared" si="21"/>
        <v>0.13680721624808603</v>
      </c>
      <c r="W128" s="101">
        <f t="shared" si="21"/>
        <v>0.1210567898732839</v>
      </c>
      <c r="X128" s="101">
        <f t="shared" si="21"/>
        <v>8.49788575437984E-2</v>
      </c>
      <c r="Y128" s="101">
        <f t="shared" si="21"/>
        <v>0.10901063776544782</v>
      </c>
      <c r="Z128" s="101">
        <f t="shared" si="21"/>
        <v>0.10710962654189889</v>
      </c>
      <c r="AA128" s="101">
        <f t="shared" si="21"/>
        <v>0.10670222504373718</v>
      </c>
    </row>
    <row r="130" spans="1:28" ht="12" thickBot="1" x14ac:dyDescent="0.25">
      <c r="A130" s="61" t="s">
        <v>49</v>
      </c>
    </row>
    <row r="131" spans="1:28" ht="12.75" thickTop="1" thickBot="1" x14ac:dyDescent="0.25">
      <c r="A131" s="62"/>
      <c r="B131" s="63">
        <f>B3</f>
        <v>2011</v>
      </c>
      <c r="C131" s="63">
        <f t="shared" ref="C131:AA131" si="22">C3</f>
        <v>2012</v>
      </c>
      <c r="D131" s="63">
        <f t="shared" si="22"/>
        <v>2013</v>
      </c>
      <c r="E131" s="63">
        <f t="shared" si="22"/>
        <v>2014</v>
      </c>
      <c r="F131" s="63">
        <f t="shared" si="22"/>
        <v>2015</v>
      </c>
      <c r="G131" s="63">
        <f t="shared" si="22"/>
        <v>2016</v>
      </c>
      <c r="H131" s="63">
        <f t="shared" si="22"/>
        <v>2017</v>
      </c>
      <c r="I131" s="63">
        <f t="shared" si="22"/>
        <v>2018</v>
      </c>
      <c r="J131" s="63">
        <f t="shared" si="22"/>
        <v>2019</v>
      </c>
      <c r="K131" s="63">
        <f t="shared" si="22"/>
        <v>2020</v>
      </c>
      <c r="L131" s="63">
        <f t="shared" si="22"/>
        <v>2021</v>
      </c>
      <c r="M131" s="63">
        <f t="shared" si="22"/>
        <v>2022</v>
      </c>
      <c r="N131" s="63">
        <f t="shared" si="22"/>
        <v>2023</v>
      </c>
      <c r="O131" s="63">
        <f t="shared" si="22"/>
        <v>2024</v>
      </c>
      <c r="P131" s="63">
        <f t="shared" si="22"/>
        <v>2025</v>
      </c>
      <c r="Q131" s="63">
        <f t="shared" si="22"/>
        <v>2026</v>
      </c>
      <c r="R131" s="63">
        <f t="shared" si="22"/>
        <v>2027</v>
      </c>
      <c r="S131" s="63">
        <f t="shared" si="22"/>
        <v>2028</v>
      </c>
      <c r="T131" s="63">
        <f t="shared" si="22"/>
        <v>2029</v>
      </c>
      <c r="U131" s="63">
        <f t="shared" si="22"/>
        <v>2030</v>
      </c>
      <c r="V131" s="63">
        <f t="shared" si="22"/>
        <v>2031</v>
      </c>
      <c r="W131" s="63">
        <f t="shared" si="22"/>
        <v>2032</v>
      </c>
      <c r="X131" s="63">
        <f t="shared" si="22"/>
        <v>2033</v>
      </c>
      <c r="Y131" s="63">
        <f t="shared" si="22"/>
        <v>2034</v>
      </c>
      <c r="Z131" s="63">
        <f t="shared" si="22"/>
        <v>2035</v>
      </c>
      <c r="AA131" s="63">
        <f t="shared" si="22"/>
        <v>2036</v>
      </c>
    </row>
    <row r="132" spans="1:28" ht="12" thickTop="1" x14ac:dyDescent="0.2">
      <c r="A132" s="61" t="s">
        <v>6</v>
      </c>
      <c r="B132" s="35">
        <f>SUM(B100,B84,B68,B52,B36,B20,B4)</f>
        <v>258</v>
      </c>
      <c r="C132" s="35">
        <f t="shared" ref="C132:AA143" si="23">SUM(C100,C84,C68,C52,C36,C20,C4)</f>
        <v>575.74992224668188</v>
      </c>
      <c r="D132" s="35">
        <f t="shared" si="23"/>
        <v>526.83797353037062</v>
      </c>
      <c r="E132" s="35">
        <f t="shared" si="23"/>
        <v>516.27819366392623</v>
      </c>
      <c r="F132" s="35">
        <f t="shared" si="23"/>
        <v>607.36921027734354</v>
      </c>
      <c r="G132" s="35">
        <f t="shared" si="23"/>
        <v>768.82176807535507</v>
      </c>
      <c r="H132" s="35">
        <f t="shared" si="23"/>
        <v>791.94750139328141</v>
      </c>
      <c r="I132" s="35">
        <f t="shared" si="23"/>
        <v>999.7116790238872</v>
      </c>
      <c r="J132" s="35">
        <f t="shared" si="23"/>
        <v>1199.283111328105</v>
      </c>
      <c r="K132" s="35">
        <f t="shared" si="23"/>
        <v>1092.9579735345203</v>
      </c>
      <c r="L132" s="35">
        <f t="shared" si="23"/>
        <v>1148.4924975758261</v>
      </c>
      <c r="M132" s="35">
        <f t="shared" si="23"/>
        <v>1432.7799690626134</v>
      </c>
      <c r="N132" s="35">
        <f t="shared" si="23"/>
        <v>1620.4221700202147</v>
      </c>
      <c r="O132" s="35">
        <f t="shared" si="23"/>
        <v>1651.5202132097613</v>
      </c>
      <c r="P132" s="36">
        <f t="shared" si="23"/>
        <v>1320.4858570312085</v>
      </c>
      <c r="Q132" s="36">
        <f t="shared" si="23"/>
        <v>1692.5469604564259</v>
      </c>
      <c r="R132" s="36">
        <f t="shared" si="23"/>
        <v>1500.4161987421462</v>
      </c>
      <c r="S132" s="36">
        <f t="shared" si="23"/>
        <v>1398.2401944491437</v>
      </c>
      <c r="T132" s="36">
        <f t="shared" si="23"/>
        <v>1417.2924024476779</v>
      </c>
      <c r="U132" s="36">
        <f t="shared" si="23"/>
        <v>1796.3328602026454</v>
      </c>
      <c r="V132" s="36">
        <f t="shared" si="23"/>
        <v>1846.6711760362725</v>
      </c>
      <c r="W132" s="36">
        <f t="shared" si="23"/>
        <v>2087.6784410224727</v>
      </c>
      <c r="X132" s="36">
        <f t="shared" si="23"/>
        <v>2064.4426737078866</v>
      </c>
      <c r="Y132" s="36">
        <f t="shared" si="23"/>
        <v>2096.5215638007485</v>
      </c>
      <c r="Z132" s="36">
        <f t="shared" si="23"/>
        <v>2103.2339351828305</v>
      </c>
      <c r="AA132" s="36">
        <f t="shared" si="23"/>
        <v>2019.9904616557683</v>
      </c>
      <c r="AB132" s="86">
        <f>(O132/N143)-1</f>
        <v>-9.2636464677313901E-2</v>
      </c>
    </row>
    <row r="133" spans="1:28" x14ac:dyDescent="0.2">
      <c r="A133" s="61" t="s">
        <v>7</v>
      </c>
      <c r="B133" s="35">
        <f t="shared" ref="B133:N143" si="24">SUM(B101,B85,B69,B53,B37,B21,B5)</f>
        <v>290.5</v>
      </c>
      <c r="C133" s="35">
        <f t="shared" si="24"/>
        <v>586.93307922347742</v>
      </c>
      <c r="D133" s="35">
        <f t="shared" si="24"/>
        <v>545.61244421605772</v>
      </c>
      <c r="E133" s="35">
        <f t="shared" si="24"/>
        <v>591.62733342402441</v>
      </c>
      <c r="F133" s="35">
        <f t="shared" si="24"/>
        <v>604.0079998792271</v>
      </c>
      <c r="G133" s="35">
        <f t="shared" si="24"/>
        <v>772.66987828967365</v>
      </c>
      <c r="H133" s="35">
        <f t="shared" si="24"/>
        <v>800.74973649869662</v>
      </c>
      <c r="I133" s="35">
        <f t="shared" si="24"/>
        <v>1030.0061189325954</v>
      </c>
      <c r="J133" s="35">
        <f t="shared" si="24"/>
        <v>1081.2445308570545</v>
      </c>
      <c r="K133" s="35">
        <f t="shared" si="24"/>
        <v>1041.9242062809572</v>
      </c>
      <c r="L133" s="35">
        <f t="shared" si="24"/>
        <v>746.834330022779</v>
      </c>
      <c r="M133" s="35">
        <f t="shared" si="24"/>
        <v>1566.9783650507156</v>
      </c>
      <c r="N133" s="35">
        <f t="shared" si="24"/>
        <v>1517.1016705193183</v>
      </c>
      <c r="O133" s="36">
        <f t="shared" si="23"/>
        <v>1677.1013841737069</v>
      </c>
      <c r="P133" s="36">
        <f t="shared" si="23"/>
        <v>1395.2022717620844</v>
      </c>
      <c r="Q133" s="36">
        <f t="shared" si="23"/>
        <v>1846.2184249539314</v>
      </c>
      <c r="R133" s="36">
        <f t="shared" si="23"/>
        <v>2062.4206220165183</v>
      </c>
      <c r="S133" s="36">
        <f t="shared" si="23"/>
        <v>1834.0017110586095</v>
      </c>
      <c r="T133" s="36">
        <f t="shared" si="23"/>
        <v>2328.8165956568714</v>
      </c>
      <c r="U133" s="36">
        <f t="shared" si="23"/>
        <v>2681.160608738197</v>
      </c>
      <c r="V133" s="36">
        <f t="shared" si="23"/>
        <v>2926.4498320591397</v>
      </c>
      <c r="W133" s="36">
        <f t="shared" si="23"/>
        <v>3407.0705439590365</v>
      </c>
      <c r="X133" s="36">
        <f t="shared" si="23"/>
        <v>3371.1464663087786</v>
      </c>
      <c r="Y133" s="36">
        <f t="shared" si="23"/>
        <v>3416.6591796946027</v>
      </c>
      <c r="Z133" s="36">
        <f t="shared" si="23"/>
        <v>3495.6016204144466</v>
      </c>
      <c r="AA133" s="36">
        <f t="shared" si="23"/>
        <v>3288.9607367644589</v>
      </c>
    </row>
    <row r="134" spans="1:28" x14ac:dyDescent="0.2">
      <c r="A134" s="61" t="s">
        <v>8</v>
      </c>
      <c r="B134" s="35">
        <f t="shared" si="24"/>
        <v>427.5</v>
      </c>
      <c r="C134" s="35">
        <f t="shared" si="24"/>
        <v>737.13597405656878</v>
      </c>
      <c r="D134" s="35">
        <f t="shared" si="24"/>
        <v>771.67604776264761</v>
      </c>
      <c r="E134" s="35">
        <f t="shared" si="24"/>
        <v>786.85156949541147</v>
      </c>
      <c r="F134" s="35">
        <f t="shared" si="24"/>
        <v>797.2073581794416</v>
      </c>
      <c r="G134" s="35">
        <f t="shared" si="24"/>
        <v>858.3706856742815</v>
      </c>
      <c r="H134" s="35">
        <f t="shared" si="24"/>
        <v>939.33202971002038</v>
      </c>
      <c r="I134" s="35">
        <f t="shared" si="24"/>
        <v>1211.5512280218131</v>
      </c>
      <c r="J134" s="35">
        <f t="shared" si="24"/>
        <v>1166.8371116601757</v>
      </c>
      <c r="K134" s="35">
        <f t="shared" si="24"/>
        <v>1200.8376007257775</v>
      </c>
      <c r="L134" s="35">
        <f t="shared" si="24"/>
        <v>1055.5060834840806</v>
      </c>
      <c r="M134" s="35">
        <f t="shared" si="24"/>
        <v>1702.4424656164333</v>
      </c>
      <c r="N134" s="35">
        <f t="shared" si="24"/>
        <v>2148.9811205920764</v>
      </c>
      <c r="O134" s="36">
        <f t="shared" si="23"/>
        <v>1636.1536608006954</v>
      </c>
      <c r="P134" s="36">
        <f t="shared" si="23"/>
        <v>1733.562133371732</v>
      </c>
      <c r="Q134" s="36">
        <f t="shared" si="23"/>
        <v>1823.2050642896102</v>
      </c>
      <c r="R134" s="36">
        <f t="shared" si="23"/>
        <v>1979.781051880135</v>
      </c>
      <c r="S134" s="36">
        <f t="shared" si="23"/>
        <v>1604.9313245909491</v>
      </c>
      <c r="T134" s="36">
        <f t="shared" si="23"/>
        <v>1956.7685844033861</v>
      </c>
      <c r="U134" s="36">
        <f t="shared" si="23"/>
        <v>2159.35732196444</v>
      </c>
      <c r="V134" s="36">
        <f t="shared" si="23"/>
        <v>2288.5084965286828</v>
      </c>
      <c r="W134" s="36">
        <f t="shared" si="23"/>
        <v>2584.4138727399049</v>
      </c>
      <c r="X134" s="36">
        <f t="shared" si="23"/>
        <v>2477.3961597129592</v>
      </c>
      <c r="Y134" s="36">
        <f t="shared" si="23"/>
        <v>2506.0946320106609</v>
      </c>
      <c r="Z134" s="36">
        <f t="shared" si="23"/>
        <v>2552.6803457254064</v>
      </c>
      <c r="AA134" s="36">
        <f t="shared" si="23"/>
        <v>2512.6248445667698</v>
      </c>
    </row>
    <row r="135" spans="1:28" x14ac:dyDescent="0.2">
      <c r="A135" s="61" t="s">
        <v>9</v>
      </c>
      <c r="B135" s="35">
        <f t="shared" si="24"/>
        <v>539</v>
      </c>
      <c r="C135" s="35">
        <f t="shared" si="24"/>
        <v>729.45766544235175</v>
      </c>
      <c r="D135" s="35">
        <f t="shared" si="24"/>
        <v>790.49089508349243</v>
      </c>
      <c r="E135" s="35">
        <f t="shared" si="24"/>
        <v>757.95888883899568</v>
      </c>
      <c r="F135" s="35">
        <f t="shared" si="24"/>
        <v>873.18184048849616</v>
      </c>
      <c r="G135" s="35">
        <f t="shared" si="24"/>
        <v>876.02241837495808</v>
      </c>
      <c r="H135" s="35">
        <f t="shared" si="24"/>
        <v>1046.0105307795923</v>
      </c>
      <c r="I135" s="35">
        <f t="shared" si="24"/>
        <v>1178.184177113932</v>
      </c>
      <c r="J135" s="35">
        <f t="shared" si="24"/>
        <v>1258.8736795949271</v>
      </c>
      <c r="K135" s="35">
        <f t="shared" si="24"/>
        <v>1105.2694828302015</v>
      </c>
      <c r="L135" s="35">
        <f t="shared" si="24"/>
        <v>1192.0578486351919</v>
      </c>
      <c r="M135" s="35">
        <f t="shared" si="24"/>
        <v>1622.9009864445998</v>
      </c>
      <c r="N135" s="35">
        <f t="shared" si="24"/>
        <v>1988.0744101501814</v>
      </c>
      <c r="O135" s="36">
        <f t="shared" si="23"/>
        <v>2183.4743738281904</v>
      </c>
      <c r="P135" s="36">
        <f t="shared" si="23"/>
        <v>1935.5637758739933</v>
      </c>
      <c r="Q135" s="36">
        <f t="shared" si="23"/>
        <v>2044.6606946827435</v>
      </c>
      <c r="R135" s="36">
        <f t="shared" si="23"/>
        <v>2362.4422387709496</v>
      </c>
      <c r="S135" s="36">
        <f t="shared" si="23"/>
        <v>2057.7985595359078</v>
      </c>
      <c r="T135" s="36">
        <f t="shared" si="23"/>
        <v>2586.4662383360073</v>
      </c>
      <c r="U135" s="36">
        <f t="shared" si="23"/>
        <v>2849.1427143024039</v>
      </c>
      <c r="V135" s="36">
        <f t="shared" si="23"/>
        <v>3033.0814259538897</v>
      </c>
      <c r="W135" s="36">
        <f t="shared" si="23"/>
        <v>3509.3603724707118</v>
      </c>
      <c r="X135" s="36">
        <f t="shared" si="23"/>
        <v>3420.1470659939987</v>
      </c>
      <c r="Y135" s="36">
        <f t="shared" si="23"/>
        <v>3497.0644081138344</v>
      </c>
      <c r="Z135" s="36">
        <f t="shared" si="23"/>
        <v>3572.0815614343082</v>
      </c>
      <c r="AA135" s="36">
        <f t="shared" si="23"/>
        <v>3405.6357303947766</v>
      </c>
    </row>
    <row r="136" spans="1:28" x14ac:dyDescent="0.2">
      <c r="A136" s="61" t="s">
        <v>10</v>
      </c>
      <c r="B136" s="35">
        <f t="shared" si="24"/>
        <v>568.5</v>
      </c>
      <c r="C136" s="35">
        <f t="shared" si="24"/>
        <v>780.22835254688175</v>
      </c>
      <c r="D136" s="35">
        <f t="shared" si="24"/>
        <v>804.24048537704152</v>
      </c>
      <c r="E136" s="35">
        <f t="shared" si="24"/>
        <v>861.30109494107649</v>
      </c>
      <c r="F136" s="35">
        <f t="shared" si="24"/>
        <v>914.18492590202175</v>
      </c>
      <c r="G136" s="35">
        <f t="shared" si="24"/>
        <v>1009.6394231611006</v>
      </c>
      <c r="H136" s="35">
        <f t="shared" si="24"/>
        <v>1161.0752144584194</v>
      </c>
      <c r="I136" s="35">
        <f t="shared" si="24"/>
        <v>1250.1157319283363</v>
      </c>
      <c r="J136" s="35">
        <f t="shared" si="24"/>
        <v>1266.2092817210794</v>
      </c>
      <c r="K136" s="35">
        <f t="shared" si="24"/>
        <v>1188.0612217305757</v>
      </c>
      <c r="L136" s="35">
        <f t="shared" si="24"/>
        <v>1265.0920726572413</v>
      </c>
      <c r="M136" s="35">
        <f t="shared" si="24"/>
        <v>1882.8036317625674</v>
      </c>
      <c r="N136" s="35">
        <f t="shared" si="24"/>
        <v>2392.7102226095135</v>
      </c>
      <c r="O136" s="36">
        <f t="shared" si="23"/>
        <v>1840.0224146824171</v>
      </c>
      <c r="P136" s="36">
        <f t="shared" si="23"/>
        <v>1937.0892690687692</v>
      </c>
      <c r="Q136" s="36">
        <f t="shared" si="23"/>
        <v>2211.1847438453515</v>
      </c>
      <c r="R136" s="36">
        <f t="shared" si="23"/>
        <v>2583.9618997984917</v>
      </c>
      <c r="S136" s="36">
        <f t="shared" si="23"/>
        <v>2586.8378534883</v>
      </c>
      <c r="T136" s="36">
        <f t="shared" si="23"/>
        <v>2964.7664167031471</v>
      </c>
      <c r="U136" s="36">
        <f t="shared" si="23"/>
        <v>3341.2732928262603</v>
      </c>
      <c r="V136" s="36">
        <f t="shared" si="23"/>
        <v>3614.9640315434567</v>
      </c>
      <c r="W136" s="36">
        <f t="shared" si="23"/>
        <v>4275.9281214090033</v>
      </c>
      <c r="X136" s="36">
        <f t="shared" si="23"/>
        <v>3892.8395109887315</v>
      </c>
      <c r="Y136" s="36">
        <f t="shared" si="23"/>
        <v>4189.6850347428735</v>
      </c>
      <c r="Z136" s="36">
        <f t="shared" si="23"/>
        <v>4287.1967768550085</v>
      </c>
      <c r="AA136" s="36">
        <f t="shared" si="23"/>
        <v>4012.9570480226835</v>
      </c>
    </row>
    <row r="137" spans="1:28" x14ac:dyDescent="0.2">
      <c r="A137" s="61" t="s">
        <v>11</v>
      </c>
      <c r="B137" s="35">
        <f t="shared" si="24"/>
        <v>622</v>
      </c>
      <c r="C137" s="35">
        <f t="shared" si="24"/>
        <v>717.51967654786381</v>
      </c>
      <c r="D137" s="35">
        <f t="shared" si="24"/>
        <v>878.01671350566494</v>
      </c>
      <c r="E137" s="35">
        <f t="shared" si="24"/>
        <v>894.64952490600137</v>
      </c>
      <c r="F137" s="35">
        <f t="shared" si="24"/>
        <v>973.10882758832668</v>
      </c>
      <c r="G137" s="35">
        <f t="shared" si="24"/>
        <v>1009.6187278257477</v>
      </c>
      <c r="H137" s="35">
        <f t="shared" si="24"/>
        <v>1173.4266229205773</v>
      </c>
      <c r="I137" s="35">
        <f t="shared" si="24"/>
        <v>1280.4854820085593</v>
      </c>
      <c r="J137" s="35">
        <f t="shared" si="24"/>
        <v>1179.2636365105463</v>
      </c>
      <c r="K137" s="35">
        <f t="shared" si="24"/>
        <v>1178.562395250568</v>
      </c>
      <c r="L137" s="35">
        <f t="shared" si="24"/>
        <v>1206.0861732149328</v>
      </c>
      <c r="M137" s="35">
        <f t="shared" si="24"/>
        <v>1768.2774191220471</v>
      </c>
      <c r="N137" s="35">
        <f t="shared" si="24"/>
        <v>2100.5064115421123</v>
      </c>
      <c r="O137" s="36">
        <f t="shared" si="23"/>
        <v>2036.1689719068158</v>
      </c>
      <c r="P137" s="36">
        <f t="shared" si="23"/>
        <v>2064.8902404151913</v>
      </c>
      <c r="Q137" s="36">
        <f t="shared" si="23"/>
        <v>2112.6251459968435</v>
      </c>
      <c r="R137" s="36">
        <f t="shared" si="23"/>
        <v>2464.0046244637506</v>
      </c>
      <c r="S137" s="36">
        <f t="shared" si="23"/>
        <v>2504.4047199819779</v>
      </c>
      <c r="T137" s="36">
        <f t="shared" si="23"/>
        <v>2850.0407428782623</v>
      </c>
      <c r="U137" s="36">
        <f t="shared" si="23"/>
        <v>3206.472770519093</v>
      </c>
      <c r="V137" s="36">
        <f t="shared" si="23"/>
        <v>3461.7402847929989</v>
      </c>
      <c r="W137" s="36">
        <f t="shared" si="23"/>
        <v>4095.8397407767484</v>
      </c>
      <c r="X137" s="36">
        <f t="shared" si="23"/>
        <v>3735.4152474671182</v>
      </c>
      <c r="Y137" s="36">
        <f t="shared" si="23"/>
        <v>3993.4082336621068</v>
      </c>
      <c r="Z137" s="36">
        <f t="shared" si="23"/>
        <v>4087.156643461813</v>
      </c>
      <c r="AA137" s="36">
        <f t="shared" si="23"/>
        <v>3844.7156660684659</v>
      </c>
    </row>
    <row r="138" spans="1:28" x14ac:dyDescent="0.2">
      <c r="A138" s="61" t="s">
        <v>12</v>
      </c>
      <c r="B138" s="35">
        <f t="shared" si="24"/>
        <v>685.5</v>
      </c>
      <c r="C138" s="35">
        <f t="shared" si="24"/>
        <v>670.60877093292811</v>
      </c>
      <c r="D138" s="35">
        <f t="shared" si="24"/>
        <v>954.30648973579014</v>
      </c>
      <c r="E138" s="35">
        <f t="shared" si="24"/>
        <v>962.9616885487186</v>
      </c>
      <c r="F138" s="35">
        <f t="shared" si="24"/>
        <v>973.63546933034445</v>
      </c>
      <c r="G138" s="35">
        <f t="shared" si="24"/>
        <v>1047.2784519553891</v>
      </c>
      <c r="H138" s="35">
        <f t="shared" si="24"/>
        <v>1235.9616431933132</v>
      </c>
      <c r="I138" s="35">
        <f t="shared" si="24"/>
        <v>1336.7678416377682</v>
      </c>
      <c r="J138" s="35">
        <f t="shared" si="24"/>
        <v>1302.3957086941246</v>
      </c>
      <c r="K138" s="35">
        <f t="shared" si="24"/>
        <v>1270.0862729852793</v>
      </c>
      <c r="L138" s="35">
        <f t="shared" si="24"/>
        <v>1231.0012195223831</v>
      </c>
      <c r="M138" s="35">
        <f t="shared" si="24"/>
        <v>1686.4339764407332</v>
      </c>
      <c r="N138" s="35">
        <f t="shared" si="24"/>
        <v>1967.9950801559435</v>
      </c>
      <c r="O138" s="36">
        <f t="shared" si="23"/>
        <v>2051.7222226798449</v>
      </c>
      <c r="P138" s="36">
        <f t="shared" si="23"/>
        <v>1950.0160332521516</v>
      </c>
      <c r="Q138" s="36">
        <f t="shared" si="23"/>
        <v>1998.9574277354745</v>
      </c>
      <c r="R138" s="36">
        <f t="shared" si="23"/>
        <v>2369.2905565367901</v>
      </c>
      <c r="S138" s="36">
        <f t="shared" si="23"/>
        <v>2420.191092881279</v>
      </c>
      <c r="T138" s="36">
        <f t="shared" si="23"/>
        <v>2764.2667963950407</v>
      </c>
      <c r="U138" s="36">
        <f t="shared" si="23"/>
        <v>3115.2704159277951</v>
      </c>
      <c r="V138" s="36">
        <f t="shared" si="23"/>
        <v>3388.1132411984327</v>
      </c>
      <c r="W138" s="36">
        <f t="shared" si="23"/>
        <v>4009.5188953391125</v>
      </c>
      <c r="X138" s="36">
        <f t="shared" si="23"/>
        <v>3613.879814930071</v>
      </c>
      <c r="Y138" s="36">
        <f t="shared" si="23"/>
        <v>3893.9722245832336</v>
      </c>
      <c r="Z138" s="36">
        <f t="shared" si="23"/>
        <v>3983.9905962156054</v>
      </c>
      <c r="AA138" s="36">
        <f t="shared" si="23"/>
        <v>3737.4085725216137</v>
      </c>
    </row>
    <row r="139" spans="1:28" x14ac:dyDescent="0.2">
      <c r="A139" s="61" t="s">
        <v>13</v>
      </c>
      <c r="B139" s="35">
        <f t="shared" si="24"/>
        <v>709.5</v>
      </c>
      <c r="C139" s="35">
        <f t="shared" si="24"/>
        <v>714.6313848771066</v>
      </c>
      <c r="D139" s="35">
        <f t="shared" si="24"/>
        <v>991.4941312743631</v>
      </c>
      <c r="E139" s="35">
        <f t="shared" si="24"/>
        <v>924.89368595858969</v>
      </c>
      <c r="F139" s="35">
        <f t="shared" si="24"/>
        <v>976.39329642272708</v>
      </c>
      <c r="G139" s="35">
        <f t="shared" si="24"/>
        <v>1072.0912974680393</v>
      </c>
      <c r="H139" s="35">
        <f t="shared" si="24"/>
        <v>1250.9708548298599</v>
      </c>
      <c r="I139" s="35">
        <f t="shared" si="24"/>
        <v>1402.4196869413922</v>
      </c>
      <c r="J139" s="35">
        <f t="shared" si="24"/>
        <v>1260.4118291112859</v>
      </c>
      <c r="K139" s="35">
        <f t="shared" si="24"/>
        <v>1264.8003791741992</v>
      </c>
      <c r="L139" s="35">
        <f t="shared" si="24"/>
        <v>1055.5784961590277</v>
      </c>
      <c r="M139" s="35">
        <f t="shared" si="24"/>
        <v>1867.1355890493601</v>
      </c>
      <c r="N139" s="35">
        <f t="shared" si="24"/>
        <v>2183.1974362208684</v>
      </c>
      <c r="O139" s="36">
        <f t="shared" si="23"/>
        <v>1973.4228317004504</v>
      </c>
      <c r="P139" s="36">
        <f t="shared" si="23"/>
        <v>2012.9468921862822</v>
      </c>
      <c r="Q139" s="36">
        <f t="shared" si="23"/>
        <v>2067.0817069016744</v>
      </c>
      <c r="R139" s="36">
        <f t="shared" si="23"/>
        <v>2462.7218901627521</v>
      </c>
      <c r="S139" s="36">
        <f t="shared" si="23"/>
        <v>2535.2696381287351</v>
      </c>
      <c r="T139" s="36">
        <f t="shared" si="23"/>
        <v>2940.0815417536051</v>
      </c>
      <c r="U139" s="36">
        <f t="shared" si="23"/>
        <v>3332.9022687790412</v>
      </c>
      <c r="V139" s="36">
        <f t="shared" si="23"/>
        <v>3616.8685929141607</v>
      </c>
      <c r="W139" s="36">
        <f t="shared" si="23"/>
        <v>4300.1886475800802</v>
      </c>
      <c r="X139" s="36">
        <f t="shared" si="23"/>
        <v>3918.3298403197723</v>
      </c>
      <c r="Y139" s="36">
        <f t="shared" si="23"/>
        <v>4207.0008089212915</v>
      </c>
      <c r="Z139" s="36">
        <f t="shared" si="23"/>
        <v>4305.8234740196804</v>
      </c>
      <c r="AA139" s="36">
        <f t="shared" si="23"/>
        <v>4020.1018097125507</v>
      </c>
    </row>
    <row r="140" spans="1:28" x14ac:dyDescent="0.2">
      <c r="A140" s="61" t="s">
        <v>14</v>
      </c>
      <c r="B140" s="35">
        <f t="shared" si="24"/>
        <v>725</v>
      </c>
      <c r="C140" s="35">
        <f t="shared" si="24"/>
        <v>633.33792938081206</v>
      </c>
      <c r="D140" s="35">
        <f t="shared" si="24"/>
        <v>947.84610174582963</v>
      </c>
      <c r="E140" s="35">
        <f t="shared" si="24"/>
        <v>897.92054721682973</v>
      </c>
      <c r="F140" s="35">
        <f t="shared" si="24"/>
        <v>865.0390101347283</v>
      </c>
      <c r="G140" s="35">
        <f t="shared" si="24"/>
        <v>1007.7564296337391</v>
      </c>
      <c r="H140" s="35">
        <f t="shared" si="24"/>
        <v>1171.0744137439583</v>
      </c>
      <c r="I140" s="35">
        <f t="shared" si="24"/>
        <v>1340.0831336977326</v>
      </c>
      <c r="J140" s="35">
        <f t="shared" si="24"/>
        <v>1149.9230642920043</v>
      </c>
      <c r="K140" s="35">
        <f t="shared" si="24"/>
        <v>1225.0445046666209</v>
      </c>
      <c r="L140" s="35">
        <f t="shared" si="24"/>
        <v>1017.279819839727</v>
      </c>
      <c r="M140" s="35">
        <f t="shared" si="24"/>
        <v>1833.6951143062231</v>
      </c>
      <c r="N140" s="35">
        <f t="shared" si="24"/>
        <v>2065.0661949631262</v>
      </c>
      <c r="O140" s="36">
        <f t="shared" si="23"/>
        <v>2213.8203762544072</v>
      </c>
      <c r="P140" s="36">
        <f t="shared" si="23"/>
        <v>2044.1270568086625</v>
      </c>
      <c r="Q140" s="36">
        <f t="shared" si="23"/>
        <v>2156.2796504765101</v>
      </c>
      <c r="R140" s="36">
        <f t="shared" si="23"/>
        <v>2643.6436246741982</v>
      </c>
      <c r="S140" s="36">
        <f t="shared" si="23"/>
        <v>2846.0861220271509</v>
      </c>
      <c r="T140" s="36">
        <f t="shared" si="23"/>
        <v>3272.3024091845418</v>
      </c>
      <c r="U140" s="36">
        <f t="shared" si="23"/>
        <v>3745.5579056300298</v>
      </c>
      <c r="V140" s="36">
        <f t="shared" si="23"/>
        <v>4049.9621913015931</v>
      </c>
      <c r="W140" s="36">
        <f t="shared" si="23"/>
        <v>4918.0987557834023</v>
      </c>
      <c r="X140" s="36">
        <f t="shared" si="23"/>
        <v>4506.1031135232797</v>
      </c>
      <c r="Y140" s="36">
        <f t="shared" si="23"/>
        <v>4849.9178118637601</v>
      </c>
      <c r="Z140" s="36">
        <f t="shared" si="23"/>
        <v>4964.2788814297801</v>
      </c>
      <c r="AA140" s="36">
        <f t="shared" si="23"/>
        <v>4587.8036412063893</v>
      </c>
    </row>
    <row r="141" spans="1:28" x14ac:dyDescent="0.2">
      <c r="A141" s="61" t="s">
        <v>15</v>
      </c>
      <c r="B141" s="35">
        <f t="shared" si="24"/>
        <v>813.30110057135914</v>
      </c>
      <c r="C141" s="35">
        <f t="shared" si="24"/>
        <v>582.99418103725804</v>
      </c>
      <c r="D141" s="35">
        <f t="shared" si="24"/>
        <v>1016.9829475830652</v>
      </c>
      <c r="E141" s="35">
        <f t="shared" si="24"/>
        <v>957.52480276308347</v>
      </c>
      <c r="F141" s="35">
        <f t="shared" si="24"/>
        <v>922.06644760886127</v>
      </c>
      <c r="G141" s="35">
        <f t="shared" si="24"/>
        <v>1123.1326402741392</v>
      </c>
      <c r="H141" s="35">
        <f t="shared" si="24"/>
        <v>1233.337950156475</v>
      </c>
      <c r="I141" s="35">
        <f t="shared" si="24"/>
        <v>1406.4824737575359</v>
      </c>
      <c r="J141" s="35">
        <f t="shared" si="24"/>
        <v>1106.7158469243027</v>
      </c>
      <c r="K141" s="35">
        <f t="shared" si="24"/>
        <v>1232.7613234765245</v>
      </c>
      <c r="L141" s="35">
        <f t="shared" si="24"/>
        <v>1476.7887192034214</v>
      </c>
      <c r="M141" s="35">
        <f t="shared" si="24"/>
        <v>1816.8877754504267</v>
      </c>
      <c r="N141" s="35">
        <f t="shared" si="24"/>
        <v>1793.1483923656901</v>
      </c>
      <c r="O141" s="36">
        <f t="shared" si="23"/>
        <v>2073.1415572352025</v>
      </c>
      <c r="P141" s="36">
        <f t="shared" si="23"/>
        <v>1909.0926123597255</v>
      </c>
      <c r="Q141" s="36">
        <f t="shared" si="23"/>
        <v>2145.2279316726404</v>
      </c>
      <c r="R141" s="36">
        <f t="shared" si="23"/>
        <v>2284.4114789300779</v>
      </c>
      <c r="S141" s="36">
        <f t="shared" si="23"/>
        <v>2152.3151059212319</v>
      </c>
      <c r="T141" s="36">
        <f t="shared" si="23"/>
        <v>2830.8573293874297</v>
      </c>
      <c r="U141" s="36">
        <f t="shared" si="23"/>
        <v>3155.5923738219703</v>
      </c>
      <c r="V141" s="36">
        <f t="shared" si="23"/>
        <v>3785.9365762562134</v>
      </c>
      <c r="W141" s="36">
        <f t="shared" si="23"/>
        <v>4549.3233614245155</v>
      </c>
      <c r="X141" s="36">
        <f t="shared" si="23"/>
        <v>4199.6032435489924</v>
      </c>
      <c r="Y141" s="36">
        <f t="shared" si="23"/>
        <v>4332.3404511432036</v>
      </c>
      <c r="Z141" s="36">
        <f t="shared" si="23"/>
        <v>4850.2551762634712</v>
      </c>
      <c r="AA141" s="36">
        <f t="shared" si="23"/>
        <v>4162.4120780911826</v>
      </c>
    </row>
    <row r="142" spans="1:28" x14ac:dyDescent="0.2">
      <c r="A142" s="61" t="s">
        <v>16</v>
      </c>
      <c r="B142" s="35">
        <f t="shared" si="24"/>
        <v>802.73135908318523</v>
      </c>
      <c r="C142" s="35">
        <f t="shared" si="24"/>
        <v>443.12254174858538</v>
      </c>
      <c r="D142" s="35">
        <f t="shared" si="24"/>
        <v>955.88381369663466</v>
      </c>
      <c r="E142" s="35">
        <f t="shared" si="24"/>
        <v>873.05083737578536</v>
      </c>
      <c r="F142" s="35">
        <f t="shared" si="24"/>
        <v>825.31259959507292</v>
      </c>
      <c r="G142" s="35">
        <f t="shared" si="24"/>
        <v>1164.9171589512753</v>
      </c>
      <c r="H142" s="35">
        <f t="shared" si="24"/>
        <v>1247.0504161961653</v>
      </c>
      <c r="I142" s="35">
        <f t="shared" si="24"/>
        <v>1342.2587318939741</v>
      </c>
      <c r="J142" s="35">
        <f t="shared" si="24"/>
        <v>1042.6290747689789</v>
      </c>
      <c r="K142" s="35">
        <f t="shared" si="24"/>
        <v>1234.0460500334266</v>
      </c>
      <c r="L142" s="35">
        <f t="shared" si="24"/>
        <v>1407.1070153604505</v>
      </c>
      <c r="M142" s="35">
        <f t="shared" si="24"/>
        <v>2093.3710560152103</v>
      </c>
      <c r="N142" s="35">
        <f t="shared" si="24"/>
        <v>1732.4578088213966</v>
      </c>
      <c r="O142" s="36">
        <f t="shared" si="23"/>
        <v>1685.1057286938135</v>
      </c>
      <c r="P142" s="36">
        <f t="shared" si="23"/>
        <v>1804.1735719356627</v>
      </c>
      <c r="Q142" s="36">
        <f t="shared" si="23"/>
        <v>1901.8549422788221</v>
      </c>
      <c r="R142" s="36">
        <f t="shared" si="23"/>
        <v>2107.7049112546961</v>
      </c>
      <c r="S142" s="36">
        <f t="shared" si="23"/>
        <v>1895.8244947689902</v>
      </c>
      <c r="T142" s="36">
        <f t="shared" si="23"/>
        <v>2463.6283638231466</v>
      </c>
      <c r="U142" s="36">
        <f t="shared" si="23"/>
        <v>2697.5798380236006</v>
      </c>
      <c r="V142" s="36">
        <f t="shared" si="23"/>
        <v>2843.7349255481499</v>
      </c>
      <c r="W142" s="36">
        <f t="shared" si="23"/>
        <v>4001.4832803545587</v>
      </c>
      <c r="X142" s="36">
        <f t="shared" si="23"/>
        <v>3441.1215522628495</v>
      </c>
      <c r="Y142" s="36">
        <f t="shared" si="23"/>
        <v>3500.6415798064309</v>
      </c>
      <c r="Z142" s="36">
        <f t="shared" si="23"/>
        <v>3895.0125051814716</v>
      </c>
      <c r="AA142" s="36">
        <f t="shared" si="23"/>
        <v>3493.1196431013745</v>
      </c>
    </row>
    <row r="143" spans="1:28" x14ac:dyDescent="0.2">
      <c r="A143" s="61" t="s">
        <v>17</v>
      </c>
      <c r="B143" s="35">
        <f t="shared" si="24"/>
        <v>837.78687283269301</v>
      </c>
      <c r="C143" s="35">
        <f t="shared" si="24"/>
        <v>460.593220759377</v>
      </c>
      <c r="D143" s="35">
        <f t="shared" si="24"/>
        <v>1016.4639026570886</v>
      </c>
      <c r="E143" s="35">
        <f t="shared" si="24"/>
        <v>987.73800872780703</v>
      </c>
      <c r="F143" s="35">
        <f t="shared" si="24"/>
        <v>841.42428412700633</v>
      </c>
      <c r="G143" s="35">
        <f t="shared" si="24"/>
        <v>1147.3354375316037</v>
      </c>
      <c r="H143" s="35">
        <f t="shared" si="24"/>
        <v>1234.6650839610397</v>
      </c>
      <c r="I143" s="35">
        <f t="shared" si="24"/>
        <v>1415.6294024509491</v>
      </c>
      <c r="J143" s="35">
        <f t="shared" si="24"/>
        <v>1087.5377034845885</v>
      </c>
      <c r="K143" s="35">
        <f t="shared" si="24"/>
        <v>1261.3033435430725</v>
      </c>
      <c r="L143" s="35">
        <f t="shared" si="24"/>
        <v>1738.714650646242</v>
      </c>
      <c r="M143" s="35">
        <f t="shared" si="24"/>
        <v>1876.885667061093</v>
      </c>
      <c r="N143" s="35">
        <f t="shared" si="24"/>
        <v>1820.1306851309937</v>
      </c>
      <c r="O143" s="36">
        <f t="shared" si="23"/>
        <v>2013.5654794434597</v>
      </c>
      <c r="P143" s="36">
        <f t="shared" si="23"/>
        <v>2911.7015682681163</v>
      </c>
      <c r="Q143" s="36">
        <f t="shared" si="23"/>
        <v>2103.235657144035</v>
      </c>
      <c r="R143" s="36">
        <f t="shared" si="23"/>
        <v>2510.3187623659178</v>
      </c>
      <c r="S143" s="36">
        <f t="shared" si="23"/>
        <v>2343.0689927093454</v>
      </c>
      <c r="T143" s="36">
        <f t="shared" si="23"/>
        <v>2935.4714376980864</v>
      </c>
      <c r="U143" s="36">
        <f t="shared" si="23"/>
        <v>3220.1843316086265</v>
      </c>
      <c r="V143" s="36">
        <f t="shared" si="23"/>
        <v>3303.4752401024571</v>
      </c>
      <c r="W143" s="36">
        <f t="shared" si="23"/>
        <v>3242.8192668996667</v>
      </c>
      <c r="X143" s="36">
        <f t="shared" si="23"/>
        <v>3510.1352905112881</v>
      </c>
      <c r="Y143" s="36">
        <f t="shared" si="23"/>
        <v>3543.1646960026883</v>
      </c>
      <c r="Z143" s="36">
        <f t="shared" si="23"/>
        <v>3764.9548935493999</v>
      </c>
      <c r="AA143" s="36">
        <f t="shared" si="23"/>
        <v>3314.0323075723063</v>
      </c>
    </row>
    <row r="144" spans="1:28" x14ac:dyDescent="0.2">
      <c r="A144" s="64" t="s">
        <v>18</v>
      </c>
      <c r="B144" s="65">
        <f>SUM(B132:B143)</f>
        <v>7279.3193324872373</v>
      </c>
      <c r="C144" s="65">
        <f t="shared" ref="C144:AA144" si="25">SUM(C132:C143)</f>
        <v>7632.312698799893</v>
      </c>
      <c r="D144" s="65">
        <f t="shared" si="25"/>
        <v>10199.851946168046</v>
      </c>
      <c r="E144" s="65">
        <f t="shared" si="25"/>
        <v>10012.75617586025</v>
      </c>
      <c r="F144" s="65">
        <f t="shared" si="25"/>
        <v>10172.931269533596</v>
      </c>
      <c r="G144" s="65">
        <f t="shared" si="25"/>
        <v>11857.654317215301</v>
      </c>
      <c r="H144" s="65">
        <f t="shared" si="25"/>
        <v>13285.601997841399</v>
      </c>
      <c r="I144" s="65">
        <f t="shared" si="25"/>
        <v>15193.695687408474</v>
      </c>
      <c r="J144" s="65">
        <f t="shared" si="25"/>
        <v>14101.324578947171</v>
      </c>
      <c r="K144" s="65">
        <f t="shared" si="25"/>
        <v>14295.654754231724</v>
      </c>
      <c r="L144" s="65">
        <f t="shared" si="25"/>
        <v>14540.538926321302</v>
      </c>
      <c r="M144" s="65">
        <f t="shared" si="25"/>
        <v>21150.592015382026</v>
      </c>
      <c r="N144" s="66">
        <f t="shared" si="25"/>
        <v>23329.791603091431</v>
      </c>
      <c r="O144" s="66">
        <f t="shared" si="25"/>
        <v>23035.219214608762</v>
      </c>
      <c r="P144" s="66">
        <f t="shared" si="25"/>
        <v>23018.85128233358</v>
      </c>
      <c r="Q144" s="66">
        <f t="shared" si="25"/>
        <v>24103.078350434065</v>
      </c>
      <c r="R144" s="66">
        <f t="shared" si="25"/>
        <v>27331.117859596423</v>
      </c>
      <c r="S144" s="66">
        <f t="shared" si="25"/>
        <v>26178.969809541617</v>
      </c>
      <c r="T144" s="66">
        <f t="shared" si="25"/>
        <v>31310.758858667206</v>
      </c>
      <c r="U144" s="66">
        <f t="shared" si="25"/>
        <v>35300.826702344108</v>
      </c>
      <c r="V144" s="66">
        <f t="shared" si="25"/>
        <v>38159.506014235449</v>
      </c>
      <c r="W144" s="66">
        <f t="shared" si="25"/>
        <v>44981.723299759207</v>
      </c>
      <c r="X144" s="66">
        <f t="shared" si="25"/>
        <v>42150.559979275728</v>
      </c>
      <c r="Y144" s="66">
        <f t="shared" si="25"/>
        <v>44026.470624345442</v>
      </c>
      <c r="Z144" s="66">
        <f t="shared" si="25"/>
        <v>45862.266409733224</v>
      </c>
      <c r="AA144" s="66">
        <f t="shared" si="25"/>
        <v>42399.762539678341</v>
      </c>
    </row>
    <row r="145" spans="1:15" s="61" customFormat="1" x14ac:dyDescent="0.2"/>
    <row r="146" spans="1:15" x14ac:dyDescent="0.2">
      <c r="A146" s="61" t="s">
        <v>50</v>
      </c>
      <c r="B146" s="32">
        <f>B3</f>
        <v>2011</v>
      </c>
      <c r="C146" s="32">
        <f t="shared" ref="C146:O146" si="26">C3</f>
        <v>2012</v>
      </c>
      <c r="D146" s="32">
        <f t="shared" si="26"/>
        <v>2013</v>
      </c>
      <c r="E146" s="32">
        <f t="shared" si="26"/>
        <v>2014</v>
      </c>
      <c r="F146" s="32">
        <f t="shared" si="26"/>
        <v>2015</v>
      </c>
      <c r="G146" s="32">
        <f t="shared" si="26"/>
        <v>2016</v>
      </c>
      <c r="H146" s="32">
        <f t="shared" si="26"/>
        <v>2017</v>
      </c>
      <c r="I146" s="32">
        <f t="shared" si="26"/>
        <v>2018</v>
      </c>
      <c r="J146" s="32">
        <f t="shared" si="26"/>
        <v>2019</v>
      </c>
      <c r="K146" s="32">
        <f t="shared" si="26"/>
        <v>2020</v>
      </c>
      <c r="L146" s="32">
        <f t="shared" si="26"/>
        <v>2021</v>
      </c>
      <c r="M146" s="32">
        <f t="shared" si="26"/>
        <v>2022</v>
      </c>
      <c r="N146" s="32">
        <f t="shared" si="26"/>
        <v>2023</v>
      </c>
      <c r="O146" s="32">
        <f t="shared" si="26"/>
        <v>2024</v>
      </c>
    </row>
    <row r="147" spans="1:15" x14ac:dyDescent="0.2">
      <c r="A147" s="32" t="str">
        <f>A132</f>
        <v>Jan</v>
      </c>
      <c r="B147" s="85">
        <f t="shared" ref="B147:O159" si="27">(B4+B20)/B132</f>
        <v>0.61240310077519378</v>
      </c>
      <c r="C147" s="85">
        <f t="shared" si="27"/>
        <v>0.65827190826369963</v>
      </c>
      <c r="D147" s="85">
        <f t="shared" si="27"/>
        <v>0.62448042193191322</v>
      </c>
      <c r="E147" s="85">
        <f t="shared" si="27"/>
        <v>0.53653244200415418</v>
      </c>
      <c r="F147" s="85">
        <f t="shared" si="27"/>
        <v>0.61083109535728675</v>
      </c>
      <c r="G147" s="85">
        <f t="shared" si="27"/>
        <v>0.58934335474693522</v>
      </c>
      <c r="H147" s="85">
        <f t="shared" si="27"/>
        <v>0.54046511826475874</v>
      </c>
      <c r="I147" s="85">
        <f t="shared" si="27"/>
        <v>0.59032020169677235</v>
      </c>
      <c r="J147" s="85">
        <f t="shared" si="27"/>
        <v>0.59868960594151177</v>
      </c>
      <c r="K147" s="85">
        <f t="shared" si="27"/>
        <v>0.57641740602581537</v>
      </c>
      <c r="L147" s="85">
        <f>(L4+L20)/L132</f>
        <v>0.60328702586034144</v>
      </c>
      <c r="M147" s="85">
        <f>(M4+M20)/M132</f>
        <v>0.4236247107761425</v>
      </c>
      <c r="N147" s="85">
        <f>(N4+N20)/N132</f>
        <v>0.40284116163402695</v>
      </c>
      <c r="O147" s="85">
        <f>(O4+O20)/O132</f>
        <v>0.42212986218622417</v>
      </c>
    </row>
    <row r="148" spans="1:15" x14ac:dyDescent="0.2">
      <c r="A148" s="32" t="str">
        <f t="shared" ref="A148:A159" si="28">A133</f>
        <v>Feb</v>
      </c>
      <c r="B148" s="85">
        <f t="shared" si="27"/>
        <v>0.60585197934595525</v>
      </c>
      <c r="C148" s="85">
        <f t="shared" si="27"/>
        <v>0.70025018958508878</v>
      </c>
      <c r="D148" s="85">
        <f t="shared" si="27"/>
        <v>0.59566090078272271</v>
      </c>
      <c r="E148" s="85">
        <f t="shared" si="27"/>
        <v>0.51383697612584878</v>
      </c>
      <c r="F148" s="85">
        <f t="shared" si="27"/>
        <v>0.56456205889356403</v>
      </c>
      <c r="G148" s="85">
        <f t="shared" si="27"/>
        <v>0.59958335767596271</v>
      </c>
      <c r="H148" s="85">
        <f t="shared" si="27"/>
        <v>0.54721216883062096</v>
      </c>
      <c r="I148" s="85">
        <f t="shared" si="27"/>
        <v>0.58053053181825842</v>
      </c>
      <c r="J148" s="85">
        <f t="shared" si="27"/>
        <v>0.56729997932455944</v>
      </c>
      <c r="K148" s="85">
        <f t="shared" si="27"/>
        <v>0.64128465004663349</v>
      </c>
      <c r="L148" s="85">
        <f t="shared" si="27"/>
        <v>0.54165903879574384</v>
      </c>
      <c r="M148" s="85">
        <f t="shared" si="27"/>
        <v>0.3801481957266718</v>
      </c>
      <c r="N148" s="85">
        <f t="shared" si="27"/>
        <v>0.39721732883679378</v>
      </c>
      <c r="O148" s="85">
        <f t="shared" si="27"/>
        <v>0.38837127328525128</v>
      </c>
    </row>
    <row r="149" spans="1:15" x14ac:dyDescent="0.2">
      <c r="A149" s="32" t="str">
        <f t="shared" si="28"/>
        <v>Mar</v>
      </c>
      <c r="B149" s="85">
        <f t="shared" si="27"/>
        <v>0.60350877192982455</v>
      </c>
      <c r="C149" s="85">
        <f t="shared" si="27"/>
        <v>0.68508391636472432</v>
      </c>
      <c r="D149" s="85">
        <f t="shared" si="27"/>
        <v>0.62461443684494622</v>
      </c>
      <c r="E149" s="85">
        <f t="shared" si="27"/>
        <v>0.52233485441677929</v>
      </c>
      <c r="F149" s="85">
        <f t="shared" si="27"/>
        <v>0.57826862141961632</v>
      </c>
      <c r="G149" s="85">
        <f t="shared" si="27"/>
        <v>0.62055940270323695</v>
      </c>
      <c r="H149" s="85">
        <f t="shared" si="27"/>
        <v>0.53164374705093986</v>
      </c>
      <c r="I149" s="85">
        <f t="shared" si="27"/>
        <v>0.59851369321293324</v>
      </c>
      <c r="J149" s="85">
        <f t="shared" si="27"/>
        <v>0.60001519749733478</v>
      </c>
      <c r="K149" s="85">
        <f t="shared" si="27"/>
        <v>0.65573396396322281</v>
      </c>
      <c r="L149" s="85">
        <f t="shared" si="27"/>
        <v>0.60597679424164308</v>
      </c>
      <c r="M149" s="85">
        <f t="shared" si="27"/>
        <v>0.42623189871528366</v>
      </c>
      <c r="N149" s="85">
        <f t="shared" si="27"/>
        <v>0.36432195355178065</v>
      </c>
      <c r="O149" s="85">
        <f t="shared" si="27"/>
        <v>0.42309989922415098</v>
      </c>
    </row>
    <row r="150" spans="1:15" x14ac:dyDescent="0.2">
      <c r="A150" s="32" t="str">
        <f t="shared" si="28"/>
        <v>Apr</v>
      </c>
      <c r="B150" s="85">
        <f t="shared" si="27"/>
        <v>0.60111317254174401</v>
      </c>
      <c r="C150" s="85">
        <f t="shared" si="27"/>
        <v>0.63334724122727226</v>
      </c>
      <c r="D150" s="85">
        <f t="shared" si="27"/>
        <v>0.5945672529857009</v>
      </c>
      <c r="E150" s="85">
        <f t="shared" si="27"/>
        <v>0.55148109766252884</v>
      </c>
      <c r="F150" s="85">
        <f t="shared" si="27"/>
        <v>0.5481103451856606</v>
      </c>
      <c r="G150" s="85">
        <f t="shared" si="27"/>
        <v>0.57797607615936974</v>
      </c>
      <c r="H150" s="85">
        <f t="shared" si="27"/>
        <v>0.52241347856481946</v>
      </c>
      <c r="I150" s="85">
        <f t="shared" si="27"/>
        <v>0.53979675873587951</v>
      </c>
      <c r="J150" s="85">
        <f t="shared" si="27"/>
        <v>0.59780422150231494</v>
      </c>
      <c r="K150" s="85">
        <f t="shared" si="27"/>
        <v>0.73308818581076962</v>
      </c>
      <c r="L150" s="85">
        <f t="shared" si="27"/>
        <v>0.6393608185517845</v>
      </c>
      <c r="M150" s="85">
        <f t="shared" si="27"/>
        <v>0.41877477780632322</v>
      </c>
      <c r="N150" s="85">
        <f t="shared" si="27"/>
        <v>0.36916173572424726</v>
      </c>
      <c r="O150" s="85">
        <f t="shared" si="27"/>
        <v>0.31141515016173216</v>
      </c>
    </row>
    <row r="151" spans="1:15" x14ac:dyDescent="0.2">
      <c r="A151" s="32" t="str">
        <f t="shared" si="28"/>
        <v>May</v>
      </c>
      <c r="B151" s="85">
        <f t="shared" si="27"/>
        <v>0.66314863676341251</v>
      </c>
      <c r="C151" s="85">
        <f t="shared" si="27"/>
        <v>0.65878149431786404</v>
      </c>
      <c r="D151" s="85">
        <f t="shared" si="27"/>
        <v>0.55829072045471728</v>
      </c>
      <c r="E151" s="85">
        <f t="shared" si="27"/>
        <v>0.50156676049454463</v>
      </c>
      <c r="F151" s="85">
        <f t="shared" si="27"/>
        <v>0.54474755149635168</v>
      </c>
      <c r="G151" s="85">
        <f t="shared" si="27"/>
        <v>0.65977019589270791</v>
      </c>
      <c r="H151" s="85">
        <f t="shared" si="27"/>
        <v>0.58229647104762328</v>
      </c>
      <c r="I151" s="85">
        <f t="shared" si="27"/>
        <v>0.54606148947566624</v>
      </c>
      <c r="J151" s="85">
        <f t="shared" si="27"/>
        <v>0.60145637292989085</v>
      </c>
      <c r="K151" s="85">
        <f t="shared" si="27"/>
        <v>0.78708065114514669</v>
      </c>
      <c r="L151" s="85">
        <f t="shared" si="27"/>
        <v>0.61807512585776192</v>
      </c>
      <c r="M151" s="85">
        <f t="shared" si="27"/>
        <v>0.38003538336611453</v>
      </c>
      <c r="N151" s="85">
        <f t="shared" si="27"/>
        <v>0.34873675554826133</v>
      </c>
      <c r="O151" s="85">
        <f t="shared" si="27"/>
        <v>0.41005641778022955</v>
      </c>
    </row>
    <row r="152" spans="1:15" x14ac:dyDescent="0.2">
      <c r="A152" s="32" t="str">
        <f t="shared" si="28"/>
        <v>Jun</v>
      </c>
      <c r="B152" s="85">
        <f t="shared" si="27"/>
        <v>0.62057877813504825</v>
      </c>
      <c r="C152" s="85">
        <f t="shared" si="27"/>
        <v>0.65782168131038588</v>
      </c>
      <c r="D152" s="85">
        <f t="shared" si="27"/>
        <v>0.58541026849904454</v>
      </c>
      <c r="E152" s="85">
        <f t="shared" si="27"/>
        <v>0.62310433804631038</v>
      </c>
      <c r="F152" s="85">
        <f t="shared" si="27"/>
        <v>0.54464617417304562</v>
      </c>
      <c r="G152" s="85">
        <f t="shared" si="27"/>
        <v>0.64266834807761852</v>
      </c>
      <c r="H152" s="85">
        <f t="shared" si="27"/>
        <v>0.59808597000572883</v>
      </c>
      <c r="I152" s="85">
        <f t="shared" si="27"/>
        <v>0.57157458578627029</v>
      </c>
      <c r="J152" s="85">
        <f t="shared" si="27"/>
        <v>0.59699027598182053</v>
      </c>
      <c r="K152" s="85">
        <f t="shared" si="27"/>
        <v>0.72734375664323736</v>
      </c>
      <c r="L152" s="85">
        <f t="shared" si="27"/>
        <v>0.59646723411976543</v>
      </c>
      <c r="M152" s="85">
        <f t="shared" si="27"/>
        <v>0.38739679226357826</v>
      </c>
      <c r="N152" s="85">
        <f t="shared" si="27"/>
        <v>0.39161318217357333</v>
      </c>
      <c r="O152" s="85">
        <f t="shared" si="27"/>
        <v>0.36343623404299008</v>
      </c>
    </row>
    <row r="153" spans="1:15" x14ac:dyDescent="0.2">
      <c r="A153" s="32" t="str">
        <f t="shared" si="28"/>
        <v>Jul</v>
      </c>
      <c r="B153" s="85">
        <f t="shared" si="27"/>
        <v>0.64770240700218817</v>
      </c>
      <c r="C153" s="85">
        <f t="shared" si="27"/>
        <v>0.61585833335500284</v>
      </c>
      <c r="D153" s="85">
        <f t="shared" si="27"/>
        <v>0.56061653751104679</v>
      </c>
      <c r="E153" s="85">
        <f t="shared" si="27"/>
        <v>0.59114501310837997</v>
      </c>
      <c r="F153" s="85">
        <f t="shared" si="27"/>
        <v>0.53613494623303493</v>
      </c>
      <c r="G153" s="85">
        <f t="shared" si="27"/>
        <v>0.62078046080880656</v>
      </c>
      <c r="H153" s="85">
        <f t="shared" si="27"/>
        <v>0.6175596178113899</v>
      </c>
      <c r="I153" s="85">
        <f t="shared" si="27"/>
        <v>0.57811087701665786</v>
      </c>
      <c r="J153" s="85">
        <f t="shared" si="27"/>
        <v>0.63469957285780565</v>
      </c>
      <c r="K153" s="85">
        <f t="shared" si="27"/>
        <v>0.67836694180233048</v>
      </c>
      <c r="L153" s="85">
        <f t="shared" si="27"/>
        <v>0.60544646127560486</v>
      </c>
      <c r="M153" s="85">
        <f t="shared" si="27"/>
        <v>0.45002829082094914</v>
      </c>
      <c r="N153" s="85">
        <f t="shared" si="27"/>
        <v>0.42842637591004029</v>
      </c>
      <c r="O153" s="85">
        <f t="shared" si="27"/>
        <v>0.3806577671025545</v>
      </c>
    </row>
    <row r="154" spans="1:15" x14ac:dyDescent="0.2">
      <c r="A154" s="32" t="str">
        <f t="shared" si="28"/>
        <v>Aug</v>
      </c>
      <c r="B154" s="85">
        <f t="shared" si="27"/>
        <v>0.67935165609584214</v>
      </c>
      <c r="C154" s="85">
        <f t="shared" si="27"/>
        <v>0.60590677818391914</v>
      </c>
      <c r="D154" s="85">
        <f t="shared" si="27"/>
        <v>0.59707867280979765</v>
      </c>
      <c r="E154" s="85">
        <f t="shared" si="27"/>
        <v>0.63143473554445684</v>
      </c>
      <c r="F154" s="85">
        <f t="shared" si="27"/>
        <v>0.54957362157849188</v>
      </c>
      <c r="G154" s="85">
        <f t="shared" si="27"/>
        <v>0.62504005170322408</v>
      </c>
      <c r="H154" s="85">
        <f t="shared" si="27"/>
        <v>0.60034971806129211</v>
      </c>
      <c r="I154" s="85">
        <f t="shared" si="27"/>
        <v>0.57977651595387181</v>
      </c>
      <c r="J154" s="85">
        <f t="shared" si="27"/>
        <v>0.64213139015893816</v>
      </c>
      <c r="K154" s="85">
        <f t="shared" si="27"/>
        <v>0.66982822977702272</v>
      </c>
      <c r="L154" s="85">
        <f t="shared" si="27"/>
        <v>0.62071958651626225</v>
      </c>
      <c r="M154" s="85">
        <f t="shared" si="27"/>
        <v>0.41577430399430804</v>
      </c>
      <c r="N154" s="85">
        <f t="shared" si="27"/>
        <v>0.36268272711543015</v>
      </c>
      <c r="O154" s="85">
        <f t="shared" si="27"/>
        <v>0.40745905392567899</v>
      </c>
    </row>
    <row r="155" spans="1:15" x14ac:dyDescent="0.2">
      <c r="A155" s="32" t="str">
        <f t="shared" si="28"/>
        <v>Sep</v>
      </c>
      <c r="B155" s="85">
        <f t="shared" si="27"/>
        <v>0.70896551724137935</v>
      </c>
      <c r="C155" s="85">
        <f t="shared" si="27"/>
        <v>0.58104841495878534</v>
      </c>
      <c r="D155" s="85">
        <f t="shared" si="27"/>
        <v>0.57604288185004637</v>
      </c>
      <c r="E155" s="85">
        <f t="shared" si="27"/>
        <v>0.58051906888163252</v>
      </c>
      <c r="F155" s="85">
        <f t="shared" si="27"/>
        <v>0.52945589116110181</v>
      </c>
      <c r="G155" s="85">
        <f t="shared" si="27"/>
        <v>0.64868849334713674</v>
      </c>
      <c r="H155" s="85">
        <f t="shared" si="27"/>
        <v>0.58711042776682565</v>
      </c>
      <c r="I155" s="85">
        <f t="shared" si="27"/>
        <v>0.58569500672264752</v>
      </c>
      <c r="J155" s="85">
        <f t="shared" si="27"/>
        <v>0.62896381719702588</v>
      </c>
      <c r="K155" s="85">
        <f t="shared" si="27"/>
        <v>0.66118854371245039</v>
      </c>
      <c r="L155" s="85">
        <f t="shared" si="27"/>
        <v>0.66651630102337711</v>
      </c>
      <c r="M155" s="85">
        <f t="shared" si="27"/>
        <v>0.39664445540892584</v>
      </c>
      <c r="N155" s="85">
        <f t="shared" si="27"/>
        <v>0.37825518712437584</v>
      </c>
      <c r="O155" s="85">
        <f t="shared" si="27"/>
        <v>0.36147015746323558</v>
      </c>
    </row>
    <row r="156" spans="1:15" x14ac:dyDescent="0.2">
      <c r="A156" s="32" t="str">
        <f t="shared" si="28"/>
        <v>Oct</v>
      </c>
      <c r="B156" s="85">
        <f t="shared" si="27"/>
        <v>0.7328159270672312</v>
      </c>
      <c r="C156" s="85">
        <f t="shared" si="27"/>
        <v>0.55403640466071424</v>
      </c>
      <c r="D156" s="85">
        <f t="shared" si="27"/>
        <v>0.62242931555968672</v>
      </c>
      <c r="E156" s="85">
        <f t="shared" si="27"/>
        <v>0.61795788296295906</v>
      </c>
      <c r="F156" s="85">
        <f t="shared" si="27"/>
        <v>0.50755561186900999</v>
      </c>
      <c r="G156" s="85">
        <f t="shared" si="27"/>
        <v>0.57242571086089677</v>
      </c>
      <c r="H156" s="85">
        <f t="shared" si="27"/>
        <v>0.59733830448218295</v>
      </c>
      <c r="I156" s="85">
        <f t="shared" si="27"/>
        <v>0.56850335138825314</v>
      </c>
      <c r="J156" s="85">
        <f t="shared" si="27"/>
        <v>0.60765371876526297</v>
      </c>
      <c r="K156" s="85">
        <f t="shared" si="27"/>
        <v>0.65169571570911577</v>
      </c>
      <c r="L156" s="85">
        <f t="shared" si="27"/>
        <v>0.51879044373928362</v>
      </c>
      <c r="M156" s="85">
        <f t="shared" si="27"/>
        <v>0.44436976840787212</v>
      </c>
      <c r="N156" s="85">
        <f t="shared" si="27"/>
        <v>0.45222079971317136</v>
      </c>
      <c r="O156" s="85">
        <f t="shared" si="27"/>
        <v>0.31653554853010457</v>
      </c>
    </row>
    <row r="157" spans="1:15" x14ac:dyDescent="0.2">
      <c r="A157" s="32" t="str">
        <f t="shared" si="28"/>
        <v>Nov</v>
      </c>
      <c r="B157" s="85">
        <f t="shared" si="27"/>
        <v>0.77485449267909257</v>
      </c>
      <c r="C157" s="85">
        <f t="shared" si="27"/>
        <v>0.59577199335931275</v>
      </c>
      <c r="D157" s="85">
        <f t="shared" si="27"/>
        <v>0.64338363218187133</v>
      </c>
      <c r="E157" s="85">
        <f t="shared" si="27"/>
        <v>0.65076393684902045</v>
      </c>
      <c r="F157" s="85">
        <f t="shared" si="27"/>
        <v>0.61067769987672538</v>
      </c>
      <c r="G157" s="85">
        <f t="shared" si="27"/>
        <v>0.59598229338901776</v>
      </c>
      <c r="H157" s="85">
        <f t="shared" si="27"/>
        <v>0.58664829464674972</v>
      </c>
      <c r="I157" s="85">
        <f t="shared" si="27"/>
        <v>0.58028312958501582</v>
      </c>
      <c r="J157" s="85">
        <f t="shared" si="27"/>
        <v>0.60099033794817347</v>
      </c>
      <c r="K157" s="85">
        <f t="shared" si="27"/>
        <v>0.6241316885603474</v>
      </c>
      <c r="L157" s="85">
        <f t="shared" si="27"/>
        <v>0.44444365721096774</v>
      </c>
      <c r="M157" s="85">
        <f t="shared" si="27"/>
        <v>0.33785744670908507</v>
      </c>
      <c r="N157" s="85">
        <f t="shared" si="27"/>
        <v>0.43320304608778587</v>
      </c>
      <c r="O157" s="85">
        <f t="shared" si="27"/>
        <v>0.34870808994013558</v>
      </c>
    </row>
    <row r="158" spans="1:15" x14ac:dyDescent="0.2">
      <c r="A158" s="32" t="str">
        <f t="shared" si="28"/>
        <v>Dec</v>
      </c>
      <c r="B158" s="85">
        <f t="shared" si="27"/>
        <v>0.79137071909266099</v>
      </c>
      <c r="C158" s="85">
        <f t="shared" si="27"/>
        <v>0.62745170135923323</v>
      </c>
      <c r="D158" s="85">
        <f t="shared" si="27"/>
        <v>0.65324503729475292</v>
      </c>
      <c r="E158" s="85">
        <f t="shared" si="27"/>
        <v>0.6235459145621729</v>
      </c>
      <c r="F158" s="85">
        <f t="shared" si="27"/>
        <v>0.57521515498231568</v>
      </c>
      <c r="G158" s="85">
        <f t="shared" si="27"/>
        <v>0.58021392717738929</v>
      </c>
      <c r="H158" s="85">
        <f t="shared" si="27"/>
        <v>0.58464437795892021</v>
      </c>
      <c r="I158" s="85">
        <f t="shared" si="27"/>
        <v>0.60284855980444019</v>
      </c>
      <c r="J158" s="85">
        <f t="shared" si="27"/>
        <v>0.5886968313361769</v>
      </c>
      <c r="K158" s="85">
        <f t="shared" si="27"/>
        <v>0.6498315870520881</v>
      </c>
      <c r="L158" s="85">
        <f t="shared" si="27"/>
        <v>0.44517777731732139</v>
      </c>
      <c r="M158" s="85">
        <f t="shared" si="27"/>
        <v>0.34801523443116827</v>
      </c>
      <c r="N158" s="85">
        <f t="shared" si="27"/>
        <v>0.41388994326293832</v>
      </c>
      <c r="O158" s="85">
        <f t="shared" si="27"/>
        <v>0.26409074123925541</v>
      </c>
    </row>
    <row r="159" spans="1:15" x14ac:dyDescent="0.2">
      <c r="A159" s="32" t="str">
        <f t="shared" si="28"/>
        <v xml:space="preserve">  Total</v>
      </c>
      <c r="B159" s="85">
        <f>(B16+B32)/B144</f>
        <v>0.68687740867271074</v>
      </c>
      <c r="C159" s="85">
        <f t="shared" si="27"/>
        <v>0.63322877229072938</v>
      </c>
      <c r="D159" s="85">
        <f t="shared" si="27"/>
        <v>0.60334209089299373</v>
      </c>
      <c r="E159" s="85">
        <f t="shared" si="27"/>
        <v>0.58422874753538245</v>
      </c>
      <c r="F159" s="85">
        <f t="shared" si="27"/>
        <v>0.55561173571746147</v>
      </c>
      <c r="G159" s="85">
        <f t="shared" si="27"/>
        <v>0.61118158837522574</v>
      </c>
      <c r="H159" s="85">
        <f t="shared" si="27"/>
        <v>0.57821467188676401</v>
      </c>
      <c r="I159" s="85">
        <f t="shared" si="27"/>
        <v>0.57697636384021034</v>
      </c>
      <c r="J159" s="85">
        <f t="shared" si="27"/>
        <v>0.60620027935995779</v>
      </c>
      <c r="K159" s="85">
        <f t="shared" si="27"/>
        <v>0.67154505116138263</v>
      </c>
      <c r="L159" s="85">
        <f t="shared" si="27"/>
        <v>0.56700774845417179</v>
      </c>
      <c r="M159" s="85">
        <f t="shared" si="27"/>
        <v>0.39898921420617844</v>
      </c>
      <c r="N159" s="85">
        <f t="shared" si="27"/>
        <v>0.39263340900277033</v>
      </c>
      <c r="O159" s="85">
        <f t="shared" si="27"/>
        <v>0.36362441155814562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502F-F3B4-415A-8945-E2C93CC4631C}">
  <dimension ref="A1:T301"/>
  <sheetViews>
    <sheetView zoomScale="85" zoomScaleNormal="85" workbookViewId="0">
      <pane xSplit="1" ySplit="1" topLeftCell="B155" activePane="bottomRight" state="frozen"/>
      <selection activeCell="P67" sqref="P67"/>
      <selection pane="topRight" activeCell="P67" sqref="P67"/>
      <selection pane="bottomLeft" activeCell="P67" sqref="P67"/>
      <selection pane="bottomRight" activeCell="P67" sqref="P67"/>
    </sheetView>
  </sheetViews>
  <sheetFormatPr defaultRowHeight="15" x14ac:dyDescent="0.25"/>
  <cols>
    <col min="2" max="9" width="15" customWidth="1"/>
    <col min="11" max="17" width="15" customWidth="1"/>
    <col min="19" max="20" width="15" customWidth="1"/>
  </cols>
  <sheetData>
    <row r="1" spans="1:20" ht="45" x14ac:dyDescent="0.25">
      <c r="B1" s="12" t="s">
        <v>51</v>
      </c>
      <c r="C1" s="12" t="s">
        <v>52</v>
      </c>
      <c r="D1" s="12" t="s">
        <v>53</v>
      </c>
      <c r="E1" s="12" t="s">
        <v>54</v>
      </c>
      <c r="F1" s="12" t="s">
        <v>55</v>
      </c>
      <c r="G1" s="12" t="s">
        <v>56</v>
      </c>
      <c r="H1" s="12" t="s">
        <v>57</v>
      </c>
      <c r="I1" s="12" t="s">
        <v>58</v>
      </c>
      <c r="J1">
        <f>(34.4/31.77)-1</f>
        <v>8.2782499213094107E-2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S1" s="12" t="s">
        <v>59</v>
      </c>
      <c r="T1" s="12" t="s">
        <v>60</v>
      </c>
    </row>
    <row r="2" spans="1:20" ht="15.75" x14ac:dyDescent="0.25">
      <c r="A2" s="13">
        <v>40544</v>
      </c>
      <c r="B2" s="14">
        <f>'Feedstock Use'!B4</f>
        <v>150</v>
      </c>
      <c r="C2" s="14">
        <f>'Feedstock Use'!B20</f>
        <v>8</v>
      </c>
      <c r="D2" s="14">
        <f>'Feedstock Use'!B36</f>
        <v>17</v>
      </c>
      <c r="E2" s="14">
        <f>'Feedstock Use'!B52</f>
        <v>11</v>
      </c>
      <c r="F2" s="14">
        <f>'Feedstock Use'!B68</f>
        <v>27</v>
      </c>
      <c r="G2" s="14">
        <f>'Feedstock Use'!B84</f>
        <v>31</v>
      </c>
      <c r="H2" s="14">
        <f>'Feedstock Use'!B100</f>
        <v>14</v>
      </c>
      <c r="I2" s="14">
        <f>SUM(B2:H2)</f>
        <v>258</v>
      </c>
      <c r="K2" s="15">
        <f>B2/$I2</f>
        <v>0.58139534883720934</v>
      </c>
      <c r="L2" s="15">
        <f t="shared" ref="L2:Q17" si="0">C2/$I2</f>
        <v>3.1007751937984496E-2</v>
      </c>
      <c r="M2" s="15">
        <f t="shared" si="0"/>
        <v>6.589147286821706E-2</v>
      </c>
      <c r="N2" s="15">
        <f t="shared" si="0"/>
        <v>4.2635658914728682E-2</v>
      </c>
      <c r="O2" s="15">
        <f t="shared" si="0"/>
        <v>0.10465116279069768</v>
      </c>
      <c r="P2" s="15">
        <f t="shared" si="0"/>
        <v>0.12015503875968993</v>
      </c>
      <c r="Q2" s="15">
        <f t="shared" si="0"/>
        <v>5.4263565891472867E-2</v>
      </c>
      <c r="S2" s="15">
        <f>SUM(B2:C2)/$I2</f>
        <v>0.61240310077519378</v>
      </c>
      <c r="T2" s="15">
        <f>1-S2</f>
        <v>0.38759689922480622</v>
      </c>
    </row>
    <row r="3" spans="1:20" ht="15.75" x14ac:dyDescent="0.25">
      <c r="A3" s="13">
        <v>40575</v>
      </c>
      <c r="B3" s="14">
        <f>'Feedstock Use'!B5</f>
        <v>150</v>
      </c>
      <c r="C3" s="14">
        <f>'Feedstock Use'!B21</f>
        <v>26</v>
      </c>
      <c r="D3" s="14">
        <f>'Feedstock Use'!B37</f>
        <v>13</v>
      </c>
      <c r="E3" s="14">
        <f>'Feedstock Use'!B53</f>
        <v>11</v>
      </c>
      <c r="F3" s="14">
        <f>'Feedstock Use'!B69</f>
        <v>28.5</v>
      </c>
      <c r="G3" s="14">
        <f>'Feedstock Use'!B85</f>
        <v>48</v>
      </c>
      <c r="H3" s="14">
        <f>'Feedstock Use'!B101</f>
        <v>14</v>
      </c>
      <c r="I3" s="14">
        <f>SUM(B3:H3)</f>
        <v>290.5</v>
      </c>
      <c r="K3" s="15">
        <f t="shared" ref="K3:Q52" si="1">B3/$I3</f>
        <v>0.51635111876075734</v>
      </c>
      <c r="L3" s="15">
        <f t="shared" si="0"/>
        <v>8.9500860585197933E-2</v>
      </c>
      <c r="M3" s="15">
        <f t="shared" si="0"/>
        <v>4.4750430292598967E-2</v>
      </c>
      <c r="N3" s="15">
        <f t="shared" si="0"/>
        <v>3.7865748709122203E-2</v>
      </c>
      <c r="O3" s="15">
        <f t="shared" si="0"/>
        <v>9.8106712564543896E-2</v>
      </c>
      <c r="P3" s="15">
        <f t="shared" si="0"/>
        <v>0.16523235800344235</v>
      </c>
      <c r="Q3" s="15">
        <f t="shared" si="0"/>
        <v>4.8192771084337352E-2</v>
      </c>
      <c r="S3" s="15">
        <f t="shared" ref="S3:S66" si="2">SUM(B3:C3)/$I3</f>
        <v>0.60585197934595525</v>
      </c>
      <c r="T3" s="15">
        <f t="shared" ref="T3:T66" si="3">1-S3</f>
        <v>0.39414802065404475</v>
      </c>
    </row>
    <row r="4" spans="1:20" ht="15.75" x14ac:dyDescent="0.25">
      <c r="A4" s="13">
        <v>40603</v>
      </c>
      <c r="B4" s="14">
        <f>'Feedstock Use'!B6</f>
        <v>190</v>
      </c>
      <c r="C4" s="14">
        <f>'Feedstock Use'!B22</f>
        <v>68</v>
      </c>
      <c r="D4" s="14">
        <f>'Feedstock Use'!B38</f>
        <v>14</v>
      </c>
      <c r="E4" s="14">
        <f>'Feedstock Use'!B54</f>
        <v>27</v>
      </c>
      <c r="F4" s="14">
        <f>'Feedstock Use'!B70</f>
        <v>49.5</v>
      </c>
      <c r="G4" s="14">
        <f>'Feedstock Use'!B86</f>
        <v>60</v>
      </c>
      <c r="H4" s="14">
        <f>'Feedstock Use'!B102</f>
        <v>19</v>
      </c>
      <c r="I4" s="14">
        <f t="shared" ref="I4:I14" si="4">SUM(B4:H4)</f>
        <v>427.5</v>
      </c>
      <c r="K4" s="15">
        <f t="shared" si="1"/>
        <v>0.44444444444444442</v>
      </c>
      <c r="L4" s="15">
        <f t="shared" si="0"/>
        <v>0.15906432748538013</v>
      </c>
      <c r="M4" s="15">
        <f t="shared" si="0"/>
        <v>3.2748538011695909E-2</v>
      </c>
      <c r="N4" s="15">
        <f t="shared" si="0"/>
        <v>6.3157894736842107E-2</v>
      </c>
      <c r="O4" s="15">
        <f t="shared" si="0"/>
        <v>0.11578947368421053</v>
      </c>
      <c r="P4" s="15">
        <f t="shared" si="0"/>
        <v>0.14035087719298245</v>
      </c>
      <c r="Q4" s="15">
        <f t="shared" si="0"/>
        <v>4.4444444444444446E-2</v>
      </c>
      <c r="S4" s="15">
        <f t="shared" si="2"/>
        <v>0.60350877192982455</v>
      </c>
      <c r="T4" s="15">
        <f t="shared" si="3"/>
        <v>0.39649122807017545</v>
      </c>
    </row>
    <row r="5" spans="1:20" ht="15.75" x14ac:dyDescent="0.25">
      <c r="A5" s="13">
        <v>40634</v>
      </c>
      <c r="B5" s="14">
        <f>'Feedstock Use'!B7</f>
        <v>236</v>
      </c>
      <c r="C5" s="14">
        <f>'Feedstock Use'!B23</f>
        <v>88</v>
      </c>
      <c r="D5" s="14">
        <f>'Feedstock Use'!B39</f>
        <v>20</v>
      </c>
      <c r="E5" s="14">
        <f>'Feedstock Use'!B55</f>
        <v>47</v>
      </c>
      <c r="F5" s="14">
        <f>'Feedstock Use'!B71</f>
        <v>78</v>
      </c>
      <c r="G5" s="14">
        <f>'Feedstock Use'!B87</f>
        <v>55</v>
      </c>
      <c r="H5" s="14">
        <f>'Feedstock Use'!B103</f>
        <v>15</v>
      </c>
      <c r="I5" s="14">
        <f t="shared" si="4"/>
        <v>539</v>
      </c>
      <c r="K5" s="15">
        <f t="shared" si="1"/>
        <v>0.43784786641929502</v>
      </c>
      <c r="L5" s="15">
        <f t="shared" si="0"/>
        <v>0.16326530612244897</v>
      </c>
      <c r="M5" s="15">
        <f t="shared" si="0"/>
        <v>3.7105751391465679E-2</v>
      </c>
      <c r="N5" s="15">
        <f t="shared" si="0"/>
        <v>8.7198515769944335E-2</v>
      </c>
      <c r="O5" s="15">
        <f t="shared" si="0"/>
        <v>0.14471243042671614</v>
      </c>
      <c r="P5" s="15">
        <f t="shared" si="0"/>
        <v>0.10204081632653061</v>
      </c>
      <c r="Q5" s="15">
        <f t="shared" si="0"/>
        <v>2.7829313543599257E-2</v>
      </c>
      <c r="S5" s="15">
        <f t="shared" si="2"/>
        <v>0.60111317254174401</v>
      </c>
      <c r="T5" s="15">
        <f t="shared" si="3"/>
        <v>0.39888682745825599</v>
      </c>
    </row>
    <row r="6" spans="1:20" ht="15.75" x14ac:dyDescent="0.25">
      <c r="A6" s="13">
        <v>40664</v>
      </c>
      <c r="B6" s="14">
        <f>'Feedstock Use'!B8</f>
        <v>264</v>
      </c>
      <c r="C6" s="14">
        <f>'Feedstock Use'!B24</f>
        <v>113</v>
      </c>
      <c r="D6" s="14">
        <f>'Feedstock Use'!B40</f>
        <v>21</v>
      </c>
      <c r="E6" s="14">
        <f>'Feedstock Use'!B56</f>
        <v>36</v>
      </c>
      <c r="F6" s="14">
        <f>'Feedstock Use'!B72</f>
        <v>61.5</v>
      </c>
      <c r="G6" s="14">
        <f>'Feedstock Use'!B88</f>
        <v>57</v>
      </c>
      <c r="H6" s="14">
        <f>'Feedstock Use'!B104</f>
        <v>16</v>
      </c>
      <c r="I6" s="14">
        <f t="shared" si="4"/>
        <v>568.5</v>
      </c>
      <c r="K6" s="15">
        <f t="shared" si="1"/>
        <v>0.46437994722955145</v>
      </c>
      <c r="L6" s="15">
        <f t="shared" si="0"/>
        <v>0.19876868953386104</v>
      </c>
      <c r="M6" s="15">
        <f t="shared" si="0"/>
        <v>3.6939313984168866E-2</v>
      </c>
      <c r="N6" s="15">
        <f t="shared" si="0"/>
        <v>6.3324538258575203E-2</v>
      </c>
      <c r="O6" s="15">
        <f t="shared" si="0"/>
        <v>0.10817941952506596</v>
      </c>
      <c r="P6" s="15">
        <f t="shared" si="0"/>
        <v>0.10026385224274406</v>
      </c>
      <c r="Q6" s="15">
        <f t="shared" si="0"/>
        <v>2.8144239226033423E-2</v>
      </c>
      <c r="S6" s="15">
        <f t="shared" si="2"/>
        <v>0.66314863676341251</v>
      </c>
      <c r="T6" s="15">
        <f t="shared" si="3"/>
        <v>0.33685136323658749</v>
      </c>
    </row>
    <row r="7" spans="1:20" ht="15.75" x14ac:dyDescent="0.25">
      <c r="A7" s="13">
        <v>40695</v>
      </c>
      <c r="B7" s="14">
        <f>'Feedstock Use'!B9</f>
        <v>311</v>
      </c>
      <c r="C7" s="14">
        <f>'Feedstock Use'!B25</f>
        <v>75</v>
      </c>
      <c r="D7" s="14">
        <f>'Feedstock Use'!B41</f>
        <v>34</v>
      </c>
      <c r="E7" s="14">
        <f>'Feedstock Use'!B57</f>
        <v>49</v>
      </c>
      <c r="F7" s="14">
        <f>'Feedstock Use'!B73</f>
        <v>75</v>
      </c>
      <c r="G7" s="14">
        <f>'Feedstock Use'!B89</f>
        <v>55</v>
      </c>
      <c r="H7" s="14">
        <f>'Feedstock Use'!B105</f>
        <v>23</v>
      </c>
      <c r="I7" s="14">
        <f t="shared" si="4"/>
        <v>622</v>
      </c>
      <c r="K7" s="15">
        <f t="shared" si="1"/>
        <v>0.5</v>
      </c>
      <c r="L7" s="15">
        <f t="shared" si="0"/>
        <v>0.12057877813504823</v>
      </c>
      <c r="M7" s="15">
        <f t="shared" si="0"/>
        <v>5.4662379421221867E-2</v>
      </c>
      <c r="N7" s="15">
        <f t="shared" si="0"/>
        <v>7.8778135048231515E-2</v>
      </c>
      <c r="O7" s="15">
        <f t="shared" si="0"/>
        <v>0.12057877813504823</v>
      </c>
      <c r="P7" s="15">
        <f t="shared" si="0"/>
        <v>8.8424437299035374E-2</v>
      </c>
      <c r="Q7" s="15">
        <f t="shared" si="0"/>
        <v>3.6977491961414789E-2</v>
      </c>
      <c r="S7" s="15">
        <f t="shared" si="2"/>
        <v>0.62057877813504825</v>
      </c>
      <c r="T7" s="15">
        <f t="shared" si="3"/>
        <v>0.37942122186495175</v>
      </c>
    </row>
    <row r="8" spans="1:20" ht="15.75" x14ac:dyDescent="0.25">
      <c r="A8" s="13">
        <v>40725</v>
      </c>
      <c r="B8" s="14">
        <f>'Feedstock Use'!B10</f>
        <v>367</v>
      </c>
      <c r="C8" s="14">
        <f>'Feedstock Use'!B26</f>
        <v>77</v>
      </c>
      <c r="D8" s="14">
        <f>'Feedstock Use'!B42</f>
        <v>35</v>
      </c>
      <c r="E8" s="14">
        <f>'Feedstock Use'!B58</f>
        <v>64</v>
      </c>
      <c r="F8" s="14">
        <f>'Feedstock Use'!B74</f>
        <v>67.5</v>
      </c>
      <c r="G8" s="14">
        <f>'Feedstock Use'!B90</f>
        <v>49</v>
      </c>
      <c r="H8" s="14">
        <f>'Feedstock Use'!B106</f>
        <v>26</v>
      </c>
      <c r="I8" s="14">
        <f t="shared" si="4"/>
        <v>685.5</v>
      </c>
      <c r="K8" s="15">
        <f t="shared" si="1"/>
        <v>0.53537563822027712</v>
      </c>
      <c r="L8" s="15">
        <f t="shared" si="0"/>
        <v>0.11232676878191102</v>
      </c>
      <c r="M8" s="15">
        <f t="shared" si="0"/>
        <v>5.1057622173595912E-2</v>
      </c>
      <c r="N8" s="15">
        <f t="shared" si="0"/>
        <v>9.3362509117432532E-2</v>
      </c>
      <c r="O8" s="15">
        <f t="shared" si="0"/>
        <v>9.8468271334792121E-2</v>
      </c>
      <c r="P8" s="15">
        <f t="shared" si="0"/>
        <v>7.148067104303428E-2</v>
      </c>
      <c r="Q8" s="15">
        <f t="shared" si="0"/>
        <v>3.7928519328956967E-2</v>
      </c>
      <c r="S8" s="15">
        <f t="shared" si="2"/>
        <v>0.64770240700218817</v>
      </c>
      <c r="T8" s="15">
        <f t="shared" si="3"/>
        <v>0.35229759299781183</v>
      </c>
    </row>
    <row r="9" spans="1:20" ht="15.75" x14ac:dyDescent="0.25">
      <c r="A9" s="13">
        <v>40756</v>
      </c>
      <c r="B9" s="14">
        <f>'Feedstock Use'!B11</f>
        <v>398</v>
      </c>
      <c r="C9" s="14">
        <f>'Feedstock Use'!B27</f>
        <v>84</v>
      </c>
      <c r="D9" s="14">
        <f>'Feedstock Use'!B43</f>
        <v>37</v>
      </c>
      <c r="E9" s="14">
        <f>'Feedstock Use'!B59</f>
        <v>38</v>
      </c>
      <c r="F9" s="14">
        <f>'Feedstock Use'!B75</f>
        <v>70.5</v>
      </c>
      <c r="G9" s="14">
        <f>'Feedstock Use'!B91</f>
        <v>48</v>
      </c>
      <c r="H9" s="14">
        <f>'Feedstock Use'!B107</f>
        <v>34</v>
      </c>
      <c r="I9" s="14">
        <f t="shared" si="4"/>
        <v>709.5</v>
      </c>
      <c r="K9" s="15">
        <f t="shared" si="1"/>
        <v>0.56095842142353769</v>
      </c>
      <c r="L9" s="15">
        <f t="shared" si="0"/>
        <v>0.11839323467230443</v>
      </c>
      <c r="M9" s="15">
        <f t="shared" si="0"/>
        <v>5.2149400986610292E-2</v>
      </c>
      <c r="N9" s="15">
        <f t="shared" si="0"/>
        <v>5.3558844256518676E-2</v>
      </c>
      <c r="O9" s="15">
        <f t="shared" si="0"/>
        <v>9.9365750528541227E-2</v>
      </c>
      <c r="P9" s="15">
        <f t="shared" si="0"/>
        <v>6.765327695560254E-2</v>
      </c>
      <c r="Q9" s="15">
        <f t="shared" si="0"/>
        <v>4.7921071176885127E-2</v>
      </c>
      <c r="S9" s="15">
        <f t="shared" si="2"/>
        <v>0.67935165609584214</v>
      </c>
      <c r="T9" s="15">
        <f t="shared" si="3"/>
        <v>0.32064834390415786</v>
      </c>
    </row>
    <row r="10" spans="1:20" ht="15.75" x14ac:dyDescent="0.25">
      <c r="A10" s="13">
        <v>40787</v>
      </c>
      <c r="B10" s="14">
        <f>'Feedstock Use'!B12</f>
        <v>430</v>
      </c>
      <c r="C10" s="14">
        <f>'Feedstock Use'!B28</f>
        <v>84</v>
      </c>
      <c r="D10" s="14">
        <f>'Feedstock Use'!B44</f>
        <v>27</v>
      </c>
      <c r="E10" s="14">
        <f>'Feedstock Use'!B60</f>
        <v>49</v>
      </c>
      <c r="F10" s="14">
        <f>'Feedstock Use'!B76</f>
        <v>75</v>
      </c>
      <c r="G10" s="14">
        <f>'Feedstock Use'!B92</f>
        <v>40</v>
      </c>
      <c r="H10" s="14">
        <f>'Feedstock Use'!B108</f>
        <v>20</v>
      </c>
      <c r="I10" s="14">
        <f t="shared" si="4"/>
        <v>725</v>
      </c>
      <c r="K10" s="15">
        <f t="shared" si="1"/>
        <v>0.59310344827586203</v>
      </c>
      <c r="L10" s="15">
        <f t="shared" si="0"/>
        <v>0.11586206896551725</v>
      </c>
      <c r="M10" s="15">
        <f t="shared" si="0"/>
        <v>3.7241379310344824E-2</v>
      </c>
      <c r="N10" s="15">
        <f t="shared" si="0"/>
        <v>6.7586206896551718E-2</v>
      </c>
      <c r="O10" s="15">
        <f t="shared" si="0"/>
        <v>0.10344827586206896</v>
      </c>
      <c r="P10" s="15">
        <f t="shared" si="0"/>
        <v>5.5172413793103448E-2</v>
      </c>
      <c r="Q10" s="15">
        <f t="shared" si="0"/>
        <v>2.7586206896551724E-2</v>
      </c>
      <c r="S10" s="15">
        <f t="shared" si="2"/>
        <v>0.70896551724137935</v>
      </c>
      <c r="T10" s="15">
        <f t="shared" si="3"/>
        <v>0.29103448275862065</v>
      </c>
    </row>
    <row r="11" spans="1:20" ht="15.75" x14ac:dyDescent="0.25">
      <c r="A11" s="13">
        <v>40817</v>
      </c>
      <c r="B11" s="14">
        <f>'Feedstock Use'!B13</f>
        <v>527</v>
      </c>
      <c r="C11" s="14">
        <f>'Feedstock Use'!B29</f>
        <v>69</v>
      </c>
      <c r="D11" s="14">
        <f>'Feedstock Use'!B45</f>
        <v>30</v>
      </c>
      <c r="E11" s="14">
        <f>'Feedstock Use'!B61</f>
        <v>39</v>
      </c>
      <c r="F11" s="14">
        <f>'Feedstock Use'!B77</f>
        <v>88.301100571359115</v>
      </c>
      <c r="G11" s="14">
        <f>'Feedstock Use'!B93</f>
        <v>29</v>
      </c>
      <c r="H11" s="14">
        <f>'Feedstock Use'!B109</f>
        <v>31</v>
      </c>
      <c r="I11" s="14">
        <f t="shared" si="4"/>
        <v>813.30110057135914</v>
      </c>
      <c r="K11" s="15">
        <f t="shared" si="1"/>
        <v>0.64797649926917933</v>
      </c>
      <c r="L11" s="15">
        <f t="shared" si="0"/>
        <v>8.4839427798051939E-2</v>
      </c>
      <c r="M11" s="15">
        <f t="shared" si="0"/>
        <v>3.6886707738283453E-2</v>
      </c>
      <c r="N11" s="15">
        <f t="shared" si="0"/>
        <v>4.7952720059768486E-2</v>
      </c>
      <c r="O11" s="15">
        <f t="shared" si="0"/>
        <v>0.10857122965814991</v>
      </c>
      <c r="P11" s="15">
        <f t="shared" si="0"/>
        <v>3.5657150813674002E-2</v>
      </c>
      <c r="Q11" s="15">
        <f t="shared" si="0"/>
        <v>3.8116264662892897E-2</v>
      </c>
      <c r="S11" s="15">
        <f t="shared" si="2"/>
        <v>0.7328159270672312</v>
      </c>
      <c r="T11" s="15">
        <f t="shared" si="3"/>
        <v>0.2671840729327688</v>
      </c>
    </row>
    <row r="12" spans="1:20" ht="15.75" x14ac:dyDescent="0.25">
      <c r="A12" s="13">
        <v>40848</v>
      </c>
      <c r="B12" s="14">
        <f>'Feedstock Use'!B14</f>
        <v>538</v>
      </c>
      <c r="C12" s="14">
        <f>'Feedstock Use'!B30</f>
        <v>84</v>
      </c>
      <c r="D12" s="14">
        <f>'Feedstock Use'!B46</f>
        <v>27</v>
      </c>
      <c r="E12" s="14">
        <f>'Feedstock Use'!B62</f>
        <v>31</v>
      </c>
      <c r="F12" s="14">
        <f>'Feedstock Use'!B78</f>
        <v>74.731359083185168</v>
      </c>
      <c r="G12" s="14">
        <f>'Feedstock Use'!B94</f>
        <v>35</v>
      </c>
      <c r="H12" s="14">
        <f>'Feedstock Use'!B110</f>
        <v>13</v>
      </c>
      <c r="I12" s="14">
        <f t="shared" si="4"/>
        <v>802.73135908318523</v>
      </c>
      <c r="K12" s="15">
        <f t="shared" si="1"/>
        <v>0.67021176376423119</v>
      </c>
      <c r="L12" s="15">
        <f t="shared" si="0"/>
        <v>0.10464272891486139</v>
      </c>
      <c r="M12" s="15">
        <f t="shared" si="0"/>
        <v>3.3635162865491161E-2</v>
      </c>
      <c r="N12" s="15">
        <f t="shared" si="0"/>
        <v>3.8618149956675035E-2</v>
      </c>
      <c r="O12" s="15">
        <f t="shared" si="0"/>
        <v>9.3096349404534637E-2</v>
      </c>
      <c r="P12" s="15">
        <f t="shared" si="0"/>
        <v>4.3601137047858909E-2</v>
      </c>
      <c r="Q12" s="15">
        <f t="shared" si="0"/>
        <v>1.6194708046347595E-2</v>
      </c>
      <c r="S12" s="15">
        <f t="shared" si="2"/>
        <v>0.77485449267909257</v>
      </c>
      <c r="T12" s="15">
        <f t="shared" si="3"/>
        <v>0.22514550732090743</v>
      </c>
    </row>
    <row r="13" spans="1:20" ht="15.75" x14ac:dyDescent="0.25">
      <c r="A13" s="13">
        <v>40878</v>
      </c>
      <c r="B13" s="14">
        <f>'Feedstock Use'!B15</f>
        <v>592</v>
      </c>
      <c r="C13" s="14">
        <f>'Feedstock Use'!B31</f>
        <v>71</v>
      </c>
      <c r="D13" s="14">
        <f>'Feedstock Use'!B47</f>
        <v>30</v>
      </c>
      <c r="E13" s="14">
        <f>'Feedstock Use'!B63</f>
        <v>27</v>
      </c>
      <c r="F13" s="14">
        <f>'Feedstock Use'!B79</f>
        <v>76.786872832693035</v>
      </c>
      <c r="G13" s="14">
        <f>'Feedstock Use'!B95</f>
        <v>26</v>
      </c>
      <c r="H13" s="14">
        <f>'Feedstock Use'!B111</f>
        <v>15</v>
      </c>
      <c r="I13" s="14">
        <f t="shared" si="4"/>
        <v>837.78687283269301</v>
      </c>
      <c r="K13" s="15">
        <f t="shared" si="1"/>
        <v>0.70662362851109395</v>
      </c>
      <c r="L13" s="15">
        <f t="shared" si="0"/>
        <v>8.4747090581567014E-2</v>
      </c>
      <c r="M13" s="15">
        <f t="shared" si="0"/>
        <v>3.5808629823197331E-2</v>
      </c>
      <c r="N13" s="15">
        <f t="shared" si="0"/>
        <v>3.2227766840877595E-2</v>
      </c>
      <c r="O13" s="15">
        <f t="shared" si="0"/>
        <v>9.1654423484894429E-2</v>
      </c>
      <c r="P13" s="15">
        <f t="shared" si="0"/>
        <v>3.103414584677102E-2</v>
      </c>
      <c r="Q13" s="15">
        <f t="shared" si="0"/>
        <v>1.7904314911598666E-2</v>
      </c>
      <c r="S13" s="15">
        <f t="shared" si="2"/>
        <v>0.79137071909266099</v>
      </c>
      <c r="T13" s="15">
        <f t="shared" si="3"/>
        <v>0.20862928090733901</v>
      </c>
    </row>
    <row r="14" spans="1:20" ht="15.75" x14ac:dyDescent="0.25">
      <c r="A14" s="13">
        <v>40909</v>
      </c>
      <c r="B14" s="14">
        <f>'Feedstock Use'!C4</f>
        <v>306</v>
      </c>
      <c r="C14" s="14">
        <f>'Feedstock Use'!C20</f>
        <v>73</v>
      </c>
      <c r="D14" s="14">
        <f>'Feedstock Use'!C36</f>
        <v>50</v>
      </c>
      <c r="E14" s="14">
        <f>'Feedstock Use'!C52</f>
        <v>26</v>
      </c>
      <c r="F14" s="14">
        <f>'Feedstock Use'!C68</f>
        <v>71.749922246681862</v>
      </c>
      <c r="G14" s="14">
        <f>'Feedstock Use'!C84</f>
        <v>29</v>
      </c>
      <c r="H14" s="14">
        <f>'Feedstock Use'!C100</f>
        <v>20</v>
      </c>
      <c r="I14" s="14">
        <f t="shared" si="4"/>
        <v>575.74992224668188</v>
      </c>
      <c r="K14" s="15">
        <f t="shared" si="1"/>
        <v>0.53148074915222188</v>
      </c>
      <c r="L14" s="15">
        <f t="shared" si="0"/>
        <v>0.12679115911147779</v>
      </c>
      <c r="M14" s="15">
        <f t="shared" si="0"/>
        <v>8.6843259665395731E-2</v>
      </c>
      <c r="N14" s="15">
        <f t="shared" si="0"/>
        <v>4.5158495026005781E-2</v>
      </c>
      <c r="O14" s="15">
        <f t="shared" si="0"/>
        <v>0.12461994257281095</v>
      </c>
      <c r="P14" s="15">
        <f t="shared" si="0"/>
        <v>5.0369090605929527E-2</v>
      </c>
      <c r="Q14" s="15">
        <f t="shared" si="0"/>
        <v>3.4737303866158295E-2</v>
      </c>
      <c r="S14" s="15">
        <f t="shared" si="2"/>
        <v>0.65827190826369963</v>
      </c>
      <c r="T14" s="15">
        <f t="shared" si="3"/>
        <v>0.34172809173630037</v>
      </c>
    </row>
    <row r="15" spans="1:20" ht="15.75" x14ac:dyDescent="0.25">
      <c r="A15" s="13">
        <v>40940</v>
      </c>
      <c r="B15" s="14">
        <f>'Feedstock Use'!C5</f>
        <v>321</v>
      </c>
      <c r="C15" s="14">
        <f>'Feedstock Use'!C21</f>
        <v>90</v>
      </c>
      <c r="D15" s="14">
        <f>'Feedstock Use'!C37</f>
        <v>51</v>
      </c>
      <c r="E15" s="14">
        <f>'Feedstock Use'!C53</f>
        <v>20</v>
      </c>
      <c r="F15" s="14">
        <f>'Feedstock Use'!C69</f>
        <v>67.933079223477421</v>
      </c>
      <c r="G15" s="14">
        <f>'Feedstock Use'!C85</f>
        <v>29</v>
      </c>
      <c r="H15" s="14">
        <f>'Feedstock Use'!C101</f>
        <v>8</v>
      </c>
      <c r="I15" s="14">
        <f t="shared" ref="I15:I74" si="5">SUM(B15:H15)</f>
        <v>586.93307922347742</v>
      </c>
      <c r="K15" s="15">
        <f t="shared" si="1"/>
        <v>0.5469107320117117</v>
      </c>
      <c r="L15" s="15">
        <f t="shared" si="0"/>
        <v>0.15333945757337711</v>
      </c>
      <c r="M15" s="15">
        <f t="shared" si="0"/>
        <v>8.6892359291580359E-2</v>
      </c>
      <c r="N15" s="15">
        <f t="shared" si="0"/>
        <v>3.4075435016306027E-2</v>
      </c>
      <c r="O15" s="15">
        <f t="shared" si="0"/>
        <v>0.11574246132685868</v>
      </c>
      <c r="P15" s="15">
        <f t="shared" si="0"/>
        <v>4.9409380773643735E-2</v>
      </c>
      <c r="Q15" s="15">
        <f t="shared" si="0"/>
        <v>1.3630174006522409E-2</v>
      </c>
      <c r="S15" s="15">
        <f t="shared" si="2"/>
        <v>0.70025018958508878</v>
      </c>
      <c r="T15" s="15">
        <f t="shared" si="3"/>
        <v>0.29974981041491122</v>
      </c>
    </row>
    <row r="16" spans="1:20" ht="15.75" x14ac:dyDescent="0.25">
      <c r="A16" s="13">
        <v>40969</v>
      </c>
      <c r="B16" s="14">
        <f>'Feedstock Use'!C6</f>
        <v>388</v>
      </c>
      <c r="C16" s="14">
        <f>'Feedstock Use'!C22</f>
        <v>117</v>
      </c>
      <c r="D16" s="14">
        <f>'Feedstock Use'!C38</f>
        <v>54</v>
      </c>
      <c r="E16" s="14">
        <f>'Feedstock Use'!C54</f>
        <v>24</v>
      </c>
      <c r="F16" s="14">
        <f>'Feedstock Use'!C70</f>
        <v>112.13597405656884</v>
      </c>
      <c r="G16" s="14">
        <f>'Feedstock Use'!C86</f>
        <v>31</v>
      </c>
      <c r="H16" s="14">
        <f>'Feedstock Use'!C102</f>
        <v>11</v>
      </c>
      <c r="I16" s="14">
        <f t="shared" si="5"/>
        <v>737.13597405656878</v>
      </c>
      <c r="K16" s="15">
        <f t="shared" si="1"/>
        <v>0.52636150405844173</v>
      </c>
      <c r="L16" s="15">
        <f t="shared" si="0"/>
        <v>0.15872241230628267</v>
      </c>
      <c r="M16" s="15">
        <f t="shared" si="0"/>
        <v>7.3256497987515087E-2</v>
      </c>
      <c r="N16" s="15">
        <f t="shared" si="0"/>
        <v>3.2558443550006699E-2</v>
      </c>
      <c r="O16" s="15">
        <f t="shared" si="0"/>
        <v>0.15212386588524221</v>
      </c>
      <c r="P16" s="15">
        <f t="shared" si="0"/>
        <v>4.2054656252091989E-2</v>
      </c>
      <c r="Q16" s="15">
        <f t="shared" si="0"/>
        <v>1.4922619960419738E-2</v>
      </c>
      <c r="S16" s="15">
        <f t="shared" si="2"/>
        <v>0.68508391636472432</v>
      </c>
      <c r="T16" s="15">
        <f t="shared" si="3"/>
        <v>0.31491608363527568</v>
      </c>
    </row>
    <row r="17" spans="1:20" ht="15.75" x14ac:dyDescent="0.25">
      <c r="A17" s="13">
        <v>41000</v>
      </c>
      <c r="B17" s="14">
        <f>'Feedstock Use'!C7</f>
        <v>350</v>
      </c>
      <c r="C17" s="14">
        <f>'Feedstock Use'!C23</f>
        <v>112</v>
      </c>
      <c r="D17" s="14">
        <f>'Feedstock Use'!C39</f>
        <v>54</v>
      </c>
      <c r="E17" s="14">
        <f>'Feedstock Use'!C55</f>
        <v>45</v>
      </c>
      <c r="F17" s="14">
        <f>'Feedstock Use'!C71</f>
        <v>114.45766544235175</v>
      </c>
      <c r="G17" s="14">
        <f>'Feedstock Use'!C87</f>
        <v>41</v>
      </c>
      <c r="H17" s="14">
        <f>'Feedstock Use'!C103</f>
        <v>13</v>
      </c>
      <c r="I17" s="14">
        <f t="shared" si="5"/>
        <v>729.45766544235175</v>
      </c>
      <c r="K17" s="15">
        <f t="shared" si="1"/>
        <v>0.47980851608126684</v>
      </c>
      <c r="L17" s="15">
        <f t="shared" si="0"/>
        <v>0.15353872514600539</v>
      </c>
      <c r="M17" s="15">
        <f t="shared" si="0"/>
        <v>7.4027599623966878E-2</v>
      </c>
      <c r="N17" s="15">
        <f t="shared" si="0"/>
        <v>6.1689666353305736E-2</v>
      </c>
      <c r="O17" s="15">
        <f t="shared" si="0"/>
        <v>0.15690789317148826</v>
      </c>
      <c r="P17" s="15">
        <f t="shared" si="0"/>
        <v>5.6206140455234116E-2</v>
      </c>
      <c r="Q17" s="15">
        <f t="shared" si="0"/>
        <v>1.7821459168732769E-2</v>
      </c>
      <c r="S17" s="15">
        <f t="shared" si="2"/>
        <v>0.63334724122727226</v>
      </c>
      <c r="T17" s="15">
        <f t="shared" si="3"/>
        <v>0.36665275877272774</v>
      </c>
    </row>
    <row r="18" spans="1:20" ht="15.75" x14ac:dyDescent="0.25">
      <c r="A18" s="13">
        <v>41030</v>
      </c>
      <c r="B18" s="14">
        <f>'Feedstock Use'!C8</f>
        <v>429</v>
      </c>
      <c r="C18" s="14">
        <f>'Feedstock Use'!C24</f>
        <v>85</v>
      </c>
      <c r="D18" s="14">
        <f>'Feedstock Use'!C40</f>
        <v>56</v>
      </c>
      <c r="E18" s="14">
        <f>'Feedstock Use'!C56</f>
        <v>50</v>
      </c>
      <c r="F18" s="14">
        <f>'Feedstock Use'!C72</f>
        <v>106.22835254688174</v>
      </c>
      <c r="G18" s="14">
        <f>'Feedstock Use'!C88</f>
        <v>38</v>
      </c>
      <c r="H18" s="14">
        <f>'Feedstock Use'!C104</f>
        <v>16</v>
      </c>
      <c r="I18" s="14">
        <f t="shared" si="5"/>
        <v>780.22835254688175</v>
      </c>
      <c r="K18" s="15">
        <f t="shared" si="1"/>
        <v>0.54983902930420947</v>
      </c>
      <c r="L18" s="15">
        <f t="shared" si="1"/>
        <v>0.10894246501365455</v>
      </c>
      <c r="M18" s="15">
        <f t="shared" si="1"/>
        <v>7.1773859303113585E-2</v>
      </c>
      <c r="N18" s="15">
        <f t="shared" si="1"/>
        <v>6.4083802949208568E-2</v>
      </c>
      <c r="O18" s="15">
        <f t="shared" si="1"/>
        <v>0.13615033624466855</v>
      </c>
      <c r="P18" s="15">
        <f t="shared" si="1"/>
        <v>4.8703690241398506E-2</v>
      </c>
      <c r="Q18" s="15">
        <f t="shared" si="1"/>
        <v>2.0506816943746741E-2</v>
      </c>
      <c r="S18" s="15">
        <f t="shared" si="2"/>
        <v>0.65878149431786404</v>
      </c>
      <c r="T18" s="15">
        <f t="shared" si="3"/>
        <v>0.34121850568213596</v>
      </c>
    </row>
    <row r="19" spans="1:20" ht="15.75" x14ac:dyDescent="0.25">
      <c r="A19" s="13">
        <v>41061</v>
      </c>
      <c r="B19" s="14">
        <f>'Feedstock Use'!C9</f>
        <v>369</v>
      </c>
      <c r="C19" s="14">
        <f>'Feedstock Use'!C25</f>
        <v>103</v>
      </c>
      <c r="D19" s="14">
        <f>'Feedstock Use'!C41</f>
        <v>55</v>
      </c>
      <c r="E19" s="14">
        <f>'Feedstock Use'!C57</f>
        <v>28</v>
      </c>
      <c r="F19" s="14">
        <f>'Feedstock Use'!C73</f>
        <v>109.51967654786384</v>
      </c>
      <c r="G19" s="14">
        <f>'Feedstock Use'!C89</f>
        <v>39</v>
      </c>
      <c r="H19" s="14">
        <f>'Feedstock Use'!C105</f>
        <v>14</v>
      </c>
      <c r="I19" s="14">
        <f t="shared" si="5"/>
        <v>717.51967654786381</v>
      </c>
      <c r="K19" s="15">
        <f t="shared" si="1"/>
        <v>0.51427161102443297</v>
      </c>
      <c r="L19" s="15">
        <f t="shared" si="1"/>
        <v>0.14355007028595285</v>
      </c>
      <c r="M19" s="15">
        <f t="shared" si="1"/>
        <v>7.6652950152693272E-2</v>
      </c>
      <c r="N19" s="15">
        <f t="shared" si="1"/>
        <v>3.9023320077734756E-2</v>
      </c>
      <c r="O19" s="15">
        <f t="shared" si="1"/>
        <v>0.15263647831204538</v>
      </c>
      <c r="P19" s="15">
        <f t="shared" si="1"/>
        <v>5.4353910108273409E-2</v>
      </c>
      <c r="Q19" s="15">
        <f t="shared" si="1"/>
        <v>1.9511660038867378E-2</v>
      </c>
      <c r="S19" s="15">
        <f t="shared" si="2"/>
        <v>0.65782168131038588</v>
      </c>
      <c r="T19" s="15">
        <f t="shared" si="3"/>
        <v>0.34217831868961412</v>
      </c>
    </row>
    <row r="20" spans="1:20" ht="15.75" x14ac:dyDescent="0.25">
      <c r="A20" s="13">
        <v>41091</v>
      </c>
      <c r="B20" s="14">
        <f>'Feedstock Use'!C10</f>
        <v>347</v>
      </c>
      <c r="C20" s="14">
        <f>'Feedstock Use'!C26</f>
        <v>66</v>
      </c>
      <c r="D20" s="14">
        <f>'Feedstock Use'!C42</f>
        <v>54</v>
      </c>
      <c r="E20" s="14">
        <f>'Feedstock Use'!C58</f>
        <v>30</v>
      </c>
      <c r="F20" s="14">
        <f>'Feedstock Use'!C74</f>
        <v>122.60877093292811</v>
      </c>
      <c r="G20" s="14">
        <f>'Feedstock Use'!C90</f>
        <v>31</v>
      </c>
      <c r="H20" s="14">
        <f>'Feedstock Use'!C106</f>
        <v>20</v>
      </c>
      <c r="I20" s="14">
        <f t="shared" si="5"/>
        <v>670.60877093292811</v>
      </c>
      <c r="K20" s="15">
        <f t="shared" si="1"/>
        <v>0.5174402946106198</v>
      </c>
      <c r="L20" s="15">
        <f t="shared" si="1"/>
        <v>9.8418038744383027E-2</v>
      </c>
      <c r="M20" s="15">
        <f t="shared" si="1"/>
        <v>8.0523849881767931E-2</v>
      </c>
      <c r="N20" s="15">
        <f t="shared" si="1"/>
        <v>4.4735472156537739E-2</v>
      </c>
      <c r="O20" s="15">
        <f t="shared" si="1"/>
        <v>0.18283204194057731</v>
      </c>
      <c r="P20" s="15">
        <f t="shared" si="1"/>
        <v>4.6226654561755662E-2</v>
      </c>
      <c r="Q20" s="15">
        <f t="shared" si="1"/>
        <v>2.9823648104358492E-2</v>
      </c>
      <c r="S20" s="15">
        <f t="shared" si="2"/>
        <v>0.61585833335500284</v>
      </c>
      <c r="T20" s="15">
        <f t="shared" si="3"/>
        <v>0.38414166664499716</v>
      </c>
    </row>
    <row r="21" spans="1:20" ht="15.75" x14ac:dyDescent="0.25">
      <c r="A21" s="13">
        <v>41122</v>
      </c>
      <c r="B21" s="14">
        <f>'Feedstock Use'!C11</f>
        <v>385</v>
      </c>
      <c r="C21" s="14">
        <f>'Feedstock Use'!C27</f>
        <v>48</v>
      </c>
      <c r="D21" s="14">
        <f>'Feedstock Use'!C43</f>
        <v>59</v>
      </c>
      <c r="E21" s="14">
        <f>'Feedstock Use'!C59</f>
        <v>44</v>
      </c>
      <c r="F21" s="14">
        <f>'Feedstock Use'!C75</f>
        <v>123.6313848771066</v>
      </c>
      <c r="G21" s="14">
        <f>'Feedstock Use'!C91</f>
        <v>34</v>
      </c>
      <c r="H21" s="14">
        <f>'Feedstock Use'!C107</f>
        <v>21</v>
      </c>
      <c r="I21" s="14">
        <f t="shared" si="5"/>
        <v>714.6313848771066</v>
      </c>
      <c r="K21" s="15">
        <f t="shared" si="1"/>
        <v>0.53873928314274566</v>
      </c>
      <c r="L21" s="15">
        <f t="shared" si="1"/>
        <v>6.7167495041173489E-2</v>
      </c>
      <c r="M21" s="15">
        <f t="shared" si="1"/>
        <v>8.2560045988109079E-2</v>
      </c>
      <c r="N21" s="15">
        <f t="shared" si="1"/>
        <v>6.1570203787742361E-2</v>
      </c>
      <c r="O21" s="15">
        <f t="shared" si="1"/>
        <v>0.17300021730555143</v>
      </c>
      <c r="P21" s="15">
        <f t="shared" si="1"/>
        <v>4.7576975654164556E-2</v>
      </c>
      <c r="Q21" s="15">
        <f t="shared" si="1"/>
        <v>2.9385779080513402E-2</v>
      </c>
      <c r="S21" s="15">
        <f t="shared" si="2"/>
        <v>0.60590677818391914</v>
      </c>
      <c r="T21" s="15">
        <f t="shared" si="3"/>
        <v>0.39409322181608086</v>
      </c>
    </row>
    <row r="22" spans="1:20" ht="15.75" x14ac:dyDescent="0.25">
      <c r="A22" s="13">
        <v>41153</v>
      </c>
      <c r="B22" s="14">
        <f>'Feedstock Use'!C12</f>
        <v>322</v>
      </c>
      <c r="C22" s="14">
        <f>'Feedstock Use'!C28</f>
        <v>46</v>
      </c>
      <c r="D22" s="14">
        <f>'Feedstock Use'!C44</f>
        <v>55</v>
      </c>
      <c r="E22" s="14">
        <f>'Feedstock Use'!C60</f>
        <v>49</v>
      </c>
      <c r="F22" s="14">
        <f>'Feedstock Use'!C76</f>
        <v>109.33792938081203</v>
      </c>
      <c r="G22" s="14">
        <f>'Feedstock Use'!C92</f>
        <v>33</v>
      </c>
      <c r="H22" s="14">
        <f>'Feedstock Use'!C108</f>
        <v>19</v>
      </c>
      <c r="I22" s="14">
        <f t="shared" si="5"/>
        <v>633.33792938081206</v>
      </c>
      <c r="K22" s="15">
        <f t="shared" si="1"/>
        <v>0.50841736308893726</v>
      </c>
      <c r="L22" s="15">
        <f t="shared" si="1"/>
        <v>7.2631051869848168E-2</v>
      </c>
      <c r="M22" s="15">
        <f t="shared" si="1"/>
        <v>8.6841475061774989E-2</v>
      </c>
      <c r="N22" s="15">
        <f t="shared" si="1"/>
        <v>7.7367859600490446E-2</v>
      </c>
      <c r="O22" s="15">
        <f t="shared" si="1"/>
        <v>0.1726375830478164</v>
      </c>
      <c r="P22" s="15">
        <f t="shared" si="1"/>
        <v>5.2104885037064994E-2</v>
      </c>
      <c r="Q22" s="15">
        <f t="shared" si="1"/>
        <v>2.9999782294067724E-2</v>
      </c>
      <c r="S22" s="15">
        <f t="shared" si="2"/>
        <v>0.58104841495878534</v>
      </c>
      <c r="T22" s="15">
        <f t="shared" si="3"/>
        <v>0.41895158504121466</v>
      </c>
    </row>
    <row r="23" spans="1:20" ht="15.75" x14ac:dyDescent="0.25">
      <c r="A23" s="13">
        <v>41183</v>
      </c>
      <c r="B23" s="14">
        <f>'Feedstock Use'!C13</f>
        <v>307</v>
      </c>
      <c r="C23" s="14">
        <f>'Feedstock Use'!C29</f>
        <v>16</v>
      </c>
      <c r="D23" s="14">
        <f>'Feedstock Use'!C45</f>
        <v>59</v>
      </c>
      <c r="E23" s="14">
        <f>'Feedstock Use'!C61</f>
        <v>44</v>
      </c>
      <c r="F23" s="14">
        <f>'Feedstock Use'!C77</f>
        <v>101.99418103725806</v>
      </c>
      <c r="G23" s="14">
        <f>'Feedstock Use'!C93</f>
        <v>41</v>
      </c>
      <c r="H23" s="14">
        <f>'Feedstock Use'!C109</f>
        <v>14</v>
      </c>
      <c r="I23" s="14">
        <f t="shared" si="5"/>
        <v>582.99418103725804</v>
      </c>
      <c r="K23" s="15">
        <f t="shared" si="1"/>
        <v>0.52659187687566333</v>
      </c>
      <c r="L23" s="15">
        <f t="shared" si="1"/>
        <v>2.7444527785050861E-2</v>
      </c>
      <c r="M23" s="15">
        <f t="shared" si="1"/>
        <v>0.10120169620737506</v>
      </c>
      <c r="N23" s="15">
        <f t="shared" si="1"/>
        <v>7.5472451408889862E-2</v>
      </c>
      <c r="O23" s="15">
        <f t="shared" si="1"/>
        <v>0.17494888346190854</v>
      </c>
      <c r="P23" s="15">
        <f t="shared" si="1"/>
        <v>7.0326602449192824E-2</v>
      </c>
      <c r="Q23" s="15">
        <f t="shared" si="1"/>
        <v>2.4013961811919504E-2</v>
      </c>
      <c r="S23" s="15">
        <f t="shared" si="2"/>
        <v>0.55403640466071424</v>
      </c>
      <c r="T23" s="15">
        <f t="shared" si="3"/>
        <v>0.44596359533928576</v>
      </c>
    </row>
    <row r="24" spans="1:20" ht="15.75" x14ac:dyDescent="0.25">
      <c r="A24" s="13">
        <v>41214</v>
      </c>
      <c r="B24" s="14">
        <f>'Feedstock Use'!C14</f>
        <v>246</v>
      </c>
      <c r="C24" s="14">
        <f>'Feedstock Use'!C30</f>
        <v>18</v>
      </c>
      <c r="D24" s="14">
        <f>'Feedstock Use'!C46</f>
        <v>48</v>
      </c>
      <c r="E24" s="14">
        <f>'Feedstock Use'!C62</f>
        <v>22</v>
      </c>
      <c r="F24" s="14">
        <f>'Feedstock Use'!C78</f>
        <v>70.122541748585405</v>
      </c>
      <c r="G24" s="14">
        <f>'Feedstock Use'!C94</f>
        <v>28</v>
      </c>
      <c r="H24" s="14">
        <f>'Feedstock Use'!C110</f>
        <v>11</v>
      </c>
      <c r="I24" s="14">
        <f t="shared" si="5"/>
        <v>443.12254174858538</v>
      </c>
      <c r="K24" s="15">
        <f t="shared" si="1"/>
        <v>0.55515117563026872</v>
      </c>
      <c r="L24" s="15">
        <f t="shared" si="1"/>
        <v>4.0620817729044051E-2</v>
      </c>
      <c r="M24" s="15">
        <f t="shared" si="1"/>
        <v>0.10832218061078414</v>
      </c>
      <c r="N24" s="15">
        <f t="shared" si="1"/>
        <v>4.9647666113276062E-2</v>
      </c>
      <c r="O24" s="15">
        <f t="shared" si="1"/>
        <v>0.15824638817036499</v>
      </c>
      <c r="P24" s="15">
        <f t="shared" si="1"/>
        <v>6.3187938689624079E-2</v>
      </c>
      <c r="Q24" s="15">
        <f t="shared" si="1"/>
        <v>2.4823833056638031E-2</v>
      </c>
      <c r="S24" s="15">
        <f t="shared" si="2"/>
        <v>0.59577199335931275</v>
      </c>
      <c r="T24" s="15">
        <f t="shared" si="3"/>
        <v>0.40422800664068725</v>
      </c>
    </row>
    <row r="25" spans="1:20" ht="15.75" x14ac:dyDescent="0.25">
      <c r="A25" s="13">
        <v>41244</v>
      </c>
      <c r="B25" s="14">
        <f>'Feedstock Use'!C15</f>
        <v>273</v>
      </c>
      <c r="C25" s="14">
        <f>'Feedstock Use'!C31</f>
        <v>16</v>
      </c>
      <c r="D25" s="14">
        <f>'Feedstock Use'!C47</f>
        <v>50</v>
      </c>
      <c r="E25" s="14">
        <f>'Feedstock Use'!C63</f>
        <v>3</v>
      </c>
      <c r="F25" s="14">
        <f>'Feedstock Use'!C79</f>
        <v>74.593220759376976</v>
      </c>
      <c r="G25" s="14">
        <f>'Feedstock Use'!C95</f>
        <v>35</v>
      </c>
      <c r="H25" s="14">
        <f>'Feedstock Use'!C111</f>
        <v>9</v>
      </c>
      <c r="I25" s="14">
        <f t="shared" si="5"/>
        <v>460.593220759377</v>
      </c>
      <c r="K25" s="15">
        <f t="shared" si="1"/>
        <v>0.59271389090335869</v>
      </c>
      <c r="L25" s="15">
        <f t="shared" si="1"/>
        <v>3.4737810455874506E-2</v>
      </c>
      <c r="M25" s="15">
        <f t="shared" si="1"/>
        <v>0.10855565767460783</v>
      </c>
      <c r="N25" s="15">
        <f t="shared" si="1"/>
        <v>6.5133394604764694E-3</v>
      </c>
      <c r="O25" s="15">
        <f t="shared" si="1"/>
        <v>0.16195032275202753</v>
      </c>
      <c r="P25" s="15">
        <f t="shared" si="1"/>
        <v>7.5988960372225481E-2</v>
      </c>
      <c r="Q25" s="15">
        <f t="shared" si="1"/>
        <v>1.9540018381429408E-2</v>
      </c>
      <c r="S25" s="15">
        <f t="shared" si="2"/>
        <v>0.62745170135923323</v>
      </c>
      <c r="T25" s="15">
        <f t="shared" si="3"/>
        <v>0.37254829864076677</v>
      </c>
    </row>
    <row r="26" spans="1:20" ht="15.75" x14ac:dyDescent="0.25">
      <c r="A26" s="13">
        <v>41275</v>
      </c>
      <c r="B26" s="14">
        <f>'Feedstock Use'!D4</f>
        <v>313</v>
      </c>
      <c r="C26" s="14">
        <f>'Feedstock Use'!D20</f>
        <v>16</v>
      </c>
      <c r="D26" s="14">
        <f>'Feedstock Use'!D36</f>
        <v>60</v>
      </c>
      <c r="E26" s="14">
        <f>'Feedstock Use'!D52</f>
        <v>15</v>
      </c>
      <c r="F26" s="14">
        <f>'Feedstock Use'!D68</f>
        <v>84.837973530370633</v>
      </c>
      <c r="G26" s="14">
        <f>'Feedstock Use'!D84</f>
        <v>31</v>
      </c>
      <c r="H26" s="14">
        <f>'Feedstock Use'!D100</f>
        <v>7</v>
      </c>
      <c r="I26" s="14">
        <f t="shared" si="5"/>
        <v>526.83797353037062</v>
      </c>
      <c r="K26" s="15">
        <f t="shared" si="1"/>
        <v>0.59411055338811203</v>
      </c>
      <c r="L26" s="15">
        <f t="shared" si="1"/>
        <v>3.0369868543801252E-2</v>
      </c>
      <c r="M26" s="15">
        <f t="shared" si="1"/>
        <v>0.1138870070392547</v>
      </c>
      <c r="N26" s="15">
        <f t="shared" si="1"/>
        <v>2.8471751759813674E-2</v>
      </c>
      <c r="O26" s="15">
        <f t="shared" si="1"/>
        <v>0.16103238147749041</v>
      </c>
      <c r="P26" s="15">
        <f t="shared" si="1"/>
        <v>5.8841620303614929E-2</v>
      </c>
      <c r="Q26" s="15">
        <f t="shared" si="1"/>
        <v>1.3286817487913048E-2</v>
      </c>
      <c r="S26" s="15">
        <f t="shared" si="2"/>
        <v>0.62448042193191322</v>
      </c>
      <c r="T26" s="15">
        <f t="shared" si="3"/>
        <v>0.37551957806808678</v>
      </c>
    </row>
    <row r="27" spans="1:20" ht="15.75" x14ac:dyDescent="0.25">
      <c r="A27" s="13">
        <v>41306</v>
      </c>
      <c r="B27" s="14">
        <f>'Feedstock Use'!D5</f>
        <v>287</v>
      </c>
      <c r="C27" s="14">
        <f>'Feedstock Use'!D21</f>
        <v>38</v>
      </c>
      <c r="D27" s="14">
        <f>'Feedstock Use'!D37</f>
        <v>61</v>
      </c>
      <c r="E27" s="14">
        <f>'Feedstock Use'!D53</f>
        <v>28</v>
      </c>
      <c r="F27" s="14">
        <f>'Feedstock Use'!D69</f>
        <v>91.612444216057696</v>
      </c>
      <c r="G27" s="14">
        <f>'Feedstock Use'!D85</f>
        <v>32</v>
      </c>
      <c r="H27" s="14">
        <f>'Feedstock Use'!D101</f>
        <v>8</v>
      </c>
      <c r="I27" s="14">
        <f t="shared" si="5"/>
        <v>545.61244421605772</v>
      </c>
      <c r="K27" s="15">
        <f t="shared" si="1"/>
        <v>0.52601439546043516</v>
      </c>
      <c r="L27" s="15">
        <f t="shared" si="1"/>
        <v>6.9646505322287583E-2</v>
      </c>
      <c r="M27" s="15">
        <f t="shared" si="1"/>
        <v>0.11180096906998796</v>
      </c>
      <c r="N27" s="15">
        <f t="shared" si="1"/>
        <v>5.1318477605896112E-2</v>
      </c>
      <c r="O27" s="15">
        <f t="shared" si="1"/>
        <v>0.16790754167582728</v>
      </c>
      <c r="P27" s="15">
        <f t="shared" si="1"/>
        <v>5.8649688692452698E-2</v>
      </c>
      <c r="Q27" s="15">
        <f t="shared" si="1"/>
        <v>1.4662422173113174E-2</v>
      </c>
      <c r="S27" s="15">
        <f t="shared" si="2"/>
        <v>0.59566090078272271</v>
      </c>
      <c r="T27" s="15">
        <f t="shared" si="3"/>
        <v>0.40433909921727729</v>
      </c>
    </row>
    <row r="28" spans="1:20" ht="15.75" x14ac:dyDescent="0.25">
      <c r="A28" s="13">
        <v>41334</v>
      </c>
      <c r="B28" s="14">
        <f>'Feedstock Use'!D6</f>
        <v>443</v>
      </c>
      <c r="C28" s="14">
        <f>'Feedstock Use'!D22</f>
        <v>39</v>
      </c>
      <c r="D28" s="14">
        <f>'Feedstock Use'!D38</f>
        <v>71</v>
      </c>
      <c r="E28" s="14">
        <f>'Feedstock Use'!D54</f>
        <v>53</v>
      </c>
      <c r="F28" s="14">
        <f>'Feedstock Use'!D70</f>
        <v>120.67604776264768</v>
      </c>
      <c r="G28" s="14">
        <f>'Feedstock Use'!D86</f>
        <v>36</v>
      </c>
      <c r="H28" s="14">
        <f>'Feedstock Use'!D102</f>
        <v>9</v>
      </c>
      <c r="I28" s="14">
        <f t="shared" si="5"/>
        <v>771.67604776264773</v>
      </c>
      <c r="K28" s="15">
        <f t="shared" si="1"/>
        <v>0.57407509444462901</v>
      </c>
      <c r="L28" s="15">
        <f t="shared" si="1"/>
        <v>5.0539342400317225E-2</v>
      </c>
      <c r="M28" s="15">
        <f t="shared" si="1"/>
        <v>9.2007520780064689E-2</v>
      </c>
      <c r="N28" s="15">
        <f t="shared" si="1"/>
        <v>6.8681670441456733E-2</v>
      </c>
      <c r="O28" s="15">
        <f t="shared" si="1"/>
        <v>0.15638174608701247</v>
      </c>
      <c r="P28" s="15">
        <f t="shared" si="1"/>
        <v>4.6651700677215899E-2</v>
      </c>
      <c r="Q28" s="15">
        <f t="shared" si="1"/>
        <v>1.1662925169303975E-2</v>
      </c>
      <c r="S28" s="15">
        <f t="shared" si="2"/>
        <v>0.62461443684494622</v>
      </c>
      <c r="T28" s="15">
        <f t="shared" si="3"/>
        <v>0.37538556315505378</v>
      </c>
    </row>
    <row r="29" spans="1:20" ht="15.75" x14ac:dyDescent="0.25">
      <c r="A29" s="13">
        <v>41365</v>
      </c>
      <c r="B29" s="14">
        <f>'Feedstock Use'!D7</f>
        <v>423</v>
      </c>
      <c r="C29" s="14">
        <f>'Feedstock Use'!D23</f>
        <v>47</v>
      </c>
      <c r="D29" s="14">
        <f>'Feedstock Use'!D39</f>
        <v>71</v>
      </c>
      <c r="E29" s="14">
        <f>'Feedstock Use'!D55</f>
        <v>56</v>
      </c>
      <c r="F29" s="14">
        <f>'Feedstock Use'!D71</f>
        <v>130.4908950834924</v>
      </c>
      <c r="G29" s="14">
        <f>'Feedstock Use'!D87</f>
        <v>48</v>
      </c>
      <c r="H29" s="14">
        <f>'Feedstock Use'!D103</f>
        <v>15</v>
      </c>
      <c r="I29" s="14">
        <f t="shared" si="5"/>
        <v>790.49089508349243</v>
      </c>
      <c r="K29" s="15">
        <f t="shared" si="1"/>
        <v>0.53511052768713085</v>
      </c>
      <c r="L29" s="15">
        <f t="shared" si="1"/>
        <v>5.9456725298570094E-2</v>
      </c>
      <c r="M29" s="15">
        <f t="shared" si="1"/>
        <v>8.9817606302095246E-2</v>
      </c>
      <c r="N29" s="15">
        <f t="shared" si="1"/>
        <v>7.0842055674892018E-2</v>
      </c>
      <c r="O29" s="15">
        <f t="shared" si="1"/>
        <v>0.16507577240305826</v>
      </c>
      <c r="P29" s="15">
        <f t="shared" si="1"/>
        <v>6.0721762007050303E-2</v>
      </c>
      <c r="Q29" s="15">
        <f t="shared" si="1"/>
        <v>1.8975550627203221E-2</v>
      </c>
      <c r="S29" s="15">
        <f t="shared" si="2"/>
        <v>0.5945672529857009</v>
      </c>
      <c r="T29" s="15">
        <f t="shared" si="3"/>
        <v>0.4054327470142991</v>
      </c>
    </row>
    <row r="30" spans="1:20" ht="15.75" x14ac:dyDescent="0.25">
      <c r="A30" s="13">
        <v>41395</v>
      </c>
      <c r="B30" s="14">
        <f>'Feedstock Use'!D8</f>
        <v>416</v>
      </c>
      <c r="C30" s="14">
        <f>'Feedstock Use'!D24</f>
        <v>33</v>
      </c>
      <c r="D30" s="14">
        <f>'Feedstock Use'!D40</f>
        <v>91</v>
      </c>
      <c r="E30" s="14">
        <f>'Feedstock Use'!D56</f>
        <v>61</v>
      </c>
      <c r="F30" s="14">
        <f>'Feedstock Use'!D72</f>
        <v>142.24048537704158</v>
      </c>
      <c r="G30" s="14">
        <f>'Feedstock Use'!D88</f>
        <v>41</v>
      </c>
      <c r="H30" s="14">
        <f>'Feedstock Use'!D104</f>
        <v>20</v>
      </c>
      <c r="I30" s="14">
        <f t="shared" si="5"/>
        <v>804.24048537704152</v>
      </c>
      <c r="K30" s="15">
        <f t="shared" si="1"/>
        <v>0.51725821761506097</v>
      </c>
      <c r="L30" s="15">
        <f t="shared" si="1"/>
        <v>4.103250283965628E-2</v>
      </c>
      <c r="M30" s="15">
        <f t="shared" si="1"/>
        <v>0.11315023510329458</v>
      </c>
      <c r="N30" s="15">
        <f t="shared" si="1"/>
        <v>7.5847959794516154E-2</v>
      </c>
      <c r="O30" s="15">
        <f t="shared" si="1"/>
        <v>0.17686312485295594</v>
      </c>
      <c r="P30" s="15">
        <f t="shared" si="1"/>
        <v>5.0979776255330525E-2</v>
      </c>
      <c r="Q30" s="15">
        <f t="shared" si="1"/>
        <v>2.4868183539185622E-2</v>
      </c>
      <c r="S30" s="15">
        <f t="shared" si="2"/>
        <v>0.55829072045471728</v>
      </c>
      <c r="T30" s="15">
        <f t="shared" si="3"/>
        <v>0.44170927954528272</v>
      </c>
    </row>
    <row r="31" spans="1:20" ht="15.75" x14ac:dyDescent="0.25">
      <c r="A31" s="13">
        <v>41426</v>
      </c>
      <c r="B31" s="14">
        <f>'Feedstock Use'!D9</f>
        <v>486</v>
      </c>
      <c r="C31" s="14">
        <f>'Feedstock Use'!D25</f>
        <v>28</v>
      </c>
      <c r="D31" s="14">
        <f>'Feedstock Use'!D41</f>
        <v>98</v>
      </c>
      <c r="E31" s="14">
        <f>'Feedstock Use'!D57</f>
        <v>58</v>
      </c>
      <c r="F31" s="14">
        <f>'Feedstock Use'!D73</f>
        <v>148.01671350566491</v>
      </c>
      <c r="G31" s="14">
        <f>'Feedstock Use'!D89</f>
        <v>41</v>
      </c>
      <c r="H31" s="14">
        <f>'Feedstock Use'!D105</f>
        <v>19</v>
      </c>
      <c r="I31" s="14">
        <f t="shared" si="5"/>
        <v>878.01671350566494</v>
      </c>
      <c r="K31" s="15">
        <f t="shared" si="1"/>
        <v>0.55352021496213166</v>
      </c>
      <c r="L31" s="15">
        <f t="shared" si="1"/>
        <v>3.1890053536912932E-2</v>
      </c>
      <c r="M31" s="15">
        <f t="shared" si="1"/>
        <v>0.11161518737919526</v>
      </c>
      <c r="N31" s="15">
        <f t="shared" si="1"/>
        <v>6.6057968040748219E-2</v>
      </c>
      <c r="O31" s="15">
        <f t="shared" si="1"/>
        <v>0.16858074707334134</v>
      </c>
      <c r="P31" s="15">
        <f t="shared" si="1"/>
        <v>4.6696149821908221E-2</v>
      </c>
      <c r="Q31" s="15">
        <f t="shared" si="1"/>
        <v>2.1639679185762348E-2</v>
      </c>
      <c r="S31" s="15">
        <f t="shared" si="2"/>
        <v>0.58541026849904454</v>
      </c>
      <c r="T31" s="15">
        <f t="shared" si="3"/>
        <v>0.41458973150095546</v>
      </c>
    </row>
    <row r="32" spans="1:20" ht="15.75" x14ac:dyDescent="0.25">
      <c r="A32" s="13">
        <v>41456</v>
      </c>
      <c r="B32" s="14">
        <f>'Feedstock Use'!D10</f>
        <v>480</v>
      </c>
      <c r="C32" s="14">
        <f>'Feedstock Use'!D26</f>
        <v>55</v>
      </c>
      <c r="D32" s="14">
        <f>'Feedstock Use'!D42</f>
        <v>108</v>
      </c>
      <c r="E32" s="14">
        <f>'Feedstock Use'!D58</f>
        <v>50</v>
      </c>
      <c r="F32" s="14">
        <f>'Feedstock Use'!D74</f>
        <v>201.30648973579014</v>
      </c>
      <c r="G32" s="14">
        <f>'Feedstock Use'!D90</f>
        <v>43</v>
      </c>
      <c r="H32" s="14">
        <f>'Feedstock Use'!D106</f>
        <v>17</v>
      </c>
      <c r="I32" s="14">
        <f t="shared" si="5"/>
        <v>954.30648973579014</v>
      </c>
      <c r="K32" s="15">
        <f t="shared" si="1"/>
        <v>0.50298306169215412</v>
      </c>
      <c r="L32" s="15">
        <f t="shared" si="1"/>
        <v>5.7633475818892665E-2</v>
      </c>
      <c r="M32" s="15">
        <f t="shared" si="1"/>
        <v>0.11317118888073469</v>
      </c>
      <c r="N32" s="15">
        <f t="shared" si="1"/>
        <v>5.2394068926266059E-2</v>
      </c>
      <c r="O32" s="15">
        <f t="shared" si="1"/>
        <v>0.21094532197043317</v>
      </c>
      <c r="P32" s="15">
        <f t="shared" si="1"/>
        <v>4.5058899276588807E-2</v>
      </c>
      <c r="Q32" s="15">
        <f t="shared" si="1"/>
        <v>1.7813983434930458E-2</v>
      </c>
      <c r="S32" s="15">
        <f t="shared" si="2"/>
        <v>0.56061653751104679</v>
      </c>
      <c r="T32" s="15">
        <f t="shared" si="3"/>
        <v>0.43938346248895321</v>
      </c>
    </row>
    <row r="33" spans="1:20" ht="15.75" x14ac:dyDescent="0.25">
      <c r="A33" s="13">
        <v>41487</v>
      </c>
      <c r="B33" s="14">
        <f>'Feedstock Use'!D11</f>
        <v>513</v>
      </c>
      <c r="C33" s="14">
        <f>'Feedstock Use'!D27</f>
        <v>79</v>
      </c>
      <c r="D33" s="14">
        <f>'Feedstock Use'!D43</f>
        <v>106</v>
      </c>
      <c r="E33" s="14">
        <f>'Feedstock Use'!D59</f>
        <v>51</v>
      </c>
      <c r="F33" s="14">
        <f>'Feedstock Use'!D75</f>
        <v>184.49413127436313</v>
      </c>
      <c r="G33" s="14">
        <f>'Feedstock Use'!D91</f>
        <v>41</v>
      </c>
      <c r="H33" s="14">
        <f>'Feedstock Use'!D107</f>
        <v>17</v>
      </c>
      <c r="I33" s="14">
        <f t="shared" si="5"/>
        <v>991.4941312743631</v>
      </c>
      <c r="K33" s="15">
        <f t="shared" si="1"/>
        <v>0.51740094451254426</v>
      </c>
      <c r="L33" s="15">
        <f t="shared" si="1"/>
        <v>7.9677728297253406E-2</v>
      </c>
      <c r="M33" s="15">
        <f t="shared" si="1"/>
        <v>0.10690935695580836</v>
      </c>
      <c r="N33" s="15">
        <f t="shared" si="1"/>
        <v>5.1437520799492702E-2</v>
      </c>
      <c r="O33" s="15">
        <f t="shared" si="1"/>
        <v>0.18607687676096843</v>
      </c>
      <c r="P33" s="15">
        <f t="shared" si="1"/>
        <v>4.135173240743531E-2</v>
      </c>
      <c r="Q33" s="15">
        <f t="shared" si="1"/>
        <v>1.7145840266497566E-2</v>
      </c>
      <c r="S33" s="15">
        <f t="shared" si="2"/>
        <v>0.59707867280979765</v>
      </c>
      <c r="T33" s="15">
        <f t="shared" si="3"/>
        <v>0.40292132719020235</v>
      </c>
    </row>
    <row r="34" spans="1:20" ht="15.75" x14ac:dyDescent="0.25">
      <c r="A34" s="13">
        <v>41518</v>
      </c>
      <c r="B34" s="14">
        <f>'Feedstock Use'!D12</f>
        <v>502</v>
      </c>
      <c r="C34" s="14">
        <f>'Feedstock Use'!D28</f>
        <v>44</v>
      </c>
      <c r="D34" s="14">
        <f>'Feedstock Use'!D44</f>
        <v>95</v>
      </c>
      <c r="E34" s="14">
        <f>'Feedstock Use'!D60</f>
        <v>50</v>
      </c>
      <c r="F34" s="14">
        <f>'Feedstock Use'!D76</f>
        <v>204.84610174582969</v>
      </c>
      <c r="G34" s="14">
        <f>'Feedstock Use'!D92</f>
        <v>38</v>
      </c>
      <c r="H34" s="14">
        <f>'Feedstock Use'!D108</f>
        <v>14</v>
      </c>
      <c r="I34" s="14">
        <f t="shared" si="5"/>
        <v>947.84610174582963</v>
      </c>
      <c r="K34" s="15">
        <f t="shared" si="1"/>
        <v>0.52962184375224042</v>
      </c>
      <c r="L34" s="15">
        <f t="shared" si="1"/>
        <v>4.6421038097805935E-2</v>
      </c>
      <c r="M34" s="15">
        <f t="shared" si="1"/>
        <v>0.10022724134753555</v>
      </c>
      <c r="N34" s="15">
        <f t="shared" si="1"/>
        <v>5.2751179656597653E-2</v>
      </c>
      <c r="O34" s="15">
        <f t="shared" si="1"/>
        <v>0.21611747030295889</v>
      </c>
      <c r="P34" s="15">
        <f t="shared" si="1"/>
        <v>4.0090896539014216E-2</v>
      </c>
      <c r="Q34" s="15">
        <f t="shared" si="1"/>
        <v>1.4770330303847343E-2</v>
      </c>
      <c r="S34" s="15">
        <f t="shared" si="2"/>
        <v>0.57604288185004637</v>
      </c>
      <c r="T34" s="15">
        <f t="shared" si="3"/>
        <v>0.42395711814995363</v>
      </c>
    </row>
    <row r="35" spans="1:20" ht="15.75" x14ac:dyDescent="0.25">
      <c r="A35" s="13">
        <v>41548</v>
      </c>
      <c r="B35" s="14">
        <f>'Feedstock Use'!D13</f>
        <v>551</v>
      </c>
      <c r="C35" s="14">
        <f>'Feedstock Use'!D29</f>
        <v>82</v>
      </c>
      <c r="D35" s="14">
        <f>'Feedstock Use'!D45</f>
        <v>103</v>
      </c>
      <c r="E35" s="14">
        <f>'Feedstock Use'!D61</f>
        <v>23</v>
      </c>
      <c r="F35" s="14">
        <f>'Feedstock Use'!D77</f>
        <v>208.9829475830652</v>
      </c>
      <c r="G35" s="14">
        <f>'Feedstock Use'!D93</f>
        <v>36</v>
      </c>
      <c r="H35" s="14">
        <f>'Feedstock Use'!D109</f>
        <v>13</v>
      </c>
      <c r="I35" s="14">
        <f t="shared" si="5"/>
        <v>1016.9829475830652</v>
      </c>
      <c r="K35" s="15">
        <f t="shared" si="1"/>
        <v>0.54179866172731017</v>
      </c>
      <c r="L35" s="15">
        <f t="shared" si="1"/>
        <v>8.063065383237647E-2</v>
      </c>
      <c r="M35" s="15">
        <f t="shared" si="1"/>
        <v>0.1012799676187168</v>
      </c>
      <c r="N35" s="15">
        <f t="shared" si="1"/>
        <v>2.2615915099325107E-2</v>
      </c>
      <c r="O35" s="15">
        <f t="shared" si="1"/>
        <v>0.20549306955414401</v>
      </c>
      <c r="P35" s="15">
        <f t="shared" si="1"/>
        <v>3.5398823633726255E-2</v>
      </c>
      <c r="Q35" s="15">
        <f t="shared" si="1"/>
        <v>1.2782908534401149E-2</v>
      </c>
      <c r="S35" s="15">
        <f t="shared" si="2"/>
        <v>0.62242931555968672</v>
      </c>
      <c r="T35" s="15">
        <f t="shared" si="3"/>
        <v>0.37757068444031328</v>
      </c>
    </row>
    <row r="36" spans="1:20" ht="15.75" x14ac:dyDescent="0.25">
      <c r="A36" s="13">
        <v>41579</v>
      </c>
      <c r="B36" s="14">
        <f>'Feedstock Use'!D14</f>
        <v>535</v>
      </c>
      <c r="C36" s="14">
        <f>'Feedstock Use'!D30</f>
        <v>80</v>
      </c>
      <c r="D36" s="14">
        <f>'Feedstock Use'!D46</f>
        <v>98</v>
      </c>
      <c r="E36" s="14">
        <f>'Feedstock Use'!D62</f>
        <v>12</v>
      </c>
      <c r="F36" s="14">
        <f>'Feedstock Use'!D78</f>
        <v>185.88381369663469</v>
      </c>
      <c r="G36" s="14">
        <f>'Feedstock Use'!D94</f>
        <v>34</v>
      </c>
      <c r="H36" s="14">
        <f>'Feedstock Use'!D110</f>
        <v>11</v>
      </c>
      <c r="I36" s="14">
        <f t="shared" si="5"/>
        <v>955.88381369663466</v>
      </c>
      <c r="K36" s="15">
        <f t="shared" si="1"/>
        <v>0.55969145238585549</v>
      </c>
      <c r="L36" s="15">
        <f t="shared" si="1"/>
        <v>8.3692179796015786E-2</v>
      </c>
      <c r="M36" s="15">
        <f t="shared" si="1"/>
        <v>0.10252292025011933</v>
      </c>
      <c r="N36" s="15">
        <f t="shared" si="1"/>
        <v>1.2553826969402368E-2</v>
      </c>
      <c r="O36" s="15">
        <f t="shared" si="1"/>
        <v>0.19446276946334815</v>
      </c>
      <c r="P36" s="15">
        <f t="shared" si="1"/>
        <v>3.5569176413306709E-2</v>
      </c>
      <c r="Q36" s="15">
        <f t="shared" si="1"/>
        <v>1.1507674721952171E-2</v>
      </c>
      <c r="S36" s="15">
        <f t="shared" si="2"/>
        <v>0.64338363218187133</v>
      </c>
      <c r="T36" s="15">
        <f t="shared" si="3"/>
        <v>0.35661636781812867</v>
      </c>
    </row>
    <row r="37" spans="1:20" ht="15.75" x14ac:dyDescent="0.25">
      <c r="A37" s="13">
        <v>41609</v>
      </c>
      <c r="B37" s="14">
        <f>'Feedstock Use'!D15</f>
        <v>559</v>
      </c>
      <c r="C37" s="14">
        <f>'Feedstock Use'!D31</f>
        <v>105</v>
      </c>
      <c r="D37" s="14">
        <f>'Feedstock Use'!D47</f>
        <v>104</v>
      </c>
      <c r="E37" s="14">
        <f>'Feedstock Use'!D63</f>
        <v>8</v>
      </c>
      <c r="F37" s="14">
        <f>'Feedstock Use'!D79</f>
        <v>184.4639026570886</v>
      </c>
      <c r="G37" s="14">
        <f>'Feedstock Use'!D95</f>
        <v>45</v>
      </c>
      <c r="H37" s="14">
        <f>'Feedstock Use'!D111</f>
        <v>11</v>
      </c>
      <c r="I37" s="14">
        <f t="shared" si="5"/>
        <v>1016.4639026570886</v>
      </c>
      <c r="K37" s="15">
        <f t="shared" si="1"/>
        <v>0.54994574675868513</v>
      </c>
      <c r="L37" s="15">
        <f t="shared" si="1"/>
        <v>0.10329929053606786</v>
      </c>
      <c r="M37" s="15">
        <f t="shared" si="1"/>
        <v>0.10231548776905769</v>
      </c>
      <c r="N37" s="15">
        <f t="shared" si="1"/>
        <v>7.8704221360813616E-3</v>
      </c>
      <c r="O37" s="15">
        <f t="shared" si="1"/>
        <v>0.18147609784753843</v>
      </c>
      <c r="P37" s="15">
        <f t="shared" si="1"/>
        <v>4.4271124515457658E-2</v>
      </c>
      <c r="Q37" s="15">
        <f t="shared" si="1"/>
        <v>1.0821830437111872E-2</v>
      </c>
      <c r="S37" s="15">
        <f t="shared" si="2"/>
        <v>0.65324503729475292</v>
      </c>
      <c r="T37" s="15">
        <f t="shared" si="3"/>
        <v>0.34675496270524708</v>
      </c>
    </row>
    <row r="38" spans="1:20" ht="15.75" x14ac:dyDescent="0.25">
      <c r="A38" s="13">
        <v>41640</v>
      </c>
      <c r="B38" s="14">
        <f>'Feedstock Use'!E4</f>
        <v>241</v>
      </c>
      <c r="C38" s="14">
        <f>'Feedstock Use'!E20</f>
        <v>36</v>
      </c>
      <c r="D38" s="14">
        <f>'Feedstock Use'!E36</f>
        <v>73</v>
      </c>
      <c r="E38" s="14">
        <f>'Feedstock Use'!E52</f>
        <v>5</v>
      </c>
      <c r="F38" s="14">
        <f>'Feedstock Use'!E68</f>
        <v>134.27819366392629</v>
      </c>
      <c r="G38" s="14">
        <f>'Feedstock Use'!E84</f>
        <v>25</v>
      </c>
      <c r="H38" s="14">
        <f>'Feedstock Use'!E100</f>
        <v>2</v>
      </c>
      <c r="I38" s="14">
        <f t="shared" si="5"/>
        <v>516.27819366392623</v>
      </c>
      <c r="K38" s="15">
        <f t="shared" si="1"/>
        <v>0.46680259394585261</v>
      </c>
      <c r="L38" s="15">
        <f t="shared" si="1"/>
        <v>6.9729848058301624E-2</v>
      </c>
      <c r="M38" s="15">
        <f t="shared" si="1"/>
        <v>0.14139663634044497</v>
      </c>
      <c r="N38" s="15">
        <f t="shared" si="1"/>
        <v>9.6847011192085601E-3</v>
      </c>
      <c r="O38" s="15">
        <f t="shared" si="1"/>
        <v>0.26008883449246611</v>
      </c>
      <c r="P38" s="15">
        <f t="shared" si="1"/>
        <v>4.8423505596042797E-2</v>
      </c>
      <c r="Q38" s="15">
        <f t="shared" si="1"/>
        <v>3.8738804476834239E-3</v>
      </c>
      <c r="S38" s="15">
        <f t="shared" si="2"/>
        <v>0.53653244200415418</v>
      </c>
      <c r="T38" s="15">
        <f t="shared" si="3"/>
        <v>0.46346755799584582</v>
      </c>
    </row>
    <row r="39" spans="1:20" ht="15.75" x14ac:dyDescent="0.25">
      <c r="A39" s="13">
        <v>41671</v>
      </c>
      <c r="B39" s="14">
        <f>'Feedstock Use'!E5</f>
        <v>277</v>
      </c>
      <c r="C39" s="14">
        <f>'Feedstock Use'!E21</f>
        <v>27</v>
      </c>
      <c r="D39" s="14">
        <f>'Feedstock Use'!E37</f>
        <v>54</v>
      </c>
      <c r="E39" s="14">
        <f>'Feedstock Use'!E53</f>
        <v>21</v>
      </c>
      <c r="F39" s="14">
        <f>'Feedstock Use'!E69</f>
        <v>165.62733342402439</v>
      </c>
      <c r="G39" s="14">
        <f>'Feedstock Use'!E85</f>
        <v>41</v>
      </c>
      <c r="H39" s="14">
        <f>'Feedstock Use'!E101</f>
        <v>6</v>
      </c>
      <c r="I39" s="14">
        <f t="shared" si="5"/>
        <v>591.62733342402441</v>
      </c>
      <c r="K39" s="15">
        <f t="shared" si="1"/>
        <v>0.4682001394304609</v>
      </c>
      <c r="L39" s="15">
        <f t="shared" si="1"/>
        <v>4.5636836695387886E-2</v>
      </c>
      <c r="M39" s="15">
        <f t="shared" si="1"/>
        <v>9.1273673390775772E-2</v>
      </c>
      <c r="N39" s="15">
        <f t="shared" si="1"/>
        <v>3.5495317429746133E-2</v>
      </c>
      <c r="O39" s="15">
        <f t="shared" si="1"/>
        <v>0.27995213213943554</v>
      </c>
      <c r="P39" s="15">
        <f t="shared" si="1"/>
        <v>6.930038164855197E-2</v>
      </c>
      <c r="Q39" s="15">
        <f t="shared" si="1"/>
        <v>1.0141519265641752E-2</v>
      </c>
      <c r="S39" s="15">
        <f t="shared" si="2"/>
        <v>0.51383697612584878</v>
      </c>
      <c r="T39" s="15">
        <f t="shared" si="3"/>
        <v>0.48616302387415122</v>
      </c>
    </row>
    <row r="40" spans="1:20" ht="15.75" x14ac:dyDescent="0.25">
      <c r="A40" s="13">
        <v>41699</v>
      </c>
      <c r="B40" s="14">
        <f>'Feedstock Use'!E6</f>
        <v>379</v>
      </c>
      <c r="C40" s="14">
        <f>'Feedstock Use'!E22</f>
        <v>32</v>
      </c>
      <c r="D40" s="14">
        <f>'Feedstock Use'!E38</f>
        <v>77</v>
      </c>
      <c r="E40" s="14">
        <f>'Feedstock Use'!E54</f>
        <v>43</v>
      </c>
      <c r="F40" s="14">
        <f>'Feedstock Use'!E70</f>
        <v>201.85156949541152</v>
      </c>
      <c r="G40" s="14">
        <f>'Feedstock Use'!E86</f>
        <v>41</v>
      </c>
      <c r="H40" s="14">
        <f>'Feedstock Use'!E102</f>
        <v>13</v>
      </c>
      <c r="I40" s="14">
        <f t="shared" si="5"/>
        <v>786.85156949541147</v>
      </c>
      <c r="K40" s="15">
        <f t="shared" si="1"/>
        <v>0.48166644726024166</v>
      </c>
      <c r="L40" s="15">
        <f t="shared" si="1"/>
        <v>4.0668407156537557E-2</v>
      </c>
      <c r="M40" s="15">
        <f t="shared" si="1"/>
        <v>9.7858354720418497E-2</v>
      </c>
      <c r="N40" s="15">
        <f t="shared" si="1"/>
        <v>5.4648172116597338E-2</v>
      </c>
      <c r="O40" s="15">
        <f t="shared" si="1"/>
        <v>0.2565306816695479</v>
      </c>
      <c r="P40" s="15">
        <f t="shared" si="1"/>
        <v>5.2106396669313743E-2</v>
      </c>
      <c r="Q40" s="15">
        <f t="shared" si="1"/>
        <v>1.6521540407343382E-2</v>
      </c>
      <c r="S40" s="15">
        <f t="shared" si="2"/>
        <v>0.52233485441677929</v>
      </c>
      <c r="T40" s="15">
        <f t="shared" si="3"/>
        <v>0.47766514558322071</v>
      </c>
    </row>
    <row r="41" spans="1:20" ht="15.75" x14ac:dyDescent="0.25">
      <c r="A41" s="13">
        <v>41730</v>
      </c>
      <c r="B41" s="14">
        <f>'Feedstock Use'!E7</f>
        <v>360</v>
      </c>
      <c r="C41" s="14">
        <f>'Feedstock Use'!E23</f>
        <v>58</v>
      </c>
      <c r="D41" s="14">
        <f>'Feedstock Use'!E39</f>
        <v>66</v>
      </c>
      <c r="E41" s="14">
        <f>'Feedstock Use'!E55</f>
        <v>33</v>
      </c>
      <c r="F41" s="14">
        <f>'Feedstock Use'!E71</f>
        <v>184.95888883899568</v>
      </c>
      <c r="G41" s="14">
        <f>'Feedstock Use'!E87</f>
        <v>39</v>
      </c>
      <c r="H41" s="14">
        <f>'Feedstock Use'!E103</f>
        <v>17</v>
      </c>
      <c r="I41" s="14">
        <f t="shared" si="5"/>
        <v>757.95888883899568</v>
      </c>
      <c r="K41" s="15">
        <f t="shared" si="1"/>
        <v>0.47495979702992913</v>
      </c>
      <c r="L41" s="15">
        <f t="shared" si="1"/>
        <v>7.6521300632599695E-2</v>
      </c>
      <c r="M41" s="15">
        <f t="shared" si="1"/>
        <v>8.7075962788820335E-2</v>
      </c>
      <c r="N41" s="15">
        <f t="shared" si="1"/>
        <v>4.3537981394410168E-2</v>
      </c>
      <c r="O41" s="15">
        <f t="shared" si="1"/>
        <v>0.24402232306069613</v>
      </c>
      <c r="P41" s="15">
        <f t="shared" si="1"/>
        <v>5.1453978011575655E-2</v>
      </c>
      <c r="Q41" s="15">
        <f t="shared" si="1"/>
        <v>2.2428657081968874E-2</v>
      </c>
      <c r="S41" s="15">
        <f t="shared" si="2"/>
        <v>0.55148109766252884</v>
      </c>
      <c r="T41" s="15">
        <f t="shared" si="3"/>
        <v>0.44851890233747116</v>
      </c>
    </row>
    <row r="42" spans="1:20" ht="15.75" x14ac:dyDescent="0.25">
      <c r="A42" s="13">
        <v>41760</v>
      </c>
      <c r="B42" s="14">
        <f>'Feedstock Use'!E8</f>
        <v>364</v>
      </c>
      <c r="C42" s="14">
        <f>'Feedstock Use'!E24</f>
        <v>68</v>
      </c>
      <c r="D42" s="14">
        <f>'Feedstock Use'!E40</f>
        <v>87</v>
      </c>
      <c r="E42" s="14">
        <f>'Feedstock Use'!E56</f>
        <v>48</v>
      </c>
      <c r="F42" s="14">
        <f>'Feedstock Use'!E72</f>
        <v>225.30109494107646</v>
      </c>
      <c r="G42" s="14">
        <f>'Feedstock Use'!E88</f>
        <v>46</v>
      </c>
      <c r="H42" s="14">
        <f>'Feedstock Use'!E104</f>
        <v>23</v>
      </c>
      <c r="I42" s="14">
        <f t="shared" si="5"/>
        <v>861.30109494107649</v>
      </c>
      <c r="K42" s="15">
        <f t="shared" si="1"/>
        <v>0.42261643708336633</v>
      </c>
      <c r="L42" s="15">
        <f t="shared" si="1"/>
        <v>7.895032341117833E-2</v>
      </c>
      <c r="M42" s="15">
        <f t="shared" si="1"/>
        <v>0.10100997259959581</v>
      </c>
      <c r="N42" s="15">
        <f t="shared" si="1"/>
        <v>5.572964005494941E-2</v>
      </c>
      <c r="O42" s="15">
        <f t="shared" si="1"/>
        <v>0.2615822692719203</v>
      </c>
      <c r="P42" s="15">
        <f t="shared" si="1"/>
        <v>5.3407571719326516E-2</v>
      </c>
      <c r="Q42" s="15">
        <f t="shared" si="1"/>
        <v>2.6703785859663258E-2</v>
      </c>
      <c r="S42" s="15">
        <f t="shared" si="2"/>
        <v>0.50156676049454463</v>
      </c>
      <c r="T42" s="15">
        <f t="shared" si="3"/>
        <v>0.49843323950545537</v>
      </c>
    </row>
    <row r="43" spans="1:20" ht="15.75" x14ac:dyDescent="0.25">
      <c r="A43" s="13">
        <v>41791</v>
      </c>
      <c r="B43" s="14">
        <f>'Feedstock Use'!E9</f>
        <v>466.61</v>
      </c>
      <c r="C43" s="14">
        <f>'Feedstock Use'!E25</f>
        <v>90.85</v>
      </c>
      <c r="D43" s="14">
        <f>'Feedstock Use'!E41</f>
        <v>75.36</v>
      </c>
      <c r="E43" s="14">
        <f>'Feedstock Use'!E57</f>
        <v>20.81</v>
      </c>
      <c r="F43" s="14">
        <f>'Feedstock Use'!E73</f>
        <v>194.61952490600132</v>
      </c>
      <c r="G43" s="14">
        <f>'Feedstock Use'!E89</f>
        <v>28.62</v>
      </c>
      <c r="H43" s="14">
        <f>'Feedstock Use'!E105</f>
        <v>17.78</v>
      </c>
      <c r="I43" s="14">
        <f t="shared" si="5"/>
        <v>894.64952490600126</v>
      </c>
      <c r="K43" s="15">
        <f t="shared" si="1"/>
        <v>0.521556192687886</v>
      </c>
      <c r="L43" s="15">
        <f t="shared" si="1"/>
        <v>0.10154814535842445</v>
      </c>
      <c r="M43" s="15">
        <f t="shared" si="1"/>
        <v>8.4234102743102557E-2</v>
      </c>
      <c r="N43" s="15">
        <f t="shared" si="1"/>
        <v>2.3260505282430521E-2</v>
      </c>
      <c r="O43" s="15">
        <f t="shared" si="1"/>
        <v>0.21753716901202125</v>
      </c>
      <c r="P43" s="15">
        <f t="shared" si="1"/>
        <v>3.1990180739219685E-2</v>
      </c>
      <c r="Q43" s="15">
        <f t="shared" si="1"/>
        <v>1.9873704176915651E-2</v>
      </c>
      <c r="S43" s="15">
        <f t="shared" si="2"/>
        <v>0.62310433804631038</v>
      </c>
      <c r="T43" s="15">
        <f t="shared" si="3"/>
        <v>0.37689566195368962</v>
      </c>
    </row>
    <row r="44" spans="1:20" ht="15.75" x14ac:dyDescent="0.25">
      <c r="A44" s="13">
        <v>41821</v>
      </c>
      <c r="B44" s="14">
        <f>'Feedstock Use'!E10</f>
        <v>434.63</v>
      </c>
      <c r="C44" s="14">
        <f>'Feedstock Use'!E26</f>
        <v>134.62</v>
      </c>
      <c r="D44" s="14">
        <f>'Feedstock Use'!E42</f>
        <v>90.71</v>
      </c>
      <c r="E44" s="14">
        <f>'Feedstock Use'!E58</f>
        <v>41.78</v>
      </c>
      <c r="F44" s="14">
        <f>'Feedstock Use'!E74</f>
        <v>202.88168854871856</v>
      </c>
      <c r="G44" s="14">
        <f>'Feedstock Use'!E90</f>
        <v>36.67</v>
      </c>
      <c r="H44" s="14">
        <f>'Feedstock Use'!E106</f>
        <v>21.67</v>
      </c>
      <c r="I44" s="14">
        <f t="shared" si="5"/>
        <v>962.96168854871848</v>
      </c>
      <c r="K44" s="15">
        <f t="shared" si="1"/>
        <v>0.45134713578795826</v>
      </c>
      <c r="L44" s="15">
        <f t="shared" si="1"/>
        <v>0.13979787732042184</v>
      </c>
      <c r="M44" s="15">
        <f t="shared" si="1"/>
        <v>9.4198970819606764E-2</v>
      </c>
      <c r="N44" s="15">
        <f t="shared" si="1"/>
        <v>4.3386980496562352E-2</v>
      </c>
      <c r="O44" s="15">
        <f t="shared" si="1"/>
        <v>0.21068510924300837</v>
      </c>
      <c r="P44" s="15">
        <f t="shared" si="1"/>
        <v>3.8080435012181467E-2</v>
      </c>
      <c r="Q44" s="15">
        <f t="shared" si="1"/>
        <v>2.250349132026104E-2</v>
      </c>
      <c r="S44" s="15">
        <f t="shared" si="2"/>
        <v>0.59114501310838008</v>
      </c>
      <c r="T44" s="15">
        <f t="shared" si="3"/>
        <v>0.40885498689161992</v>
      </c>
    </row>
    <row r="45" spans="1:20" ht="15.75" x14ac:dyDescent="0.25">
      <c r="A45" s="13">
        <v>41852</v>
      </c>
      <c r="B45" s="14">
        <f>'Feedstock Use'!E11</f>
        <v>447.81</v>
      </c>
      <c r="C45" s="14">
        <f>'Feedstock Use'!E27</f>
        <v>136.19999999999999</v>
      </c>
      <c r="D45" s="14">
        <f>'Feedstock Use'!E43</f>
        <v>90.76</v>
      </c>
      <c r="E45" s="14">
        <f>'Feedstock Use'!E59</f>
        <v>35.36</v>
      </c>
      <c r="F45" s="14">
        <f>'Feedstock Use'!E75</f>
        <v>162.95368595858972</v>
      </c>
      <c r="G45" s="14">
        <f>'Feedstock Use'!E91</f>
        <v>36.380000000000003</v>
      </c>
      <c r="H45" s="14">
        <f>'Feedstock Use'!E107</f>
        <v>15.43</v>
      </c>
      <c r="I45" s="14">
        <f t="shared" si="5"/>
        <v>924.89368595858969</v>
      </c>
      <c r="K45" s="15">
        <f t="shared" si="1"/>
        <v>0.48417456708645951</v>
      </c>
      <c r="L45" s="15">
        <f t="shared" si="1"/>
        <v>0.14726016845799733</v>
      </c>
      <c r="M45" s="15">
        <f t="shared" si="1"/>
        <v>9.8130197424727159E-2</v>
      </c>
      <c r="N45" s="15">
        <f t="shared" si="1"/>
        <v>3.823142112096025E-2</v>
      </c>
      <c r="O45" s="15">
        <f t="shared" si="1"/>
        <v>0.17618639680700085</v>
      </c>
      <c r="P45" s="15">
        <f t="shared" si="1"/>
        <v>3.9334250576372562E-2</v>
      </c>
      <c r="Q45" s="15">
        <f t="shared" si="1"/>
        <v>1.6682998526482369E-2</v>
      </c>
      <c r="S45" s="15">
        <f t="shared" si="2"/>
        <v>0.63143473554445684</v>
      </c>
      <c r="T45" s="15">
        <f t="shared" si="3"/>
        <v>0.36856526445554316</v>
      </c>
    </row>
    <row r="46" spans="1:20" ht="15.75" x14ac:dyDescent="0.25">
      <c r="A46" s="13">
        <v>41883</v>
      </c>
      <c r="B46" s="14">
        <f>'Feedstock Use'!E12</f>
        <v>395.21</v>
      </c>
      <c r="C46" s="14">
        <f>'Feedstock Use'!E28</f>
        <v>126.05</v>
      </c>
      <c r="D46" s="14">
        <f>'Feedstock Use'!E44</f>
        <v>91.86</v>
      </c>
      <c r="E46" s="14">
        <f>'Feedstock Use'!E60</f>
        <v>45.95</v>
      </c>
      <c r="F46" s="14">
        <f>'Feedstock Use'!E76</f>
        <v>180.55054721682976</v>
      </c>
      <c r="G46" s="14">
        <f>'Feedstock Use'!E92</f>
        <v>40.76</v>
      </c>
      <c r="H46" s="14">
        <f>'Feedstock Use'!E108</f>
        <v>17.54</v>
      </c>
      <c r="I46" s="14">
        <f t="shared" si="5"/>
        <v>897.92054721682973</v>
      </c>
      <c r="K46" s="15">
        <f t="shared" si="1"/>
        <v>0.44013916512433332</v>
      </c>
      <c r="L46" s="15">
        <f t="shared" si="1"/>
        <v>0.1403799037572992</v>
      </c>
      <c r="M46" s="15">
        <f t="shared" si="1"/>
        <v>0.10230303815268152</v>
      </c>
      <c r="N46" s="15">
        <f t="shared" si="1"/>
        <v>5.1173792761982542E-2</v>
      </c>
      <c r="O46" s="15">
        <f t="shared" si="1"/>
        <v>0.20107630655792358</v>
      </c>
      <c r="P46" s="15">
        <f t="shared" si="1"/>
        <v>4.5393771337941417E-2</v>
      </c>
      <c r="Q46" s="15">
        <f t="shared" si="1"/>
        <v>1.9534022307838381E-2</v>
      </c>
      <c r="S46" s="15">
        <f t="shared" si="2"/>
        <v>0.58051906888163252</v>
      </c>
      <c r="T46" s="15">
        <f t="shared" si="3"/>
        <v>0.41948093111836748</v>
      </c>
    </row>
    <row r="47" spans="1:20" ht="15.75" x14ac:dyDescent="0.25">
      <c r="A47" s="13">
        <v>41913</v>
      </c>
      <c r="B47" s="14">
        <f>'Feedstock Use'!E13</f>
        <v>458.81</v>
      </c>
      <c r="C47" s="14">
        <f>'Feedstock Use'!E29</f>
        <v>132.9</v>
      </c>
      <c r="D47" s="14">
        <f>'Feedstock Use'!E45</f>
        <v>86.27</v>
      </c>
      <c r="E47" s="14">
        <f>'Feedstock Use'!E61</f>
        <v>28.74</v>
      </c>
      <c r="F47" s="14">
        <f>'Feedstock Use'!E77</f>
        <v>204.89480276308342</v>
      </c>
      <c r="G47" s="14">
        <f>'Feedstock Use'!E93</f>
        <v>33.450000000000003</v>
      </c>
      <c r="H47" s="14">
        <f>'Feedstock Use'!E109</f>
        <v>12.46</v>
      </c>
      <c r="I47" s="14">
        <f t="shared" si="5"/>
        <v>957.52480276308347</v>
      </c>
      <c r="K47" s="15">
        <f t="shared" si="1"/>
        <v>0.47916252265845644</v>
      </c>
      <c r="L47" s="15">
        <f t="shared" si="1"/>
        <v>0.13879536030450265</v>
      </c>
      <c r="M47" s="15">
        <f t="shared" si="1"/>
        <v>9.0096882870349448E-2</v>
      </c>
      <c r="N47" s="15">
        <f t="shared" si="1"/>
        <v>3.0014888300612535E-2</v>
      </c>
      <c r="O47" s="15">
        <f t="shared" si="1"/>
        <v>0.21398380717849635</v>
      </c>
      <c r="P47" s="15">
        <f t="shared" si="1"/>
        <v>3.4933820934428997E-2</v>
      </c>
      <c r="Q47" s="15">
        <f t="shared" si="1"/>
        <v>1.3012717753153522E-2</v>
      </c>
      <c r="S47" s="15">
        <f t="shared" si="2"/>
        <v>0.61795788296295906</v>
      </c>
      <c r="T47" s="15">
        <f t="shared" si="3"/>
        <v>0.38204211703704094</v>
      </c>
    </row>
    <row r="48" spans="1:20" ht="15.75" x14ac:dyDescent="0.25">
      <c r="A48" s="13">
        <v>41944</v>
      </c>
      <c r="B48" s="14">
        <f>'Feedstock Use'!E14</f>
        <v>447.12</v>
      </c>
      <c r="C48" s="14">
        <f>'Feedstock Use'!E30</f>
        <v>121.03</v>
      </c>
      <c r="D48" s="14">
        <f>'Feedstock Use'!E46</f>
        <v>84.13</v>
      </c>
      <c r="E48" s="14">
        <f>'Feedstock Use'!E62</f>
        <v>12.3</v>
      </c>
      <c r="F48" s="14">
        <f>'Feedstock Use'!E78</f>
        <v>169.65083737578541</v>
      </c>
      <c r="G48" s="14">
        <f>'Feedstock Use'!E94</f>
        <v>23.92</v>
      </c>
      <c r="H48" s="14">
        <f>'Feedstock Use'!E110</f>
        <v>14.9</v>
      </c>
      <c r="I48" s="14">
        <f t="shared" si="5"/>
        <v>873.05083737578525</v>
      </c>
      <c r="K48" s="15">
        <f t="shared" si="1"/>
        <v>0.51213512530834127</v>
      </c>
      <c r="L48" s="15">
        <f t="shared" si="1"/>
        <v>0.13862881154067933</v>
      </c>
      <c r="M48" s="15">
        <f t="shared" si="1"/>
        <v>9.6363231553477244E-2</v>
      </c>
      <c r="N48" s="15">
        <f t="shared" si="1"/>
        <v>1.4088526662400692E-2</v>
      </c>
      <c r="O48" s="15">
        <f t="shared" si="1"/>
        <v>0.19431954029815907</v>
      </c>
      <c r="P48" s="15">
        <f t="shared" si="1"/>
        <v>2.7398175428018257E-2</v>
      </c>
      <c r="Q48" s="15">
        <f t="shared" si="1"/>
        <v>1.7066589208924416E-2</v>
      </c>
      <c r="S48" s="15">
        <f t="shared" si="2"/>
        <v>0.65076393684902045</v>
      </c>
      <c r="T48" s="15">
        <f t="shared" si="3"/>
        <v>0.34923606315097955</v>
      </c>
    </row>
    <row r="49" spans="1:20" ht="15.75" x14ac:dyDescent="0.25">
      <c r="A49" s="13">
        <v>41974</v>
      </c>
      <c r="B49" s="14">
        <f>'Feedstock Use'!E15</f>
        <v>531.30999999999995</v>
      </c>
      <c r="C49" s="14">
        <f>'Feedstock Use'!E31</f>
        <v>84.59</v>
      </c>
      <c r="D49" s="14">
        <f>'Feedstock Use'!E47</f>
        <v>94.22</v>
      </c>
      <c r="E49" s="14">
        <f>'Feedstock Use'!E63</f>
        <v>21</v>
      </c>
      <c r="F49" s="14">
        <f>'Feedstock Use'!E79</f>
        <v>209.18800872780702</v>
      </c>
      <c r="G49" s="14">
        <f>'Feedstock Use'!E95</f>
        <v>35.6</v>
      </c>
      <c r="H49" s="14">
        <f>'Feedstock Use'!E111</f>
        <v>11.83</v>
      </c>
      <c r="I49" s="14">
        <f t="shared" si="5"/>
        <v>987.73800872780703</v>
      </c>
      <c r="K49" s="15">
        <f t="shared" si="1"/>
        <v>0.5379057961779965</v>
      </c>
      <c r="L49" s="15">
        <f t="shared" si="1"/>
        <v>8.5640118384176345E-2</v>
      </c>
      <c r="M49" s="15">
        <f t="shared" si="1"/>
        <v>9.5389667267491374E-2</v>
      </c>
      <c r="N49" s="15">
        <f t="shared" si="1"/>
        <v>2.1260698499440869E-2</v>
      </c>
      <c r="O49" s="15">
        <f t="shared" si="1"/>
        <v>0.21178491348858619</v>
      </c>
      <c r="P49" s="15">
        <f t="shared" si="1"/>
        <v>3.6041946027623568E-2</v>
      </c>
      <c r="Q49" s="15">
        <f t="shared" si="1"/>
        <v>1.1976860154685024E-2</v>
      </c>
      <c r="S49" s="15">
        <f t="shared" si="2"/>
        <v>0.6235459145621729</v>
      </c>
      <c r="T49" s="15">
        <f t="shared" si="3"/>
        <v>0.3764540854378271</v>
      </c>
    </row>
    <row r="50" spans="1:20" ht="15.75" x14ac:dyDescent="0.25">
      <c r="A50" s="13">
        <v>42005</v>
      </c>
      <c r="B50" s="14">
        <f>'Feedstock Use'!F4</f>
        <v>306</v>
      </c>
      <c r="C50" s="14">
        <f>'Feedstock Use'!F20</f>
        <v>65</v>
      </c>
      <c r="D50" s="14">
        <f>'Feedstock Use'!F36</f>
        <v>54</v>
      </c>
      <c r="E50" s="14">
        <f>'Feedstock Use'!F52</f>
        <v>19</v>
      </c>
      <c r="F50" s="14">
        <f>'Feedstock Use'!F68</f>
        <v>124.36921027734351</v>
      </c>
      <c r="G50" s="14">
        <f>'Feedstock Use'!F84</f>
        <v>28</v>
      </c>
      <c r="H50" s="14">
        <f>'Feedstock Use'!F100</f>
        <v>11</v>
      </c>
      <c r="I50" s="14">
        <f t="shared" si="5"/>
        <v>607.36921027734354</v>
      </c>
      <c r="K50" s="15">
        <f t="shared" si="1"/>
        <v>0.50381217029468939</v>
      </c>
      <c r="L50" s="15">
        <f t="shared" si="1"/>
        <v>0.10701892506259741</v>
      </c>
      <c r="M50" s="15">
        <f t="shared" si="1"/>
        <v>8.8908030052004011E-2</v>
      </c>
      <c r="N50" s="15">
        <f t="shared" si="1"/>
        <v>3.1282455018297704E-2</v>
      </c>
      <c r="O50" s="15">
        <f t="shared" si="1"/>
        <v>0.20476706453485302</v>
      </c>
      <c r="P50" s="15">
        <f t="shared" si="1"/>
        <v>4.6100460026965037E-2</v>
      </c>
      <c r="Q50" s="15">
        <f t="shared" si="1"/>
        <v>1.811089501059341E-2</v>
      </c>
      <c r="S50" s="15">
        <f t="shared" si="2"/>
        <v>0.61083109535728675</v>
      </c>
      <c r="T50" s="15">
        <f t="shared" si="3"/>
        <v>0.38916890464271325</v>
      </c>
    </row>
    <row r="51" spans="1:20" ht="15.75" x14ac:dyDescent="0.25">
      <c r="A51" s="13">
        <v>42036</v>
      </c>
      <c r="B51" s="14">
        <f>'Feedstock Use'!F5</f>
        <v>311</v>
      </c>
      <c r="C51" s="14">
        <f>'Feedstock Use'!F21</f>
        <v>30</v>
      </c>
      <c r="D51" s="14">
        <f>'Feedstock Use'!F37</f>
        <v>63</v>
      </c>
      <c r="E51" s="14">
        <f>'Feedstock Use'!F53</f>
        <v>9</v>
      </c>
      <c r="F51" s="14">
        <f>'Feedstock Use'!F69</f>
        <v>149.00799987922707</v>
      </c>
      <c r="G51" s="14">
        <f>'Feedstock Use'!F85</f>
        <v>33</v>
      </c>
      <c r="H51" s="14">
        <f>'Feedstock Use'!F101</f>
        <v>9</v>
      </c>
      <c r="I51" s="14">
        <f t="shared" si="5"/>
        <v>604.0079998792271</v>
      </c>
      <c r="K51" s="15">
        <f t="shared" si="1"/>
        <v>0.51489384256861703</v>
      </c>
      <c r="L51" s="15">
        <f t="shared" si="1"/>
        <v>4.966821632494698E-2</v>
      </c>
      <c r="M51" s="15">
        <f t="shared" si="1"/>
        <v>0.10430325428238865</v>
      </c>
      <c r="N51" s="15">
        <f t="shared" si="1"/>
        <v>1.4900464897484093E-2</v>
      </c>
      <c r="O51" s="15">
        <f t="shared" si="1"/>
        <v>0.24669871907163746</v>
      </c>
      <c r="P51" s="15">
        <f t="shared" si="1"/>
        <v>5.4635037957441679E-2</v>
      </c>
      <c r="Q51" s="15">
        <f t="shared" si="1"/>
        <v>1.4900464897484093E-2</v>
      </c>
      <c r="S51" s="15">
        <f t="shared" si="2"/>
        <v>0.56456205889356403</v>
      </c>
      <c r="T51" s="15">
        <f t="shared" si="3"/>
        <v>0.43543794110643597</v>
      </c>
    </row>
    <row r="52" spans="1:20" ht="15.75" x14ac:dyDescent="0.25">
      <c r="A52" s="13">
        <v>42064</v>
      </c>
      <c r="B52" s="14">
        <f>'Feedstock Use'!F6</f>
        <v>381</v>
      </c>
      <c r="C52" s="14">
        <f>'Feedstock Use'!F22</f>
        <v>80</v>
      </c>
      <c r="D52" s="14">
        <f>'Feedstock Use'!F38</f>
        <v>72</v>
      </c>
      <c r="E52" s="14">
        <f>'Feedstock Use'!F54</f>
        <v>34</v>
      </c>
      <c r="F52" s="14">
        <f>'Feedstock Use'!F70</f>
        <v>179.20735817944154</v>
      </c>
      <c r="G52" s="14">
        <f>'Feedstock Use'!F86</f>
        <v>43</v>
      </c>
      <c r="H52" s="14">
        <f>'Feedstock Use'!F102</f>
        <v>8</v>
      </c>
      <c r="I52" s="14">
        <f t="shared" si="5"/>
        <v>797.2073581794416</v>
      </c>
      <c r="K52" s="15">
        <f t="shared" si="1"/>
        <v>0.4779183183533055</v>
      </c>
      <c r="L52" s="15">
        <f t="shared" si="1"/>
        <v>0.10035030306631086</v>
      </c>
      <c r="M52" s="15">
        <f t="shared" ref="M52:Q102" si="6">D52/$I52</f>
        <v>9.0315272759679779E-2</v>
      </c>
      <c r="N52" s="15">
        <f t="shared" si="6"/>
        <v>4.2648878803182119E-2</v>
      </c>
      <c r="O52" s="15">
        <f t="shared" si="6"/>
        <v>0.22479390881274852</v>
      </c>
      <c r="P52" s="15">
        <f t="shared" si="6"/>
        <v>5.393828789814209E-2</v>
      </c>
      <c r="Q52" s="15">
        <f t="shared" si="6"/>
        <v>1.0035030306631085E-2</v>
      </c>
      <c r="S52" s="15">
        <f t="shared" si="2"/>
        <v>0.57826862141961632</v>
      </c>
      <c r="T52" s="15">
        <f t="shared" si="3"/>
        <v>0.42173137858038368</v>
      </c>
    </row>
    <row r="53" spans="1:20" ht="15.75" x14ac:dyDescent="0.25">
      <c r="A53" s="13">
        <v>42095</v>
      </c>
      <c r="B53" s="14">
        <f>'Feedstock Use'!F7</f>
        <v>384.6</v>
      </c>
      <c r="C53" s="14">
        <f>'Feedstock Use'!F23</f>
        <v>94</v>
      </c>
      <c r="D53" s="14">
        <f>'Feedstock Use'!F39</f>
        <v>94</v>
      </c>
      <c r="E53" s="14">
        <f>'Feedstock Use'!F55</f>
        <v>31</v>
      </c>
      <c r="F53" s="14">
        <f>'Feedstock Use'!F71</f>
        <v>196.58184048849608</v>
      </c>
      <c r="G53" s="14">
        <f>'Feedstock Use'!F87</f>
        <v>57</v>
      </c>
      <c r="H53" s="14">
        <f>'Feedstock Use'!F103</f>
        <v>16</v>
      </c>
      <c r="I53" s="14">
        <f t="shared" si="5"/>
        <v>873.18184048849616</v>
      </c>
      <c r="K53" s="15">
        <f t="shared" ref="K53:Q116" si="7">B53/$I53</f>
        <v>0.44045808349019022</v>
      </c>
      <c r="L53" s="15">
        <f t="shared" si="7"/>
        <v>0.10765226169547031</v>
      </c>
      <c r="M53" s="15">
        <f t="shared" si="6"/>
        <v>0.10765226169547031</v>
      </c>
      <c r="N53" s="15">
        <f t="shared" si="6"/>
        <v>3.5502341622974248E-2</v>
      </c>
      <c r="O53" s="15">
        <f t="shared" si="6"/>
        <v>0.22513276315792322</v>
      </c>
      <c r="P53" s="15">
        <f t="shared" si="6"/>
        <v>6.5278499113210722E-2</v>
      </c>
      <c r="Q53" s="15">
        <f t="shared" si="6"/>
        <v>1.8323789224760904E-2</v>
      </c>
      <c r="S53" s="15">
        <f t="shared" si="2"/>
        <v>0.5481103451856606</v>
      </c>
      <c r="T53" s="15">
        <f t="shared" si="3"/>
        <v>0.4518896548143394</v>
      </c>
    </row>
    <row r="54" spans="1:20" ht="15.75" x14ac:dyDescent="0.25">
      <c r="A54" s="13">
        <v>42125</v>
      </c>
      <c r="B54" s="14">
        <f>'Feedstock Use'!F8</f>
        <v>443</v>
      </c>
      <c r="C54" s="14">
        <f>'Feedstock Use'!F24</f>
        <v>55</v>
      </c>
      <c r="D54" s="14">
        <f>'Feedstock Use'!F40</f>
        <v>87</v>
      </c>
      <c r="E54" s="14">
        <f>'Feedstock Use'!F56</f>
        <v>49</v>
      </c>
      <c r="F54" s="14">
        <f>'Feedstock Use'!F72</f>
        <v>206.18492590202177</v>
      </c>
      <c r="G54" s="14">
        <f>'Feedstock Use'!F88</f>
        <v>60</v>
      </c>
      <c r="H54" s="14">
        <f>'Feedstock Use'!F104</f>
        <v>14</v>
      </c>
      <c r="I54" s="14">
        <f t="shared" si="5"/>
        <v>914.18492590202175</v>
      </c>
      <c r="K54" s="15">
        <f t="shared" si="7"/>
        <v>0.4845846693029795</v>
      </c>
      <c r="L54" s="15">
        <f t="shared" si="7"/>
        <v>6.0162882193372166E-2</v>
      </c>
      <c r="M54" s="15">
        <f t="shared" si="6"/>
        <v>9.5166740924061438E-2</v>
      </c>
      <c r="N54" s="15">
        <f t="shared" si="6"/>
        <v>5.3599658681367936E-2</v>
      </c>
      <c r="O54" s="15">
        <f t="shared" si="6"/>
        <v>0.2255396255835001</v>
      </c>
      <c r="P54" s="15">
        <f t="shared" si="6"/>
        <v>6.5632235120042362E-2</v>
      </c>
      <c r="Q54" s="15">
        <f t="shared" si="6"/>
        <v>1.5314188194676552E-2</v>
      </c>
      <c r="S54" s="15">
        <f t="shared" si="2"/>
        <v>0.54474755149635168</v>
      </c>
      <c r="T54" s="15">
        <f t="shared" si="3"/>
        <v>0.45525244850364832</v>
      </c>
    </row>
    <row r="55" spans="1:20" ht="15.75" x14ac:dyDescent="0.25">
      <c r="A55" s="13">
        <v>42156</v>
      </c>
      <c r="B55" s="14">
        <f>'Feedstock Use'!F9</f>
        <v>474</v>
      </c>
      <c r="C55" s="14">
        <f>'Feedstock Use'!F25</f>
        <v>56</v>
      </c>
      <c r="D55" s="14">
        <f>'Feedstock Use'!F41</f>
        <v>78</v>
      </c>
      <c r="E55" s="14">
        <f>'Feedstock Use'!F57</f>
        <v>57</v>
      </c>
      <c r="F55" s="14">
        <f>'Feedstock Use'!F73</f>
        <v>232.10882758832668</v>
      </c>
      <c r="G55" s="14">
        <f>'Feedstock Use'!F89</f>
        <v>56</v>
      </c>
      <c r="H55" s="14">
        <f>'Feedstock Use'!F105</f>
        <v>20</v>
      </c>
      <c r="I55" s="14">
        <f t="shared" si="5"/>
        <v>973.10882758832668</v>
      </c>
      <c r="K55" s="15">
        <f t="shared" si="7"/>
        <v>0.48709865388306345</v>
      </c>
      <c r="L55" s="15">
        <f t="shared" si="7"/>
        <v>5.7547520289982182E-2</v>
      </c>
      <c r="M55" s="15">
        <f t="shared" si="6"/>
        <v>8.0155474689618034E-2</v>
      </c>
      <c r="N55" s="15">
        <f t="shared" si="6"/>
        <v>5.8575154580874721E-2</v>
      </c>
      <c r="O55" s="15">
        <f t="shared" si="6"/>
        <v>0.23852299044862865</v>
      </c>
      <c r="P55" s="15">
        <f t="shared" si="6"/>
        <v>5.7547520289982182E-2</v>
      </c>
      <c r="Q55" s="15">
        <f t="shared" si="6"/>
        <v>2.0552685817850778E-2</v>
      </c>
      <c r="S55" s="15">
        <f t="shared" si="2"/>
        <v>0.54464617417304562</v>
      </c>
      <c r="T55" s="15">
        <f t="shared" si="3"/>
        <v>0.45535382582695438</v>
      </c>
    </row>
    <row r="56" spans="1:20" ht="15.75" x14ac:dyDescent="0.25">
      <c r="A56" s="13">
        <v>42186</v>
      </c>
      <c r="B56" s="14">
        <f>'Feedstock Use'!F10</f>
        <v>446</v>
      </c>
      <c r="C56" s="14">
        <f>'Feedstock Use'!F26</f>
        <v>76</v>
      </c>
      <c r="D56" s="14">
        <f>'Feedstock Use'!F42</f>
        <v>105.4</v>
      </c>
      <c r="E56" s="14">
        <f>'Feedstock Use'!F58</f>
        <v>47</v>
      </c>
      <c r="F56" s="14">
        <f>'Feedstock Use'!F74</f>
        <v>232.2354693303445</v>
      </c>
      <c r="G56" s="14">
        <f>'Feedstock Use'!F90</f>
        <v>49</v>
      </c>
      <c r="H56" s="14">
        <f>'Feedstock Use'!F106</f>
        <v>18</v>
      </c>
      <c r="I56" s="14">
        <f t="shared" si="5"/>
        <v>973.63546933034445</v>
      </c>
      <c r="K56" s="15">
        <f t="shared" si="7"/>
        <v>0.45807698471251646</v>
      </c>
      <c r="L56" s="15">
        <f t="shared" si="7"/>
        <v>7.8057961520518498E-2</v>
      </c>
      <c r="M56" s="15">
        <f t="shared" si="6"/>
        <v>0.10825406768766646</v>
      </c>
      <c r="N56" s="15">
        <f t="shared" si="6"/>
        <v>4.8272686729794338E-2</v>
      </c>
      <c r="O56" s="15">
        <f t="shared" si="6"/>
        <v>0.23852404379852088</v>
      </c>
      <c r="P56" s="15">
        <f t="shared" si="6"/>
        <v>5.0326843611913245E-2</v>
      </c>
      <c r="Q56" s="15">
        <f t="shared" si="6"/>
        <v>1.8487411939070171E-2</v>
      </c>
      <c r="S56" s="15">
        <f t="shared" si="2"/>
        <v>0.53613494623303493</v>
      </c>
      <c r="T56" s="15">
        <f t="shared" si="3"/>
        <v>0.46386505376696507</v>
      </c>
    </row>
    <row r="57" spans="1:20" ht="15.75" x14ac:dyDescent="0.25">
      <c r="A57" s="13">
        <v>42217</v>
      </c>
      <c r="B57" s="14">
        <f>'Feedstock Use'!F11</f>
        <v>463.6</v>
      </c>
      <c r="C57" s="14">
        <f>'Feedstock Use'!F27</f>
        <v>73</v>
      </c>
      <c r="D57" s="14">
        <f>'Feedstock Use'!F43</f>
        <v>107.6</v>
      </c>
      <c r="E57" s="14">
        <f>'Feedstock Use'!F59</f>
        <v>44</v>
      </c>
      <c r="F57" s="14">
        <f>'Feedstock Use'!F75</f>
        <v>213.19329642272709</v>
      </c>
      <c r="G57" s="14">
        <f>'Feedstock Use'!F91</f>
        <v>54</v>
      </c>
      <c r="H57" s="14">
        <f>'Feedstock Use'!F107</f>
        <v>21</v>
      </c>
      <c r="I57" s="14">
        <f t="shared" si="5"/>
        <v>976.39329642272719</v>
      </c>
      <c r="K57" s="15">
        <f t="shared" si="7"/>
        <v>0.47480866746885725</v>
      </c>
      <c r="L57" s="15">
        <f t="shared" si="7"/>
        <v>7.4764954109634546E-2</v>
      </c>
      <c r="M57" s="15">
        <f t="shared" si="6"/>
        <v>0.1102014940026942</v>
      </c>
      <c r="N57" s="15">
        <f t="shared" si="6"/>
        <v>4.5063807956492057E-2</v>
      </c>
      <c r="O57" s="15">
        <f t="shared" si="6"/>
        <v>0.21834776744557405</v>
      </c>
      <c r="P57" s="15">
        <f t="shared" si="6"/>
        <v>5.5305582492058435E-2</v>
      </c>
      <c r="Q57" s="15">
        <f t="shared" si="6"/>
        <v>2.150772652468939E-2</v>
      </c>
      <c r="S57" s="15">
        <f t="shared" si="2"/>
        <v>0.54957362157849177</v>
      </c>
      <c r="T57" s="15">
        <f t="shared" si="3"/>
        <v>0.45042637842150823</v>
      </c>
    </row>
    <row r="58" spans="1:20" ht="15.75" x14ac:dyDescent="0.25">
      <c r="A58" s="13">
        <v>42248</v>
      </c>
      <c r="B58" s="14">
        <f>'Feedstock Use'!F12</f>
        <v>390</v>
      </c>
      <c r="C58" s="14">
        <f>'Feedstock Use'!F28</f>
        <v>68</v>
      </c>
      <c r="D58" s="14">
        <f>'Feedstock Use'!F44</f>
        <v>92</v>
      </c>
      <c r="E58" s="14">
        <f>'Feedstock Use'!F60</f>
        <v>40</v>
      </c>
      <c r="F58" s="14">
        <f>'Feedstock Use'!F76</f>
        <v>198.03901013472833</v>
      </c>
      <c r="G58" s="14">
        <f>'Feedstock Use'!F92</f>
        <v>54</v>
      </c>
      <c r="H58" s="14">
        <f>'Feedstock Use'!F108</f>
        <v>23</v>
      </c>
      <c r="I58" s="14">
        <f t="shared" si="5"/>
        <v>865.0390101347283</v>
      </c>
      <c r="K58" s="15">
        <f t="shared" si="7"/>
        <v>0.45084671954766314</v>
      </c>
      <c r="L58" s="15">
        <f t="shared" si="7"/>
        <v>7.8609171613438708E-2</v>
      </c>
      <c r="M58" s="15">
        <f t="shared" si="6"/>
        <v>0.10635358512406413</v>
      </c>
      <c r="N58" s="15">
        <f t="shared" si="6"/>
        <v>4.6240689184375711E-2</v>
      </c>
      <c r="O58" s="15">
        <f t="shared" si="6"/>
        <v>0.2289365078505351</v>
      </c>
      <c r="P58" s="15">
        <f t="shared" si="6"/>
        <v>6.2424930398907209E-2</v>
      </c>
      <c r="Q58" s="15">
        <f t="shared" si="6"/>
        <v>2.6588396281016034E-2</v>
      </c>
      <c r="S58" s="15">
        <f t="shared" si="2"/>
        <v>0.52945589116110181</v>
      </c>
      <c r="T58" s="15">
        <f t="shared" si="3"/>
        <v>0.47054410883889819</v>
      </c>
    </row>
    <row r="59" spans="1:20" ht="15.75" x14ac:dyDescent="0.25">
      <c r="A59" s="13">
        <v>42278</v>
      </c>
      <c r="B59" s="14">
        <f>'Feedstock Use'!F13</f>
        <v>408</v>
      </c>
      <c r="C59" s="14">
        <f>'Feedstock Use'!F29</f>
        <v>60</v>
      </c>
      <c r="D59" s="14">
        <f>'Feedstock Use'!F45</f>
        <v>102</v>
      </c>
      <c r="E59" s="14">
        <f>'Feedstock Use'!F61</f>
        <v>42</v>
      </c>
      <c r="F59" s="14">
        <f>'Feedstock Use'!F77</f>
        <v>240.06644760886127</v>
      </c>
      <c r="G59" s="14">
        <f>'Feedstock Use'!F93</f>
        <v>52</v>
      </c>
      <c r="H59" s="14">
        <f>'Feedstock Use'!F109</f>
        <v>18</v>
      </c>
      <c r="I59" s="14">
        <f t="shared" si="5"/>
        <v>922.06644760886127</v>
      </c>
      <c r="K59" s="15">
        <f t="shared" si="7"/>
        <v>0.44248437957811126</v>
      </c>
      <c r="L59" s="15">
        <f t="shared" si="7"/>
        <v>6.5071232290898715E-2</v>
      </c>
      <c r="M59" s="15">
        <f t="shared" si="6"/>
        <v>0.11062109489452782</v>
      </c>
      <c r="N59" s="15">
        <f t="shared" si="6"/>
        <v>4.5549862603629102E-2</v>
      </c>
      <c r="O59" s="15">
        <f t="shared" si="6"/>
        <v>0.26035699296011794</v>
      </c>
      <c r="P59" s="15">
        <f t="shared" si="6"/>
        <v>5.6395067985445552E-2</v>
      </c>
      <c r="Q59" s="15">
        <f t="shared" si="6"/>
        <v>1.9521369687269613E-2</v>
      </c>
      <c r="S59" s="15">
        <f t="shared" si="2"/>
        <v>0.50755561186900999</v>
      </c>
      <c r="T59" s="15">
        <f t="shared" si="3"/>
        <v>0.49244438813099001</v>
      </c>
    </row>
    <row r="60" spans="1:20" ht="15.75" x14ac:dyDescent="0.25">
      <c r="A60" s="13">
        <v>42309</v>
      </c>
      <c r="B60" s="14">
        <f>'Feedstock Use'!F14</f>
        <v>464</v>
      </c>
      <c r="C60" s="14">
        <f>'Feedstock Use'!F30</f>
        <v>40</v>
      </c>
      <c r="D60" s="14">
        <f>'Feedstock Use'!F46</f>
        <v>89</v>
      </c>
      <c r="E60" s="14">
        <f>'Feedstock Use'!F62</f>
        <v>24</v>
      </c>
      <c r="F60" s="14">
        <f>'Feedstock Use'!F78</f>
        <v>146.31259959507287</v>
      </c>
      <c r="G60" s="14">
        <f>'Feedstock Use'!F94</f>
        <v>45</v>
      </c>
      <c r="H60" s="14">
        <f>'Feedstock Use'!F110</f>
        <v>17</v>
      </c>
      <c r="I60" s="14">
        <f t="shared" si="5"/>
        <v>825.31259959507292</v>
      </c>
      <c r="K60" s="15">
        <f t="shared" si="7"/>
        <v>0.56221121575952504</v>
      </c>
      <c r="L60" s="15">
        <f t="shared" si="7"/>
        <v>4.8466484117200427E-2</v>
      </c>
      <c r="M60" s="15">
        <f t="shared" si="6"/>
        <v>0.10783792716077095</v>
      </c>
      <c r="N60" s="15">
        <f t="shared" si="6"/>
        <v>2.9079890470320259E-2</v>
      </c>
      <c r="O60" s="15">
        <f t="shared" si="6"/>
        <v>0.17728143211052264</v>
      </c>
      <c r="P60" s="15">
        <f t="shared" si="6"/>
        <v>5.4524794631850483E-2</v>
      </c>
      <c r="Q60" s="15">
        <f t="shared" si="6"/>
        <v>2.0598255749810182E-2</v>
      </c>
      <c r="S60" s="15">
        <f t="shared" si="2"/>
        <v>0.61067769987672538</v>
      </c>
      <c r="T60" s="15">
        <f t="shared" si="3"/>
        <v>0.38932230012327462</v>
      </c>
    </row>
    <row r="61" spans="1:20" ht="15.75" x14ac:dyDescent="0.25">
      <c r="A61" s="13">
        <v>42339</v>
      </c>
      <c r="B61" s="14">
        <f>'Feedstock Use'!F15</f>
        <v>436</v>
      </c>
      <c r="C61" s="14">
        <f>'Feedstock Use'!F31</f>
        <v>48</v>
      </c>
      <c r="D61" s="14">
        <f>'Feedstock Use'!F47</f>
        <v>100</v>
      </c>
      <c r="E61" s="14">
        <f>'Feedstock Use'!F63</f>
        <v>33</v>
      </c>
      <c r="F61" s="14">
        <f>'Feedstock Use'!F79</f>
        <v>151.42428412700627</v>
      </c>
      <c r="G61" s="14">
        <f>'Feedstock Use'!F95</f>
        <v>58</v>
      </c>
      <c r="H61" s="14">
        <f>'Feedstock Use'!F111</f>
        <v>15</v>
      </c>
      <c r="I61" s="14">
        <f t="shared" si="5"/>
        <v>841.42428412700633</v>
      </c>
      <c r="K61" s="15">
        <f t="shared" si="7"/>
        <v>0.51816902390968933</v>
      </c>
      <c r="L61" s="15">
        <f t="shared" si="7"/>
        <v>5.7046131072626349E-2</v>
      </c>
      <c r="M61" s="15">
        <f t="shared" si="6"/>
        <v>0.1188461064013049</v>
      </c>
      <c r="N61" s="15">
        <f t="shared" si="6"/>
        <v>3.9219215112430615E-2</v>
      </c>
      <c r="O61" s="15">
        <f t="shared" si="6"/>
        <v>0.17996186583099613</v>
      </c>
      <c r="P61" s="15">
        <f t="shared" si="6"/>
        <v>6.8930741712756843E-2</v>
      </c>
      <c r="Q61" s="15">
        <f t="shared" si="6"/>
        <v>1.7826915960195734E-2</v>
      </c>
      <c r="S61" s="15">
        <f t="shared" si="2"/>
        <v>0.57521515498231568</v>
      </c>
      <c r="T61" s="15">
        <f t="shared" si="3"/>
        <v>0.42478484501768432</v>
      </c>
    </row>
    <row r="62" spans="1:20" ht="15.75" x14ac:dyDescent="0.25">
      <c r="A62" s="13">
        <v>42370</v>
      </c>
      <c r="B62" s="14">
        <f>'Feedstock Use'!G4</f>
        <v>392.27</v>
      </c>
      <c r="C62" s="14">
        <f>'Feedstock Use'!G20</f>
        <v>60.83</v>
      </c>
      <c r="D62" s="14">
        <f>'Feedstock Use'!G36</f>
        <v>93.66</v>
      </c>
      <c r="E62" s="14">
        <f>'Feedstock Use'!G52</f>
        <v>22.98</v>
      </c>
      <c r="F62" s="14">
        <f>'Feedstock Use'!G68</f>
        <v>131.40176807535505</v>
      </c>
      <c r="G62" s="14">
        <f>'Feedstock Use'!G84</f>
        <v>57.13</v>
      </c>
      <c r="H62" s="14">
        <f>'Feedstock Use'!G100</f>
        <v>10.55</v>
      </c>
      <c r="I62" s="14">
        <f t="shared" si="5"/>
        <v>768.82176807535495</v>
      </c>
      <c r="K62" s="15">
        <f t="shared" si="7"/>
        <v>0.5102222859558162</v>
      </c>
      <c r="L62" s="15">
        <f t="shared" si="7"/>
        <v>7.9121068791119131E-2</v>
      </c>
      <c r="M62" s="15">
        <f t="shared" si="6"/>
        <v>0.12182277335157353</v>
      </c>
      <c r="N62" s="15">
        <f t="shared" si="6"/>
        <v>2.9889892500738414E-2</v>
      </c>
      <c r="O62" s="15">
        <f t="shared" si="6"/>
        <v>0.17091317328891745</v>
      </c>
      <c r="P62" s="15">
        <f t="shared" si="6"/>
        <v>7.4308509946352727E-2</v>
      </c>
      <c r="Q62" s="15">
        <f t="shared" si="6"/>
        <v>1.3722296165482605E-2</v>
      </c>
      <c r="S62" s="15">
        <f t="shared" si="2"/>
        <v>0.58934335474693533</v>
      </c>
      <c r="T62" s="15">
        <f t="shared" si="3"/>
        <v>0.41065664525306467</v>
      </c>
    </row>
    <row r="63" spans="1:20" ht="15.75" x14ac:dyDescent="0.25">
      <c r="A63" s="13">
        <v>42401</v>
      </c>
      <c r="B63" s="14">
        <f>'Feedstock Use'!G5</f>
        <v>416</v>
      </c>
      <c r="C63" s="14">
        <f>'Feedstock Use'!G21</f>
        <v>47.28</v>
      </c>
      <c r="D63" s="14">
        <f>'Feedstock Use'!G37</f>
        <v>88.13</v>
      </c>
      <c r="E63" s="14">
        <f>'Feedstock Use'!G53</f>
        <v>19.100000000000001</v>
      </c>
      <c r="F63" s="14">
        <f>'Feedstock Use'!G69</f>
        <v>137.30987828967372</v>
      </c>
      <c r="G63" s="14">
        <f>'Feedstock Use'!G85</f>
        <v>53.46</v>
      </c>
      <c r="H63" s="14">
        <f>'Feedstock Use'!G101</f>
        <v>11.39</v>
      </c>
      <c r="I63" s="14">
        <f t="shared" si="5"/>
        <v>772.66987828967376</v>
      </c>
      <c r="K63" s="15">
        <f t="shared" si="7"/>
        <v>0.53839293039457881</v>
      </c>
      <c r="L63" s="15">
        <f t="shared" si="7"/>
        <v>6.1190427281383859E-2</v>
      </c>
      <c r="M63" s="15">
        <f t="shared" si="6"/>
        <v>0.1140590599896015</v>
      </c>
      <c r="N63" s="15">
        <f t="shared" si="6"/>
        <v>2.4719483102251097E-2</v>
      </c>
      <c r="O63" s="15">
        <f t="shared" si="6"/>
        <v>0.17770833592427979</v>
      </c>
      <c r="P63" s="15">
        <f t="shared" si="6"/>
        <v>6.9188668410803331E-2</v>
      </c>
      <c r="Q63" s="15">
        <f t="shared" si="6"/>
        <v>1.474109489710157E-2</v>
      </c>
      <c r="S63" s="15">
        <f t="shared" si="2"/>
        <v>0.5995833576759626</v>
      </c>
      <c r="T63" s="15">
        <f t="shared" si="3"/>
        <v>0.4004166423240374</v>
      </c>
    </row>
    <row r="64" spans="1:20" ht="15.75" x14ac:dyDescent="0.25">
      <c r="A64" s="13">
        <v>42430</v>
      </c>
      <c r="B64" s="14">
        <f>'Feedstock Use'!G6</f>
        <v>464.48</v>
      </c>
      <c r="C64" s="14">
        <f>'Feedstock Use'!G22</f>
        <v>68.19</v>
      </c>
      <c r="D64" s="14">
        <f>'Feedstock Use'!G38</f>
        <v>93.09</v>
      </c>
      <c r="E64" s="14">
        <f>'Feedstock Use'!G54</f>
        <v>15.14</v>
      </c>
      <c r="F64" s="14">
        <f>'Feedstock Use'!G70</f>
        <v>159.07068567428144</v>
      </c>
      <c r="G64" s="14">
        <f>'Feedstock Use'!G86</f>
        <v>43.63</v>
      </c>
      <c r="H64" s="14">
        <f>'Feedstock Use'!G102</f>
        <v>14.77</v>
      </c>
      <c r="I64" s="14">
        <f t="shared" si="5"/>
        <v>858.3706856742815</v>
      </c>
      <c r="K64" s="15">
        <f t="shared" si="7"/>
        <v>0.54111819957497032</v>
      </c>
      <c r="L64" s="15">
        <f t="shared" si="7"/>
        <v>7.944120312826651E-2</v>
      </c>
      <c r="M64" s="15">
        <f t="shared" si="6"/>
        <v>0.10844964949714518</v>
      </c>
      <c r="N64" s="15">
        <f t="shared" si="6"/>
        <v>1.7638067390555141E-2</v>
      </c>
      <c r="O64" s="15">
        <f t="shared" si="6"/>
        <v>0.18531700619450395</v>
      </c>
      <c r="P64" s="15">
        <f t="shared" si="6"/>
        <v>5.0828856027075348E-2</v>
      </c>
      <c r="Q64" s="15">
        <f t="shared" si="6"/>
        <v>1.7207018187483446E-2</v>
      </c>
      <c r="S64" s="15">
        <f t="shared" si="2"/>
        <v>0.62055940270323695</v>
      </c>
      <c r="T64" s="15">
        <f t="shared" si="3"/>
        <v>0.37944059729676305</v>
      </c>
    </row>
    <row r="65" spans="1:20" ht="15.75" x14ac:dyDescent="0.25">
      <c r="A65" s="13">
        <v>42461</v>
      </c>
      <c r="B65" s="14">
        <f>'Feedstock Use'!G7</f>
        <v>414.75</v>
      </c>
      <c r="C65" s="14">
        <f>'Feedstock Use'!G23</f>
        <v>91.57</v>
      </c>
      <c r="D65" s="14">
        <f>'Feedstock Use'!G39</f>
        <v>87.28</v>
      </c>
      <c r="E65" s="14">
        <f>'Feedstock Use'!G55</f>
        <v>38.04</v>
      </c>
      <c r="F65" s="14">
        <f>'Feedstock Use'!G71</f>
        <v>172.43241837495799</v>
      </c>
      <c r="G65" s="14">
        <f>'Feedstock Use'!G87</f>
        <v>52.8</v>
      </c>
      <c r="H65" s="14">
        <f>'Feedstock Use'!G103</f>
        <v>19.149999999999999</v>
      </c>
      <c r="I65" s="14">
        <f t="shared" si="5"/>
        <v>876.02241837495797</v>
      </c>
      <c r="K65" s="15">
        <f t="shared" si="7"/>
        <v>0.47344678777669974</v>
      </c>
      <c r="L65" s="15">
        <f t="shared" si="7"/>
        <v>0.10452928838267002</v>
      </c>
      <c r="M65" s="15">
        <f t="shared" si="6"/>
        <v>9.9632153434961679E-2</v>
      </c>
      <c r="N65" s="15">
        <f t="shared" si="6"/>
        <v>4.3423546249609785E-2</v>
      </c>
      <c r="O65" s="15">
        <f t="shared" si="6"/>
        <v>0.19683562287689413</v>
      </c>
      <c r="P65" s="15">
        <f t="shared" si="6"/>
        <v>6.0272430125641339E-2</v>
      </c>
      <c r="Q65" s="15">
        <f t="shared" si="6"/>
        <v>2.1860171153523327E-2</v>
      </c>
      <c r="S65" s="15">
        <f t="shared" si="2"/>
        <v>0.57797607615936974</v>
      </c>
      <c r="T65" s="15">
        <f t="shared" si="3"/>
        <v>0.42202392384063026</v>
      </c>
    </row>
    <row r="66" spans="1:20" ht="15.75" x14ac:dyDescent="0.25">
      <c r="A66" s="13">
        <v>42491</v>
      </c>
      <c r="B66" s="14">
        <f>'Feedstock Use'!G8</f>
        <v>543.78</v>
      </c>
      <c r="C66" s="14">
        <f>'Feedstock Use'!G24</f>
        <v>122.35</v>
      </c>
      <c r="D66" s="14">
        <f>'Feedstock Use'!G40</f>
        <v>94.22</v>
      </c>
      <c r="E66" s="14">
        <f>'Feedstock Use'!G56</f>
        <v>24</v>
      </c>
      <c r="F66" s="14">
        <f>'Feedstock Use'!G72</f>
        <v>158.2094231611006</v>
      </c>
      <c r="G66" s="14">
        <f>'Feedstock Use'!G88</f>
        <v>46.67</v>
      </c>
      <c r="H66" s="14">
        <f>'Feedstock Use'!G104</f>
        <v>20.41</v>
      </c>
      <c r="I66" s="14">
        <f t="shared" si="5"/>
        <v>1009.6394231611006</v>
      </c>
      <c r="K66" s="15">
        <f t="shared" si="7"/>
        <v>0.53858831928082618</v>
      </c>
      <c r="L66" s="15">
        <f t="shared" si="7"/>
        <v>0.12118187661188179</v>
      </c>
      <c r="M66" s="15">
        <f t="shared" si="6"/>
        <v>9.3320444743534958E-2</v>
      </c>
      <c r="N66" s="15">
        <f t="shared" si="6"/>
        <v>2.3770862596527692E-2</v>
      </c>
      <c r="O66" s="15">
        <f t="shared" si="6"/>
        <v>0.15669893580993452</v>
      </c>
      <c r="P66" s="15">
        <f t="shared" si="6"/>
        <v>4.6224423224164472E-2</v>
      </c>
      <c r="Q66" s="15">
        <f t="shared" si="6"/>
        <v>2.0215137733130426E-2</v>
      </c>
      <c r="S66" s="15">
        <f t="shared" si="2"/>
        <v>0.65977019589270791</v>
      </c>
      <c r="T66" s="15">
        <f t="shared" si="3"/>
        <v>0.34022980410729209</v>
      </c>
    </row>
    <row r="67" spans="1:20" ht="15.75" x14ac:dyDescent="0.25">
      <c r="A67" s="13">
        <v>42522</v>
      </c>
      <c r="B67" s="14">
        <f>'Feedstock Use'!G9</f>
        <v>519.69000000000005</v>
      </c>
      <c r="C67" s="14">
        <f>'Feedstock Use'!G25</f>
        <v>129.16</v>
      </c>
      <c r="D67" s="14">
        <f>'Feedstock Use'!G41</f>
        <v>103.12</v>
      </c>
      <c r="E67" s="14">
        <f>'Feedstock Use'!G57</f>
        <v>35.75</v>
      </c>
      <c r="F67" s="14">
        <f>'Feedstock Use'!G73</f>
        <v>162.23872782574767</v>
      </c>
      <c r="G67" s="14">
        <f>'Feedstock Use'!G89</f>
        <v>42.2</v>
      </c>
      <c r="H67" s="14">
        <f>'Feedstock Use'!G105</f>
        <v>17.46</v>
      </c>
      <c r="I67" s="14">
        <f t="shared" si="5"/>
        <v>1009.6187278257478</v>
      </c>
      <c r="K67" s="15">
        <f t="shared" si="7"/>
        <v>0.51473886693759352</v>
      </c>
      <c r="L67" s="15">
        <f t="shared" si="7"/>
        <v>0.12792948114002498</v>
      </c>
      <c r="M67" s="15">
        <f t="shared" si="6"/>
        <v>0.10213756654660403</v>
      </c>
      <c r="N67" s="15">
        <f t="shared" si="6"/>
        <v>3.5409406555867856E-2</v>
      </c>
      <c r="O67" s="15">
        <f t="shared" si="6"/>
        <v>0.16069306497031302</v>
      </c>
      <c r="P67" s="15">
        <f t="shared" si="6"/>
        <v>4.1797956829583878E-2</v>
      </c>
      <c r="Q67" s="15">
        <f t="shared" si="6"/>
        <v>1.7293657020012666E-2</v>
      </c>
      <c r="S67" s="15">
        <f t="shared" ref="S67:S130" si="8">SUM(B67:C67)/$I67</f>
        <v>0.64266834807761852</v>
      </c>
      <c r="T67" s="15">
        <f t="shared" ref="T67:T130" si="9">1-S67</f>
        <v>0.35733165192238148</v>
      </c>
    </row>
    <row r="68" spans="1:20" ht="15.75" x14ac:dyDescent="0.25">
      <c r="A68" s="13">
        <v>42552</v>
      </c>
      <c r="B68" s="14">
        <f>'Feedstock Use'!G10</f>
        <v>535.6</v>
      </c>
      <c r="C68" s="14">
        <f>'Feedstock Use'!G26</f>
        <v>114.53</v>
      </c>
      <c r="D68" s="14">
        <f>'Feedstock Use'!G42</f>
        <v>126.6</v>
      </c>
      <c r="E68" s="14">
        <f>'Feedstock Use'!G58</f>
        <v>36.44</v>
      </c>
      <c r="F68" s="14">
        <f>'Feedstock Use'!G74</f>
        <v>175.58845195538908</v>
      </c>
      <c r="G68" s="14">
        <f>'Feedstock Use'!G90</f>
        <v>37.93</v>
      </c>
      <c r="H68" s="14">
        <f>'Feedstock Use'!G106</f>
        <v>20.59</v>
      </c>
      <c r="I68" s="14">
        <f t="shared" si="5"/>
        <v>1047.2784519553891</v>
      </c>
      <c r="K68" s="15">
        <f t="shared" si="7"/>
        <v>0.51142081554334795</v>
      </c>
      <c r="L68" s="15">
        <f t="shared" si="7"/>
        <v>0.10935964526545862</v>
      </c>
      <c r="M68" s="15">
        <f t="shared" si="6"/>
        <v>0.12088475587712443</v>
      </c>
      <c r="N68" s="15">
        <f t="shared" si="6"/>
        <v>3.4794948690066461E-2</v>
      </c>
      <c r="O68" s="15">
        <f t="shared" si="6"/>
        <v>0.16766166784730965</v>
      </c>
      <c r="P68" s="15">
        <f t="shared" si="6"/>
        <v>3.621768396855711E-2</v>
      </c>
      <c r="Q68" s="15">
        <f t="shared" si="6"/>
        <v>1.9660482808135798E-2</v>
      </c>
      <c r="S68" s="15">
        <f t="shared" si="8"/>
        <v>0.62078046080880656</v>
      </c>
      <c r="T68" s="15">
        <f t="shared" si="9"/>
        <v>0.37921953919119344</v>
      </c>
    </row>
    <row r="69" spans="1:20" ht="15.75" x14ac:dyDescent="0.25">
      <c r="A69" s="13">
        <v>42583</v>
      </c>
      <c r="B69" s="14">
        <f>'Feedstock Use'!G11</f>
        <v>561.04</v>
      </c>
      <c r="C69" s="14">
        <f>'Feedstock Use'!G27</f>
        <v>109.06</v>
      </c>
      <c r="D69" s="14">
        <f>'Feedstock Use'!G43</f>
        <v>123.25</v>
      </c>
      <c r="E69" s="14">
        <f>'Feedstock Use'!G59</f>
        <v>31.66</v>
      </c>
      <c r="F69" s="14">
        <f>'Feedstock Use'!G75</f>
        <v>181.97129746803938</v>
      </c>
      <c r="G69" s="14">
        <f>'Feedstock Use'!G91</f>
        <v>38.28</v>
      </c>
      <c r="H69" s="14">
        <f>'Feedstock Use'!G107</f>
        <v>26.83</v>
      </c>
      <c r="I69" s="14">
        <f t="shared" si="5"/>
        <v>1072.0912974680391</v>
      </c>
      <c r="K69" s="15">
        <f t="shared" si="7"/>
        <v>0.52331364066195629</v>
      </c>
      <c r="L69" s="15">
        <f t="shared" si="7"/>
        <v>0.10172641104126794</v>
      </c>
      <c r="M69" s="15">
        <f t="shared" si="6"/>
        <v>0.11496222410449544</v>
      </c>
      <c r="N69" s="15">
        <f t="shared" si="6"/>
        <v>2.9531067060026985E-2</v>
      </c>
      <c r="O69" s="15">
        <f t="shared" si="6"/>
        <v>0.16973488908808557</v>
      </c>
      <c r="P69" s="15">
        <f t="shared" si="6"/>
        <v>3.5705914310102116E-2</v>
      </c>
      <c r="Q69" s="15">
        <f t="shared" si="6"/>
        <v>2.5025853734065823E-2</v>
      </c>
      <c r="S69" s="15">
        <f t="shared" si="8"/>
        <v>0.62504005170322419</v>
      </c>
      <c r="T69" s="15">
        <f t="shared" si="9"/>
        <v>0.37495994829677581</v>
      </c>
    </row>
    <row r="70" spans="1:20" ht="15.75" x14ac:dyDescent="0.25">
      <c r="A70" s="13">
        <v>42614</v>
      </c>
      <c r="B70" s="14">
        <f>'Feedstock Use'!G12</f>
        <v>536.84</v>
      </c>
      <c r="C70" s="14">
        <f>'Feedstock Use'!G28</f>
        <v>116.88</v>
      </c>
      <c r="D70" s="14">
        <f>'Feedstock Use'!G44</f>
        <v>106.17</v>
      </c>
      <c r="E70" s="14">
        <f>'Feedstock Use'!G60</f>
        <v>29.07</v>
      </c>
      <c r="F70" s="14">
        <f>'Feedstock Use'!G76</f>
        <v>161.76642963373914</v>
      </c>
      <c r="G70" s="14">
        <f>'Feedstock Use'!G92</f>
        <v>36</v>
      </c>
      <c r="H70" s="14">
        <f>'Feedstock Use'!G108</f>
        <v>21.03</v>
      </c>
      <c r="I70" s="14">
        <f t="shared" si="5"/>
        <v>1007.7564296337391</v>
      </c>
      <c r="K70" s="15">
        <f t="shared" si="7"/>
        <v>0.53270808720626095</v>
      </c>
      <c r="L70" s="15">
        <f t="shared" si="7"/>
        <v>0.11598040614087581</v>
      </c>
      <c r="M70" s="15">
        <f t="shared" si="6"/>
        <v>0.10535283812437359</v>
      </c>
      <c r="N70" s="15">
        <f t="shared" si="6"/>
        <v>2.8846256044791751E-2</v>
      </c>
      <c r="O70" s="15">
        <f t="shared" si="6"/>
        <v>0.16052135702327577</v>
      </c>
      <c r="P70" s="15">
        <f t="shared" si="6"/>
        <v>3.5722917702528487E-2</v>
      </c>
      <c r="Q70" s="15">
        <f t="shared" si="6"/>
        <v>2.0868137757893725E-2</v>
      </c>
      <c r="S70" s="15">
        <f t="shared" si="8"/>
        <v>0.64868849334713674</v>
      </c>
      <c r="T70" s="15">
        <f t="shared" si="9"/>
        <v>0.35131150665286326</v>
      </c>
    </row>
    <row r="71" spans="1:20" ht="15.75" x14ac:dyDescent="0.25">
      <c r="A71" s="13">
        <v>42644</v>
      </c>
      <c r="B71" s="14">
        <f>'Feedstock Use'!G13</f>
        <v>525.96</v>
      </c>
      <c r="C71" s="14">
        <f>'Feedstock Use'!G29</f>
        <v>116.95</v>
      </c>
      <c r="D71" s="14">
        <f>'Feedstock Use'!G45</f>
        <v>119.72</v>
      </c>
      <c r="E71" s="14">
        <f>'Feedstock Use'!G61</f>
        <v>31.44</v>
      </c>
      <c r="F71" s="14">
        <f>'Feedstock Use'!G77</f>
        <v>261.61264027413915</v>
      </c>
      <c r="G71" s="14">
        <f>'Feedstock Use'!G93</f>
        <v>47.25</v>
      </c>
      <c r="H71" s="14">
        <f>'Feedstock Use'!G109</f>
        <v>20.2</v>
      </c>
      <c r="I71" s="14">
        <f t="shared" si="5"/>
        <v>1123.1326402741395</v>
      </c>
      <c r="K71" s="15">
        <f t="shared" si="7"/>
        <v>0.46829731515203871</v>
      </c>
      <c r="L71" s="15">
        <f t="shared" si="7"/>
        <v>0.10412839570885794</v>
      </c>
      <c r="M71" s="15">
        <f t="shared" si="6"/>
        <v>0.10659471170811863</v>
      </c>
      <c r="N71" s="15">
        <f t="shared" si="6"/>
        <v>2.7993131775002084E-2</v>
      </c>
      <c r="O71" s="15">
        <f t="shared" si="6"/>
        <v>0.23293120589059144</v>
      </c>
      <c r="P71" s="15">
        <f t="shared" si="6"/>
        <v>4.2069830673309432E-2</v>
      </c>
      <c r="Q71" s="15">
        <f t="shared" si="6"/>
        <v>1.7985409092081493E-2</v>
      </c>
      <c r="S71" s="15">
        <f t="shared" si="8"/>
        <v>0.57242571086089666</v>
      </c>
      <c r="T71" s="15">
        <f t="shared" si="9"/>
        <v>0.42757428913910334</v>
      </c>
    </row>
    <row r="72" spans="1:20" ht="15.75" x14ac:dyDescent="0.25">
      <c r="A72" s="13">
        <v>42675</v>
      </c>
      <c r="B72" s="14">
        <f>'Feedstock Use'!G14</f>
        <v>595.83000000000004</v>
      </c>
      <c r="C72" s="14">
        <f>'Feedstock Use'!G30</f>
        <v>98.44</v>
      </c>
      <c r="D72" s="14">
        <f>'Feedstock Use'!G46</f>
        <v>136.1</v>
      </c>
      <c r="E72" s="14">
        <f>'Feedstock Use'!G62</f>
        <v>24.93</v>
      </c>
      <c r="F72" s="14">
        <f>'Feedstock Use'!G78</f>
        <v>240.7471589512752</v>
      </c>
      <c r="G72" s="14">
        <f>'Feedstock Use'!G94</f>
        <v>48.66</v>
      </c>
      <c r="H72" s="14">
        <f>'Feedstock Use'!G110</f>
        <v>20.21</v>
      </c>
      <c r="I72" s="14">
        <f t="shared" si="5"/>
        <v>1164.9171589512753</v>
      </c>
      <c r="J72" s="15">
        <f t="shared" ref="J72:J135" si="10">I72/I61-1</f>
        <v>0.38445868621429069</v>
      </c>
      <c r="K72" s="15">
        <f t="shared" si="7"/>
        <v>0.51147843039448415</v>
      </c>
      <c r="L72" s="15">
        <f t="shared" si="7"/>
        <v>8.4503862994533691E-2</v>
      </c>
      <c r="M72" s="15">
        <f t="shared" si="6"/>
        <v>0.11683234207188171</v>
      </c>
      <c r="N72" s="15">
        <f t="shared" si="6"/>
        <v>2.1400663393475468E-2</v>
      </c>
      <c r="O72" s="15">
        <f t="shared" si="6"/>
        <v>0.20666461739477637</v>
      </c>
      <c r="P72" s="15">
        <f t="shared" si="6"/>
        <v>4.177121061879327E-2</v>
      </c>
      <c r="Q72" s="15">
        <f t="shared" si="6"/>
        <v>1.7348873132055326E-2</v>
      </c>
      <c r="S72" s="15">
        <f t="shared" si="8"/>
        <v>0.59598229338901776</v>
      </c>
      <c r="T72" s="15">
        <f t="shared" si="9"/>
        <v>0.40401770661098224</v>
      </c>
    </row>
    <row r="73" spans="1:20" ht="15.75" x14ac:dyDescent="0.25">
      <c r="A73" s="13">
        <v>42705</v>
      </c>
      <c r="B73" s="14">
        <f>'Feedstock Use'!G15</f>
        <v>610.47</v>
      </c>
      <c r="C73" s="14">
        <f>'Feedstock Use'!G31</f>
        <v>55.23</v>
      </c>
      <c r="D73" s="14">
        <f>'Feedstock Use'!G47</f>
        <v>135.04</v>
      </c>
      <c r="E73" s="14">
        <f>'Feedstock Use'!G63</f>
        <v>23.31</v>
      </c>
      <c r="F73" s="14">
        <f>'Feedstock Use'!G79</f>
        <v>232.18543753160367</v>
      </c>
      <c r="G73" s="14">
        <f>'Feedstock Use'!G95</f>
        <v>74.02</v>
      </c>
      <c r="H73" s="14">
        <f>'Feedstock Use'!G111</f>
        <v>17.079999999999998</v>
      </c>
      <c r="I73" s="14">
        <f t="shared" si="5"/>
        <v>1147.3354375316035</v>
      </c>
      <c r="J73" s="15">
        <f t="shared" si="10"/>
        <v>0.49232954265044837</v>
      </c>
      <c r="K73" s="15">
        <f t="shared" si="7"/>
        <v>0.53207630482797197</v>
      </c>
      <c r="L73" s="15">
        <f t="shared" si="7"/>
        <v>4.8137622349417479E-2</v>
      </c>
      <c r="M73" s="15">
        <f t="shared" si="6"/>
        <v>0.11769879634375043</v>
      </c>
      <c r="N73" s="15">
        <f t="shared" si="6"/>
        <v>2.0316639090438557E-2</v>
      </c>
      <c r="O73" s="15">
        <f t="shared" si="6"/>
        <v>0.20236927226019558</v>
      </c>
      <c r="P73" s="15">
        <f t="shared" si="6"/>
        <v>6.4514698647544486E-2</v>
      </c>
      <c r="Q73" s="15">
        <f t="shared" si="6"/>
        <v>1.4886666480681704E-2</v>
      </c>
      <c r="S73" s="15">
        <f t="shared" si="8"/>
        <v>0.5802139271773894</v>
      </c>
      <c r="T73" s="15">
        <f t="shared" si="9"/>
        <v>0.4197860728226106</v>
      </c>
    </row>
    <row r="74" spans="1:20" ht="15.75" x14ac:dyDescent="0.25">
      <c r="A74" s="13">
        <v>42736</v>
      </c>
      <c r="B74" s="14">
        <f>'Feedstock Use'!H4</f>
        <v>390.11</v>
      </c>
      <c r="C74" s="14">
        <f>'Feedstock Use'!H20</f>
        <v>37.909999999999997</v>
      </c>
      <c r="D74" s="14">
        <f>'Feedstock Use'!H36</f>
        <v>111.88</v>
      </c>
      <c r="E74" s="14">
        <f>'Feedstock Use'!H52</f>
        <v>27</v>
      </c>
      <c r="F74" s="14">
        <f>'Feedstock Use'!H68</f>
        <v>170.71750139328145</v>
      </c>
      <c r="G74" s="14">
        <f>'Feedstock Use'!H84</f>
        <v>47.41</v>
      </c>
      <c r="H74" s="14">
        <f>'Feedstock Use'!H100</f>
        <v>6.92</v>
      </c>
      <c r="I74" s="14">
        <f t="shared" si="5"/>
        <v>791.9475013932813</v>
      </c>
      <c r="J74" s="15">
        <f t="shared" si="10"/>
        <v>2.4949365369695942E-2</v>
      </c>
      <c r="K74" s="15">
        <f t="shared" si="7"/>
        <v>0.49259578357615313</v>
      </c>
      <c r="L74" s="15">
        <f t="shared" si="7"/>
        <v>4.7869334688605679E-2</v>
      </c>
      <c r="M74" s="15">
        <f t="shared" si="6"/>
        <v>0.14127199063469278</v>
      </c>
      <c r="N74" s="15">
        <f t="shared" si="6"/>
        <v>3.4093168994786427E-2</v>
      </c>
      <c r="O74" s="15">
        <f t="shared" si="6"/>
        <v>0.21556668982847527</v>
      </c>
      <c r="P74" s="15">
        <f t="shared" si="6"/>
        <v>5.9865079334919427E-2</v>
      </c>
      <c r="Q74" s="15">
        <f t="shared" si="6"/>
        <v>8.7379529423674846E-3</v>
      </c>
      <c r="S74" s="15">
        <f t="shared" si="8"/>
        <v>0.54046511826475874</v>
      </c>
      <c r="T74" s="15">
        <f t="shared" si="9"/>
        <v>0.45953488173524126</v>
      </c>
    </row>
    <row r="75" spans="1:20" ht="15.75" x14ac:dyDescent="0.25">
      <c r="A75" s="13">
        <v>42767</v>
      </c>
      <c r="B75" s="14">
        <f>'Feedstock Use'!H5</f>
        <v>369.18</v>
      </c>
      <c r="C75" s="14">
        <f>'Feedstock Use'!H21</f>
        <v>69</v>
      </c>
      <c r="D75" s="14">
        <f>'Feedstock Use'!H37</f>
        <v>111.55</v>
      </c>
      <c r="E75" s="14">
        <f>'Feedstock Use'!H53</f>
        <v>15.13</v>
      </c>
      <c r="F75" s="14">
        <f>'Feedstock Use'!H69</f>
        <v>171.27973649869654</v>
      </c>
      <c r="G75" s="14">
        <f>'Feedstock Use'!H85</f>
        <v>54.87</v>
      </c>
      <c r="H75" s="14">
        <f>'Feedstock Use'!H101</f>
        <v>9.74</v>
      </c>
      <c r="I75" s="14">
        <f t="shared" ref="I75:I86" si="11">SUM(B75:H75)</f>
        <v>800.74973649869651</v>
      </c>
      <c r="J75" s="15">
        <f t="shared" si="10"/>
        <v>-6.7128281682081958E-2</v>
      </c>
      <c r="K75" s="15">
        <f t="shared" si="7"/>
        <v>0.46104292411540615</v>
      </c>
      <c r="L75" s="15">
        <f t="shared" si="7"/>
        <v>8.6169244715214866E-2</v>
      </c>
      <c r="M75" s="15">
        <f t="shared" si="6"/>
        <v>0.13930694562293069</v>
      </c>
      <c r="N75" s="15">
        <f t="shared" si="6"/>
        <v>1.8894792355669581E-2</v>
      </c>
      <c r="O75" s="15">
        <f t="shared" si="6"/>
        <v>0.21389921056686523</v>
      </c>
      <c r="P75" s="15">
        <f t="shared" si="6"/>
        <v>6.8523281993099122E-2</v>
      </c>
      <c r="Q75" s="15">
        <f t="shared" si="6"/>
        <v>1.2163600630814389E-2</v>
      </c>
      <c r="S75" s="15">
        <f t="shared" si="8"/>
        <v>0.54721216883062107</v>
      </c>
      <c r="T75" s="15">
        <f t="shared" si="9"/>
        <v>0.45278783116937893</v>
      </c>
    </row>
    <row r="76" spans="1:20" ht="15.75" x14ac:dyDescent="0.25">
      <c r="A76" s="13">
        <v>42795</v>
      </c>
      <c r="B76" s="14">
        <f>'Feedstock Use'!H6</f>
        <v>369.46</v>
      </c>
      <c r="C76" s="14">
        <f>'Feedstock Use'!H22</f>
        <v>129.93</v>
      </c>
      <c r="D76" s="14">
        <f>'Feedstock Use'!H38</f>
        <v>121.53</v>
      </c>
      <c r="E76" s="14">
        <f>'Feedstock Use'!H54</f>
        <v>20</v>
      </c>
      <c r="F76" s="14">
        <f>'Feedstock Use'!H70</f>
        <v>217.72202971002039</v>
      </c>
      <c r="G76" s="14">
        <f>'Feedstock Use'!H86</f>
        <v>67.47</v>
      </c>
      <c r="H76" s="14">
        <f>'Feedstock Use'!H102</f>
        <v>13.22</v>
      </c>
      <c r="I76" s="14">
        <f t="shared" si="11"/>
        <v>939.33202971002038</v>
      </c>
      <c r="J76" s="15">
        <f t="shared" si="10"/>
        <v>7.2269396315796541E-2</v>
      </c>
      <c r="K76" s="15">
        <f t="shared" si="7"/>
        <v>0.39332205047245683</v>
      </c>
      <c r="L76" s="15">
        <f t="shared" si="7"/>
        <v>0.13832169657848298</v>
      </c>
      <c r="M76" s="15">
        <f t="shared" si="6"/>
        <v>0.12937917174773367</v>
      </c>
      <c r="N76" s="15">
        <f t="shared" si="6"/>
        <v>2.1291725787498342E-2</v>
      </c>
      <c r="O76" s="15">
        <f t="shared" si="6"/>
        <v>0.23178388772416608</v>
      </c>
      <c r="P76" s="15">
        <f t="shared" si="6"/>
        <v>7.1827636944125653E-2</v>
      </c>
      <c r="Q76" s="15">
        <f t="shared" si="6"/>
        <v>1.4073830745536404E-2</v>
      </c>
      <c r="S76" s="15">
        <f t="shared" si="8"/>
        <v>0.53164374705093986</v>
      </c>
      <c r="T76" s="15">
        <f t="shared" si="9"/>
        <v>0.46835625294906014</v>
      </c>
    </row>
    <row r="77" spans="1:20" ht="15.75" x14ac:dyDescent="0.25">
      <c r="A77" s="13">
        <v>42826</v>
      </c>
      <c r="B77" s="14">
        <f>'Feedstock Use'!H7</f>
        <v>426.71</v>
      </c>
      <c r="C77" s="14">
        <f>'Feedstock Use'!H23</f>
        <v>119.74</v>
      </c>
      <c r="D77" s="14">
        <f>'Feedstock Use'!H39</f>
        <v>128.58000000000001</v>
      </c>
      <c r="E77" s="14">
        <f>'Feedstock Use'!H55</f>
        <v>44.6</v>
      </c>
      <c r="F77" s="14">
        <f>'Feedstock Use'!H71</f>
        <v>253.64053077959215</v>
      </c>
      <c r="G77" s="14">
        <f>'Feedstock Use'!H87</f>
        <v>59.35</v>
      </c>
      <c r="H77" s="14">
        <f>'Feedstock Use'!H103</f>
        <v>13.39</v>
      </c>
      <c r="I77" s="14">
        <f t="shared" si="11"/>
        <v>1046.0105307795923</v>
      </c>
      <c r="J77" s="15">
        <f t="shared" si="10"/>
        <v>3.6023858403445352E-2</v>
      </c>
      <c r="K77" s="15">
        <f t="shared" si="7"/>
        <v>0.40794044366070842</v>
      </c>
      <c r="L77" s="15">
        <f t="shared" si="7"/>
        <v>0.11447303490411105</v>
      </c>
      <c r="M77" s="15">
        <f t="shared" si="6"/>
        <v>0.12292419265049775</v>
      </c>
      <c r="N77" s="15">
        <f t="shared" si="6"/>
        <v>4.2638194059824233E-2</v>
      </c>
      <c r="O77" s="15">
        <f t="shared" si="6"/>
        <v>0.24248372584791639</v>
      </c>
      <c r="P77" s="15">
        <f t="shared" si="6"/>
        <v>5.673939052579749E-2</v>
      </c>
      <c r="Q77" s="15">
        <f t="shared" si="6"/>
        <v>1.280101835114454E-2</v>
      </c>
      <c r="S77" s="15">
        <f t="shared" si="8"/>
        <v>0.52241347856481946</v>
      </c>
      <c r="T77" s="15">
        <f t="shared" si="9"/>
        <v>0.47758652143518054</v>
      </c>
    </row>
    <row r="78" spans="1:20" ht="15.75" x14ac:dyDescent="0.25">
      <c r="A78" s="13">
        <v>42856</v>
      </c>
      <c r="B78" s="14">
        <f>'Feedstock Use'!H8</f>
        <v>545.51</v>
      </c>
      <c r="C78" s="14">
        <f>'Feedstock Use'!H24</f>
        <v>130.58000000000001</v>
      </c>
      <c r="D78" s="14">
        <f>'Feedstock Use'!H40</f>
        <v>124.39</v>
      </c>
      <c r="E78" s="14">
        <f>'Feedstock Use'!H56</f>
        <v>40.86</v>
      </c>
      <c r="F78" s="14">
        <f>'Feedstock Use'!H72</f>
        <v>258.45521445841928</v>
      </c>
      <c r="G78" s="14">
        <f>'Feedstock Use'!H88</f>
        <v>48.64</v>
      </c>
      <c r="H78" s="14">
        <f>'Feedstock Use'!H104</f>
        <v>12.64</v>
      </c>
      <c r="I78" s="14">
        <f t="shared" si="11"/>
        <v>1161.0752144584194</v>
      </c>
      <c r="J78" s="15">
        <f t="shared" si="10"/>
        <v>0.15001354715243731</v>
      </c>
      <c r="K78" s="15">
        <f t="shared" si="7"/>
        <v>0.46983175009420192</v>
      </c>
      <c r="L78" s="15">
        <f t="shared" si="7"/>
        <v>0.11246472095342137</v>
      </c>
      <c r="M78" s="15">
        <f t="shared" si="6"/>
        <v>0.10713345565474103</v>
      </c>
      <c r="N78" s="15">
        <f t="shared" si="6"/>
        <v>3.5191518595166157E-2</v>
      </c>
      <c r="O78" s="15">
        <f t="shared" si="6"/>
        <v>0.22259988951618009</v>
      </c>
      <c r="P78" s="15">
        <f t="shared" si="6"/>
        <v>4.1892204220971167E-2</v>
      </c>
      <c r="Q78" s="15">
        <f t="shared" si="6"/>
        <v>1.0886460965318166E-2</v>
      </c>
      <c r="S78" s="15">
        <f t="shared" si="8"/>
        <v>0.58229647104762328</v>
      </c>
      <c r="T78" s="15">
        <f t="shared" si="9"/>
        <v>0.41770352895237672</v>
      </c>
    </row>
    <row r="79" spans="1:20" ht="15.75" x14ac:dyDescent="0.25">
      <c r="A79" s="13">
        <v>42887</v>
      </c>
      <c r="B79" s="14">
        <f>'Feedstock Use'!H9</f>
        <v>548.84</v>
      </c>
      <c r="C79" s="14">
        <f>'Feedstock Use'!H25</f>
        <v>152.97</v>
      </c>
      <c r="D79" s="14">
        <f>'Feedstock Use'!H41</f>
        <v>113.42</v>
      </c>
      <c r="E79" s="14">
        <f>'Feedstock Use'!H57</f>
        <v>34.43</v>
      </c>
      <c r="F79" s="14">
        <f>'Feedstock Use'!H73</f>
        <v>264.85662292057708</v>
      </c>
      <c r="G79" s="14">
        <f>'Feedstock Use'!H89</f>
        <v>43.7</v>
      </c>
      <c r="H79" s="14">
        <f>'Feedstock Use'!H105</f>
        <v>15.21</v>
      </c>
      <c r="I79" s="14">
        <f t="shared" si="11"/>
        <v>1173.4266229205771</v>
      </c>
      <c r="J79" s="15">
        <f t="shared" si="10"/>
        <v>0.12045332426123623</v>
      </c>
      <c r="K79" s="15">
        <f t="shared" si="7"/>
        <v>0.46772417574264297</v>
      </c>
      <c r="L79" s="15">
        <f t="shared" si="7"/>
        <v>0.13036179426308594</v>
      </c>
      <c r="M79" s="15">
        <f t="shared" si="6"/>
        <v>9.6657087699020774E-2</v>
      </c>
      <c r="N79" s="15">
        <f t="shared" si="6"/>
        <v>2.9341417117592007E-2</v>
      </c>
      <c r="O79" s="15">
        <f t="shared" si="6"/>
        <v>0.2257121303941165</v>
      </c>
      <c r="P79" s="15">
        <f t="shared" si="6"/>
        <v>3.7241357189624479E-2</v>
      </c>
      <c r="Q79" s="15">
        <f t="shared" si="6"/>
        <v>1.2962037593917352E-2</v>
      </c>
      <c r="S79" s="15">
        <f t="shared" si="8"/>
        <v>0.59808597000572894</v>
      </c>
      <c r="T79" s="15">
        <f t="shared" si="9"/>
        <v>0.40191402999427106</v>
      </c>
    </row>
    <row r="80" spans="1:20" ht="15.75" x14ac:dyDescent="0.25">
      <c r="A80" s="13">
        <v>42917</v>
      </c>
      <c r="B80" s="14">
        <f>'Feedstock Use'!H10</f>
        <v>606.15</v>
      </c>
      <c r="C80" s="14">
        <f>'Feedstock Use'!H26</f>
        <v>157.13</v>
      </c>
      <c r="D80" s="14">
        <f>'Feedstock Use'!H42</f>
        <v>130.30000000000001</v>
      </c>
      <c r="E80" s="14">
        <f>'Feedstock Use'!H58</f>
        <v>36.090000000000003</v>
      </c>
      <c r="F80" s="14">
        <f>'Feedstock Use'!H74</f>
        <v>256.00164319331299</v>
      </c>
      <c r="G80" s="14">
        <f>'Feedstock Use'!H90</f>
        <v>33.29</v>
      </c>
      <c r="H80" s="14">
        <f>'Feedstock Use'!H106</f>
        <v>17</v>
      </c>
      <c r="I80" s="14">
        <f t="shared" si="11"/>
        <v>1235.961643193313</v>
      </c>
      <c r="J80" s="15">
        <f t="shared" si="10"/>
        <v>0.15285111082636993</v>
      </c>
      <c r="K80" s="15">
        <f t="shared" si="7"/>
        <v>0.49042784081382201</v>
      </c>
      <c r="L80" s="15">
        <f t="shared" si="7"/>
        <v>0.12713177699756803</v>
      </c>
      <c r="M80" s="15">
        <f t="shared" si="6"/>
        <v>0.10542398359818694</v>
      </c>
      <c r="N80" s="15">
        <f t="shared" si="6"/>
        <v>2.9199935288246867E-2</v>
      </c>
      <c r="O80" s="15">
        <f t="shared" si="6"/>
        <v>0.20712749833553901</v>
      </c>
      <c r="P80" s="15">
        <f t="shared" si="6"/>
        <v>2.6934492816451595E-2</v>
      </c>
      <c r="Q80" s="15">
        <f t="shared" si="6"/>
        <v>1.3754472150185555E-2</v>
      </c>
      <c r="S80" s="15">
        <f t="shared" si="8"/>
        <v>0.61755961781139002</v>
      </c>
      <c r="T80" s="15">
        <f t="shared" si="9"/>
        <v>0.38244038218860998</v>
      </c>
    </row>
    <row r="81" spans="1:20" ht="15.75" x14ac:dyDescent="0.25">
      <c r="A81" s="13">
        <v>42948</v>
      </c>
      <c r="B81" s="14">
        <f>'Feedstock Use'!H11</f>
        <v>608.16999999999996</v>
      </c>
      <c r="C81" s="14">
        <f>'Feedstock Use'!H27</f>
        <v>142.85</v>
      </c>
      <c r="D81" s="14">
        <f>'Feedstock Use'!H43</f>
        <v>143</v>
      </c>
      <c r="E81" s="14">
        <f>'Feedstock Use'!H59</f>
        <v>38.590000000000003</v>
      </c>
      <c r="F81" s="14">
        <f>'Feedstock Use'!H75</f>
        <v>265.10085482986011</v>
      </c>
      <c r="G81" s="14">
        <f>'Feedstock Use'!H91</f>
        <v>35.130000000000003</v>
      </c>
      <c r="H81" s="14">
        <f>'Feedstock Use'!H107</f>
        <v>18.13</v>
      </c>
      <c r="I81" s="14">
        <f t="shared" si="11"/>
        <v>1250.9708548298604</v>
      </c>
      <c r="J81" s="15">
        <f t="shared" si="10"/>
        <v>0.24134246931524483</v>
      </c>
      <c r="K81" s="15">
        <f t="shared" si="7"/>
        <v>0.48615840860873993</v>
      </c>
      <c r="L81" s="15">
        <f t="shared" si="7"/>
        <v>0.11419130945255192</v>
      </c>
      <c r="M81" s="15">
        <f t="shared" si="6"/>
        <v>0.11431121632282062</v>
      </c>
      <c r="N81" s="15">
        <f t="shared" si="6"/>
        <v>3.0848040824459078E-2</v>
      </c>
      <c r="O81" s="15">
        <f t="shared" si="6"/>
        <v>0.21191609205469095</v>
      </c>
      <c r="P81" s="15">
        <f t="shared" si="6"/>
        <v>2.8082189016927894E-2</v>
      </c>
      <c r="Q81" s="15">
        <f t="shared" si="6"/>
        <v>1.4492743719809355E-2</v>
      </c>
      <c r="S81" s="15">
        <f t="shared" si="8"/>
        <v>0.60034971806129189</v>
      </c>
      <c r="T81" s="15">
        <f t="shared" si="9"/>
        <v>0.39965028193870811</v>
      </c>
    </row>
    <row r="82" spans="1:20" ht="15.75" x14ac:dyDescent="0.25">
      <c r="A82" s="13">
        <v>42979</v>
      </c>
      <c r="B82" s="14">
        <f>'Feedstock Use'!H12</f>
        <v>603.91</v>
      </c>
      <c r="C82" s="14">
        <f>'Feedstock Use'!H28</f>
        <v>83.64</v>
      </c>
      <c r="D82" s="14">
        <f>'Feedstock Use'!H44</f>
        <v>144.19999999999999</v>
      </c>
      <c r="E82" s="14">
        <f>'Feedstock Use'!H60</f>
        <v>32.880000000000003</v>
      </c>
      <c r="F82" s="14">
        <f>'Feedstock Use'!H76</f>
        <v>247.48441374395836</v>
      </c>
      <c r="G82" s="14">
        <f>'Feedstock Use'!H92</f>
        <v>45.87</v>
      </c>
      <c r="H82" s="14">
        <f>'Feedstock Use'!H108</f>
        <v>13.09</v>
      </c>
      <c r="I82" s="14">
        <f t="shared" si="11"/>
        <v>1171.0744137439581</v>
      </c>
      <c r="J82" s="15">
        <f t="shared" si="10"/>
        <v>4.2685762794781423E-2</v>
      </c>
      <c r="K82" s="15">
        <f t="shared" si="7"/>
        <v>0.51568883489588213</v>
      </c>
      <c r="L82" s="15">
        <f t="shared" si="7"/>
        <v>7.1421592870943656E-2</v>
      </c>
      <c r="M82" s="15">
        <f t="shared" si="6"/>
        <v>0.12313478828299945</v>
      </c>
      <c r="N82" s="15">
        <f t="shared" si="6"/>
        <v>2.807678112860626E-2</v>
      </c>
      <c r="O82" s="15">
        <f t="shared" si="6"/>
        <v>0.21133107413109956</v>
      </c>
      <c r="P82" s="15">
        <f t="shared" si="6"/>
        <v>3.9169159074488112E-2</v>
      </c>
      <c r="Q82" s="15">
        <f t="shared" si="6"/>
        <v>1.117776961598102E-2</v>
      </c>
      <c r="S82" s="15">
        <f t="shared" si="8"/>
        <v>0.58711042776682576</v>
      </c>
      <c r="T82" s="15">
        <f t="shared" si="9"/>
        <v>0.41288957223317424</v>
      </c>
    </row>
    <row r="83" spans="1:20" ht="15.75" x14ac:dyDescent="0.25">
      <c r="A83" s="13">
        <v>43009</v>
      </c>
      <c r="B83" s="14">
        <f>'Feedstock Use'!H13</f>
        <v>577.42999999999995</v>
      </c>
      <c r="C83" s="14">
        <f>'Feedstock Use'!H29</f>
        <v>159.29</v>
      </c>
      <c r="D83" s="14">
        <f>'Feedstock Use'!H45</f>
        <v>131.61000000000001</v>
      </c>
      <c r="E83" s="14">
        <f>'Feedstock Use'!H61</f>
        <v>37.6</v>
      </c>
      <c r="F83" s="14">
        <f>'Feedstock Use'!H77</f>
        <v>258.417950156475</v>
      </c>
      <c r="G83" s="14">
        <f>'Feedstock Use'!H93</f>
        <v>49.41</v>
      </c>
      <c r="H83" s="14">
        <f>'Feedstock Use'!H109</f>
        <v>19.579999999999998</v>
      </c>
      <c r="I83" s="14">
        <f t="shared" si="11"/>
        <v>1233.337950156475</v>
      </c>
      <c r="J83" s="15">
        <f t="shared" si="10"/>
        <v>5.8734469382179855E-2</v>
      </c>
      <c r="K83" s="15">
        <f t="shared" si="7"/>
        <v>0.46818473389774534</v>
      </c>
      <c r="L83" s="15">
        <f t="shared" si="7"/>
        <v>0.12915357058443769</v>
      </c>
      <c r="M83" s="15">
        <f t="shared" si="6"/>
        <v>0.10671041135424601</v>
      </c>
      <c r="N83" s="15">
        <f t="shared" si="6"/>
        <v>3.0486372364711266E-2</v>
      </c>
      <c r="O83" s="15">
        <f t="shared" si="6"/>
        <v>0.20952728335626841</v>
      </c>
      <c r="P83" s="15">
        <f t="shared" si="6"/>
        <v>4.0062012195222964E-2</v>
      </c>
      <c r="Q83" s="15">
        <f t="shared" si="6"/>
        <v>1.587561624736826E-2</v>
      </c>
      <c r="S83" s="15">
        <f t="shared" si="8"/>
        <v>0.59733830448218295</v>
      </c>
      <c r="T83" s="15">
        <f t="shared" si="9"/>
        <v>0.40266169551781705</v>
      </c>
    </row>
    <row r="84" spans="1:20" ht="15.75" x14ac:dyDescent="0.25">
      <c r="A84" s="13">
        <v>43040</v>
      </c>
      <c r="B84" s="14">
        <f>'Feedstock Use'!H14</f>
        <v>590.79999999999995</v>
      </c>
      <c r="C84" s="14">
        <f>'Feedstock Use'!H30</f>
        <v>140.78</v>
      </c>
      <c r="D84" s="14">
        <f>'Feedstock Use'!H46</f>
        <v>153.29</v>
      </c>
      <c r="E84" s="14">
        <f>'Feedstock Use'!H62</f>
        <v>33.51</v>
      </c>
      <c r="F84" s="14">
        <f>'Feedstock Use'!H78</f>
        <v>255.93041619616557</v>
      </c>
      <c r="G84" s="14">
        <f>'Feedstock Use'!H94</f>
        <v>49.23</v>
      </c>
      <c r="H84" s="14">
        <f>'Feedstock Use'!H110</f>
        <v>23.51</v>
      </c>
      <c r="I84" s="14">
        <f t="shared" si="11"/>
        <v>1247.0504161961655</v>
      </c>
      <c r="J84" s="15">
        <f t="shared" si="10"/>
        <v>8.6910048624568415E-2</v>
      </c>
      <c r="K84" s="15">
        <f t="shared" si="7"/>
        <v>0.4737579109288112</v>
      </c>
      <c r="L84" s="15">
        <f t="shared" si="7"/>
        <v>0.11289038371793847</v>
      </c>
      <c r="M84" s="15">
        <f t="shared" si="6"/>
        <v>0.12292205512233831</v>
      </c>
      <c r="N84" s="15">
        <f t="shared" si="6"/>
        <v>2.6871407574855219E-2</v>
      </c>
      <c r="O84" s="15">
        <f t="shared" si="6"/>
        <v>0.2052286041303937</v>
      </c>
      <c r="P84" s="15">
        <f t="shared" si="6"/>
        <v>3.9477152936738959E-2</v>
      </c>
      <c r="Q84" s="15">
        <f t="shared" si="6"/>
        <v>1.8852485588924092E-2</v>
      </c>
      <c r="S84" s="15">
        <f t="shared" si="8"/>
        <v>0.58664829464674961</v>
      </c>
      <c r="T84" s="15">
        <f t="shared" si="9"/>
        <v>0.41335170535325039</v>
      </c>
    </row>
    <row r="85" spans="1:20" ht="15.75" x14ac:dyDescent="0.25">
      <c r="A85" s="13">
        <v>43070</v>
      </c>
      <c r="B85" s="14">
        <f>'Feedstock Use'!H15</f>
        <v>593.99</v>
      </c>
      <c r="C85" s="14">
        <f>'Feedstock Use'!H31</f>
        <v>127.85</v>
      </c>
      <c r="D85" s="14">
        <f>'Feedstock Use'!H47</f>
        <v>165.18</v>
      </c>
      <c r="E85" s="14">
        <f>'Feedstock Use'!H63</f>
        <v>30.27</v>
      </c>
      <c r="F85" s="14">
        <f>'Feedstock Use'!H79</f>
        <v>248.62508396103962</v>
      </c>
      <c r="G85" s="14">
        <f>'Feedstock Use'!H95</f>
        <v>56.22</v>
      </c>
      <c r="H85" s="14">
        <f>'Feedstock Use'!H111</f>
        <v>12.53</v>
      </c>
      <c r="I85" s="14">
        <f t="shared" si="11"/>
        <v>1234.6650839610395</v>
      </c>
      <c r="J85" s="15">
        <f t="shared" si="10"/>
        <v>0.55902390220169984</v>
      </c>
      <c r="K85" s="15">
        <f t="shared" si="7"/>
        <v>0.48109402923614519</v>
      </c>
      <c r="L85" s="15">
        <f t="shared" si="7"/>
        <v>0.10355034872277506</v>
      </c>
      <c r="M85" s="15">
        <f t="shared" si="6"/>
        <v>0.13378526869008983</v>
      </c>
      <c r="N85" s="15">
        <f t="shared" si="6"/>
        <v>2.4516770088685188E-2</v>
      </c>
      <c r="O85" s="15">
        <f t="shared" si="6"/>
        <v>0.20137046652635809</v>
      </c>
      <c r="P85" s="15">
        <f t="shared" si="6"/>
        <v>4.5534615605744344E-2</v>
      </c>
      <c r="Q85" s="15">
        <f t="shared" si="6"/>
        <v>1.0148501130202358E-2</v>
      </c>
      <c r="S85" s="15">
        <f t="shared" si="8"/>
        <v>0.58464437795892032</v>
      </c>
      <c r="T85" s="15">
        <f t="shared" si="9"/>
        <v>0.41535562204107968</v>
      </c>
    </row>
    <row r="86" spans="1:20" ht="15.75" x14ac:dyDescent="0.25">
      <c r="A86" s="13">
        <v>43101</v>
      </c>
      <c r="B86" s="14">
        <f>'Feedstock Use'!I4</f>
        <v>462.12</v>
      </c>
      <c r="C86" s="14">
        <f>'Feedstock Use'!I20</f>
        <v>128.03</v>
      </c>
      <c r="D86" s="14">
        <f>'Feedstock Use'!I36</f>
        <v>152.88999999999999</v>
      </c>
      <c r="E86" s="14">
        <f>'Feedstock Use'!I52</f>
        <v>21.0693969726562</v>
      </c>
      <c r="F86" s="14">
        <f>'Feedstock Use'!I68</f>
        <v>185.54228205123096</v>
      </c>
      <c r="G86" s="14">
        <f>'Feedstock Use'!I84</f>
        <v>44.21</v>
      </c>
      <c r="H86" s="14">
        <f>'Feedstock Use'!I100</f>
        <v>5.85</v>
      </c>
      <c r="I86" s="14">
        <f t="shared" si="11"/>
        <v>999.7116790238872</v>
      </c>
      <c r="J86" s="15">
        <f t="shared" si="10"/>
        <v>0.24846956977489376</v>
      </c>
      <c r="K86" s="15">
        <f t="shared" si="7"/>
        <v>0.46225327731612714</v>
      </c>
      <c r="L86" s="15">
        <f t="shared" si="7"/>
        <v>0.12806692438064518</v>
      </c>
      <c r="M86" s="15">
        <f t="shared" si="6"/>
        <v>0.15293409410729392</v>
      </c>
      <c r="N86" s="15">
        <f t="shared" si="6"/>
        <v>2.1075473473740187E-2</v>
      </c>
      <c r="O86" s="15">
        <f t="shared" si="6"/>
        <v>0.18559579321149211</v>
      </c>
      <c r="P86" s="15">
        <f t="shared" si="6"/>
        <v>4.4222750346546311E-2</v>
      </c>
      <c r="Q86" s="15">
        <f t="shared" si="6"/>
        <v>5.8516871641550753E-3</v>
      </c>
      <c r="S86" s="15">
        <f t="shared" si="8"/>
        <v>0.59032020169677235</v>
      </c>
      <c r="T86" s="15">
        <f t="shared" si="9"/>
        <v>0.40967979830322765</v>
      </c>
    </row>
    <row r="87" spans="1:20" ht="15.75" x14ac:dyDescent="0.25">
      <c r="A87" s="13">
        <v>43132</v>
      </c>
      <c r="B87" s="14">
        <f>'Feedstock Use'!I5</f>
        <v>495.59</v>
      </c>
      <c r="C87" s="14">
        <f>'Feedstock Use'!I21</f>
        <v>102.36</v>
      </c>
      <c r="D87" s="14">
        <f>'Feedstock Use'!I37</f>
        <v>143.28</v>
      </c>
      <c r="E87" s="14">
        <f>'Feedstock Use'!I53</f>
        <v>11.0693969726562</v>
      </c>
      <c r="F87" s="14">
        <f>'Feedstock Use'!I69</f>
        <v>227.49672195993929</v>
      </c>
      <c r="G87" s="14">
        <f>'Feedstock Use'!I85</f>
        <v>43.86</v>
      </c>
      <c r="H87" s="14">
        <f>'Feedstock Use'!I101</f>
        <v>6.35</v>
      </c>
      <c r="I87" s="14">
        <f t="shared" ref="I87:I122" si="12">SUM(B87:H87)</f>
        <v>1030.0061189325954</v>
      </c>
      <c r="J87" s="15">
        <f t="shared" si="10"/>
        <v>9.6530392187911263E-2</v>
      </c>
      <c r="K87" s="15">
        <f t="shared" si="7"/>
        <v>0.48115248141786221</v>
      </c>
      <c r="L87" s="15">
        <f t="shared" si="7"/>
        <v>9.9378050400396253E-2</v>
      </c>
      <c r="M87" s="15">
        <f t="shared" si="6"/>
        <v>0.13910596972810449</v>
      </c>
      <c r="N87" s="15">
        <f t="shared" si="6"/>
        <v>1.0746923507723931E-2</v>
      </c>
      <c r="O87" s="15">
        <f t="shared" si="6"/>
        <v>0.22086929172391342</v>
      </c>
      <c r="P87" s="15">
        <f t="shared" si="6"/>
        <v>4.2582271302866154E-2</v>
      </c>
      <c r="Q87" s="15">
        <f t="shared" si="6"/>
        <v>6.1650119191336084E-3</v>
      </c>
      <c r="S87" s="15">
        <f t="shared" si="8"/>
        <v>0.58053053181825842</v>
      </c>
      <c r="T87" s="15">
        <f t="shared" si="9"/>
        <v>0.41946946818174158</v>
      </c>
    </row>
    <row r="88" spans="1:20" ht="15.75" x14ac:dyDescent="0.25">
      <c r="A88" s="13">
        <v>43160</v>
      </c>
      <c r="B88" s="14">
        <f>'Feedstock Use'!I6</f>
        <v>624.15</v>
      </c>
      <c r="C88" s="14">
        <f>'Feedstock Use'!I22</f>
        <v>100.98</v>
      </c>
      <c r="D88" s="14">
        <f>'Feedstock Use'!I38</f>
        <v>154.71</v>
      </c>
      <c r="E88" s="14">
        <f>'Feedstock Use'!I54</f>
        <v>22.92</v>
      </c>
      <c r="F88" s="14">
        <f>'Feedstock Use'!I70</f>
        <v>254.67116942806319</v>
      </c>
      <c r="G88" s="14">
        <f>'Feedstock Use'!I86</f>
        <v>49.31</v>
      </c>
      <c r="H88" s="14">
        <f>'Feedstock Use'!I102</f>
        <v>4.81005859375</v>
      </c>
      <c r="I88" s="14">
        <f t="shared" si="12"/>
        <v>1211.5512280218131</v>
      </c>
      <c r="J88" s="15">
        <f t="shared" si="10"/>
        <v>0.15825911152045791</v>
      </c>
      <c r="K88" s="15">
        <f t="shared" si="7"/>
        <v>0.51516600005357971</v>
      </c>
      <c r="L88" s="15">
        <f t="shared" si="7"/>
        <v>8.3347693159353503E-2</v>
      </c>
      <c r="M88" s="15">
        <f t="shared" si="6"/>
        <v>0.12769579727355496</v>
      </c>
      <c r="N88" s="15">
        <f t="shared" si="6"/>
        <v>1.8917895892378512E-2</v>
      </c>
      <c r="O88" s="15">
        <f t="shared" si="6"/>
        <v>0.21020255977444977</v>
      </c>
      <c r="P88" s="15">
        <f t="shared" si="6"/>
        <v>4.0699888588707871E-2</v>
      </c>
      <c r="Q88" s="15">
        <f t="shared" si="6"/>
        <v>3.9701652579757019E-3</v>
      </c>
      <c r="S88" s="15">
        <f t="shared" si="8"/>
        <v>0.59851369321293324</v>
      </c>
      <c r="T88" s="15">
        <f t="shared" si="9"/>
        <v>0.40148630678706676</v>
      </c>
    </row>
    <row r="89" spans="1:20" ht="15.75" x14ac:dyDescent="0.25">
      <c r="A89" s="13">
        <v>43191</v>
      </c>
      <c r="B89" s="14">
        <f>'Feedstock Use'!I7</f>
        <v>519.55999999999995</v>
      </c>
      <c r="C89" s="14">
        <f>'Feedstock Use'!I23</f>
        <v>116.42</v>
      </c>
      <c r="D89" s="14">
        <f>'Feedstock Use'!I39</f>
        <v>177.52</v>
      </c>
      <c r="E89" s="14">
        <f>'Feedstock Use'!I55</f>
        <v>42.93</v>
      </c>
      <c r="F89" s="14">
        <f>'Feedstock Use'!I71</f>
        <v>259.77114488736976</v>
      </c>
      <c r="G89" s="14">
        <f>'Feedstock Use'!I87</f>
        <v>54</v>
      </c>
      <c r="H89" s="14">
        <f>'Feedstock Use'!I103</f>
        <v>7.9830322265625</v>
      </c>
      <c r="I89" s="14">
        <f t="shared" si="12"/>
        <v>1178.184177113932</v>
      </c>
      <c r="J89" s="15">
        <f t="shared" si="10"/>
        <v>1.4735447318538375E-2</v>
      </c>
      <c r="K89" s="15">
        <f t="shared" si="7"/>
        <v>0.44098368497250473</v>
      </c>
      <c r="L89" s="15">
        <f t="shared" si="7"/>
        <v>9.8813073763374795E-2</v>
      </c>
      <c r="M89" s="15">
        <f t="shared" si="6"/>
        <v>0.1506725378326258</v>
      </c>
      <c r="N89" s="15">
        <f t="shared" si="6"/>
        <v>3.6437427045711047E-2</v>
      </c>
      <c r="O89" s="15">
        <f t="shared" si="6"/>
        <v>0.22048432658780268</v>
      </c>
      <c r="P89" s="15">
        <f t="shared" si="6"/>
        <v>4.583324156693213E-2</v>
      </c>
      <c r="Q89" s="15">
        <f t="shared" si="6"/>
        <v>6.7757082310489474E-3</v>
      </c>
      <c r="S89" s="15">
        <f t="shared" si="8"/>
        <v>0.53979675873587951</v>
      </c>
      <c r="T89" s="15">
        <f t="shared" si="9"/>
        <v>0.46020324126412049</v>
      </c>
    </row>
    <row r="90" spans="1:20" ht="15.75" x14ac:dyDescent="0.25">
      <c r="A90" s="13">
        <v>43221</v>
      </c>
      <c r="B90" s="14">
        <f>'Feedstock Use'!I8</f>
        <v>581.33000000000004</v>
      </c>
      <c r="C90" s="14">
        <f>'Feedstock Use'!I24</f>
        <v>101.31005859375</v>
      </c>
      <c r="D90" s="14">
        <f>'Feedstock Use'!I40</f>
        <v>178.48</v>
      </c>
      <c r="E90" s="14">
        <f>'Feedstock Use'!I56</f>
        <v>49.05</v>
      </c>
      <c r="F90" s="14">
        <f>'Feedstock Use'!I72</f>
        <v>278.92567333458635</v>
      </c>
      <c r="G90" s="14">
        <f>'Feedstock Use'!I88</f>
        <v>52.71</v>
      </c>
      <c r="H90" s="14">
        <f>'Feedstock Use'!I104</f>
        <v>8.31</v>
      </c>
      <c r="I90" s="14">
        <f t="shared" si="12"/>
        <v>1250.1157319283363</v>
      </c>
      <c r="J90" s="15">
        <f t="shared" si="10"/>
        <v>6.5354839842380219E-2</v>
      </c>
      <c r="K90" s="15">
        <f t="shared" si="7"/>
        <v>0.46502094578338221</v>
      </c>
      <c r="L90" s="15">
        <f t="shared" si="7"/>
        <v>8.1040543692284056E-2</v>
      </c>
      <c r="M90" s="15">
        <f t="shared" si="6"/>
        <v>0.14277078148971847</v>
      </c>
      <c r="N90" s="15">
        <f t="shared" si="6"/>
        <v>3.9236367279643046E-2</v>
      </c>
      <c r="O90" s="15">
        <f t="shared" si="6"/>
        <v>0.22311988099240715</v>
      </c>
      <c r="P90" s="15">
        <f t="shared" si="6"/>
        <v>4.2164096214270849E-2</v>
      </c>
      <c r="Q90" s="15">
        <f t="shared" si="6"/>
        <v>6.6473845482942669E-3</v>
      </c>
      <c r="S90" s="15">
        <f t="shared" si="8"/>
        <v>0.54606148947566624</v>
      </c>
      <c r="T90" s="15">
        <f t="shared" si="9"/>
        <v>0.45393851052433376</v>
      </c>
    </row>
    <row r="91" spans="1:20" ht="15.75" x14ac:dyDescent="0.25">
      <c r="A91" s="13">
        <v>43252</v>
      </c>
      <c r="B91" s="14">
        <f>'Feedstock Use'!I9</f>
        <v>623.61</v>
      </c>
      <c r="C91" s="14">
        <f>'Feedstock Use'!I25</f>
        <v>108.282958984375</v>
      </c>
      <c r="D91" s="14">
        <f>'Feedstock Use'!I41</f>
        <v>170.09</v>
      </c>
      <c r="E91" s="14">
        <f>'Feedstock Use'!I57</f>
        <v>51.06</v>
      </c>
      <c r="F91" s="14">
        <f>'Feedstock Use'!I73</f>
        <v>261.07252302418414</v>
      </c>
      <c r="G91" s="14">
        <f>'Feedstock Use'!I89</f>
        <v>56.86</v>
      </c>
      <c r="H91" s="14">
        <f>'Feedstock Use'!I105</f>
        <v>9.51</v>
      </c>
      <c r="I91" s="14">
        <f t="shared" si="12"/>
        <v>1280.4854820085591</v>
      </c>
      <c r="J91" s="15">
        <f t="shared" si="10"/>
        <v>3.6023641235509052E-2</v>
      </c>
      <c r="K91" s="15">
        <f t="shared" si="7"/>
        <v>0.48701059774751249</v>
      </c>
      <c r="L91" s="15">
        <f t="shared" si="7"/>
        <v>8.4563988038757948E-2</v>
      </c>
      <c r="M91" s="15">
        <f t="shared" si="6"/>
        <v>0.13283243144092366</v>
      </c>
      <c r="N91" s="15">
        <f t="shared" si="6"/>
        <v>3.9875500907599282E-2</v>
      </c>
      <c r="O91" s="15">
        <f t="shared" si="6"/>
        <v>0.20388557831570875</v>
      </c>
      <c r="P91" s="15">
        <f t="shared" si="6"/>
        <v>4.4405032933922742E-2</v>
      </c>
      <c r="Q91" s="15">
        <f t="shared" si="6"/>
        <v>7.4268706155751893E-3</v>
      </c>
      <c r="S91" s="15">
        <f t="shared" si="8"/>
        <v>0.57157458578627041</v>
      </c>
      <c r="T91" s="15">
        <f t="shared" si="9"/>
        <v>0.42842541421372959</v>
      </c>
    </row>
    <row r="92" spans="1:20" ht="15.75" x14ac:dyDescent="0.25">
      <c r="A92" s="13">
        <v>43282</v>
      </c>
      <c r="B92" s="14">
        <f>'Feedstock Use'!I10</f>
        <v>671.27</v>
      </c>
      <c r="C92" s="14">
        <f>'Feedstock Use'!I26</f>
        <v>101.530029296875</v>
      </c>
      <c r="D92" s="14">
        <f>'Feedstock Use'!I42</f>
        <v>192.9</v>
      </c>
      <c r="E92" s="14">
        <f>'Feedstock Use'!I58</f>
        <v>56.37</v>
      </c>
      <c r="F92" s="14">
        <f>'Feedstock Use'!I74</f>
        <v>252.06781234089323</v>
      </c>
      <c r="G92" s="14">
        <f>'Feedstock Use'!I90</f>
        <v>50.96</v>
      </c>
      <c r="H92" s="14">
        <f>'Feedstock Use'!I106</f>
        <v>11.67</v>
      </c>
      <c r="I92" s="14">
        <f t="shared" si="12"/>
        <v>1336.7678416377682</v>
      </c>
      <c r="J92" s="15">
        <f t="shared" si="10"/>
        <v>6.8584321110803703E-2</v>
      </c>
      <c r="K92" s="15">
        <f t="shared" si="7"/>
        <v>0.50215899806325381</v>
      </c>
      <c r="L92" s="15">
        <f t="shared" si="7"/>
        <v>7.5951878953404078E-2</v>
      </c>
      <c r="M92" s="15">
        <f t="shared" si="6"/>
        <v>0.14430329185931393</v>
      </c>
      <c r="N92" s="15">
        <f t="shared" si="6"/>
        <v>4.2168877978794844E-2</v>
      </c>
      <c r="O92" s="15">
        <f t="shared" si="6"/>
        <v>0.18856513785674797</v>
      </c>
      <c r="P92" s="15">
        <f t="shared" si="6"/>
        <v>3.8121802763870595E-2</v>
      </c>
      <c r="Q92" s="15">
        <f t="shared" si="6"/>
        <v>8.7300125246147914E-3</v>
      </c>
      <c r="S92" s="15">
        <f t="shared" si="8"/>
        <v>0.57811087701665786</v>
      </c>
      <c r="T92" s="15">
        <f t="shared" si="9"/>
        <v>0.42188912298334214</v>
      </c>
    </row>
    <row r="93" spans="1:20" ht="15.75" x14ac:dyDescent="0.25">
      <c r="A93" s="13">
        <v>43313</v>
      </c>
      <c r="B93" s="14">
        <f>'Feedstock Use'!I11</f>
        <v>705.13</v>
      </c>
      <c r="C93" s="14">
        <f>'Feedstock Use'!I27</f>
        <v>107.96</v>
      </c>
      <c r="D93" s="14">
        <f>'Feedstock Use'!I43</f>
        <v>202.34</v>
      </c>
      <c r="E93" s="14">
        <f>'Feedstock Use'!I59</f>
        <v>54.14</v>
      </c>
      <c r="F93" s="14">
        <f>'Feedstock Use'!I75</f>
        <v>258.8296869413922</v>
      </c>
      <c r="G93" s="14">
        <f>'Feedstock Use'!I91</f>
        <v>54.77</v>
      </c>
      <c r="H93" s="14">
        <f>'Feedstock Use'!I107</f>
        <v>19.25</v>
      </c>
      <c r="I93" s="14">
        <f t="shared" si="12"/>
        <v>1402.4196869413922</v>
      </c>
      <c r="J93" s="15">
        <f t="shared" si="10"/>
        <v>0.19754959247877069</v>
      </c>
      <c r="K93" s="15">
        <f t="shared" si="7"/>
        <v>0.50279528058954559</v>
      </c>
      <c r="L93" s="15">
        <f t="shared" si="7"/>
        <v>7.6981235364326203E-2</v>
      </c>
      <c r="M93" s="15">
        <f t="shared" si="6"/>
        <v>0.14427920677674849</v>
      </c>
      <c r="N93" s="15">
        <f t="shared" si="6"/>
        <v>3.8604706211787895E-2</v>
      </c>
      <c r="O93" s="15">
        <f t="shared" si="6"/>
        <v>0.1845593650399239</v>
      </c>
      <c r="P93" s="15">
        <f t="shared" si="6"/>
        <v>3.9053929797185506E-2</v>
      </c>
      <c r="Q93" s="15">
        <f t="shared" si="6"/>
        <v>1.3726276220482397E-2</v>
      </c>
      <c r="S93" s="15">
        <f t="shared" si="8"/>
        <v>0.57977651595387181</v>
      </c>
      <c r="T93" s="15">
        <f t="shared" si="9"/>
        <v>0.42022348404612819</v>
      </c>
    </row>
    <row r="94" spans="1:20" ht="15.75" x14ac:dyDescent="0.25">
      <c r="A94" s="13">
        <v>43344</v>
      </c>
      <c r="B94" s="14">
        <f>'Feedstock Use'!I12</f>
        <v>688.71</v>
      </c>
      <c r="C94" s="14">
        <f>'Feedstock Use'!I28</f>
        <v>96.17</v>
      </c>
      <c r="D94" s="14">
        <f>'Feedstock Use'!I44</f>
        <v>168.79</v>
      </c>
      <c r="E94" s="14">
        <f>'Feedstock Use'!I60</f>
        <v>49.28</v>
      </c>
      <c r="F94" s="14">
        <f>'Feedstock Use'!I76</f>
        <v>262.23313369773268</v>
      </c>
      <c r="G94" s="14">
        <f>'Feedstock Use'!I92</f>
        <v>58.35</v>
      </c>
      <c r="H94" s="14">
        <f>'Feedstock Use'!I108</f>
        <v>16.55</v>
      </c>
      <c r="I94" s="14">
        <f t="shared" si="12"/>
        <v>1340.0831336977324</v>
      </c>
      <c r="J94" s="15">
        <f t="shared" si="10"/>
        <v>8.6549824829208033E-2</v>
      </c>
      <c r="K94" s="15">
        <f t="shared" si="7"/>
        <v>0.51393080226270849</v>
      </c>
      <c r="L94" s="15">
        <f t="shared" si="7"/>
        <v>7.1764204459939127E-2</v>
      </c>
      <c r="M94" s="15">
        <f t="shared" si="6"/>
        <v>0.12595487231769911</v>
      </c>
      <c r="N94" s="15">
        <f t="shared" si="6"/>
        <v>3.6773837951396486E-2</v>
      </c>
      <c r="O94" s="15">
        <f t="shared" si="6"/>
        <v>0.19568422816735614</v>
      </c>
      <c r="P94" s="15">
        <f t="shared" si="6"/>
        <v>4.3542074765908788E-2</v>
      </c>
      <c r="Q94" s="15">
        <f t="shared" si="6"/>
        <v>1.2349980074992124E-2</v>
      </c>
      <c r="S94" s="15">
        <f t="shared" si="8"/>
        <v>0.58569500672264763</v>
      </c>
      <c r="T94" s="15">
        <f t="shared" si="9"/>
        <v>0.41430499327735237</v>
      </c>
    </row>
    <row r="95" spans="1:20" ht="15.75" x14ac:dyDescent="0.25">
      <c r="A95" s="13">
        <v>43374</v>
      </c>
      <c r="B95" s="14">
        <f>'Feedstock Use'!I13</f>
        <v>698.88</v>
      </c>
      <c r="C95" s="14">
        <f>'Feedstock Use'!I29</f>
        <v>100.71</v>
      </c>
      <c r="D95" s="14">
        <f>'Feedstock Use'!I45</f>
        <v>177.77</v>
      </c>
      <c r="E95" s="14">
        <f>'Feedstock Use'!I61</f>
        <v>59.32</v>
      </c>
      <c r="F95" s="14">
        <f>'Feedstock Use'!I77</f>
        <v>293.97247375753579</v>
      </c>
      <c r="G95" s="14">
        <f>'Feedstock Use'!I93</f>
        <v>59.01</v>
      </c>
      <c r="H95" s="14">
        <f>'Feedstock Use'!I109</f>
        <v>16.82</v>
      </c>
      <c r="I95" s="14">
        <f t="shared" si="12"/>
        <v>1406.4824737575359</v>
      </c>
      <c r="J95" s="15">
        <f t="shared" si="10"/>
        <v>0.12784732316411107</v>
      </c>
      <c r="K95" s="15">
        <f t="shared" si="7"/>
        <v>0.49689918860693905</v>
      </c>
      <c r="L95" s="15">
        <f t="shared" si="7"/>
        <v>7.1604162781314137E-2</v>
      </c>
      <c r="M95" s="15">
        <f t="shared" si="6"/>
        <v>0.12639332755073196</v>
      </c>
      <c r="N95" s="15">
        <f t="shared" si="6"/>
        <v>4.2176138776561962E-2</v>
      </c>
      <c r="O95" s="15">
        <f t="shared" si="6"/>
        <v>0.20901253961036831</v>
      </c>
      <c r="P95" s="15">
        <f t="shared" si="6"/>
        <v>4.1955730768795031E-2</v>
      </c>
      <c r="Q95" s="15">
        <f t="shared" si="6"/>
        <v>1.1958911905289483E-2</v>
      </c>
      <c r="S95" s="15">
        <f t="shared" si="8"/>
        <v>0.56850335138825314</v>
      </c>
      <c r="T95" s="15">
        <f t="shared" si="9"/>
        <v>0.43149664861174686</v>
      </c>
    </row>
    <row r="96" spans="1:20" ht="15.75" x14ac:dyDescent="0.25">
      <c r="A96" s="13">
        <v>43405</v>
      </c>
      <c r="B96" s="14">
        <f>'Feedstock Use'!I14</f>
        <v>703.79</v>
      </c>
      <c r="C96" s="14">
        <f>'Feedstock Use'!I30</f>
        <v>75.10009765625</v>
      </c>
      <c r="D96" s="14">
        <f>'Feedstock Use'!I46</f>
        <v>185.38</v>
      </c>
      <c r="E96" s="14">
        <f>'Feedstock Use'!I62</f>
        <v>30.37</v>
      </c>
      <c r="F96" s="14">
        <f>'Feedstock Use'!I78</f>
        <v>286.74863423772422</v>
      </c>
      <c r="G96" s="14">
        <f>'Feedstock Use'!I94</f>
        <v>48.18</v>
      </c>
      <c r="H96" s="14">
        <f>'Feedstock Use'!I110</f>
        <v>12.69</v>
      </c>
      <c r="I96" s="14">
        <f t="shared" si="12"/>
        <v>1342.2587318939743</v>
      </c>
      <c r="J96" s="15">
        <f t="shared" si="10"/>
        <v>8.7143995023941212E-2</v>
      </c>
      <c r="K96" s="15">
        <f t="shared" si="7"/>
        <v>0.5243325919786922</v>
      </c>
      <c r="L96" s="15">
        <f t="shared" si="7"/>
        <v>5.5950537606323576E-2</v>
      </c>
      <c r="M96" s="15">
        <f t="shared" si="6"/>
        <v>0.13811048167920822</v>
      </c>
      <c r="N96" s="15">
        <f t="shared" si="6"/>
        <v>2.2626040180157264E-2</v>
      </c>
      <c r="O96" s="15">
        <f t="shared" si="6"/>
        <v>0.21363141652512241</v>
      </c>
      <c r="P96" s="15">
        <f t="shared" si="6"/>
        <v>3.5894718995060158E-2</v>
      </c>
      <c r="Q96" s="15">
        <f t="shared" si="6"/>
        <v>9.4542130354361431E-3</v>
      </c>
      <c r="S96" s="15">
        <f t="shared" si="8"/>
        <v>0.58028312958501571</v>
      </c>
      <c r="T96" s="15">
        <f t="shared" si="9"/>
        <v>0.41971687041498429</v>
      </c>
    </row>
    <row r="97" spans="1:20" ht="15.75" x14ac:dyDescent="0.25">
      <c r="A97" s="13">
        <v>43435</v>
      </c>
      <c r="B97" s="14">
        <f>'Feedstock Use'!I15</f>
        <v>767.76</v>
      </c>
      <c r="C97" s="14">
        <f>'Feedstock Use'!I31</f>
        <v>85.650146484375</v>
      </c>
      <c r="D97" s="14">
        <f>'Feedstock Use'!I47</f>
        <v>180.82</v>
      </c>
      <c r="E97" s="14">
        <f>'Feedstock Use'!I63</f>
        <v>21.36</v>
      </c>
      <c r="F97" s="14">
        <f>'Feedstock Use'!I79</f>
        <v>304.62925596657408</v>
      </c>
      <c r="G97" s="14">
        <f>'Feedstock Use'!I95</f>
        <v>45.48</v>
      </c>
      <c r="H97" s="14">
        <f>'Feedstock Use'!I111</f>
        <v>9.93</v>
      </c>
      <c r="I97" s="14">
        <f t="shared" si="12"/>
        <v>1415.6294024509491</v>
      </c>
      <c r="J97" s="15">
        <f t="shared" si="10"/>
        <v>0.41603767581585283</v>
      </c>
      <c r="K97" s="15">
        <f t="shared" si="7"/>
        <v>0.54234533322827227</v>
      </c>
      <c r="L97" s="15">
        <f t="shared" si="7"/>
        <v>6.050322657616794E-2</v>
      </c>
      <c r="M97" s="15">
        <f t="shared" si="6"/>
        <v>0.12773117009786417</v>
      </c>
      <c r="N97" s="15">
        <f t="shared" si="6"/>
        <v>1.5088694797535553E-2</v>
      </c>
      <c r="O97" s="15">
        <f t="shared" si="6"/>
        <v>0.21518997517228336</v>
      </c>
      <c r="P97" s="15">
        <f t="shared" si="6"/>
        <v>3.2127052405988621E-2</v>
      </c>
      <c r="Q97" s="15">
        <f t="shared" si="6"/>
        <v>7.0145477218880167E-3</v>
      </c>
      <c r="S97" s="15">
        <f t="shared" si="8"/>
        <v>0.60284855980444019</v>
      </c>
      <c r="T97" s="15">
        <f t="shared" si="9"/>
        <v>0.39715144019555981</v>
      </c>
    </row>
    <row r="98" spans="1:20" ht="15.75" x14ac:dyDescent="0.25">
      <c r="A98" s="13">
        <v>43466</v>
      </c>
      <c r="B98" s="14">
        <f>'Feedstock Use'!J4</f>
        <v>622.80999999999995</v>
      </c>
      <c r="C98" s="14">
        <f>'Feedstock Use'!J20</f>
        <v>95.188333333333389</v>
      </c>
      <c r="D98" s="14">
        <f>'Feedstock Use'!J36</f>
        <v>144.58000000000001</v>
      </c>
      <c r="E98" s="14">
        <f>'Feedstock Use'!J52</f>
        <v>24.38</v>
      </c>
      <c r="F98" s="14">
        <f>'Feedstock Use'!J68</f>
        <v>236.12311132810498</v>
      </c>
      <c r="G98" s="14">
        <f>'Feedstock Use'!J84</f>
        <v>62.9</v>
      </c>
      <c r="H98" s="14">
        <f>'Feedstock Use'!J100</f>
        <v>13.3016666666667</v>
      </c>
      <c r="I98" s="14">
        <f t="shared" si="12"/>
        <v>1199.2831113281052</v>
      </c>
      <c r="J98" s="15">
        <f t="shared" si="10"/>
        <v>0.16434561822888294</v>
      </c>
      <c r="K98" s="15">
        <f t="shared" si="7"/>
        <v>0.51931857800473002</v>
      </c>
      <c r="L98" s="15">
        <f t="shared" si="7"/>
        <v>7.9371027936781594E-2</v>
      </c>
      <c r="M98" s="15">
        <f t="shared" si="6"/>
        <v>0.1205553539729996</v>
      </c>
      <c r="N98" s="15">
        <f t="shared" si="6"/>
        <v>2.0328811245412436E-2</v>
      </c>
      <c r="O98" s="15">
        <f t="shared" si="6"/>
        <v>0.19688688108566665</v>
      </c>
      <c r="P98" s="15">
        <f t="shared" si="6"/>
        <v>5.2447999480575977E-2</v>
      </c>
      <c r="Q98" s="15">
        <f t="shared" si="6"/>
        <v>1.1091348273833542E-2</v>
      </c>
      <c r="S98" s="15">
        <f t="shared" si="8"/>
        <v>0.59868960594151166</v>
      </c>
      <c r="T98" s="15">
        <f t="shared" si="9"/>
        <v>0.40131039405848834</v>
      </c>
    </row>
    <row r="99" spans="1:20" ht="15.75" x14ac:dyDescent="0.25">
      <c r="A99" s="13">
        <v>43497</v>
      </c>
      <c r="B99" s="14">
        <f>'Feedstock Use'!J5</f>
        <v>559.57000000000005</v>
      </c>
      <c r="C99" s="14">
        <f>'Feedstock Use'!J21</f>
        <v>53.819999999999936</v>
      </c>
      <c r="D99" s="14">
        <f>'Feedstock Use'!J37</f>
        <v>136.61000000000001</v>
      </c>
      <c r="E99" s="14">
        <f>'Feedstock Use'!J53</f>
        <v>20.38</v>
      </c>
      <c r="F99" s="14">
        <f>'Feedstock Use'!J69</f>
        <v>245.40453085705451</v>
      </c>
      <c r="G99" s="14">
        <f>'Feedstock Use'!J85</f>
        <v>49.46</v>
      </c>
      <c r="H99" s="14">
        <f>'Feedstock Use'!J101</f>
        <v>16</v>
      </c>
      <c r="I99" s="14">
        <f t="shared" si="12"/>
        <v>1081.2445308570545</v>
      </c>
      <c r="J99" s="15">
        <f t="shared" si="10"/>
        <v>-0.10755360083082888</v>
      </c>
      <c r="K99" s="15">
        <f t="shared" si="7"/>
        <v>0.5175240050060218</v>
      </c>
      <c r="L99" s="15">
        <f t="shared" si="7"/>
        <v>4.9775974318537558E-2</v>
      </c>
      <c r="M99" s="15">
        <f t="shared" si="6"/>
        <v>0.12634514774536276</v>
      </c>
      <c r="N99" s="15">
        <f t="shared" si="6"/>
        <v>1.8848650252913351E-2</v>
      </c>
      <c r="O99" s="15">
        <f t="shared" si="6"/>
        <v>0.22696487598650161</v>
      </c>
      <c r="P99" s="15">
        <f t="shared" si="6"/>
        <v>4.5743583979837805E-2</v>
      </c>
      <c r="Q99" s="15">
        <f t="shared" si="6"/>
        <v>1.4797762710825007E-2</v>
      </c>
      <c r="S99" s="15">
        <f t="shared" si="8"/>
        <v>0.56729997932455944</v>
      </c>
      <c r="T99" s="15">
        <f t="shared" si="9"/>
        <v>0.43270002067544056</v>
      </c>
    </row>
    <row r="100" spans="1:20" ht="15.75" x14ac:dyDescent="0.25">
      <c r="A100" s="13">
        <v>43525</v>
      </c>
      <c r="B100" s="14">
        <f>'Feedstock Use'!J6</f>
        <v>617.01</v>
      </c>
      <c r="C100" s="14">
        <f>'Feedstock Use'!J22</f>
        <v>83.11</v>
      </c>
      <c r="D100" s="14">
        <f>'Feedstock Use'!J38</f>
        <v>140.68</v>
      </c>
      <c r="E100" s="14">
        <f>'Feedstock Use'!J54</f>
        <v>23.94</v>
      </c>
      <c r="F100" s="14">
        <f>'Feedstock Use'!J70</f>
        <v>235.61711166017574</v>
      </c>
      <c r="G100" s="14">
        <f>'Feedstock Use'!J86</f>
        <v>58.48</v>
      </c>
      <c r="H100" s="14">
        <f>'Feedstock Use'!J102</f>
        <v>8</v>
      </c>
      <c r="I100" s="14">
        <f t="shared" si="12"/>
        <v>1166.8371116601757</v>
      </c>
      <c r="J100" s="15">
        <f t="shared" si="10"/>
        <v>-9.6309776299593475E-3</v>
      </c>
      <c r="K100" s="15">
        <f t="shared" si="7"/>
        <v>0.52878846056080464</v>
      </c>
      <c r="L100" s="15">
        <f t="shared" si="7"/>
        <v>7.1226736936530158E-2</v>
      </c>
      <c r="M100" s="15">
        <f t="shared" si="6"/>
        <v>0.1205652430782224</v>
      </c>
      <c r="N100" s="15">
        <f t="shared" si="6"/>
        <v>2.0517002553971028E-2</v>
      </c>
      <c r="O100" s="15">
        <f t="shared" si="6"/>
        <v>0.20192802346245206</v>
      </c>
      <c r="P100" s="15">
        <f t="shared" si="6"/>
        <v>5.0118392203685282E-2</v>
      </c>
      <c r="Q100" s="15">
        <f t="shared" si="6"/>
        <v>6.8561412043345116E-3</v>
      </c>
      <c r="S100" s="15">
        <f t="shared" si="8"/>
        <v>0.60001519749733478</v>
      </c>
      <c r="T100" s="15">
        <f t="shared" si="9"/>
        <v>0.39998480250266522</v>
      </c>
    </row>
    <row r="101" spans="1:20" ht="15.75" x14ac:dyDescent="0.25">
      <c r="A101" s="13">
        <v>43556</v>
      </c>
      <c r="B101" s="14">
        <f>'Feedstock Use'!J7</f>
        <v>631.84</v>
      </c>
      <c r="C101" s="14">
        <f>'Feedstock Use'!J23</f>
        <v>120.72</v>
      </c>
      <c r="D101" s="14">
        <f>'Feedstock Use'!J39</f>
        <v>154.05000000000001</v>
      </c>
      <c r="E101" s="14">
        <f>'Feedstock Use'!J55</f>
        <v>25.88</v>
      </c>
      <c r="F101" s="14">
        <f>'Feedstock Use'!J71</f>
        <v>260.07367959492717</v>
      </c>
      <c r="G101" s="14">
        <f>'Feedstock Use'!J87</f>
        <v>57.04</v>
      </c>
      <c r="H101" s="14">
        <f>'Feedstock Use'!J103</f>
        <v>9.27</v>
      </c>
      <c r="I101" s="14">
        <f t="shared" si="12"/>
        <v>1258.8736795949271</v>
      </c>
      <c r="J101" s="15">
        <f t="shared" si="10"/>
        <v>7.0057095058562169E-3</v>
      </c>
      <c r="K101" s="15">
        <f t="shared" si="7"/>
        <v>0.50190897644576205</v>
      </c>
      <c r="L101" s="15">
        <f t="shared" si="7"/>
        <v>9.5895245056552905E-2</v>
      </c>
      <c r="M101" s="15">
        <f t="shared" si="6"/>
        <v>0.12237129308285269</v>
      </c>
      <c r="N101" s="15">
        <f t="shared" si="6"/>
        <v>2.0558059493568499E-2</v>
      </c>
      <c r="O101" s="15">
        <f t="shared" si="6"/>
        <v>0.20659235617557126</v>
      </c>
      <c r="P101" s="15">
        <f t="shared" si="6"/>
        <v>4.5310344417045872E-2</v>
      </c>
      <c r="Q101" s="15">
        <f t="shared" si="6"/>
        <v>7.3637253286468309E-3</v>
      </c>
      <c r="S101" s="15">
        <f t="shared" si="8"/>
        <v>0.59780422150231494</v>
      </c>
      <c r="T101" s="15">
        <f t="shared" si="9"/>
        <v>0.40219577849768506</v>
      </c>
    </row>
    <row r="102" spans="1:20" ht="15.75" x14ac:dyDescent="0.25">
      <c r="A102" s="13">
        <v>43586</v>
      </c>
      <c r="B102" s="14">
        <f>'Feedstock Use'!J8</f>
        <v>659.05</v>
      </c>
      <c r="C102" s="14">
        <f>'Feedstock Use'!J24</f>
        <v>102.51964195412279</v>
      </c>
      <c r="D102" s="14">
        <f>'Feedstock Use'!J40</f>
        <v>144.38999999999999</v>
      </c>
      <c r="E102" s="14">
        <f>'Feedstock Use'!J56</f>
        <v>29.35</v>
      </c>
      <c r="F102" s="14">
        <f>'Feedstock Use'!J72</f>
        <v>268.82963976695663</v>
      </c>
      <c r="G102" s="14">
        <f>'Feedstock Use'!J88</f>
        <v>42.99</v>
      </c>
      <c r="H102" s="14">
        <f>'Feedstock Use'!J104</f>
        <v>19.079999999999998</v>
      </c>
      <c r="I102" s="14">
        <f t="shared" si="12"/>
        <v>1266.2092817210794</v>
      </c>
      <c r="J102" s="15">
        <f t="shared" si="10"/>
        <v>-1.1149052830404682E-2</v>
      </c>
      <c r="K102" s="15">
        <f t="shared" si="7"/>
        <v>0.520490577279764</v>
      </c>
      <c r="L102" s="15">
        <f t="shared" si="7"/>
        <v>8.0965795650126834E-2</v>
      </c>
      <c r="M102" s="15">
        <f t="shared" si="6"/>
        <v>0.11403328192614388</v>
      </c>
      <c r="N102" s="15">
        <f t="shared" si="6"/>
        <v>2.3179422567576172E-2</v>
      </c>
      <c r="O102" s="15">
        <f t="shared" si="6"/>
        <v>0.21231059007998523</v>
      </c>
      <c r="P102" s="15">
        <f t="shared" si="6"/>
        <v>3.395173343032707E-2</v>
      </c>
      <c r="Q102" s="15">
        <f t="shared" si="6"/>
        <v>1.5068599066076773E-2</v>
      </c>
      <c r="S102" s="15">
        <f t="shared" si="8"/>
        <v>0.60145637292989085</v>
      </c>
      <c r="T102" s="15">
        <f t="shared" si="9"/>
        <v>0.39854362707010915</v>
      </c>
    </row>
    <row r="103" spans="1:20" ht="15.75" x14ac:dyDescent="0.25">
      <c r="A103" s="13">
        <v>43617</v>
      </c>
      <c r="B103" s="14">
        <f>'Feedstock Use'!J9</f>
        <v>594.15</v>
      </c>
      <c r="C103" s="14">
        <f>'Feedstock Use'!J25</f>
        <v>109.85892381575638</v>
      </c>
      <c r="D103" s="14">
        <f>'Feedstock Use'!J41</f>
        <v>154.85</v>
      </c>
      <c r="E103" s="14">
        <f>'Feedstock Use'!J57</f>
        <v>22.5</v>
      </c>
      <c r="F103" s="14">
        <f>'Feedstock Use'!J73</f>
        <v>237.57471269479015</v>
      </c>
      <c r="G103" s="14">
        <f>'Feedstock Use'!J89</f>
        <v>44.81</v>
      </c>
      <c r="H103" s="14">
        <f>'Feedstock Use'!J105</f>
        <v>15.52</v>
      </c>
      <c r="I103" s="14">
        <f t="shared" si="12"/>
        <v>1179.2636365105463</v>
      </c>
      <c r="J103" s="15">
        <f t="shared" si="10"/>
        <v>-0.11782465153728749</v>
      </c>
      <c r="K103" s="15">
        <f t="shared" si="7"/>
        <v>0.5038313584891807</v>
      </c>
      <c r="L103" s="15">
        <f t="shared" si="7"/>
        <v>9.3158917492639826E-2</v>
      </c>
      <c r="M103" s="15">
        <f t="shared" si="7"/>
        <v>0.13131075631077949</v>
      </c>
      <c r="N103" s="15">
        <f t="shared" si="7"/>
        <v>1.907970304806289E-2</v>
      </c>
      <c r="O103" s="15">
        <f t="shared" si="7"/>
        <v>0.20146022088646459</v>
      </c>
      <c r="P103" s="15">
        <f t="shared" si="7"/>
        <v>3.7998288603719919E-2</v>
      </c>
      <c r="Q103" s="15">
        <f t="shared" si="7"/>
        <v>1.3160755169152714E-2</v>
      </c>
      <c r="S103" s="15">
        <f t="shared" si="8"/>
        <v>0.59699027598182053</v>
      </c>
      <c r="T103" s="15">
        <f t="shared" si="9"/>
        <v>0.40300972401817947</v>
      </c>
    </row>
    <row r="104" spans="1:20" ht="15.75" x14ac:dyDescent="0.25">
      <c r="A104" s="13">
        <v>43647</v>
      </c>
      <c r="B104" s="14">
        <f>'Feedstock Use'!J10</f>
        <v>708.5</v>
      </c>
      <c r="C104" s="14">
        <f>'Feedstock Use'!J26</f>
        <v>118.13</v>
      </c>
      <c r="D104" s="14">
        <f>'Feedstock Use'!J42</f>
        <v>154.28</v>
      </c>
      <c r="E104" s="14">
        <f>'Feedstock Use'!J58</f>
        <v>21.6</v>
      </c>
      <c r="F104" s="14">
        <f>'Feedstock Use'!J74</f>
        <v>242.04570869412447</v>
      </c>
      <c r="G104" s="14">
        <f>'Feedstock Use'!J90</f>
        <v>40.270000000000003</v>
      </c>
      <c r="H104" s="14">
        <f>'Feedstock Use'!J106</f>
        <v>17.57</v>
      </c>
      <c r="I104" s="14">
        <f t="shared" si="12"/>
        <v>1302.3957086941243</v>
      </c>
      <c r="J104" s="15">
        <f t="shared" si="10"/>
        <v>-7.1322428784079017E-2</v>
      </c>
      <c r="K104" s="15">
        <f t="shared" si="7"/>
        <v>0.54399749267478248</v>
      </c>
      <c r="L104" s="15">
        <f t="shared" si="7"/>
        <v>9.0702080183023351E-2</v>
      </c>
      <c r="M104" s="15">
        <f t="shared" si="7"/>
        <v>0.11845862127009942</v>
      </c>
      <c r="N104" s="15">
        <f t="shared" si="7"/>
        <v>1.6584821230452084E-2</v>
      </c>
      <c r="O104" s="15">
        <f t="shared" si="7"/>
        <v>0.1858465189023211</v>
      </c>
      <c r="P104" s="15">
        <f t="shared" si="7"/>
        <v>3.0919942173625252E-2</v>
      </c>
      <c r="Q104" s="15">
        <f t="shared" si="7"/>
        <v>1.349052356569644E-2</v>
      </c>
      <c r="S104" s="15">
        <f t="shared" si="8"/>
        <v>0.63469957285780576</v>
      </c>
      <c r="T104" s="15">
        <f t="shared" si="9"/>
        <v>0.36530042714219424</v>
      </c>
    </row>
    <row r="105" spans="1:20" ht="15.75" x14ac:dyDescent="0.25">
      <c r="A105" s="13">
        <v>43678</v>
      </c>
      <c r="B105" s="14">
        <f>'Feedstock Use'!J11</f>
        <v>701.14</v>
      </c>
      <c r="C105" s="14">
        <f>'Feedstock Use'!J27</f>
        <v>108.21</v>
      </c>
      <c r="D105" s="14">
        <f>'Feedstock Use'!J43</f>
        <v>162.37</v>
      </c>
      <c r="E105" s="14">
        <f>'Feedstock Use'!J59</f>
        <v>23.94</v>
      </c>
      <c r="F105" s="14">
        <f>'Feedstock Use'!J75</f>
        <v>219.62182911128599</v>
      </c>
      <c r="G105" s="14">
        <f>'Feedstock Use'!J91</f>
        <v>29.61</v>
      </c>
      <c r="H105" s="14">
        <f>'Feedstock Use'!J107</f>
        <v>15.52</v>
      </c>
      <c r="I105" s="14">
        <f t="shared" si="12"/>
        <v>1260.4118291112859</v>
      </c>
      <c r="J105" s="15">
        <f t="shared" si="10"/>
        <v>-5.9452509014576549E-2</v>
      </c>
      <c r="K105" s="15">
        <f t="shared" si="7"/>
        <v>0.55627849866687817</v>
      </c>
      <c r="L105" s="15">
        <f t="shared" si="7"/>
        <v>8.5852891492059921E-2</v>
      </c>
      <c r="M105" s="15">
        <f t="shared" si="7"/>
        <v>0.1288229737692059</v>
      </c>
      <c r="N105" s="15">
        <f t="shared" si="7"/>
        <v>1.8993791907586311E-2</v>
      </c>
      <c r="O105" s="15">
        <f t="shared" si="7"/>
        <v>0.17424608690489754</v>
      </c>
      <c r="P105" s="15">
        <f t="shared" si="7"/>
        <v>2.349232156990938E-2</v>
      </c>
      <c r="Q105" s="15">
        <f t="shared" si="7"/>
        <v>1.2313435689462804E-2</v>
      </c>
      <c r="S105" s="15">
        <f t="shared" si="8"/>
        <v>0.64213139015893816</v>
      </c>
      <c r="T105" s="15">
        <f t="shared" si="9"/>
        <v>0.35786860984106184</v>
      </c>
    </row>
    <row r="106" spans="1:20" ht="15.75" x14ac:dyDescent="0.25">
      <c r="A106" s="13">
        <v>43709</v>
      </c>
      <c r="B106" s="14">
        <f>'Feedstock Use'!J12</f>
        <v>598.79999999999995</v>
      </c>
      <c r="C106" s="14">
        <f>'Feedstock Use'!J28</f>
        <v>124.46</v>
      </c>
      <c r="D106" s="14">
        <f>'Feedstock Use'!J44</f>
        <v>133.77000000000001</v>
      </c>
      <c r="E106" s="14">
        <f>'Feedstock Use'!J60</f>
        <v>24.25</v>
      </c>
      <c r="F106" s="14">
        <f>'Feedstock Use'!J76</f>
        <v>231.23306429200417</v>
      </c>
      <c r="G106" s="14">
        <f>'Feedstock Use'!J92</f>
        <v>26.9</v>
      </c>
      <c r="H106" s="14">
        <f>'Feedstock Use'!J108</f>
        <v>10.51</v>
      </c>
      <c r="I106" s="14">
        <f t="shared" si="12"/>
        <v>1149.9230642920043</v>
      </c>
      <c r="J106" s="15">
        <f t="shared" si="10"/>
        <v>-0.18241209133599201</v>
      </c>
      <c r="K106" s="15">
        <f t="shared" si="7"/>
        <v>0.52073048936423838</v>
      </c>
      <c r="L106" s="15">
        <f t="shared" si="7"/>
        <v>0.10823332783278743</v>
      </c>
      <c r="M106" s="15">
        <f t="shared" si="7"/>
        <v>0.11632952164705107</v>
      </c>
      <c r="N106" s="15">
        <f t="shared" si="7"/>
        <v>2.1088367346497633E-2</v>
      </c>
      <c r="O106" s="15">
        <f t="shared" si="7"/>
        <v>0.20108568257509643</v>
      </c>
      <c r="P106" s="15">
        <f t="shared" si="7"/>
        <v>2.3392869345187063E-2</v>
      </c>
      <c r="Q106" s="15">
        <f t="shared" si="7"/>
        <v>9.1397418891418607E-3</v>
      </c>
      <c r="S106" s="15">
        <f t="shared" si="8"/>
        <v>0.62896381719702588</v>
      </c>
      <c r="T106" s="15">
        <f t="shared" si="9"/>
        <v>0.37103618280297412</v>
      </c>
    </row>
    <row r="107" spans="1:20" ht="15.75" x14ac:dyDescent="0.25">
      <c r="A107" s="13">
        <v>43739</v>
      </c>
      <c r="B107" s="14">
        <f>'Feedstock Use'!J13</f>
        <v>557.52</v>
      </c>
      <c r="C107" s="14">
        <f>'Feedstock Use'!J29</f>
        <v>114.98</v>
      </c>
      <c r="D107" s="14">
        <f>'Feedstock Use'!J45</f>
        <v>131.25</v>
      </c>
      <c r="E107" s="14">
        <f>'Feedstock Use'!J61</f>
        <v>28.55</v>
      </c>
      <c r="F107" s="14">
        <f>'Feedstock Use'!J77</f>
        <v>212.98584692430256</v>
      </c>
      <c r="G107" s="14">
        <f>'Feedstock Use'!J93</f>
        <v>46.44</v>
      </c>
      <c r="H107" s="14">
        <f>'Feedstock Use'!J109</f>
        <v>14.99</v>
      </c>
      <c r="I107" s="14">
        <f t="shared" si="12"/>
        <v>1106.7158469243025</v>
      </c>
      <c r="J107" s="15">
        <f t="shared" si="10"/>
        <v>-0.17548247545189188</v>
      </c>
      <c r="K107" s="15">
        <f t="shared" si="7"/>
        <v>0.50376074540670546</v>
      </c>
      <c r="L107" s="15">
        <f t="shared" si="7"/>
        <v>0.10389297335855754</v>
      </c>
      <c r="M107" s="15">
        <f t="shared" si="7"/>
        <v>0.11859412726831342</v>
      </c>
      <c r="N107" s="15">
        <f t="shared" si="7"/>
        <v>2.5797046350555033E-2</v>
      </c>
      <c r="O107" s="15">
        <f t="shared" si="7"/>
        <v>0.19244853818278293</v>
      </c>
      <c r="P107" s="15">
        <f t="shared" si="7"/>
        <v>4.196199063116552E-2</v>
      </c>
      <c r="Q107" s="15">
        <f t="shared" si="7"/>
        <v>1.3544578801920138E-2</v>
      </c>
      <c r="S107" s="15">
        <f t="shared" si="8"/>
        <v>0.60765371876526308</v>
      </c>
      <c r="T107" s="15">
        <f t="shared" si="9"/>
        <v>0.39234628123473692</v>
      </c>
    </row>
    <row r="108" spans="1:20" ht="15.75" x14ac:dyDescent="0.25">
      <c r="A108" s="13">
        <v>43770</v>
      </c>
      <c r="B108" s="14">
        <f>'Feedstock Use'!J14</f>
        <v>526.53</v>
      </c>
      <c r="C108" s="14">
        <f>'Feedstock Use'!J30</f>
        <v>100.08</v>
      </c>
      <c r="D108" s="14">
        <f>'Feedstock Use'!J46</f>
        <v>141.57</v>
      </c>
      <c r="E108" s="14">
        <f>'Feedstock Use'!J62</f>
        <v>26.33</v>
      </c>
      <c r="F108" s="14">
        <f>'Feedstock Use'!J78</f>
        <v>199.20907476897884</v>
      </c>
      <c r="G108" s="14">
        <f>'Feedstock Use'!J94</f>
        <v>36.49</v>
      </c>
      <c r="H108" s="14">
        <f>'Feedstock Use'!J110</f>
        <v>12.42</v>
      </c>
      <c r="I108" s="14">
        <f t="shared" si="12"/>
        <v>1042.6290747689791</v>
      </c>
      <c r="J108" s="15">
        <f t="shared" si="10"/>
        <v>-0.26348727077593626</v>
      </c>
      <c r="K108" s="15">
        <f t="shared" si="7"/>
        <v>0.50500222249860627</v>
      </c>
      <c r="L108" s="15">
        <f t="shared" si="7"/>
        <v>9.5988115449567007E-2</v>
      </c>
      <c r="M108" s="15">
        <f t="shared" si="7"/>
        <v>0.13578174964223821</v>
      </c>
      <c r="N108" s="15">
        <f t="shared" si="7"/>
        <v>2.5253468023452231E-2</v>
      </c>
      <c r="O108" s="15">
        <f t="shared" si="7"/>
        <v>0.19106418532700006</v>
      </c>
      <c r="P108" s="15">
        <f t="shared" si="7"/>
        <v>3.4998064875646488E-2</v>
      </c>
      <c r="Q108" s="15">
        <f t="shared" si="7"/>
        <v>1.1912194183489431E-2</v>
      </c>
      <c r="S108" s="15">
        <f t="shared" si="8"/>
        <v>0.60099033794817336</v>
      </c>
      <c r="T108" s="15">
        <f t="shared" si="9"/>
        <v>0.39900966205182664</v>
      </c>
    </row>
    <row r="109" spans="1:20" ht="15.75" x14ac:dyDescent="0.25">
      <c r="A109" s="13">
        <v>43800</v>
      </c>
      <c r="B109" s="14">
        <f>'Feedstock Use'!J15</f>
        <v>541.04999999999995</v>
      </c>
      <c r="C109" s="14">
        <f>'Feedstock Use'!J31</f>
        <v>99.18</v>
      </c>
      <c r="D109" s="14">
        <f>'Feedstock Use'!J47</f>
        <v>161.32</v>
      </c>
      <c r="E109" s="14">
        <f>'Feedstock Use'!J63</f>
        <v>21.31</v>
      </c>
      <c r="F109" s="14">
        <f>'Feedstock Use'!J79</f>
        <v>213.1477034845885</v>
      </c>
      <c r="G109" s="14">
        <f>'Feedstock Use'!J95</f>
        <v>40.71</v>
      </c>
      <c r="H109" s="14">
        <f>'Feedstock Use'!J111</f>
        <v>10.82</v>
      </c>
      <c r="I109" s="14">
        <f t="shared" si="12"/>
        <v>1087.5377034845883</v>
      </c>
      <c r="J109" s="15">
        <f t="shared" si="10"/>
        <v>-9.3176837719133876E-2</v>
      </c>
      <c r="K109" s="15">
        <f t="shared" si="7"/>
        <v>0.49749999311878318</v>
      </c>
      <c r="L109" s="15">
        <f t="shared" si="7"/>
        <v>9.1196838217393814E-2</v>
      </c>
      <c r="M109" s="15">
        <f t="shared" si="7"/>
        <v>0.14833508712673896</v>
      </c>
      <c r="N109" s="15">
        <f t="shared" si="7"/>
        <v>1.9594722952335775E-2</v>
      </c>
      <c r="O109" s="15">
        <f t="shared" si="7"/>
        <v>0.19599109327579195</v>
      </c>
      <c r="P109" s="15">
        <f t="shared" si="7"/>
        <v>3.7433184954931462E-2</v>
      </c>
      <c r="Q109" s="15">
        <f t="shared" si="7"/>
        <v>9.9490803540250149E-3</v>
      </c>
      <c r="S109" s="15">
        <f t="shared" si="8"/>
        <v>0.58869683133617712</v>
      </c>
      <c r="T109" s="15">
        <f t="shared" si="9"/>
        <v>0.41130316866382288</v>
      </c>
    </row>
    <row r="110" spans="1:20" ht="15.75" x14ac:dyDescent="0.25">
      <c r="A110" s="13">
        <v>43831</v>
      </c>
      <c r="B110" s="14">
        <f>'Feedstock Use'!K4</f>
        <v>521</v>
      </c>
      <c r="C110" s="14">
        <f>'Feedstock Use'!K20</f>
        <v>109</v>
      </c>
      <c r="D110" s="14">
        <f>'Feedstock Use'!K36</f>
        <v>177</v>
      </c>
      <c r="E110" s="14">
        <f>'Feedstock Use'!K52</f>
        <v>20.756643763975227</v>
      </c>
      <c r="F110" s="14">
        <f>'Feedstock Use'!K68</f>
        <v>206.20132977054516</v>
      </c>
      <c r="G110" s="14">
        <f>'Feedstock Use'!K84</f>
        <v>48</v>
      </c>
      <c r="H110" s="14">
        <f>'Feedstock Use'!K100</f>
        <v>11</v>
      </c>
      <c r="I110" s="14">
        <f t="shared" si="12"/>
        <v>1092.9579735345205</v>
      </c>
      <c r="J110" s="15">
        <f t="shared" si="10"/>
        <v>1.0833296579249474E-2</v>
      </c>
      <c r="K110" s="15">
        <f t="shared" si="7"/>
        <v>0.4766880453007139</v>
      </c>
      <c r="L110" s="15">
        <f t="shared" si="7"/>
        <v>9.9729360725101371E-2</v>
      </c>
      <c r="M110" s="15">
        <f t="shared" si="7"/>
        <v>0.16194584264534811</v>
      </c>
      <c r="N110" s="15">
        <f t="shared" si="7"/>
        <v>1.8991255168623041E-2</v>
      </c>
      <c r="O110" s="15">
        <f t="shared" si="7"/>
        <v>0.18866354861176407</v>
      </c>
      <c r="P110" s="15">
        <f t="shared" si="7"/>
        <v>4.3917516649585923E-2</v>
      </c>
      <c r="Q110" s="15">
        <f t="shared" si="7"/>
        <v>1.0064430898863441E-2</v>
      </c>
      <c r="S110" s="15">
        <f t="shared" si="8"/>
        <v>0.57641740602581526</v>
      </c>
      <c r="T110" s="15">
        <f t="shared" si="9"/>
        <v>0.42358259397418474</v>
      </c>
    </row>
    <row r="111" spans="1:20" ht="15.75" x14ac:dyDescent="0.25">
      <c r="A111" s="13">
        <v>43862</v>
      </c>
      <c r="B111" s="14">
        <f>'Feedstock Use'!K5</f>
        <v>574.78</v>
      </c>
      <c r="C111" s="14">
        <f>'Feedstock Use'!K21</f>
        <v>93.39</v>
      </c>
      <c r="D111" s="14">
        <f>'Feedstock Use'!K37</f>
        <v>133.87</v>
      </c>
      <c r="E111" s="14">
        <f>'Feedstock Use'!K53</f>
        <v>20.78</v>
      </c>
      <c r="F111" s="14">
        <f>'Feedstock Use'!K69</f>
        <v>163.87420628095725</v>
      </c>
      <c r="G111" s="14">
        <f>'Feedstock Use'!K85</f>
        <v>43.36</v>
      </c>
      <c r="H111" s="14">
        <f>'Feedstock Use'!K101</f>
        <v>11.87</v>
      </c>
      <c r="I111" s="14">
        <f t="shared" si="12"/>
        <v>1041.9242062809569</v>
      </c>
      <c r="J111" s="15">
        <f t="shared" si="10"/>
        <v>-0.10705256469044999</v>
      </c>
      <c r="K111" s="15">
        <f t="shared" si="7"/>
        <v>0.55165241054492731</v>
      </c>
      <c r="L111" s="15">
        <f t="shared" si="7"/>
        <v>8.9632239501706332E-2</v>
      </c>
      <c r="M111" s="15">
        <f t="shared" si="7"/>
        <v>0.12848343400892415</v>
      </c>
      <c r="N111" s="15">
        <f t="shared" si="7"/>
        <v>1.9943869117094525E-2</v>
      </c>
      <c r="O111" s="15">
        <f t="shared" si="7"/>
        <v>0.15728035234529167</v>
      </c>
      <c r="P111" s="15">
        <f t="shared" si="7"/>
        <v>4.1615311112474421E-2</v>
      </c>
      <c r="Q111" s="15">
        <f t="shared" si="7"/>
        <v>1.1392383369581904E-2</v>
      </c>
      <c r="S111" s="15">
        <f t="shared" si="8"/>
        <v>0.6412846500466336</v>
      </c>
      <c r="T111" s="15">
        <f t="shared" si="9"/>
        <v>0.3587153499533664</v>
      </c>
    </row>
    <row r="112" spans="1:20" ht="15.75" x14ac:dyDescent="0.25">
      <c r="A112" s="13">
        <v>43891</v>
      </c>
      <c r="B112" s="14">
        <f>'Feedstock Use'!K6</f>
        <v>656.02</v>
      </c>
      <c r="C112" s="14">
        <f>'Feedstock Use'!K22</f>
        <v>131.41</v>
      </c>
      <c r="D112" s="14">
        <f>'Feedstock Use'!K38</f>
        <v>144.85</v>
      </c>
      <c r="E112" s="14">
        <f>'Feedstock Use'!K54</f>
        <v>19.946638707440083</v>
      </c>
      <c r="F112" s="14">
        <f>'Feedstock Use'!K70</f>
        <v>189.01096201833761</v>
      </c>
      <c r="G112" s="14">
        <f>'Feedstock Use'!K86</f>
        <v>36</v>
      </c>
      <c r="H112" s="14">
        <f>'Feedstock Use'!K102</f>
        <v>23.6</v>
      </c>
      <c r="I112" s="14">
        <f t="shared" si="12"/>
        <v>1200.8376007257775</v>
      </c>
      <c r="J112" s="15">
        <f t="shared" si="10"/>
        <v>-4.6101590500981837E-2</v>
      </c>
      <c r="K112" s="15">
        <f t="shared" si="7"/>
        <v>0.54630201419701241</v>
      </c>
      <c r="L112" s="15">
        <f t="shared" si="7"/>
        <v>0.10943194976621047</v>
      </c>
      <c r="M112" s="15">
        <f t="shared" si="7"/>
        <v>0.12062413761232468</v>
      </c>
      <c r="N112" s="15">
        <f t="shared" si="7"/>
        <v>1.6610604710732307E-2</v>
      </c>
      <c r="O112" s="15">
        <f t="shared" si="7"/>
        <v>0.15739927022946379</v>
      </c>
      <c r="P112" s="15">
        <f t="shared" si="7"/>
        <v>2.997907458780593E-2</v>
      </c>
      <c r="Q112" s="15">
        <f t="shared" si="7"/>
        <v>1.9652948896450556E-2</v>
      </c>
      <c r="S112" s="15">
        <f t="shared" si="8"/>
        <v>0.65573396396322281</v>
      </c>
      <c r="T112" s="15">
        <f t="shared" si="9"/>
        <v>0.34426603603677719</v>
      </c>
    </row>
    <row r="113" spans="1:20" ht="15.75" x14ac:dyDescent="0.25">
      <c r="A113" s="13">
        <v>43922</v>
      </c>
      <c r="B113" s="14">
        <f>'Feedstock Use'!K7</f>
        <v>671.81</v>
      </c>
      <c r="C113" s="14">
        <f>'Feedstock Use'!K23</f>
        <v>138.44999999999999</v>
      </c>
      <c r="D113" s="14">
        <f>'Feedstock Use'!K39</f>
        <v>83.67</v>
      </c>
      <c r="E113" s="14">
        <f>'Feedstock Use'!K55</f>
        <v>24.05</v>
      </c>
      <c r="F113" s="14">
        <f>'Feedstock Use'!K71</f>
        <v>137.01043869910427</v>
      </c>
      <c r="G113" s="14">
        <f>'Feedstock Use'!K87</f>
        <v>41.88</v>
      </c>
      <c r="H113" s="14">
        <f>'Feedstock Use'!K103</f>
        <v>8.3990441310971509</v>
      </c>
      <c r="I113" s="14">
        <f t="shared" si="12"/>
        <v>1105.2694828302015</v>
      </c>
      <c r="J113" s="15">
        <f t="shared" si="10"/>
        <v>-0.12710363224641863</v>
      </c>
      <c r="K113" s="15">
        <f t="shared" si="7"/>
        <v>0.60782461692485512</v>
      </c>
      <c r="L113" s="15">
        <f t="shared" si="7"/>
        <v>0.12526356888591444</v>
      </c>
      <c r="M113" s="15">
        <f t="shared" si="7"/>
        <v>7.5700995367890669E-2</v>
      </c>
      <c r="N113" s="15">
        <f t="shared" si="7"/>
        <v>2.1759399290041483E-2</v>
      </c>
      <c r="O113" s="15">
        <f t="shared" si="7"/>
        <v>0.12396111611465951</v>
      </c>
      <c r="P113" s="15">
        <f t="shared" si="7"/>
        <v>3.7891211736670989E-2</v>
      </c>
      <c r="Q113" s="15">
        <f t="shared" si="7"/>
        <v>7.5990916799676678E-3</v>
      </c>
      <c r="S113" s="15">
        <f t="shared" si="8"/>
        <v>0.73308818581076962</v>
      </c>
      <c r="T113" s="15">
        <f t="shared" si="9"/>
        <v>0.26691181418923038</v>
      </c>
    </row>
    <row r="114" spans="1:20" ht="15.75" x14ac:dyDescent="0.25">
      <c r="A114" s="13">
        <v>43952</v>
      </c>
      <c r="B114" s="14">
        <f>'Feedstock Use'!K8</f>
        <v>805.35</v>
      </c>
      <c r="C114" s="14">
        <f>'Feedstock Use'!K24</f>
        <v>129.75</v>
      </c>
      <c r="D114" s="14">
        <f>'Feedstock Use'!K40</f>
        <v>84.36</v>
      </c>
      <c r="E114" s="14">
        <f>'Feedstock Use'!K56</f>
        <v>11.74</v>
      </c>
      <c r="F114" s="14">
        <f>'Feedstock Use'!K72</f>
        <v>108.62122173057573</v>
      </c>
      <c r="G114" s="14">
        <f>'Feedstock Use'!K88</f>
        <v>39.71</v>
      </c>
      <c r="H114" s="14">
        <f>'Feedstock Use'!K104</f>
        <v>8.5299999999999994</v>
      </c>
      <c r="I114" s="14">
        <f t="shared" si="12"/>
        <v>1188.0612217305759</v>
      </c>
      <c r="J114" s="15">
        <f t="shared" si="10"/>
        <v>7.4602361572528864E-3</v>
      </c>
      <c r="K114" s="15">
        <f t="shared" si="7"/>
        <v>0.6778691074748624</v>
      </c>
      <c r="L114" s="15">
        <f t="shared" si="7"/>
        <v>0.10921154367028421</v>
      </c>
      <c r="M114" s="15">
        <f t="shared" si="7"/>
        <v>7.1006441803662237E-2</v>
      </c>
      <c r="N114" s="15">
        <f t="shared" si="7"/>
        <v>9.8816456469297629E-3</v>
      </c>
      <c r="O114" s="15">
        <f t="shared" si="7"/>
        <v>9.1427293260488596E-2</v>
      </c>
      <c r="P114" s="15">
        <f t="shared" si="7"/>
        <v>3.3424203461633807E-2</v>
      </c>
      <c r="Q114" s="15">
        <f t="shared" si="7"/>
        <v>7.1797646821389156E-3</v>
      </c>
      <c r="S114" s="15">
        <f t="shared" si="8"/>
        <v>0.78708065114514658</v>
      </c>
      <c r="T114" s="15">
        <f t="shared" si="9"/>
        <v>0.21291934885485342</v>
      </c>
    </row>
    <row r="115" spans="1:20" ht="15.75" x14ac:dyDescent="0.25">
      <c r="A115" s="13">
        <v>43983</v>
      </c>
      <c r="B115" s="14">
        <f>'Feedstock Use'!K9</f>
        <v>747.07</v>
      </c>
      <c r="C115" s="14">
        <f>'Feedstock Use'!K25</f>
        <v>110.15</v>
      </c>
      <c r="D115" s="14">
        <f>'Feedstock Use'!K41</f>
        <v>94.13</v>
      </c>
      <c r="E115" s="14">
        <f>'Feedstock Use'!K57</f>
        <v>21.4</v>
      </c>
      <c r="F115" s="14">
        <f>'Feedstock Use'!K73</f>
        <v>145.56526266015331</v>
      </c>
      <c r="G115" s="14">
        <f>'Feedstock Use'!K89</f>
        <v>52.95</v>
      </c>
      <c r="H115" s="14">
        <f>'Feedstock Use'!K105</f>
        <v>7.2971325904147903</v>
      </c>
      <c r="I115" s="14">
        <f t="shared" si="12"/>
        <v>1178.5623952505682</v>
      </c>
      <c r="J115" s="15">
        <f t="shared" si="10"/>
        <v>-9.5081174344255448E-2</v>
      </c>
      <c r="K115" s="15">
        <f t="shared" si="7"/>
        <v>0.63388243423562596</v>
      </c>
      <c r="L115" s="15">
        <f t="shared" si="7"/>
        <v>9.3461322407611319E-2</v>
      </c>
      <c r="M115" s="15">
        <f t="shared" si="7"/>
        <v>7.986849095078033E-2</v>
      </c>
      <c r="N115" s="15">
        <f t="shared" si="7"/>
        <v>1.8157714929849134E-2</v>
      </c>
      <c r="O115" s="15">
        <f t="shared" si="7"/>
        <v>0.12351086649867647</v>
      </c>
      <c r="P115" s="15">
        <f t="shared" si="7"/>
        <v>4.4927617081098679E-2</v>
      </c>
      <c r="Q115" s="15">
        <f t="shared" si="7"/>
        <v>6.1915538963580995E-3</v>
      </c>
      <c r="S115" s="15">
        <f t="shared" si="8"/>
        <v>0.72734375664323725</v>
      </c>
      <c r="T115" s="15">
        <f t="shared" si="9"/>
        <v>0.27265624335676275</v>
      </c>
    </row>
    <row r="116" spans="1:20" ht="15.75" x14ac:dyDescent="0.25">
      <c r="A116" s="13">
        <v>44013</v>
      </c>
      <c r="B116" s="14">
        <f>'Feedstock Use'!K10</f>
        <v>774.83</v>
      </c>
      <c r="C116" s="14">
        <f>'Feedstock Use'!K26</f>
        <v>86.754540830143696</v>
      </c>
      <c r="D116" s="14">
        <f>'Feedstock Use'!K42</f>
        <v>133.43</v>
      </c>
      <c r="E116" s="14">
        <f>'Feedstock Use'!K58</f>
        <v>54.3</v>
      </c>
      <c r="F116" s="14">
        <f>'Feedstock Use'!K74</f>
        <v>155.84730772248238</v>
      </c>
      <c r="G116" s="14">
        <f>'Feedstock Use'!K90</f>
        <v>55.38</v>
      </c>
      <c r="H116" s="14">
        <f>'Feedstock Use'!K106</f>
        <v>9.5444244326531162</v>
      </c>
      <c r="I116" s="14">
        <f t="shared" si="12"/>
        <v>1270.0862729852793</v>
      </c>
      <c r="J116" s="15">
        <f t="shared" si="10"/>
        <v>7.675621293410817E-3</v>
      </c>
      <c r="K116" s="15">
        <f t="shared" si="7"/>
        <v>0.61006091986082001</v>
      </c>
      <c r="L116" s="15">
        <f t="shared" si="7"/>
        <v>6.8306021941510434E-2</v>
      </c>
      <c r="M116" s="15">
        <f t="shared" si="7"/>
        <v>0.10505585552576593</v>
      </c>
      <c r="N116" s="15">
        <f t="shared" si="7"/>
        <v>4.2753001236971365E-2</v>
      </c>
      <c r="O116" s="15">
        <f t="shared" si="7"/>
        <v>0.12270607992335077</v>
      </c>
      <c r="P116" s="15">
        <f t="shared" si="7"/>
        <v>4.3603337173176326E-2</v>
      </c>
      <c r="Q116" s="15">
        <f t="shared" si="7"/>
        <v>7.5147843384051278E-3</v>
      </c>
      <c r="S116" s="15">
        <f t="shared" si="8"/>
        <v>0.67836694180233048</v>
      </c>
      <c r="T116" s="15">
        <f t="shared" si="9"/>
        <v>0.32163305819766952</v>
      </c>
    </row>
    <row r="117" spans="1:20" ht="15.75" x14ac:dyDescent="0.25">
      <c r="A117" s="13">
        <v>44044</v>
      </c>
      <c r="B117" s="14">
        <f>'Feedstock Use'!K11</f>
        <v>745.33</v>
      </c>
      <c r="C117" s="14">
        <f>'Feedstock Use'!K27</f>
        <v>101.86899900356093</v>
      </c>
      <c r="D117" s="14">
        <f>'Feedstock Use'!K43</f>
        <v>148.41999999999999</v>
      </c>
      <c r="E117" s="14">
        <f>'Feedstock Use'!K59</f>
        <v>44.12</v>
      </c>
      <c r="F117" s="14">
        <f>'Feedstock Use'!K75</f>
        <v>147.67795302851059</v>
      </c>
      <c r="G117" s="14">
        <f>'Feedstock Use'!K91</f>
        <v>54.52</v>
      </c>
      <c r="H117" s="14">
        <f>'Feedstock Use'!K107</f>
        <v>22.863427142127684</v>
      </c>
      <c r="I117" s="14">
        <f t="shared" si="12"/>
        <v>1264.800379174199</v>
      </c>
      <c r="J117" s="15">
        <f t="shared" si="10"/>
        <v>9.9900000660412491E-2</v>
      </c>
      <c r="K117" s="15">
        <f t="shared" ref="K117:Q153" si="13">B117/$I117</f>
        <v>0.58928666710760602</v>
      </c>
      <c r="L117" s="15">
        <f t="shared" si="13"/>
        <v>8.0541562669416839E-2</v>
      </c>
      <c r="M117" s="15">
        <f t="shared" si="13"/>
        <v>0.11734658088646757</v>
      </c>
      <c r="N117" s="15">
        <f t="shared" si="13"/>
        <v>3.4882974994683666E-2</v>
      </c>
      <c r="O117" s="15">
        <f t="shared" si="13"/>
        <v>0.11675988990842256</v>
      </c>
      <c r="P117" s="15">
        <f t="shared" si="13"/>
        <v>4.3105616425887436E-2</v>
      </c>
      <c r="Q117" s="15">
        <f t="shared" si="13"/>
        <v>1.8076708007516134E-2</v>
      </c>
      <c r="S117" s="15">
        <f t="shared" si="8"/>
        <v>0.66982822977702283</v>
      </c>
      <c r="T117" s="15">
        <f t="shared" si="9"/>
        <v>0.33017177022297717</v>
      </c>
    </row>
    <row r="118" spans="1:20" ht="15.75" x14ac:dyDescent="0.25">
      <c r="A118" s="13">
        <v>44075</v>
      </c>
      <c r="B118" s="14">
        <f>'Feedstock Use'!K12</f>
        <v>736.53</v>
      </c>
      <c r="C118" s="14">
        <f>'Feedstock Use'!K28</f>
        <v>73.455392023463219</v>
      </c>
      <c r="D118" s="14">
        <f>'Feedstock Use'!K44</f>
        <v>135.94999999999999</v>
      </c>
      <c r="E118" s="14">
        <f>'Feedstock Use'!K60</f>
        <v>27.41</v>
      </c>
      <c r="F118" s="14">
        <f>'Feedstock Use'!K76</f>
        <v>155.77911264315759</v>
      </c>
      <c r="G118" s="14">
        <f>'Feedstock Use'!K92</f>
        <v>73.08</v>
      </c>
      <c r="H118" s="14">
        <f>'Feedstock Use'!K108</f>
        <v>22.84</v>
      </c>
      <c r="I118" s="14">
        <f t="shared" si="12"/>
        <v>1225.0445046666207</v>
      </c>
      <c r="J118" s="15">
        <f t="shared" si="10"/>
        <v>0.1069187344440472</v>
      </c>
      <c r="K118" s="15">
        <f t="shared" si="13"/>
        <v>0.60122713680548012</v>
      </c>
      <c r="L118" s="15">
        <f t="shared" si="13"/>
        <v>5.9961406906970383E-2</v>
      </c>
      <c r="M118" s="15">
        <f t="shared" si="13"/>
        <v>0.1109755600568952</v>
      </c>
      <c r="N118" s="15">
        <f t="shared" si="13"/>
        <v>2.2374697323718259E-2</v>
      </c>
      <c r="O118" s="15">
        <f t="shared" si="13"/>
        <v>0.12716200272703623</v>
      </c>
      <c r="P118" s="15">
        <f t="shared" si="13"/>
        <v>5.9654975571591773E-2</v>
      </c>
      <c r="Q118" s="15">
        <f t="shared" si="13"/>
        <v>1.8644220608308101E-2</v>
      </c>
      <c r="S118" s="15">
        <f t="shared" si="8"/>
        <v>0.6611885437124505</v>
      </c>
      <c r="T118" s="15">
        <f t="shared" si="9"/>
        <v>0.3388114562875495</v>
      </c>
    </row>
    <row r="119" spans="1:20" ht="15.75" x14ac:dyDescent="0.25">
      <c r="A119" s="13">
        <v>44105</v>
      </c>
      <c r="B119" s="14">
        <f>'Feedstock Use'!K13</f>
        <v>723</v>
      </c>
      <c r="C119" s="14">
        <f>'Feedstock Use'!K29</f>
        <v>80.385273001550331</v>
      </c>
      <c r="D119" s="14">
        <f>'Feedstock Use'!K45</f>
        <v>101</v>
      </c>
      <c r="E119" s="14">
        <f>'Feedstock Use'!K61</f>
        <v>52</v>
      </c>
      <c r="F119" s="14">
        <f>'Feedstock Use'!K77</f>
        <v>198.37605047497402</v>
      </c>
      <c r="G119" s="14">
        <f>'Feedstock Use'!K93</f>
        <v>57</v>
      </c>
      <c r="H119" s="14">
        <f>'Feedstock Use'!K109</f>
        <v>21</v>
      </c>
      <c r="I119" s="14">
        <f t="shared" si="12"/>
        <v>1232.7613234765245</v>
      </c>
      <c r="J119" s="15">
        <f t="shared" si="10"/>
        <v>0.1823584756157639</v>
      </c>
      <c r="K119" s="15">
        <f t="shared" si="13"/>
        <v>0.58648822463139849</v>
      </c>
      <c r="L119" s="15">
        <f t="shared" si="13"/>
        <v>6.5207491077717214E-2</v>
      </c>
      <c r="M119" s="15">
        <f t="shared" si="13"/>
        <v>8.1929890301205052E-2</v>
      </c>
      <c r="N119" s="15">
        <f t="shared" si="13"/>
        <v>4.2181725699630322E-2</v>
      </c>
      <c r="O119" s="15">
        <f t="shared" si="13"/>
        <v>0.16092007974060335</v>
      </c>
      <c r="P119" s="15">
        <f t="shared" si="13"/>
        <v>4.6237660863056314E-2</v>
      </c>
      <c r="Q119" s="15">
        <f t="shared" si="13"/>
        <v>1.703492768638917E-2</v>
      </c>
      <c r="S119" s="15">
        <f t="shared" si="8"/>
        <v>0.65169571570911577</v>
      </c>
      <c r="T119" s="15">
        <f t="shared" si="9"/>
        <v>0.34830428429088423</v>
      </c>
    </row>
    <row r="120" spans="1:20" ht="15.75" x14ac:dyDescent="0.25">
      <c r="A120" s="13">
        <v>44136</v>
      </c>
      <c r="B120" s="14">
        <f>'Feedstock Use'!K14</f>
        <v>683</v>
      </c>
      <c r="C120" s="14">
        <f>'Feedstock Use'!K30</f>
        <v>87.207244968589521</v>
      </c>
      <c r="D120" s="14">
        <f>'Feedstock Use'!K46</f>
        <v>133</v>
      </c>
      <c r="E120" s="14">
        <f>'Feedstock Use'!K62</f>
        <v>33</v>
      </c>
      <c r="F120" s="14">
        <f>'Feedstock Use'!K78</f>
        <v>230.838805064837</v>
      </c>
      <c r="G120" s="14">
        <f>'Feedstock Use'!K94</f>
        <v>53</v>
      </c>
      <c r="H120" s="14">
        <f>'Feedstock Use'!K110</f>
        <v>14</v>
      </c>
      <c r="I120" s="14">
        <f t="shared" si="12"/>
        <v>1234.0460500334266</v>
      </c>
      <c r="J120" s="15">
        <f t="shared" si="10"/>
        <v>0.13471564809147285</v>
      </c>
      <c r="K120" s="15">
        <f t="shared" si="13"/>
        <v>0.55346394891949091</v>
      </c>
      <c r="L120" s="15">
        <f t="shared" si="13"/>
        <v>7.0667739640856472E-2</v>
      </c>
      <c r="M120" s="15">
        <f t="shared" si="13"/>
        <v>0.10777555667099897</v>
      </c>
      <c r="N120" s="15">
        <f t="shared" si="13"/>
        <v>2.674130353490952E-2</v>
      </c>
      <c r="O120" s="15">
        <f t="shared" si="13"/>
        <v>0.1870585016325641</v>
      </c>
      <c r="P120" s="15">
        <f t="shared" si="13"/>
        <v>4.2948154162127411E-2</v>
      </c>
      <c r="Q120" s="15">
        <f t="shared" si="13"/>
        <v>1.1344795439052523E-2</v>
      </c>
      <c r="S120" s="15">
        <f t="shared" si="8"/>
        <v>0.6241316885603474</v>
      </c>
      <c r="T120" s="15">
        <f t="shared" si="9"/>
        <v>0.3758683114396526</v>
      </c>
    </row>
    <row r="121" spans="1:20" ht="15.75" x14ac:dyDescent="0.25">
      <c r="A121" s="13">
        <v>44166</v>
      </c>
      <c r="B121" s="14">
        <f>'Feedstock Use'!K15</f>
        <v>744</v>
      </c>
      <c r="C121" s="14">
        <f>'Feedstock Use'!K31</f>
        <v>75.634753488699971</v>
      </c>
      <c r="D121" s="14">
        <f>'Feedstock Use'!K47</f>
        <v>147</v>
      </c>
      <c r="E121" s="14">
        <f>'Feedstock Use'!K63</f>
        <v>38</v>
      </c>
      <c r="F121" s="14">
        <f>'Feedstock Use'!K79</f>
        <v>192.66859005437243</v>
      </c>
      <c r="G121" s="14">
        <f>'Feedstock Use'!K95</f>
        <v>57</v>
      </c>
      <c r="H121" s="14">
        <f>'Feedstock Use'!K111</f>
        <v>7</v>
      </c>
      <c r="I121" s="14">
        <f t="shared" si="12"/>
        <v>1261.3033435430725</v>
      </c>
      <c r="J121" s="15">
        <f t="shared" si="10"/>
        <v>0.15402730396315167</v>
      </c>
      <c r="K121" s="15">
        <f t="shared" si="13"/>
        <v>0.58986603326529041</v>
      </c>
      <c r="L121" s="15">
        <f t="shared" si="13"/>
        <v>5.9965553786797764E-2</v>
      </c>
      <c r="M121" s="15">
        <f t="shared" si="13"/>
        <v>0.11654611141128721</v>
      </c>
      <c r="N121" s="15">
        <f t="shared" si="13"/>
        <v>3.0127566215162681E-2</v>
      </c>
      <c r="O121" s="15">
        <f t="shared" si="13"/>
        <v>0.15275357116960894</v>
      </c>
      <c r="P121" s="15">
        <f t="shared" si="13"/>
        <v>4.5191349322744025E-2</v>
      </c>
      <c r="Q121" s="15">
        <f t="shared" si="13"/>
        <v>5.5498148291089153E-3</v>
      </c>
      <c r="S121" s="15">
        <f t="shared" si="8"/>
        <v>0.6498315870520881</v>
      </c>
      <c r="T121" s="15">
        <f t="shared" si="9"/>
        <v>0.3501684129479119</v>
      </c>
    </row>
    <row r="122" spans="1:20" ht="15.75" x14ac:dyDescent="0.25">
      <c r="A122" s="13">
        <v>44197</v>
      </c>
      <c r="B122" s="14">
        <f>'Feedstock Use'!L4</f>
        <v>464.92010627046363</v>
      </c>
      <c r="C122" s="14">
        <f>'Feedstock Use'!L20</f>
        <v>227.95051681497193</v>
      </c>
      <c r="D122" s="14">
        <f>'Feedstock Use'!L36</f>
        <v>112.66256969861432</v>
      </c>
      <c r="E122" s="14">
        <f>'Feedstock Use'!L52</f>
        <v>34.87645999055772</v>
      </c>
      <c r="F122" s="14">
        <f>'Feedstock Use'!L68</f>
        <v>228.03635095055751</v>
      </c>
      <c r="G122" s="14">
        <f>'Feedstock Use'!L84</f>
        <v>46.51149385066099</v>
      </c>
      <c r="H122" s="14">
        <f>'Feedstock Use'!L100</f>
        <v>33.534999999999997</v>
      </c>
      <c r="I122" s="14">
        <f t="shared" si="12"/>
        <v>1148.4924975758263</v>
      </c>
      <c r="J122" s="15">
        <f t="shared" si="10"/>
        <v>0.1022802720701288</v>
      </c>
      <c r="K122" s="15">
        <f t="shared" si="13"/>
        <v>0.40480900593760166</v>
      </c>
      <c r="L122" s="15">
        <f t="shared" si="13"/>
        <v>0.1984780199227397</v>
      </c>
      <c r="M122" s="15">
        <f t="shared" si="13"/>
        <v>9.80960432361693E-2</v>
      </c>
      <c r="N122" s="15">
        <f t="shared" si="13"/>
        <v>3.0367163968570105E-2</v>
      </c>
      <c r="O122" s="15">
        <f t="shared" si="13"/>
        <v>0.19855275627127203</v>
      </c>
      <c r="P122" s="15">
        <f t="shared" si="13"/>
        <v>4.0497864765189892E-2</v>
      </c>
      <c r="Q122" s="15">
        <f t="shared" si="13"/>
        <v>2.9199145898457152E-2</v>
      </c>
      <c r="S122" s="15">
        <f t="shared" si="8"/>
        <v>0.60328702586034133</v>
      </c>
      <c r="T122" s="15">
        <f t="shared" si="9"/>
        <v>0.39671297413965867</v>
      </c>
    </row>
    <row r="123" spans="1:20" ht="15.75" x14ac:dyDescent="0.25">
      <c r="A123" s="13">
        <v>44228</v>
      </c>
      <c r="B123" s="14">
        <f>'Feedstock Use'!L5</f>
        <v>319.20156533980185</v>
      </c>
      <c r="C123" s="14">
        <f>'Feedstock Use'!L21</f>
        <v>85.328000000000003</v>
      </c>
      <c r="D123" s="14">
        <f>'Feedstock Use'!L37</f>
        <v>79.493695352216392</v>
      </c>
      <c r="E123" s="14">
        <f>'Feedstock Use'!L53</f>
        <v>17.651621377404553</v>
      </c>
      <c r="F123" s="14">
        <f>'Feedstock Use'!L69</f>
        <v>187.49914464860089</v>
      </c>
      <c r="G123" s="14">
        <f>'Feedstock Use'!L85</f>
        <v>23.415303304755309</v>
      </c>
      <c r="H123" s="14">
        <f>'Feedstock Use'!L101</f>
        <v>34.244999999999997</v>
      </c>
      <c r="I123" s="14">
        <f t="shared" ref="I123:I134" si="14">SUM(B123:H123)</f>
        <v>746.834330022779</v>
      </c>
      <c r="J123" s="15">
        <f t="shared" si="10"/>
        <v>-0.37807216431980661</v>
      </c>
      <c r="K123" s="15">
        <f t="shared" si="13"/>
        <v>0.42740612276094214</v>
      </c>
      <c r="L123" s="15">
        <f t="shared" si="13"/>
        <v>0.11425291603480177</v>
      </c>
      <c r="M123" s="15">
        <f t="shared" si="13"/>
        <v>0.10644086935557953</v>
      </c>
      <c r="N123" s="15">
        <f t="shared" si="13"/>
        <v>2.363525706814544E-2</v>
      </c>
      <c r="O123" s="15">
        <f t="shared" si="13"/>
        <v>0.25105855088756035</v>
      </c>
      <c r="P123" s="15">
        <f t="shared" si="13"/>
        <v>3.1352740980775652E-2</v>
      </c>
      <c r="Q123" s="15">
        <f t="shared" si="13"/>
        <v>4.5853542912195129E-2</v>
      </c>
      <c r="S123" s="15">
        <f t="shared" si="8"/>
        <v>0.54165903879574384</v>
      </c>
      <c r="T123" s="15">
        <f t="shared" si="9"/>
        <v>0.45834096120425616</v>
      </c>
    </row>
    <row r="124" spans="1:20" ht="15.75" x14ac:dyDescent="0.25">
      <c r="A124" s="13">
        <v>44256</v>
      </c>
      <c r="B124" s="14">
        <f>'Feedstock Use'!L6</f>
        <v>516.98119277223532</v>
      </c>
      <c r="C124" s="14">
        <f>'Feedstock Use'!L22</f>
        <v>122.631</v>
      </c>
      <c r="D124" s="14">
        <f>'Feedstock Use'!L38</f>
        <v>95.26608662118052</v>
      </c>
      <c r="E124" s="14">
        <f>'Feedstock Use'!L54</f>
        <v>26.547811991464474</v>
      </c>
      <c r="F124" s="14">
        <f>'Feedstock Use'!L70</f>
        <v>219.19457260697058</v>
      </c>
      <c r="G124" s="14">
        <f>'Feedstock Use'!L86</f>
        <v>31.727419492229764</v>
      </c>
      <c r="H124" s="14">
        <f>'Feedstock Use'!L102</f>
        <v>43.158000000000001</v>
      </c>
      <c r="I124" s="14">
        <f t="shared" si="14"/>
        <v>1055.5060834840806</v>
      </c>
      <c r="J124" s="15">
        <f t="shared" si="10"/>
        <v>-4.5023770328566859E-2</v>
      </c>
      <c r="K124" s="15">
        <f t="shared" si="13"/>
        <v>0.48979461214070069</v>
      </c>
      <c r="L124" s="15">
        <f t="shared" si="13"/>
        <v>0.11618218210094243</v>
      </c>
      <c r="M124" s="15">
        <f t="shared" si="13"/>
        <v>9.0256312220125021E-2</v>
      </c>
      <c r="N124" s="15">
        <f t="shared" si="13"/>
        <v>2.5151737547389395E-2</v>
      </c>
      <c r="O124" s="15">
        <f t="shared" si="13"/>
        <v>0.20766774918382225</v>
      </c>
      <c r="P124" s="15">
        <f t="shared" si="13"/>
        <v>3.0058964120322176E-2</v>
      </c>
      <c r="Q124" s="15">
        <f t="shared" si="13"/>
        <v>4.0888442686698091E-2</v>
      </c>
      <c r="S124" s="15">
        <f t="shared" si="8"/>
        <v>0.60597679424164308</v>
      </c>
      <c r="T124" s="15">
        <f t="shared" si="9"/>
        <v>0.39402320575835692</v>
      </c>
    </row>
    <row r="125" spans="1:20" ht="15.75" x14ac:dyDescent="0.25">
      <c r="A125" s="13">
        <v>44287</v>
      </c>
      <c r="B125" s="14">
        <f>'Feedstock Use'!L7</f>
        <v>545.27086158299016</v>
      </c>
      <c r="C125" s="14">
        <f>'Feedstock Use'!L23</f>
        <v>216.88422028148534</v>
      </c>
      <c r="D125" s="14">
        <f>'Feedstock Use'!L39</f>
        <v>109.8520735023011</v>
      </c>
      <c r="E125" s="14">
        <f>'Feedstock Use'!L55</f>
        <v>21.363774467652096</v>
      </c>
      <c r="F125" s="14">
        <f>'Feedstock Use'!L71</f>
        <v>241.12883021696916</v>
      </c>
      <c r="G125" s="14">
        <f>'Feedstock Use'!L87</f>
        <v>21.139088583794067</v>
      </c>
      <c r="H125" s="14">
        <f>'Feedstock Use'!L103</f>
        <v>36.418999999999997</v>
      </c>
      <c r="I125" s="14">
        <f t="shared" si="14"/>
        <v>1192.0578486351922</v>
      </c>
      <c r="J125" s="15">
        <f t="shared" si="10"/>
        <v>3.3639907031008942E-3</v>
      </c>
      <c r="K125" s="15">
        <f t="shared" si="13"/>
        <v>0.45741979905361163</v>
      </c>
      <c r="L125" s="15">
        <f t="shared" si="13"/>
        <v>0.18194101949817273</v>
      </c>
      <c r="M125" s="15">
        <f t="shared" si="13"/>
        <v>9.215330751613493E-2</v>
      </c>
      <c r="N125" s="15">
        <f t="shared" si="13"/>
        <v>1.7921759830793325E-2</v>
      </c>
      <c r="O125" s="15">
        <f t="shared" si="13"/>
        <v>0.20227947032356003</v>
      </c>
      <c r="P125" s="15">
        <f t="shared" si="13"/>
        <v>1.7733274109135375E-2</v>
      </c>
      <c r="Q125" s="15">
        <f t="shared" si="13"/>
        <v>3.0551369668591795E-2</v>
      </c>
      <c r="S125" s="15">
        <f t="shared" si="8"/>
        <v>0.63936081855178439</v>
      </c>
      <c r="T125" s="15">
        <f t="shared" si="9"/>
        <v>0.36063918144821561</v>
      </c>
    </row>
    <row r="126" spans="1:20" ht="15.75" x14ac:dyDescent="0.25">
      <c r="A126" s="13">
        <v>44317</v>
      </c>
      <c r="B126" s="14">
        <f>'Feedstock Use'!L8</f>
        <v>607.24367577257226</v>
      </c>
      <c r="C126" s="14">
        <f>'Feedstock Use'!L24</f>
        <v>174.67826625670898</v>
      </c>
      <c r="D126" s="14">
        <f>'Feedstock Use'!L40</f>
        <v>156.3439605572656</v>
      </c>
      <c r="E126" s="14">
        <f>'Feedstock Use'!L56</f>
        <v>25.392375458331561</v>
      </c>
      <c r="F126" s="14">
        <f>'Feedstock Use'!L72</f>
        <v>250.89675313333822</v>
      </c>
      <c r="G126" s="14">
        <f>'Feedstock Use'!L88</f>
        <v>18.700041479024726</v>
      </c>
      <c r="H126" s="14">
        <f>'Feedstock Use'!L104</f>
        <v>31.837</v>
      </c>
      <c r="I126" s="14">
        <f t="shared" si="14"/>
        <v>1265.0920726572415</v>
      </c>
      <c r="J126" s="15">
        <f t="shared" si="10"/>
        <v>7.3419682958980381E-2</v>
      </c>
      <c r="K126" s="15">
        <f t="shared" si="13"/>
        <v>0.47999958967183903</v>
      </c>
      <c r="L126" s="15">
        <f t="shared" si="13"/>
        <v>0.13807553618592278</v>
      </c>
      <c r="M126" s="15">
        <f t="shared" si="13"/>
        <v>0.12358306872390366</v>
      </c>
      <c r="N126" s="15">
        <f t="shared" si="13"/>
        <v>2.0071563174841947E-2</v>
      </c>
      <c r="O126" s="15">
        <f t="shared" si="13"/>
        <v>0.19832291937957239</v>
      </c>
      <c r="P126" s="15">
        <f t="shared" si="13"/>
        <v>1.4781565613439136E-2</v>
      </c>
      <c r="Q126" s="15">
        <f t="shared" si="13"/>
        <v>2.5165757250480991E-2</v>
      </c>
      <c r="S126" s="15">
        <f t="shared" si="8"/>
        <v>0.61807512585776181</v>
      </c>
      <c r="T126" s="15">
        <f t="shared" si="9"/>
        <v>0.38192487414223819</v>
      </c>
    </row>
    <row r="127" spans="1:20" ht="15.75" x14ac:dyDescent="0.25">
      <c r="A127" s="13">
        <v>44348</v>
      </c>
      <c r="B127" s="14">
        <f>'Feedstock Use'!L9</f>
        <v>447.52073891518546</v>
      </c>
      <c r="C127" s="14">
        <f>'Feedstock Use'!L25</f>
        <v>271.87014493241782</v>
      </c>
      <c r="D127" s="14">
        <f>'Feedstock Use'!L41</f>
        <v>140.08574075212724</v>
      </c>
      <c r="E127" s="14">
        <f>'Feedstock Use'!L57</f>
        <v>32.680021748384746</v>
      </c>
      <c r="F127" s="14">
        <f>'Feedstock Use'!L73</f>
        <v>266.80766165855226</v>
      </c>
      <c r="G127" s="14">
        <f>'Feedstock Use'!L89</f>
        <v>27.632865208265326</v>
      </c>
      <c r="H127" s="14">
        <f>'Feedstock Use'!L105</f>
        <v>19.489000000000001</v>
      </c>
      <c r="I127" s="14">
        <f t="shared" si="14"/>
        <v>1206.0861732149328</v>
      </c>
      <c r="J127" s="15">
        <f t="shared" si="10"/>
        <v>-5.039035625502597E-2</v>
      </c>
      <c r="K127" s="15">
        <f t="shared" si="13"/>
        <v>0.37105204325680813</v>
      </c>
      <c r="L127" s="15">
        <f t="shared" si="13"/>
        <v>0.22541519086295725</v>
      </c>
      <c r="M127" s="15">
        <f t="shared" si="13"/>
        <v>0.11614903135711763</v>
      </c>
      <c r="N127" s="15">
        <f t="shared" si="13"/>
        <v>2.7095926040900678E-2</v>
      </c>
      <c r="O127" s="15">
        <f t="shared" si="13"/>
        <v>0.22121774346135822</v>
      </c>
      <c r="P127" s="15">
        <f t="shared" si="13"/>
        <v>2.2911186465729393E-2</v>
      </c>
      <c r="Q127" s="15">
        <f t="shared" si="13"/>
        <v>1.6158878555128688E-2</v>
      </c>
      <c r="S127" s="15">
        <f t="shared" si="8"/>
        <v>0.59646723411976543</v>
      </c>
      <c r="T127" s="15">
        <f t="shared" si="9"/>
        <v>0.40353276588023457</v>
      </c>
    </row>
    <row r="128" spans="1:20" ht="15.75" x14ac:dyDescent="0.25">
      <c r="A128" s="13">
        <v>44378</v>
      </c>
      <c r="B128" s="14">
        <f>'Feedstock Use'!L10</f>
        <v>622.37633218578083</v>
      </c>
      <c r="C128" s="14">
        <f>'Feedstock Use'!L26</f>
        <v>122.929</v>
      </c>
      <c r="D128" s="14">
        <f>'Feedstock Use'!L42</f>
        <v>135.56058547432329</v>
      </c>
      <c r="E128" s="14">
        <f>'Feedstock Use'!L58</f>
        <v>27.395879169331749</v>
      </c>
      <c r="F128" s="14">
        <f>'Feedstock Use'!L74</f>
        <v>282.53128421786363</v>
      </c>
      <c r="G128" s="14">
        <f>'Feedstock Use'!L90</f>
        <v>19.176138475083587</v>
      </c>
      <c r="H128" s="14">
        <f>'Feedstock Use'!L106</f>
        <v>21.032</v>
      </c>
      <c r="I128" s="14">
        <f t="shared" si="14"/>
        <v>1231.0012195223831</v>
      </c>
      <c r="J128" s="15">
        <f t="shared" si="10"/>
        <v>-2.6722920239701131E-2</v>
      </c>
      <c r="K128" s="15">
        <f t="shared" si="13"/>
        <v>0.50558547165961132</v>
      </c>
      <c r="L128" s="15">
        <f t="shared" si="13"/>
        <v>9.9860989615993476E-2</v>
      </c>
      <c r="M128" s="15">
        <f t="shared" si="13"/>
        <v>0.11012221866597299</v>
      </c>
      <c r="N128" s="15">
        <f t="shared" si="13"/>
        <v>2.2254956969060595E-2</v>
      </c>
      <c r="O128" s="15">
        <f t="shared" si="13"/>
        <v>0.22951340724705627</v>
      </c>
      <c r="P128" s="15">
        <f t="shared" si="13"/>
        <v>1.5577676261379942E-2</v>
      </c>
      <c r="Q128" s="15">
        <f t="shared" si="13"/>
        <v>1.7085279580925369E-2</v>
      </c>
      <c r="S128" s="15">
        <f t="shared" si="8"/>
        <v>0.60544646127560486</v>
      </c>
      <c r="T128" s="15">
        <f t="shared" si="9"/>
        <v>0.39455353872439514</v>
      </c>
    </row>
    <row r="129" spans="1:20" ht="15.75" x14ac:dyDescent="0.25">
      <c r="A129" s="13">
        <v>44409</v>
      </c>
      <c r="B129" s="14">
        <f>'Feedstock Use'!L11</f>
        <v>513.57724767128968</v>
      </c>
      <c r="C129" s="14">
        <f>'Feedstock Use'!L27</f>
        <v>141.64099999999999</v>
      </c>
      <c r="D129" s="14">
        <f>'Feedstock Use'!L43</f>
        <v>72.740445753841811</v>
      </c>
      <c r="E129" s="14">
        <f>'Feedstock Use'!L59</f>
        <v>24.758974566951753</v>
      </c>
      <c r="F129" s="14">
        <f>'Feedstock Use'!L75</f>
        <v>270.03679974264185</v>
      </c>
      <c r="G129" s="14">
        <f>'Feedstock Use'!L91</f>
        <v>14.715028424302634</v>
      </c>
      <c r="H129" s="14">
        <f>'Feedstock Use'!L107</f>
        <v>18.109000000000002</v>
      </c>
      <c r="I129" s="14">
        <f t="shared" si="14"/>
        <v>1055.5784961590277</v>
      </c>
      <c r="J129" s="15">
        <f t="shared" si="10"/>
        <v>-0.1383345730396226</v>
      </c>
      <c r="K129" s="15">
        <f t="shared" si="13"/>
        <v>0.48653629222275946</v>
      </c>
      <c r="L129" s="15">
        <f t="shared" si="13"/>
        <v>0.13418329429350284</v>
      </c>
      <c r="M129" s="15">
        <f t="shared" si="13"/>
        <v>6.8910503594498324E-2</v>
      </c>
      <c r="N129" s="15">
        <f t="shared" si="13"/>
        <v>2.3455360882249063E-2</v>
      </c>
      <c r="O129" s="15">
        <f t="shared" si="13"/>
        <v>0.25581877683681004</v>
      </c>
      <c r="P129" s="15">
        <f t="shared" si="13"/>
        <v>1.3940250277782987E-2</v>
      </c>
      <c r="Q129" s="15">
        <f t="shared" si="13"/>
        <v>1.7155521892397285E-2</v>
      </c>
      <c r="S129" s="15">
        <f t="shared" si="8"/>
        <v>0.62071958651626225</v>
      </c>
      <c r="T129" s="15">
        <f t="shared" si="9"/>
        <v>0.37928041348373775</v>
      </c>
    </row>
    <row r="130" spans="1:20" ht="15.75" x14ac:dyDescent="0.25">
      <c r="A130" s="13">
        <v>44440</v>
      </c>
      <c r="B130" s="14">
        <f>'Feedstock Use'!L12</f>
        <v>572.51958262530229</v>
      </c>
      <c r="C130" s="14">
        <f>'Feedstock Use'!L28</f>
        <v>105.514</v>
      </c>
      <c r="D130" s="14">
        <f>'Feedstock Use'!L44</f>
        <v>66.280529424396377</v>
      </c>
      <c r="E130" s="14">
        <f>'Feedstock Use'!L60</f>
        <v>25.388351974495912</v>
      </c>
      <c r="F130" s="14">
        <f>'Feedstock Use'!L76</f>
        <v>214.71321987608576</v>
      </c>
      <c r="G130" s="14">
        <f>'Feedstock Use'!L92</f>
        <v>15.515162820757276</v>
      </c>
      <c r="H130" s="14">
        <f>'Feedstock Use'!L108</f>
        <v>17.348973118689422</v>
      </c>
      <c r="I130" s="14">
        <f t="shared" si="14"/>
        <v>1017.279819839727</v>
      </c>
      <c r="J130" s="15">
        <f t="shared" si="10"/>
        <v>-0.17479580153367857</v>
      </c>
      <c r="K130" s="15">
        <f t="shared" si="13"/>
        <v>0.56279459344382066</v>
      </c>
      <c r="L130" s="15">
        <f t="shared" si="13"/>
        <v>0.10372170757955641</v>
      </c>
      <c r="M130" s="15">
        <f t="shared" si="13"/>
        <v>6.5154668491152132E-2</v>
      </c>
      <c r="N130" s="15">
        <f t="shared" si="13"/>
        <v>2.4957097820436328E-2</v>
      </c>
      <c r="O130" s="15">
        <f t="shared" si="13"/>
        <v>0.21106603678613614</v>
      </c>
      <c r="P130" s="15">
        <f t="shared" si="13"/>
        <v>1.5251617616086888E-2</v>
      </c>
      <c r="Q130" s="15">
        <f t="shared" si="13"/>
        <v>1.7054278262811466E-2</v>
      </c>
      <c r="S130" s="15">
        <f t="shared" si="8"/>
        <v>0.66651630102337711</v>
      </c>
      <c r="T130" s="15">
        <f t="shared" si="9"/>
        <v>0.33348369897662289</v>
      </c>
    </row>
    <row r="131" spans="1:20" ht="15.75" x14ac:dyDescent="0.25">
      <c r="A131" s="13">
        <v>44470</v>
      </c>
      <c r="B131" s="14">
        <f>'Feedstock Use'!L13</f>
        <v>650.4058749447114</v>
      </c>
      <c r="C131" s="14">
        <f>'Feedstock Use'!L29</f>
        <v>115.738</v>
      </c>
      <c r="D131" s="14">
        <f>'Feedstock Use'!L45</f>
        <v>116.78623301776037</v>
      </c>
      <c r="E131" s="14">
        <f>'Feedstock Use'!L61</f>
        <v>36.393954469162871</v>
      </c>
      <c r="F131" s="14">
        <f>'Feedstock Use'!L77</f>
        <v>501.35217295584437</v>
      </c>
      <c r="G131" s="14">
        <f>'Feedstock Use'!L93</f>
        <v>42.256396960623931</v>
      </c>
      <c r="H131" s="14">
        <f>'Feedstock Use'!L109</f>
        <v>13.856086855318358</v>
      </c>
      <c r="I131" s="14">
        <f t="shared" si="14"/>
        <v>1476.7887192034214</v>
      </c>
      <c r="J131" s="15">
        <f t="shared" si="10"/>
        <v>0.19670470900451376</v>
      </c>
      <c r="K131" s="15">
        <f t="shared" si="13"/>
        <v>0.44041904335207804</v>
      </c>
      <c r="L131" s="15">
        <f t="shared" si="13"/>
        <v>7.8371400387205678E-2</v>
      </c>
      <c r="M131" s="15">
        <f t="shared" si="13"/>
        <v>7.9081206064977774E-2</v>
      </c>
      <c r="N131" s="15">
        <f t="shared" si="13"/>
        <v>2.4643981902024374E-2</v>
      </c>
      <c r="O131" s="15">
        <f t="shared" si="13"/>
        <v>0.3394880841358765</v>
      </c>
      <c r="P131" s="15">
        <f t="shared" si="13"/>
        <v>2.8613705136789642E-2</v>
      </c>
      <c r="Q131" s="15">
        <f t="shared" si="13"/>
        <v>9.3825790210479935E-3</v>
      </c>
      <c r="S131" s="15">
        <f t="shared" ref="S131:S157" si="15">SUM(B131:C131)/$I131</f>
        <v>0.51879044373928362</v>
      </c>
      <c r="T131" s="15">
        <f t="shared" ref="T131:T194" si="16">1-S131</f>
        <v>0.48120955626071638</v>
      </c>
    </row>
    <row r="132" spans="1:20" ht="15.75" x14ac:dyDescent="0.25">
      <c r="A132" s="13">
        <v>44501</v>
      </c>
      <c r="B132" s="14">
        <f>'Feedstock Use'!L14</f>
        <v>492.70689999400793</v>
      </c>
      <c r="C132" s="14">
        <f>'Feedstock Use'!L30</f>
        <v>132.672888</v>
      </c>
      <c r="D132" s="14">
        <f>'Feedstock Use'!L46</f>
        <v>143.27134692397613</v>
      </c>
      <c r="E132" s="14">
        <f>'Feedstock Use'!L62</f>
        <v>32.371481818907306</v>
      </c>
      <c r="F132" s="14">
        <f>'Feedstock Use'!L78</f>
        <v>555.79120042705199</v>
      </c>
      <c r="G132" s="14">
        <f>'Feedstock Use'!L94</f>
        <v>34.81884158560392</v>
      </c>
      <c r="H132" s="14">
        <f>'Feedstock Use'!L110</f>
        <v>15.474356610903197</v>
      </c>
      <c r="I132" s="14">
        <f t="shared" si="14"/>
        <v>1407.1070153604505</v>
      </c>
      <c r="J132" s="15">
        <f t="shared" si="10"/>
        <v>0.11559762571294496</v>
      </c>
      <c r="K132" s="15">
        <f t="shared" si="13"/>
        <v>0.35015595446220843</v>
      </c>
      <c r="L132" s="15">
        <f t="shared" si="13"/>
        <v>9.4287702748759264E-2</v>
      </c>
      <c r="M132" s="15">
        <f t="shared" si="13"/>
        <v>0.10181979434398251</v>
      </c>
      <c r="N132" s="15">
        <f t="shared" si="13"/>
        <v>2.3005699968466783E-2</v>
      </c>
      <c r="O132" s="15">
        <f t="shared" si="13"/>
        <v>0.39498857894946826</v>
      </c>
      <c r="P132" s="15">
        <f t="shared" si="13"/>
        <v>2.4744984713678354E-2</v>
      </c>
      <c r="Q132" s="15">
        <f t="shared" si="13"/>
        <v>1.0997284813436325E-2</v>
      </c>
      <c r="S132" s="15">
        <f t="shared" si="15"/>
        <v>0.44444365721096774</v>
      </c>
      <c r="T132" s="15">
        <f t="shared" si="16"/>
        <v>0.55555634278903221</v>
      </c>
    </row>
    <row r="133" spans="1:20" ht="15.75" x14ac:dyDescent="0.25">
      <c r="A133" s="13">
        <v>44531</v>
      </c>
      <c r="B133" s="14">
        <f>'Feedstock Use'!L15</f>
        <v>647.82612356375694</v>
      </c>
      <c r="C133" s="14">
        <f>'Feedstock Use'!L31</f>
        <v>126.211</v>
      </c>
      <c r="D133" s="14">
        <f>'Feedstock Use'!L47</f>
        <v>150.29797397803216</v>
      </c>
      <c r="E133" s="14">
        <f>'Feedstock Use'!L63</f>
        <v>46.93825971606968</v>
      </c>
      <c r="F133" s="14">
        <f>'Feedstock Use'!L79</f>
        <v>708.39189367229676</v>
      </c>
      <c r="G133" s="14">
        <f>'Feedstock Use'!L95</f>
        <v>40.391914002886487</v>
      </c>
      <c r="H133" s="14">
        <f>'Feedstock Use'!L111</f>
        <v>18.657485713200082</v>
      </c>
      <c r="I133" s="14">
        <f t="shared" si="14"/>
        <v>1738.714650646242</v>
      </c>
      <c r="J133" s="15">
        <f t="shared" si="10"/>
        <v>0.51391032533187953</v>
      </c>
      <c r="K133" s="15">
        <f t="shared" si="13"/>
        <v>0.3725890981150784</v>
      </c>
      <c r="L133" s="15">
        <f t="shared" si="13"/>
        <v>7.2588679202242962E-2</v>
      </c>
      <c r="M133" s="15">
        <f t="shared" si="13"/>
        <v>8.6442001234745283E-2</v>
      </c>
      <c r="N133" s="15">
        <f t="shared" si="13"/>
        <v>2.6995953418017016E-2</v>
      </c>
      <c r="O133" s="15">
        <f t="shared" si="13"/>
        <v>0.407422743811932</v>
      </c>
      <c r="P133" s="15">
        <f t="shared" si="13"/>
        <v>2.3230904500559479E-2</v>
      </c>
      <c r="Q133" s="15">
        <f t="shared" si="13"/>
        <v>1.0730619717424884E-2</v>
      </c>
      <c r="S133" s="15">
        <f t="shared" si="15"/>
        <v>0.44517777731732139</v>
      </c>
      <c r="T133" s="15">
        <f t="shared" si="16"/>
        <v>0.55482222268267867</v>
      </c>
    </row>
    <row r="134" spans="1:20" ht="15.75" x14ac:dyDescent="0.25">
      <c r="A134" s="13">
        <v>44562</v>
      </c>
      <c r="B134" s="14">
        <f>'Feedstock Use'!M4</f>
        <v>543.04</v>
      </c>
      <c r="C134" s="14">
        <f>'Feedstock Use'!M20</f>
        <v>63.920999999999999</v>
      </c>
      <c r="D134" s="14">
        <f>'Feedstock Use'!M36</f>
        <v>153.07208812566179</v>
      </c>
      <c r="E134" s="14">
        <f>'Feedstock Use'!M52</f>
        <v>52.167653173468828</v>
      </c>
      <c r="F134" s="14">
        <f>'Feedstock Use'!M68</f>
        <v>588.66354740120664</v>
      </c>
      <c r="G134" s="14">
        <f>'Feedstock Use'!M84</f>
        <v>18.10479481541778</v>
      </c>
      <c r="H134" s="14">
        <f>'Feedstock Use'!M100</f>
        <v>13.810885546858449</v>
      </c>
      <c r="I134" s="14">
        <f t="shared" si="14"/>
        <v>1432.7799690626134</v>
      </c>
      <c r="J134" s="15">
        <f t="shared" si="10"/>
        <v>0.91847095328211892</v>
      </c>
      <c r="K134" s="15">
        <f t="shared" si="13"/>
        <v>0.37901144050421098</v>
      </c>
      <c r="L134" s="15">
        <f t="shared" si="13"/>
        <v>4.4613270271931481E-2</v>
      </c>
      <c r="M134" s="15">
        <f t="shared" si="13"/>
        <v>0.10683572595295855</v>
      </c>
      <c r="N134" s="15">
        <f t="shared" si="13"/>
        <v>3.6410093873380407E-2</v>
      </c>
      <c r="O134" s="15">
        <f t="shared" si="13"/>
        <v>0.41085411585306836</v>
      </c>
      <c r="P134" s="15">
        <f t="shared" si="13"/>
        <v>1.2636130603684192E-2</v>
      </c>
      <c r="Q134" s="15">
        <f t="shared" si="13"/>
        <v>9.6392229407660738E-3</v>
      </c>
      <c r="S134" s="15">
        <f t="shared" si="15"/>
        <v>0.4236247107761425</v>
      </c>
      <c r="T134" s="15">
        <f t="shared" si="16"/>
        <v>0.5763752892238575</v>
      </c>
    </row>
    <row r="135" spans="1:20" ht="15.75" x14ac:dyDescent="0.25">
      <c r="A135" s="13">
        <v>44593</v>
      </c>
      <c r="B135" s="14">
        <f>'Feedstock Use'!M5</f>
        <v>536.60199999999998</v>
      </c>
      <c r="C135" s="14">
        <f>'Feedstock Use'!M21</f>
        <v>59.081998216759644</v>
      </c>
      <c r="D135" s="14">
        <f>'Feedstock Use'!M37</f>
        <v>134.68609331312609</v>
      </c>
      <c r="E135" s="14">
        <f>'Feedstock Use'!M53</f>
        <v>35.037082005240109</v>
      </c>
      <c r="F135" s="14">
        <f>'Feedstock Use'!M69</f>
        <v>772.19566545965677</v>
      </c>
      <c r="G135" s="14">
        <f>'Feedstock Use'!M85</f>
        <v>17.735924180117653</v>
      </c>
      <c r="H135" s="14">
        <f>'Feedstock Use'!M101</f>
        <v>11.639601875815378</v>
      </c>
      <c r="I135" s="14">
        <f t="shared" ref="I135:I146" si="17">SUM(B135:H135)</f>
        <v>1566.9783650507156</v>
      </c>
      <c r="J135" s="15">
        <f t="shared" si="10"/>
        <v>0.48457539901459912</v>
      </c>
      <c r="K135" s="15">
        <f t="shared" si="13"/>
        <v>0.34244378350599164</v>
      </c>
      <c r="L135" s="15">
        <f t="shared" si="13"/>
        <v>3.7704412220680175E-2</v>
      </c>
      <c r="M135" s="15">
        <f t="shared" si="13"/>
        <v>8.5952745945389583E-2</v>
      </c>
      <c r="N135" s="15">
        <f t="shared" si="13"/>
        <v>2.2359646301885045E-2</v>
      </c>
      <c r="O135" s="15">
        <f t="shared" si="13"/>
        <v>0.49279280600320507</v>
      </c>
      <c r="P135" s="15">
        <f t="shared" si="13"/>
        <v>1.1318550769872069E-2</v>
      </c>
      <c r="Q135" s="15">
        <f t="shared" si="13"/>
        <v>7.4280552529764248E-3</v>
      </c>
      <c r="S135" s="15">
        <f t="shared" si="15"/>
        <v>0.3801481957266718</v>
      </c>
      <c r="T135" s="15">
        <f t="shared" si="16"/>
        <v>0.6198518042733282</v>
      </c>
    </row>
    <row r="136" spans="1:20" ht="15.75" x14ac:dyDescent="0.25">
      <c r="A136" s="13">
        <v>44621</v>
      </c>
      <c r="B136" s="14">
        <f>'Feedstock Use'!M6</f>
        <v>657.06299999999999</v>
      </c>
      <c r="C136" s="14">
        <f>'Feedstock Use'!M22</f>
        <v>68.572284573221395</v>
      </c>
      <c r="D136" s="14">
        <f>'Feedstock Use'!M38</f>
        <v>164.3963753382962</v>
      </c>
      <c r="E136" s="14">
        <f>'Feedstock Use'!M54</f>
        <v>33.436403587412826</v>
      </c>
      <c r="F136" s="14">
        <f>'Feedstock Use'!M70</f>
        <v>745.42103016163753</v>
      </c>
      <c r="G136" s="14">
        <f>'Feedstock Use'!M86</f>
        <v>19.608091188659177</v>
      </c>
      <c r="H136" s="14">
        <f>'Feedstock Use'!M102</f>
        <v>13.945280767206244</v>
      </c>
      <c r="I136" s="14">
        <f t="shared" si="17"/>
        <v>1702.4424656164335</v>
      </c>
      <c r="J136" s="15">
        <f t="shared" ref="J136:J152" si="18">I136/I125-1</f>
        <v>0.42815423560659371</v>
      </c>
      <c r="K136" s="15">
        <f t="shared" si="13"/>
        <v>0.38595313102818163</v>
      </c>
      <c r="L136" s="15">
        <f t="shared" si="13"/>
        <v>4.0278767687101959E-2</v>
      </c>
      <c r="M136" s="15">
        <f t="shared" si="13"/>
        <v>9.6565010952525954E-2</v>
      </c>
      <c r="N136" s="15">
        <f t="shared" si="13"/>
        <v>1.9640254670988788E-2</v>
      </c>
      <c r="O136" s="15">
        <f t="shared" si="13"/>
        <v>0.43785387478086063</v>
      </c>
      <c r="P136" s="15">
        <f t="shared" si="13"/>
        <v>1.1517623405592934E-2</v>
      </c>
      <c r="Q136" s="15">
        <f t="shared" si="13"/>
        <v>8.1913374747479822E-3</v>
      </c>
      <c r="S136" s="15">
        <f t="shared" si="15"/>
        <v>0.42623189871528361</v>
      </c>
      <c r="T136" s="15">
        <f t="shared" si="16"/>
        <v>0.57376810128471645</v>
      </c>
    </row>
    <row r="137" spans="1:20" ht="15.75" x14ac:dyDescent="0.25">
      <c r="A137" s="13">
        <v>44652</v>
      </c>
      <c r="B137" s="14">
        <f>'Feedstock Use'!M7</f>
        <v>578.07399999999996</v>
      </c>
      <c r="C137" s="14">
        <f>'Feedstock Use'!M23</f>
        <v>101.556</v>
      </c>
      <c r="D137" s="14">
        <f>'Feedstock Use'!M39</f>
        <v>157.76216516262048</v>
      </c>
      <c r="E137" s="14">
        <f>'Feedstock Use'!M55</f>
        <v>34.742019646143326</v>
      </c>
      <c r="F137" s="14">
        <f>'Feedstock Use'!M71</f>
        <v>721.61793528706937</v>
      </c>
      <c r="G137" s="14">
        <f>'Feedstock Use'!M87</f>
        <v>17.532824255587588</v>
      </c>
      <c r="H137" s="14">
        <f>'Feedstock Use'!M103</f>
        <v>11.616042093179136</v>
      </c>
      <c r="I137" s="14">
        <f t="shared" si="17"/>
        <v>1622.9009864446</v>
      </c>
      <c r="J137" s="15">
        <f t="shared" si="18"/>
        <v>0.28283231040710333</v>
      </c>
      <c r="K137" s="15">
        <f t="shared" si="13"/>
        <v>0.35619794727368187</v>
      </c>
      <c r="L137" s="15">
        <f t="shared" si="13"/>
        <v>6.2576830532641223E-2</v>
      </c>
      <c r="M137" s="15">
        <f t="shared" si="13"/>
        <v>9.7209975519357367E-2</v>
      </c>
      <c r="N137" s="15">
        <f t="shared" si="13"/>
        <v>2.1407356293654759E-2</v>
      </c>
      <c r="O137" s="15">
        <f t="shared" si="13"/>
        <v>0.44464692628474339</v>
      </c>
      <c r="P137" s="15">
        <f t="shared" si="13"/>
        <v>1.0803385050617256E-2</v>
      </c>
      <c r="Q137" s="15">
        <f t="shared" si="13"/>
        <v>7.1575790453040468E-3</v>
      </c>
      <c r="S137" s="15">
        <f t="shared" si="15"/>
        <v>0.41877477780632316</v>
      </c>
      <c r="T137" s="15">
        <f t="shared" si="16"/>
        <v>0.58122522219367689</v>
      </c>
    </row>
    <row r="138" spans="1:20" ht="15.75" x14ac:dyDescent="0.25">
      <c r="A138" s="13">
        <v>44682</v>
      </c>
      <c r="B138" s="14">
        <f>'Feedstock Use'!M8</f>
        <v>593.74400000000003</v>
      </c>
      <c r="C138" s="14">
        <f>'Feedstock Use'!M24</f>
        <v>121.788</v>
      </c>
      <c r="D138" s="14">
        <f>'Feedstock Use'!M40</f>
        <v>148.10802853691865</v>
      </c>
      <c r="E138" s="14">
        <f>'Feedstock Use'!M56</f>
        <v>26.180596370130456</v>
      </c>
      <c r="F138" s="14">
        <f>'Feedstock Use'!M72</f>
        <v>964.64577762173019</v>
      </c>
      <c r="G138" s="14">
        <f>'Feedstock Use'!M88</f>
        <v>20.553320262475836</v>
      </c>
      <c r="H138" s="14">
        <f>'Feedstock Use'!M104</f>
        <v>7.7839089713121261</v>
      </c>
      <c r="I138" s="14">
        <f t="shared" si="17"/>
        <v>1882.8036317625672</v>
      </c>
      <c r="J138" s="15">
        <f t="shared" si="18"/>
        <v>0.56108549585953882</v>
      </c>
      <c r="K138" s="15">
        <f t="shared" si="13"/>
        <v>0.31535099570855019</v>
      </c>
      <c r="L138" s="15">
        <f t="shared" si="13"/>
        <v>6.4684387657564388E-2</v>
      </c>
      <c r="M138" s="15">
        <f t="shared" si="13"/>
        <v>7.8663555794328294E-2</v>
      </c>
      <c r="N138" s="15">
        <f t="shared" si="13"/>
        <v>1.3905112529245421E-2</v>
      </c>
      <c r="O138" s="15">
        <f t="shared" si="13"/>
        <v>0.51234539882350183</v>
      </c>
      <c r="P138" s="15">
        <f t="shared" si="13"/>
        <v>1.091633769754048E-2</v>
      </c>
      <c r="Q138" s="15">
        <f t="shared" si="13"/>
        <v>4.134211789269442E-3</v>
      </c>
      <c r="S138" s="15">
        <f t="shared" si="15"/>
        <v>0.38003538336611459</v>
      </c>
      <c r="T138" s="15">
        <f t="shared" si="16"/>
        <v>0.61996461663388547</v>
      </c>
    </row>
    <row r="139" spans="1:20" ht="15.75" x14ac:dyDescent="0.25">
      <c r="A139" s="13">
        <v>44713</v>
      </c>
      <c r="B139" s="14">
        <f>'Feedstock Use'!M9</f>
        <v>559.88699999999994</v>
      </c>
      <c r="C139" s="14">
        <f>'Feedstock Use'!M25</f>
        <v>125.13800000000001</v>
      </c>
      <c r="D139" s="14">
        <f>'Feedstock Use'!M41</f>
        <v>174.29355895617817</v>
      </c>
      <c r="E139" s="14">
        <f>'Feedstock Use'!M57</f>
        <v>44.125254716974446</v>
      </c>
      <c r="F139" s="14">
        <f>'Feedstock Use'!M73</f>
        <v>835.70210586801147</v>
      </c>
      <c r="G139" s="14">
        <f>'Feedstock Use'!M89</f>
        <v>21.490937486635943</v>
      </c>
      <c r="H139" s="14">
        <f>'Feedstock Use'!M105</f>
        <v>7.6405620942472385</v>
      </c>
      <c r="I139" s="14">
        <f t="shared" si="17"/>
        <v>1768.2774191220471</v>
      </c>
      <c r="J139" s="15">
        <f t="shared" si="18"/>
        <v>0.4364546444625963</v>
      </c>
      <c r="K139" s="15">
        <f t="shared" si="13"/>
        <v>0.31662848484373274</v>
      </c>
      <c r="L139" s="15">
        <f t="shared" si="13"/>
        <v>7.0768307419845494E-2</v>
      </c>
      <c r="M139" s="15">
        <f t="shared" si="13"/>
        <v>9.8566863474802063E-2</v>
      </c>
      <c r="N139" s="15">
        <f t="shared" si="13"/>
        <v>2.4953807722592935E-2</v>
      </c>
      <c r="O139" s="15">
        <f t="shared" si="13"/>
        <v>0.47260802905176441</v>
      </c>
      <c r="P139" s="15">
        <f t="shared" si="13"/>
        <v>1.2153600591306669E-2</v>
      </c>
      <c r="Q139" s="15">
        <f t="shared" si="13"/>
        <v>4.3209068959557213E-3</v>
      </c>
      <c r="S139" s="15">
        <f t="shared" si="15"/>
        <v>0.38739679226357826</v>
      </c>
      <c r="T139" s="15">
        <f t="shared" si="16"/>
        <v>0.61260320773642174</v>
      </c>
    </row>
    <row r="140" spans="1:20" ht="15.75" x14ac:dyDescent="0.25">
      <c r="A140" s="13">
        <v>44743</v>
      </c>
      <c r="B140" s="14">
        <f>'Feedstock Use'!M10</f>
        <v>625.98500000000001</v>
      </c>
      <c r="C140" s="14">
        <f>'Feedstock Use'!M26</f>
        <v>132.958</v>
      </c>
      <c r="D140" s="14">
        <f>'Feedstock Use'!M42</f>
        <v>154.27151619947387</v>
      </c>
      <c r="E140" s="14">
        <f>'Feedstock Use'!M58</f>
        <v>53.705097905498256</v>
      </c>
      <c r="F140" s="14">
        <f>'Feedstock Use'!M74</f>
        <v>690.40517407751429</v>
      </c>
      <c r="G140" s="14">
        <f>'Feedstock Use'!M90</f>
        <v>19.659876578107184</v>
      </c>
      <c r="H140" s="14">
        <f>'Feedstock Use'!M106</f>
        <v>9.4493116801392887</v>
      </c>
      <c r="I140" s="14">
        <f t="shared" si="17"/>
        <v>1686.433976440733</v>
      </c>
      <c r="J140" s="15">
        <f t="shared" si="18"/>
        <v>0.59763957164457437</v>
      </c>
      <c r="K140" s="15">
        <f t="shared" si="13"/>
        <v>0.37118856044466042</v>
      </c>
      <c r="L140" s="15">
        <f t="shared" si="13"/>
        <v>7.8839730376288816E-2</v>
      </c>
      <c r="M140" s="15">
        <f t="shared" si="13"/>
        <v>9.1477945982248468E-2</v>
      </c>
      <c r="N140" s="15">
        <f t="shared" si="13"/>
        <v>3.184536048001381E-2</v>
      </c>
      <c r="O140" s="15">
        <f t="shared" si="13"/>
        <v>0.40938760943054175</v>
      </c>
      <c r="P140" s="15">
        <f t="shared" si="13"/>
        <v>1.16576615822221E-2</v>
      </c>
      <c r="Q140" s="15">
        <f t="shared" si="13"/>
        <v>5.603131704024566E-3</v>
      </c>
      <c r="S140" s="15">
        <f t="shared" si="15"/>
        <v>0.45002829082094919</v>
      </c>
      <c r="T140" s="15">
        <f t="shared" si="16"/>
        <v>0.54997170917905081</v>
      </c>
    </row>
    <row r="141" spans="1:20" ht="15.75" x14ac:dyDescent="0.25">
      <c r="A141" s="13">
        <v>44774</v>
      </c>
      <c r="B141" s="14">
        <f>'Feedstock Use'!M11</f>
        <v>642.899</v>
      </c>
      <c r="C141" s="14">
        <f>'Feedstock Use'!M27</f>
        <v>133.40799999999999</v>
      </c>
      <c r="D141" s="14">
        <f>'Feedstock Use'!M43</f>
        <v>166.45136479140911</v>
      </c>
      <c r="E141" s="14">
        <f>'Feedstock Use'!M59</f>
        <v>41.34410230160276</v>
      </c>
      <c r="F141" s="14">
        <f>'Feedstock Use'!M75</f>
        <v>852.35160611574304</v>
      </c>
      <c r="G141" s="14">
        <f>'Feedstock Use'!M91</f>
        <v>19.731583582260278</v>
      </c>
      <c r="H141" s="14">
        <f>'Feedstock Use'!M107</f>
        <v>10.949932258344866</v>
      </c>
      <c r="I141" s="14">
        <f t="shared" si="17"/>
        <v>1867.1355890493601</v>
      </c>
      <c r="J141" s="15">
        <f t="shared" si="18"/>
        <v>0.83541986446121408</v>
      </c>
      <c r="K141" s="15">
        <f t="shared" si="13"/>
        <v>0.34432368156365539</v>
      </c>
      <c r="L141" s="15">
        <f t="shared" si="13"/>
        <v>7.1450622430652616E-2</v>
      </c>
      <c r="M141" s="15">
        <f t="shared" si="13"/>
        <v>8.9147979272440905E-2</v>
      </c>
      <c r="N141" s="15">
        <f t="shared" si="13"/>
        <v>2.2143063708968687E-2</v>
      </c>
      <c r="O141" s="15">
        <f t="shared" si="13"/>
        <v>0.45650225463792499</v>
      </c>
      <c r="P141" s="15">
        <f t="shared" si="13"/>
        <v>1.0567836475285914E-2</v>
      </c>
      <c r="Q141" s="15">
        <f t="shared" si="13"/>
        <v>5.8645619110714682E-3</v>
      </c>
      <c r="S141" s="15">
        <f t="shared" si="15"/>
        <v>0.41577430399430804</v>
      </c>
      <c r="T141" s="15">
        <f t="shared" si="16"/>
        <v>0.58422569600569196</v>
      </c>
    </row>
    <row r="142" spans="1:20" ht="15.75" x14ac:dyDescent="0.25">
      <c r="A142" s="13">
        <v>44805</v>
      </c>
      <c r="B142" s="14">
        <f>'Feedstock Use'!M12</f>
        <v>595.70399999999995</v>
      </c>
      <c r="C142" s="14">
        <f>'Feedstock Use'!M28</f>
        <v>131.62100000000001</v>
      </c>
      <c r="D142" s="14">
        <f>'Feedstock Use'!M44</f>
        <v>133.406418281404</v>
      </c>
      <c r="E142" s="14">
        <f>'Feedstock Use'!M60</f>
        <v>51.602875113423359</v>
      </c>
      <c r="F142" s="14">
        <f>'Feedstock Use'!M76</f>
        <v>891.2715033856756</v>
      </c>
      <c r="G142" s="14">
        <f>'Feedstock Use'!M92</f>
        <v>17.589755161114937</v>
      </c>
      <c r="H142" s="14">
        <f>'Feedstock Use'!M108</f>
        <v>12.499562364605062</v>
      </c>
      <c r="I142" s="14">
        <f t="shared" si="17"/>
        <v>1833.6951143062226</v>
      </c>
      <c r="J142" s="15">
        <f t="shared" si="18"/>
        <v>0.24167735740513807</v>
      </c>
      <c r="K142" s="15">
        <f t="shared" si="13"/>
        <v>0.32486534721743215</v>
      </c>
      <c r="L142" s="15">
        <f t="shared" si="13"/>
        <v>7.1779108191493829E-2</v>
      </c>
      <c r="M142" s="15">
        <f t="shared" si="13"/>
        <v>7.2752780568910574E-2</v>
      </c>
      <c r="N142" s="15">
        <f t="shared" si="13"/>
        <v>2.8141469490116013E-2</v>
      </c>
      <c r="O142" s="15">
        <f t="shared" si="13"/>
        <v>0.48605217761235492</v>
      </c>
      <c r="P142" s="15">
        <f t="shared" si="13"/>
        <v>9.5925189656024187E-3</v>
      </c>
      <c r="Q142" s="15">
        <f t="shared" si="13"/>
        <v>6.816597954090238E-3</v>
      </c>
      <c r="S142" s="15">
        <f t="shared" si="15"/>
        <v>0.39664445540892596</v>
      </c>
      <c r="T142" s="15">
        <f t="shared" si="16"/>
        <v>0.6033555445910741</v>
      </c>
    </row>
    <row r="143" spans="1:20" ht="15.75" x14ac:dyDescent="0.25">
      <c r="A143" s="13">
        <v>44835</v>
      </c>
      <c r="B143" s="14">
        <f>'Feedstock Use'!M13</f>
        <v>640.09400000000005</v>
      </c>
      <c r="C143" s="14">
        <f>'Feedstock Use'!M29</f>
        <v>167.27600000000001</v>
      </c>
      <c r="D143" s="14">
        <f>'Feedstock Use'!M45</f>
        <v>106.99013809186347</v>
      </c>
      <c r="E143" s="14">
        <f>'Feedstock Use'!M61</f>
        <v>54.835067504636712</v>
      </c>
      <c r="F143" s="14">
        <f>'Feedstock Use'!M77</f>
        <v>815.31321202909578</v>
      </c>
      <c r="G143" s="14">
        <f>'Feedstock Use'!M93</f>
        <v>18.342527144698717</v>
      </c>
      <c r="H143" s="14">
        <f>'Feedstock Use'!M109</f>
        <v>14.036830680131867</v>
      </c>
      <c r="I143" s="14">
        <f t="shared" si="17"/>
        <v>1816.8877754504269</v>
      </c>
      <c r="J143" s="15">
        <f t="shared" si="18"/>
        <v>0.29122217117580451</v>
      </c>
      <c r="K143" s="15">
        <f t="shared" si="13"/>
        <v>0.35230244192782545</v>
      </c>
      <c r="L143" s="15">
        <f t="shared" si="13"/>
        <v>9.2067326480046577E-2</v>
      </c>
      <c r="M143" s="15">
        <f t="shared" si="13"/>
        <v>5.8886486847179877E-2</v>
      </c>
      <c r="N143" s="15">
        <f t="shared" si="13"/>
        <v>3.0180767489088576E-2</v>
      </c>
      <c r="O143" s="15">
        <f t="shared" si="13"/>
        <v>0.44874164659232763</v>
      </c>
      <c r="P143" s="15">
        <f t="shared" si="13"/>
        <v>1.0095575187714275E-2</v>
      </c>
      <c r="Q143" s="15">
        <f t="shared" si="13"/>
        <v>7.7257554758174201E-3</v>
      </c>
      <c r="S143" s="15">
        <f t="shared" si="15"/>
        <v>0.44436976840787207</v>
      </c>
      <c r="T143" s="15">
        <f t="shared" si="16"/>
        <v>0.55563023159212799</v>
      </c>
    </row>
    <row r="144" spans="1:20" ht="15.75" x14ac:dyDescent="0.25">
      <c r="A144" s="13">
        <v>44866</v>
      </c>
      <c r="B144" s="14">
        <f>'Feedstock Use'!M14</f>
        <v>593.81100000000004</v>
      </c>
      <c r="C144" s="14">
        <f>'Feedstock Use'!M30</f>
        <v>113.45</v>
      </c>
      <c r="D144" s="14">
        <f>'Feedstock Use'!M46</f>
        <v>102.55446605916929</v>
      </c>
      <c r="E144" s="14">
        <f>'Feedstock Use'!M62</f>
        <v>59.214329663939431</v>
      </c>
      <c r="F144" s="14">
        <f>'Feedstock Use'!M78</f>
        <v>1188.94847449339</v>
      </c>
      <c r="G144" s="14">
        <f>'Feedstock Use'!M94</f>
        <v>19.026145053098343</v>
      </c>
      <c r="H144" s="14">
        <f>'Feedstock Use'!M110</f>
        <v>16.366640745613111</v>
      </c>
      <c r="I144" s="14">
        <f t="shared" si="17"/>
        <v>2093.3710560152103</v>
      </c>
      <c r="J144" s="15">
        <f t="shared" si="18"/>
        <v>0.20397619887607799</v>
      </c>
      <c r="K144" s="15">
        <f t="shared" si="13"/>
        <v>0.28366256344937513</v>
      </c>
      <c r="L144" s="15">
        <f t="shared" si="13"/>
        <v>5.4194883259709919E-2</v>
      </c>
      <c r="M144" s="15">
        <f t="shared" si="13"/>
        <v>4.8990104150185655E-2</v>
      </c>
      <c r="N144" s="15">
        <f t="shared" si="13"/>
        <v>2.8286590422557739E-2</v>
      </c>
      <c r="O144" s="15">
        <f t="shared" si="13"/>
        <v>0.5679587816393078</v>
      </c>
      <c r="P144" s="15">
        <f t="shared" si="13"/>
        <v>9.0887590130892208E-3</v>
      </c>
      <c r="Q144" s="15">
        <f t="shared" si="13"/>
        <v>7.8183180657744756E-3</v>
      </c>
      <c r="S144" s="15">
        <f t="shared" si="15"/>
        <v>0.33785744670908507</v>
      </c>
      <c r="T144" s="15">
        <f t="shared" si="16"/>
        <v>0.66214255329091487</v>
      </c>
    </row>
    <row r="145" spans="1:20" ht="15.75" x14ac:dyDescent="0.25">
      <c r="A145" s="13">
        <v>44896</v>
      </c>
      <c r="B145" s="14">
        <f>'Feedstock Use'!M15</f>
        <v>533.59299999999996</v>
      </c>
      <c r="C145" s="14">
        <f>'Feedstock Use'!M31</f>
        <v>119.591805422766</v>
      </c>
      <c r="D145" s="14">
        <f>'Feedstock Use'!M47</f>
        <v>110.42206778143442</v>
      </c>
      <c r="E145" s="14">
        <f>'Feedstock Use'!M63</f>
        <v>76.13872767261681</v>
      </c>
      <c r="F145" s="14">
        <f>'Feedstock Use'!M79</f>
        <v>998.35235937177436</v>
      </c>
      <c r="G145" s="14">
        <f>'Feedstock Use'!M95</f>
        <v>22.833451805726607</v>
      </c>
      <c r="H145" s="14">
        <f>'Feedstock Use'!M111</f>
        <v>15.954255006775046</v>
      </c>
      <c r="I145" s="14">
        <f t="shared" si="17"/>
        <v>1876.8856670610933</v>
      </c>
      <c r="J145" s="15">
        <f t="shared" si="18"/>
        <v>0.30996085064549939</v>
      </c>
      <c r="K145" s="15">
        <f t="shared" si="13"/>
        <v>0.28429701892045584</v>
      </c>
      <c r="L145" s="15">
        <f t="shared" si="13"/>
        <v>6.3718215510712425E-2</v>
      </c>
      <c r="M145" s="15">
        <f t="shared" si="13"/>
        <v>5.8832602176742042E-2</v>
      </c>
      <c r="N145" s="15">
        <f t="shared" si="13"/>
        <v>4.0566524114299431E-2</v>
      </c>
      <c r="O145" s="15">
        <f t="shared" si="13"/>
        <v>0.53191964587541263</v>
      </c>
      <c r="P145" s="15">
        <f t="shared" si="13"/>
        <v>1.2165606145567828E-2</v>
      </c>
      <c r="Q145" s="15">
        <f t="shared" si="13"/>
        <v>8.5003872568097834E-3</v>
      </c>
      <c r="S145" s="15">
        <f t="shared" si="15"/>
        <v>0.34801523443116827</v>
      </c>
      <c r="T145" s="15">
        <f t="shared" si="16"/>
        <v>0.65198476556883178</v>
      </c>
    </row>
    <row r="146" spans="1:20" ht="15.75" x14ac:dyDescent="0.25">
      <c r="A146" s="13">
        <v>44927</v>
      </c>
      <c r="B146" s="14">
        <f>'Feedstock Use'!$N$4</f>
        <v>556.82899999999995</v>
      </c>
      <c r="C146" s="14">
        <f>'Feedstock Use'!$N$20</f>
        <v>95.943749308474011</v>
      </c>
      <c r="D146" s="14">
        <f>'Feedstock Use'!$N$36</f>
        <v>111.878</v>
      </c>
      <c r="E146" s="14">
        <f>'Feedstock Use'!$N$52</f>
        <v>66.012282677561259</v>
      </c>
      <c r="F146" s="14">
        <f>'Feedstock Use'!$N$68</f>
        <v>759.11132592933086</v>
      </c>
      <c r="G146" s="14">
        <f>'Feedstock Use'!$N$84</f>
        <v>17.979682322250461</v>
      </c>
      <c r="H146" s="14">
        <f>'Feedstock Use'!$N$100</f>
        <v>12.668129782598223</v>
      </c>
      <c r="I146" s="14">
        <f t="shared" si="17"/>
        <v>1620.4221700202149</v>
      </c>
      <c r="J146" s="15">
        <f t="shared" si="18"/>
        <v>3.4106281338332156E-2</v>
      </c>
      <c r="K146" s="15">
        <f t="shared" si="13"/>
        <v>0.3436320548447282</v>
      </c>
      <c r="L146" s="15">
        <f t="shared" si="13"/>
        <v>5.9209106789298679E-2</v>
      </c>
      <c r="M146" s="15">
        <f t="shared" si="13"/>
        <v>6.9042501435662484E-2</v>
      </c>
      <c r="N146" s="15">
        <f t="shared" si="13"/>
        <v>4.0737706443955746E-2</v>
      </c>
      <c r="O146" s="15">
        <f t="shared" si="13"/>
        <v>0.46846515678063133</v>
      </c>
      <c r="P146" s="15">
        <f t="shared" si="13"/>
        <v>1.1095677814643923E-2</v>
      </c>
      <c r="Q146" s="15">
        <f t="shared" si="13"/>
        <v>7.8177958910795372E-3</v>
      </c>
      <c r="S146" s="15">
        <f t="shared" si="15"/>
        <v>0.40284116163402689</v>
      </c>
      <c r="T146" s="15">
        <f t="shared" si="16"/>
        <v>0.59715883836597317</v>
      </c>
    </row>
    <row r="147" spans="1:20" ht="15.75" x14ac:dyDescent="0.25">
      <c r="A147" s="13">
        <v>44958</v>
      </c>
      <c r="B147" s="14">
        <f>'Feedstock Use'!$N$5</f>
        <v>536.27599999999995</v>
      </c>
      <c r="C147" s="14">
        <f>'Feedstock Use'!$N$21</f>
        <v>66.343073137521245</v>
      </c>
      <c r="D147" s="14">
        <f>'Feedstock Use'!$N$37</f>
        <v>95.100999999999999</v>
      </c>
      <c r="E147" s="14">
        <f>'Feedstock Use'!$N$53</f>
        <v>59.944033865187315</v>
      </c>
      <c r="F147" s="14">
        <f>'Feedstock Use'!$N$69</f>
        <v>736.1244510620262</v>
      </c>
      <c r="G147" s="14">
        <f>'Feedstock Use'!$N$85</f>
        <v>13.712724760479736</v>
      </c>
      <c r="H147" s="14">
        <f>'Feedstock Use'!$N$101</f>
        <v>9.6003876941036772</v>
      </c>
      <c r="I147" s="14">
        <f t="shared" ref="I147:I169" si="19">SUM(B147:H147)</f>
        <v>1517.1016705193181</v>
      </c>
      <c r="J147" s="15">
        <f t="shared" si="18"/>
        <v>-0.10886758221811965</v>
      </c>
      <c r="K147" s="15">
        <f t="shared" si="13"/>
        <v>0.35348718574439886</v>
      </c>
      <c r="L147" s="15">
        <f t="shared" si="13"/>
        <v>4.373014309239498E-2</v>
      </c>
      <c r="M147" s="15">
        <f t="shared" si="13"/>
        <v>6.2685976719968964E-2</v>
      </c>
      <c r="N147" s="15">
        <f t="shared" si="13"/>
        <v>3.9512206090095404E-2</v>
      </c>
      <c r="O147" s="15">
        <f t="shared" si="13"/>
        <v>0.48521761287761545</v>
      </c>
      <c r="P147" s="15">
        <f t="shared" si="13"/>
        <v>9.0387645251130341E-3</v>
      </c>
      <c r="Q147" s="15">
        <f t="shared" si="13"/>
        <v>6.3281109504133466E-3</v>
      </c>
      <c r="S147" s="15">
        <f t="shared" si="15"/>
        <v>0.39721732883679384</v>
      </c>
      <c r="T147" s="15">
        <f t="shared" si="16"/>
        <v>0.60278267116320616</v>
      </c>
    </row>
    <row r="148" spans="1:20" ht="15.75" x14ac:dyDescent="0.25">
      <c r="A148" s="13">
        <v>44986</v>
      </c>
      <c r="B148" s="14">
        <f>'Feedstock Use'!$N$6</f>
        <v>592.54200000000003</v>
      </c>
      <c r="C148" s="14">
        <f>'Feedstock Use'!$N$22</f>
        <v>190.37899999999999</v>
      </c>
      <c r="D148" s="14">
        <f>'Feedstock Use'!$N$38</f>
        <v>87.424999999999997</v>
      </c>
      <c r="E148" s="14">
        <f>'Feedstock Use'!$N$54</f>
        <v>91.523085954609073</v>
      </c>
      <c r="F148" s="14">
        <f>'Feedstock Use'!$N$70</f>
        <v>1153.6083492262737</v>
      </c>
      <c r="G148" s="14">
        <f>'Feedstock Use'!$N$86</f>
        <v>26.566346423946968</v>
      </c>
      <c r="H148" s="14">
        <f>'Feedstock Use'!$N$102</f>
        <v>6.9373389872466005</v>
      </c>
      <c r="I148" s="14">
        <f t="shared" si="19"/>
        <v>2148.9811205920764</v>
      </c>
      <c r="J148" s="15">
        <f t="shared" si="18"/>
        <v>0.32416033913442632</v>
      </c>
      <c r="K148" s="15">
        <f t="shared" si="13"/>
        <v>0.27573159872002312</v>
      </c>
      <c r="L148" s="15">
        <f t="shared" si="13"/>
        <v>8.8590354831757534E-2</v>
      </c>
      <c r="M148" s="15">
        <f t="shared" si="13"/>
        <v>4.0682069824751699E-2</v>
      </c>
      <c r="N148" s="15">
        <f t="shared" si="13"/>
        <v>4.2589060032967203E-2</v>
      </c>
      <c r="O148" s="15">
        <f t="shared" si="13"/>
        <v>0.53681641880056974</v>
      </c>
      <c r="P148" s="15">
        <f t="shared" si="13"/>
        <v>1.2362298658364919E-2</v>
      </c>
      <c r="Q148" s="15">
        <f t="shared" si="13"/>
        <v>3.228199131565781E-3</v>
      </c>
      <c r="S148" s="15">
        <f t="shared" si="15"/>
        <v>0.36432195355178065</v>
      </c>
      <c r="T148" s="15">
        <f t="shared" si="16"/>
        <v>0.63567804644821935</v>
      </c>
    </row>
    <row r="149" spans="1:20" ht="15.75" x14ac:dyDescent="0.25">
      <c r="A149" s="13">
        <v>45017</v>
      </c>
      <c r="B149" s="14">
        <f>'Feedstock Use'!$N$7</f>
        <v>578.74400000000003</v>
      </c>
      <c r="C149" s="14">
        <f>'Feedstock Use'!$N$23</f>
        <v>155.17699999999999</v>
      </c>
      <c r="D149" s="14">
        <f>'Feedstock Use'!$N$39</f>
        <v>83.272999999999996</v>
      </c>
      <c r="E149" s="14">
        <f>'Feedstock Use'!$N$55</f>
        <v>72.594399409519482</v>
      </c>
      <c r="F149" s="14">
        <f>'Feedstock Use'!$N$71</f>
        <v>1057.7499570489874</v>
      </c>
      <c r="G149" s="14">
        <f>'Feedstock Use'!$N$87</f>
        <v>33.64198191490825</v>
      </c>
      <c r="H149" s="14">
        <f>'Feedstock Use'!$N$103</f>
        <v>6.8940717767666522</v>
      </c>
      <c r="I149" s="14">
        <f t="shared" si="19"/>
        <v>1988.0744101501818</v>
      </c>
      <c r="J149" s="15">
        <f t="shared" si="18"/>
        <v>5.5911714111718913E-2</v>
      </c>
      <c r="K149" s="15">
        <f t="shared" si="13"/>
        <v>0.29110781620909298</v>
      </c>
      <c r="L149" s="15">
        <f t="shared" si="13"/>
        <v>7.8053919515154224E-2</v>
      </c>
      <c r="M149" s="15">
        <f t="shared" si="13"/>
        <v>4.1886259173623909E-2</v>
      </c>
      <c r="N149" s="15">
        <f t="shared" si="13"/>
        <v>3.6514930748510366E-2</v>
      </c>
      <c r="O149" s="15">
        <f t="shared" si="13"/>
        <v>0.53204746846929318</v>
      </c>
      <c r="P149" s="15">
        <f t="shared" si="13"/>
        <v>1.6921892733565685E-2</v>
      </c>
      <c r="Q149" s="15">
        <f t="shared" si="13"/>
        <v>3.4677131507597166E-3</v>
      </c>
      <c r="S149" s="15">
        <f t="shared" si="15"/>
        <v>0.36916173572424721</v>
      </c>
      <c r="T149" s="15">
        <f t="shared" si="16"/>
        <v>0.63083826427575285</v>
      </c>
    </row>
    <row r="150" spans="1:20" ht="15.75" x14ac:dyDescent="0.25">
      <c r="A150" s="13">
        <v>45047</v>
      </c>
      <c r="B150" s="14">
        <f>'Feedstock Use'!$N$8</f>
        <v>662.75699999999995</v>
      </c>
      <c r="C150" s="14">
        <f>'Feedstock Use'!$N$24</f>
        <v>171.66900000000001</v>
      </c>
      <c r="D150" s="14">
        <f>'Feedstock Use'!$N$40</f>
        <v>96.176000000000002</v>
      </c>
      <c r="E150" s="14">
        <f>'Feedstock Use'!$N$56</f>
        <v>87.359508103225821</v>
      </c>
      <c r="F150" s="14">
        <f>'Feedstock Use'!$N$72</f>
        <v>1318.1899525913916</v>
      </c>
      <c r="G150" s="14">
        <f>'Feedstock Use'!$N$88</f>
        <v>48.676772042633772</v>
      </c>
      <c r="H150" s="14">
        <f>'Feedstock Use'!$N$104</f>
        <v>7.8819898722625243</v>
      </c>
      <c r="I150" s="14">
        <f t="shared" si="19"/>
        <v>2392.7102226095139</v>
      </c>
      <c r="J150" s="15">
        <f t="shared" si="18"/>
        <v>0.35313056465851322</v>
      </c>
      <c r="K150" s="15">
        <f t="shared" si="13"/>
        <v>0.27699008168117845</v>
      </c>
      <c r="L150" s="15">
        <f t="shared" si="13"/>
        <v>7.1746673867082847E-2</v>
      </c>
      <c r="M150" s="15">
        <f t="shared" si="13"/>
        <v>4.0195423203027686E-2</v>
      </c>
      <c r="N150" s="15">
        <f t="shared" si="13"/>
        <v>3.6510692886140915E-2</v>
      </c>
      <c r="O150" s="15">
        <f t="shared" si="13"/>
        <v>0.55091917948750202</v>
      </c>
      <c r="P150" s="15">
        <f t="shared" si="13"/>
        <v>2.0343780698001277E-2</v>
      </c>
      <c r="Q150" s="15">
        <f t="shared" si="13"/>
        <v>3.2941681770667351E-3</v>
      </c>
      <c r="S150" s="15">
        <f t="shared" si="15"/>
        <v>0.34873675554826128</v>
      </c>
      <c r="T150" s="15">
        <f t="shared" si="16"/>
        <v>0.65126324445173878</v>
      </c>
    </row>
    <row r="151" spans="1:20" ht="15.75" x14ac:dyDescent="0.25">
      <c r="A151" s="13">
        <v>45078</v>
      </c>
      <c r="B151" s="14">
        <f>'Feedstock Use'!$N$9</f>
        <v>627.38300000000004</v>
      </c>
      <c r="C151" s="14">
        <f>'Feedstock Use'!$N$25</f>
        <v>195.203</v>
      </c>
      <c r="D151" s="14">
        <f>'Feedstock Use'!$N$41</f>
        <v>97.825000000000003</v>
      </c>
      <c r="E151" s="14">
        <f>'Feedstock Use'!$N$57</f>
        <v>82.546761291824581</v>
      </c>
      <c r="F151" s="14">
        <f>'Feedstock Use'!$N$73</f>
        <v>1063.9093675508134</v>
      </c>
      <c r="G151" s="14">
        <f>'Feedstock Use'!$N$89</f>
        <v>24.272817833821286</v>
      </c>
      <c r="H151" s="14">
        <f>'Feedstock Use'!$N$105</f>
        <v>9.3664648656530964</v>
      </c>
      <c r="I151" s="14">
        <f t="shared" si="19"/>
        <v>2100.5064115421123</v>
      </c>
      <c r="J151" s="15">
        <f t="shared" si="18"/>
        <v>0.24553136433795708</v>
      </c>
      <c r="K151" s="15">
        <f t="shared" si="13"/>
        <v>0.2986817829036757</v>
      </c>
      <c r="L151" s="15">
        <f t="shared" si="13"/>
        <v>9.2931399269897658E-2</v>
      </c>
      <c r="M151" s="15">
        <f t="shared" si="13"/>
        <v>4.6572102547490245E-2</v>
      </c>
      <c r="N151" s="15">
        <f t="shared" si="13"/>
        <v>3.929850479781296E-2</v>
      </c>
      <c r="O151" s="15">
        <f t="shared" si="13"/>
        <v>0.5065013663870378</v>
      </c>
      <c r="P151" s="15">
        <f t="shared" si="13"/>
        <v>1.1555698045216202E-2</v>
      </c>
      <c r="Q151" s="15">
        <f t="shared" si="13"/>
        <v>4.4591460488695167E-3</v>
      </c>
      <c r="S151" s="15">
        <f t="shared" si="15"/>
        <v>0.39161318217357333</v>
      </c>
      <c r="T151" s="15">
        <f t="shared" si="16"/>
        <v>0.60838681782642667</v>
      </c>
    </row>
    <row r="152" spans="1:20" ht="15.75" x14ac:dyDescent="0.25">
      <c r="A152" s="13">
        <v>45108</v>
      </c>
      <c r="B152" s="14">
        <f>'Feedstock Use'!$N$10</f>
        <v>678.70100000000002</v>
      </c>
      <c r="C152" s="14">
        <f>'Feedstock Use'!$N$26</f>
        <v>164.44</v>
      </c>
      <c r="D152" s="14">
        <f>'Feedstock Use'!$N$42</f>
        <v>89.481999999999999</v>
      </c>
      <c r="E152" s="14">
        <f>'Feedstock Use'!$N$58</f>
        <v>91.02308875409372</v>
      </c>
      <c r="F152" s="14">
        <f>'Feedstock Use'!$N$74</f>
        <v>910.92278681794824</v>
      </c>
      <c r="G152" s="14">
        <f>'Feedstock Use'!$N$90</f>
        <v>26.558214183198217</v>
      </c>
      <c r="H152" s="14">
        <f>'Feedstock Use'!$N$106</f>
        <v>6.8679904007033183</v>
      </c>
      <c r="I152" s="14">
        <f t="shared" si="19"/>
        <v>1967.9950801559437</v>
      </c>
      <c r="J152" s="15">
        <f t="shared" si="18"/>
        <v>5.4018300383817053E-2</v>
      </c>
      <c r="K152" s="15">
        <f t="shared" si="13"/>
        <v>0.34486925645475691</v>
      </c>
      <c r="L152" s="15">
        <f t="shared" si="13"/>
        <v>8.3557119455283282E-2</v>
      </c>
      <c r="M152" s="15">
        <f t="shared" si="13"/>
        <v>4.546860960288044E-2</v>
      </c>
      <c r="N152" s="15">
        <f t="shared" si="13"/>
        <v>4.6251685114416574E-2</v>
      </c>
      <c r="O152" s="15">
        <f t="shared" si="13"/>
        <v>0.46286842685895679</v>
      </c>
      <c r="P152" s="15">
        <f t="shared" si="13"/>
        <v>1.3495061268696743E-2</v>
      </c>
      <c r="Q152" s="15">
        <f t="shared" si="13"/>
        <v>3.4898412450091593E-3</v>
      </c>
      <c r="S152" s="15">
        <f t="shared" si="15"/>
        <v>0.42842637591004024</v>
      </c>
      <c r="T152" s="15">
        <f t="shared" si="16"/>
        <v>0.57157362408995982</v>
      </c>
    </row>
    <row r="153" spans="1:20" ht="15.75" x14ac:dyDescent="0.25">
      <c r="A153" s="13">
        <v>45139</v>
      </c>
      <c r="B153" s="14">
        <f>'Feedstock Use'!$N$11</f>
        <v>617.53700000000003</v>
      </c>
      <c r="C153" s="14">
        <f>'Feedstock Use'!$N$27</f>
        <v>174.27099999999999</v>
      </c>
      <c r="D153" s="14">
        <f>'Feedstock Use'!$N$43</f>
        <v>87.953000000000003</v>
      </c>
      <c r="E153" s="14">
        <f>'Feedstock Use'!$N$59</f>
        <v>103.63008670702204</v>
      </c>
      <c r="F153" s="14">
        <f>'Feedstock Use'!$N$75</f>
        <v>1145.854995618093</v>
      </c>
      <c r="G153" s="14">
        <f>'Feedstock Use'!$N$91</f>
        <v>40.577882091969094</v>
      </c>
      <c r="H153" s="14">
        <f>'Feedstock Use'!$N$107</f>
        <v>13.37347180378473</v>
      </c>
      <c r="I153" s="14">
        <f t="shared" si="19"/>
        <v>2183.1974362208689</v>
      </c>
      <c r="J153" s="15">
        <f>I153/I142-1</f>
        <v>0.19060001806618776</v>
      </c>
      <c r="K153" s="15">
        <f t="shared" si="13"/>
        <v>0.28285898002379539</v>
      </c>
      <c r="L153" s="15">
        <f t="shared" si="13"/>
        <v>7.9823747091634728E-2</v>
      </c>
      <c r="M153" s="15">
        <f t="shared" si="13"/>
        <v>4.0286324333655921E-2</v>
      </c>
      <c r="N153" s="15">
        <f t="shared" ref="N153:Q169" si="20">E153/$I153</f>
        <v>4.7467116344001622E-2</v>
      </c>
      <c r="O153" s="15">
        <f t="shared" si="20"/>
        <v>0.52485175028492914</v>
      </c>
      <c r="P153" s="15">
        <f t="shared" si="20"/>
        <v>1.8586446383067265E-2</v>
      </c>
      <c r="Q153" s="15">
        <f t="shared" si="20"/>
        <v>6.1256355389159439E-3</v>
      </c>
      <c r="S153" s="15">
        <f t="shared" si="15"/>
        <v>0.36268272711543009</v>
      </c>
      <c r="T153" s="15">
        <f t="shared" si="16"/>
        <v>0.63731727288456996</v>
      </c>
    </row>
    <row r="154" spans="1:20" ht="15.75" x14ac:dyDescent="0.25">
      <c r="A154" s="13">
        <v>45170</v>
      </c>
      <c r="B154" s="14">
        <f>'Feedstock Use'!$N$12</f>
        <v>619.99400000000003</v>
      </c>
      <c r="C154" s="14">
        <f>'Feedstock Use'!$N$28</f>
        <v>161.12799999999999</v>
      </c>
      <c r="D154" s="14">
        <f>'Feedstock Use'!$N$44</f>
        <v>73.75</v>
      </c>
      <c r="E154" s="14">
        <f>'Feedstock Use'!$N$60</f>
        <v>114.22391630840667</v>
      </c>
      <c r="F154" s="14">
        <f>'Feedstock Use'!$N$76</f>
        <v>1053.3741035494511</v>
      </c>
      <c r="G154" s="14">
        <f>'Feedstock Use'!$N$92</f>
        <v>28.447345668360651</v>
      </c>
      <c r="H154" s="14">
        <f>'Feedstock Use'!$N$108</f>
        <v>14.148829436907954</v>
      </c>
      <c r="I154" s="14">
        <f t="shared" si="19"/>
        <v>2065.0661949631262</v>
      </c>
      <c r="J154" s="15">
        <f t="shared" ref="J154:J169" si="21">I154/I143-1</f>
        <v>0.13659534885206281</v>
      </c>
      <c r="K154" s="15">
        <f t="shared" ref="K154:Q170" si="22">B154/$I154</f>
        <v>0.30022960111991503</v>
      </c>
      <c r="L154" s="15">
        <f t="shared" si="22"/>
        <v>7.8025586004460787E-2</v>
      </c>
      <c r="M154" s="15">
        <f t="shared" si="22"/>
        <v>3.5713140905547038E-2</v>
      </c>
      <c r="N154" s="15">
        <f t="shared" si="20"/>
        <v>5.5312472107193762E-2</v>
      </c>
      <c r="O154" s="15">
        <f t="shared" si="20"/>
        <v>0.5100921733737741</v>
      </c>
      <c r="P154" s="15">
        <f t="shared" si="20"/>
        <v>1.3775512735497859E-2</v>
      </c>
      <c r="Q154" s="15">
        <f t="shared" si="20"/>
        <v>6.8515137536114649E-3</v>
      </c>
      <c r="S154" s="15">
        <f t="shared" si="15"/>
        <v>0.37825518712437584</v>
      </c>
      <c r="T154" s="15">
        <f t="shared" si="16"/>
        <v>0.62174481287562422</v>
      </c>
    </row>
    <row r="155" spans="1:20" ht="15.75" x14ac:dyDescent="0.25">
      <c r="A155" s="13">
        <v>45200</v>
      </c>
      <c r="B155" s="14">
        <f>'Feedstock Use'!$N$13</f>
        <v>645.47</v>
      </c>
      <c r="C155" s="14">
        <f>'Feedstock Use'!$N$29</f>
        <v>165.429</v>
      </c>
      <c r="D155" s="14">
        <f>'Feedstock Use'!$N$45</f>
        <v>76.281999999999996</v>
      </c>
      <c r="E155" s="14">
        <f>'Feedstock Use'!$N$61</f>
        <v>54.998405648361405</v>
      </c>
      <c r="F155" s="14">
        <f>'Feedstock Use'!$N$77</f>
        <v>824.7167274217129</v>
      </c>
      <c r="G155" s="14">
        <f>'Feedstock Use'!$N$93</f>
        <v>12.854891234883162</v>
      </c>
      <c r="H155" s="14">
        <f>'Feedstock Use'!$N$109</f>
        <v>13.397368060732608</v>
      </c>
      <c r="I155" s="14">
        <f t="shared" si="19"/>
        <v>1793.1483923656901</v>
      </c>
      <c r="J155" s="15">
        <f t="shared" si="21"/>
        <v>-0.14341588548616047</v>
      </c>
      <c r="K155" s="15">
        <f t="shared" si="22"/>
        <v>0.35996463134232592</v>
      </c>
      <c r="L155" s="15">
        <f t="shared" si="22"/>
        <v>9.2256168370845479E-2</v>
      </c>
      <c r="M155" s="15">
        <f t="shared" si="22"/>
        <v>4.2540818330914373E-2</v>
      </c>
      <c r="N155" s="15">
        <f t="shared" si="20"/>
        <v>3.0671418987138221E-2</v>
      </c>
      <c r="O155" s="15">
        <f t="shared" si="20"/>
        <v>0.45992664685919771</v>
      </c>
      <c r="P155" s="15">
        <f t="shared" si="20"/>
        <v>7.1688942697730549E-3</v>
      </c>
      <c r="Q155" s="15">
        <f t="shared" si="20"/>
        <v>7.4714218398052043E-3</v>
      </c>
      <c r="S155" s="15">
        <f t="shared" si="15"/>
        <v>0.45222079971317136</v>
      </c>
      <c r="T155" s="15">
        <f t="shared" si="16"/>
        <v>0.54777920028682869</v>
      </c>
    </row>
    <row r="156" spans="1:20" ht="15.75" x14ac:dyDescent="0.25">
      <c r="A156" s="13">
        <v>45231</v>
      </c>
      <c r="B156" s="14">
        <f>'Feedstock Use'!$N$14</f>
        <v>612.95299999999997</v>
      </c>
      <c r="C156" s="14">
        <f>'Feedstock Use'!$N$30</f>
        <v>137.553</v>
      </c>
      <c r="D156" s="14">
        <f>'Feedstock Use'!$N$46</f>
        <v>85</v>
      </c>
      <c r="E156" s="14">
        <f>'Feedstock Use'!$N$62</f>
        <v>57.781512307298065</v>
      </c>
      <c r="F156" s="14">
        <f>'Feedstock Use'!$N$78</f>
        <v>807.6554000000001</v>
      </c>
      <c r="G156" s="14">
        <f>'Feedstock Use'!$N$94</f>
        <v>13.667000000000002</v>
      </c>
      <c r="H156" s="14">
        <f>'Feedstock Use'!$N$110</f>
        <v>17.847896514098561</v>
      </c>
      <c r="I156" s="14">
        <f t="shared" si="19"/>
        <v>1732.4578088213966</v>
      </c>
      <c r="J156" s="15">
        <f t="shared" si="21"/>
        <v>-7.6950802477940949E-2</v>
      </c>
      <c r="K156" s="15">
        <f t="shared" si="22"/>
        <v>0.35380544154030297</v>
      </c>
      <c r="L156" s="15">
        <f t="shared" si="22"/>
        <v>7.9397604547482917E-2</v>
      </c>
      <c r="M156" s="15">
        <f t="shared" si="22"/>
        <v>4.906324388807258E-2</v>
      </c>
      <c r="N156" s="15">
        <f t="shared" si="20"/>
        <v>3.3352334477113318E-2</v>
      </c>
      <c r="O156" s="15">
        <f t="shared" si="20"/>
        <v>0.46619051609080964</v>
      </c>
      <c r="P156" s="15">
        <f t="shared" si="20"/>
        <v>7.8887924025680938E-3</v>
      </c>
      <c r="Q156" s="15">
        <f t="shared" si="20"/>
        <v>1.0302067053650566E-2</v>
      </c>
      <c r="S156" s="15">
        <f t="shared" si="15"/>
        <v>0.43320304608778587</v>
      </c>
      <c r="T156" s="15">
        <f t="shared" si="16"/>
        <v>0.56679695391221419</v>
      </c>
    </row>
    <row r="157" spans="1:20" ht="15.75" x14ac:dyDescent="0.25">
      <c r="A157" s="13">
        <v>45261</v>
      </c>
      <c r="B157" s="14">
        <f>'Feedstock Use'!$N$15</f>
        <v>603</v>
      </c>
      <c r="C157" s="14">
        <f>'Feedstock Use'!$N$31</f>
        <v>150.333786</v>
      </c>
      <c r="D157" s="14">
        <f>'Feedstock Use'!$N$47</f>
        <v>63.088000000000001</v>
      </c>
      <c r="E157" s="14">
        <f>'Feedstock Use'!$N$63</f>
        <v>55.560636930267734</v>
      </c>
      <c r="F157" s="14">
        <f>'Feedstock Use'!$N$79</f>
        <v>932.77785698604123</v>
      </c>
      <c r="G157" s="14">
        <f>'Feedstock Use'!$N$95</f>
        <v>2.4820046687072925</v>
      </c>
      <c r="H157" s="14">
        <f>'Feedstock Use'!$N$111</f>
        <v>12.888400545977545</v>
      </c>
      <c r="I157" s="14">
        <f t="shared" si="19"/>
        <v>1820.1306851309937</v>
      </c>
      <c r="J157" s="15">
        <f t="shared" si="21"/>
        <v>0.12324474374988803</v>
      </c>
      <c r="K157" s="15">
        <f t="shared" si="22"/>
        <v>0.33129489268327039</v>
      </c>
      <c r="L157" s="15">
        <f t="shared" si="22"/>
        <v>8.25950505796679E-2</v>
      </c>
      <c r="M157" s="15">
        <f t="shared" si="22"/>
        <v>3.466124741227556E-2</v>
      </c>
      <c r="N157" s="15">
        <f t="shared" si="20"/>
        <v>3.0525630595733332E-2</v>
      </c>
      <c r="O157" s="15">
        <f t="shared" si="20"/>
        <v>0.51247850750832746</v>
      </c>
      <c r="P157" s="15">
        <f t="shared" si="20"/>
        <v>1.3636409127010922E-3</v>
      </c>
      <c r="Q157" s="15">
        <f t="shared" si="20"/>
        <v>7.0810303080242696E-3</v>
      </c>
      <c r="S157" s="15">
        <f t="shared" si="15"/>
        <v>0.41388994326293832</v>
      </c>
      <c r="T157" s="15">
        <f t="shared" si="16"/>
        <v>0.58611005673706162</v>
      </c>
    </row>
    <row r="158" spans="1:20" ht="15.75" x14ac:dyDescent="0.25">
      <c r="A158" s="13">
        <v>45292</v>
      </c>
      <c r="B158" s="14">
        <f>'Feedstock Use'!$O$4</f>
        <v>544.50800000000004</v>
      </c>
      <c r="C158" s="14">
        <f>'Feedstock Use'!$O$20</f>
        <v>152.648</v>
      </c>
      <c r="D158" s="14">
        <f>'Feedstock Use'!$O$36</f>
        <v>71.075999999999993</v>
      </c>
      <c r="E158" s="14">
        <f>'Feedstock Use'!$O$52</f>
        <v>72.590086245091967</v>
      </c>
      <c r="F158" s="14">
        <f>'Feedstock Use'!$O$68</f>
        <v>790.10363482109813</v>
      </c>
      <c r="G158" s="14">
        <f>'Feedstock Use'!$O$84</f>
        <v>4.6272370370542362</v>
      </c>
      <c r="H158" s="14">
        <f>'Feedstock Use'!$O$100</f>
        <v>15.967255106517104</v>
      </c>
      <c r="I158" s="14">
        <f t="shared" si="19"/>
        <v>1651.5202132097616</v>
      </c>
      <c r="J158" s="15">
        <f t="shared" si="21"/>
        <v>8.8602198061274784E-2</v>
      </c>
      <c r="K158" s="15">
        <f t="shared" si="22"/>
        <v>0.32970108124909847</v>
      </c>
      <c r="L158" s="15">
        <f t="shared" si="22"/>
        <v>9.2428780937125588E-2</v>
      </c>
      <c r="M158" s="15">
        <f t="shared" si="22"/>
        <v>4.3036712134368861E-2</v>
      </c>
      <c r="N158" s="15">
        <f t="shared" si="20"/>
        <v>4.3953495491291461E-2</v>
      </c>
      <c r="O158" s="15">
        <f t="shared" si="20"/>
        <v>0.4784099089441457</v>
      </c>
      <c r="P158" s="15">
        <f t="shared" si="20"/>
        <v>2.8018046646011746E-3</v>
      </c>
      <c r="Q158" s="15">
        <f t="shared" si="20"/>
        <v>9.6682165793686749E-3</v>
      </c>
      <c r="S158" s="15">
        <f t="shared" ref="S158:S169" si="23">SUM(B158:C158)/$I158</f>
        <v>0.42212986218622406</v>
      </c>
      <c r="T158" s="15">
        <f t="shared" si="16"/>
        <v>0.57787013781377594</v>
      </c>
    </row>
    <row r="159" spans="1:20" ht="15.75" x14ac:dyDescent="0.25">
      <c r="A159" s="13">
        <v>45323</v>
      </c>
      <c r="B159" s="14">
        <f>'Feedstock Use'!$O$5</f>
        <v>521.55999999999995</v>
      </c>
      <c r="C159" s="14">
        <f>'Feedstock Use'!$O$21</f>
        <v>129.77799999999999</v>
      </c>
      <c r="D159" s="14">
        <f>'Feedstock Use'!$O$37</f>
        <v>73.781000000000006</v>
      </c>
      <c r="E159" s="14">
        <f>'Feedstock Use'!$O$53</f>
        <v>77.980262967164947</v>
      </c>
      <c r="F159" s="14">
        <f>'Feedstock Use'!$O$69</f>
        <v>848.82893966469157</v>
      </c>
      <c r="G159" s="14">
        <f>'Feedstock Use'!$O$85</f>
        <v>15.304777894846277</v>
      </c>
      <c r="H159" s="14">
        <f>'Feedstock Use'!$O$101</f>
        <v>9.868403647004131</v>
      </c>
      <c r="I159" s="14">
        <f t="shared" si="19"/>
        <v>1677.1013841737069</v>
      </c>
      <c r="J159" s="15">
        <f t="shared" si="21"/>
        <v>-0.219583006987218</v>
      </c>
      <c r="K159" s="15">
        <f t="shared" si="22"/>
        <v>0.3109889508897925</v>
      </c>
      <c r="L159" s="15">
        <f t="shared" si="22"/>
        <v>7.7382322395458794E-2</v>
      </c>
      <c r="M159" s="15">
        <f t="shared" si="22"/>
        <v>4.3993166242809613E-2</v>
      </c>
      <c r="N159" s="15">
        <f t="shared" si="20"/>
        <v>4.6497047646040277E-2</v>
      </c>
      <c r="O159" s="15">
        <f t="shared" si="20"/>
        <v>0.50612857855513738</v>
      </c>
      <c r="P159" s="15">
        <f t="shared" si="20"/>
        <v>9.1257320751582383E-3</v>
      </c>
      <c r="Q159" s="15">
        <f t="shared" si="20"/>
        <v>5.8842021956032227E-3</v>
      </c>
      <c r="R159" s="16"/>
      <c r="S159" s="17">
        <f t="shared" si="23"/>
        <v>0.38837127328525128</v>
      </c>
      <c r="T159" s="17">
        <f t="shared" si="16"/>
        <v>0.61162872671474866</v>
      </c>
    </row>
    <row r="160" spans="1:20" ht="15.75" x14ac:dyDescent="0.25">
      <c r="A160" s="13">
        <v>45352</v>
      </c>
      <c r="B160" s="14">
        <f>'Feedstock Use'!$O$6</f>
        <v>547.69156099999998</v>
      </c>
      <c r="C160" s="14">
        <f>'Feedstock Use'!$O$22</f>
        <v>144.564888</v>
      </c>
      <c r="D160" s="14">
        <f>'Feedstock Use'!$O$38</f>
        <v>83.418310000000005</v>
      </c>
      <c r="E160" s="14">
        <f>'Feedstock Use'!$O$54</f>
        <v>82.974981291108975</v>
      </c>
      <c r="F160" s="14">
        <f>'Feedstock Use'!$O$70</f>
        <v>750.30971602176635</v>
      </c>
      <c r="G160" s="14">
        <f>'Feedstock Use'!$O$86</f>
        <v>9.335565909043515</v>
      </c>
      <c r="H160" s="14">
        <f>'Feedstock Use'!$O$102</f>
        <v>17.858638578776393</v>
      </c>
      <c r="I160" s="14">
        <f t="shared" si="19"/>
        <v>1636.1536608006952</v>
      </c>
      <c r="J160" s="15">
        <f t="shared" si="21"/>
        <v>-0.17701588409002356</v>
      </c>
      <c r="K160" s="15">
        <f t="shared" si="22"/>
        <v>0.33474335212010137</v>
      </c>
      <c r="L160" s="15">
        <f t="shared" si="22"/>
        <v>8.8356547104049707E-2</v>
      </c>
      <c r="M160" s="15">
        <f t="shared" si="22"/>
        <v>5.0984398347510368E-2</v>
      </c>
      <c r="N160" s="15">
        <f t="shared" si="20"/>
        <v>5.0713440478752446E-2</v>
      </c>
      <c r="O160" s="15">
        <f t="shared" si="20"/>
        <v>0.45858144867309247</v>
      </c>
      <c r="P160" s="15">
        <f t="shared" si="20"/>
        <v>5.7058002146784352E-3</v>
      </c>
      <c r="Q160" s="15">
        <f t="shared" si="20"/>
        <v>1.0915013061815229E-2</v>
      </c>
      <c r="R160" s="16"/>
      <c r="S160" s="17">
        <f t="shared" si="23"/>
        <v>0.42309989922415103</v>
      </c>
      <c r="T160" s="17">
        <f t="shared" si="16"/>
        <v>0.57690010077584897</v>
      </c>
    </row>
    <row r="161" spans="1:20" ht="15.75" x14ac:dyDescent="0.25">
      <c r="A161" s="13">
        <v>45383</v>
      </c>
      <c r="B161" s="14">
        <f>'Feedstock Use'!$O$7</f>
        <v>504.93900000000002</v>
      </c>
      <c r="C161" s="14">
        <f>'Feedstock Use'!$O$23</f>
        <v>175.02799999999999</v>
      </c>
      <c r="D161" s="14">
        <f>'Feedstock Use'!$O$39</f>
        <v>96.388298992940378</v>
      </c>
      <c r="E161" s="14">
        <f>'Feedstock Use'!$O$55</f>
        <v>66.115810659397127</v>
      </c>
      <c r="F161" s="14">
        <f>'Feedstock Use'!$O$71</f>
        <v>1306.9110898520216</v>
      </c>
      <c r="G161" s="14">
        <f>'Feedstock Use'!$O$87</f>
        <v>9.5585545551382758</v>
      </c>
      <c r="H161" s="14">
        <f>'Feedstock Use'!$O$103</f>
        <v>24.533619768693136</v>
      </c>
      <c r="I161" s="14">
        <f t="shared" si="19"/>
        <v>2183.4743738281904</v>
      </c>
      <c r="J161" s="15">
        <f t="shared" si="21"/>
        <v>-8.7447216467829825E-2</v>
      </c>
      <c r="K161" s="15">
        <f t="shared" si="22"/>
        <v>0.23125483223085072</v>
      </c>
      <c r="L161" s="15">
        <f t="shared" si="22"/>
        <v>8.0160317930881422E-2</v>
      </c>
      <c r="M161" s="15">
        <f t="shared" si="22"/>
        <v>4.4144460841070911E-2</v>
      </c>
      <c r="N161" s="15">
        <f t="shared" si="20"/>
        <v>3.0280094628946416E-2</v>
      </c>
      <c r="O161" s="15">
        <f t="shared" si="20"/>
        <v>0.59854656666323558</v>
      </c>
      <c r="P161" s="15">
        <f t="shared" si="20"/>
        <v>4.3776811258744832E-3</v>
      </c>
      <c r="Q161" s="15">
        <f t="shared" si="20"/>
        <v>1.1236046579140478E-2</v>
      </c>
      <c r="R161" s="16"/>
      <c r="S161" s="17">
        <f t="shared" si="23"/>
        <v>0.31141515016173216</v>
      </c>
      <c r="T161" s="17">
        <f t="shared" si="16"/>
        <v>0.68858484983826784</v>
      </c>
    </row>
    <row r="162" spans="1:20" ht="15.75" x14ac:dyDescent="0.25">
      <c r="A162" s="13">
        <v>45413</v>
      </c>
      <c r="B162" s="18">
        <f>'Feedstock Use'!$O$8</f>
        <v>596.85599999999999</v>
      </c>
      <c r="C162" s="18">
        <f>'Feedstock Use'!$O$24</f>
        <v>157.65700000000001</v>
      </c>
      <c r="D162" s="18">
        <f>'Feedstock Use'!$O$40</f>
        <v>81.438000000000002</v>
      </c>
      <c r="E162" s="18">
        <f>'Feedstock Use'!$O$56</f>
        <v>67.180565093294831</v>
      </c>
      <c r="F162" s="18">
        <f>'Feedstock Use'!$O$72</f>
        <v>896.81106876712249</v>
      </c>
      <c r="G162" s="18">
        <f>'Feedstock Use'!$O$88</f>
        <v>21.709939631642687</v>
      </c>
      <c r="H162" s="18">
        <f>'Feedstock Use'!$O$104</f>
        <v>18.369841190357018</v>
      </c>
      <c r="I162" s="18">
        <f t="shared" si="19"/>
        <v>1840.0224146824171</v>
      </c>
      <c r="J162" s="17">
        <f t="shared" si="21"/>
        <v>-0.12401009367472382</v>
      </c>
      <c r="K162" s="17">
        <f t="shared" si="22"/>
        <v>0.32437430937656037</v>
      </c>
      <c r="L162" s="17">
        <f t="shared" si="22"/>
        <v>8.5682108403669188E-2</v>
      </c>
      <c r="M162" s="17">
        <f t="shared" si="22"/>
        <v>4.4259243447344623E-2</v>
      </c>
      <c r="N162" s="17">
        <f t="shared" si="20"/>
        <v>3.6510731911322945E-2</v>
      </c>
      <c r="O162" s="17">
        <f t="shared" si="20"/>
        <v>0.48739138263264564</v>
      </c>
      <c r="P162" s="17">
        <f t="shared" si="20"/>
        <v>1.1798736503647302E-2</v>
      </c>
      <c r="Q162" s="17">
        <f t="shared" si="20"/>
        <v>9.9834877248099196E-3</v>
      </c>
      <c r="R162" s="16"/>
      <c r="S162" s="17">
        <f t="shared" si="23"/>
        <v>0.41005641778022955</v>
      </c>
      <c r="T162" s="17">
        <f t="shared" si="16"/>
        <v>0.5899435822197705</v>
      </c>
    </row>
    <row r="163" spans="1:20" ht="15.75" x14ac:dyDescent="0.25">
      <c r="A163" s="13">
        <v>45444</v>
      </c>
      <c r="B163" s="18">
        <f>'Feedstock Use'!$O$9</f>
        <v>577.89058302499996</v>
      </c>
      <c r="C163" s="18">
        <f>'Feedstock Use'!$O$25</f>
        <v>162.12700000000001</v>
      </c>
      <c r="D163" s="18">
        <f>'Feedstock Use'!$O$41</f>
        <v>79.507999999999996</v>
      </c>
      <c r="E163" s="18">
        <f>'Feedstock Use'!$O$57</f>
        <v>68.630729380506381</v>
      </c>
      <c r="F163" s="18">
        <f>'Feedstock Use'!$O$73</f>
        <v>1126.0796371185875</v>
      </c>
      <c r="G163" s="18">
        <f>'Feedstock Use'!$O$89</f>
        <v>3.2582435156062619</v>
      </c>
      <c r="H163" s="18">
        <f>'Feedstock Use'!$O$105</f>
        <v>18.674778867115887</v>
      </c>
      <c r="I163" s="18">
        <f t="shared" si="19"/>
        <v>2036.1689719068161</v>
      </c>
      <c r="J163" s="17">
        <f t="shared" si="21"/>
        <v>3.464129175844799E-2</v>
      </c>
      <c r="K163" s="17">
        <f t="shared" si="22"/>
        <v>0.28381268499726786</v>
      </c>
      <c r="L163" s="17">
        <f t="shared" si="22"/>
        <v>7.962354904572215E-2</v>
      </c>
      <c r="M163" s="17">
        <f t="shared" si="22"/>
        <v>3.9047839888033925E-2</v>
      </c>
      <c r="N163" s="17">
        <f t="shared" si="20"/>
        <v>3.3705812399368602E-2</v>
      </c>
      <c r="O163" s="17">
        <f t="shared" si="20"/>
        <v>0.55303840332270904</v>
      </c>
      <c r="P163" s="17">
        <f t="shared" si="20"/>
        <v>1.600183266006164E-3</v>
      </c>
      <c r="Q163" s="17">
        <f t="shared" si="20"/>
        <v>9.1715270808922465E-3</v>
      </c>
      <c r="R163" s="16"/>
      <c r="S163" s="17">
        <f t="shared" si="23"/>
        <v>0.36343623404299003</v>
      </c>
      <c r="T163" s="17">
        <f t="shared" si="16"/>
        <v>0.63656376595701003</v>
      </c>
    </row>
    <row r="164" spans="1:20" ht="15.75" x14ac:dyDescent="0.25">
      <c r="A164" s="13">
        <v>45474</v>
      </c>
      <c r="B164" s="18">
        <f>'Feedstock Use'!$O$10</f>
        <v>641.88599999999997</v>
      </c>
      <c r="C164" s="18">
        <f>'Feedstock Use'!$O$26</f>
        <v>139.11799999999999</v>
      </c>
      <c r="D164" s="18">
        <f>'Feedstock Use'!$O$42</f>
        <v>84.588999999999999</v>
      </c>
      <c r="E164" s="18">
        <f>'Feedstock Use'!$O$58</f>
        <v>60.615335366791165</v>
      </c>
      <c r="F164" s="18">
        <f>'Feedstock Use'!$O$74</f>
        <v>1091.9598411871709</v>
      </c>
      <c r="G164" s="18">
        <f>'Feedstock Use'!$O$90</f>
        <v>13.168262905898681</v>
      </c>
      <c r="H164" s="18">
        <f>'Feedstock Use'!$O$106</f>
        <v>20.385783219984223</v>
      </c>
      <c r="I164" s="18">
        <f t="shared" si="19"/>
        <v>2051.7222226798449</v>
      </c>
      <c r="J164" s="17">
        <f t="shared" si="21"/>
        <v>-6.0221403414896124E-2</v>
      </c>
      <c r="K164" s="17">
        <f t="shared" si="22"/>
        <v>0.31285229204253795</v>
      </c>
      <c r="L164" s="17">
        <f t="shared" si="22"/>
        <v>6.7805475060016579E-2</v>
      </c>
      <c r="M164" s="17">
        <f t="shared" si="22"/>
        <v>4.122829058678059E-2</v>
      </c>
      <c r="N164" s="17">
        <f t="shared" si="20"/>
        <v>2.9543636412739539E-2</v>
      </c>
      <c r="O164" s="17">
        <f t="shared" si="20"/>
        <v>0.53221621772995864</v>
      </c>
      <c r="P164" s="17">
        <f t="shared" si="20"/>
        <v>6.418150936971883E-3</v>
      </c>
      <c r="Q164" s="17">
        <f t="shared" si="20"/>
        <v>9.9359372309948731E-3</v>
      </c>
      <c r="R164" s="16"/>
      <c r="S164" s="17">
        <f t="shared" si="23"/>
        <v>0.3806577671025545</v>
      </c>
      <c r="T164" s="17">
        <f t="shared" si="16"/>
        <v>0.6193422328974455</v>
      </c>
    </row>
    <row r="165" spans="1:20" ht="15.75" x14ac:dyDescent="0.25">
      <c r="A165" s="13">
        <v>45505</v>
      </c>
      <c r="B165" s="18">
        <f>'Feedstock Use'!$O$11</f>
        <v>636.02</v>
      </c>
      <c r="C165" s="18">
        <f>'Feedstock Use'!$O$27</f>
        <v>168.06899999999999</v>
      </c>
      <c r="D165" s="18">
        <f>'Feedstock Use'!$O$43</f>
        <v>90.349000000000004</v>
      </c>
      <c r="E165" s="18">
        <f>'Feedstock Use'!$O$59</f>
        <v>67.478324706507806</v>
      </c>
      <c r="F165" s="18">
        <f>'Feedstock Use'!$O$75</f>
        <v>980.44806086608298</v>
      </c>
      <c r="G165" s="18">
        <f>'Feedstock Use'!$O$91</f>
        <v>9.0076143998447691</v>
      </c>
      <c r="H165" s="18">
        <f>'Feedstock Use'!$O$107</f>
        <v>22.050831728015009</v>
      </c>
      <c r="I165" s="18">
        <f t="shared" si="19"/>
        <v>1973.4228317004506</v>
      </c>
      <c r="J165" s="17">
        <f t="shared" si="21"/>
        <v>-4.4377930105195529E-2</v>
      </c>
      <c r="K165" s="17">
        <f t="shared" si="22"/>
        <v>0.32229281519559444</v>
      </c>
      <c r="L165" s="17">
        <f t="shared" si="22"/>
        <v>8.5166238730084526E-2</v>
      </c>
      <c r="M165" s="17">
        <f t="shared" si="22"/>
        <v>4.5782889783508009E-2</v>
      </c>
      <c r="N165" s="17">
        <f t="shared" si="20"/>
        <v>3.4193546168898518E-2</v>
      </c>
      <c r="O165" s="17">
        <f t="shared" si="20"/>
        <v>0.49682614648846168</v>
      </c>
      <c r="P165" s="17">
        <f t="shared" si="20"/>
        <v>4.5644624431972983E-3</v>
      </c>
      <c r="Q165" s="17">
        <f t="shared" si="20"/>
        <v>1.1173901190255481E-2</v>
      </c>
      <c r="R165" s="16"/>
      <c r="S165" s="17">
        <f t="shared" si="23"/>
        <v>0.40745905392567894</v>
      </c>
      <c r="T165" s="17">
        <f t="shared" si="16"/>
        <v>0.59254094607432106</v>
      </c>
    </row>
    <row r="166" spans="1:20" ht="15.75" x14ac:dyDescent="0.25">
      <c r="A166" s="13">
        <v>45536</v>
      </c>
      <c r="B166" s="18">
        <f>'Feedstock Use'!$O$12</f>
        <v>673.00900000000001</v>
      </c>
      <c r="C166" s="18">
        <f>'Feedstock Use'!$O$28</f>
        <v>127.221</v>
      </c>
      <c r="D166" s="18">
        <f>'Feedstock Use'!$O$44</f>
        <v>69.864999999999995</v>
      </c>
      <c r="E166" s="18">
        <f>'Feedstock Use'!$O$60</f>
        <v>49.541812152161917</v>
      </c>
      <c r="F166" s="18">
        <f>'Feedstock Use'!$O$76</f>
        <v>1272.120005979845</v>
      </c>
      <c r="G166" s="18">
        <f>'Feedstock Use'!$O$92</f>
        <v>-1.0099043615745145</v>
      </c>
      <c r="H166" s="18">
        <f>'Feedstock Use'!$O$108</f>
        <v>23.073462483975153</v>
      </c>
      <c r="I166" s="18">
        <f t="shared" si="19"/>
        <v>2213.8203762544076</v>
      </c>
      <c r="J166" s="17">
        <f t="shared" si="21"/>
        <v>0.23459964924248533</v>
      </c>
      <c r="K166" s="17">
        <f t="shared" si="22"/>
        <v>0.30400343551750708</v>
      </c>
      <c r="L166" s="17">
        <f t="shared" si="22"/>
        <v>5.7466721945728459E-2</v>
      </c>
      <c r="M166" s="17">
        <f t="shared" si="22"/>
        <v>3.1558567600775959E-2</v>
      </c>
      <c r="N166" s="17">
        <f t="shared" si="20"/>
        <v>2.2378424502525526E-2</v>
      </c>
      <c r="O166" s="17">
        <f t="shared" si="20"/>
        <v>0.5746265684536529</v>
      </c>
      <c r="P166" s="17">
        <f t="shared" si="20"/>
        <v>-4.5618170851023838E-4</v>
      </c>
      <c r="Q166" s="17">
        <f t="shared" si="20"/>
        <v>1.0422463688320302E-2</v>
      </c>
      <c r="R166" s="16"/>
      <c r="S166" s="17">
        <f t="shared" si="23"/>
        <v>0.36147015746323552</v>
      </c>
      <c r="T166" s="17">
        <f t="shared" si="16"/>
        <v>0.63852984253676448</v>
      </c>
    </row>
    <row r="167" spans="1:20" ht="15.75" x14ac:dyDescent="0.25">
      <c r="A167" s="13">
        <v>45566</v>
      </c>
      <c r="B167" s="18">
        <f>'Feedstock Use'!$O$13</f>
        <v>518.05399999999997</v>
      </c>
      <c r="C167" s="18">
        <f>'Feedstock Use'!$O$29</f>
        <v>138.16900000000001</v>
      </c>
      <c r="D167" s="18">
        <f>'Feedstock Use'!$O$45</f>
        <v>65.177999999999997</v>
      </c>
      <c r="E167" s="18">
        <f>'Feedstock Use'!$O$61</f>
        <v>68.829830185646358</v>
      </c>
      <c r="F167" s="18">
        <f>'Feedstock Use'!$O$77</f>
        <v>1257.4594475317954</v>
      </c>
      <c r="G167" s="18">
        <f>'Feedstock Use'!$O$93</f>
        <v>3.5428347112779726</v>
      </c>
      <c r="H167" s="18">
        <f>'Feedstock Use'!$O$109</f>
        <v>21.908444806482599</v>
      </c>
      <c r="I167" s="18">
        <f t="shared" si="19"/>
        <v>2073.1415572352025</v>
      </c>
      <c r="J167" s="17">
        <f t="shared" si="21"/>
        <v>0.19664764514269795</v>
      </c>
      <c r="K167" s="17">
        <f t="shared" si="22"/>
        <v>0.2498883871156829</v>
      </c>
      <c r="L167" s="17">
        <f t="shared" si="22"/>
        <v>6.664716141442166E-2</v>
      </c>
      <c r="M167" s="17">
        <f t="shared" si="22"/>
        <v>3.1439242425357165E-2</v>
      </c>
      <c r="N167" s="17">
        <f t="shared" si="20"/>
        <v>3.3200738244541138E-2</v>
      </c>
      <c r="O167" s="17">
        <f t="shared" si="20"/>
        <v>0.60654779850575047</v>
      </c>
      <c r="P167" s="17">
        <f t="shared" si="20"/>
        <v>1.7089207916910374E-3</v>
      </c>
      <c r="Q167" s="17">
        <f t="shared" si="20"/>
        <v>1.0567751502555518E-2</v>
      </c>
      <c r="R167" s="16"/>
      <c r="S167" s="17">
        <f t="shared" si="23"/>
        <v>0.31653554853010457</v>
      </c>
      <c r="T167" s="17">
        <f t="shared" si="16"/>
        <v>0.68346445146989543</v>
      </c>
    </row>
    <row r="168" spans="1:20" ht="15.75" x14ac:dyDescent="0.25">
      <c r="A168" s="13">
        <v>45597</v>
      </c>
      <c r="B168" s="18">
        <f>'Feedstock Use'!$O$14</f>
        <v>467.47699999999998</v>
      </c>
      <c r="C168" s="18">
        <f>'Feedstock Use'!$O$30</f>
        <v>120.133</v>
      </c>
      <c r="D168" s="18">
        <f>'Feedstock Use'!$O$46</f>
        <v>62.813000000000002</v>
      </c>
      <c r="E168" s="18">
        <f>'Feedstock Use'!$O$62</f>
        <v>77.655615187255918</v>
      </c>
      <c r="F168" s="18">
        <f>'Feedstock Use'!$O$78</f>
        <v>894.57345259842054</v>
      </c>
      <c r="G168" s="18">
        <f>'Feedstock Use'!$O$94</f>
        <v>43.216498237065878</v>
      </c>
      <c r="H168" s="18">
        <f>'Feedstock Use'!$O$110</f>
        <v>19.237162671071015</v>
      </c>
      <c r="I168" s="18">
        <f t="shared" si="19"/>
        <v>1685.1057286938135</v>
      </c>
      <c r="J168" s="17">
        <f t="shared" si="21"/>
        <v>-7.418420970550399E-2</v>
      </c>
      <c r="K168" s="17">
        <f t="shared" si="22"/>
        <v>0.27741701427978549</v>
      </c>
      <c r="L168" s="17">
        <f t="shared" si="22"/>
        <v>7.1291075660350076E-2</v>
      </c>
      <c r="M168" s="17">
        <f t="shared" si="22"/>
        <v>3.7275405887254705E-2</v>
      </c>
      <c r="N168" s="17">
        <f t="shared" si="20"/>
        <v>4.6083526905726917E-2</v>
      </c>
      <c r="O168" s="17">
        <f t="shared" si="20"/>
        <v>0.53087081562047556</v>
      </c>
      <c r="P168" s="17">
        <f t="shared" si="20"/>
        <v>2.5646164214612546E-2</v>
      </c>
      <c r="Q168" s="17">
        <f t="shared" si="20"/>
        <v>1.1415997431794642E-2</v>
      </c>
      <c r="R168" s="16"/>
      <c r="S168" s="17">
        <f t="shared" si="23"/>
        <v>0.34870808994013558</v>
      </c>
      <c r="T168" s="17">
        <f t="shared" si="16"/>
        <v>0.65129191005986442</v>
      </c>
    </row>
    <row r="169" spans="1:20" ht="15.75" x14ac:dyDescent="0.25">
      <c r="A169" s="13">
        <v>45627</v>
      </c>
      <c r="B169" s="18">
        <f>'Feedstock Use'!$O$15</f>
        <v>399.74799999999999</v>
      </c>
      <c r="C169" s="18">
        <f>'Feedstock Use'!$O$31</f>
        <v>132.01599999999999</v>
      </c>
      <c r="D169" s="18">
        <f>'Feedstock Use'!$O$47</f>
        <v>66.537000000000006</v>
      </c>
      <c r="E169" s="18">
        <f>'Feedstock Use'!$O$63</f>
        <v>87.464534815173636</v>
      </c>
      <c r="F169" s="18">
        <f>'Feedstock Use'!$O$79</f>
        <v>1276.4008288691691</v>
      </c>
      <c r="G169" s="18">
        <f>'Feedstock Use'!$O$95</f>
        <v>37.751700312783285</v>
      </c>
      <c r="H169" s="18">
        <f>'Feedstock Use'!$O$111</f>
        <v>13.64741544633336</v>
      </c>
      <c r="I169" s="18">
        <f t="shared" si="19"/>
        <v>2013.5654794434593</v>
      </c>
      <c r="J169" s="17">
        <f t="shared" si="21"/>
        <v>0.21921939758161102</v>
      </c>
      <c r="K169" s="17">
        <f t="shared" si="22"/>
        <v>0.19852744004654302</v>
      </c>
      <c r="L169" s="17">
        <f t="shared" si="22"/>
        <v>6.5563301192712461E-2</v>
      </c>
      <c r="M169" s="17">
        <f t="shared" si="22"/>
        <v>3.3044368648190443E-2</v>
      </c>
      <c r="N169" s="17">
        <f t="shared" si="20"/>
        <v>4.343764119324714E-2</v>
      </c>
      <c r="O169" s="17">
        <f t="shared" si="20"/>
        <v>0.63390083009466414</v>
      </c>
      <c r="P169" s="17">
        <f t="shared" si="20"/>
        <v>1.8748682721367319E-2</v>
      </c>
      <c r="Q169" s="17">
        <f t="shared" si="20"/>
        <v>6.7777361032755916E-3</v>
      </c>
      <c r="R169" s="16"/>
      <c r="S169" s="17">
        <f t="shared" si="23"/>
        <v>0.26409074123925547</v>
      </c>
      <c r="T169" s="17">
        <f t="shared" si="16"/>
        <v>0.73590925876074453</v>
      </c>
    </row>
    <row r="170" spans="1:20" ht="15.75" x14ac:dyDescent="0.25">
      <c r="A170" s="13">
        <v>45658</v>
      </c>
      <c r="B170" s="18">
        <f>'Feedstock Use'!$P$4</f>
        <v>384.27600000000001</v>
      </c>
      <c r="C170" s="18">
        <f>'Feedstock Use'!$P$20</f>
        <v>48.89</v>
      </c>
      <c r="D170" s="18">
        <f>'Feedstock Use'!$P$36</f>
        <v>58.406999999999996</v>
      </c>
      <c r="E170" s="18">
        <f>'Feedstock Use'!$P$52</f>
        <v>52.538280832739439</v>
      </c>
      <c r="F170" s="18">
        <f>'Feedstock Use'!$P$68</f>
        <v>755.2342361579083</v>
      </c>
      <c r="G170" s="18">
        <f>'Feedstock Use'!$P$84</f>
        <v>4.9599164132293243</v>
      </c>
      <c r="H170" s="18">
        <f>'Feedstock Use'!$P$100</f>
        <v>16.180423627331475</v>
      </c>
      <c r="I170" s="18">
        <f t="shared" ref="I170:I233" si="24">SUM(B170:H170)</f>
        <v>1320.4858570312088</v>
      </c>
      <c r="K170" s="17">
        <f t="shared" si="22"/>
        <v>0.2910110683532432</v>
      </c>
      <c r="L170" s="17">
        <f t="shared" si="22"/>
        <v>3.7024251141861732E-2</v>
      </c>
      <c r="M170" s="17">
        <f t="shared" si="22"/>
        <v>4.4231446848899944E-2</v>
      </c>
      <c r="N170" s="17">
        <f t="shared" si="22"/>
        <v>3.9787083332235747E-2</v>
      </c>
      <c r="O170" s="17">
        <f t="shared" si="22"/>
        <v>0.57193663388100857</v>
      </c>
      <c r="P170" s="17">
        <f t="shared" si="22"/>
        <v>3.7561299023531306E-3</v>
      </c>
      <c r="Q170" s="17">
        <f t="shared" si="22"/>
        <v>1.2253386540397503E-2</v>
      </c>
      <c r="S170" s="17">
        <f t="shared" ref="S170:S199" si="25">SUM(B170:C170)/$I170</f>
        <v>0.32803531949510489</v>
      </c>
      <c r="T170" s="17">
        <f t="shared" si="16"/>
        <v>0.67196468050489511</v>
      </c>
    </row>
    <row r="171" spans="1:20" ht="15.75" x14ac:dyDescent="0.25">
      <c r="A171" s="13">
        <v>45689</v>
      </c>
      <c r="B171" s="18">
        <f>'Feedstock Use'!$P$5</f>
        <v>425.12799999999999</v>
      </c>
      <c r="C171" s="18">
        <f>'Feedstock Use'!$P$21</f>
        <v>50</v>
      </c>
      <c r="D171" s="18">
        <f>'Feedstock Use'!$P$37</f>
        <v>58.213158564022265</v>
      </c>
      <c r="E171" s="18">
        <f>'Feedstock Use'!$P$53</f>
        <v>31.220722896054166</v>
      </c>
      <c r="F171" s="18">
        <f>'Feedstock Use'!$P$69</f>
        <v>805.38808073978885</v>
      </c>
      <c r="G171" s="18">
        <f>'Feedstock Use'!$P$85</f>
        <v>15.030759101716283</v>
      </c>
      <c r="H171" s="18">
        <f>'Feedstock Use'!$P$101</f>
        <v>10.221550460502892</v>
      </c>
      <c r="I171" s="18">
        <f t="shared" si="24"/>
        <v>1395.2022717620844</v>
      </c>
      <c r="S171" s="17">
        <f t="shared" si="25"/>
        <v>0.34054417027283967</v>
      </c>
      <c r="T171" s="17">
        <f t="shared" si="16"/>
        <v>0.65945582972716033</v>
      </c>
    </row>
    <row r="172" spans="1:20" ht="15.75" x14ac:dyDescent="0.25">
      <c r="A172" s="13">
        <v>45717</v>
      </c>
      <c r="B172" s="18">
        <f>'Feedstock Use'!$P$6</f>
        <v>501.69099999999997</v>
      </c>
      <c r="C172" s="18">
        <f>'Feedstock Use'!$P$22</f>
        <v>150</v>
      </c>
      <c r="D172" s="18">
        <f>'Feedstock Use'!$P$38</f>
        <v>69.99980952137814</v>
      </c>
      <c r="E172" s="18">
        <f>'Feedstock Use'!$P$54</f>
        <v>40.077029250027053</v>
      </c>
      <c r="F172" s="18">
        <f>'Feedstock Use'!$P$70</f>
        <v>939.95680704812958</v>
      </c>
      <c r="G172" s="18">
        <f>'Feedstock Use'!$P$86</f>
        <v>17.442874118250892</v>
      </c>
      <c r="H172" s="18">
        <f>'Feedstock Use'!$P$102</f>
        <v>14.394613433946333</v>
      </c>
      <c r="I172" s="18">
        <f t="shared" si="24"/>
        <v>1733.562133371732</v>
      </c>
      <c r="K172">
        <v>32.049999999999997</v>
      </c>
      <c r="S172" s="17">
        <f t="shared" si="25"/>
        <v>0.37592595468873014</v>
      </c>
      <c r="T172" s="17">
        <f t="shared" si="16"/>
        <v>0.62407404531126986</v>
      </c>
    </row>
    <row r="173" spans="1:20" ht="15.75" x14ac:dyDescent="0.25">
      <c r="A173" s="13">
        <v>45748</v>
      </c>
      <c r="B173" s="18">
        <f>'Feedstock Use'!$P$7</f>
        <v>574.79999999999995</v>
      </c>
      <c r="C173" s="18">
        <f>'Feedstock Use'!$P$23</f>
        <v>75</v>
      </c>
      <c r="D173" s="18">
        <f>'Feedstock Use'!$P$39</f>
        <v>93.531399069412231</v>
      </c>
      <c r="E173" s="18">
        <f>'Feedstock Use'!$P$55</f>
        <v>48.122420616202291</v>
      </c>
      <c r="F173" s="18">
        <f>'Feedstock Use'!$P$71</f>
        <v>1107.6142124395428</v>
      </c>
      <c r="G173" s="18">
        <f>'Feedstock Use'!$P$87</f>
        <v>25.309511817903953</v>
      </c>
      <c r="H173" s="18">
        <f>'Feedstock Use'!$P$103</f>
        <v>11.186231930932186</v>
      </c>
      <c r="I173" s="18">
        <f t="shared" si="24"/>
        <v>1935.5637758739933</v>
      </c>
      <c r="K173">
        <v>38.067999999999998</v>
      </c>
      <c r="S173" s="17">
        <f t="shared" si="25"/>
        <v>0.33571614022719881</v>
      </c>
      <c r="T173" s="17">
        <f t="shared" si="16"/>
        <v>0.66428385977280113</v>
      </c>
    </row>
    <row r="174" spans="1:20" ht="15.75" x14ac:dyDescent="0.25">
      <c r="A174" s="13">
        <v>45778</v>
      </c>
      <c r="B174" s="18">
        <f>'Feedstock Use'!$P$8</f>
        <v>581.18600000000004</v>
      </c>
      <c r="C174" s="18">
        <f>'Feedstock Use'!$P$24</f>
        <v>75</v>
      </c>
      <c r="D174" s="18">
        <f>'Feedstock Use'!$P$40</f>
        <v>97.072703853490125</v>
      </c>
      <c r="E174" s="18">
        <f>'Feedstock Use'!$P$56</f>
        <v>45.822234927004025</v>
      </c>
      <c r="F174" s="18">
        <f>'Feedstock Use'!$P$72</f>
        <v>1099.4072515235534</v>
      </c>
      <c r="G174" s="18">
        <f>'Feedstock Use'!$P$88</f>
        <v>29.359548236314293</v>
      </c>
      <c r="H174" s="18">
        <f>'Feedstock Use'!$P$104</f>
        <v>9.2415305284072531</v>
      </c>
      <c r="I174" s="18">
        <f t="shared" si="24"/>
        <v>1937.0892690687695</v>
      </c>
      <c r="K174">
        <f>(K173/K172)-1</f>
        <v>0.18776911076443059</v>
      </c>
      <c r="S174" s="17">
        <f t="shared" si="25"/>
        <v>0.33874845650012453</v>
      </c>
      <c r="T174" s="17">
        <f t="shared" si="16"/>
        <v>0.66125154349987547</v>
      </c>
    </row>
    <row r="175" spans="1:20" ht="15.75" x14ac:dyDescent="0.25">
      <c r="A175" s="13">
        <v>45809</v>
      </c>
      <c r="B175" s="18">
        <f>'Feedstock Use'!$P$9</f>
        <v>577.89058302499996</v>
      </c>
      <c r="C175" s="18">
        <f>'Feedstock Use'!$P$25</f>
        <v>175</v>
      </c>
      <c r="D175" s="18">
        <f>'Feedstock Use'!$P$41</f>
        <v>102.9082594462066</v>
      </c>
      <c r="E175" s="18">
        <f>'Feedstock Use'!$P$57</f>
        <v>53.135320392222347</v>
      </c>
      <c r="F175" s="18">
        <f>'Feedstock Use'!$P$73</f>
        <v>1117.4058837887869</v>
      </c>
      <c r="G175" s="18">
        <f>'Feedstock Use'!$P$89</f>
        <v>26.365907897027085</v>
      </c>
      <c r="H175" s="18">
        <f>'Feedstock Use'!$P$105</f>
        <v>12.184285865948224</v>
      </c>
      <c r="I175" s="18">
        <f t="shared" si="24"/>
        <v>2064.8902404151913</v>
      </c>
      <c r="S175" s="17">
        <f t="shared" si="25"/>
        <v>0.36461530414014398</v>
      </c>
      <c r="T175" s="17">
        <f t="shared" si="16"/>
        <v>0.63538469585985602</v>
      </c>
    </row>
    <row r="176" spans="1:20" ht="15.75" x14ac:dyDescent="0.25">
      <c r="A176" s="13">
        <v>45839</v>
      </c>
      <c r="B176" s="18">
        <f>'Feedstock Use'!$P$10</f>
        <v>560.31575386306213</v>
      </c>
      <c r="C176" s="18">
        <f>'Feedstock Use'!$P$26</f>
        <v>147.43362639613079</v>
      </c>
      <c r="D176" s="18">
        <f>'Feedstock Use'!$P$42</f>
        <v>97.497107016940404</v>
      </c>
      <c r="E176" s="18">
        <f>'Feedstock Use'!$P$58</f>
        <v>57.015160242127585</v>
      </c>
      <c r="F176" s="18">
        <f>'Feedstock Use'!$P$74</f>
        <v>1050.1806204751163</v>
      </c>
      <c r="G176" s="18">
        <f>'Feedstock Use'!$P$90</f>
        <v>25.164594437807782</v>
      </c>
      <c r="H176" s="18">
        <f>'Feedstock Use'!$P$106</f>
        <v>12.40917082096659</v>
      </c>
      <c r="I176" s="18">
        <f t="shared" si="24"/>
        <v>1950.0160332521516</v>
      </c>
      <c r="S176" s="17">
        <f t="shared" si="25"/>
        <v>0.36294541593016516</v>
      </c>
      <c r="T176" s="17">
        <f t="shared" si="16"/>
        <v>0.63705458406983484</v>
      </c>
    </row>
    <row r="177" spans="1:20" ht="15.75" x14ac:dyDescent="0.25">
      <c r="A177" s="13">
        <v>45870</v>
      </c>
      <c r="B177" s="18">
        <f>'Feedstock Use'!$P$11</f>
        <v>555.61878854051258</v>
      </c>
      <c r="C177" s="18">
        <f>'Feedstock Use'!$P$27</f>
        <v>175.54309029429749</v>
      </c>
      <c r="D177" s="18">
        <f>'Feedstock Use'!$P$43</f>
        <v>97.020601038494149</v>
      </c>
      <c r="E177" s="18">
        <f>'Feedstock Use'!$P$59</f>
        <v>58.927436691474448</v>
      </c>
      <c r="F177" s="18">
        <f>'Feedstock Use'!$P$75</f>
        <v>1081.2902812378584</v>
      </c>
      <c r="G177" s="18">
        <f>'Feedstock Use'!$P$91</f>
        <v>27.576938692997565</v>
      </c>
      <c r="H177" s="18">
        <f>'Feedstock Use'!$P$107</f>
        <v>16.969755690647993</v>
      </c>
      <c r="I177" s="18">
        <f t="shared" si="24"/>
        <v>2012.9468921862829</v>
      </c>
      <c r="S177" s="17">
        <f t="shared" si="25"/>
        <v>0.36322959223265322</v>
      </c>
      <c r="T177" s="17">
        <f t="shared" si="16"/>
        <v>0.63677040776734684</v>
      </c>
    </row>
    <row r="178" spans="1:20" ht="15.75" x14ac:dyDescent="0.25">
      <c r="A178" s="13">
        <v>45901</v>
      </c>
      <c r="B178" s="18">
        <f>'Feedstock Use'!$P$12</f>
        <v>561.14771744976179</v>
      </c>
      <c r="C178" s="18">
        <f>'Feedstock Use'!$P$28</f>
        <v>143.51880612057573</v>
      </c>
      <c r="D178" s="18">
        <f>'Feedstock Use'!$P$44</f>
        <v>81.300004787190488</v>
      </c>
      <c r="E178" s="18">
        <f>'Feedstock Use'!$P$60</f>
        <v>55.442528504594407</v>
      </c>
      <c r="F178" s="18">
        <f>'Feedstock Use'!$P$76</f>
        <v>1159.7078831963731</v>
      </c>
      <c r="G178" s="18">
        <f>'Feedstock Use'!$P$92</f>
        <v>25.806522835024026</v>
      </c>
      <c r="H178" s="18">
        <f>'Feedstock Use'!$P$108</f>
        <v>17.203593915142502</v>
      </c>
      <c r="I178" s="18">
        <f t="shared" si="24"/>
        <v>2044.1270568086618</v>
      </c>
      <c r="S178" s="17">
        <f t="shared" si="25"/>
        <v>0.34472735988851844</v>
      </c>
      <c r="T178" s="17">
        <f t="shared" si="16"/>
        <v>0.65527264011148156</v>
      </c>
    </row>
    <row r="179" spans="1:20" ht="15.75" x14ac:dyDescent="0.25">
      <c r="A179" s="13">
        <v>45931</v>
      </c>
      <c r="B179" s="18">
        <f>'Feedstock Use'!$P$13</f>
        <v>533.66914165410537</v>
      </c>
      <c r="C179" s="18">
        <f>'Feedstock Use'!$P$29</f>
        <v>140.84869416942905</v>
      </c>
      <c r="D179" s="18">
        <f>'Feedstock Use'!$P$45</f>
        <v>61.289471702144539</v>
      </c>
      <c r="E179" s="18">
        <f>'Feedstock Use'!$P$61</f>
        <v>47.183938321712631</v>
      </c>
      <c r="F179" s="18">
        <f>'Feedstock Use'!$P$77</f>
        <v>1087.9178174056944</v>
      </c>
      <c r="G179" s="18">
        <f>'Feedstock Use'!$P$93</f>
        <v>23.28281824770534</v>
      </c>
      <c r="H179" s="18">
        <f>'Feedstock Use'!$P$109</f>
        <v>14.900730858933818</v>
      </c>
      <c r="I179" s="18">
        <f t="shared" si="24"/>
        <v>1909.0926123597253</v>
      </c>
      <c r="S179" s="17">
        <f t="shared" si="25"/>
        <v>0.35331855115703353</v>
      </c>
      <c r="T179" s="17">
        <f t="shared" si="16"/>
        <v>0.64668144884296641</v>
      </c>
    </row>
    <row r="180" spans="1:20" ht="15.75" x14ac:dyDescent="0.25">
      <c r="A180" s="13">
        <v>45962</v>
      </c>
      <c r="B180" s="18">
        <f>'Feedstock Use'!$P$14</f>
        <v>510.64365685281876</v>
      </c>
      <c r="C180" s="18">
        <f>'Feedstock Use'!$P$30</f>
        <v>131.68779259178785</v>
      </c>
      <c r="D180" s="18">
        <f>'Feedstock Use'!$P$46</f>
        <v>72.908507830113379</v>
      </c>
      <c r="E180" s="18">
        <f>'Feedstock Use'!$P$62</f>
        <v>48.202406335448018</v>
      </c>
      <c r="F180" s="18">
        <f>'Feedstock Use'!$P$78</f>
        <v>994.98264347527493</v>
      </c>
      <c r="G180" s="18">
        <f>'Feedstock Use'!$P$94</f>
        <v>30.380511927629161</v>
      </c>
      <c r="H180" s="18">
        <f>'Feedstock Use'!$P$110</f>
        <v>15.368052922590573</v>
      </c>
      <c r="I180" s="18">
        <f t="shared" si="24"/>
        <v>1804.1735719356627</v>
      </c>
      <c r="S180" s="17">
        <f t="shared" si="25"/>
        <v>0.35602530678656474</v>
      </c>
      <c r="T180" s="17">
        <f t="shared" si="16"/>
        <v>0.64397469321343526</v>
      </c>
    </row>
    <row r="181" spans="1:20" ht="15.75" x14ac:dyDescent="0.25">
      <c r="A181" s="13">
        <v>45992</v>
      </c>
      <c r="B181" s="18">
        <f>'Feedstock Use'!$P$15</f>
        <v>956.09398905716296</v>
      </c>
      <c r="C181" s="18">
        <f>'Feedstock Use'!$P$31</f>
        <v>251.94125775652333</v>
      </c>
      <c r="D181" s="18">
        <f>'Feedstock Use'!$P$47</f>
        <v>137.33212525216979</v>
      </c>
      <c r="E181" s="18">
        <f>'Feedstock Use'!$P$63</f>
        <v>107.04224059602016</v>
      </c>
      <c r="F181" s="18">
        <f>'Feedstock Use'!$P$79</f>
        <v>1380.3829102140016</v>
      </c>
      <c r="G181" s="18">
        <f>'Feedstock Use'!$P$95</f>
        <v>55.275789712474428</v>
      </c>
      <c r="H181" s="18">
        <f>'Feedstock Use'!$P$111</f>
        <v>23.633255679763931</v>
      </c>
      <c r="I181" s="18">
        <f t="shared" si="24"/>
        <v>2911.7015682681158</v>
      </c>
      <c r="S181" s="17">
        <f t="shared" si="25"/>
        <v>0.41488978814962385</v>
      </c>
      <c r="T181" s="17">
        <f t="shared" si="16"/>
        <v>0.58511021185037615</v>
      </c>
    </row>
    <row r="182" spans="1:20" ht="15.75" x14ac:dyDescent="0.25">
      <c r="A182" s="13">
        <v>46023</v>
      </c>
      <c r="B182" s="18">
        <f>'Feedstock Use'!$Q$4</f>
        <v>478.36360757242039</v>
      </c>
      <c r="C182" s="18">
        <f>'Feedstock Use'!$Q$20</f>
        <v>214.58188351178646</v>
      </c>
      <c r="D182" s="18">
        <f>'Feedstock Use'!$Q$36</f>
        <v>61.022755743238264</v>
      </c>
      <c r="E182" s="18">
        <f>'Feedstock Use'!$Q$52</f>
        <v>51.801992654515743</v>
      </c>
      <c r="F182" s="18">
        <f>'Feedstock Use'!$Q$68</f>
        <v>864.67181431481447</v>
      </c>
      <c r="G182" s="18">
        <f>'Feedstock Use'!$Q$84</f>
        <v>9.1900128100593772</v>
      </c>
      <c r="H182" s="18">
        <f>'Feedstock Use'!$Q$100</f>
        <v>12.914893849591342</v>
      </c>
      <c r="I182" s="18">
        <f t="shared" si="24"/>
        <v>1692.5469604564262</v>
      </c>
      <c r="S182" s="17">
        <f t="shared" si="25"/>
        <v>0.40940990547012146</v>
      </c>
      <c r="T182" s="17">
        <f t="shared" si="16"/>
        <v>0.59059009452987854</v>
      </c>
    </row>
    <row r="183" spans="1:20" ht="15.75" x14ac:dyDescent="0.25">
      <c r="A183" s="13">
        <v>46054</v>
      </c>
      <c r="B183" s="18">
        <f>'Feedstock Use'!$Q$5</f>
        <v>428.78888334872056</v>
      </c>
      <c r="C183" s="18">
        <f>'Feedstock Use'!$Q$21</f>
        <v>138.69069631712028</v>
      </c>
      <c r="D183" s="18">
        <f>'Feedstock Use'!$Q$37</f>
        <v>65.37015220618045</v>
      </c>
      <c r="E183" s="18">
        <f>'Feedstock Use'!$Q$53</f>
        <v>43.331289598786618</v>
      </c>
      <c r="F183" s="18">
        <f>'Feedstock Use'!$Q$69</f>
        <v>1136.8272121881052</v>
      </c>
      <c r="G183" s="18">
        <f>'Feedstock Use'!$Q$85</f>
        <v>17.534608675331008</v>
      </c>
      <c r="H183" s="18">
        <f>'Feedstock Use'!$Q$101</f>
        <v>15.675582619687429</v>
      </c>
      <c r="I183" s="18">
        <f t="shared" si="24"/>
        <v>1846.2184249539316</v>
      </c>
      <c r="S183" s="17">
        <f t="shared" si="25"/>
        <v>0.30737402031940025</v>
      </c>
      <c r="T183" s="17">
        <f t="shared" si="16"/>
        <v>0.6926259796805998</v>
      </c>
    </row>
    <row r="184" spans="1:20" ht="15.75" x14ac:dyDescent="0.25">
      <c r="A184" s="13">
        <v>46082</v>
      </c>
      <c r="B184" s="18">
        <f>'Feedstock Use'!$Q$6</f>
        <v>448.3644334219822</v>
      </c>
      <c r="C184" s="18">
        <f>'Feedstock Use'!$Q$22</f>
        <v>188.18592832449426</v>
      </c>
      <c r="D184" s="18">
        <f>'Feedstock Use'!$Q$38</f>
        <v>66.247664089888303</v>
      </c>
      <c r="E184" s="18">
        <f>'Feedstock Use'!$Q$54</f>
        <v>49.256551640036967</v>
      </c>
      <c r="F184" s="18">
        <f>'Feedstock Use'!$Q$70</f>
        <v>1035.2694950361422</v>
      </c>
      <c r="G184" s="18">
        <f>'Feedstock Use'!$Q$86</f>
        <v>18.653540414655126</v>
      </c>
      <c r="H184" s="18">
        <f>'Feedstock Use'!$Q$102</f>
        <v>17.227451362410932</v>
      </c>
      <c r="I184" s="18">
        <f t="shared" si="24"/>
        <v>1823.2050642896097</v>
      </c>
      <c r="S184" s="17">
        <f t="shared" si="25"/>
        <v>0.34913810531482964</v>
      </c>
      <c r="T184" s="17">
        <f t="shared" si="16"/>
        <v>0.65086189468517031</v>
      </c>
    </row>
    <row r="185" spans="1:20" ht="15.75" x14ac:dyDescent="0.25">
      <c r="A185" s="13">
        <v>46113</v>
      </c>
      <c r="B185" s="18">
        <f>'Feedstock Use'!$Q$7</f>
        <v>493.10688917141965</v>
      </c>
      <c r="C185" s="18">
        <f>'Feedstock Use'!$Q$23</f>
        <v>159.73648914201027</v>
      </c>
      <c r="D185" s="18">
        <f>'Feedstock Use'!$Q$39</f>
        <v>72.631155981595867</v>
      </c>
      <c r="E185" s="18">
        <f>'Feedstock Use'!$Q$55</f>
        <v>43.776228730215763</v>
      </c>
      <c r="F185" s="18">
        <f>'Feedstock Use'!$Q$71</f>
        <v>1240.0963466080395</v>
      </c>
      <c r="G185" s="18">
        <f>'Feedstock Use'!$Q$87</f>
        <v>19.126496618107158</v>
      </c>
      <c r="H185" s="18">
        <f>'Feedstock Use'!$Q$103</f>
        <v>16.18708843135526</v>
      </c>
      <c r="I185" s="18">
        <f t="shared" si="24"/>
        <v>2044.6606946827435</v>
      </c>
      <c r="S185" s="17">
        <f t="shared" si="25"/>
        <v>0.31929179252635226</v>
      </c>
      <c r="T185" s="17">
        <f t="shared" si="16"/>
        <v>0.68070820747364769</v>
      </c>
    </row>
    <row r="186" spans="1:20" ht="15.75" x14ac:dyDescent="0.25">
      <c r="A186" s="13">
        <v>46143</v>
      </c>
      <c r="B186" s="18">
        <f>'Feedstock Use'!$Q$8</f>
        <v>546.25113359902548</v>
      </c>
      <c r="C186" s="18">
        <f>'Feedstock Use'!$Q$24</f>
        <v>146.05446951432239</v>
      </c>
      <c r="D186" s="18">
        <f>'Feedstock Use'!$Q$40</f>
        <v>77.938449469745478</v>
      </c>
      <c r="E186" s="18">
        <f>'Feedstock Use'!$Q$56</f>
        <v>44.613096656455042</v>
      </c>
      <c r="F186" s="18">
        <f>'Feedstock Use'!$Q$72</f>
        <v>1358.2767792463123</v>
      </c>
      <c r="G186" s="18">
        <f>'Feedstock Use'!$Q$88</f>
        <v>24.555210627829283</v>
      </c>
      <c r="H186" s="18">
        <f>'Feedstock Use'!$Q$104</f>
        <v>13.495604731661501</v>
      </c>
      <c r="I186" s="18">
        <f t="shared" si="24"/>
        <v>2211.184743845351</v>
      </c>
      <c r="S186" s="17">
        <f t="shared" si="25"/>
        <v>0.31309261021283857</v>
      </c>
      <c r="T186" s="17">
        <f t="shared" si="16"/>
        <v>0.68690738978716137</v>
      </c>
    </row>
    <row r="187" spans="1:20" ht="15.75" x14ac:dyDescent="0.25">
      <c r="A187" s="13">
        <v>46174</v>
      </c>
      <c r="B187" s="18">
        <f>'Feedstock Use'!$Q$9</f>
        <v>461.83533453162818</v>
      </c>
      <c r="C187" s="18">
        <f>'Feedstock Use'!$Q$25</f>
        <v>201.07254793733713</v>
      </c>
      <c r="D187" s="18">
        <f>'Feedstock Use'!$Q$41</f>
        <v>79.91066150211779</v>
      </c>
      <c r="E187" s="18">
        <f>'Feedstock Use'!$Q$57</f>
        <v>49.855155651675858</v>
      </c>
      <c r="F187" s="18">
        <f>'Feedstock Use'!$Q$73</f>
        <v>1289.4932081229879</v>
      </c>
      <c r="G187" s="18">
        <f>'Feedstock Use'!$Q$89</f>
        <v>18.400779839275149</v>
      </c>
      <c r="H187" s="18">
        <f>'Feedstock Use'!$Q$105</f>
        <v>12.057458411821838</v>
      </c>
      <c r="I187" s="18">
        <f t="shared" si="24"/>
        <v>2112.6251459968435</v>
      </c>
      <c r="S187" s="17">
        <f t="shared" si="25"/>
        <v>0.31378395913022794</v>
      </c>
      <c r="T187" s="17">
        <f t="shared" si="16"/>
        <v>0.68621604086977206</v>
      </c>
    </row>
    <row r="188" spans="1:20" ht="15.75" x14ac:dyDescent="0.25">
      <c r="A188" s="13">
        <v>46204</v>
      </c>
      <c r="B188" s="18">
        <f>'Feedstock Use'!$Q$10</f>
        <v>533.67073822780458</v>
      </c>
      <c r="C188" s="18">
        <f>'Feedstock Use'!$Q$26</f>
        <v>150.41333939581864</v>
      </c>
      <c r="D188" s="18">
        <f>'Feedstock Use'!$Q$42</f>
        <v>74.395547727545164</v>
      </c>
      <c r="E188" s="18">
        <f>'Feedstock Use'!$Q$58</f>
        <v>51.149841134353366</v>
      </c>
      <c r="F188" s="18">
        <f>'Feedstock Use'!$Q$74</f>
        <v>1158.3832539711075</v>
      </c>
      <c r="G188" s="18">
        <f>'Feedstock Use'!$Q$90</f>
        <v>18.412155238779022</v>
      </c>
      <c r="H188" s="18">
        <f>'Feedstock Use'!$Q$106</f>
        <v>12.532552040066204</v>
      </c>
      <c r="I188" s="18">
        <f t="shared" si="24"/>
        <v>1998.9574277354743</v>
      </c>
      <c r="S188" s="17">
        <f t="shared" si="25"/>
        <v>0.34222043357801279</v>
      </c>
      <c r="T188" s="17">
        <f t="shared" si="16"/>
        <v>0.65777956642198721</v>
      </c>
    </row>
    <row r="189" spans="1:20" ht="15.75" x14ac:dyDescent="0.25">
      <c r="A189" s="13">
        <v>46235</v>
      </c>
      <c r="B189" s="18">
        <f>'Feedstock Use'!$Q$11</f>
        <v>501.06467126689108</v>
      </c>
      <c r="C189" s="18">
        <f>'Feedstock Use'!$Q$27</f>
        <v>169.35432999198324</v>
      </c>
      <c r="D189" s="18">
        <f>'Feedstock Use'!$Q$43</f>
        <v>67.740123140061868</v>
      </c>
      <c r="E189" s="18">
        <f>'Feedstock Use'!$Q$59</f>
        <v>51.871547921701215</v>
      </c>
      <c r="F189" s="18">
        <f>'Feedstock Use'!$Q$75</f>
        <v>1242.677023208021</v>
      </c>
      <c r="G189" s="18">
        <f>'Feedstock Use'!$Q$91</f>
        <v>19.771446519579193</v>
      </c>
      <c r="H189" s="18">
        <f>'Feedstock Use'!$Q$107</f>
        <v>14.602564853437045</v>
      </c>
      <c r="I189" s="18">
        <f t="shared" si="24"/>
        <v>2067.0817069016744</v>
      </c>
      <c r="S189" s="17">
        <f t="shared" si="25"/>
        <v>0.32433115682870511</v>
      </c>
      <c r="T189" s="17">
        <f t="shared" si="16"/>
        <v>0.67566884317129494</v>
      </c>
    </row>
    <row r="190" spans="1:20" ht="15.75" x14ac:dyDescent="0.25">
      <c r="A190" s="13">
        <v>46266</v>
      </c>
      <c r="B190" s="18">
        <f>'Feedstock Use'!$Q$12</f>
        <v>510.94886124516131</v>
      </c>
      <c r="C190" s="18">
        <f>'Feedstock Use'!$Q$28</f>
        <v>141.54544747622813</v>
      </c>
      <c r="D190" s="18">
        <f>'Feedstock Use'!$Q$44</f>
        <v>56.075022133037024</v>
      </c>
      <c r="E190" s="18">
        <f>'Feedstock Use'!$Q$60</f>
        <v>51.214857477225358</v>
      </c>
      <c r="F190" s="18">
        <f>'Feedstock Use'!$Q$76</f>
        <v>1366.1500759712126</v>
      </c>
      <c r="G190" s="18">
        <f>'Feedstock Use'!$Q$92</f>
        <v>15.314523771441227</v>
      </c>
      <c r="H190" s="18">
        <f>'Feedstock Use'!$Q$108</f>
        <v>15.030862402204335</v>
      </c>
      <c r="I190" s="18">
        <f t="shared" si="24"/>
        <v>2156.2796504765101</v>
      </c>
      <c r="S190" s="17">
        <f t="shared" si="25"/>
        <v>0.30260189515640817</v>
      </c>
      <c r="T190" s="17">
        <f t="shared" si="16"/>
        <v>0.69739810484359177</v>
      </c>
    </row>
    <row r="191" spans="1:20" ht="15.75" x14ac:dyDescent="0.25">
      <c r="A191" s="13">
        <v>46296</v>
      </c>
      <c r="B191" s="18">
        <f>'Feedstock Use'!$Q$13</f>
        <v>522.3997203788324</v>
      </c>
      <c r="C191" s="18">
        <f>'Feedstock Use'!$Q$29</f>
        <v>141.89192468766237</v>
      </c>
      <c r="D191" s="18">
        <f>'Feedstock Use'!$Q$45</f>
        <v>67.564031806133272</v>
      </c>
      <c r="E191" s="18">
        <f>'Feedstock Use'!$Q$61</f>
        <v>46.711850860616003</v>
      </c>
      <c r="F191" s="18">
        <f>'Feedstock Use'!$Q$77</f>
        <v>1334.8721321628745</v>
      </c>
      <c r="G191" s="18">
        <f>'Feedstock Use'!$Q$93</f>
        <v>17.803092572067779</v>
      </c>
      <c r="H191" s="18">
        <f>'Feedstock Use'!$Q$109</f>
        <v>13.985179204453871</v>
      </c>
      <c r="I191" s="18">
        <f t="shared" si="24"/>
        <v>2145.2279316726399</v>
      </c>
      <c r="S191" s="17">
        <f t="shared" si="25"/>
        <v>0.30966016955995201</v>
      </c>
      <c r="T191" s="17">
        <f t="shared" si="16"/>
        <v>0.69033983044004799</v>
      </c>
    </row>
    <row r="192" spans="1:20" ht="15.75" x14ac:dyDescent="0.25">
      <c r="A192" s="13">
        <v>46327</v>
      </c>
      <c r="B192" s="18">
        <f>'Feedstock Use'!$Q$14</f>
        <v>461.36667774875764</v>
      </c>
      <c r="C192" s="18">
        <f>'Feedstock Use'!$Q$30</f>
        <v>124.52182706718294</v>
      </c>
      <c r="D192" s="18">
        <f>'Feedstock Use'!$Q$46</f>
        <v>74.636362828090029</v>
      </c>
      <c r="E192" s="18">
        <f>'Feedstock Use'!$Q$62</f>
        <v>48.786955769602734</v>
      </c>
      <c r="F192" s="18">
        <f>'Feedstock Use'!$Q$78</f>
        <v>1152.0959721218837</v>
      </c>
      <c r="G192" s="18">
        <f>'Feedstock Use'!$Q$94</f>
        <v>25.463712162145367</v>
      </c>
      <c r="H192" s="18">
        <f>'Feedstock Use'!$Q$110</f>
        <v>14.983434581159676</v>
      </c>
      <c r="I192" s="18">
        <f t="shared" si="24"/>
        <v>1901.8549422788219</v>
      </c>
      <c r="S192" s="17">
        <f t="shared" si="25"/>
        <v>0.30806161489578326</v>
      </c>
      <c r="T192" s="17">
        <f t="shared" si="16"/>
        <v>0.69193838510421668</v>
      </c>
    </row>
    <row r="193" spans="1:20" ht="15.75" x14ac:dyDescent="0.25">
      <c r="A193" s="13">
        <v>46357</v>
      </c>
      <c r="B193" s="18">
        <f>'Feedstock Use'!$Q$15</f>
        <v>492.52296821074714</v>
      </c>
      <c r="C193" s="18">
        <f>'Feedstock Use'!$Q$31</f>
        <v>134.64105587149828</v>
      </c>
      <c r="D193" s="18">
        <f>'Feedstock Use'!$Q$47</f>
        <v>75.985360407138899</v>
      </c>
      <c r="E193" s="18">
        <f>'Feedstock Use'!$Q$63</f>
        <v>60.276460079990009</v>
      </c>
      <c r="F193" s="18">
        <f>'Feedstock Use'!$Q$79</f>
        <v>1301.4874660607254</v>
      </c>
      <c r="G193" s="18">
        <f>'Feedstock Use'!$Q$95</f>
        <v>24.778201302635104</v>
      </c>
      <c r="H193" s="18">
        <f>'Feedstock Use'!$Q$111</f>
        <v>13.544145211299982</v>
      </c>
      <c r="I193" s="18">
        <f t="shared" si="24"/>
        <v>2103.2356571440346</v>
      </c>
      <c r="S193" s="17">
        <f t="shared" si="25"/>
        <v>0.29819008723628526</v>
      </c>
      <c r="T193" s="17">
        <f t="shared" si="16"/>
        <v>0.70180991276371474</v>
      </c>
    </row>
    <row r="194" spans="1:20" ht="15.75" x14ac:dyDescent="0.25">
      <c r="A194" s="13">
        <v>46388</v>
      </c>
      <c r="B194" s="18">
        <f>'Feedstock Use'!$R$4</f>
        <v>464.07479999959344</v>
      </c>
      <c r="C194" s="18">
        <f>'Feedstock Use'!$R$20</f>
        <v>117.07592701287648</v>
      </c>
      <c r="D194" s="18">
        <f>'Feedstock Use'!$R$36</f>
        <v>77.000792116168824</v>
      </c>
      <c r="E194" s="18">
        <f>'Feedstock Use'!$R$52</f>
        <v>56.839729476272588</v>
      </c>
      <c r="F194" s="18">
        <f>'Feedstock Use'!$R$68</f>
        <v>761.1703442765612</v>
      </c>
      <c r="G194" s="18">
        <f>'Feedstock Use'!$R$84</f>
        <v>10.083740320397098</v>
      </c>
      <c r="H194" s="18">
        <f>'Feedstock Use'!$R$100</f>
        <v>14.17086554027679</v>
      </c>
      <c r="I194" s="18">
        <f t="shared" si="24"/>
        <v>1500.4161987421464</v>
      </c>
      <c r="S194" s="17">
        <f t="shared" si="25"/>
        <v>0.38732634818237083</v>
      </c>
      <c r="T194" s="17">
        <f t="shared" si="16"/>
        <v>0.61267365181762923</v>
      </c>
    </row>
    <row r="195" spans="1:20" ht="15.75" x14ac:dyDescent="0.25">
      <c r="A195" s="13">
        <v>46419</v>
      </c>
      <c r="B195" s="18">
        <f>'Feedstock Use'!$R$5</f>
        <v>429.60994569741672</v>
      </c>
      <c r="C195" s="18">
        <f>'Feedstock Use'!$R$21</f>
        <v>97.624179292075709</v>
      </c>
      <c r="D195" s="18">
        <f>'Feedstock Use'!$R$37</f>
        <v>71.528940661509068</v>
      </c>
      <c r="E195" s="18">
        <f>'Feedstock Use'!$R$53</f>
        <v>45.973870145328853</v>
      </c>
      <c r="F195" s="18">
        <f>'Feedstock Use'!$R$69</f>
        <v>1391.3254688979159</v>
      </c>
      <c r="G195" s="18">
        <f>'Feedstock Use'!$R$85</f>
        <v>15.330701192448425</v>
      </c>
      <c r="H195" s="18">
        <f>'Feedstock Use'!$R$101</f>
        <v>11.027516129823772</v>
      </c>
      <c r="I195" s="18">
        <f t="shared" si="24"/>
        <v>2062.4206220165183</v>
      </c>
      <c r="S195" s="17">
        <f t="shared" si="25"/>
        <v>0.25563850524050363</v>
      </c>
      <c r="T195" s="17">
        <f t="shared" ref="T195:T199" si="26">1-S195</f>
        <v>0.74436149475949631</v>
      </c>
    </row>
    <row r="196" spans="1:20" ht="15.75" x14ac:dyDescent="0.25">
      <c r="A196" s="13">
        <v>46447</v>
      </c>
      <c r="B196" s="18">
        <f>'Feedstock Use'!$R$6</f>
        <v>456.48917425084232</v>
      </c>
      <c r="C196" s="18">
        <f>'Feedstock Use'!$R$22</f>
        <v>162.18215579738819</v>
      </c>
      <c r="D196" s="18">
        <f>'Feedstock Use'!$R$38</f>
        <v>76.878598970882052</v>
      </c>
      <c r="E196" s="18">
        <f>'Feedstock Use'!$R$54</f>
        <v>54.484814538788804</v>
      </c>
      <c r="F196" s="18">
        <f>'Feedstock Use'!$R$70</f>
        <v>1199.2478933269426</v>
      </c>
      <c r="G196" s="18">
        <f>'Feedstock Use'!$R$86</f>
        <v>17.047216921582596</v>
      </c>
      <c r="H196" s="18">
        <f>'Feedstock Use'!$R$102</f>
        <v>13.451198073708261</v>
      </c>
      <c r="I196" s="18">
        <f t="shared" si="24"/>
        <v>1979.7810518801348</v>
      </c>
      <c r="S196" s="17">
        <f t="shared" si="25"/>
        <v>0.31249482333447837</v>
      </c>
      <c r="T196" s="17">
        <f t="shared" si="26"/>
        <v>0.68750517666552158</v>
      </c>
    </row>
    <row r="197" spans="1:20" ht="15.75" x14ac:dyDescent="0.25">
      <c r="A197" s="13">
        <v>46478</v>
      </c>
      <c r="B197" s="18">
        <f>'Feedstock Use'!$R$7</f>
        <v>503.31678359692626</v>
      </c>
      <c r="C197" s="18">
        <f>'Feedstock Use'!$R$23</f>
        <v>137.02308144595852</v>
      </c>
      <c r="D197" s="18">
        <f>'Feedstock Use'!$R$39</f>
        <v>83.721955484699578</v>
      </c>
      <c r="E197" s="18">
        <f>'Feedstock Use'!$R$55</f>
        <v>49.189222342990007</v>
      </c>
      <c r="F197" s="18">
        <f>'Feedstock Use'!$R$71</f>
        <v>1556.542585741314</v>
      </c>
      <c r="G197" s="18">
        <f>'Feedstock Use'!$R$87</f>
        <v>19.433028768835392</v>
      </c>
      <c r="H197" s="18">
        <f>'Feedstock Use'!$R$103</f>
        <v>13.215581390226042</v>
      </c>
      <c r="I197" s="18">
        <f t="shared" si="24"/>
        <v>2362.4422387709496</v>
      </c>
      <c r="S197" s="17">
        <f t="shared" si="25"/>
        <v>0.27104995607258481</v>
      </c>
      <c r="T197" s="17">
        <f t="shared" si="26"/>
        <v>0.72895004392741525</v>
      </c>
    </row>
    <row r="198" spans="1:20" ht="15.75" x14ac:dyDescent="0.25">
      <c r="A198" s="13">
        <v>46508</v>
      </c>
      <c r="B198" s="18">
        <f>'Feedstock Use'!$R$8</f>
        <v>560.43133289904654</v>
      </c>
      <c r="C198" s="18">
        <f>'Feedstock Use'!$R$24</f>
        <v>136.99508084045408</v>
      </c>
      <c r="D198" s="18">
        <f>'Feedstock Use'!$R$40</f>
        <v>83.711945136975643</v>
      </c>
      <c r="E198" s="18">
        <f>'Feedstock Use'!$R$56</f>
        <v>49.670373118173956</v>
      </c>
      <c r="F198" s="18">
        <f>'Feedstock Use'!$R$72</f>
        <v>1715.9655280024272</v>
      </c>
      <c r="G198" s="18">
        <f>'Feedstock Use'!$R$88</f>
        <v>26.492000304095757</v>
      </c>
      <c r="H198" s="18">
        <f>'Feedstock Use'!$R$104</f>
        <v>10.695639497318554</v>
      </c>
      <c r="I198" s="18">
        <f t="shared" si="24"/>
        <v>2583.9618997984917</v>
      </c>
      <c r="S198" s="17">
        <f t="shared" si="25"/>
        <v>0.26990584257217137</v>
      </c>
      <c r="T198" s="17">
        <f t="shared" si="26"/>
        <v>0.73009415742782857</v>
      </c>
    </row>
    <row r="199" spans="1:20" ht="15.75" x14ac:dyDescent="0.25">
      <c r="A199" s="13">
        <v>46539</v>
      </c>
      <c r="B199" s="18">
        <f>'Feedstock Use'!$R$9</f>
        <v>505.41650033070573</v>
      </c>
      <c r="C199" s="18">
        <f>'Feedstock Use'!$R$25</f>
        <v>175.60230365656534</v>
      </c>
      <c r="D199" s="18">
        <f>'Feedstock Use'!$R$41</f>
        <v>89.018734659233402</v>
      </c>
      <c r="E199" s="18">
        <f>'Feedstock Use'!$R$57</f>
        <v>54.860928220760833</v>
      </c>
      <c r="F199" s="18">
        <f>'Feedstock Use'!$R$73</f>
        <v>1610.5829267750792</v>
      </c>
      <c r="G199" s="18">
        <f>'Feedstock Use'!$R$89</f>
        <v>17.38529877670484</v>
      </c>
      <c r="H199" s="18">
        <f>'Feedstock Use'!$R$105</f>
        <v>11.137932044701694</v>
      </c>
      <c r="I199" s="18">
        <f t="shared" si="24"/>
        <v>2464.004624463751</v>
      </c>
      <c r="S199" s="17">
        <f t="shared" si="25"/>
        <v>0.2763869828919186</v>
      </c>
      <c r="T199" s="17">
        <f t="shared" si="26"/>
        <v>0.72361301710808146</v>
      </c>
    </row>
    <row r="200" spans="1:20" ht="15.75" x14ac:dyDescent="0.25">
      <c r="A200" s="13">
        <v>46569</v>
      </c>
      <c r="B200" s="18">
        <f>'Feedstock Use'!$R$10</f>
        <v>545.44120680226638</v>
      </c>
      <c r="C200" s="18">
        <f>'Feedstock Use'!$R$26</f>
        <v>148.99210147867629</v>
      </c>
      <c r="D200" s="18">
        <f>'Feedstock Use'!$R$42</f>
        <v>82.022629162026561</v>
      </c>
      <c r="E200" s="18">
        <f>'Feedstock Use'!$R$58</f>
        <v>57.348907581999406</v>
      </c>
      <c r="F200" s="18">
        <f>'Feedstock Use'!$R$74</f>
        <v>1505.1032699976713</v>
      </c>
      <c r="G200" s="18">
        <f>'Feedstock Use'!$R$90</f>
        <v>18.943945606411063</v>
      </c>
      <c r="H200" s="18">
        <f>'Feedstock Use'!$R$106</f>
        <v>11.438495907739108</v>
      </c>
      <c r="I200" s="18">
        <f t="shared" si="24"/>
        <v>2369.2905565367901</v>
      </c>
    </row>
    <row r="201" spans="1:20" ht="15.75" x14ac:dyDescent="0.25">
      <c r="A201" s="13">
        <v>46600</v>
      </c>
      <c r="B201" s="18">
        <f>'Feedstock Use'!$R$11</f>
        <v>525.8255985867072</v>
      </c>
      <c r="C201" s="18">
        <f>'Feedstock Use'!$R$27</f>
        <v>166.9789897350754</v>
      </c>
      <c r="D201" s="18">
        <f>'Feedstock Use'!$R$43</f>
        <v>83.243763355646593</v>
      </c>
      <c r="E201" s="18">
        <f>'Feedstock Use'!$R$59</f>
        <v>59.41074102691671</v>
      </c>
      <c r="F201" s="18">
        <f>'Feedstock Use'!$R$75</f>
        <v>1591.3637025393805</v>
      </c>
      <c r="G201" s="18">
        <f>'Feedstock Use'!$R$91</f>
        <v>21.529220381496604</v>
      </c>
      <c r="H201" s="18">
        <f>'Feedstock Use'!$R$107</f>
        <v>14.369874537528766</v>
      </c>
      <c r="I201" s="18">
        <f t="shared" si="24"/>
        <v>2462.7218901627516</v>
      </c>
    </row>
    <row r="202" spans="1:20" ht="15.75" x14ac:dyDescent="0.25">
      <c r="A202" s="13">
        <v>46631</v>
      </c>
      <c r="B202" s="18">
        <f>'Feedstock Use'!$R$12</f>
        <v>531.79382214527379</v>
      </c>
      <c r="C202" s="18">
        <f>'Feedstock Use'!$R$28</f>
        <v>142.84328640559727</v>
      </c>
      <c r="D202" s="18">
        <f>'Feedstock Use'!$R$44</f>
        <v>67.889469178103028</v>
      </c>
      <c r="E202" s="18">
        <f>'Feedstock Use'!$R$60</f>
        <v>58.593413440781639</v>
      </c>
      <c r="F202" s="18">
        <f>'Feedstock Use'!$R$76</f>
        <v>1811.5961403490662</v>
      </c>
      <c r="G202" s="18">
        <f>'Feedstock Use'!$R$92</f>
        <v>15.835946506545637</v>
      </c>
      <c r="H202" s="18">
        <f>'Feedstock Use'!$R$108</f>
        <v>15.091546648830613</v>
      </c>
      <c r="I202" s="18">
        <f t="shared" si="24"/>
        <v>2643.6436246741978</v>
      </c>
    </row>
    <row r="203" spans="1:20" ht="15.75" x14ac:dyDescent="0.25">
      <c r="A203" s="13">
        <v>46661</v>
      </c>
      <c r="B203" s="18">
        <f>'Feedstock Use'!$R$13</f>
        <v>523.24517740508566</v>
      </c>
      <c r="C203" s="18">
        <f>'Feedstock Use'!$R$29</f>
        <v>145.44919649419751</v>
      </c>
      <c r="D203" s="18">
        <f>'Feedstock Use'!$R$45</f>
        <v>61.972189692827442</v>
      </c>
      <c r="E203" s="18">
        <f>'Feedstock Use'!$R$61</f>
        <v>50.193612250232967</v>
      </c>
      <c r="F203" s="18">
        <f>'Feedstock Use'!$R$77</f>
        <v>1474.9276298019481</v>
      </c>
      <c r="G203" s="18">
        <f>'Feedstock Use'!$R$93</f>
        <v>14.11866200413604</v>
      </c>
      <c r="H203" s="18">
        <f>'Feedstock Use'!$R$109</f>
        <v>14.505011281650251</v>
      </c>
      <c r="I203" s="18">
        <f t="shared" si="24"/>
        <v>2284.4114789300779</v>
      </c>
    </row>
    <row r="204" spans="1:20" ht="15.75" x14ac:dyDescent="0.25">
      <c r="A204" s="13">
        <v>46692</v>
      </c>
      <c r="B204" s="18">
        <f>'Feedstock Use'!$R$14</f>
        <v>476.08905757178326</v>
      </c>
      <c r="C204" s="18">
        <f>'Feedstock Use'!$R$30</f>
        <v>121.77255935364585</v>
      </c>
      <c r="D204" s="18">
        <f>'Feedstock Use'!$R$46</f>
        <v>65.624201978897574</v>
      </c>
      <c r="E204" s="18">
        <f>'Feedstock Use'!$R$62</f>
        <v>53.648417870463511</v>
      </c>
      <c r="F204" s="18">
        <f>'Feedstock Use'!$R$78</f>
        <v>1350.5013227848351</v>
      </c>
      <c r="G204" s="18">
        <f>'Feedstock Use'!$R$94</f>
        <v>24.632635668183621</v>
      </c>
      <c r="H204" s="18">
        <f>'Feedstock Use'!$R$110</f>
        <v>15.436716026886806</v>
      </c>
      <c r="I204" s="18">
        <f t="shared" si="24"/>
        <v>2107.7049112546952</v>
      </c>
    </row>
    <row r="205" spans="1:20" ht="15.75" x14ac:dyDescent="0.25">
      <c r="A205" s="13">
        <v>46722</v>
      </c>
      <c r="B205" s="18">
        <f>'Feedstock Use'!$R$15</f>
        <v>552.64340863047289</v>
      </c>
      <c r="C205" s="18">
        <f>'Feedstock Use'!$R$31</f>
        <v>153.22902122068766</v>
      </c>
      <c r="D205" s="18">
        <f>'Feedstock Use'!$R$47</f>
        <v>76.030236108261434</v>
      </c>
      <c r="E205" s="18">
        <f>'Feedstock Use'!$R$63</f>
        <v>73.452916158559361</v>
      </c>
      <c r="F205" s="18">
        <f>'Feedstock Use'!$R$79</f>
        <v>1613.955557207202</v>
      </c>
      <c r="G205" s="18">
        <f>'Feedstock Use'!$R$95</f>
        <v>26.083315768655186</v>
      </c>
      <c r="H205" s="18">
        <f>'Feedstock Use'!$R$111</f>
        <v>14.924307272079021</v>
      </c>
      <c r="I205" s="18">
        <f t="shared" si="24"/>
        <v>2510.3187623659178</v>
      </c>
    </row>
    <row r="206" spans="1:20" ht="15.75" x14ac:dyDescent="0.25">
      <c r="A206" s="13">
        <v>46753</v>
      </c>
      <c r="B206" s="18">
        <f>'Feedstock Use'!$S$4</f>
        <v>367.73627538584213</v>
      </c>
      <c r="C206" s="18">
        <f>'Feedstock Use'!$S$20</f>
        <v>98.761686863973296</v>
      </c>
      <c r="D206" s="18">
        <f>'Feedstock Use'!$S$36</f>
        <v>52.636792829204801</v>
      </c>
      <c r="E206" s="18">
        <f>'Feedstock Use'!$S$52</f>
        <v>46.774250557138664</v>
      </c>
      <c r="F206" s="18">
        <f>'Feedstock Use'!$S$68</f>
        <v>813.73953532530368</v>
      </c>
      <c r="G206" s="18">
        <f>'Feedstock Use'!$S$84</f>
        <v>7.0442621514895327</v>
      </c>
      <c r="H206" s="18">
        <f>'Feedstock Use'!$S$100</f>
        <v>11.547391336191767</v>
      </c>
      <c r="I206" s="18">
        <f t="shared" si="24"/>
        <v>1398.2401944491437</v>
      </c>
    </row>
    <row r="207" spans="1:20" ht="15.75" x14ac:dyDescent="0.25">
      <c r="A207" s="13">
        <v>46784</v>
      </c>
      <c r="B207" s="18">
        <f>'Feedstock Use'!$S$5</f>
        <v>335.4308877301911</v>
      </c>
      <c r="C207" s="18">
        <f>'Feedstock Use'!$S$21</f>
        <v>76.159249655376513</v>
      </c>
      <c r="D207" s="18">
        <f>'Feedstock Use'!$S$37</f>
        <v>50.276741233390091</v>
      </c>
      <c r="E207" s="18">
        <f>'Feedstock Use'!$S$53</f>
        <v>38.593612535983077</v>
      </c>
      <c r="F207" s="18">
        <f>'Feedstock Use'!$S$69</f>
        <v>1312.6188530855557</v>
      </c>
      <c r="G207" s="18">
        <f>'Feedstock Use'!$S$85</f>
        <v>12.084719837170747</v>
      </c>
      <c r="H207" s="18">
        <f>'Feedstock Use'!$S$101</f>
        <v>8.8376469809423313</v>
      </c>
      <c r="I207" s="18">
        <f t="shared" si="24"/>
        <v>1834.0017110586095</v>
      </c>
    </row>
    <row r="208" spans="1:20" ht="15.75" x14ac:dyDescent="0.25">
      <c r="A208" s="13">
        <v>46813</v>
      </c>
      <c r="B208" s="18">
        <f>'Feedstock Use'!$S$6</f>
        <v>346.94955314309254</v>
      </c>
      <c r="C208" s="18">
        <f>'Feedstock Use'!$S$22</f>
        <v>132.63044739648942</v>
      </c>
      <c r="D208" s="18">
        <f>'Feedstock Use'!$S$38</f>
        <v>52.040055278155592</v>
      </c>
      <c r="E208" s="18">
        <f>'Feedstock Use'!$S$54</f>
        <v>46.552211303046292</v>
      </c>
      <c r="F208" s="18">
        <f>'Feedstock Use'!$S$70</f>
        <v>1002.5344850321878</v>
      </c>
      <c r="G208" s="18">
        <f>'Feedstock Use'!$S$86</f>
        <v>13.434980301303344</v>
      </c>
      <c r="H208" s="18">
        <f>'Feedstock Use'!$S$102</f>
        <v>10.789592136674129</v>
      </c>
      <c r="I208" s="18">
        <f t="shared" si="24"/>
        <v>1604.9313245909491</v>
      </c>
    </row>
    <row r="209" spans="1:9" ht="15.75" x14ac:dyDescent="0.25">
      <c r="A209" s="13">
        <v>46844</v>
      </c>
      <c r="B209" s="18">
        <f>'Feedstock Use'!$S$7</f>
        <v>400.72201682768491</v>
      </c>
      <c r="C209" s="18">
        <f>'Feedstock Use'!$S$23</f>
        <v>111.6891511973929</v>
      </c>
      <c r="D209" s="18">
        <f>'Feedstock Use'!$S$39</f>
        <v>58.276269781499749</v>
      </c>
      <c r="E209" s="18">
        <f>'Feedstock Use'!$S$55</f>
        <v>41.988527937822603</v>
      </c>
      <c r="F209" s="18">
        <f>'Feedstock Use'!$S$71</f>
        <v>1418.1248223892842</v>
      </c>
      <c r="G209" s="18">
        <f>'Feedstock Use'!$S$87</f>
        <v>16.043373273519272</v>
      </c>
      <c r="H209" s="18">
        <f>'Feedstock Use'!$S$103</f>
        <v>10.954398128703961</v>
      </c>
      <c r="I209" s="18">
        <f t="shared" si="24"/>
        <v>2057.7985595359078</v>
      </c>
    </row>
    <row r="210" spans="1:9" ht="15.75" x14ac:dyDescent="0.25">
      <c r="A210" s="13">
        <v>46874</v>
      </c>
      <c r="B210" s="18">
        <f>'Feedstock Use'!$S$8</f>
        <v>453.26474050063194</v>
      </c>
      <c r="C210" s="18">
        <f>'Feedstock Use'!$S$24</f>
        <v>108.74245762421749</v>
      </c>
      <c r="D210" s="18">
        <f>'Feedstock Use'!$S$40</f>
        <v>59.234979961443443</v>
      </c>
      <c r="E210" s="18">
        <f>'Feedstock Use'!$S$56</f>
        <v>43.857242377077441</v>
      </c>
      <c r="F210" s="18">
        <f>'Feedstock Use'!$S$72</f>
        <v>1890.2096962363155</v>
      </c>
      <c r="G210" s="18">
        <f>'Feedstock Use'!$S$88</f>
        <v>22.40589077967228</v>
      </c>
      <c r="H210" s="18">
        <f>'Feedstock Use'!$S$104</f>
        <v>9.1228460089417869</v>
      </c>
      <c r="I210" s="18">
        <f t="shared" si="24"/>
        <v>2586.8378534882995</v>
      </c>
    </row>
    <row r="211" spans="1:9" ht="15.75" x14ac:dyDescent="0.25">
      <c r="A211" s="13">
        <v>46905</v>
      </c>
      <c r="B211" s="18">
        <f>'Feedstock Use'!$S$9</f>
        <v>406.59054451624291</v>
      </c>
      <c r="C211" s="18">
        <f>'Feedstock Use'!$S$25</f>
        <v>144.20356117754702</v>
      </c>
      <c r="D211" s="18">
        <f>'Feedstock Use'!$S$41</f>
        <v>60.838684552596781</v>
      </c>
      <c r="E211" s="18">
        <f>'Feedstock Use'!$S$57</f>
        <v>46.152735252363208</v>
      </c>
      <c r="F211" s="18">
        <f>'Feedstock Use'!$S$73</f>
        <v>1823.540050296926</v>
      </c>
      <c r="G211" s="18">
        <f>'Feedstock Use'!$S$89</f>
        <v>13.51403598236932</v>
      </c>
      <c r="H211" s="18">
        <f>'Feedstock Use'!$S$105</f>
        <v>9.5651082039327378</v>
      </c>
      <c r="I211" s="18">
        <f t="shared" si="24"/>
        <v>2504.4047199819779</v>
      </c>
    </row>
    <row r="212" spans="1:9" ht="15.75" x14ac:dyDescent="0.25">
      <c r="A212" s="13">
        <v>46935</v>
      </c>
      <c r="B212" s="18">
        <f>'Feedstock Use'!$S$10</f>
        <v>434.76397434239664</v>
      </c>
      <c r="C212" s="18">
        <f>'Feedstock Use'!$S$26</f>
        <v>117.83599340617828</v>
      </c>
      <c r="D212" s="18">
        <f>'Feedstock Use'!$S$42</f>
        <v>57.517401669548128</v>
      </c>
      <c r="E212" s="18">
        <f>'Feedstock Use'!$S$58</f>
        <v>46.961994230368667</v>
      </c>
      <c r="F212" s="18">
        <f>'Feedstock Use'!$S$74</f>
        <v>1738.3206303115228</v>
      </c>
      <c r="G212" s="18">
        <f>'Feedstock Use'!$S$90</f>
        <v>15.25423888683215</v>
      </c>
      <c r="H212" s="18">
        <f>'Feedstock Use'!$S$106</f>
        <v>9.5368600344324683</v>
      </c>
      <c r="I212" s="18">
        <f t="shared" si="24"/>
        <v>2420.191092881279</v>
      </c>
    </row>
    <row r="213" spans="1:9" ht="15.75" x14ac:dyDescent="0.25">
      <c r="A213" s="13">
        <v>46966</v>
      </c>
      <c r="B213" s="18">
        <f>'Feedstock Use'!$S$11</f>
        <v>414.19422032035686</v>
      </c>
      <c r="C213" s="18">
        <f>'Feedstock Use'!$S$27</f>
        <v>134.26808827447653</v>
      </c>
      <c r="D213" s="18">
        <f>'Feedstock Use'!$S$43</f>
        <v>57.129305996182474</v>
      </c>
      <c r="E213" s="18">
        <f>'Feedstock Use'!$S$59</f>
        <v>50.581498718687882</v>
      </c>
      <c r="F213" s="18">
        <f>'Feedstock Use'!$S$75</f>
        <v>1849.3036628032198</v>
      </c>
      <c r="G213" s="18">
        <f>'Feedstock Use'!$S$91</f>
        <v>17.687072403163114</v>
      </c>
      <c r="H213" s="18">
        <f>'Feedstock Use'!$S$107</f>
        <v>12.105789612648694</v>
      </c>
      <c r="I213" s="18">
        <f t="shared" si="24"/>
        <v>2535.2696381287351</v>
      </c>
    </row>
    <row r="214" spans="1:9" ht="15.75" x14ac:dyDescent="0.25">
      <c r="A214" s="13">
        <v>46997</v>
      </c>
      <c r="B214" s="18">
        <f>'Feedstock Use'!$S$12</f>
        <v>425.95494998719079</v>
      </c>
      <c r="C214" s="18">
        <f>'Feedstock Use'!$S$28</f>
        <v>112.46616663308494</v>
      </c>
      <c r="D214" s="18">
        <f>'Feedstock Use'!$S$44</f>
        <v>46.751353312055549</v>
      </c>
      <c r="E214" s="18">
        <f>'Feedstock Use'!$S$60</f>
        <v>48.480832555120365</v>
      </c>
      <c r="F214" s="18">
        <f>'Feedstock Use'!$S$76</f>
        <v>2187.2379665191934</v>
      </c>
      <c r="G214" s="18">
        <f>'Feedstock Use'!$S$92</f>
        <v>12.598339524740577</v>
      </c>
      <c r="H214" s="18">
        <f>'Feedstock Use'!$S$108</f>
        <v>12.596513495765413</v>
      </c>
      <c r="I214" s="18">
        <f t="shared" si="24"/>
        <v>2846.0861220271509</v>
      </c>
    </row>
    <row r="215" spans="1:9" ht="15.75" x14ac:dyDescent="0.25">
      <c r="A215" s="13">
        <v>47027</v>
      </c>
      <c r="B215" s="18">
        <f>'Feedstock Use'!$S$13</f>
        <v>406.87240627962495</v>
      </c>
      <c r="C215" s="18">
        <f>'Feedstock Use'!$S$29</f>
        <v>114.89778133963287</v>
      </c>
      <c r="D215" s="18">
        <f>'Feedstock Use'!$S$45</f>
        <v>44.681359025988876</v>
      </c>
      <c r="E215" s="18">
        <f>'Feedstock Use'!$S$61</f>
        <v>40.015396640133311</v>
      </c>
      <c r="F215" s="18">
        <f>'Feedstock Use'!$S$77</f>
        <v>1523.1743211262803</v>
      </c>
      <c r="G215" s="18">
        <f>'Feedstock Use'!$S$93</f>
        <v>10.872624002832461</v>
      </c>
      <c r="H215" s="18">
        <f>'Feedstock Use'!$S$109</f>
        <v>11.801217506738839</v>
      </c>
      <c r="I215" s="18">
        <f t="shared" si="24"/>
        <v>2152.3151059212314</v>
      </c>
    </row>
    <row r="216" spans="1:9" ht="15.75" x14ac:dyDescent="0.25">
      <c r="A216" s="13">
        <v>47058</v>
      </c>
      <c r="B216" s="18">
        <f>'Feedstock Use'!$S$14</f>
        <v>368.62326465643173</v>
      </c>
      <c r="C216" s="18">
        <f>'Feedstock Use'!$S$30</f>
        <v>99.875454880634706</v>
      </c>
      <c r="D216" s="18">
        <f>'Feedstock Use'!$S$46</f>
        <v>48.562467823632204</v>
      </c>
      <c r="E216" s="18">
        <f>'Feedstock Use'!$S$62</f>
        <v>42.689961352696095</v>
      </c>
      <c r="F216" s="18">
        <f>'Feedstock Use'!$S$78</f>
        <v>1303.0205889596377</v>
      </c>
      <c r="G216" s="18">
        <f>'Feedstock Use'!$S$94</f>
        <v>20.680400029549208</v>
      </c>
      <c r="H216" s="18">
        <f>'Feedstock Use'!$S$110</f>
        <v>12.372357066408526</v>
      </c>
      <c r="I216" s="18">
        <f t="shared" si="24"/>
        <v>1895.8244947689902</v>
      </c>
    </row>
    <row r="217" spans="1:9" ht="15.75" x14ac:dyDescent="0.25">
      <c r="A217" s="13">
        <v>47088</v>
      </c>
      <c r="B217" s="18">
        <f>'Feedstock Use'!$S$15</f>
        <v>447.27747483787277</v>
      </c>
      <c r="C217" s="18">
        <f>'Feedstock Use'!$S$31</f>
        <v>129.57536792231122</v>
      </c>
      <c r="D217" s="18">
        <f>'Feedstock Use'!$S$47</f>
        <v>56.187905117108713</v>
      </c>
      <c r="E217" s="18">
        <f>'Feedstock Use'!$S$63</f>
        <v>58.828480586657072</v>
      </c>
      <c r="F217" s="18">
        <f>'Feedstock Use'!$S$79</f>
        <v>1617.7295860680765</v>
      </c>
      <c r="G217" s="18">
        <f>'Feedstock Use'!$S$95</f>
        <v>21.598943675127206</v>
      </c>
      <c r="H217" s="18">
        <f>'Feedstock Use'!$S$111</f>
        <v>11.871234502191745</v>
      </c>
      <c r="I217" s="18">
        <f t="shared" si="24"/>
        <v>2343.0689927093454</v>
      </c>
    </row>
    <row r="218" spans="1:9" ht="15.75" x14ac:dyDescent="0.25">
      <c r="A218" s="13">
        <v>47119</v>
      </c>
      <c r="B218" s="18">
        <f>'Feedstock Use'!$T$4</f>
        <v>403.22638169924284</v>
      </c>
      <c r="C218" s="18">
        <f>'Feedstock Use'!$T$20</f>
        <v>116.85472874670795</v>
      </c>
      <c r="D218" s="18">
        <f>'Feedstock Use'!$T$36</f>
        <v>53.678350038501257</v>
      </c>
      <c r="E218" s="18">
        <f>'Feedstock Use'!$T$52</f>
        <v>52.155943042212328</v>
      </c>
      <c r="F218" s="18">
        <f>'Feedstock Use'!$T$68</f>
        <v>771.29014509775993</v>
      </c>
      <c r="G218" s="18">
        <f>'Feedstock Use'!$T$84</f>
        <v>6.6809856636624003</v>
      </c>
      <c r="H218" s="18">
        <f>'Feedstock Use'!$T$100</f>
        <v>13.405868159591273</v>
      </c>
      <c r="I218" s="18">
        <f t="shared" si="24"/>
        <v>1417.2924024476781</v>
      </c>
    </row>
    <row r="219" spans="1:9" ht="15.75" x14ac:dyDescent="0.25">
      <c r="A219" s="13">
        <v>47150</v>
      </c>
      <c r="B219" s="18">
        <f>'Feedstock Use'!$T$5</f>
        <v>365.86033706819785</v>
      </c>
      <c r="C219" s="18">
        <f>'Feedstock Use'!$T$21</f>
        <v>92.04391393472379</v>
      </c>
      <c r="D219" s="18">
        <f>'Feedstock Use'!$T$37</f>
        <v>53.166208447804827</v>
      </c>
      <c r="E219" s="18">
        <f>'Feedstock Use'!$T$53</f>
        <v>42.530424237420512</v>
      </c>
      <c r="F219" s="18">
        <f>'Feedstock Use'!$T$69</f>
        <v>1750.7863792789283</v>
      </c>
      <c r="G219" s="18">
        <f>'Feedstock Use'!$T$85</f>
        <v>14.073399228051523</v>
      </c>
      <c r="H219" s="18">
        <f>'Feedstock Use'!$T$101</f>
        <v>10.355933461744742</v>
      </c>
      <c r="I219" s="18">
        <f t="shared" si="24"/>
        <v>2328.8165956568714</v>
      </c>
    </row>
    <row r="220" spans="1:9" ht="15.75" x14ac:dyDescent="0.25">
      <c r="A220" s="13">
        <v>47178</v>
      </c>
      <c r="B220" s="18">
        <f>'Feedstock Use'!$T$6</f>
        <v>373.76890540943754</v>
      </c>
      <c r="C220" s="18">
        <f>'Feedstock Use'!$T$22</f>
        <v>148.41067244272656</v>
      </c>
      <c r="D220" s="18">
        <f>'Feedstock Use'!$T$38</f>
        <v>56.485315652344561</v>
      </c>
      <c r="E220" s="18">
        <f>'Feedstock Use'!$T$54</f>
        <v>48.633106997003821</v>
      </c>
      <c r="F220" s="18">
        <f>'Feedstock Use'!$T$70</f>
        <v>1302.2145358592584</v>
      </c>
      <c r="G220" s="18">
        <f>'Feedstock Use'!$T$86</f>
        <v>14.014449533173726</v>
      </c>
      <c r="H220" s="18">
        <f>'Feedstock Use'!$T$102</f>
        <v>13.241598509441532</v>
      </c>
      <c r="I220" s="18">
        <f t="shared" si="24"/>
        <v>1956.7685844033861</v>
      </c>
    </row>
    <row r="221" spans="1:9" ht="15.75" x14ac:dyDescent="0.25">
      <c r="A221" s="13">
        <v>47209</v>
      </c>
      <c r="B221" s="18">
        <f>'Feedstock Use'!$T$7</f>
        <v>459.63595641753903</v>
      </c>
      <c r="C221" s="18">
        <f>'Feedstock Use'!$T$23</f>
        <v>129.4500412671344</v>
      </c>
      <c r="D221" s="18">
        <f>'Feedstock Use'!$T$39</f>
        <v>67.172970369193351</v>
      </c>
      <c r="E221" s="18">
        <f>'Feedstock Use'!$T$55</f>
        <v>46.322875538646137</v>
      </c>
      <c r="F221" s="18">
        <f>'Feedstock Use'!$T$71</f>
        <v>1853.0938483642285</v>
      </c>
      <c r="G221" s="18">
        <f>'Feedstock Use'!$T$87</f>
        <v>16.732302396804982</v>
      </c>
      <c r="H221" s="18">
        <f>'Feedstock Use'!$T$103</f>
        <v>14.058243982460764</v>
      </c>
      <c r="I221" s="18">
        <f t="shared" si="24"/>
        <v>2586.4662383360073</v>
      </c>
    </row>
    <row r="222" spans="1:9" ht="15.75" x14ac:dyDescent="0.25">
      <c r="A222" s="13">
        <v>47239</v>
      </c>
      <c r="B222" s="18">
        <f>'Feedstock Use'!$T$8</f>
        <v>504.39092036411125</v>
      </c>
      <c r="C222" s="18">
        <f>'Feedstock Use'!$T$24</f>
        <v>119.36955011564145</v>
      </c>
      <c r="D222" s="18">
        <f>'Feedstock Use'!$T$40</f>
        <v>64.760521382984322</v>
      </c>
      <c r="E222" s="18">
        <f>'Feedstock Use'!$T$56</f>
        <v>45.506710228147298</v>
      </c>
      <c r="F222" s="18">
        <f>'Feedstock Use'!$T$72</f>
        <v>2197.1083670930329</v>
      </c>
      <c r="G222" s="18">
        <f>'Feedstock Use'!$T$88</f>
        <v>22.655046037308104</v>
      </c>
      <c r="H222" s="18">
        <f>'Feedstock Use'!$T$104</f>
        <v>10.975301481922109</v>
      </c>
      <c r="I222" s="18">
        <f t="shared" si="24"/>
        <v>2964.7664167031476</v>
      </c>
    </row>
    <row r="223" spans="1:9" ht="15.75" x14ac:dyDescent="0.25">
      <c r="A223" s="13">
        <v>47270</v>
      </c>
      <c r="B223" s="18">
        <f>'Feedstock Use'!$T$9</f>
        <v>446.46097525409687</v>
      </c>
      <c r="C223" s="18">
        <f>'Feedstock Use'!$T$25</f>
        <v>163.40605036515257</v>
      </c>
      <c r="D223" s="18">
        <f>'Feedstock Use'!$T$41</f>
        <v>66.659590039817147</v>
      </c>
      <c r="E223" s="18">
        <f>'Feedstock Use'!$T$57</f>
        <v>49.175895102777794</v>
      </c>
      <c r="F223" s="18">
        <f>'Feedstock Use'!$T$73</f>
        <v>2098.5722273447864</v>
      </c>
      <c r="G223" s="18">
        <f>'Feedstock Use'!$T$89</f>
        <v>14.383529003160515</v>
      </c>
      <c r="H223" s="18">
        <f>'Feedstock Use'!$T$105</f>
        <v>11.382475768471249</v>
      </c>
      <c r="I223" s="18">
        <f t="shared" si="24"/>
        <v>2850.0407428782628</v>
      </c>
    </row>
    <row r="224" spans="1:9" ht="15.75" x14ac:dyDescent="0.25">
      <c r="A224" s="13">
        <v>47300</v>
      </c>
      <c r="B224" s="18">
        <f>'Feedstock Use'!$T$10</f>
        <v>476.57111919495611</v>
      </c>
      <c r="C224" s="18">
        <f>'Feedstock Use'!$T$26</f>
        <v>132.75980191166678</v>
      </c>
      <c r="D224" s="18">
        <f>'Feedstock Use'!$T$42</f>
        <v>63.448120927710796</v>
      </c>
      <c r="E224" s="18">
        <f>'Feedstock Use'!$T$58</f>
        <v>48.992863239861627</v>
      </c>
      <c r="F224" s="18">
        <f>'Feedstock Use'!$T$74</f>
        <v>2014.3978144321745</v>
      </c>
      <c r="G224" s="18">
        <f>'Feedstock Use'!$T$90</f>
        <v>16.37337365277379</v>
      </c>
      <c r="H224" s="18">
        <f>'Feedstock Use'!$T$106</f>
        <v>11.723703035896836</v>
      </c>
      <c r="I224" s="18">
        <f t="shared" si="24"/>
        <v>2764.2667963950407</v>
      </c>
    </row>
    <row r="225" spans="1:9" ht="15.75" x14ac:dyDescent="0.25">
      <c r="A225" s="13">
        <v>47331</v>
      </c>
      <c r="B225" s="18">
        <f>'Feedstock Use'!$T$11</f>
        <v>458.36581128206257</v>
      </c>
      <c r="C225" s="18">
        <f>'Feedstock Use'!$T$27</f>
        <v>153.56226299736849</v>
      </c>
      <c r="D225" s="18">
        <f>'Feedstock Use'!$T$43</f>
        <v>63.202879697603876</v>
      </c>
      <c r="E225" s="18">
        <f>'Feedstock Use'!$T$59</f>
        <v>51.740394334064575</v>
      </c>
      <c r="F225" s="18">
        <f>'Feedstock Use'!$T$75</f>
        <v>2181.602947958635</v>
      </c>
      <c r="G225" s="18">
        <f>'Feedstock Use'!$T$91</f>
        <v>17.399096120742957</v>
      </c>
      <c r="H225" s="18">
        <f>'Feedstock Use'!$T$107</f>
        <v>14.208149363127417</v>
      </c>
      <c r="I225" s="18">
        <f t="shared" si="24"/>
        <v>2940.0815417536051</v>
      </c>
    </row>
    <row r="226" spans="1:9" ht="15.75" x14ac:dyDescent="0.25">
      <c r="A226" s="13">
        <v>47362</v>
      </c>
      <c r="B226" s="18">
        <f>'Feedstock Use'!$T$12</f>
        <v>484.17450948437431</v>
      </c>
      <c r="C226" s="18">
        <f>'Feedstock Use'!$T$28</f>
        <v>129.30847038516532</v>
      </c>
      <c r="D226" s="18">
        <f>'Feedstock Use'!$T$44</f>
        <v>52.764129625713139</v>
      </c>
      <c r="E226" s="18">
        <f>'Feedstock Use'!$T$60</f>
        <v>48.754020420974584</v>
      </c>
      <c r="F226" s="18">
        <f>'Feedstock Use'!$T$76</f>
        <v>2529.3529766753063</v>
      </c>
      <c r="G226" s="18">
        <f>'Feedstock Use'!$T$92</f>
        <v>12.861733991943488</v>
      </c>
      <c r="H226" s="18">
        <f>'Feedstock Use'!$T$108</f>
        <v>15.086568601064444</v>
      </c>
      <c r="I226" s="18">
        <f t="shared" si="24"/>
        <v>3272.3024091845414</v>
      </c>
    </row>
    <row r="227" spans="1:9" ht="15.75" x14ac:dyDescent="0.25">
      <c r="A227" s="13">
        <v>47392</v>
      </c>
      <c r="B227" s="18">
        <f>'Feedstock Use'!$T$13</f>
        <v>439.55799003494877</v>
      </c>
      <c r="C227" s="18">
        <f>'Feedstock Use'!$T$29</f>
        <v>128.71906311891317</v>
      </c>
      <c r="D227" s="18">
        <f>'Feedstock Use'!$T$45</f>
        <v>48.404199211522446</v>
      </c>
      <c r="E227" s="18">
        <f>'Feedstock Use'!$T$61</f>
        <v>45.196906406482093</v>
      </c>
      <c r="F227" s="18">
        <f>'Feedstock Use'!$T$77</f>
        <v>2142.6434153057039</v>
      </c>
      <c r="G227" s="18">
        <f>'Feedstock Use'!$T$93</f>
        <v>12.589229622185082</v>
      </c>
      <c r="H227" s="18">
        <f>'Feedstock Use'!$T$109</f>
        <v>13.746525687674024</v>
      </c>
      <c r="I227" s="18">
        <f t="shared" si="24"/>
        <v>2830.8573293874292</v>
      </c>
    </row>
    <row r="228" spans="1:9" ht="15.75" x14ac:dyDescent="0.25">
      <c r="A228" s="13">
        <v>47423</v>
      </c>
      <c r="B228" s="18">
        <f>'Feedstock Use'!$T$14</f>
        <v>393.24500706061974</v>
      </c>
      <c r="C228" s="18">
        <f>'Feedstock Use'!$T$30</f>
        <v>112.89274979972606</v>
      </c>
      <c r="D228" s="18">
        <f>'Feedstock Use'!$T$46</f>
        <v>52.311505453888721</v>
      </c>
      <c r="E228" s="18">
        <f>'Feedstock Use'!$T$62</f>
        <v>48.378956752484818</v>
      </c>
      <c r="F228" s="18">
        <f>'Feedstock Use'!$T$78</f>
        <v>1817.3308905316101</v>
      </c>
      <c r="G228" s="18">
        <f>'Feedstock Use'!$T$94</f>
        <v>25.615744309860581</v>
      </c>
      <c r="H228" s="18">
        <f>'Feedstock Use'!$T$110</f>
        <v>13.853509914956829</v>
      </c>
      <c r="I228" s="18">
        <f t="shared" si="24"/>
        <v>2463.6283638231466</v>
      </c>
    </row>
    <row r="229" spans="1:9" ht="15.75" x14ac:dyDescent="0.25">
      <c r="A229" s="13">
        <v>47453</v>
      </c>
      <c r="B229" s="18">
        <f>'Feedstock Use'!$T$15</f>
        <v>498.41094817462476</v>
      </c>
      <c r="C229" s="18">
        <f>'Feedstock Use'!$T$31</f>
        <v>151.35240198175748</v>
      </c>
      <c r="D229" s="18">
        <f>'Feedstock Use'!$T$47</f>
        <v>65.8938489645696</v>
      </c>
      <c r="E229" s="18">
        <f>'Feedstock Use'!$T$63</f>
        <v>71.087478175157898</v>
      </c>
      <c r="F229" s="18">
        <f>'Feedstock Use'!$T$79</f>
        <v>2105.2040456401924</v>
      </c>
      <c r="G229" s="18">
        <f>'Feedstock Use'!$T$95</f>
        <v>29.495429634563209</v>
      </c>
      <c r="H229" s="18">
        <f>'Feedstock Use'!$T$111</f>
        <v>14.027285127221568</v>
      </c>
      <c r="I229" s="18">
        <f t="shared" si="24"/>
        <v>2935.4714376980869</v>
      </c>
    </row>
    <row r="230" spans="1:9" ht="15.75" x14ac:dyDescent="0.25">
      <c r="A230" s="13">
        <v>47484</v>
      </c>
      <c r="B230" s="18">
        <f>'Feedstock Use'!$U$4</f>
        <v>386.85456256568551</v>
      </c>
      <c r="C230" s="18">
        <f>'Feedstock Use'!$U$20</f>
        <v>114.70989711368125</v>
      </c>
      <c r="D230" s="18">
        <f>'Feedstock Use'!$U$36</f>
        <v>52.535608079115072</v>
      </c>
      <c r="E230" s="18">
        <f>'Feedstock Use'!$U$52</f>
        <v>50.534478597485986</v>
      </c>
      <c r="F230" s="18">
        <f>'Feedstock Use'!$U$68</f>
        <v>1171.15598031948</v>
      </c>
      <c r="G230" s="18">
        <f>'Feedstock Use'!$U$84</f>
        <v>7.1585116888070139</v>
      </c>
      <c r="H230" s="18">
        <f>'Feedstock Use'!$U$100</f>
        <v>13.383821838390492</v>
      </c>
      <c r="I230" s="18">
        <f t="shared" si="24"/>
        <v>1796.3328602026454</v>
      </c>
    </row>
    <row r="231" spans="1:9" ht="15.75" x14ac:dyDescent="0.25">
      <c r="A231" s="13">
        <v>47515</v>
      </c>
      <c r="B231" s="18">
        <f>'Feedstock Use'!$U$5</f>
        <v>342.70842445045912</v>
      </c>
      <c r="C231" s="18">
        <f>'Feedstock Use'!$U$21</f>
        <v>88.16266359047539</v>
      </c>
      <c r="D231" s="18">
        <f>'Feedstock Use'!$U$37</f>
        <v>51.106609426157604</v>
      </c>
      <c r="E231" s="18">
        <f>'Feedstock Use'!$U$53</f>
        <v>38.232703873404972</v>
      </c>
      <c r="F231" s="18">
        <f>'Feedstock Use'!$U$69</f>
        <v>2136.252260490141</v>
      </c>
      <c r="G231" s="18">
        <f>'Feedstock Use'!$U$85</f>
        <v>14.116127460829487</v>
      </c>
      <c r="H231" s="18">
        <f>'Feedstock Use'!$U$101</f>
        <v>10.58181944672919</v>
      </c>
      <c r="I231" s="18">
        <f t="shared" si="24"/>
        <v>2681.160608738197</v>
      </c>
    </row>
    <row r="232" spans="1:9" ht="15.75" x14ac:dyDescent="0.25">
      <c r="A232" s="13">
        <v>47543</v>
      </c>
      <c r="B232" s="18">
        <f>'Feedstock Use'!$U$6</f>
        <v>354.3811001466666</v>
      </c>
      <c r="C232" s="18">
        <f>'Feedstock Use'!$U$22</f>
        <v>155.04959454063342</v>
      </c>
      <c r="D232" s="18">
        <f>'Feedstock Use'!$U$38</f>
        <v>54.743573411810722</v>
      </c>
      <c r="E232" s="18">
        <f>'Feedstock Use'!$U$54</f>
        <v>45.351042275908135</v>
      </c>
      <c r="F232" s="18">
        <f>'Feedstock Use'!$U$70</f>
        <v>1521.5242627658222</v>
      </c>
      <c r="G232" s="18">
        <f>'Feedstock Use'!$U$86</f>
        <v>15.251030523533871</v>
      </c>
      <c r="H232" s="18">
        <f>'Feedstock Use'!$U$102</f>
        <v>13.056718300064835</v>
      </c>
      <c r="I232" s="18">
        <f t="shared" si="24"/>
        <v>2159.3573219644395</v>
      </c>
    </row>
    <row r="233" spans="1:9" ht="15.75" x14ac:dyDescent="0.25">
      <c r="A233" s="13">
        <v>47574</v>
      </c>
      <c r="B233" s="18">
        <f>'Feedstock Use'!$U$7</f>
        <v>452.24324814946152</v>
      </c>
      <c r="C233" s="18">
        <f>'Feedstock Use'!$U$23</f>
        <v>123.67939928297866</v>
      </c>
      <c r="D233" s="18">
        <f>'Feedstock Use'!$U$39</f>
        <v>63.648821055486053</v>
      </c>
      <c r="E233" s="18">
        <f>'Feedstock Use'!$U$55</f>
        <v>43.740137056185468</v>
      </c>
      <c r="F233" s="18">
        <f>'Feedstock Use'!$U$71</f>
        <v>2135.0838922467101</v>
      </c>
      <c r="G233" s="18">
        <f>'Feedstock Use'!$U$87</f>
        <v>18.231589320404805</v>
      </c>
      <c r="H233" s="18">
        <f>'Feedstock Use'!$U$103</f>
        <v>12.51562719117703</v>
      </c>
      <c r="I233" s="18">
        <f t="shared" si="24"/>
        <v>2849.1427143024039</v>
      </c>
    </row>
    <row r="234" spans="1:9" ht="15.75" x14ac:dyDescent="0.25">
      <c r="A234" s="13">
        <v>47604</v>
      </c>
      <c r="B234" s="18">
        <f>'Feedstock Use'!$U$8</f>
        <v>500.83217369572662</v>
      </c>
      <c r="C234" s="18">
        <f>'Feedstock Use'!$U$24</f>
        <v>117.85045525654253</v>
      </c>
      <c r="D234" s="18">
        <f>'Feedstock Use'!$U$40</f>
        <v>64.76309614546355</v>
      </c>
      <c r="E234" s="18">
        <f>'Feedstock Use'!$U$56</f>
        <v>43.780772347238042</v>
      </c>
      <c r="F234" s="18">
        <f>'Feedstock Use'!$U$72</f>
        <v>2580.0768116227164</v>
      </c>
      <c r="G234" s="18">
        <f>'Feedstock Use'!$U$88</f>
        <v>23.776788982384716</v>
      </c>
      <c r="H234" s="18">
        <f>'Feedstock Use'!$U$104</f>
        <v>10.19319477618912</v>
      </c>
      <c r="I234" s="18">
        <f t="shared" ref="I234:I297" si="27">SUM(B234:H234)</f>
        <v>3341.2732928262612</v>
      </c>
    </row>
    <row r="235" spans="1:9" ht="15.75" x14ac:dyDescent="0.25">
      <c r="A235" s="13">
        <v>47635</v>
      </c>
      <c r="B235" s="18">
        <f>'Feedstock Use'!$U$9</f>
        <v>432.19584799962183</v>
      </c>
      <c r="C235" s="18">
        <f>'Feedstock Use'!$U$25</f>
        <v>171.34788695179836</v>
      </c>
      <c r="D235" s="18">
        <f>'Feedstock Use'!$U$41</f>
        <v>67.537982914456819</v>
      </c>
      <c r="E235" s="18">
        <f>'Feedstock Use'!$U$57</f>
        <v>48.218905931270669</v>
      </c>
      <c r="F235" s="18">
        <f>'Feedstock Use'!$U$73</f>
        <v>2459.6089591335635</v>
      </c>
      <c r="G235" s="18">
        <f>'Feedstock Use'!$U$89</f>
        <v>16.859304225482607</v>
      </c>
      <c r="H235" s="18">
        <f>'Feedstock Use'!$U$105</f>
        <v>10.703883362899379</v>
      </c>
      <c r="I235" s="18">
        <f t="shared" si="27"/>
        <v>3206.472770519093</v>
      </c>
    </row>
    <row r="236" spans="1:9" ht="15.75" x14ac:dyDescent="0.25">
      <c r="A236" s="13">
        <v>47665</v>
      </c>
      <c r="B236" s="18">
        <f>'Feedstock Use'!$U$10</f>
        <v>465.30901230736947</v>
      </c>
      <c r="C236" s="18">
        <f>'Feedstock Use'!$U$26</f>
        <v>138.79227152424025</v>
      </c>
      <c r="D236" s="18">
        <f>'Feedstock Use'!$U$42</f>
        <v>63.389797085477994</v>
      </c>
      <c r="E236" s="18">
        <f>'Feedstock Use'!$U$58</f>
        <v>49.643190315182238</v>
      </c>
      <c r="F236" s="18">
        <f>'Feedstock Use'!$U$74</f>
        <v>2369.4714384955323</v>
      </c>
      <c r="G236" s="18">
        <f>'Feedstock Use'!$U$90</f>
        <v>17.732754633751668</v>
      </c>
      <c r="H236" s="18">
        <f>'Feedstock Use'!$U$106</f>
        <v>10.931951566240857</v>
      </c>
      <c r="I236" s="18">
        <f t="shared" si="27"/>
        <v>3115.2704159277946</v>
      </c>
    </row>
    <row r="237" spans="1:9" ht="15.75" x14ac:dyDescent="0.25">
      <c r="A237" s="13">
        <v>47696</v>
      </c>
      <c r="B237" s="18">
        <f>'Feedstock Use'!$U$11</f>
        <v>445.3415257231909</v>
      </c>
      <c r="C237" s="18">
        <f>'Feedstock Use'!$U$27</f>
        <v>159.35931551877292</v>
      </c>
      <c r="D237" s="18">
        <f>'Feedstock Use'!$U$43</f>
        <v>62.313319258707061</v>
      </c>
      <c r="E237" s="18">
        <f>'Feedstock Use'!$U$59</f>
        <v>51.910902784301562</v>
      </c>
      <c r="F237" s="18">
        <f>'Feedstock Use'!$U$75</f>
        <v>2580.6667967853741</v>
      </c>
      <c r="G237" s="18">
        <f>'Feedstock Use'!$U$91</f>
        <v>19.609422398210967</v>
      </c>
      <c r="H237" s="18">
        <f>'Feedstock Use'!$U$107</f>
        <v>13.700986310483849</v>
      </c>
      <c r="I237" s="18">
        <f t="shared" si="27"/>
        <v>3332.9022687790416</v>
      </c>
    </row>
    <row r="238" spans="1:9" ht="15.75" x14ac:dyDescent="0.25">
      <c r="A238" s="13">
        <v>47727</v>
      </c>
      <c r="B238" s="18">
        <f>'Feedstock Use'!$U$12</f>
        <v>458.96784165779047</v>
      </c>
      <c r="C238" s="18">
        <f>'Feedstock Use'!$U$28</f>
        <v>133.41309224148949</v>
      </c>
      <c r="D238" s="18">
        <f>'Feedstock Use'!$U$44</f>
        <v>51.542221156563443</v>
      </c>
      <c r="E238" s="18">
        <f>'Feedstock Use'!$U$60</f>
        <v>49.950704959279882</v>
      </c>
      <c r="F238" s="18">
        <f>'Feedstock Use'!$U$76</f>
        <v>3022.0414345931613</v>
      </c>
      <c r="G238" s="18">
        <f>'Feedstock Use'!$U$92</f>
        <v>15.417905259346703</v>
      </c>
      <c r="H238" s="18">
        <f>'Feedstock Use'!$U$108</f>
        <v>14.224705762398962</v>
      </c>
      <c r="I238" s="18">
        <f t="shared" si="27"/>
        <v>3745.5579056300303</v>
      </c>
    </row>
    <row r="239" spans="1:9" ht="15.75" x14ac:dyDescent="0.25">
      <c r="A239" s="13">
        <v>47757</v>
      </c>
      <c r="B239" s="18">
        <f>'Feedstock Use'!$U$13</f>
        <v>443.05703757056096</v>
      </c>
      <c r="C239" s="18">
        <f>'Feedstock Use'!$U$29</f>
        <v>127.39198603260033</v>
      </c>
      <c r="D239" s="18">
        <f>'Feedstock Use'!$U$45</f>
        <v>48.151104162615049</v>
      </c>
      <c r="E239" s="18">
        <f>'Feedstock Use'!$U$61</f>
        <v>43.552230134793255</v>
      </c>
      <c r="F239" s="18">
        <f>'Feedstock Use'!$U$77</f>
        <v>2465.6397512781446</v>
      </c>
      <c r="G239" s="18">
        <f>'Feedstock Use'!$U$93</f>
        <v>14.714992781212784</v>
      </c>
      <c r="H239" s="18">
        <f>'Feedstock Use'!$U$109</f>
        <v>13.08527186204333</v>
      </c>
      <c r="I239" s="18">
        <f t="shared" si="27"/>
        <v>3155.5923738219708</v>
      </c>
    </row>
    <row r="240" spans="1:9" ht="15.75" x14ac:dyDescent="0.25">
      <c r="A240" s="13">
        <v>47788</v>
      </c>
      <c r="B240" s="18">
        <f>'Feedstock Use'!$U$14</f>
        <v>399.72958303528918</v>
      </c>
      <c r="C240" s="18">
        <f>'Feedstock Use'!$U$30</f>
        <v>112.01721723313827</v>
      </c>
      <c r="D240" s="18">
        <f>'Feedstock Use'!$U$46</f>
        <v>53.22733755399662</v>
      </c>
      <c r="E240" s="18">
        <f>'Feedstock Use'!$U$62</f>
        <v>46.012582149563386</v>
      </c>
      <c r="F240" s="18">
        <f>'Feedstock Use'!$U$78</f>
        <v>2048.9055830844786</v>
      </c>
      <c r="G240" s="18">
        <f>'Feedstock Use'!$U$94</f>
        <v>24.015785398955337</v>
      </c>
      <c r="H240" s="18">
        <f>'Feedstock Use'!$U$110</f>
        <v>13.671749568179004</v>
      </c>
      <c r="I240" s="18">
        <f t="shared" si="27"/>
        <v>2697.5798380236006</v>
      </c>
    </row>
    <row r="241" spans="1:9" ht="15.75" x14ac:dyDescent="0.25">
      <c r="A241" s="13">
        <v>47818</v>
      </c>
      <c r="B241" s="18">
        <f>'Feedstock Use'!$U$15</f>
        <v>536.21871720282263</v>
      </c>
      <c r="C241" s="18">
        <f>'Feedstock Use'!$U$31</f>
        <v>155.95910223661107</v>
      </c>
      <c r="D241" s="18">
        <f>'Feedstock Use'!$U$47</f>
        <v>69.290354845512539</v>
      </c>
      <c r="E241" s="18">
        <f>'Feedstock Use'!$U$63</f>
        <v>71.023892303045088</v>
      </c>
      <c r="F241" s="18">
        <f>'Feedstock Use'!$U$79</f>
        <v>2343.7150428818372</v>
      </c>
      <c r="G241" s="18">
        <f>'Feedstock Use'!$U$95</f>
        <v>29.133754678208732</v>
      </c>
      <c r="H241" s="18">
        <f>'Feedstock Use'!$U$111</f>
        <v>14.843467460589045</v>
      </c>
      <c r="I241" s="18">
        <f t="shared" si="27"/>
        <v>3220.1843316086265</v>
      </c>
    </row>
    <row r="242" spans="1:9" ht="15.75" x14ac:dyDescent="0.25">
      <c r="A242" s="13">
        <v>47849</v>
      </c>
      <c r="B242" s="18">
        <f>'Feedstock Use'!$V$4</f>
        <v>391.09951312598355</v>
      </c>
      <c r="C242" s="18">
        <f>'Feedstock Use'!$V$20</f>
        <v>126.48828925065811</v>
      </c>
      <c r="D242" s="18">
        <f>'Feedstock Use'!$V$36</f>
        <v>51.947704707163147</v>
      </c>
      <c r="E242" s="18">
        <f>'Feedstock Use'!$V$52</f>
        <v>50.538055879563807</v>
      </c>
      <c r="F242" s="18">
        <f>'Feedstock Use'!$V$68</f>
        <v>1205.9999749912865</v>
      </c>
      <c r="G242" s="18">
        <f>'Feedstock Use'!$V$84</f>
        <v>7.7763619202954652</v>
      </c>
      <c r="H242" s="18">
        <f>'Feedstock Use'!$V$100</f>
        <v>12.821276161321808</v>
      </c>
      <c r="I242" s="18">
        <f t="shared" si="27"/>
        <v>1846.6711760362721</v>
      </c>
    </row>
    <row r="243" spans="1:9" ht="15.75" x14ac:dyDescent="0.25">
      <c r="A243" s="13">
        <v>47880</v>
      </c>
      <c r="B243" s="18">
        <f>'Feedstock Use'!$V$5</f>
        <v>350.18716419575912</v>
      </c>
      <c r="C243" s="18">
        <f>'Feedstock Use'!$V$21</f>
        <v>94.769691995741312</v>
      </c>
      <c r="D243" s="18">
        <f>'Feedstock Use'!$V$37</f>
        <v>50.749014503596726</v>
      </c>
      <c r="E243" s="18">
        <f>'Feedstock Use'!$V$53</f>
        <v>40.701946227103107</v>
      </c>
      <c r="F243" s="18">
        <f>'Feedstock Use'!$V$69</f>
        <v>2364.9810287465752</v>
      </c>
      <c r="G243" s="18">
        <f>'Feedstock Use'!$V$85</f>
        <v>14.178755376925887</v>
      </c>
      <c r="H243" s="18">
        <f>'Feedstock Use'!$V$101</f>
        <v>10.882231013438432</v>
      </c>
      <c r="I243" s="18">
        <f t="shared" si="27"/>
        <v>2926.4498320591397</v>
      </c>
    </row>
    <row r="244" spans="1:9" ht="15.75" x14ac:dyDescent="0.25">
      <c r="A244" s="13">
        <v>47908</v>
      </c>
      <c r="B244" s="18">
        <f>'Feedstock Use'!$V$6</f>
        <v>364.02125326086008</v>
      </c>
      <c r="C244" s="18">
        <f>'Feedstock Use'!$V$22</f>
        <v>152.50329918688766</v>
      </c>
      <c r="D244" s="18">
        <f>'Feedstock Use'!$V$38</f>
        <v>53.290160791479799</v>
      </c>
      <c r="E244" s="18">
        <f>'Feedstock Use'!$V$54</f>
        <v>47.629661764314243</v>
      </c>
      <c r="F244" s="18">
        <f>'Feedstock Use'!$V$70</f>
        <v>1642.7691432558854</v>
      </c>
      <c r="G244" s="18">
        <f>'Feedstock Use'!$V$86</f>
        <v>15.183108566809969</v>
      </c>
      <c r="H244" s="18">
        <f>'Feedstock Use'!$V$102</f>
        <v>13.111869702445436</v>
      </c>
      <c r="I244" s="18">
        <f t="shared" si="27"/>
        <v>2288.5084965286828</v>
      </c>
    </row>
    <row r="245" spans="1:9" ht="15.75" x14ac:dyDescent="0.25">
      <c r="A245" s="13">
        <v>47939</v>
      </c>
      <c r="B245" s="18">
        <f>'Feedstock Use'!$V$7</f>
        <v>428.81945392794688</v>
      </c>
      <c r="C245" s="18">
        <f>'Feedstock Use'!$V$23</f>
        <v>128.23784126933725</v>
      </c>
      <c r="D245" s="18">
        <f>'Feedstock Use'!$V$39</f>
        <v>60.229338633817918</v>
      </c>
      <c r="E245" s="18">
        <f>'Feedstock Use'!$V$55</f>
        <v>43.853211506001088</v>
      </c>
      <c r="F245" s="18">
        <f>'Feedstock Use'!$V$71</f>
        <v>2341.5538309313492</v>
      </c>
      <c r="G245" s="18">
        <f>'Feedstock Use'!$V$87</f>
        <v>17.414745132273168</v>
      </c>
      <c r="H245" s="18">
        <f>'Feedstock Use'!$V$103</f>
        <v>12.973004553163767</v>
      </c>
      <c r="I245" s="18">
        <f t="shared" si="27"/>
        <v>3033.0814259538897</v>
      </c>
    </row>
    <row r="246" spans="1:9" ht="15.75" x14ac:dyDescent="0.25">
      <c r="A246" s="13">
        <v>47969</v>
      </c>
      <c r="B246" s="18">
        <f>'Feedstock Use'!$V$8</f>
        <v>479.44861536924287</v>
      </c>
      <c r="C246" s="18">
        <f>'Feedstock Use'!$V$24</f>
        <v>121.93854061822356</v>
      </c>
      <c r="D246" s="18">
        <f>'Feedstock Use'!$V$40</f>
        <v>61.024824232611543</v>
      </c>
      <c r="E246" s="18">
        <f>'Feedstock Use'!$V$56</f>
        <v>44.346144411539207</v>
      </c>
      <c r="F246" s="18">
        <f>'Feedstock Use'!$V$72</f>
        <v>2874.3093976088526</v>
      </c>
      <c r="G246" s="18">
        <f>'Feedstock Use'!$V$88</f>
        <v>23.331840215775166</v>
      </c>
      <c r="H246" s="18">
        <f>'Feedstock Use'!$V$104</f>
        <v>10.56466908721195</v>
      </c>
      <c r="I246" s="18">
        <f t="shared" si="27"/>
        <v>3614.9640315434567</v>
      </c>
    </row>
    <row r="247" spans="1:9" ht="15.75" x14ac:dyDescent="0.25">
      <c r="A247" s="13">
        <v>48000</v>
      </c>
      <c r="B247" s="18">
        <f>'Feedstock Use'!$V$9</f>
        <v>420.3874965282883</v>
      </c>
      <c r="C247" s="18">
        <f>'Feedstock Use'!$V$25</f>
        <v>166.00692265644787</v>
      </c>
      <c r="D247" s="18">
        <f>'Feedstock Use'!$V$41</f>
        <v>63.369961939255724</v>
      </c>
      <c r="E247" s="18">
        <f>'Feedstock Use'!$V$57</f>
        <v>48.340184917873152</v>
      </c>
      <c r="F247" s="18">
        <f>'Feedstock Use'!$V$73</f>
        <v>2737.3535616948434</v>
      </c>
      <c r="G247" s="18">
        <f>'Feedstock Use'!$V$89</f>
        <v>15.61559921964264</v>
      </c>
      <c r="H247" s="18">
        <f>'Feedstock Use'!$V$105</f>
        <v>10.666557836647916</v>
      </c>
      <c r="I247" s="18">
        <f t="shared" si="27"/>
        <v>3461.7402847929989</v>
      </c>
    </row>
    <row r="248" spans="1:9" ht="15.75" x14ac:dyDescent="0.25">
      <c r="A248" s="13">
        <v>48030</v>
      </c>
      <c r="B248" s="18">
        <f>'Feedstock Use'!$V$10</f>
        <v>458.4039351066138</v>
      </c>
      <c r="C248" s="18">
        <f>'Feedstock Use'!$V$26</f>
        <v>133.76885698530899</v>
      </c>
      <c r="D248" s="18">
        <f>'Feedstock Use'!$V$42</f>
        <v>59.375010700993506</v>
      </c>
      <c r="E248" s="18">
        <f>'Feedstock Use'!$V$58</f>
        <v>49.467396773760861</v>
      </c>
      <c r="F248" s="18">
        <f>'Feedstock Use'!$V$74</f>
        <v>2659.3230837194114</v>
      </c>
      <c r="G248" s="18">
        <f>'Feedstock Use'!$V$90</f>
        <v>16.85695333791757</v>
      </c>
      <c r="H248" s="18">
        <f>'Feedstock Use'!$V$106</f>
        <v>10.91800457442627</v>
      </c>
      <c r="I248" s="18">
        <f t="shared" si="27"/>
        <v>3388.1132411984322</v>
      </c>
    </row>
    <row r="249" spans="1:9" ht="15.75" x14ac:dyDescent="0.25">
      <c r="A249" s="13">
        <v>48061</v>
      </c>
      <c r="B249" s="18">
        <f>'Feedstock Use'!$V$11</f>
        <v>436.17132480053908</v>
      </c>
      <c r="C249" s="18">
        <f>'Feedstock Use'!$V$27</f>
        <v>152.29753193873839</v>
      </c>
      <c r="D249" s="18">
        <f>'Feedstock Use'!$V$43</f>
        <v>58.186023100927173</v>
      </c>
      <c r="E249" s="18">
        <f>'Feedstock Use'!$V$59</f>
        <v>51.761954639028069</v>
      </c>
      <c r="F249" s="18">
        <f>'Feedstock Use'!$V$75</f>
        <v>2886.3412947189918</v>
      </c>
      <c r="G249" s="18">
        <f>'Feedstock Use'!$V$91</f>
        <v>18.68115952342648</v>
      </c>
      <c r="H249" s="18">
        <f>'Feedstock Use'!$V$107</f>
        <v>13.429304192510191</v>
      </c>
      <c r="I249" s="18">
        <f t="shared" si="27"/>
        <v>3616.8685929141616</v>
      </c>
    </row>
    <row r="250" spans="1:9" ht="15.75" x14ac:dyDescent="0.25">
      <c r="A250" s="13">
        <v>48092</v>
      </c>
      <c r="B250" s="18">
        <f>'Feedstock Use'!$V$12</f>
        <v>449.92809064909454</v>
      </c>
      <c r="C250" s="18">
        <f>'Feedstock Use'!$V$28</f>
        <v>128.12923835313705</v>
      </c>
      <c r="D250" s="18">
        <f>'Feedstock Use'!$V$44</f>
        <v>47.961904276859968</v>
      </c>
      <c r="E250" s="18">
        <f>'Feedstock Use'!$V$60</f>
        <v>50.039880121062922</v>
      </c>
      <c r="F250" s="18">
        <f>'Feedstock Use'!$V$76</f>
        <v>3345.8879177335393</v>
      </c>
      <c r="G250" s="18">
        <f>'Feedstock Use'!$V$92</f>
        <v>14.000273458146243</v>
      </c>
      <c r="H250" s="18">
        <f>'Feedstock Use'!$V$108</f>
        <v>14.014886709752894</v>
      </c>
      <c r="I250" s="18">
        <f t="shared" si="27"/>
        <v>4049.9621913015926</v>
      </c>
    </row>
    <row r="251" spans="1:9" ht="15.75" x14ac:dyDescent="0.25">
      <c r="A251" s="13">
        <v>48122</v>
      </c>
      <c r="B251" s="18">
        <f>'Feedstock Use'!$V$13</f>
        <v>429.53492525955409</v>
      </c>
      <c r="C251" s="18">
        <f>'Feedstock Use'!$V$29</f>
        <v>127.91175744588119</v>
      </c>
      <c r="D251" s="18">
        <f>'Feedstock Use'!$V$45</f>
        <v>47.053412404453937</v>
      </c>
      <c r="E251" s="18">
        <f>'Feedstock Use'!$V$61</f>
        <v>43.898277161709963</v>
      </c>
      <c r="F251" s="18">
        <f>'Feedstock Use'!$V$77</f>
        <v>3110.918513208589</v>
      </c>
      <c r="G251" s="18">
        <f>'Feedstock Use'!$V$93</f>
        <v>13.556311976767615</v>
      </c>
      <c r="H251" s="18">
        <f>'Feedstock Use'!$V$109</f>
        <v>13.063378799257698</v>
      </c>
      <c r="I251" s="18">
        <f t="shared" si="27"/>
        <v>3785.9365762562138</v>
      </c>
    </row>
    <row r="252" spans="1:9" ht="15.75" x14ac:dyDescent="0.25">
      <c r="A252" s="13">
        <v>48153</v>
      </c>
      <c r="B252" s="18">
        <f>'Feedstock Use'!$V$14</f>
        <v>383.75353671134366</v>
      </c>
      <c r="C252" s="18">
        <f>'Feedstock Use'!$V$30</f>
        <v>111.06816848518181</v>
      </c>
      <c r="D252" s="18">
        <f>'Feedstock Use'!$V$46</f>
        <v>51.209273937616146</v>
      </c>
      <c r="E252" s="18">
        <f>'Feedstock Use'!$V$62</f>
        <v>46.613719984524145</v>
      </c>
      <c r="F252" s="18">
        <f>'Feedstock Use'!$V$78</f>
        <v>2213.9647645029759</v>
      </c>
      <c r="G252" s="18">
        <f>'Feedstock Use'!$V$94</f>
        <v>23.451017254262098</v>
      </c>
      <c r="H252" s="18">
        <f>'Feedstock Use'!$V$110</f>
        <v>13.674444672245723</v>
      </c>
      <c r="I252" s="18">
        <f t="shared" si="27"/>
        <v>2843.7349255481495</v>
      </c>
    </row>
    <row r="253" spans="1:9" ht="15.75" x14ac:dyDescent="0.25">
      <c r="A253" s="13">
        <v>48183</v>
      </c>
      <c r="B253" s="18">
        <f>'Feedstock Use'!$V$15</f>
        <v>463.59891732391429</v>
      </c>
      <c r="C253" s="18">
        <f>'Feedstock Use'!$V$31</f>
        <v>141.03839516954625</v>
      </c>
      <c r="D253" s="18">
        <f>'Feedstock Use'!$V$47</f>
        <v>60.170549155200824</v>
      </c>
      <c r="E253" s="18">
        <f>'Feedstock Use'!$V$63</f>
        <v>65.051249499249707</v>
      </c>
      <c r="F253" s="18">
        <f>'Feedstock Use'!$V$79</f>
        <v>2534.6871858064997</v>
      </c>
      <c r="G253" s="18">
        <f>'Feedstock Use'!$V$95</f>
        <v>25.468642490543122</v>
      </c>
      <c r="H253" s="18">
        <f>'Feedstock Use'!$V$111</f>
        <v>13.460300657503662</v>
      </c>
      <c r="I253" s="18">
        <f t="shared" si="27"/>
        <v>3303.4752401024571</v>
      </c>
    </row>
    <row r="254" spans="1:9" ht="15.75" x14ac:dyDescent="0.25">
      <c r="A254" s="13">
        <v>48214</v>
      </c>
      <c r="B254" s="18">
        <f>'Feedstock Use'!$W$4</f>
        <v>397.89169599141644</v>
      </c>
      <c r="C254" s="18">
        <f>'Feedstock Use'!$W$20</f>
        <v>119.86224761994427</v>
      </c>
      <c r="D254" s="18">
        <f>'Feedstock Use'!$W$36</f>
        <v>53.753971563297242</v>
      </c>
      <c r="E254" s="18">
        <f>'Feedstock Use'!$W$52</f>
        <v>53.608621163919956</v>
      </c>
      <c r="F254" s="18">
        <f>'Feedstock Use'!$W$68</f>
        <v>1440.879984627014</v>
      </c>
      <c r="G254" s="18">
        <f>'Feedstock Use'!$W$84</f>
        <v>8.0433984608429707</v>
      </c>
      <c r="H254" s="18">
        <f>'Feedstock Use'!$W$100</f>
        <v>13.638521596037867</v>
      </c>
      <c r="I254" s="18">
        <f t="shared" si="27"/>
        <v>2087.6784410224727</v>
      </c>
    </row>
    <row r="255" spans="1:9" ht="15.75" x14ac:dyDescent="0.25">
      <c r="A255" s="13">
        <v>48245</v>
      </c>
      <c r="B255" s="18">
        <f>'Feedstock Use'!$W$5</f>
        <v>355.68443226855345</v>
      </c>
      <c r="C255" s="18">
        <f>'Feedstock Use'!$W$21</f>
        <v>93.559555284828221</v>
      </c>
      <c r="D255" s="18">
        <f>'Feedstock Use'!$W$37</f>
        <v>51.727547386878683</v>
      </c>
      <c r="E255" s="18">
        <f>'Feedstock Use'!$W$53</f>
        <v>42.996835767423121</v>
      </c>
      <c r="F255" s="18">
        <f>'Feedstock Use'!$W$69</f>
        <v>2837.7603866361151</v>
      </c>
      <c r="G255" s="18">
        <f>'Feedstock Use'!$W$85</f>
        <v>14.555165758469242</v>
      </c>
      <c r="H255" s="18">
        <f>'Feedstock Use'!$W$101</f>
        <v>10.786620856769092</v>
      </c>
      <c r="I255" s="18">
        <f t="shared" si="27"/>
        <v>3407.0705439590365</v>
      </c>
    </row>
    <row r="256" spans="1:9" ht="15.75" x14ac:dyDescent="0.25">
      <c r="A256" s="13">
        <v>48274</v>
      </c>
      <c r="B256" s="18">
        <f>'Feedstock Use'!$W$6</f>
        <v>369.78781682666033</v>
      </c>
      <c r="C256" s="18">
        <f>'Feedstock Use'!$W$22</f>
        <v>156.74051688992077</v>
      </c>
      <c r="D256" s="18">
        <f>'Feedstock Use'!$W$38</f>
        <v>54.764539954810736</v>
      </c>
      <c r="E256" s="18">
        <f>'Feedstock Use'!$W$54</f>
        <v>50.664988270362471</v>
      </c>
      <c r="F256" s="18">
        <f>'Feedstock Use'!$W$70</f>
        <v>1923.5485556791411</v>
      </c>
      <c r="G256" s="18">
        <f>'Feedstock Use'!$W$86</f>
        <v>15.6197309187764</v>
      </c>
      <c r="H256" s="18">
        <f>'Feedstock Use'!$W$102</f>
        <v>13.287724200233162</v>
      </c>
      <c r="I256" s="18">
        <f t="shared" si="27"/>
        <v>2584.4138727399049</v>
      </c>
    </row>
    <row r="257" spans="1:9" ht="15.75" x14ac:dyDescent="0.25">
      <c r="A257" s="13">
        <v>48305</v>
      </c>
      <c r="B257" s="18">
        <f>'Feedstock Use'!$W$7</f>
        <v>443.08424563138237</v>
      </c>
      <c r="C257" s="18">
        <f>'Feedstock Use'!$W$23</f>
        <v>131.51423106424849</v>
      </c>
      <c r="D257" s="18">
        <f>'Feedstock Use'!$W$39</f>
        <v>62.335309986593629</v>
      </c>
      <c r="E257" s="18">
        <f>'Feedstock Use'!$W$55</f>
        <v>47.034461039114923</v>
      </c>
      <c r="F257" s="18">
        <f>'Feedstock Use'!$W$71</f>
        <v>2793.7458192403105</v>
      </c>
      <c r="G257" s="18">
        <f>'Feedstock Use'!$W$87</f>
        <v>18.34708616011234</v>
      </c>
      <c r="H257" s="18">
        <f>'Feedstock Use'!$W$103</f>
        <v>13.299219348949578</v>
      </c>
      <c r="I257" s="18">
        <f t="shared" si="27"/>
        <v>3509.3603724707118</v>
      </c>
    </row>
    <row r="258" spans="1:9" ht="15.75" x14ac:dyDescent="0.25">
      <c r="A258" s="13">
        <v>48335</v>
      </c>
      <c r="B258" s="18">
        <f>'Feedstock Use'!$W$8</f>
        <v>495.74258728277994</v>
      </c>
      <c r="C258" s="18">
        <f>'Feedstock Use'!$W$24</f>
        <v>126.16518484217868</v>
      </c>
      <c r="D258" s="18">
        <f>'Feedstock Use'!$W$40</f>
        <v>62.415027060840899</v>
      </c>
      <c r="E258" s="18">
        <f>'Feedstock Use'!$W$56</f>
        <v>47.491119934987061</v>
      </c>
      <c r="F258" s="18">
        <f>'Feedstock Use'!$W$72</f>
        <v>3508.5607151737263</v>
      </c>
      <c r="G258" s="18">
        <f>'Feedstock Use'!$W$88</f>
        <v>24.781746122584305</v>
      </c>
      <c r="H258" s="18">
        <f>'Feedstock Use'!$W$104</f>
        <v>10.771740991905622</v>
      </c>
      <c r="I258" s="18">
        <f t="shared" si="27"/>
        <v>4275.9281214090024</v>
      </c>
    </row>
    <row r="259" spans="1:9" ht="15.75" x14ac:dyDescent="0.25">
      <c r="A259" s="13">
        <v>48366</v>
      </c>
      <c r="B259" s="18">
        <f>'Feedstock Use'!$W$9</f>
        <v>435.20364012958805</v>
      </c>
      <c r="C259" s="18">
        <f>'Feedstock Use'!$W$25</f>
        <v>171.33092938479322</v>
      </c>
      <c r="D259" s="18">
        <f>'Feedstock Use'!$W$41</f>
        <v>64.989575421727238</v>
      </c>
      <c r="E259" s="18">
        <f>'Feedstock Use'!$W$57</f>
        <v>51.546478617741293</v>
      </c>
      <c r="F259" s="18">
        <f>'Feedstock Use'!$W$73</f>
        <v>3345.3821277356692</v>
      </c>
      <c r="G259" s="18">
        <f>'Feedstock Use'!$W$89</f>
        <v>16.214155541535675</v>
      </c>
      <c r="H259" s="18">
        <f>'Feedstock Use'!$W$105</f>
        <v>11.172833945693332</v>
      </c>
      <c r="I259" s="18">
        <f t="shared" si="27"/>
        <v>4095.8397407767479</v>
      </c>
    </row>
    <row r="260" spans="1:9" ht="15.75" x14ac:dyDescent="0.25">
      <c r="A260" s="13">
        <v>48396</v>
      </c>
      <c r="B260" s="18">
        <f>'Feedstock Use'!$W$10</f>
        <v>471.12526157071227</v>
      </c>
      <c r="C260" s="18">
        <f>'Feedstock Use'!$W$26</f>
        <v>140.25038534857893</v>
      </c>
      <c r="D260" s="18">
        <f>'Feedstock Use'!$W$42</f>
        <v>60.968854712529456</v>
      </c>
      <c r="E260" s="18">
        <f>'Feedstock Use'!$W$58</f>
        <v>52.705232693513508</v>
      </c>
      <c r="F260" s="18">
        <f>'Feedstock Use'!$W$74</f>
        <v>3255.2946020879458</v>
      </c>
      <c r="G260" s="18">
        <f>'Feedstock Use'!$W$90</f>
        <v>17.775686901953787</v>
      </c>
      <c r="H260" s="18">
        <f>'Feedstock Use'!$W$106</f>
        <v>11.398872023878656</v>
      </c>
      <c r="I260" s="18">
        <f t="shared" si="27"/>
        <v>4009.5188953391121</v>
      </c>
    </row>
    <row r="261" spans="1:9" ht="15.75" x14ac:dyDescent="0.25">
      <c r="A261" s="13">
        <v>48427</v>
      </c>
      <c r="B261" s="18">
        <f>'Feedstock Use'!$W$11</f>
        <v>449.76006891920969</v>
      </c>
      <c r="C261" s="18">
        <f>'Feedstock Use'!$W$27</f>
        <v>160.03611505688559</v>
      </c>
      <c r="D261" s="18">
        <f>'Feedstock Use'!$W$43</f>
        <v>60.636016375650726</v>
      </c>
      <c r="E261" s="18">
        <f>'Feedstock Use'!$W$59</f>
        <v>55.488612127818044</v>
      </c>
      <c r="F261" s="18">
        <f>'Feedstock Use'!$W$75</f>
        <v>3540.2688299114361</v>
      </c>
      <c r="G261" s="18">
        <f>'Feedstock Use'!$W$91</f>
        <v>19.823556928830676</v>
      </c>
      <c r="H261" s="18">
        <f>'Feedstock Use'!$W$107</f>
        <v>14.175448260249036</v>
      </c>
      <c r="I261" s="18">
        <f t="shared" si="27"/>
        <v>4300.1886475800802</v>
      </c>
    </row>
    <row r="262" spans="1:9" ht="15.75" x14ac:dyDescent="0.25">
      <c r="A262" s="13">
        <v>48458</v>
      </c>
      <c r="B262" s="18">
        <f>'Feedstock Use'!$W$12</f>
        <v>464.68715273083001</v>
      </c>
      <c r="C262" s="18">
        <f>'Feedstock Use'!$W$28</f>
        <v>134.84561501185192</v>
      </c>
      <c r="D262" s="18">
        <f>'Feedstock Use'!$W$44</f>
        <v>49.952417656113028</v>
      </c>
      <c r="E262" s="18">
        <f>'Feedstock Use'!$W$60</f>
        <v>53.45345957983826</v>
      </c>
      <c r="F262" s="18">
        <f>'Feedstock Use'!$W$76</f>
        <v>4185.55911132047</v>
      </c>
      <c r="G262" s="18">
        <f>'Feedstock Use'!$W$92</f>
        <v>14.763654754580482</v>
      </c>
      <c r="H262" s="18">
        <f>'Feedstock Use'!$W$108</f>
        <v>14.837344729718675</v>
      </c>
      <c r="I262" s="18">
        <f t="shared" si="27"/>
        <v>4918.0987557834032</v>
      </c>
    </row>
    <row r="263" spans="1:9" ht="15.75" x14ac:dyDescent="0.25">
      <c r="A263" s="13">
        <v>48488</v>
      </c>
      <c r="B263" s="18">
        <f>'Feedstock Use'!$W$13</f>
        <v>445.28439608517988</v>
      </c>
      <c r="C263" s="18">
        <f>'Feedstock Use'!$W$29</f>
        <v>134.45970217364209</v>
      </c>
      <c r="D263" s="18">
        <f>'Feedstock Use'!$W$45</f>
        <v>46.873613176713697</v>
      </c>
      <c r="E263" s="18">
        <f>'Feedstock Use'!$W$61</f>
        <v>46.514685354401301</v>
      </c>
      <c r="F263" s="18">
        <f>'Feedstock Use'!$W$77</f>
        <v>3848.6289313479938</v>
      </c>
      <c r="G263" s="18">
        <f>'Feedstock Use'!$W$93</f>
        <v>13.735783741385058</v>
      </c>
      <c r="H263" s="18">
        <f>'Feedstock Use'!$W$109</f>
        <v>13.826249545200316</v>
      </c>
      <c r="I263" s="18">
        <f t="shared" si="27"/>
        <v>4549.3233614245155</v>
      </c>
    </row>
    <row r="264" spans="1:9" ht="15.75" x14ac:dyDescent="0.25">
      <c r="A264" s="13">
        <v>48519</v>
      </c>
      <c r="B264" s="18">
        <f>'Feedstock Use'!$W$14</f>
        <v>398.94110034947585</v>
      </c>
      <c r="C264" s="18">
        <f>'Feedstock Use'!$W$30</f>
        <v>116.51054252382831</v>
      </c>
      <c r="D264" s="18">
        <f>'Feedstock Use'!$W$46</f>
        <v>50.802153841556404</v>
      </c>
      <c r="E264" s="18">
        <f>'Feedstock Use'!$W$62</f>
        <v>49.552758965601925</v>
      </c>
      <c r="F264" s="18">
        <f>'Feedstock Use'!$W$78</f>
        <v>3346.5104631327767</v>
      </c>
      <c r="G264" s="18">
        <f>'Feedstock Use'!$W$94</f>
        <v>24.756253670058285</v>
      </c>
      <c r="H264" s="18">
        <f>'Feedstock Use'!$W$110</f>
        <v>14.410007871260763</v>
      </c>
      <c r="I264" s="18">
        <f t="shared" si="27"/>
        <v>4001.4832803545587</v>
      </c>
    </row>
    <row r="265" spans="1:9" ht="15.75" x14ac:dyDescent="0.25">
      <c r="A265" s="13">
        <v>48549</v>
      </c>
      <c r="B265" s="18">
        <f>'Feedstock Use'!$W$15</f>
        <v>492.92517860697114</v>
      </c>
      <c r="C265" s="18">
        <f>'Feedstock Use'!$W$31</f>
        <v>152.6974029049523</v>
      </c>
      <c r="D265" s="18">
        <f>'Feedstock Use'!$W$47</f>
        <v>61.416520538868866</v>
      </c>
      <c r="E265" s="18">
        <f>'Feedstock Use'!$W$63</f>
        <v>70.8336818983596</v>
      </c>
      <c r="F265" s="18">
        <f>'Feedstock Use'!$W$79</f>
        <v>2423.0567840492049</v>
      </c>
      <c r="G265" s="18">
        <f>'Feedstock Use'!$W$95</f>
        <v>27.470842565129153</v>
      </c>
      <c r="H265" s="18">
        <f>'Feedstock Use'!$W$111</f>
        <v>14.418856336180362</v>
      </c>
      <c r="I265" s="18">
        <f t="shared" si="27"/>
        <v>3242.8192668996667</v>
      </c>
    </row>
    <row r="266" spans="1:9" ht="15.75" x14ac:dyDescent="0.25">
      <c r="A266" s="13">
        <v>48580</v>
      </c>
      <c r="B266" s="18">
        <f>'Feedstock Use'!$X$4</f>
        <v>286.02354450611637</v>
      </c>
      <c r="C266" s="18">
        <f>'Feedstock Use'!$X$20</f>
        <v>140.87090247299383</v>
      </c>
      <c r="D266" s="18">
        <f>'Feedstock Use'!$X$36</f>
        <v>58.370381089410643</v>
      </c>
      <c r="E266" s="18">
        <f>'Feedstock Use'!$X$52</f>
        <v>62.054083699597236</v>
      </c>
      <c r="F266" s="18">
        <f>'Feedstock Use'!$X$68</f>
        <v>1492.2948800512074</v>
      </c>
      <c r="G266" s="18">
        <f>'Feedstock Use'!$X$84</f>
        <v>8.9802478070236784</v>
      </c>
      <c r="H266" s="18">
        <f>'Feedstock Use'!$X$100</f>
        <v>15.848634081537798</v>
      </c>
      <c r="I266" s="18">
        <f t="shared" si="27"/>
        <v>2064.442673707887</v>
      </c>
    </row>
    <row r="267" spans="1:9" ht="15.75" x14ac:dyDescent="0.25">
      <c r="A267" s="13">
        <v>48611</v>
      </c>
      <c r="B267" s="18">
        <f>'Feedstock Use'!$X$5</f>
        <v>206.88726439213079</v>
      </c>
      <c r="C267" s="18">
        <f>'Feedstock Use'!$X$21</f>
        <v>87.397341542545703</v>
      </c>
      <c r="D267" s="18">
        <f>'Feedstock Use'!$X$37</f>
        <v>45.612685386774579</v>
      </c>
      <c r="E267" s="18">
        <f>'Feedstock Use'!$X$53</f>
        <v>39.978173116611089</v>
      </c>
      <c r="F267" s="18">
        <f>'Feedstock Use'!$X$69</f>
        <v>2967.5840987207848</v>
      </c>
      <c r="G267" s="18">
        <f>'Feedstock Use'!$X$85</f>
        <v>13.572395433477476</v>
      </c>
      <c r="H267" s="18">
        <f>'Feedstock Use'!$X$101</f>
        <v>10.114507716454098</v>
      </c>
      <c r="I267" s="18">
        <f t="shared" si="27"/>
        <v>3371.1464663087791</v>
      </c>
    </row>
    <row r="268" spans="1:9" ht="15.75" x14ac:dyDescent="0.25">
      <c r="A268" s="13">
        <v>48639</v>
      </c>
      <c r="B268" s="18">
        <f>'Feedstock Use'!$X$6</f>
        <v>213.84803326105228</v>
      </c>
      <c r="C268" s="18">
        <f>'Feedstock Use'!$X$22</f>
        <v>146.61746447402018</v>
      </c>
      <c r="D268" s="18">
        <f>'Feedstock Use'!$X$38</f>
        <v>48.128127403397151</v>
      </c>
      <c r="E268" s="18">
        <f>'Feedstock Use'!$X$54</f>
        <v>47.049205220837784</v>
      </c>
      <c r="F268" s="18">
        <f>'Feedstock Use'!$X$70</f>
        <v>1994.8107839127947</v>
      </c>
      <c r="G268" s="18">
        <f>'Feedstock Use'!$X$86</f>
        <v>14.46334849011088</v>
      </c>
      <c r="H268" s="18">
        <f>'Feedstock Use'!$X$102</f>
        <v>12.479196950745965</v>
      </c>
      <c r="I268" s="18">
        <f t="shared" si="27"/>
        <v>2477.3961597129592</v>
      </c>
    </row>
    <row r="269" spans="1:9" ht="15.75" x14ac:dyDescent="0.25">
      <c r="A269" s="13">
        <v>48670</v>
      </c>
      <c r="B269" s="18">
        <f>'Feedstock Use'!$X$7</f>
        <v>258.36528558541278</v>
      </c>
      <c r="C269" s="18">
        <f>'Feedstock Use'!$X$23</f>
        <v>123.02137576406403</v>
      </c>
      <c r="D269" s="18">
        <f>'Feedstock Use'!$X$39</f>
        <v>55.318896387245807</v>
      </c>
      <c r="E269" s="18">
        <f>'Feedstock Use'!$X$55</f>
        <v>43.964645538789171</v>
      </c>
      <c r="F269" s="18">
        <f>'Feedstock Use'!$X$71</f>
        <v>2909.817362814124</v>
      </c>
      <c r="G269" s="18">
        <f>'Feedstock Use'!$X$87</f>
        <v>17.106477163244453</v>
      </c>
      <c r="H269" s="18">
        <f>'Feedstock Use'!$X$103</f>
        <v>12.553022741118081</v>
      </c>
      <c r="I269" s="18">
        <f t="shared" si="27"/>
        <v>3420.1470659939987</v>
      </c>
    </row>
    <row r="270" spans="1:9" ht="15.75" x14ac:dyDescent="0.25">
      <c r="A270" s="13">
        <v>48700</v>
      </c>
      <c r="B270" s="18">
        <f>'Feedstock Use'!$X$8</f>
        <v>287.86147749829581</v>
      </c>
      <c r="C270" s="18">
        <f>'Feedstock Use'!$X$24</f>
        <v>117.03164005221642</v>
      </c>
      <c r="D270" s="18">
        <f>'Feedstock Use'!$X$40</f>
        <v>55.421336386404171</v>
      </c>
      <c r="E270" s="18">
        <f>'Feedstock Use'!$X$56</f>
        <v>44.382533596713962</v>
      </c>
      <c r="F270" s="18">
        <f>'Feedstock Use'!$X$72</f>
        <v>3354.9166979641418</v>
      </c>
      <c r="G270" s="18">
        <f>'Feedstock Use'!$X$88</f>
        <v>23.060115541378071</v>
      </c>
      <c r="H270" s="18">
        <f>'Feedstock Use'!$X$104</f>
        <v>10.16570994958122</v>
      </c>
      <c r="I270" s="18">
        <f t="shared" si="27"/>
        <v>3892.839510988731</v>
      </c>
    </row>
    <row r="271" spans="1:9" ht="15.75" x14ac:dyDescent="0.25">
      <c r="A271" s="13">
        <v>48731</v>
      </c>
      <c r="B271" s="18">
        <f>'Feedstock Use'!$X$9</f>
        <v>253.42712247691475</v>
      </c>
      <c r="C271" s="18">
        <f>'Feedstock Use'!$X$25</f>
        <v>160.75379648933364</v>
      </c>
      <c r="D271" s="18">
        <f>'Feedstock Use'!$X$41</f>
        <v>57.414983927211978</v>
      </c>
      <c r="E271" s="18">
        <f>'Feedstock Use'!$X$57</f>
        <v>48.010757417395354</v>
      </c>
      <c r="F271" s="18">
        <f>'Feedstock Use'!$X$73</f>
        <v>3190.1913256809817</v>
      </c>
      <c r="G271" s="18">
        <f>'Feedstock Use'!$X$89</f>
        <v>15.079584554626164</v>
      </c>
      <c r="H271" s="18">
        <f>'Feedstock Use'!$X$105</f>
        <v>10.537676920654507</v>
      </c>
      <c r="I271" s="18">
        <f t="shared" si="27"/>
        <v>3735.4152474671182</v>
      </c>
    </row>
    <row r="272" spans="1:9" ht="15.75" x14ac:dyDescent="0.25">
      <c r="A272" s="13">
        <v>48761</v>
      </c>
      <c r="B272" s="18">
        <f>'Feedstock Use'!$X$10</f>
        <v>272.97951371151669</v>
      </c>
      <c r="C272" s="18">
        <f>'Feedstock Use'!$X$26</f>
        <v>130.65641022505761</v>
      </c>
      <c r="D272" s="18">
        <f>'Feedstock Use'!$X$42</f>
        <v>54.110395967326788</v>
      </c>
      <c r="E272" s="18">
        <f>'Feedstock Use'!$X$58</f>
        <v>48.866375363334903</v>
      </c>
      <c r="F272" s="18">
        <f>'Feedstock Use'!$X$74</f>
        <v>3079.9833424078611</v>
      </c>
      <c r="G272" s="18">
        <f>'Feedstock Use'!$X$90</f>
        <v>16.549356620366964</v>
      </c>
      <c r="H272" s="18">
        <f>'Feedstock Use'!$X$106</f>
        <v>10.734420634606948</v>
      </c>
      <c r="I272" s="18">
        <f t="shared" si="27"/>
        <v>3613.879814930071</v>
      </c>
    </row>
    <row r="273" spans="1:9" ht="15.75" x14ac:dyDescent="0.25">
      <c r="A273" s="13">
        <v>48792</v>
      </c>
      <c r="B273" s="18">
        <f>'Feedstock Use'!$X$11</f>
        <v>260.91963765413448</v>
      </c>
      <c r="C273" s="18">
        <f>'Feedstock Use'!$X$27</f>
        <v>149.61553044610633</v>
      </c>
      <c r="D273" s="18">
        <f>'Feedstock Use'!$X$43</f>
        <v>53.551487100949458</v>
      </c>
      <c r="E273" s="18">
        <f>'Feedstock Use'!$X$59</f>
        <v>51.614277674158629</v>
      </c>
      <c r="F273" s="18">
        <f>'Feedstock Use'!$X$75</f>
        <v>3370.9170253688567</v>
      </c>
      <c r="G273" s="18">
        <f>'Feedstock Use'!$X$91</f>
        <v>18.386925564803942</v>
      </c>
      <c r="H273" s="18">
        <f>'Feedstock Use'!$X$107</f>
        <v>13.324956510762949</v>
      </c>
      <c r="I273" s="18">
        <f t="shared" si="27"/>
        <v>3918.3298403197723</v>
      </c>
    </row>
    <row r="274" spans="1:9" ht="15.75" x14ac:dyDescent="0.25">
      <c r="A274" s="13">
        <v>48823</v>
      </c>
      <c r="B274" s="18">
        <f>'Feedstock Use'!$X$12</f>
        <v>270.29838208920785</v>
      </c>
      <c r="C274" s="18">
        <f>'Feedstock Use'!$X$28</f>
        <v>125.69850725833646</v>
      </c>
      <c r="D274" s="18">
        <f>'Feedstock Use'!$X$44</f>
        <v>44.212417079800353</v>
      </c>
      <c r="E274" s="18">
        <f>'Feedstock Use'!$X$60</f>
        <v>49.485273933713579</v>
      </c>
      <c r="F274" s="18">
        <f>'Feedstock Use'!$X$76</f>
        <v>3988.7409225971014</v>
      </c>
      <c r="G274" s="18">
        <f>'Feedstock Use'!$X$92</f>
        <v>13.728007779430538</v>
      </c>
      <c r="H274" s="18">
        <f>'Feedstock Use'!$X$108</f>
        <v>13.939602785689589</v>
      </c>
      <c r="I274" s="18">
        <f t="shared" si="27"/>
        <v>4506.1031135232788</v>
      </c>
    </row>
    <row r="275" spans="1:9" ht="15.75" x14ac:dyDescent="0.25">
      <c r="A275" s="13">
        <v>48853</v>
      </c>
      <c r="B275" s="18">
        <f>'Feedstock Use'!$X$13</f>
        <v>406.35313683695279</v>
      </c>
      <c r="C275" s="18">
        <f>'Feedstock Use'!$X$29</f>
        <v>124.81049025120095</v>
      </c>
      <c r="D275" s="18">
        <f>'Feedstock Use'!$X$45</f>
        <v>41.773941029495091</v>
      </c>
      <c r="E275" s="18">
        <f>'Feedstock Use'!$X$61</f>
        <v>43.197632859816508</v>
      </c>
      <c r="F275" s="18">
        <f>'Feedstock Use'!$X$77</f>
        <v>3557.6804375705678</v>
      </c>
      <c r="G275" s="18">
        <f>'Feedstock Use'!$X$93</f>
        <v>12.876461692906402</v>
      </c>
      <c r="H275" s="18">
        <f>'Feedstock Use'!$X$109</f>
        <v>12.911143308052175</v>
      </c>
      <c r="I275" s="18">
        <f t="shared" si="27"/>
        <v>4199.6032435489924</v>
      </c>
    </row>
    <row r="276" spans="1:9" ht="15.75" x14ac:dyDescent="0.25">
      <c r="A276" s="13">
        <v>48884</v>
      </c>
      <c r="B276" s="18">
        <f>'Feedstock Use'!$X$14</f>
        <v>362.78498566162568</v>
      </c>
      <c r="C276" s="18">
        <f>'Feedstock Use'!$X$30</f>
        <v>108.8797713271004</v>
      </c>
      <c r="D276" s="18">
        <f>'Feedstock Use'!$X$46</f>
        <v>45.508483198192017</v>
      </c>
      <c r="E276" s="18">
        <f>'Feedstock Use'!$X$62</f>
        <v>45.988644794677924</v>
      </c>
      <c r="F276" s="18">
        <f>'Feedstock Use'!$X$78</f>
        <v>2841.2100407701901</v>
      </c>
      <c r="G276" s="18">
        <f>'Feedstock Use'!$X$94</f>
        <v>23.347878910135261</v>
      </c>
      <c r="H276" s="18">
        <f>'Feedstock Use'!$X$110</f>
        <v>13.401747600927882</v>
      </c>
      <c r="I276" s="18">
        <f t="shared" si="27"/>
        <v>3441.1215522628495</v>
      </c>
    </row>
    <row r="277" spans="1:9" ht="15.75" x14ac:dyDescent="0.25">
      <c r="A277" s="13">
        <v>48914</v>
      </c>
      <c r="B277" s="18">
        <f>'Feedstock Use'!$X$15</f>
        <v>392.71009107891791</v>
      </c>
      <c r="C277" s="18">
        <f>'Feedstock Use'!$X$31</f>
        <v>125.19380862234544</v>
      </c>
      <c r="D277" s="18">
        <f>'Feedstock Use'!$X$47</f>
        <v>48.274179501689659</v>
      </c>
      <c r="E277" s="18">
        <f>'Feedstock Use'!$X$63</f>
        <v>57.698950778292996</v>
      </c>
      <c r="F277" s="18">
        <f>'Feedstock Use'!$X$79</f>
        <v>2851.7506386700375</v>
      </c>
      <c r="G277" s="18">
        <f>'Feedstock Use'!$X$95</f>
        <v>22.758066426841612</v>
      </c>
      <c r="H277" s="18">
        <f>'Feedstock Use'!$X$111</f>
        <v>11.749555433163563</v>
      </c>
      <c r="I277" s="18">
        <f t="shared" si="27"/>
        <v>3510.1352905112885</v>
      </c>
    </row>
    <row r="278" spans="1:9" ht="15.75" x14ac:dyDescent="0.25">
      <c r="A278" s="13">
        <v>48945</v>
      </c>
      <c r="B278" s="18">
        <f>'Feedstock Use'!$Y$4</f>
        <v>394.31582135946041</v>
      </c>
      <c r="C278" s="18">
        <f>'Feedstock Use'!$Y$20</f>
        <v>125.61048490291391</v>
      </c>
      <c r="D278" s="18">
        <f>'Feedstock Use'!$Y$36</f>
        <v>49.500144444653422</v>
      </c>
      <c r="E278" s="18">
        <f>'Feedstock Use'!$Y$52</f>
        <v>54.561975426135824</v>
      </c>
      <c r="F278" s="18">
        <f>'Feedstock Use'!$Y$68</f>
        <v>1450.6728913522122</v>
      </c>
      <c r="G278" s="18">
        <f>'Feedstock Use'!$Y$84</f>
        <v>7.831201636125571</v>
      </c>
      <c r="H278" s="18">
        <f>'Feedstock Use'!$Y$100</f>
        <v>14.029044679247431</v>
      </c>
      <c r="I278" s="18">
        <f t="shared" si="27"/>
        <v>2096.5215638007485</v>
      </c>
    </row>
    <row r="279" spans="1:9" ht="15.75" x14ac:dyDescent="0.25">
      <c r="A279" s="13">
        <v>48976</v>
      </c>
      <c r="B279" s="18">
        <f>'Feedstock Use'!$Y$5</f>
        <v>304.21834699810864</v>
      </c>
      <c r="C279" s="18">
        <f>'Feedstock Use'!$Y$21</f>
        <v>85.281197213966692</v>
      </c>
      <c r="D279" s="18">
        <f>'Feedstock Use'!$Y$37</f>
        <v>42.487278534239479</v>
      </c>
      <c r="E279" s="18">
        <f>'Feedstock Use'!$Y$53</f>
        <v>38.230703320473857</v>
      </c>
      <c r="F279" s="18">
        <f>'Feedstock Use'!$Y$69</f>
        <v>2923.3866505849219</v>
      </c>
      <c r="G279" s="18">
        <f>'Feedstock Use'!$Y$85</f>
        <v>13.190320645453273</v>
      </c>
      <c r="H279" s="18">
        <f>'Feedstock Use'!$Y$101</f>
        <v>9.8646823974390045</v>
      </c>
      <c r="I279" s="18">
        <f t="shared" si="27"/>
        <v>3416.6591796946027</v>
      </c>
    </row>
    <row r="280" spans="1:9" ht="15.75" x14ac:dyDescent="0.25">
      <c r="A280" s="13">
        <v>49004</v>
      </c>
      <c r="B280" s="18">
        <f>'Feedstock Use'!$Y$6</f>
        <v>314.61911913249918</v>
      </c>
      <c r="C280" s="18">
        <f>'Feedstock Use'!$Y$22</f>
        <v>142.06066182314856</v>
      </c>
      <c r="D280" s="18">
        <f>'Feedstock Use'!$Y$38</f>
        <v>45.020934469516156</v>
      </c>
      <c r="E280" s="18">
        <f>'Feedstock Use'!$Y$54</f>
        <v>44.759684320132152</v>
      </c>
      <c r="F280" s="18">
        <f>'Feedstock Use'!$Y$70</f>
        <v>1933.4984350125162</v>
      </c>
      <c r="G280" s="18">
        <f>'Feedstock Use'!$Y$86</f>
        <v>13.941002276849266</v>
      </c>
      <c r="H280" s="18">
        <f>'Feedstock Use'!$Y$102</f>
        <v>12.194794975999296</v>
      </c>
      <c r="I280" s="18">
        <f t="shared" si="27"/>
        <v>2506.0946320106609</v>
      </c>
    </row>
    <row r="281" spans="1:9" ht="15.75" x14ac:dyDescent="0.25">
      <c r="A281" s="13">
        <v>49035</v>
      </c>
      <c r="B281" s="18">
        <f>'Feedstock Use'!$Y$7</f>
        <v>388.17715186479148</v>
      </c>
      <c r="C281" s="18">
        <f>'Feedstock Use'!$Y$23</f>
        <v>119.0884440006356</v>
      </c>
      <c r="D281" s="18">
        <f>'Feedstock Use'!$Y$39</f>
        <v>52.002398029737456</v>
      </c>
      <c r="E281" s="18">
        <f>'Feedstock Use'!$Y$55</f>
        <v>42.11528023797171</v>
      </c>
      <c r="F281" s="18">
        <f>'Feedstock Use'!$Y$71</f>
        <v>2866.9848974404586</v>
      </c>
      <c r="G281" s="18">
        <f>'Feedstock Use'!$Y$87</f>
        <v>16.449864353262836</v>
      </c>
      <c r="H281" s="18">
        <f>'Feedstock Use'!$Y$103</f>
        <v>12.246372186976583</v>
      </c>
      <c r="I281" s="18">
        <f t="shared" si="27"/>
        <v>3497.0644081138344</v>
      </c>
    </row>
    <row r="282" spans="1:9" ht="15.75" x14ac:dyDescent="0.25">
      <c r="A282" s="13">
        <v>49065</v>
      </c>
      <c r="B282" s="18">
        <f>'Feedstock Use'!$Y$8</f>
        <v>433.89320150014026</v>
      </c>
      <c r="C282" s="18">
        <f>'Feedstock Use'!$Y$24</f>
        <v>112.79667957509666</v>
      </c>
      <c r="D282" s="18">
        <f>'Feedstock Use'!$Y$40</f>
        <v>51.966519731052642</v>
      </c>
      <c r="E282" s="18">
        <f>'Feedstock Use'!$Y$56</f>
        <v>42.229053642186457</v>
      </c>
      <c r="F282" s="18">
        <f>'Feedstock Use'!$Y$72</f>
        <v>3516.9132900862305</v>
      </c>
      <c r="G282" s="18">
        <f>'Feedstock Use'!$Y$88</f>
        <v>22.020940689105959</v>
      </c>
      <c r="H282" s="18">
        <f>'Feedstock Use'!$Y$104</f>
        <v>9.865349519060377</v>
      </c>
      <c r="I282" s="18">
        <f t="shared" si="27"/>
        <v>4189.6850347428726</v>
      </c>
    </row>
    <row r="283" spans="1:9" ht="15.75" x14ac:dyDescent="0.25">
      <c r="A283" s="13">
        <v>49096</v>
      </c>
      <c r="B283" s="18">
        <f>'Feedstock Use'!$Y$9</f>
        <v>376.27387402624731</v>
      </c>
      <c r="C283" s="18">
        <f>'Feedstock Use'!$Y$25</f>
        <v>156.01618146309991</v>
      </c>
      <c r="D283" s="18">
        <f>'Feedstock Use'!$Y$41</f>
        <v>53.930229279502527</v>
      </c>
      <c r="E283" s="18">
        <f>'Feedstock Use'!$Y$57</f>
        <v>45.947254079581995</v>
      </c>
      <c r="F283" s="18">
        <f>'Feedstock Use'!$Y$73</f>
        <v>3336.3992788173523</v>
      </c>
      <c r="G283" s="18">
        <f>'Feedstock Use'!$Y$89</f>
        <v>14.637913190591711</v>
      </c>
      <c r="H283" s="18">
        <f>'Feedstock Use'!$Y$105</f>
        <v>10.203502805731105</v>
      </c>
      <c r="I283" s="18">
        <f t="shared" si="27"/>
        <v>3993.4082336621072</v>
      </c>
    </row>
    <row r="284" spans="1:9" ht="15.75" x14ac:dyDescent="0.25">
      <c r="A284" s="13">
        <v>49126</v>
      </c>
      <c r="B284" s="18">
        <f>'Feedstock Use'!$Y$10</f>
        <v>408.96998070609533</v>
      </c>
      <c r="C284" s="18">
        <f>'Feedstock Use'!$Y$26</f>
        <v>126.67575664266681</v>
      </c>
      <c r="D284" s="18">
        <f>'Feedstock Use'!$Y$42</f>
        <v>50.790610752434276</v>
      </c>
      <c r="E284" s="18">
        <f>'Feedstock Use'!$Y$58</f>
        <v>46.767921443211918</v>
      </c>
      <c r="F284" s="18">
        <f>'Feedstock Use'!$Y$74</f>
        <v>3234.3543333782022</v>
      </c>
      <c r="G284" s="18">
        <f>'Feedstock Use'!$Y$90</f>
        <v>15.97581409046869</v>
      </c>
      <c r="H284" s="18">
        <f>'Feedstock Use'!$Y$106</f>
        <v>10.437807570154691</v>
      </c>
      <c r="I284" s="18">
        <f t="shared" si="27"/>
        <v>3893.972224583234</v>
      </c>
    </row>
    <row r="285" spans="1:9" ht="15.75" x14ac:dyDescent="0.25">
      <c r="A285" s="13">
        <v>49157</v>
      </c>
      <c r="B285" s="18">
        <f>'Feedstock Use'!$Y$11</f>
        <v>389.33737554298142</v>
      </c>
      <c r="C285" s="18">
        <f>'Feedstock Use'!$Y$27</f>
        <v>145.15482733444256</v>
      </c>
      <c r="D285" s="18">
        <f>'Feedstock Use'!$Y$43</f>
        <v>50.208950505488481</v>
      </c>
      <c r="E285" s="18">
        <f>'Feedstock Use'!$Y$59</f>
        <v>49.173694265868988</v>
      </c>
      <c r="F285" s="18">
        <f>'Feedstock Use'!$Y$75</f>
        <v>3542.6417987383543</v>
      </c>
      <c r="G285" s="18">
        <f>'Feedstock Use'!$Y$91</f>
        <v>17.587732692107377</v>
      </c>
      <c r="H285" s="18">
        <f>'Feedstock Use'!$Y$107</f>
        <v>12.896429842048372</v>
      </c>
      <c r="I285" s="18">
        <f t="shared" si="27"/>
        <v>4207.0008089212915</v>
      </c>
    </row>
    <row r="286" spans="1:9" ht="15.75" x14ac:dyDescent="0.25">
      <c r="A286" s="13">
        <v>49188</v>
      </c>
      <c r="B286" s="18">
        <f>'Feedstock Use'!$Y$12</f>
        <v>405.20396861262338</v>
      </c>
      <c r="C286" s="18">
        <f>'Feedstock Use'!$Y$28</f>
        <v>122.04958522901559</v>
      </c>
      <c r="D286" s="18">
        <f>'Feedstock Use'!$Y$44</f>
        <v>41.538285985547013</v>
      </c>
      <c r="E286" s="18">
        <f>'Feedstock Use'!$Y$60</f>
        <v>47.155205779269373</v>
      </c>
      <c r="F286" s="18">
        <f>'Feedstock Use'!$Y$76</f>
        <v>4207.1997871618214</v>
      </c>
      <c r="G286" s="18">
        <f>'Feedstock Use'!$Y$92</f>
        <v>13.262453693182479</v>
      </c>
      <c r="H286" s="18">
        <f>'Feedstock Use'!$Y$108</f>
        <v>13.508525402299592</v>
      </c>
      <c r="I286" s="18">
        <f t="shared" si="27"/>
        <v>4849.9178118637592</v>
      </c>
    </row>
    <row r="287" spans="1:9" ht="15.75" x14ac:dyDescent="0.25">
      <c r="A287" s="13">
        <v>49218</v>
      </c>
      <c r="B287" s="18">
        <f>'Feedstock Use'!$Y$13</f>
        <v>404.89728393640047</v>
      </c>
      <c r="C287" s="18">
        <f>'Feedstock Use'!$Y$29</f>
        <v>123.68602771376155</v>
      </c>
      <c r="D287" s="18">
        <f>'Feedstock Use'!$Y$45</f>
        <v>40.189279690503504</v>
      </c>
      <c r="E287" s="18">
        <f>'Feedstock Use'!$Y$61</f>
        <v>42.754710885498049</v>
      </c>
      <c r="F287" s="18">
        <f>'Feedstock Use'!$Y$77</f>
        <v>3695.02752311832</v>
      </c>
      <c r="G287" s="18">
        <f>'Feedstock Use'!$Y$93</f>
        <v>12.972539144333895</v>
      </c>
      <c r="H287" s="18">
        <f>'Feedstock Use'!$Y$109</f>
        <v>12.81308665438679</v>
      </c>
      <c r="I287" s="18">
        <f t="shared" si="27"/>
        <v>4332.3404511432045</v>
      </c>
    </row>
    <row r="288" spans="1:9" ht="15.75" x14ac:dyDescent="0.25">
      <c r="A288" s="13">
        <v>49249</v>
      </c>
      <c r="B288" s="18">
        <f>'Feedstock Use'!$Y$14</f>
        <v>361.48625101104074</v>
      </c>
      <c r="C288" s="18">
        <f>'Feedstock Use'!$Y$30</f>
        <v>107.95444813224297</v>
      </c>
      <c r="D288" s="18">
        <f>'Feedstock Use'!$Y$46</f>
        <v>43.793471997273393</v>
      </c>
      <c r="E288" s="18">
        <f>'Feedstock Use'!$Y$62</f>
        <v>45.488383337787333</v>
      </c>
      <c r="F288" s="18">
        <f>'Feedstock Use'!$Y$78</f>
        <v>2905.3390861490552</v>
      </c>
      <c r="G288" s="18">
        <f>'Feedstock Use'!$Y$94</f>
        <v>23.309204605848457</v>
      </c>
      <c r="H288" s="18">
        <f>'Feedstock Use'!$Y$110</f>
        <v>13.270734573183534</v>
      </c>
      <c r="I288" s="18">
        <f t="shared" si="27"/>
        <v>3500.6415798064322</v>
      </c>
    </row>
    <row r="289" spans="1:9" ht="15.75" x14ac:dyDescent="0.25">
      <c r="A289" s="13">
        <v>49279</v>
      </c>
      <c r="B289" s="18">
        <f>'Feedstock Use'!$Y$15</f>
        <v>421.05639879611931</v>
      </c>
      <c r="C289" s="18">
        <f>'Feedstock Use'!$Y$31</f>
        <v>132.88146812084813</v>
      </c>
      <c r="D289" s="18">
        <f>'Feedstock Use'!$Y$47</f>
        <v>50.086219189155713</v>
      </c>
      <c r="E289" s="18">
        <f>'Feedstock Use'!$Y$63</f>
        <v>61.426591832314656</v>
      </c>
      <c r="F289" s="18">
        <f>'Feedstock Use'!$Y$79</f>
        <v>2840.6217129739312</v>
      </c>
      <c r="G289" s="18">
        <f>'Feedstock Use'!$Y$95</f>
        <v>24.561198237607144</v>
      </c>
      <c r="H289" s="18">
        <f>'Feedstock Use'!$Y$111</f>
        <v>12.531106852712284</v>
      </c>
      <c r="I289" s="18">
        <f t="shared" si="27"/>
        <v>3543.1646960026883</v>
      </c>
    </row>
    <row r="290" spans="1:9" ht="15.75" x14ac:dyDescent="0.25">
      <c r="A290" s="13">
        <v>49310</v>
      </c>
      <c r="B290" s="18">
        <f>'Feedstock Use'!$Z$4</f>
        <v>393.24810364243757</v>
      </c>
      <c r="C290" s="18">
        <f>'Feedstock Use'!$Z$20</f>
        <v>124.81362843006137</v>
      </c>
      <c r="D290" s="18">
        <f>'Feedstock Use'!$Z$36</f>
        <v>47.723436831325913</v>
      </c>
      <c r="E290" s="18">
        <f>'Feedstock Use'!$Z$52</f>
        <v>53.919203056343761</v>
      </c>
      <c r="F290" s="18">
        <f>'Feedstock Use'!$Z$68</f>
        <v>1461.7550024984278</v>
      </c>
      <c r="G290" s="18">
        <f>'Feedstock Use'!$Z$84</f>
        <v>7.9098238304146884</v>
      </c>
      <c r="H290" s="18">
        <f>'Feedstock Use'!$Z$100</f>
        <v>13.864736893819449</v>
      </c>
      <c r="I290" s="18">
        <f t="shared" si="27"/>
        <v>2103.2339351828305</v>
      </c>
    </row>
    <row r="291" spans="1:9" ht="15.75" x14ac:dyDescent="0.25">
      <c r="A291" s="13">
        <v>49341</v>
      </c>
      <c r="B291" s="18">
        <f>'Feedstock Use'!$Z$5</f>
        <v>298.65800310366296</v>
      </c>
      <c r="C291" s="18">
        <f>'Feedstock Use'!$Z$21</f>
        <v>83.14893496223695</v>
      </c>
      <c r="D291" s="18">
        <f>'Feedstock Use'!$Z$37</f>
        <v>40.232020950915199</v>
      </c>
      <c r="E291" s="18">
        <f>'Feedstock Use'!$Z$53</f>
        <v>37.043722330427769</v>
      </c>
      <c r="F291" s="18">
        <f>'Feedstock Use'!$Z$69</f>
        <v>3013.9576471228306</v>
      </c>
      <c r="G291" s="18">
        <f>'Feedstock Use'!$Z$85</f>
        <v>12.890216040845967</v>
      </c>
      <c r="H291" s="18">
        <f>'Feedstock Use'!$Z$101</f>
        <v>9.6710759035271465</v>
      </c>
      <c r="I291" s="18">
        <f t="shared" si="27"/>
        <v>3495.6016204144466</v>
      </c>
    </row>
    <row r="292" spans="1:9" ht="15.75" x14ac:dyDescent="0.25">
      <c r="A292" s="13">
        <v>49369</v>
      </c>
      <c r="B292" s="18">
        <f>'Feedstock Use'!$Z$6</f>
        <v>309.61671799434049</v>
      </c>
      <c r="C292" s="18">
        <f>'Feedstock Use'!$Z$22</f>
        <v>139.41448378530035</v>
      </c>
      <c r="D292" s="18">
        <f>'Feedstock Use'!$Z$38</f>
        <v>42.597297321661422</v>
      </c>
      <c r="E292" s="18">
        <f>'Feedstock Use'!$Z$54</f>
        <v>43.57949289620862</v>
      </c>
      <c r="F292" s="18">
        <f>'Feedstock Use'!$Z$70</f>
        <v>1991.8145104332941</v>
      </c>
      <c r="G292" s="18">
        <f>'Feedstock Use'!$Z$86</f>
        <v>13.783017233210742</v>
      </c>
      <c r="H292" s="18">
        <f>'Feedstock Use'!$Z$102</f>
        <v>11.874826061390737</v>
      </c>
      <c r="I292" s="18">
        <f t="shared" si="27"/>
        <v>2552.6803457254059</v>
      </c>
    </row>
    <row r="293" spans="1:9" ht="15.75" x14ac:dyDescent="0.25">
      <c r="A293" s="13">
        <v>49400</v>
      </c>
      <c r="B293" s="18">
        <f>'Feedstock Use'!$Z$7</f>
        <v>380.86202457364504</v>
      </c>
      <c r="C293" s="18">
        <f>'Feedstock Use'!$Z$23</f>
        <v>115.97363809027271</v>
      </c>
      <c r="D293" s="18">
        <f>'Feedstock Use'!$Z$39</f>
        <v>48.918306529058867</v>
      </c>
      <c r="E293" s="18">
        <f>'Feedstock Use'!$Z$55</f>
        <v>40.915600452823945</v>
      </c>
      <c r="F293" s="18">
        <f>'Feedstock Use'!$Z$71</f>
        <v>2957.3936085503747</v>
      </c>
      <c r="G293" s="18">
        <f>'Feedstock Use'!$Z$87</f>
        <v>16.227147323657523</v>
      </c>
      <c r="H293" s="18">
        <f>'Feedstock Use'!$Z$103</f>
        <v>11.791235914475232</v>
      </c>
      <c r="I293" s="18">
        <f t="shared" si="27"/>
        <v>3572.0815614343078</v>
      </c>
    </row>
    <row r="294" spans="1:9" ht="15.75" x14ac:dyDescent="0.25">
      <c r="A294" s="13">
        <v>49430</v>
      </c>
      <c r="B294" s="18">
        <f>'Feedstock Use'!$Z$8</f>
        <v>426.34824663138772</v>
      </c>
      <c r="C294" s="18">
        <f>'Feedstock Use'!$Z$24</f>
        <v>110.44468007690907</v>
      </c>
      <c r="D294" s="18">
        <f>'Feedstock Use'!$Z$40</f>
        <v>49.258049427829405</v>
      </c>
      <c r="E294" s="18">
        <f>'Feedstock Use'!$Z$56</f>
        <v>41.197642648683725</v>
      </c>
      <c r="F294" s="18">
        <f>'Feedstock Use'!$Z$72</f>
        <v>3628.7056938192441</v>
      </c>
      <c r="G294" s="18">
        <f>'Feedstock Use'!$Z$88</f>
        <v>21.681642977906492</v>
      </c>
      <c r="H294" s="18">
        <f>'Feedstock Use'!$Z$104</f>
        <v>9.5608212730475888</v>
      </c>
      <c r="I294" s="18">
        <f t="shared" si="27"/>
        <v>4287.1967768550085</v>
      </c>
    </row>
    <row r="295" spans="1:9" ht="15.75" x14ac:dyDescent="0.25">
      <c r="A295" s="13">
        <v>49461</v>
      </c>
      <c r="B295" s="18">
        <f>'Feedstock Use'!$Z$9</f>
        <v>369.73477511401865</v>
      </c>
      <c r="C295" s="18">
        <f>'Feedstock Use'!$Z$25</f>
        <v>153.08657839080416</v>
      </c>
      <c r="D295" s="18">
        <f>'Feedstock Use'!$Z$41</f>
        <v>51.216198174428307</v>
      </c>
      <c r="E295" s="18">
        <f>'Feedstock Use'!$Z$57</f>
        <v>44.890728213932348</v>
      </c>
      <c r="F295" s="18">
        <f>'Feedstock Use'!$Z$73</f>
        <v>3443.8070014225896</v>
      </c>
      <c r="G295" s="18">
        <f>'Feedstock Use'!$Z$89</f>
        <v>14.537542839203107</v>
      </c>
      <c r="H295" s="18">
        <f>'Feedstock Use'!$Z$105</f>
        <v>9.8838193068364699</v>
      </c>
      <c r="I295" s="18">
        <f t="shared" si="27"/>
        <v>4087.1566434618126</v>
      </c>
    </row>
    <row r="296" spans="1:9" ht="15.75" x14ac:dyDescent="0.25">
      <c r="A296" s="13">
        <v>49491</v>
      </c>
      <c r="B296" s="18">
        <f>'Feedstock Use'!$Z$10</f>
        <v>402.19921465654153</v>
      </c>
      <c r="C296" s="18">
        <f>'Feedstock Use'!$Z$26</f>
        <v>124.28614511864838</v>
      </c>
      <c r="D296" s="18">
        <f>'Feedstock Use'!$Z$42</f>
        <v>48.121014360788202</v>
      </c>
      <c r="E296" s="18">
        <f>'Feedstock Use'!$Z$58</f>
        <v>45.889623892742129</v>
      </c>
      <c r="F296" s="18">
        <f>'Feedstock Use'!$Z$74</f>
        <v>3337.6560122349465</v>
      </c>
      <c r="G296" s="18">
        <f>'Feedstock Use'!$Z$90</f>
        <v>15.74286696660459</v>
      </c>
      <c r="H296" s="18">
        <f>'Feedstock Use'!$Z$106</f>
        <v>10.095718985334061</v>
      </c>
      <c r="I296" s="18">
        <f t="shared" si="27"/>
        <v>3983.9905962156054</v>
      </c>
    </row>
    <row r="297" spans="1:9" ht="15.75" x14ac:dyDescent="0.25">
      <c r="A297" s="13">
        <v>49522</v>
      </c>
      <c r="B297" s="18">
        <f>'Feedstock Use'!$Z$11</f>
        <v>382.64567152419158</v>
      </c>
      <c r="C297" s="18">
        <f>'Feedstock Use'!$Z$27</f>
        <v>142.14937298620697</v>
      </c>
      <c r="D297" s="18">
        <f>'Feedstock Use'!$Z$43</f>
        <v>47.494218723804543</v>
      </c>
      <c r="E297" s="18">
        <f>'Feedstock Use'!$Z$59</f>
        <v>48.207328767229157</v>
      </c>
      <c r="F297" s="18">
        <f>'Feedstock Use'!$Z$75</f>
        <v>3655.3556777547165</v>
      </c>
      <c r="G297" s="18">
        <f>'Feedstock Use'!$Z$91</f>
        <v>17.445700670504536</v>
      </c>
      <c r="H297" s="18">
        <f>'Feedstock Use'!$Z$107</f>
        <v>12.525503593026972</v>
      </c>
      <c r="I297" s="18">
        <f t="shared" si="27"/>
        <v>4305.8234740196795</v>
      </c>
    </row>
    <row r="298" spans="1:9" ht="15.75" x14ac:dyDescent="0.25">
      <c r="A298" s="13">
        <v>49553</v>
      </c>
      <c r="B298" s="18">
        <f>'Feedstock Use'!$Z$12</f>
        <v>396.24863984975411</v>
      </c>
      <c r="C298" s="18">
        <f>'Feedstock Use'!$Z$28</f>
        <v>119.4749116141967</v>
      </c>
      <c r="D298" s="18">
        <f>'Feedstock Use'!$Z$44</f>
        <v>39.220694983849548</v>
      </c>
      <c r="E298" s="18">
        <f>'Feedstock Use'!$Z$60</f>
        <v>46.379027745550331</v>
      </c>
      <c r="F298" s="18">
        <f>'Feedstock Use'!$Z$76</f>
        <v>4336.6741612936557</v>
      </c>
      <c r="G298" s="18">
        <f>'Feedstock Use'!$Z$92</f>
        <v>13.1983109550031</v>
      </c>
      <c r="H298" s="18">
        <f>'Feedstock Use'!$Z$108</f>
        <v>13.083134987771023</v>
      </c>
      <c r="I298" s="18">
        <f>SUM(B298:H298)</f>
        <v>4964.2788814297801</v>
      </c>
    </row>
    <row r="299" spans="1:9" ht="15.75" x14ac:dyDescent="0.25">
      <c r="A299" s="13">
        <v>49583</v>
      </c>
      <c r="B299" s="18">
        <f>'Feedstock Use'!$Z$13</f>
        <v>454.31837270063778</v>
      </c>
      <c r="C299" s="18">
        <f>'Feedstock Use'!$Z$29</f>
        <v>94.716808504500605</v>
      </c>
      <c r="D299" s="18">
        <f>'Feedstock Use'!$Z$45</f>
        <v>37.374145305263291</v>
      </c>
      <c r="E299" s="18">
        <f>'Feedstock Use'!$Z$61</f>
        <v>34.675659058397841</v>
      </c>
      <c r="F299" s="18">
        <f>'Feedstock Use'!$Z$77</f>
        <v>4204.0095470057422</v>
      </c>
      <c r="G299" s="18">
        <f>'Feedstock Use'!$Z$93</f>
        <v>12.972539144333895</v>
      </c>
      <c r="H299" s="18">
        <f>'Feedstock Use'!$Z$109</f>
        <v>12.188104544594934</v>
      </c>
      <c r="I299" s="18">
        <f>SUM(B299:H299)</f>
        <v>4850.2551762634703</v>
      </c>
    </row>
    <row r="300" spans="1:9" ht="15.75" x14ac:dyDescent="0.25">
      <c r="A300" s="13">
        <v>49614</v>
      </c>
      <c r="B300" s="18">
        <f>'Feedstock Use'!$Z$14</f>
        <v>412.91919184540217</v>
      </c>
      <c r="C300" s="18">
        <f>'Feedstock Use'!$Z$30</f>
        <v>82.590581648509072</v>
      </c>
      <c r="D300" s="18">
        <f>'Feedstock Use'!$Z$46</f>
        <v>40.800645228925717</v>
      </c>
      <c r="E300" s="18">
        <f>'Feedstock Use'!$Z$62</f>
        <v>36.847636475284489</v>
      </c>
      <c r="F300" s="18">
        <f>'Feedstock Use'!$Z$78</f>
        <v>3285.8497435684476</v>
      </c>
      <c r="G300" s="18">
        <f>'Feedstock Use'!$Z$94</f>
        <v>23.309204605848457</v>
      </c>
      <c r="H300" s="18">
        <f>'Feedstock Use'!$Z$110</f>
        <v>12.695501809054006</v>
      </c>
      <c r="I300" s="18">
        <f>SUM(B300:H300)</f>
        <v>3895.0125051814716</v>
      </c>
    </row>
    <row r="301" spans="1:9" ht="15.75" x14ac:dyDescent="0.25">
      <c r="A301" s="13">
        <v>49644</v>
      </c>
      <c r="B301" s="18">
        <f>'Feedstock Use'!$Z$15</f>
        <v>473.48062082796849</v>
      </c>
      <c r="C301" s="18">
        <f>'Feedstock Use'!$Z$31</f>
        <v>100.4002148413939</v>
      </c>
      <c r="D301" s="18">
        <f>'Feedstock Use'!$Z$47</f>
        <v>45.969888730520559</v>
      </c>
      <c r="E301" s="18">
        <f>'Feedstock Use'!$Z$63</f>
        <v>49.149970546229902</v>
      </c>
      <c r="F301" s="18">
        <f>'Feedstock Use'!$Z$79</f>
        <v>3059.5161494880831</v>
      </c>
      <c r="G301" s="18">
        <f>'Feedstock Use'!$Z$95</f>
        <v>24.561198237607144</v>
      </c>
      <c r="H301" s="18">
        <f>'Feedstock Use'!$Z$111</f>
        <v>11.876850877597084</v>
      </c>
      <c r="I301" s="18">
        <f>SUM(B301:H301)</f>
        <v>3764.9548935494004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FAC5-EA17-4248-B557-054AB465EEFF}">
  <dimension ref="A1:G85"/>
  <sheetViews>
    <sheetView workbookViewId="0">
      <selection activeCell="E8" sqref="E8"/>
    </sheetView>
  </sheetViews>
  <sheetFormatPr defaultRowHeight="15" x14ac:dyDescent="0.25"/>
  <cols>
    <col min="1" max="1" width="9.7109375" bestFit="1" customWidth="1"/>
    <col min="2" max="3" width="11.85546875" bestFit="1" customWidth="1"/>
    <col min="6" max="6" width="11.42578125" style="2" bestFit="1" customWidth="1"/>
  </cols>
  <sheetData>
    <row r="1" spans="1:7" x14ac:dyDescent="0.25">
      <c r="B1" t="s">
        <v>0</v>
      </c>
      <c r="C1" t="s">
        <v>1</v>
      </c>
      <c r="D1" t="s">
        <v>61</v>
      </c>
      <c r="E1" t="s">
        <v>62</v>
      </c>
    </row>
    <row r="2" spans="1:7" x14ac:dyDescent="0.25">
      <c r="A2" s="1">
        <v>43466</v>
      </c>
      <c r="B2" s="2">
        <f>Biodiesel!K3</f>
        <v>107668977</v>
      </c>
      <c r="C2" s="2">
        <f>'Renewable Diesel'!K49</f>
        <v>36487021</v>
      </c>
      <c r="D2" s="19">
        <f>'[3]Profit-Production Chart Data'!$D2</f>
        <v>9.9487109375000216E-2</v>
      </c>
      <c r="E2" s="19"/>
    </row>
    <row r="3" spans="1:7" x14ac:dyDescent="0.25">
      <c r="A3" s="1">
        <v>43497</v>
      </c>
      <c r="B3" s="2">
        <f>Biodiesel!K4</f>
        <v>117330452</v>
      </c>
      <c r="C3" s="2">
        <f>'Renewable Diesel'!K50</f>
        <v>40173701</v>
      </c>
      <c r="D3" s="19">
        <f>'[3]Profit-Production Chart Data'!$D3</f>
        <v>0.10253603515624986</v>
      </c>
      <c r="E3" s="19"/>
    </row>
    <row r="4" spans="1:7" x14ac:dyDescent="0.25">
      <c r="A4" s="1">
        <v>43525</v>
      </c>
      <c r="B4" s="2">
        <f>Biodiesel!K5</f>
        <v>147660816</v>
      </c>
      <c r="C4" s="2">
        <f>'Renewable Diesel'!K51</f>
        <v>35740265</v>
      </c>
      <c r="D4" s="19">
        <f>'[3]Profit-Production Chart Data'!$D4</f>
        <v>0.17785648437499985</v>
      </c>
      <c r="E4" s="19"/>
    </row>
    <row r="5" spans="1:7" x14ac:dyDescent="0.25">
      <c r="A5" s="1">
        <v>43556</v>
      </c>
      <c r="B5" s="2">
        <f>Biodiesel!K6</f>
        <v>160899734</v>
      </c>
      <c r="C5" s="2">
        <f>'Renewable Diesel'!K52</f>
        <v>38557434</v>
      </c>
      <c r="D5" s="19">
        <f>'[3]Profit-Production Chart Data'!$D5</f>
        <v>0.20115588867187528</v>
      </c>
      <c r="E5" s="19"/>
    </row>
    <row r="6" spans="1:7" x14ac:dyDescent="0.25">
      <c r="A6" s="1">
        <v>43586</v>
      </c>
      <c r="B6" s="2">
        <f>Biodiesel!K7</f>
        <v>164042436</v>
      </c>
      <c r="C6" s="2">
        <f>'Renewable Diesel'!K53</f>
        <v>40382855</v>
      </c>
      <c r="D6" s="19">
        <f>'[3]Profit-Production Chart Data'!$D6</f>
        <v>0.23332225781250018</v>
      </c>
      <c r="E6" s="19"/>
    </row>
    <row r="7" spans="1:7" x14ac:dyDescent="0.25">
      <c r="A7" s="1">
        <v>43617</v>
      </c>
      <c r="B7" s="2">
        <f>Biodiesel!K8</f>
        <v>144102423</v>
      </c>
      <c r="C7" s="2">
        <f>'Renewable Diesel'!K54</f>
        <v>39760652</v>
      </c>
      <c r="D7" s="19">
        <f>'[3]Profit-Production Chart Data'!$D7</f>
        <v>0.16873113281250021</v>
      </c>
      <c r="E7" s="19"/>
    </row>
    <row r="8" spans="1:7" x14ac:dyDescent="0.25">
      <c r="A8" s="1">
        <v>43647</v>
      </c>
      <c r="B8" s="2">
        <f>Biodiesel!K9</f>
        <v>169452631</v>
      </c>
      <c r="C8" s="2">
        <f>'Renewable Diesel'!K55</f>
        <v>46282285</v>
      </c>
      <c r="D8" s="19">
        <f>'[3]Profit-Production Chart Data'!$D8</f>
        <v>0.20969506835937526</v>
      </c>
      <c r="E8" s="19">
        <f>'[3]Profit-Production Chart Data'!$E8</f>
        <v>2.6721150610209987</v>
      </c>
      <c r="F8" s="2">
        <v>46282285</v>
      </c>
      <c r="G8">
        <v>2.6721150610209987</v>
      </c>
    </row>
    <row r="9" spans="1:7" x14ac:dyDescent="0.25">
      <c r="A9" s="1">
        <v>43678</v>
      </c>
      <c r="B9" s="2">
        <f>Biodiesel!K10</f>
        <v>153598697</v>
      </c>
      <c r="C9" s="2">
        <f>'Renewable Diesel'!K56</f>
        <v>30180616</v>
      </c>
      <c r="D9" s="19">
        <f>'[3]Profit-Production Chart Data'!$D9</f>
        <v>0.27096679687500019</v>
      </c>
      <c r="E9" s="19">
        <f>'[3]Profit-Production Chart Data'!$E9</f>
        <v>2.638043771684953</v>
      </c>
      <c r="F9" s="2">
        <v>30180616</v>
      </c>
      <c r="G9">
        <v>2.638043771684953</v>
      </c>
    </row>
    <row r="10" spans="1:7" x14ac:dyDescent="0.25">
      <c r="A10" s="1">
        <v>43709</v>
      </c>
      <c r="B10" s="2">
        <f>Biodiesel!K11</f>
        <v>143659811</v>
      </c>
      <c r="C10" s="2">
        <f>'Renewable Diesel'!K57</f>
        <v>40692380</v>
      </c>
      <c r="D10" s="19">
        <f>'[3]Profit-Production Chart Data'!$D10</f>
        <v>0.30907017578125023</v>
      </c>
      <c r="E10" s="19">
        <f>'[3]Profit-Production Chart Data'!$E10</f>
        <v>2.9421584972922523</v>
      </c>
      <c r="F10" s="2">
        <v>40692380</v>
      </c>
      <c r="G10">
        <v>2.9421584972922523</v>
      </c>
    </row>
    <row r="11" spans="1:7" x14ac:dyDescent="0.25">
      <c r="A11" s="1">
        <v>43739</v>
      </c>
      <c r="B11" s="2">
        <f>Biodiesel!K12</f>
        <v>146618360</v>
      </c>
      <c r="C11" s="2">
        <f>'Renewable Diesel'!K58</f>
        <v>48569223</v>
      </c>
      <c r="D11" s="19">
        <f>'[3]Profit-Production Chart Data'!$D11</f>
        <v>0.21626386718749971</v>
      </c>
      <c r="E11" s="19">
        <f>'[3]Profit-Production Chart Data'!$E11</f>
        <v>3.161954647223896</v>
      </c>
      <c r="F11" s="2">
        <v>48569223</v>
      </c>
      <c r="G11">
        <v>3.161954647223896</v>
      </c>
    </row>
    <row r="12" spans="1:7" x14ac:dyDescent="0.25">
      <c r="A12" s="1">
        <v>43770</v>
      </c>
      <c r="B12" s="2">
        <f>Biodiesel!K13</f>
        <v>119139678</v>
      </c>
      <c r="C12" s="2">
        <f>'Renewable Diesel'!K59</f>
        <v>42514597</v>
      </c>
      <c r="D12" s="19">
        <f>'[3]Profit-Production Chart Data'!$D12</f>
        <v>0.24853543593749991</v>
      </c>
      <c r="E12" s="19">
        <f>'[3]Profit-Production Chart Data'!$E12</f>
        <v>3.3629505995688911</v>
      </c>
      <c r="F12" s="2">
        <v>42514597</v>
      </c>
      <c r="G12">
        <v>3.3629505995688911</v>
      </c>
    </row>
    <row r="13" spans="1:7" x14ac:dyDescent="0.25">
      <c r="A13" s="1">
        <v>43800</v>
      </c>
      <c r="B13" s="2">
        <f>Biodiesel!K14</f>
        <v>139601581</v>
      </c>
      <c r="C13" s="2">
        <f>'Renewable Diesel'!K60</f>
        <v>52796160</v>
      </c>
      <c r="D13" s="19">
        <f>'[3]Profit-Production Chart Data'!$D13</f>
        <v>0.19867684570312527</v>
      </c>
      <c r="E13" s="19">
        <f>'[3]Profit-Production Chart Data'!$E13</f>
        <v>3.0939278659117337</v>
      </c>
      <c r="F13" s="2">
        <v>52796160</v>
      </c>
      <c r="G13">
        <v>3.0939278659117337</v>
      </c>
    </row>
    <row r="14" spans="1:7" x14ac:dyDescent="0.25">
      <c r="A14" s="1">
        <v>43831</v>
      </c>
      <c r="B14" s="2">
        <f>Biodiesel!L3</f>
        <v>118403817</v>
      </c>
      <c r="C14" s="2">
        <f>'Renewable Diesel'!L49</f>
        <v>41857492</v>
      </c>
      <c r="D14" s="19">
        <f>'[3]Profit-Production Chart Data'!$D14</f>
        <v>7.8307666015625207E-2</v>
      </c>
      <c r="E14" s="19">
        <f>'[3]Profit-Production Chart Data'!$E14</f>
        <v>2.7623783775595525</v>
      </c>
      <c r="F14" s="2">
        <v>41857492</v>
      </c>
      <c r="G14">
        <v>2.7623783775595525</v>
      </c>
    </row>
    <row r="15" spans="1:7" x14ac:dyDescent="0.25">
      <c r="A15" s="1">
        <v>43862</v>
      </c>
      <c r="B15" s="2">
        <f>Biodiesel!L4</f>
        <v>128033003</v>
      </c>
      <c r="C15" s="2">
        <f>'Renewable Diesel'!L50</f>
        <v>37300666</v>
      </c>
      <c r="D15" s="19">
        <f>'[3]Profit-Production Chart Data'!$D15</f>
        <v>0.12987765043749994</v>
      </c>
      <c r="E15" s="19">
        <f>'[3]Profit-Production Chart Data'!$E15</f>
        <v>2.34728112654187</v>
      </c>
      <c r="F15" s="2">
        <v>37300666</v>
      </c>
      <c r="G15">
        <v>2.34728112654187</v>
      </c>
    </row>
    <row r="16" spans="1:7" x14ac:dyDescent="0.25">
      <c r="A16" s="1">
        <v>43891</v>
      </c>
      <c r="B16" s="2">
        <f>Biodiesel!L5</f>
        <v>150092678</v>
      </c>
      <c r="C16" s="2">
        <f>'Renewable Diesel'!L51</f>
        <v>45226785</v>
      </c>
      <c r="D16" s="19">
        <f>'[3]Profit-Production Chart Data'!$D16</f>
        <v>0.318521484375</v>
      </c>
      <c r="E16" s="19">
        <f>'[3]Profit-Production Chart Data'!$E16</f>
        <v>1.87472491902821</v>
      </c>
      <c r="F16" s="2">
        <v>45226785</v>
      </c>
      <c r="G16">
        <v>1.87472491902821</v>
      </c>
    </row>
    <row r="17" spans="1:7" x14ac:dyDescent="0.25">
      <c r="A17" s="1">
        <v>43922</v>
      </c>
      <c r="B17" s="2">
        <f>Biodiesel!L6</f>
        <v>149356126</v>
      </c>
      <c r="C17" s="2">
        <f>'Renewable Diesel'!L52</f>
        <v>38638856</v>
      </c>
      <c r="D17" s="19">
        <f>'[3]Profit-Production Chart Data'!$D17</f>
        <v>0.46066177734375013</v>
      </c>
      <c r="E17" s="19">
        <f>'[3]Profit-Production Chart Data'!$E17</f>
        <v>1.6921815657901746</v>
      </c>
      <c r="F17" s="2">
        <v>38638856</v>
      </c>
      <c r="G17">
        <v>1.6921815657901746</v>
      </c>
    </row>
    <row r="18" spans="1:7" x14ac:dyDescent="0.25">
      <c r="A18" s="1">
        <v>43952</v>
      </c>
      <c r="B18" s="2">
        <f>Biodiesel!L7</f>
        <v>143174223</v>
      </c>
      <c r="C18" s="2">
        <f>'Renewable Diesel'!L53</f>
        <v>46421171</v>
      </c>
      <c r="D18" s="19">
        <f>'[3]Profit-Production Chart Data'!$D18</f>
        <v>0.49430810937500003</v>
      </c>
      <c r="E18" s="19">
        <f>'[3]Profit-Production Chart Data'!$E18</f>
        <v>1.6525784740675509</v>
      </c>
      <c r="F18" s="2">
        <v>46421171</v>
      </c>
      <c r="G18">
        <v>1.6525784740675509</v>
      </c>
    </row>
    <row r="19" spans="1:7" x14ac:dyDescent="0.25">
      <c r="A19" s="1">
        <v>43983</v>
      </c>
      <c r="B19" s="2">
        <f>Biodiesel!L8</f>
        <v>165519330</v>
      </c>
      <c r="C19" s="2">
        <f>'Renewable Diesel'!L54</f>
        <v>53207936</v>
      </c>
      <c r="D19" s="19">
        <f>'[3]Profit-Production Chart Data'!$D19</f>
        <v>0.51622007812500015</v>
      </c>
      <c r="E19" s="19">
        <f>'[3]Profit-Production Chart Data'!$E19</f>
        <v>2.3463817306336043</v>
      </c>
      <c r="F19" s="2">
        <v>53207936</v>
      </c>
      <c r="G19">
        <v>2.3463817306336043</v>
      </c>
    </row>
    <row r="20" spans="1:7" x14ac:dyDescent="0.25">
      <c r="A20" s="1">
        <v>44013</v>
      </c>
      <c r="B20" s="2">
        <f>Biodiesel!L9</f>
        <v>162738265</v>
      </c>
      <c r="C20" s="2">
        <f>'Renewable Diesel'!L55</f>
        <v>46684399</v>
      </c>
      <c r="D20" s="19">
        <f>'[3]Profit-Production Chart Data'!$D20</f>
        <v>0.48591327148437513</v>
      </c>
      <c r="E20" s="19">
        <f>'[3]Profit-Production Chart Data'!$E20</f>
        <v>2.5125428891441501</v>
      </c>
      <c r="F20" s="2">
        <v>46684399</v>
      </c>
      <c r="G20">
        <v>2.5125428891441501</v>
      </c>
    </row>
    <row r="21" spans="1:7" x14ac:dyDescent="0.25">
      <c r="A21" s="1">
        <v>44044</v>
      </c>
      <c r="B21" s="2">
        <f>Biodiesel!L10</f>
        <v>171493499</v>
      </c>
      <c r="C21" s="2">
        <f>'Renewable Diesel'!L56</f>
        <v>43952654</v>
      </c>
      <c r="D21" s="19">
        <f>'[3]Profit-Production Chart Data'!$D21</f>
        <v>0.32128970312500033</v>
      </c>
      <c r="E21" s="19">
        <f>'[3]Profit-Production Chart Data'!$E21</f>
        <v>2.2921425963451778</v>
      </c>
      <c r="F21" s="2">
        <v>43952654</v>
      </c>
      <c r="G21">
        <v>2.2921425963451778</v>
      </c>
    </row>
    <row r="22" spans="1:7" x14ac:dyDescent="0.25">
      <c r="A22" s="1">
        <v>44075</v>
      </c>
      <c r="B22" s="2">
        <f>Biodiesel!L11</f>
        <v>167865219</v>
      </c>
      <c r="C22" s="2">
        <f>'Renewable Diesel'!L57</f>
        <v>48112771</v>
      </c>
      <c r="D22" s="19">
        <f>'[3]Profit-Production Chart Data'!$D22</f>
        <v>0.40326930664062521</v>
      </c>
      <c r="E22" s="19">
        <f>'[3]Profit-Production Chart Data'!$E22</f>
        <v>2.2927496283470639</v>
      </c>
      <c r="F22" s="2">
        <v>48112771</v>
      </c>
      <c r="G22">
        <v>2.2927496283470639</v>
      </c>
    </row>
    <row r="23" spans="1:7" x14ac:dyDescent="0.25">
      <c r="A23" s="1">
        <v>44105</v>
      </c>
      <c r="B23" s="2">
        <f>Biodiesel!L12</f>
        <v>149489760</v>
      </c>
      <c r="C23" s="2">
        <f>'Renewable Diesel'!L58</f>
        <v>25237496</v>
      </c>
      <c r="D23" s="19">
        <f>'[3]Profit-Production Chart Data'!$D23</f>
        <v>0.51155395312500007</v>
      </c>
      <c r="E23" s="19">
        <f>'[3]Profit-Production Chart Data'!$E23</f>
        <v>2.2604731313147619</v>
      </c>
      <c r="F23" s="2">
        <v>25237496</v>
      </c>
      <c r="G23">
        <v>2.2604731313147619</v>
      </c>
    </row>
    <row r="24" spans="1:7" x14ac:dyDescent="0.25">
      <c r="A24" s="1">
        <v>44136</v>
      </c>
      <c r="B24" s="2">
        <f>Biodiesel!L13</f>
        <v>142828517</v>
      </c>
      <c r="C24" s="2">
        <f>'Renewable Diesel'!L59</f>
        <v>49060129</v>
      </c>
      <c r="D24" s="19">
        <f>'[3]Profit-Production Chart Data'!$D24</f>
        <v>0.42481586914062491</v>
      </c>
      <c r="E24" s="19">
        <f>'[3]Profit-Production Chart Data'!$E24</f>
        <v>2.4727279497464059</v>
      </c>
      <c r="F24" s="2">
        <v>49060129</v>
      </c>
      <c r="G24">
        <v>2.4727279497464059</v>
      </c>
    </row>
    <row r="25" spans="1:7" x14ac:dyDescent="0.25">
      <c r="A25" s="1">
        <v>44166</v>
      </c>
      <c r="B25" s="2">
        <f>Biodiesel!L14</f>
        <v>175881221</v>
      </c>
      <c r="C25" s="2">
        <f>'Renewable Diesel'!L60</f>
        <v>57807992</v>
      </c>
      <c r="D25" s="19">
        <f>'[3]Profit-Production Chart Data'!$D25</f>
        <v>0.4441492675781249</v>
      </c>
      <c r="E25" s="19">
        <f>'[3]Profit-Production Chart Data'!$E25</f>
        <v>2.6336432469151547</v>
      </c>
      <c r="F25" s="2">
        <v>57807992</v>
      </c>
      <c r="G25">
        <v>2.6336432469151547</v>
      </c>
    </row>
    <row r="26" spans="1:7" x14ac:dyDescent="0.25">
      <c r="A26" s="1">
        <v>44197</v>
      </c>
      <c r="B26" s="2">
        <f>Biodiesel!M3</f>
        <v>107302585</v>
      </c>
      <c r="C26" s="2">
        <f>'Renewable Diesel'!M49</f>
        <v>50374630</v>
      </c>
      <c r="D26" s="19">
        <f>'[3]Profit-Production Chart Data'!$D26</f>
        <v>0.38612319531249994</v>
      </c>
      <c r="E26" s="19">
        <f>'[3]Profit-Production Chart Data'!$E26</f>
        <v>2.5535517233651159</v>
      </c>
      <c r="F26" s="2">
        <v>50374630</v>
      </c>
      <c r="G26">
        <v>2.5535517233651159</v>
      </c>
    </row>
    <row r="27" spans="1:7" x14ac:dyDescent="0.25">
      <c r="A27" s="1">
        <v>44228</v>
      </c>
      <c r="B27" s="2">
        <f>Biodiesel!M4</f>
        <v>109881050</v>
      </c>
      <c r="C27" s="2">
        <f>'Renewable Diesel'!M50</f>
        <v>51175710</v>
      </c>
      <c r="D27" s="19">
        <f>'[3]Profit-Production Chart Data'!$D27</f>
        <v>0.48357373046875041</v>
      </c>
      <c r="E27" s="19">
        <f>'[3]Profit-Production Chart Data'!$E27</f>
        <v>2.5698286546840863</v>
      </c>
      <c r="F27" s="2">
        <v>51175710</v>
      </c>
      <c r="G27">
        <v>2.5698286546840863</v>
      </c>
    </row>
    <row r="28" spans="1:7" x14ac:dyDescent="0.25">
      <c r="A28" s="1">
        <v>44256</v>
      </c>
      <c r="B28" s="2">
        <f>Biodiesel!M5</f>
        <v>150338931</v>
      </c>
      <c r="C28" s="2">
        <f>'Renewable Diesel'!M51</f>
        <v>59222033</v>
      </c>
      <c r="D28" s="19">
        <f>'[3]Profit-Production Chart Data'!$D28</f>
        <v>0.25950019531249985</v>
      </c>
      <c r="E28" s="19">
        <f>'[3]Profit-Production Chart Data'!$E28</f>
        <v>2.7795708868212681</v>
      </c>
      <c r="F28" s="2">
        <v>59222033</v>
      </c>
      <c r="G28">
        <v>2.7795708868212681</v>
      </c>
    </row>
    <row r="29" spans="1:7" x14ac:dyDescent="0.25">
      <c r="A29" s="1">
        <v>44287</v>
      </c>
      <c r="B29" s="2">
        <f>Biodiesel!M6</f>
        <v>144396494</v>
      </c>
      <c r="C29" s="2">
        <f>'Renewable Diesel'!M52</f>
        <v>50634433</v>
      </c>
      <c r="D29" s="19">
        <f>'[3]Profit-Production Chart Data'!$D29</f>
        <v>0.22841440429687454</v>
      </c>
      <c r="E29" s="19">
        <f>'[3]Profit-Production Chart Data'!$E29</f>
        <v>2.4943223595551798</v>
      </c>
      <c r="F29" s="2">
        <v>50634433</v>
      </c>
      <c r="G29">
        <v>2.4943223595551798</v>
      </c>
    </row>
    <row r="30" spans="1:7" x14ac:dyDescent="0.25">
      <c r="A30" s="1">
        <v>44317</v>
      </c>
      <c r="B30" s="2">
        <f>Biodiesel!M7</f>
        <v>150501950</v>
      </c>
      <c r="C30" s="2">
        <f>'Renewable Diesel'!M53</f>
        <v>60051437</v>
      </c>
      <c r="D30" s="19">
        <f>'[3]Profit-Production Chart Data'!$D30</f>
        <v>-0.78270078125000031</v>
      </c>
      <c r="E30" s="19">
        <f>'[3]Profit-Production Chart Data'!$E30</f>
        <v>3.3620200825924513</v>
      </c>
      <c r="F30" s="2">
        <v>60051437</v>
      </c>
      <c r="G30">
        <v>3.3620200825924513</v>
      </c>
    </row>
    <row r="31" spans="1:7" x14ac:dyDescent="0.25">
      <c r="A31" s="1">
        <v>44348</v>
      </c>
      <c r="B31" s="2">
        <f>Biodiesel!M8</f>
        <v>154457118</v>
      </c>
      <c r="C31" s="2">
        <f>'Renewable Diesel'!M54</f>
        <v>68859545</v>
      </c>
      <c r="D31" s="19">
        <f>'[3]Profit-Production Chart Data'!$D31</f>
        <v>-0.80581544921875059</v>
      </c>
      <c r="E31" s="19">
        <f>'[3]Profit-Production Chart Data'!$E31</f>
        <v>3.1953934660263252</v>
      </c>
      <c r="F31" s="2">
        <v>68859545</v>
      </c>
      <c r="G31">
        <v>3.1953934660263252</v>
      </c>
    </row>
    <row r="32" spans="1:7" x14ac:dyDescent="0.25">
      <c r="A32" s="1">
        <v>44378</v>
      </c>
      <c r="B32" s="2">
        <f>Biodiesel!M9</f>
        <v>146890338</v>
      </c>
      <c r="C32" s="2">
        <f>'Renewable Diesel'!M55</f>
        <v>69500573</v>
      </c>
      <c r="D32" s="19">
        <f>'[3]Profit-Production Chart Data'!$D32</f>
        <v>-0.59549066406249929</v>
      </c>
      <c r="E32" s="19">
        <f>'[3]Profit-Production Chart Data'!$E32</f>
        <v>2.6278055963040594</v>
      </c>
      <c r="F32" s="2">
        <v>69500573</v>
      </c>
      <c r="G32">
        <v>2.6278055963040594</v>
      </c>
    </row>
    <row r="33" spans="1:7" x14ac:dyDescent="0.25">
      <c r="A33" s="1">
        <v>44409</v>
      </c>
      <c r="B33" s="2">
        <f>Biodiesel!M10</f>
        <v>154582245</v>
      </c>
      <c r="C33" s="2">
        <f>'Renewable Diesel'!M56</f>
        <v>82392520</v>
      </c>
      <c r="D33" s="19">
        <f>'[3]Profit-Production Chart Data'!$D33</f>
        <v>-7.5037695312500152E-2</v>
      </c>
      <c r="E33" s="19">
        <f>'[3]Profit-Production Chart Data'!$E33</f>
        <v>2.4059289364402536</v>
      </c>
      <c r="F33" s="2">
        <v>82392520</v>
      </c>
      <c r="G33">
        <v>2.4059289364402536</v>
      </c>
    </row>
    <row r="34" spans="1:7" x14ac:dyDescent="0.25">
      <c r="A34" s="1">
        <v>44440</v>
      </c>
      <c r="B34" s="2">
        <f>Biodiesel!M11</f>
        <v>139934774</v>
      </c>
      <c r="C34" s="2">
        <f>'Renewable Diesel'!M57</f>
        <v>55747506</v>
      </c>
      <c r="D34" s="19">
        <f>'[3]Profit-Production Chart Data'!$D34</f>
        <v>0.17308232421875025</v>
      </c>
      <c r="E34" s="19">
        <f>'[3]Profit-Production Chart Data'!$E34</f>
        <v>2.3109276738437128</v>
      </c>
      <c r="F34" s="2">
        <v>55747506</v>
      </c>
      <c r="G34">
        <v>2.3109276738437128</v>
      </c>
    </row>
    <row r="35" spans="1:7" x14ac:dyDescent="0.25">
      <c r="A35" s="1">
        <v>44470</v>
      </c>
      <c r="B35" s="2">
        <f>Biodiesel!M12</f>
        <v>139778878</v>
      </c>
      <c r="C35" s="2">
        <f>'Renewable Diesel'!M58</f>
        <v>77344974</v>
      </c>
      <c r="D35" s="19">
        <f>'[3]Profit-Production Chart Data'!$D35</f>
        <v>-4.4291453124999866E-2</v>
      </c>
      <c r="E35" s="19">
        <f>'[3]Profit-Production Chart Data'!$E35</f>
        <v>2.3438349461471057</v>
      </c>
      <c r="F35" s="2">
        <v>77344974</v>
      </c>
      <c r="G35">
        <v>2.3438349461471057</v>
      </c>
    </row>
    <row r="36" spans="1:7" x14ac:dyDescent="0.25">
      <c r="A36" s="1">
        <v>44501</v>
      </c>
      <c r="B36" s="2">
        <f>Biodiesel!M13</f>
        <v>140856752</v>
      </c>
      <c r="C36" s="2">
        <f>'Renewable Diesel'!M59</f>
        <v>101861084</v>
      </c>
      <c r="D36" s="19">
        <f>'[3]Profit-Production Chart Data'!$D36</f>
        <v>0.29745240429687453</v>
      </c>
      <c r="E36" s="19">
        <f>'[3]Profit-Production Chart Data'!$E36</f>
        <v>1.9254162523422698</v>
      </c>
      <c r="F36" s="2">
        <v>101861084</v>
      </c>
      <c r="G36">
        <v>1.9254162523422698</v>
      </c>
    </row>
    <row r="37" spans="1:7" x14ac:dyDescent="0.25">
      <c r="A37" s="1">
        <v>44531</v>
      </c>
      <c r="B37" s="2">
        <f>Biodiesel!M14</f>
        <v>165708240</v>
      </c>
      <c r="C37" s="2">
        <f>'Renewable Diesel'!M60</f>
        <v>118270462</v>
      </c>
      <c r="D37" s="19">
        <f>'[3]Profit-Production Chart Data'!$D37</f>
        <v>0.36822954101562427</v>
      </c>
      <c r="E37" s="19">
        <f>'[3]Profit-Production Chart Data'!$E37</f>
        <v>1.9623688375730379</v>
      </c>
      <c r="F37" s="2">
        <v>118270462</v>
      </c>
      <c r="G37">
        <v>1.9623688375730379</v>
      </c>
    </row>
    <row r="38" spans="1:7" x14ac:dyDescent="0.25">
      <c r="A38" s="1">
        <v>44562</v>
      </c>
      <c r="B38" s="2">
        <f>Biodiesel!N3</f>
        <v>90715015</v>
      </c>
      <c r="C38" s="2">
        <f>'Renewable Diesel'!N49</f>
        <v>87010244</v>
      </c>
      <c r="D38" s="19">
        <f>'[3]Profit-Production Chart Data'!$D38</f>
        <v>0.20728572656250041</v>
      </c>
      <c r="E38" s="19">
        <f>'[3]Profit-Production Chart Data'!$E38</f>
        <v>1.954574986704511</v>
      </c>
      <c r="F38" s="2">
        <v>87010244</v>
      </c>
      <c r="G38">
        <v>1.954574986704511</v>
      </c>
    </row>
    <row r="39" spans="1:7" x14ac:dyDescent="0.25">
      <c r="A39" s="1">
        <v>44593</v>
      </c>
      <c r="B39" s="2">
        <f>Biodiesel!N4</f>
        <v>110442650</v>
      </c>
      <c r="C39" s="2">
        <f>'Renewable Diesel'!N50</f>
        <v>101396491</v>
      </c>
      <c r="D39" s="19">
        <f>'[3]Profit-Production Chart Data'!$D39</f>
        <v>0.32033804687500023</v>
      </c>
      <c r="E39" s="19">
        <f>'[3]Profit-Production Chart Data'!$E39</f>
        <v>1.923519063224236</v>
      </c>
      <c r="F39" s="2">
        <v>101396491</v>
      </c>
      <c r="G39">
        <v>1.923519063224236</v>
      </c>
    </row>
    <row r="40" spans="1:7" x14ac:dyDescent="0.25">
      <c r="A40" s="1">
        <v>44621</v>
      </c>
      <c r="B40" s="2">
        <f>Biodiesel!N5</f>
        <v>135869438</v>
      </c>
      <c r="C40" s="2">
        <f>'Renewable Diesel'!N51</f>
        <v>110055959</v>
      </c>
      <c r="D40" s="19">
        <f>'[3]Profit-Production Chart Data'!$D40</f>
        <v>7.2898164062499632E-2</v>
      </c>
      <c r="E40" s="19">
        <f>'[3]Profit-Production Chart Data'!$E40</f>
        <v>2.2743834143490371</v>
      </c>
      <c r="F40" s="2">
        <v>110055959</v>
      </c>
      <c r="G40">
        <v>2.2743834143490371</v>
      </c>
    </row>
    <row r="41" spans="1:7" x14ac:dyDescent="0.25">
      <c r="A41" s="1">
        <v>44652</v>
      </c>
      <c r="B41" s="2">
        <f>Biodiesel!N6</f>
        <v>144286382</v>
      </c>
      <c r="C41" s="2">
        <f>'Renewable Diesel'!N52</f>
        <v>106480662</v>
      </c>
      <c r="D41" s="19">
        <f>'[3]Profit-Production Chart Data'!$D41</f>
        <v>0.4831014453125001</v>
      </c>
      <c r="E41" s="19">
        <f>'[3]Profit-Production Chart Data'!$E41</f>
        <v>2.6493530361076125</v>
      </c>
      <c r="F41" s="2">
        <v>106480662</v>
      </c>
      <c r="G41">
        <v>2.6493530361076125</v>
      </c>
    </row>
    <row r="42" spans="1:7" x14ac:dyDescent="0.25">
      <c r="A42" s="1">
        <v>44682</v>
      </c>
      <c r="B42" s="2">
        <f>Biodiesel!N7</f>
        <v>139875243</v>
      </c>
      <c r="C42" s="2">
        <f>'Renewable Diesel'!N53</f>
        <v>136075722</v>
      </c>
      <c r="D42" s="19">
        <f>'[3]Profit-Production Chart Data'!$D42</f>
        <v>0.11767703125000054</v>
      </c>
      <c r="E42" s="19">
        <f>'[3]Profit-Production Chart Data'!$E42</f>
        <v>2.6700832716098173</v>
      </c>
      <c r="F42" s="2">
        <v>136075722</v>
      </c>
      <c r="G42">
        <v>2.6700832716098173</v>
      </c>
    </row>
    <row r="43" spans="1:7" x14ac:dyDescent="0.25">
      <c r="A43" s="1">
        <v>44713</v>
      </c>
      <c r="B43" s="2">
        <f>Biodiesel!N8</f>
        <v>142855221</v>
      </c>
      <c r="C43" s="2">
        <f>'Renewable Diesel'!N54</f>
        <v>116253275</v>
      </c>
      <c r="D43" s="19">
        <f>'[3]Profit-Production Chart Data'!$D43</f>
        <v>0.27459118164062479</v>
      </c>
      <c r="E43" s="19">
        <f>'[3]Profit-Production Chart Data'!$E43</f>
        <v>2.7512809391405337</v>
      </c>
      <c r="F43" s="2">
        <v>116253275</v>
      </c>
      <c r="G43">
        <v>2.7512809391405337</v>
      </c>
    </row>
    <row r="44" spans="1:7" x14ac:dyDescent="0.25">
      <c r="A44" s="1">
        <v>44743</v>
      </c>
      <c r="B44" s="2">
        <f>Biodiesel!N9</f>
        <v>137545866</v>
      </c>
      <c r="C44" s="2">
        <f>'Renewable Diesel'!N55</f>
        <v>108975538</v>
      </c>
      <c r="D44" s="19">
        <f>'[3]Profit-Production Chart Data'!$D44</f>
        <v>1.0311620703124995</v>
      </c>
      <c r="E44" s="19">
        <f>'[3]Profit-Production Chart Data'!$E44</f>
        <v>2.3450298610328142</v>
      </c>
      <c r="F44" s="2">
        <v>108975538</v>
      </c>
      <c r="G44">
        <v>2.3450298610328142</v>
      </c>
    </row>
    <row r="45" spans="1:7" x14ac:dyDescent="0.25">
      <c r="A45" s="1">
        <v>44774</v>
      </c>
      <c r="B45" s="2">
        <f>Biodiesel!N10</f>
        <v>151833118</v>
      </c>
      <c r="C45" s="2">
        <f>'Renewable Diesel'!N56</f>
        <v>122248954</v>
      </c>
      <c r="D45" s="19">
        <f>'[3]Profit-Production Chart Data'!$D45</f>
        <v>0.79750257812499969</v>
      </c>
      <c r="E45" s="19">
        <f>'[3]Profit-Production Chart Data'!$E45</f>
        <v>2.3688001307179283</v>
      </c>
      <c r="F45" s="2">
        <v>122248954</v>
      </c>
      <c r="G45">
        <v>2.3688001307179283</v>
      </c>
    </row>
    <row r="46" spans="1:7" x14ac:dyDescent="0.25">
      <c r="A46" s="1">
        <v>44805</v>
      </c>
      <c r="B46" s="2">
        <f>Biodiesel!N11</f>
        <v>141860945</v>
      </c>
      <c r="C46" s="2">
        <f>'Renewable Diesel'!N57</f>
        <v>127613378</v>
      </c>
      <c r="D46" s="19">
        <f>'[3]Profit-Production Chart Data'!$D46</f>
        <v>0.99801367187499979</v>
      </c>
      <c r="E46" s="19">
        <f>'[3]Profit-Production Chart Data'!$E46</f>
        <v>2.2464463616233639</v>
      </c>
      <c r="F46" s="2">
        <v>127613378</v>
      </c>
      <c r="G46">
        <v>2.2464463616233639</v>
      </c>
    </row>
    <row r="47" spans="1:7" x14ac:dyDescent="0.25">
      <c r="A47" s="1">
        <v>44835</v>
      </c>
      <c r="B47" s="2">
        <f>Biodiesel!N12</f>
        <v>138040230</v>
      </c>
      <c r="C47" s="2">
        <f>'Renewable Diesel'!N58</f>
        <v>113679693</v>
      </c>
      <c r="D47" s="19">
        <f>'[3]Profit-Production Chart Data'!$D47</f>
        <v>1.2858740156249993</v>
      </c>
      <c r="E47" s="19">
        <f>'[3]Profit-Production Chart Data'!$E47</f>
        <v>2.6869255032921791</v>
      </c>
      <c r="F47" s="2">
        <v>113679693</v>
      </c>
      <c r="G47">
        <v>2.6869255032921791</v>
      </c>
    </row>
    <row r="48" spans="1:7" x14ac:dyDescent="0.25">
      <c r="A48" s="1">
        <v>44866</v>
      </c>
      <c r="B48" s="2">
        <f>Biodiesel!N13</f>
        <v>141295576</v>
      </c>
      <c r="C48" s="2">
        <f>'Renewable Diesel'!N59</f>
        <v>171787630</v>
      </c>
      <c r="D48" s="19">
        <f>'[3]Profit-Production Chart Data'!$D48</f>
        <v>0.97461835742187442</v>
      </c>
      <c r="E48" s="19">
        <f>'[3]Profit-Production Chart Data'!$E48</f>
        <v>2.5760059684286203</v>
      </c>
      <c r="F48" s="2">
        <v>171787630</v>
      </c>
      <c r="G48">
        <v>2.5760059684286203</v>
      </c>
    </row>
    <row r="49" spans="1:7" x14ac:dyDescent="0.25">
      <c r="A49" s="1">
        <v>44896</v>
      </c>
      <c r="B49" s="2">
        <f>Biodiesel!N14</f>
        <v>145591401</v>
      </c>
      <c r="C49" s="2">
        <f>'Renewable Diesel'!N60</f>
        <v>153759160</v>
      </c>
      <c r="D49" s="19">
        <f>'[3]Profit-Production Chart Data'!$D49</f>
        <v>1.2411080937499996</v>
      </c>
      <c r="E49" s="19">
        <f>'[3]Profit-Production Chart Data'!$E49</f>
        <v>2.0307330607661322</v>
      </c>
      <c r="F49" s="2">
        <v>153759160</v>
      </c>
      <c r="G49">
        <v>2.0307330607661322</v>
      </c>
    </row>
    <row r="50" spans="1:7" x14ac:dyDescent="0.25">
      <c r="A50" s="1">
        <v>44927</v>
      </c>
      <c r="B50" s="2">
        <f>Biodiesel!O3</f>
        <v>119548309</v>
      </c>
      <c r="C50" s="2">
        <f>'Renewable Diesel'!O49</f>
        <v>148278375</v>
      </c>
      <c r="D50" s="19">
        <f>'[3]Profit-Production Chart Data'!$D50</f>
        <v>1.3073287988281252</v>
      </c>
      <c r="E50" s="19">
        <f>'[3]Profit-Production Chart Data'!$E50</f>
        <v>2.0164636266104692</v>
      </c>
      <c r="F50" s="2">
        <v>148278375</v>
      </c>
      <c r="G50">
        <v>2.0164636266104692</v>
      </c>
    </row>
    <row r="51" spans="1:7" x14ac:dyDescent="0.25">
      <c r="A51" s="1">
        <v>44958</v>
      </c>
      <c r="B51" s="2">
        <f>Biodiesel!O4</f>
        <v>114742607</v>
      </c>
      <c r="C51" s="2">
        <f>'Renewable Diesel'!O50</f>
        <v>141070359</v>
      </c>
      <c r="D51" s="19">
        <f>'[3]Profit-Production Chart Data'!$D51</f>
        <v>1.1511378808593742</v>
      </c>
      <c r="E51" s="19">
        <f>'[3]Profit-Production Chart Data'!$E51</f>
        <v>2.2643429802354262</v>
      </c>
      <c r="F51" s="2">
        <v>141070359</v>
      </c>
      <c r="G51">
        <v>2.2643429802354262</v>
      </c>
    </row>
    <row r="52" spans="1:7" x14ac:dyDescent="0.25">
      <c r="A52" s="1">
        <v>44986</v>
      </c>
      <c r="B52" s="2">
        <f>Biodiesel!O5</f>
        <v>130889308</v>
      </c>
      <c r="C52" s="2">
        <f>'Renewable Diesel'!O51</f>
        <v>184175802</v>
      </c>
      <c r="D52" s="19">
        <f>'[3]Profit-Production Chart Data'!$D52</f>
        <v>0.87526437499999998</v>
      </c>
      <c r="E52" s="19">
        <f>'[3]Profit-Production Chart Data'!$E52</f>
        <v>2.5072819481690791</v>
      </c>
      <c r="F52" s="2">
        <v>184175802</v>
      </c>
      <c r="G52">
        <v>2.5072819481690791</v>
      </c>
    </row>
    <row r="53" spans="1:7" x14ac:dyDescent="0.25">
      <c r="A53" s="1">
        <v>45017</v>
      </c>
      <c r="B53" s="2">
        <f>Biodiesel!O6</f>
        <v>133835520</v>
      </c>
      <c r="C53" s="2">
        <f>'Renewable Diesel'!O52</f>
        <v>174407540</v>
      </c>
      <c r="D53" s="19">
        <f>'[3]Profit-Production Chart Data'!$D53</f>
        <v>0.62540899218750001</v>
      </c>
      <c r="E53" s="19">
        <f>'[3]Profit-Production Chart Data'!$E53</f>
        <v>2.5041132465928277</v>
      </c>
      <c r="F53" s="2">
        <v>174407540</v>
      </c>
      <c r="G53">
        <v>2.5041132465928277</v>
      </c>
    </row>
    <row r="54" spans="1:7" x14ac:dyDescent="0.25">
      <c r="A54" s="1">
        <v>45047</v>
      </c>
      <c r="B54" s="2">
        <f>Biodiesel!O7</f>
        <v>163593533</v>
      </c>
      <c r="C54" s="2">
        <f>'Renewable Diesel'!O53</f>
        <v>229265334</v>
      </c>
      <c r="D54" s="19">
        <f>'[3]Profit-Production Chart Data'!$D54</f>
        <v>0.66023046875000013</v>
      </c>
      <c r="E54" s="19">
        <f>'[3]Profit-Production Chart Data'!$E54</f>
        <v>2.0087243199721065</v>
      </c>
      <c r="F54" s="2">
        <v>229265334</v>
      </c>
      <c r="G54">
        <v>2.0087243199721065</v>
      </c>
    </row>
    <row r="55" spans="1:7" x14ac:dyDescent="0.25">
      <c r="A55" s="1">
        <v>45078</v>
      </c>
      <c r="B55" s="2">
        <f>Biodiesel!O8</f>
        <v>153006295</v>
      </c>
      <c r="C55" s="2">
        <f>'Renewable Diesel'!O54</f>
        <v>202490999</v>
      </c>
      <c r="D55" s="19">
        <f>'[3]Profit-Production Chart Data'!$D55</f>
        <v>0.1930188476562501</v>
      </c>
      <c r="E55" s="19">
        <f>'[3]Profit-Production Chart Data'!$E55</f>
        <v>1.7053365581225082</v>
      </c>
      <c r="F55" s="2">
        <v>202490999</v>
      </c>
      <c r="G55">
        <v>1.7053365581225082</v>
      </c>
    </row>
    <row r="56" spans="1:7" x14ac:dyDescent="0.25">
      <c r="A56" s="1">
        <v>45108</v>
      </c>
      <c r="B56" s="2">
        <f>Biodiesel!O9</f>
        <v>142593233</v>
      </c>
      <c r="C56" s="2">
        <f>'Renewable Diesel'!O55</f>
        <v>182796774</v>
      </c>
      <c r="D56" s="19">
        <f>'[3]Profit-Production Chart Data'!$D56</f>
        <v>-0.55246213281250056</v>
      </c>
      <c r="E56" s="19">
        <f>'[3]Profit-Production Chart Data'!$E56</f>
        <v>1.5937295282004389</v>
      </c>
      <c r="F56" s="2">
        <v>182796774</v>
      </c>
      <c r="G56">
        <v>1.5937295282004389</v>
      </c>
    </row>
    <row r="57" spans="1:7" x14ac:dyDescent="0.25">
      <c r="A57" s="1">
        <v>45139</v>
      </c>
      <c r="B57" s="2">
        <f>Biodiesel!O10</f>
        <v>152345476</v>
      </c>
      <c r="C57" s="2">
        <f>'Renewable Diesel'!O56</f>
        <v>236476280</v>
      </c>
      <c r="D57" s="19">
        <f>'[3]Profit-Production Chart Data'!$D57</f>
        <v>0.2835313281249992</v>
      </c>
      <c r="E57" s="19">
        <f>'[3]Profit-Production Chart Data'!$E57</f>
        <v>1.9778641278798765</v>
      </c>
      <c r="F57" s="2">
        <v>236476280</v>
      </c>
      <c r="G57">
        <v>1.9778641278798765</v>
      </c>
    </row>
    <row r="58" spans="1:7" x14ac:dyDescent="0.25">
      <c r="A58" s="1">
        <v>45170</v>
      </c>
      <c r="B58" s="2">
        <f>Biodiesel!O11</f>
        <v>143870897</v>
      </c>
      <c r="C58" s="2">
        <f>'Renewable Diesel'!O57</f>
        <v>234008508</v>
      </c>
      <c r="D58" s="19">
        <f>'[3]Profit-Production Chart Data'!$D58</f>
        <v>0.32834207031249962</v>
      </c>
      <c r="E58" s="19">
        <f>'[3]Profit-Production Chart Data'!$E58</f>
        <v>2.1046603232367582</v>
      </c>
      <c r="F58" s="2">
        <v>234008508</v>
      </c>
      <c r="G58">
        <v>2.1046603232367582</v>
      </c>
    </row>
    <row r="59" spans="1:7" x14ac:dyDescent="0.25">
      <c r="A59" s="1">
        <v>45200</v>
      </c>
      <c r="B59" s="2">
        <f>Biodiesel!O12</f>
        <v>144087366</v>
      </c>
      <c r="C59" s="2">
        <f>'Renewable Diesel'!O58</f>
        <v>214031283</v>
      </c>
      <c r="D59" s="19">
        <f>'[3]Profit-Production Chart Data'!$D59</f>
        <v>0.41336191406249939</v>
      </c>
      <c r="E59" s="19">
        <f>'[3]Profit-Production Chart Data'!$E59</f>
        <v>1.5532525961766694</v>
      </c>
      <c r="F59" s="2">
        <v>214031283</v>
      </c>
      <c r="G59">
        <v>1.5532525961766694</v>
      </c>
    </row>
    <row r="60" spans="1:7" x14ac:dyDescent="0.25">
      <c r="A60" s="1">
        <v>45231</v>
      </c>
      <c r="B60" s="2">
        <f>Biodiesel!O13</f>
        <v>135076229</v>
      </c>
      <c r="C60" s="2">
        <f>'Renewable Diesel'!O59</f>
        <v>205619514</v>
      </c>
      <c r="D60" s="19">
        <f>'[3]Profit-Production Chart Data'!$D60</f>
        <v>0.47293024414062435</v>
      </c>
      <c r="E60" s="19">
        <f>'[3]Profit-Production Chart Data'!$E60</f>
        <v>1.7474112877336017</v>
      </c>
      <c r="F60" s="2">
        <v>205619514</v>
      </c>
      <c r="G60">
        <v>1.7474112877336017</v>
      </c>
    </row>
    <row r="61" spans="1:7" x14ac:dyDescent="0.25">
      <c r="A61" s="1">
        <v>45261</v>
      </c>
      <c r="B61" s="2">
        <f>Biodiesel!O14</f>
        <v>136732063</v>
      </c>
      <c r="C61" s="2">
        <f>'Renewable Diesel'!O60</f>
        <v>274816428</v>
      </c>
      <c r="D61" s="19">
        <f>'[3]Profit-Production Chart Data'!$D61</f>
        <v>0.51020721093749954</v>
      </c>
      <c r="E61" s="19">
        <f>'[3]Profit-Production Chart Data'!$E61</f>
        <v>1.7757544384359669</v>
      </c>
      <c r="F61" s="2">
        <v>274816428</v>
      </c>
      <c r="G61">
        <v>1.7757544384359669</v>
      </c>
    </row>
    <row r="62" spans="1:7" x14ac:dyDescent="0.25">
      <c r="A62" s="1">
        <v>45292</v>
      </c>
      <c r="B62" s="2">
        <f>Biodiesel!P3</f>
        <v>120715672</v>
      </c>
      <c r="C62" s="2">
        <f>'Renewable Diesel'!P49</f>
        <v>230210264</v>
      </c>
      <c r="D62" s="19">
        <f>'[3]Profit-Production Chart Data'!$D62</f>
        <v>0.60561944335937423</v>
      </c>
      <c r="E62" s="19">
        <f>'[3]Profit-Production Chart Data'!$E62</f>
        <v>1.7206520082358829</v>
      </c>
      <c r="F62" s="2">
        <v>230210264</v>
      </c>
      <c r="G62">
        <v>1.7206520082358829</v>
      </c>
    </row>
    <row r="63" spans="1:7" x14ac:dyDescent="0.25">
      <c r="A63" s="1">
        <v>45323</v>
      </c>
      <c r="B63" s="2">
        <f>Biodiesel!P4</f>
        <v>125799224</v>
      </c>
      <c r="C63" s="2">
        <f>'Renewable Diesel'!P50</f>
        <v>230073636</v>
      </c>
      <c r="D63" s="19">
        <f>'[3]Profit-Production Chart Data'!$D63</f>
        <v>0.55786055664062484</v>
      </c>
      <c r="E63" s="19">
        <f>'[3]Profit-Production Chart Data'!$E63</f>
        <v>1.4005826283767351</v>
      </c>
      <c r="F63" s="2">
        <v>230073636</v>
      </c>
      <c r="G63">
        <v>1.4005826283767351</v>
      </c>
    </row>
    <row r="64" spans="1:7" x14ac:dyDescent="0.25">
      <c r="A64" s="1">
        <v>45352</v>
      </c>
      <c r="B64" s="2">
        <f>Biodiesel!P5</f>
        <v>133487105</v>
      </c>
      <c r="C64" s="2">
        <f>'Renewable Diesel'!P51</f>
        <v>215239327</v>
      </c>
      <c r="D64" s="19">
        <f>'[3]Profit-Production Chart Data'!$D64</f>
        <v>0.24875062500000009</v>
      </c>
      <c r="E64" s="19">
        <f>'[3]Profit-Production Chart Data'!$E64</f>
        <v>1.5484641397633456</v>
      </c>
      <c r="F64" s="2">
        <v>215239327</v>
      </c>
      <c r="G64">
        <v>1.5484641397633456</v>
      </c>
    </row>
    <row r="65" spans="1:7" x14ac:dyDescent="0.25">
      <c r="A65" s="1">
        <v>45383</v>
      </c>
      <c r="B65" s="2">
        <f>Biodiesel!P6</f>
        <v>136121554</v>
      </c>
      <c r="C65" s="2">
        <f>'Renewable Diesel'!P52</f>
        <v>283042186</v>
      </c>
      <c r="D65" s="19">
        <f>'[3]Profit-Production Chart Data'!$D65</f>
        <v>0.36844707031249996</v>
      </c>
      <c r="E65" s="19">
        <f>'[3]Profit-Production Chart Data'!$E65</f>
        <v>1.4763957894394553</v>
      </c>
      <c r="F65" s="2">
        <v>283042186</v>
      </c>
      <c r="G65">
        <v>1.4763957894394553</v>
      </c>
    </row>
    <row r="66" spans="1:7" x14ac:dyDescent="0.25">
      <c r="A66" s="1">
        <v>45413</v>
      </c>
      <c r="B66" s="2">
        <f>Biodiesel!P7</f>
        <v>142728755</v>
      </c>
      <c r="C66" s="2">
        <f>'Renewable Diesel'!P53</f>
        <v>220402735</v>
      </c>
      <c r="D66" s="19">
        <f>'[3]Profit-Production Chart Data'!$D66</f>
        <v>0.13147949218749969</v>
      </c>
      <c r="E66" s="19">
        <f>'[3]Profit-Production Chart Data'!$E66</f>
        <v>1.1731268888593864</v>
      </c>
      <c r="F66" s="2">
        <v>220402735</v>
      </c>
      <c r="G66">
        <v>1.1731268888593864</v>
      </c>
    </row>
    <row r="67" spans="1:7" x14ac:dyDescent="0.25">
      <c r="A67" s="1">
        <v>45444</v>
      </c>
      <c r="B67" s="2">
        <f>Biodiesel!P8</f>
        <v>133806992</v>
      </c>
      <c r="C67" s="2">
        <f>'Renewable Diesel'!P54</f>
        <v>282589564</v>
      </c>
      <c r="D67" s="19">
        <f>'[3]Profit-Production Chart Data'!$D67</f>
        <v>0.13891789062499998</v>
      </c>
      <c r="E67" s="19">
        <f>'[3]Profit-Production Chart Data'!$E67</f>
        <v>1.0110367919931178</v>
      </c>
      <c r="F67" s="2">
        <v>282589564</v>
      </c>
      <c r="G67">
        <v>1.0110367919931178</v>
      </c>
    </row>
    <row r="68" spans="1:7" x14ac:dyDescent="0.25">
      <c r="A68" s="1">
        <v>45474</v>
      </c>
      <c r="B68" s="2">
        <f>Biodiesel!P9</f>
        <v>145953904</v>
      </c>
      <c r="C68" s="2">
        <f>'Renewable Diesel'!P55</f>
        <v>292633360</v>
      </c>
      <c r="D68" s="19">
        <f>'[3]Profit-Production Chart Data'!$D68</f>
        <v>0.22146005859374968</v>
      </c>
      <c r="E68" s="19">
        <f>'[3]Profit-Production Chart Data'!$E68</f>
        <v>0.87258703520651426</v>
      </c>
      <c r="F68" s="2">
        <v>288735600</v>
      </c>
      <c r="G68">
        <v>0.87258703520651426</v>
      </c>
    </row>
    <row r="69" spans="1:7" x14ac:dyDescent="0.25">
      <c r="A69" s="1">
        <v>45505</v>
      </c>
      <c r="B69" s="2">
        <f>Biodiesel!P10</f>
        <v>139724190</v>
      </c>
      <c r="C69" s="2">
        <f>'Renewable Diesel'!P56</f>
        <v>260490373</v>
      </c>
      <c r="D69" s="19">
        <f>'[3]Profit-Production Chart Data'!$D69</f>
        <v>0.29496398437499965</v>
      </c>
      <c r="E69" s="19">
        <f>'[3]Profit-Production Chart Data'!$E69</f>
        <v>0.73561334528938782</v>
      </c>
      <c r="F69" s="2">
        <v>276037244.57198423</v>
      </c>
      <c r="G69">
        <v>0.73223219847591137</v>
      </c>
    </row>
    <row r="70" spans="1:7" x14ac:dyDescent="0.25">
      <c r="A70" s="1">
        <v>45536</v>
      </c>
      <c r="B70" s="2">
        <f>Biodiesel!P11</f>
        <v>134537885</v>
      </c>
      <c r="C70" s="2">
        <f>'Renewable Diesel'!P57</f>
        <v>257927937</v>
      </c>
      <c r="D70" s="19">
        <f>'[3]Profit-Production Chart Data'!$D70</f>
        <v>0.11069033203124956</v>
      </c>
      <c r="E70" s="19">
        <f>'[3]Profit-Production Chart Data'!$E70</f>
        <v>0.69551548178320943</v>
      </c>
      <c r="F70" s="2">
        <v>276263022.5859074</v>
      </c>
      <c r="G70">
        <v>0.80211713944058471</v>
      </c>
    </row>
    <row r="71" spans="1:7" x14ac:dyDescent="0.25">
      <c r="A71" s="1">
        <v>45566</v>
      </c>
      <c r="B71" s="2">
        <f>Biodiesel!P12</f>
        <v>148097836</v>
      </c>
      <c r="C71" s="2">
        <f>'Renewable Diesel'!P58</f>
        <v>289557293</v>
      </c>
      <c r="D71" s="19">
        <f>'[3]Profit-Production Chart Data'!$D71</f>
        <v>0.32174257812499973</v>
      </c>
      <c r="E71" s="19">
        <f>'[3]Profit-Production Chart Data'!$E71</f>
        <v>1.0790111422017279</v>
      </c>
      <c r="F71" s="2">
        <v>284099898.97044694</v>
      </c>
      <c r="G71">
        <v>0.90253974582356356</v>
      </c>
    </row>
    <row r="72" spans="1:7" x14ac:dyDescent="0.25">
      <c r="A72" s="1">
        <v>45597</v>
      </c>
      <c r="B72" s="2">
        <f>Biodiesel!P13</f>
        <v>133353588</v>
      </c>
      <c r="C72" s="2">
        <f>'Renewable Diesel'!P59</f>
        <v>261189424</v>
      </c>
      <c r="D72" s="19">
        <f>'[3]Profit-Production Chart Data'!$D72</f>
        <v>0.46131515625000008</v>
      </c>
      <c r="E72" s="19">
        <f>'[3]Profit-Production Chart Data'!$E72</f>
        <v>1.2171730343889</v>
      </c>
      <c r="F72" s="2">
        <v>278892259.13631201</v>
      </c>
      <c r="G72">
        <v>0.88813240539803151</v>
      </c>
    </row>
    <row r="73" spans="1:7" x14ac:dyDescent="0.25">
      <c r="A73" s="1">
        <v>45627</v>
      </c>
      <c r="B73" s="2">
        <f>Biodiesel!P14</f>
        <v>174921835</v>
      </c>
      <c r="C73" s="2">
        <f>'Renewable Diesel'!P60</f>
        <v>314111589</v>
      </c>
      <c r="D73" s="19">
        <f>'[3]Profit-Production Chart Data'!$D73</f>
        <v>0.78884511718750006</v>
      </c>
      <c r="E73" s="19">
        <f>'[3]Profit-Production Chart Data'!$E73</f>
        <v>1.3374600093273963</v>
      </c>
      <c r="F73" s="2">
        <v>271192865.13990861</v>
      </c>
      <c r="G73">
        <v>0.58140942667462792</v>
      </c>
    </row>
    <row r="74" spans="1:7" x14ac:dyDescent="0.25">
      <c r="A74" s="1">
        <v>45658</v>
      </c>
      <c r="B74" s="2">
        <f>Biodiesel!Q3</f>
        <v>65635810</v>
      </c>
      <c r="C74" s="2">
        <f>'Renewable Diesel'!Q49</f>
        <v>217367275</v>
      </c>
      <c r="D74" s="19">
        <f>'[3]Profit-Production Chart Data'!$D74</f>
        <v>-0.20892944335937524</v>
      </c>
      <c r="E74" s="19">
        <f>'[3]Profit-Production Chart Data'!$E74</f>
        <v>1.3127381201971209</v>
      </c>
      <c r="F74" s="2">
        <v>285456958.46751118</v>
      </c>
      <c r="G74">
        <v>0.10151315007888263</v>
      </c>
    </row>
    <row r="75" spans="1:7" x14ac:dyDescent="0.25">
      <c r="A75" s="1">
        <v>45689</v>
      </c>
      <c r="B75" s="2">
        <f>Biodiesel!Q4</f>
        <v>73721896</v>
      </c>
      <c r="C75" s="2">
        <f>'Renewable Diesel'!Q50</f>
        <v>186102792</v>
      </c>
      <c r="D75" s="19">
        <f>'[3]Profit-Production Chart Data'!$D75</f>
        <v>-0.70930825195312575</v>
      </c>
      <c r="E75" s="19">
        <f>'[3]Profit-Production Chart Data'!$E75</f>
        <v>0.93847545796613552</v>
      </c>
      <c r="F75" s="2">
        <v>272546702.9283728</v>
      </c>
      <c r="G75">
        <v>-0.24821028436467435</v>
      </c>
    </row>
    <row r="76" spans="1:7" x14ac:dyDescent="0.25">
      <c r="A76" s="1">
        <v>45717</v>
      </c>
      <c r="B76" s="2">
        <f>Biodiesel!Q5</f>
        <v>95835418</v>
      </c>
      <c r="C76" s="2">
        <f>'Renewable Diesel'!Q51</f>
        <v>229400517</v>
      </c>
      <c r="D76" s="19">
        <f>'[3]Profit-Production Chart Data'!$D76</f>
        <v>-0.83513632812500016</v>
      </c>
      <c r="E76" s="19">
        <f>'[3]Profit-Production Chart Data'!$E76</f>
        <v>0.71193495711293875</v>
      </c>
      <c r="F76" s="2">
        <v>278624309.40370905</v>
      </c>
      <c r="G76">
        <v>-0.32405912421465388</v>
      </c>
    </row>
    <row r="77" spans="1:7" x14ac:dyDescent="0.25">
      <c r="A77" s="1">
        <v>45748</v>
      </c>
      <c r="B77" s="2">
        <f>Biodiesel!Q6</f>
        <v>131791986.24915777</v>
      </c>
      <c r="C77" s="2">
        <f>'Renewable Diesel'!Q52</f>
        <v>201331356.4815461</v>
      </c>
      <c r="D77" s="19">
        <f>'[3]Profit-Production Chart Data'!$D77</f>
        <v>-0.59962753906250055</v>
      </c>
      <c r="E77" s="19">
        <f>'[3]Profit-Production Chart Data'!$E77</f>
        <v>1.1695296006569862</v>
      </c>
      <c r="F77" s="2">
        <v>283869015.24399775</v>
      </c>
      <c r="G77">
        <v>-0.30652359229976106</v>
      </c>
    </row>
    <row r="78" spans="1:7" x14ac:dyDescent="0.25">
      <c r="A78" s="1">
        <v>45778</v>
      </c>
      <c r="B78" s="2">
        <f>Biodiesel!Q7</f>
        <v>137920236.89019856</v>
      </c>
      <c r="C78" s="2">
        <f>'Renewable Diesel'!Q53</f>
        <v>198336988.21685207</v>
      </c>
      <c r="D78" s="19">
        <f>'[3]Profit-Production Chart Data'!$D78</f>
        <v>-0.59719273437499898</v>
      </c>
      <c r="E78" s="19">
        <f>'[3]Profit-Production Chart Data'!$E78</f>
        <v>1.235961318118175</v>
      </c>
      <c r="F78" s="2">
        <v>279078776.88125658</v>
      </c>
      <c r="G78">
        <v>-0.49616678378912288</v>
      </c>
    </row>
    <row r="79" spans="1:7" x14ac:dyDescent="0.25">
      <c r="A79" s="1">
        <v>45809</v>
      </c>
      <c r="B79" s="2">
        <f>Biodiesel!Q8</f>
        <v>139596321.19621357</v>
      </c>
      <c r="C79" s="2">
        <f>'Renewable Diesel'!Q54</f>
        <v>195595310.42807597</v>
      </c>
      <c r="D79" s="19">
        <f>'[3]Profit-Production Chart Data'!$D79</f>
        <v>-0.65950273437499796</v>
      </c>
      <c r="E79" s="19">
        <f>'[3]Profit-Production Chart Data'!$E79</f>
        <v>1.0002269068464746</v>
      </c>
      <c r="F79" s="2">
        <v>282361569.64702278</v>
      </c>
      <c r="G79">
        <v>-0.58312465612954822</v>
      </c>
    </row>
    <row r="80" spans="1:7" x14ac:dyDescent="0.25">
      <c r="A80" s="1">
        <v>45839</v>
      </c>
      <c r="B80" s="2">
        <f>Biodiesel!Q9</f>
        <v>137410035.36067736</v>
      </c>
      <c r="C80" s="2">
        <f>'Renewable Diesel'!Q55</f>
        <v>192075200.21665865</v>
      </c>
      <c r="D80" s="19">
        <f>'[3]Profit-Production Chart Data'!$D80</f>
        <v>-0.76552460937499878</v>
      </c>
      <c r="E80" s="19">
        <f>'[3]Profit-Production Chart Data'!$E80</f>
        <v>1.0975604922683631</v>
      </c>
      <c r="F80" s="2">
        <v>281992984.65336317</v>
      </c>
      <c r="G80">
        <v>-0.62749596291353082</v>
      </c>
    </row>
    <row r="81" spans="1:7" x14ac:dyDescent="0.25">
      <c r="A81" s="1">
        <v>45870</v>
      </c>
      <c r="B81" s="2">
        <f>Biodiesel!Q10</f>
        <v>143738699.39125273</v>
      </c>
      <c r="C81" s="2">
        <f>'Renewable Diesel'!Q56</f>
        <v>196758801.69768375</v>
      </c>
      <c r="D81" s="19">
        <f>'[3]Profit-Production Chart Data'!$D81</f>
        <v>-0.73424773437499835</v>
      </c>
      <c r="E81" s="19">
        <f>'[3]Profit-Production Chart Data'!$E81</f>
        <v>1.1282314962748465</v>
      </c>
      <c r="F81" s="2">
        <v>288394151.46351153</v>
      </c>
      <c r="G81">
        <v>-0.52509490914649026</v>
      </c>
    </row>
    <row r="82" spans="1:7" x14ac:dyDescent="0.25">
      <c r="A82" s="1">
        <v>45901</v>
      </c>
      <c r="B82" s="2">
        <f>Biodiesel!Q11</f>
        <v>135753181.58840644</v>
      </c>
      <c r="C82" s="2">
        <f>'Renewable Diesel'!Q57</f>
        <v>199567496.23015037</v>
      </c>
      <c r="D82" s="19">
        <f>'[3]Profit-Production Chart Data'!$D82</f>
        <v>-0.83522128906249837</v>
      </c>
      <c r="E82" s="19">
        <f>'[3]Profit-Production Chart Data'!$E82</f>
        <v>0.76604183921423541</v>
      </c>
      <c r="F82" s="2">
        <v>285651492.18971997</v>
      </c>
      <c r="G82">
        <v>-0.43440076021032004</v>
      </c>
    </row>
    <row r="83" spans="1:7" x14ac:dyDescent="0.25">
      <c r="A83" s="1">
        <v>45931</v>
      </c>
      <c r="B83" s="2">
        <f>Biodiesel!Q12</f>
        <v>134474043.6377117</v>
      </c>
      <c r="C83" s="2">
        <f>'Renewable Diesel'!Q58</f>
        <v>216647542.43543953</v>
      </c>
      <c r="D83" s="19">
        <f>'[3]Profit-Production Chart Data'!$D83</f>
        <v>-0.34355976562499885</v>
      </c>
      <c r="E83" s="19">
        <f>'[3]Profit-Production Chart Data'!$E83</f>
        <v>0.43781392994989632</v>
      </c>
      <c r="F83" s="2">
        <v>276991773.19140428</v>
      </c>
      <c r="G83">
        <v>-0.95991937723159682</v>
      </c>
    </row>
    <row r="84" spans="1:7" x14ac:dyDescent="0.25">
      <c r="A84" s="1">
        <v>45962</v>
      </c>
      <c r="B84" s="2">
        <f>Biodiesel!Q13</f>
        <v>129676507.59899189</v>
      </c>
      <c r="C84" s="2">
        <f>'Renewable Diesel'!Q59</f>
        <v>233980933.73434195</v>
      </c>
      <c r="D84" s="19" t="e">
        <f>'[3]Profit-Production Chart Data'!$D84</f>
        <v>#DIV/0!</v>
      </c>
      <c r="E84" s="19" t="e">
        <f>'[3]Profit-Production Chart Data'!$E84</f>
        <v>#DIV/0!</v>
      </c>
    </row>
    <row r="85" spans="1:7" x14ac:dyDescent="0.25">
      <c r="A85" s="1">
        <v>45992</v>
      </c>
      <c r="B85" s="2">
        <f>Biodiesel!Q14</f>
        <v>258143861.5953773</v>
      </c>
      <c r="C85" s="2">
        <f>'Renewable Diesel'!Q60</f>
        <v>283976602.73018843</v>
      </c>
      <c r="D85" s="19" t="e">
        <f>'[3]Profit-Production Chart Data'!$D85</f>
        <v>#DIV/0!</v>
      </c>
      <c r="E85" s="19" t="e">
        <f>'[3]Profit-Production Chart Data'!$E85</f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949F-C44A-4F1D-AB81-13F6DB602A99}">
  <sheetPr filterMode="1"/>
  <dimension ref="A1:CN239"/>
  <sheetViews>
    <sheetView tabSelected="1" zoomScale="120" zoomScaleNormal="120" workbookViewId="0">
      <pane xSplit="1" ySplit="2" topLeftCell="T3" activePane="bottomRight" state="frozen"/>
      <selection activeCell="P67" sqref="P67"/>
      <selection pane="topRight" activeCell="P67" sqref="P67"/>
      <selection pane="bottomLeft" activeCell="P67" sqref="P67"/>
      <selection pane="bottomRight" activeCell="AA8" sqref="AA8"/>
    </sheetView>
  </sheetViews>
  <sheetFormatPr defaultColWidth="9.140625" defaultRowHeight="11.25" x14ac:dyDescent="0.2"/>
  <cols>
    <col min="1" max="1" width="9.85546875" style="32" customWidth="1"/>
    <col min="2" max="42" width="13.5703125" style="32" customWidth="1"/>
    <col min="43" max="44" width="11.42578125" style="32" customWidth="1"/>
    <col min="45" max="45" width="13" style="32" bestFit="1" customWidth="1"/>
    <col min="46" max="46" width="10.7109375" style="32" customWidth="1"/>
    <col min="47" max="50" width="11.42578125" style="32" customWidth="1"/>
    <col min="51" max="52" width="11.5703125" style="32" customWidth="1"/>
    <col min="53" max="65" width="13.5703125" style="32" customWidth="1"/>
    <col min="66" max="76" width="15.140625" style="32" bestFit="1" customWidth="1"/>
    <col min="77" max="77" width="9.42578125" style="32" bestFit="1" customWidth="1"/>
    <col min="78" max="82" width="13.42578125" style="32" bestFit="1" customWidth="1"/>
    <col min="83" max="84" width="9.28515625" style="32" bestFit="1" customWidth="1"/>
    <col min="85" max="85" width="9.140625" style="32"/>
    <col min="86" max="88" width="9.28515625" style="32" bestFit="1" customWidth="1"/>
    <col min="89" max="89" width="9.140625" style="32"/>
    <col min="90" max="92" width="9.28515625" style="32" bestFit="1" customWidth="1"/>
    <col min="93" max="16384" width="9.140625" style="32"/>
  </cols>
  <sheetData>
    <row r="1" spans="1:68" x14ac:dyDescent="0.2">
      <c r="A1" s="32" t="s">
        <v>63</v>
      </c>
      <c r="AR1" s="32" t="s">
        <v>64</v>
      </c>
      <c r="BP1" s="61"/>
    </row>
    <row r="2" spans="1:68" x14ac:dyDescent="0.2">
      <c r="B2" s="32">
        <v>2010</v>
      </c>
      <c r="C2" s="32">
        <v>2011</v>
      </c>
      <c r="D2" s="32">
        <v>2012</v>
      </c>
      <c r="E2" s="32">
        <v>2013</v>
      </c>
      <c r="F2" s="32">
        <v>2014</v>
      </c>
      <c r="G2" s="32">
        <v>2015</v>
      </c>
      <c r="H2" s="32">
        <v>2016</v>
      </c>
      <c r="I2" s="32">
        <v>2017</v>
      </c>
      <c r="J2" s="32">
        <v>2018</v>
      </c>
      <c r="K2" s="32">
        <v>2019</v>
      </c>
      <c r="L2" s="32">
        <v>2020</v>
      </c>
      <c r="M2" s="32">
        <v>2021</v>
      </c>
      <c r="N2" s="32">
        <v>2022</v>
      </c>
      <c r="O2" s="32">
        <v>2023</v>
      </c>
      <c r="P2" s="32">
        <v>2024</v>
      </c>
      <c r="Q2" s="32">
        <v>2025</v>
      </c>
      <c r="R2" s="32">
        <v>2026</v>
      </c>
      <c r="S2" s="32">
        <v>2027</v>
      </c>
      <c r="T2" s="32">
        <v>2028</v>
      </c>
      <c r="U2" s="32">
        <v>2029</v>
      </c>
      <c r="V2" s="32">
        <v>2030</v>
      </c>
      <c r="W2" s="32">
        <v>2031</v>
      </c>
      <c r="X2" s="32">
        <v>2032</v>
      </c>
      <c r="Y2" s="32">
        <v>2033</v>
      </c>
      <c r="Z2" s="32">
        <v>2034</v>
      </c>
      <c r="AA2" s="32">
        <v>2035</v>
      </c>
      <c r="AB2" s="32">
        <v>2036</v>
      </c>
      <c r="AC2" s="32">
        <v>2037</v>
      </c>
      <c r="AD2" s="32">
        <v>2038</v>
      </c>
      <c r="AE2" s="32">
        <v>2039</v>
      </c>
      <c r="AF2" s="32">
        <v>2040</v>
      </c>
      <c r="AG2" s="32">
        <v>2041</v>
      </c>
      <c r="AH2" s="32">
        <v>2042</v>
      </c>
      <c r="AI2" s="32">
        <v>2043</v>
      </c>
      <c r="AJ2" s="32">
        <v>2044</v>
      </c>
      <c r="AK2" s="32">
        <v>2045</v>
      </c>
      <c r="AL2" s="32">
        <v>2046</v>
      </c>
      <c r="AM2" s="32">
        <v>2047</v>
      </c>
      <c r="AN2" s="32">
        <v>2048</v>
      </c>
      <c r="AO2" s="32">
        <v>2049</v>
      </c>
      <c r="AP2" s="32">
        <v>2050</v>
      </c>
      <c r="AQ2" s="32">
        <v>2041</v>
      </c>
      <c r="AR2" s="32">
        <v>2023</v>
      </c>
      <c r="AS2" s="32">
        <v>2022</v>
      </c>
      <c r="AT2" s="32">
        <v>2021</v>
      </c>
      <c r="AU2" s="32">
        <v>2020</v>
      </c>
      <c r="AV2" s="32" t="s">
        <v>65</v>
      </c>
      <c r="AW2" s="32" t="s">
        <v>66</v>
      </c>
      <c r="AX2" s="32" t="s">
        <v>67</v>
      </c>
      <c r="BA2" s="32" t="s">
        <v>68</v>
      </c>
      <c r="BB2" s="32" t="s">
        <v>69</v>
      </c>
    </row>
    <row r="3" spans="1:68" x14ac:dyDescent="0.2">
      <c r="A3" s="32" t="s">
        <v>70</v>
      </c>
      <c r="B3" s="35">
        <f>'[4]D4 Gallon Forecast'!B69+'[4]D6 Gallon Forecast'!B62</f>
        <v>485714</v>
      </c>
      <c r="C3" s="35">
        <f>'[4]D4 Gallon Forecast'!C69+'[4]D6 Gallon Forecast'!C62</f>
        <v>32877627</v>
      </c>
      <c r="D3" s="35">
        <f>'[4]D4 Gallon Forecast'!D69+'[4]D6 Gallon Forecast'!D62</f>
        <v>60117730</v>
      </c>
      <c r="E3" s="35">
        <f>'[4]D4 Gallon Forecast'!E69+'[4]D6 Gallon Forecast'!E62</f>
        <v>71157810</v>
      </c>
      <c r="F3" s="35">
        <f>'[4]D4 Gallon Forecast'!F69+'[4]D6 Gallon Forecast'!F62</f>
        <v>56695627</v>
      </c>
      <c r="G3" s="35">
        <f>'[4]D4 Gallon Forecast'!G69+'[4]D6 Gallon Forecast'!G62</f>
        <v>55879853</v>
      </c>
      <c r="H3" s="35">
        <f>'[4]D4 Gallon Forecast'!H69+'[4]D6 Gallon Forecast'!H62</f>
        <v>85560071</v>
      </c>
      <c r="I3" s="35">
        <f>'[4]D4 Gallon Forecast'!I69+'[4]D6 Gallon Forecast'!I62</f>
        <v>65936175</v>
      </c>
      <c r="J3" s="35">
        <f>'[4]D4 Gallon Forecast'!J69+'[4]D6 Gallon Forecast'!J62</f>
        <v>110496056</v>
      </c>
      <c r="K3" s="35">
        <f>'[4]D4 Gallon Forecast'!K69+'[4]D6 Gallon Forecast'!K62</f>
        <v>107668977</v>
      </c>
      <c r="L3" s="35">
        <f>'[4]D4 Gallon Forecast'!L69+'[4]D6 Gallon Forecast'!L62</f>
        <v>118403817</v>
      </c>
      <c r="M3" s="35">
        <f>'[4]D4 Gallon Forecast'!M69+'[4]D6 Gallon Forecast'!M62</f>
        <v>107302585</v>
      </c>
      <c r="N3" s="35">
        <f>'[4]D4 Gallon Forecast'!N69+'[4]D6 Gallon Forecast'!N62</f>
        <v>90715015</v>
      </c>
      <c r="O3" s="35">
        <f>'[4]D4 Gallon Forecast'!O69+'[4]D6 Gallon Forecast'!O62</f>
        <v>119548309</v>
      </c>
      <c r="P3" s="35">
        <f>'[4]D4 Gallon Forecast'!P69+'[4]D6 Gallon Forecast'!P62</f>
        <v>120715672</v>
      </c>
      <c r="Q3" s="35">
        <f>'[4]D4 Gallon Forecast'!Q69+'[4]D6 Gallon Forecast'!Q62</f>
        <v>65635810</v>
      </c>
      <c r="R3" s="36">
        <f>'[4]D4 Gallon Forecast'!R69+'[4]D6 Gallon Forecast'!R62</f>
        <v>98015663.363137141</v>
      </c>
      <c r="S3" s="36">
        <f>'[4]D4 Gallon Forecast'!S69+'[4]D6 Gallon Forecast'!S62</f>
        <v>90708468.784077719</v>
      </c>
      <c r="T3" s="36">
        <f>'[4]D4 Gallon Forecast'!T69+'[4]D6 Gallon Forecast'!T62</f>
        <v>73650931.236886859</v>
      </c>
      <c r="U3" s="36">
        <f>'[4]D4 Gallon Forecast'!U69+'[4]D6 Gallon Forecast'!U62</f>
        <v>82344485.293023407</v>
      </c>
      <c r="V3" s="36">
        <f>'[4]D4 Gallon Forecast'!V69+'[4]D6 Gallon Forecast'!V62</f>
        <v>79639224.581323087</v>
      </c>
      <c r="W3" s="36">
        <f>'[4]D4 Gallon Forecast'!W69+'[4]D6 Gallon Forecast'!W62</f>
        <v>84515444.617420524</v>
      </c>
      <c r="X3" s="36">
        <f>'[4]D4 Gallon Forecast'!X69+'[4]D6 Gallon Forecast'!X62</f>
        <v>87891592.070975751</v>
      </c>
      <c r="Y3" s="36">
        <f>'[4]D4 Gallon Forecast'!Y69+'[4]D6 Gallon Forecast'!Y62</f>
        <v>102340019.60040376</v>
      </c>
      <c r="Z3" s="36">
        <f>'[4]D4 Gallon Forecast'!Z69+'[4]D6 Gallon Forecast'!Z62</f>
        <v>90837867.89552854</v>
      </c>
      <c r="AA3" s="36">
        <f>'[4]D4 Gallon Forecast'!AA69+'[4]D6 Gallon Forecast'!AA62</f>
        <v>88430181.851996198</v>
      </c>
      <c r="AB3" s="36">
        <f>'[4]D4 Gallon Forecast'!AB69+'[4]D6 Gallon Forecast'!AB62</f>
        <v>71413592.333132088</v>
      </c>
      <c r="AC3" s="36">
        <f>'[4]D4 Gallon Forecast'!AC69+'[4]D6 Gallon Forecast'!AC62</f>
        <v>58726542.333007209</v>
      </c>
      <c r="AD3" s="36">
        <f>'[4]D4 Gallon Forecast'!AD69+'[4]D6 Gallon Forecast'!AD62</f>
        <v>59072015.4489372</v>
      </c>
      <c r="AE3" s="36">
        <f>'[4]D4 Gallon Forecast'!AE69+'[4]D6 Gallon Forecast'!AE62</f>
        <v>47974747.133285888</v>
      </c>
      <c r="AF3" s="36">
        <f>'[4]D4 Gallon Forecast'!AF69+'[4]D6 Gallon Forecast'!AF62</f>
        <v>28531355.080727756</v>
      </c>
      <c r="AG3" s="36">
        <f>'[4]D4 Gallon Forecast'!AG69+'[4]D6 Gallon Forecast'!AG62</f>
        <v>31542732.125062745</v>
      </c>
      <c r="AH3" s="36">
        <f>'[4]D4 Gallon Forecast'!AH69+'[4]D6 Gallon Forecast'!BC62</f>
        <v>31214660.132799488</v>
      </c>
      <c r="AI3" s="36">
        <f>'[4]D4 Gallon Forecast'!AI69+'[4]D6 Gallon Forecast'!BD62</f>
        <v>25749476.395661239</v>
      </c>
      <c r="AJ3" s="36">
        <f>'[4]D4 Gallon Forecast'!AJ69+'[4]D6 Gallon Forecast'!BE62</f>
        <v>25891829.24432179</v>
      </c>
      <c r="AK3" s="36">
        <f>'[4]D4 Gallon Forecast'!AK69+'[4]D6 Gallon Forecast'!BF62</f>
        <v>26000662.669733964</v>
      </c>
      <c r="AL3" s="36">
        <f>'[4]D4 Gallon Forecast'!AL69+'[4]D6 Gallon Forecast'!BG62</f>
        <v>25922451.198247306</v>
      </c>
      <c r="AM3" s="36">
        <f>'[4]D4 Gallon Forecast'!AM69+'[4]D6 Gallon Forecast'!BH62</f>
        <v>25967186.327067997</v>
      </c>
      <c r="AN3" s="36">
        <f>'[4]D4 Gallon Forecast'!AN69+'[4]D6 Gallon Forecast'!BI62</f>
        <v>26390790.205999963</v>
      </c>
      <c r="AO3" s="36">
        <f>'[4]D4 Gallon Forecast'!AO69+'[4]D6 Gallon Forecast'!BJ62</f>
        <v>26821854.340091936</v>
      </c>
      <c r="AP3" s="36">
        <f>'[4]D4 Gallon Forecast'!AP69+'[4]D6 Gallon Forecast'!BK62</f>
        <v>27416523.334585477</v>
      </c>
      <c r="AQ3" s="35"/>
      <c r="AR3" s="35">
        <f>O3/31</f>
        <v>3856397.064516129</v>
      </c>
      <c r="AS3" s="35">
        <f>N3/31</f>
        <v>2926290.8064516131</v>
      </c>
      <c r="AT3" s="35">
        <f>M3/31</f>
        <v>3461373.7096774192</v>
      </c>
      <c r="AU3" s="35">
        <f>L3/31</f>
        <v>3819477.9677419355</v>
      </c>
      <c r="AV3" s="35">
        <f>AR3-AS3</f>
        <v>930106.25806451589</v>
      </c>
      <c r="AW3" s="35">
        <f>SUM(J3:N3)/5/31</f>
        <v>3448944.8387096776</v>
      </c>
      <c r="AX3" s="35">
        <f>AR3-AW3</f>
        <v>407452.2258064514</v>
      </c>
      <c r="AY3" s="85">
        <f>AX3/AW3</f>
        <v>0.1181382262868802</v>
      </c>
      <c r="AZ3" s="85" t="e">
        <f>AW3/$AW$15</f>
        <v>#DIV/0!</v>
      </c>
      <c r="BA3" s="35">
        <f>'[4]D4 Gallon Forecast'!$DK69+'[4]D6 Gallon Forecast'!$BK62</f>
        <v>0</v>
      </c>
      <c r="BB3" s="35">
        <f t="shared" ref="BB3:BB14" si="0">O3-BA3</f>
        <v>119548309</v>
      </c>
      <c r="BC3" s="70" t="e">
        <f>BB3/BA3</f>
        <v>#DIV/0!</v>
      </c>
    </row>
    <row r="4" spans="1:68" x14ac:dyDescent="0.2">
      <c r="A4" s="32" t="s">
        <v>71</v>
      </c>
      <c r="B4" s="35">
        <f>'[4]D4 Gallon Forecast'!B70+'[4]D6 Gallon Forecast'!B63</f>
        <v>538632</v>
      </c>
      <c r="C4" s="35">
        <f>'[4]D4 Gallon Forecast'!C70+'[4]D6 Gallon Forecast'!C63</f>
        <v>41535834</v>
      </c>
      <c r="D4" s="35">
        <f>'[4]D4 Gallon Forecast'!D70+'[4]D6 Gallon Forecast'!D63</f>
        <v>72510777</v>
      </c>
      <c r="E4" s="35">
        <f>'[4]D4 Gallon Forecast'!E70+'[4]D6 Gallon Forecast'!E63</f>
        <v>74511501</v>
      </c>
      <c r="F4" s="35">
        <f>'[4]D4 Gallon Forecast'!F70+'[4]D6 Gallon Forecast'!F63</f>
        <v>69859288</v>
      </c>
      <c r="G4" s="35">
        <f>'[4]D4 Gallon Forecast'!G70+'[4]D6 Gallon Forecast'!G63</f>
        <v>62835451</v>
      </c>
      <c r="H4" s="35">
        <f>'[4]D4 Gallon Forecast'!H70+'[4]D6 Gallon Forecast'!H63</f>
        <v>100399613</v>
      </c>
      <c r="I4" s="35">
        <f>'[4]D4 Gallon Forecast'!I70+'[4]D6 Gallon Forecast'!I63</f>
        <v>78476257</v>
      </c>
      <c r="J4" s="35">
        <f>'[4]D4 Gallon Forecast'!J70+'[4]D6 Gallon Forecast'!J63</f>
        <v>115536272</v>
      </c>
      <c r="K4" s="35">
        <f>'[4]D4 Gallon Forecast'!K70+'[4]D6 Gallon Forecast'!K63</f>
        <v>117330452</v>
      </c>
      <c r="L4" s="35">
        <f>'[4]D4 Gallon Forecast'!L70+'[4]D6 Gallon Forecast'!L63</f>
        <v>128033003</v>
      </c>
      <c r="M4" s="35">
        <f>'[4]D4 Gallon Forecast'!M70+'[4]D6 Gallon Forecast'!M63</f>
        <v>109881050</v>
      </c>
      <c r="N4" s="35">
        <f>'[4]D4 Gallon Forecast'!N70+'[4]D6 Gallon Forecast'!N63</f>
        <v>110442650</v>
      </c>
      <c r="O4" s="35">
        <f>'[4]D4 Gallon Forecast'!O70+'[4]D6 Gallon Forecast'!O63</f>
        <v>114742607</v>
      </c>
      <c r="P4" s="35">
        <f>'[4]D4 Gallon Forecast'!P70+'[4]D6 Gallon Forecast'!P63</f>
        <v>125799224</v>
      </c>
      <c r="Q4" s="36">
        <f>'[4]D4 Gallon Forecast'!Q70+'[4]D6 Gallon Forecast'!Q63</f>
        <v>73721896</v>
      </c>
      <c r="R4" s="36">
        <f>'[4]D4 Gallon Forecast'!R70+'[4]D6 Gallon Forecast'!R63</f>
        <v>103981212.43447548</v>
      </c>
      <c r="S4" s="36">
        <f>'[4]D4 Gallon Forecast'!S70+'[4]D6 Gallon Forecast'!S63</f>
        <v>96954079.202789247</v>
      </c>
      <c r="T4" s="36">
        <f>'[4]D4 Gallon Forecast'!T70+'[4]D6 Gallon Forecast'!T63</f>
        <v>76714622.401454777</v>
      </c>
      <c r="U4" s="36">
        <f>'[4]D4 Gallon Forecast'!U70+'[4]D6 Gallon Forecast'!U63</f>
        <v>87564249.538713023</v>
      </c>
      <c r="V4" s="36">
        <f>'[4]D4 Gallon Forecast'!V70+'[4]D6 Gallon Forecast'!V63</f>
        <v>85185989.865512088</v>
      </c>
      <c r="W4" s="36">
        <f>'[4]D4 Gallon Forecast'!W70+'[4]D6 Gallon Forecast'!W63</f>
        <v>89701855.18186897</v>
      </c>
      <c r="X4" s="36">
        <f>'[4]D4 Gallon Forecast'!X70+'[4]D6 Gallon Forecast'!X63</f>
        <v>93295735.701281473</v>
      </c>
      <c r="Y4" s="36">
        <f>'[4]D4 Gallon Forecast'!Y70+'[4]D6 Gallon Forecast'!Y63</f>
        <v>87267964.936471209</v>
      </c>
      <c r="Z4" s="36">
        <f>'[4]D4 Gallon Forecast'!Z70+'[4]D6 Gallon Forecast'!Z63</f>
        <v>85044385.679333374</v>
      </c>
      <c r="AA4" s="36">
        <f>'[4]D4 Gallon Forecast'!AA70+'[4]D6 Gallon Forecast'!AA63</f>
        <v>81554784.995612815</v>
      </c>
      <c r="AB4" s="36">
        <f>'[4]D4 Gallon Forecast'!AB70+'[4]D6 Gallon Forecast'!AB63</f>
        <v>68715950.345740765</v>
      </c>
      <c r="AC4" s="36">
        <f>'[4]D4 Gallon Forecast'!AC70+'[4]D6 Gallon Forecast'!AC63</f>
        <v>55392132.165890269</v>
      </c>
      <c r="AD4" s="36">
        <f>'[4]D4 Gallon Forecast'!AD70+'[4]D6 Gallon Forecast'!AD63</f>
        <v>54226728.147470638</v>
      </c>
      <c r="AE4" s="36">
        <f>'[4]D4 Gallon Forecast'!AE70+'[4]D6 Gallon Forecast'!AE63</f>
        <v>44909117.337509483</v>
      </c>
      <c r="AF4" s="36">
        <f>'[4]D4 Gallon Forecast'!AF70+'[4]D6 Gallon Forecast'!AF63</f>
        <v>26707199.550333399</v>
      </c>
      <c r="AG4" s="36">
        <f>'[4]D4 Gallon Forecast'!AG70+'[4]D6 Gallon Forecast'!AG63</f>
        <v>29671057.187318135</v>
      </c>
      <c r="AH4" s="36">
        <f>'[4]D4 Gallon Forecast'!AH70+'[4]D6 Gallon Forecast'!AH63</f>
        <v>29149623.400559571</v>
      </c>
      <c r="AI4" s="36">
        <f>'[4]D4 Gallon Forecast'!AI70+'[4]D6 Gallon Forecast'!BD63</f>
        <v>23974497.788962215</v>
      </c>
      <c r="AJ4" s="36">
        <f>'[4]D4 Gallon Forecast'!AJ70+'[4]D6 Gallon Forecast'!BE63</f>
        <v>24228374.580098491</v>
      </c>
      <c r="AK4" s="36">
        <f>'[4]D4 Gallon Forecast'!AK70+'[4]D6 Gallon Forecast'!BF63</f>
        <v>24327201.397123329</v>
      </c>
      <c r="AL4" s="36">
        <f>'[4]D4 Gallon Forecast'!AL70+'[4]D6 Gallon Forecast'!BG63</f>
        <v>24251773.69634258</v>
      </c>
      <c r="AM4" s="36">
        <f>'[4]D4 Gallon Forecast'!AM70+'[4]D6 Gallon Forecast'!BH63</f>
        <v>24262563.426456727</v>
      </c>
      <c r="AN4" s="36">
        <f>'[4]D4 Gallon Forecast'!AN70+'[4]D6 Gallon Forecast'!BI63</f>
        <v>24661607.74265692</v>
      </c>
      <c r="AO4" s="36">
        <f>'[4]D4 Gallon Forecast'!AO70+'[4]D6 Gallon Forecast'!BJ63</f>
        <v>25082521.998701155</v>
      </c>
      <c r="AP4" s="36">
        <f>'[4]D4 Gallon Forecast'!AP70+'[4]D6 Gallon Forecast'!BK63</f>
        <v>25635372.57692495</v>
      </c>
      <c r="AQ4" s="35"/>
      <c r="AR4" s="35">
        <f>O4/28</f>
        <v>4097950.25</v>
      </c>
      <c r="AS4" s="35">
        <f>N4/28</f>
        <v>3944380.3571428573</v>
      </c>
      <c r="AT4" s="35">
        <f>M4/28</f>
        <v>3924323.2142857141</v>
      </c>
      <c r="AU4" s="35">
        <f>L4/29</f>
        <v>4414931.1379310349</v>
      </c>
      <c r="AV4" s="35">
        <f t="shared" ref="AV4:AV14" si="1">AR4-AS4</f>
        <v>153569.89285714272</v>
      </c>
      <c r="AW4" s="35">
        <f>SUM(J4:N4)/141</f>
        <v>4122151.9645390073</v>
      </c>
      <c r="AX4" s="35">
        <f t="shared" ref="AX4:AX14" si="2">AR4-AW4</f>
        <v>-24201.714539007284</v>
      </c>
      <c r="AY4" s="85">
        <f t="shared" ref="AY4:AY14" si="3">AX4/AW4</f>
        <v>-5.8711359375402923E-3</v>
      </c>
      <c r="AZ4" s="85" t="e">
        <f t="shared" ref="AZ4:AZ14" si="4">AW4/$AW$15</f>
        <v>#DIV/0!</v>
      </c>
      <c r="BA4" s="35">
        <f>'[4]D4 Gallon Forecast'!$DK70+'[4]D6 Gallon Forecast'!$BK63</f>
        <v>0</v>
      </c>
      <c r="BB4" s="35">
        <f t="shared" si="0"/>
        <v>114742607</v>
      </c>
      <c r="BC4" s="70" t="e">
        <f t="shared" ref="BC4:BC11" si="5">BB4/BA4</f>
        <v>#DIV/0!</v>
      </c>
      <c r="BD4" s="35"/>
      <c r="BE4" s="35"/>
    </row>
    <row r="5" spans="1:68" x14ac:dyDescent="0.2">
      <c r="A5" s="32" t="s">
        <v>72</v>
      </c>
      <c r="B5" s="35">
        <f>'[4]D4 Gallon Forecast'!B71+'[4]D6 Gallon Forecast'!B64</f>
        <v>810795</v>
      </c>
      <c r="C5" s="35">
        <f>'[4]D4 Gallon Forecast'!C71+'[4]D6 Gallon Forecast'!C64</f>
        <v>63344564</v>
      </c>
      <c r="D5" s="35">
        <f>'[4]D4 Gallon Forecast'!D71+'[4]D6 Gallon Forecast'!D64</f>
        <v>95153437</v>
      </c>
      <c r="E5" s="35">
        <f>'[4]D4 Gallon Forecast'!E71+'[4]D6 Gallon Forecast'!E64</f>
        <v>101032335</v>
      </c>
      <c r="F5" s="35">
        <f>'[4]D4 Gallon Forecast'!F71+'[4]D6 Gallon Forecast'!F64</f>
        <v>90813274</v>
      </c>
      <c r="G5" s="35">
        <f>'[4]D4 Gallon Forecast'!G71+'[4]D6 Gallon Forecast'!G64</f>
        <v>92373044</v>
      </c>
      <c r="H5" s="35">
        <f>'[4]D4 Gallon Forecast'!H71+'[4]D6 Gallon Forecast'!H64</f>
        <v>126577167</v>
      </c>
      <c r="I5" s="35">
        <f>'[4]D4 Gallon Forecast'!I71+'[4]D6 Gallon Forecast'!I64</f>
        <v>111496726</v>
      </c>
      <c r="J5" s="35">
        <f>'[4]D4 Gallon Forecast'!J71+'[4]D6 Gallon Forecast'!J64</f>
        <v>145196752</v>
      </c>
      <c r="K5" s="35">
        <f>'[4]D4 Gallon Forecast'!K71+'[4]D6 Gallon Forecast'!K64</f>
        <v>147660816</v>
      </c>
      <c r="L5" s="35">
        <f>'[4]D4 Gallon Forecast'!L71+'[4]D6 Gallon Forecast'!L64</f>
        <v>150092678</v>
      </c>
      <c r="M5" s="35">
        <f>'[4]D4 Gallon Forecast'!M71+'[4]D6 Gallon Forecast'!M64</f>
        <v>150338931</v>
      </c>
      <c r="N5" s="35">
        <f>'[4]D4 Gallon Forecast'!N71+'[4]D6 Gallon Forecast'!N64</f>
        <v>135869438</v>
      </c>
      <c r="O5" s="35">
        <f>'[4]D4 Gallon Forecast'!O71+'[4]D6 Gallon Forecast'!O64</f>
        <v>130889308</v>
      </c>
      <c r="P5" s="35">
        <f>'[4]D4 Gallon Forecast'!P71+'[4]D6 Gallon Forecast'!P64</f>
        <v>133487105</v>
      </c>
      <c r="Q5" s="36">
        <f>'[4]D4 Gallon Forecast'!Q71+'[4]D6 Gallon Forecast'!Q64</f>
        <v>95835418</v>
      </c>
      <c r="R5" s="36">
        <f>'[4]D4 Gallon Forecast'!R71+'[4]D6 Gallon Forecast'!R64</f>
        <v>114303432.64373817</v>
      </c>
      <c r="S5" s="36">
        <f>'[4]D4 Gallon Forecast'!S71+'[4]D6 Gallon Forecast'!S64</f>
        <v>111936384.2928541</v>
      </c>
      <c r="T5" s="36">
        <f>'[4]D4 Gallon Forecast'!T71+'[4]D6 Gallon Forecast'!T64</f>
        <v>87324865.1273157</v>
      </c>
      <c r="U5" s="36">
        <f>'[4]D4 Gallon Forecast'!U71+'[4]D6 Gallon Forecast'!U64</f>
        <v>99623800.395883515</v>
      </c>
      <c r="V5" s="36">
        <f>'[4]D4 Gallon Forecast'!V71+'[4]D6 Gallon Forecast'!V64</f>
        <v>98788266.673304528</v>
      </c>
      <c r="W5" s="36">
        <f>'[4]D4 Gallon Forecast'!W71+'[4]D6 Gallon Forecast'!W64</f>
        <v>101965483.45301311</v>
      </c>
      <c r="X5" s="36">
        <f>'[4]D4 Gallon Forecast'!X71+'[4]D6 Gallon Forecast'!X64</f>
        <v>106883481.69804786</v>
      </c>
      <c r="Y5" s="36">
        <f>'[4]D4 Gallon Forecast'!Y71+'[4]D6 Gallon Forecast'!Y64</f>
        <v>99804035.947552264</v>
      </c>
      <c r="Z5" s="36">
        <f>'[4]D4 Gallon Forecast'!Z71+'[4]D6 Gallon Forecast'!Z64</f>
        <v>97339813.061025664</v>
      </c>
      <c r="AA5" s="36">
        <f>'[4]D4 Gallon Forecast'!AA71+'[4]D6 Gallon Forecast'!AA64</f>
        <v>93456891.195951954</v>
      </c>
      <c r="AB5" s="36">
        <f>'[4]D4 Gallon Forecast'!AB71+'[4]D6 Gallon Forecast'!AB64</f>
        <v>78560593.316256836</v>
      </c>
      <c r="AC5" s="36">
        <f>'[4]D4 Gallon Forecast'!AC71+'[4]D6 Gallon Forecast'!AC64</f>
        <v>63406501.49846109</v>
      </c>
      <c r="AD5" s="36">
        <f>'[4]D4 Gallon Forecast'!AD71+'[4]D6 Gallon Forecast'!AD64</f>
        <v>62059510.324372597</v>
      </c>
      <c r="AE5" s="36">
        <f>'[4]D4 Gallon Forecast'!AE71+'[4]D6 Gallon Forecast'!AE64</f>
        <v>51405235.3040087</v>
      </c>
      <c r="AF5" s="36">
        <f>'[4]D4 Gallon Forecast'!AF71+'[4]D6 Gallon Forecast'!AF64</f>
        <v>30571621.060393609</v>
      </c>
      <c r="AG5" s="36">
        <f>'[4]D4 Gallon Forecast'!AG71+'[4]D6 Gallon Forecast'!AG64</f>
        <v>33951568.642657228</v>
      </c>
      <c r="AH5" s="36">
        <f>'[4]D4 Gallon Forecast'!AH71+'[4]D6 Gallon Forecast'!BC64</f>
        <v>33362028.223447889</v>
      </c>
      <c r="AI5" s="36">
        <f>'[4]D4 Gallon Forecast'!AI71+'[4]D6 Gallon Forecast'!BD64</f>
        <v>27438056.028013065</v>
      </c>
      <c r="AJ5" s="36">
        <f>'[4]D4 Gallon Forecast'!AJ71+'[4]D6 Gallon Forecast'!BE64</f>
        <v>27729128.821050435</v>
      </c>
      <c r="AK5" s="36">
        <f>'[4]D4 Gallon Forecast'!AK71+'[4]D6 Gallon Forecast'!BF64</f>
        <v>27841295.12113066</v>
      </c>
      <c r="AL5" s="36">
        <f>'[4]D4 Gallon Forecast'!AL71+'[4]D6 Gallon Forecast'!BG64</f>
        <v>27754142.022674315</v>
      </c>
      <c r="AM5" s="36">
        <f>'[4]D4 Gallon Forecast'!AM71+'[4]D6 Gallon Forecast'!BH64</f>
        <v>27767748.944908731</v>
      </c>
      <c r="AN5" s="36">
        <f>'[4]D4 Gallon Forecast'!AN71+'[4]D6 Gallon Forecast'!BI64</f>
        <v>28224200.055346448</v>
      </c>
      <c r="AO5" s="36">
        <f>'[4]D4 Gallon Forecast'!AO71+'[4]D6 Gallon Forecast'!BJ64</f>
        <v>28705872.786316611</v>
      </c>
      <c r="AP5" s="36">
        <f>'[4]D4 Gallon Forecast'!AP71+'[4]D6 Gallon Forecast'!BK64</f>
        <v>29338421.152509019</v>
      </c>
      <c r="AQ5" s="35"/>
      <c r="AR5" s="35">
        <f>O5/31</f>
        <v>4222235.7419354841</v>
      </c>
      <c r="AS5" s="35">
        <f>N5/31</f>
        <v>4382885.0967741935</v>
      </c>
      <c r="AT5" s="35">
        <f>M5/31</f>
        <v>4849642.935483871</v>
      </c>
      <c r="AU5" s="35">
        <f>L5/31</f>
        <v>4841699.2903225804</v>
      </c>
      <c r="AV5" s="35">
        <f t="shared" si="1"/>
        <v>-160649.35483870935</v>
      </c>
      <c r="AW5" s="35">
        <f>SUM(J5:N5)/5/31</f>
        <v>4704249.1290322579</v>
      </c>
      <c r="AX5" s="35">
        <f t="shared" si="2"/>
        <v>-482013.38709677383</v>
      </c>
      <c r="AY5" s="85">
        <f t="shared" si="3"/>
        <v>-0.10246340571591539</v>
      </c>
      <c r="AZ5" s="85" t="e">
        <f t="shared" si="4"/>
        <v>#DIV/0!</v>
      </c>
      <c r="BA5" s="35">
        <f>'[4]D4 Gallon Forecast'!$DK71+'[4]D6 Gallon Forecast'!$BK64</f>
        <v>0</v>
      </c>
      <c r="BB5" s="35">
        <f t="shared" si="0"/>
        <v>130889308</v>
      </c>
      <c r="BC5" s="70" t="e">
        <f t="shared" si="5"/>
        <v>#DIV/0!</v>
      </c>
      <c r="BD5" s="35"/>
      <c r="BE5" s="35"/>
    </row>
    <row r="6" spans="1:68" x14ac:dyDescent="0.2">
      <c r="A6" s="32" t="s">
        <v>73</v>
      </c>
      <c r="B6" s="35">
        <f>'[4]D4 Gallon Forecast'!B72+'[4]D6 Gallon Forecast'!B65</f>
        <v>522149</v>
      </c>
      <c r="C6" s="35">
        <f>'[4]D4 Gallon Forecast'!C72+'[4]D6 Gallon Forecast'!C65</f>
        <v>70426398</v>
      </c>
      <c r="D6" s="35">
        <f>'[4]D4 Gallon Forecast'!D72+'[4]D6 Gallon Forecast'!D65</f>
        <v>92581599</v>
      </c>
      <c r="E6" s="35">
        <f>'[4]D4 Gallon Forecast'!E72+'[4]D6 Gallon Forecast'!E65</f>
        <v>110960668</v>
      </c>
      <c r="F6" s="35">
        <f>'[4]D4 Gallon Forecast'!F72+'[4]D6 Gallon Forecast'!F65</f>
        <v>103350473</v>
      </c>
      <c r="G6" s="35">
        <f>'[4]D4 Gallon Forecast'!G72+'[4]D6 Gallon Forecast'!G65</f>
        <v>106492710</v>
      </c>
      <c r="H6" s="35">
        <f>'[4]D4 Gallon Forecast'!H72+'[4]D6 Gallon Forecast'!H65</f>
        <v>126269458</v>
      </c>
      <c r="I6" s="35">
        <f>'[4]D4 Gallon Forecast'!I72+'[4]D6 Gallon Forecast'!I65</f>
        <v>124324164</v>
      </c>
      <c r="J6" s="35">
        <f>'[4]D4 Gallon Forecast'!J72+'[4]D6 Gallon Forecast'!J65</f>
        <v>144637673</v>
      </c>
      <c r="K6" s="35">
        <f>'[4]D4 Gallon Forecast'!K72+'[4]D6 Gallon Forecast'!K65</f>
        <v>160899734</v>
      </c>
      <c r="L6" s="35">
        <f>'[4]D4 Gallon Forecast'!L72+'[4]D6 Gallon Forecast'!L65</f>
        <v>149356126</v>
      </c>
      <c r="M6" s="35">
        <f>'[4]D4 Gallon Forecast'!M72+'[4]D6 Gallon Forecast'!M65</f>
        <v>144396494</v>
      </c>
      <c r="N6" s="35">
        <f>'[4]D4 Gallon Forecast'!N72+'[4]D6 Gallon Forecast'!N65</f>
        <v>144286382</v>
      </c>
      <c r="O6" s="35">
        <f>'[4]D4 Gallon Forecast'!O72+'[4]D6 Gallon Forecast'!O65</f>
        <v>133835520</v>
      </c>
      <c r="P6" s="35">
        <f>'[4]D4 Gallon Forecast'!P72+'[4]D6 Gallon Forecast'!P65</f>
        <v>136121554</v>
      </c>
      <c r="Q6" s="36">
        <f>'[4]D4 Gallon Forecast'!Q72+'[4]D6 Gallon Forecast'!Q65</f>
        <v>131791986.24915777</v>
      </c>
      <c r="R6" s="36">
        <f>'[4]D4 Gallon Forecast'!R72+'[4]D6 Gallon Forecast'!R65</f>
        <v>122281171.98496304</v>
      </c>
      <c r="S6" s="36">
        <f>'[4]D4 Gallon Forecast'!S72+'[4]D6 Gallon Forecast'!S65</f>
        <v>122758168.92761807</v>
      </c>
      <c r="T6" s="36">
        <f>'[4]D4 Gallon Forecast'!T72+'[4]D6 Gallon Forecast'!T65</f>
        <v>96509092.511040851</v>
      </c>
      <c r="U6" s="36">
        <f>'[4]D4 Gallon Forecast'!U72+'[4]D6 Gallon Forecast'!U65</f>
        <v>111919015.22006534</v>
      </c>
      <c r="V6" s="36">
        <f>'[4]D4 Gallon Forecast'!V72+'[4]D6 Gallon Forecast'!V65</f>
        <v>113782283.60542427</v>
      </c>
      <c r="W6" s="36">
        <f>'[4]D4 Gallon Forecast'!W72+'[4]D6 Gallon Forecast'!W65</f>
        <v>113073119.63273118</v>
      </c>
      <c r="X6" s="36">
        <f>'[4]D4 Gallon Forecast'!X72+'[4]D6 Gallon Forecast'!X65</f>
        <v>119477064.91385268</v>
      </c>
      <c r="Y6" s="36">
        <f>'[4]D4 Gallon Forecast'!Y72+'[4]D6 Gallon Forecast'!Y65</f>
        <v>112056825.71491881</v>
      </c>
      <c r="Z6" s="36">
        <f>'[4]D4 Gallon Forecast'!Z72+'[4]D6 Gallon Forecast'!Z65</f>
        <v>109614254.34227626</v>
      </c>
      <c r="AA6" s="36">
        <f>'[4]D4 Gallon Forecast'!AA72+'[4]D6 Gallon Forecast'!AA65</f>
        <v>105324396.1988731</v>
      </c>
      <c r="AB6" s="36">
        <f>'[4]D4 Gallon Forecast'!AB72+'[4]D6 Gallon Forecast'!AB65</f>
        <v>88217466.968715161</v>
      </c>
      <c r="AC6" s="36">
        <f>'[4]D4 Gallon Forecast'!AC72+'[4]D6 Gallon Forecast'!AC65</f>
        <v>71542870.744882554</v>
      </c>
      <c r="AD6" s="36">
        <f>'[4]D4 Gallon Forecast'!AD72+'[4]D6 Gallon Forecast'!AD65</f>
        <v>70185048.72461839</v>
      </c>
      <c r="AE6" s="36">
        <f>'[4]D4 Gallon Forecast'!AE72+'[4]D6 Gallon Forecast'!AE65</f>
        <v>58378337.975254469</v>
      </c>
      <c r="AF6" s="36">
        <f>'[4]D4 Gallon Forecast'!AF72+'[4]D6 Gallon Forecast'!AF65</f>
        <v>35091486.525400743</v>
      </c>
      <c r="AG6" s="36">
        <f>'[4]D4 Gallon Forecast'!AG72+'[4]D6 Gallon Forecast'!AG65</f>
        <v>38841382.892555535</v>
      </c>
      <c r="AH6" s="36">
        <f>'[4]D4 Gallon Forecast'!AH72+'[4]D6 Gallon Forecast'!BC65</f>
        <v>37243943.818960853</v>
      </c>
      <c r="AI6" s="36">
        <f>'[4]D4 Gallon Forecast'!AI72+'[4]D6 Gallon Forecast'!BD65</f>
        <v>30635596.394600052</v>
      </c>
      <c r="AJ6" s="36">
        <f>'[4]D4 Gallon Forecast'!AJ72+'[4]D6 Gallon Forecast'!BE65</f>
        <v>30958260.082361247</v>
      </c>
      <c r="AK6" s="36">
        <f>'[4]D4 Gallon Forecast'!AK72+'[4]D6 Gallon Forecast'!BF65</f>
        <v>31078575.690346614</v>
      </c>
      <c r="AL6" s="36">
        <f>'[4]D4 Gallon Forecast'!AL72+'[4]D6 Gallon Forecast'!BG65</f>
        <v>30980195.755365957</v>
      </c>
      <c r="AM6" s="36">
        <f>'[4]D4 Gallon Forecast'!AM72+'[4]D6 Gallon Forecast'!BH65</f>
        <v>30999108.0758458</v>
      </c>
      <c r="AN6" s="36">
        <f>'[4]D4 Gallon Forecast'!AN72+'[4]D6 Gallon Forecast'!BI65</f>
        <v>31508769.552715477</v>
      </c>
      <c r="AO6" s="36">
        <f>'[4]D4 Gallon Forecast'!AO72+'[4]D6 Gallon Forecast'!BJ65</f>
        <v>32045578.07429985</v>
      </c>
      <c r="AP6" s="36">
        <f>'[4]D4 Gallon Forecast'!AP72+'[4]D6 Gallon Forecast'!BK65</f>
        <v>32751078.082785845</v>
      </c>
      <c r="AQ6" s="35"/>
      <c r="AR6" s="35">
        <f>O6/30</f>
        <v>4461184</v>
      </c>
      <c r="AS6" s="35">
        <f>N6/30</f>
        <v>4809546.0666666664</v>
      </c>
      <c r="AT6" s="35">
        <f>M6/30</f>
        <v>4813216.4666666668</v>
      </c>
      <c r="AU6" s="35">
        <f>L6/30</f>
        <v>4978537.5333333332</v>
      </c>
      <c r="AV6" s="35">
        <f t="shared" si="1"/>
        <v>-348362.06666666642</v>
      </c>
      <c r="AW6" s="35">
        <f>SUM(J6:N6)/5/30</f>
        <v>4957176.0600000005</v>
      </c>
      <c r="AX6" s="35">
        <f t="shared" si="2"/>
        <v>-495992.06000000052</v>
      </c>
      <c r="AY6" s="85">
        <f t="shared" si="3"/>
        <v>-0.10005536498939691</v>
      </c>
      <c r="AZ6" s="85" t="e">
        <f t="shared" si="4"/>
        <v>#DIV/0!</v>
      </c>
      <c r="BA6" s="35">
        <f>'[4]D4 Gallon Forecast'!$DK72+'[4]D6 Gallon Forecast'!$BK65</f>
        <v>0</v>
      </c>
      <c r="BB6" s="35">
        <f t="shared" si="0"/>
        <v>133835520</v>
      </c>
      <c r="BC6" s="70" t="e">
        <f t="shared" si="5"/>
        <v>#DIV/0!</v>
      </c>
      <c r="BD6" s="35"/>
      <c r="BE6" s="35"/>
    </row>
    <row r="7" spans="1:68" x14ac:dyDescent="0.2">
      <c r="A7" s="32" t="s">
        <v>10</v>
      </c>
      <c r="B7" s="35">
        <f>'[4]D4 Gallon Forecast'!B73+'[4]D6 Gallon Forecast'!B66</f>
        <v>485714</v>
      </c>
      <c r="C7" s="35">
        <f>'[4]D4 Gallon Forecast'!C73+'[4]D6 Gallon Forecast'!C66</f>
        <v>77786553</v>
      </c>
      <c r="D7" s="35">
        <f>'[4]D4 Gallon Forecast'!D73+'[4]D6 Gallon Forecast'!D66</f>
        <v>107972177</v>
      </c>
      <c r="E7" s="35">
        <f>'[4]D4 Gallon Forecast'!E73+'[4]D6 Gallon Forecast'!E66</f>
        <v>118936855</v>
      </c>
      <c r="F7" s="35">
        <f>'[4]D4 Gallon Forecast'!F73+'[4]D6 Gallon Forecast'!F66</f>
        <v>109855624</v>
      </c>
      <c r="G7" s="35">
        <f>'[4]D4 Gallon Forecast'!G73+'[4]D6 Gallon Forecast'!G66</f>
        <v>121542185</v>
      </c>
      <c r="H7" s="35">
        <f>'[4]D4 Gallon Forecast'!H73+'[4]D6 Gallon Forecast'!H66</f>
        <v>135263309</v>
      </c>
      <c r="I7" s="35">
        <f>'[4]D4 Gallon Forecast'!I73+'[4]D6 Gallon Forecast'!I66</f>
        <v>147074058</v>
      </c>
      <c r="J7" s="35">
        <f>'[4]D4 Gallon Forecast'!J73+'[4]D6 Gallon Forecast'!J66</f>
        <v>166235446</v>
      </c>
      <c r="K7" s="35">
        <f>'[4]D4 Gallon Forecast'!K73+'[4]D6 Gallon Forecast'!K66</f>
        <v>164042436</v>
      </c>
      <c r="L7" s="35">
        <f>'[4]D4 Gallon Forecast'!L73+'[4]D6 Gallon Forecast'!L66</f>
        <v>143174223</v>
      </c>
      <c r="M7" s="35">
        <f>'[4]D4 Gallon Forecast'!M73+'[4]D6 Gallon Forecast'!M66</f>
        <v>150501950</v>
      </c>
      <c r="N7" s="35">
        <f>'[4]D4 Gallon Forecast'!N73+'[4]D6 Gallon Forecast'!N66</f>
        <v>139875243</v>
      </c>
      <c r="O7" s="35">
        <f>'[4]D4 Gallon Forecast'!O73+'[4]D6 Gallon Forecast'!O66</f>
        <v>163593533</v>
      </c>
      <c r="P7" s="35">
        <f>'[4]D4 Gallon Forecast'!P73+'[4]D6 Gallon Forecast'!P66</f>
        <v>142728755</v>
      </c>
      <c r="Q7" s="36">
        <f>'[4]D4 Gallon Forecast'!Q73+'[4]D6 Gallon Forecast'!Q66</f>
        <v>137920236.89019856</v>
      </c>
      <c r="R7" s="36">
        <f>'[4]D4 Gallon Forecast'!R73+'[4]D6 Gallon Forecast'!R66</f>
        <v>130181095.56558153</v>
      </c>
      <c r="S7" s="36">
        <f>'[4]D4 Gallon Forecast'!S73+'[4]D6 Gallon Forecast'!S66</f>
        <v>131279988.11683463</v>
      </c>
      <c r="T7" s="36">
        <f>'[4]D4 Gallon Forecast'!T73+'[4]D6 Gallon Forecast'!T66</f>
        <v>105356930.12711979</v>
      </c>
      <c r="U7" s="36">
        <f>'[4]D4 Gallon Forecast'!U73+'[4]D6 Gallon Forecast'!U66</f>
        <v>118974466.32869288</v>
      </c>
      <c r="V7" s="36">
        <f>'[4]D4 Gallon Forecast'!V73+'[4]D6 Gallon Forecast'!V66</f>
        <v>121238596.32327715</v>
      </c>
      <c r="W7" s="36">
        <f>'[4]D4 Gallon Forecast'!W73+'[4]D6 Gallon Forecast'!W66</f>
        <v>121002717.39010131</v>
      </c>
      <c r="X7" s="36">
        <f>'[4]D4 Gallon Forecast'!X73+'[4]D6 Gallon Forecast'!X66</f>
        <v>128000262.53811045</v>
      </c>
      <c r="Y7" s="36">
        <f>'[4]D4 Gallon Forecast'!Y73+'[4]D6 Gallon Forecast'!Y66</f>
        <v>120098135.06316507</v>
      </c>
      <c r="Z7" s="36">
        <f>'[4]D4 Gallon Forecast'!Z73+'[4]D6 Gallon Forecast'!Z66</f>
        <v>117111154.23524052</v>
      </c>
      <c r="AA7" s="36">
        <f>'[4]D4 Gallon Forecast'!AA73+'[4]D6 Gallon Forecast'!AA66</f>
        <v>112638789.29393782</v>
      </c>
      <c r="AB7" s="36">
        <f>'[4]D4 Gallon Forecast'!AB73+'[4]D6 Gallon Forecast'!AB66</f>
        <v>94413794.938598379</v>
      </c>
      <c r="AC7" s="36">
        <f>'[4]D4 Gallon Forecast'!AC73+'[4]D6 Gallon Forecast'!AC66</f>
        <v>76569270.900004327</v>
      </c>
      <c r="AD7" s="36">
        <f>'[4]D4 Gallon Forecast'!AD73+'[4]D6 Gallon Forecast'!AD66</f>
        <v>75097531.706504717</v>
      </c>
      <c r="AE7" s="36">
        <f>'[4]D4 Gallon Forecast'!AE73+'[4]D6 Gallon Forecast'!AE66</f>
        <v>62438323.918578178</v>
      </c>
      <c r="AF7" s="36">
        <f>'[4]D4 Gallon Forecast'!AF73+'[4]D6 Gallon Forecast'!AF66</f>
        <v>37542486.840689428</v>
      </c>
      <c r="AG7" s="36">
        <f>'[4]D4 Gallon Forecast'!AG73+'[4]D6 Gallon Forecast'!AG66</f>
        <v>41560081.340554506</v>
      </c>
      <c r="AH7" s="36">
        <f>'[4]D4 Gallon Forecast'!AH73+'[4]D6 Gallon Forecast'!BC66</f>
        <v>39850528.837245993</v>
      </c>
      <c r="AI7" s="36">
        <f>'[4]D4 Gallon Forecast'!AI73+'[4]D6 Gallon Forecast'!BD66</f>
        <v>32776933.354852974</v>
      </c>
      <c r="AJ7" s="36">
        <f>'[4]D4 Gallon Forecast'!AJ73+'[4]D6 Gallon Forecast'!BE66</f>
        <v>33120783.036311284</v>
      </c>
      <c r="AK7" s="36">
        <f>'[4]D4 Gallon Forecast'!AK73+'[4]D6 Gallon Forecast'!BF66</f>
        <v>33252379.61661933</v>
      </c>
      <c r="AL7" s="36">
        <f>'[4]D4 Gallon Forecast'!AL73+'[4]D6 Gallon Forecast'!BG66</f>
        <v>33147359.576819479</v>
      </c>
      <c r="AM7" s="36">
        <f>'[4]D4 Gallon Forecast'!AM73+'[4]D6 Gallon Forecast'!BH66</f>
        <v>33166859.407704063</v>
      </c>
      <c r="AN7" s="36">
        <f>'[4]D4 Gallon Forecast'!AN73+'[4]D6 Gallon Forecast'!BI66</f>
        <v>33711726.135068618</v>
      </c>
      <c r="AO7" s="36">
        <f>'[4]D4 Gallon Forecast'!AO73+'[4]D6 Gallon Forecast'!BJ66</f>
        <v>34286183.663658626</v>
      </c>
      <c r="AP7" s="36">
        <f>'[4]D4 Gallon Forecast'!AP73+'[4]D6 Gallon Forecast'!BK66</f>
        <v>35041442.155736245</v>
      </c>
      <c r="AQ7" s="35"/>
      <c r="AR7" s="35">
        <f>O7/31</f>
        <v>5277210.7419354841</v>
      </c>
      <c r="AS7" s="35">
        <f>N7/31</f>
        <v>4512104.6129032262</v>
      </c>
      <c r="AT7" s="35">
        <f>M7/31</f>
        <v>4854901.6129032262</v>
      </c>
      <c r="AU7" s="35">
        <f>L7/31</f>
        <v>4618523.3225806449</v>
      </c>
      <c r="AV7" s="35">
        <f t="shared" si="1"/>
        <v>765106.12903225794</v>
      </c>
      <c r="AW7" s="35">
        <f>SUM(J7:N7)/5/31</f>
        <v>4927930.9548387099</v>
      </c>
      <c r="AX7" s="35">
        <f t="shared" si="2"/>
        <v>349279.78709677421</v>
      </c>
      <c r="AY7" s="85">
        <f t="shared" si="3"/>
        <v>7.0877573224482418E-2</v>
      </c>
      <c r="AZ7" s="85" t="e">
        <f t="shared" si="4"/>
        <v>#DIV/0!</v>
      </c>
      <c r="BA7" s="35">
        <f>'[4]D4 Gallon Forecast'!$DK73+'[4]D6 Gallon Forecast'!$BK66</f>
        <v>0</v>
      </c>
      <c r="BB7" s="35">
        <f t="shared" si="0"/>
        <v>163593533</v>
      </c>
      <c r="BC7" s="70" t="e">
        <f t="shared" si="5"/>
        <v>#DIV/0!</v>
      </c>
      <c r="BD7" s="35"/>
      <c r="BE7" s="35"/>
    </row>
    <row r="8" spans="1:68" x14ac:dyDescent="0.2">
      <c r="A8" s="32" t="s">
        <v>74</v>
      </c>
      <c r="B8" s="35">
        <f>'[4]D4 Gallon Forecast'!B74+'[4]D6 Gallon Forecast'!B67</f>
        <v>637838</v>
      </c>
      <c r="C8" s="35">
        <f>'[4]D4 Gallon Forecast'!C74+'[4]D6 Gallon Forecast'!C67</f>
        <v>77961734</v>
      </c>
      <c r="D8" s="35">
        <f>'[4]D4 Gallon Forecast'!D74+'[4]D6 Gallon Forecast'!D67</f>
        <v>106613644</v>
      </c>
      <c r="E8" s="35">
        <f>'[4]D4 Gallon Forecast'!E74+'[4]D6 Gallon Forecast'!E67</f>
        <v>117472586</v>
      </c>
      <c r="F8" s="35">
        <f>'[4]D4 Gallon Forecast'!F74+'[4]D6 Gallon Forecast'!F67</f>
        <v>113250338</v>
      </c>
      <c r="G8" s="35">
        <f>'[4]D4 Gallon Forecast'!G74+'[4]D6 Gallon Forecast'!G67</f>
        <v>130919551</v>
      </c>
      <c r="H8" s="35">
        <f>'[4]D4 Gallon Forecast'!H74+'[4]D6 Gallon Forecast'!H67</f>
        <v>142742678</v>
      </c>
      <c r="I8" s="35">
        <f>'[4]D4 Gallon Forecast'!I74+'[4]D6 Gallon Forecast'!I67</f>
        <v>145011076</v>
      </c>
      <c r="J8" s="35">
        <f>'[4]D4 Gallon Forecast'!J74+'[4]D6 Gallon Forecast'!J67</f>
        <v>160548223</v>
      </c>
      <c r="K8" s="35">
        <f>'[4]D4 Gallon Forecast'!K74+'[4]D6 Gallon Forecast'!K67</f>
        <v>144102423</v>
      </c>
      <c r="L8" s="35">
        <f>'[4]D4 Gallon Forecast'!L74+'[4]D6 Gallon Forecast'!L67</f>
        <v>165519330</v>
      </c>
      <c r="M8" s="35">
        <f>'[4]D4 Gallon Forecast'!M74+'[4]D6 Gallon Forecast'!M67</f>
        <v>154457118</v>
      </c>
      <c r="N8" s="35">
        <f>'[4]D4 Gallon Forecast'!N74+'[4]D6 Gallon Forecast'!N67</f>
        <v>142855221</v>
      </c>
      <c r="O8" s="35">
        <f>'[4]D4 Gallon Forecast'!O74+'[4]D6 Gallon Forecast'!O67</f>
        <v>153006295</v>
      </c>
      <c r="P8" s="35">
        <f>'[4]D4 Gallon Forecast'!P74+'[4]D6 Gallon Forecast'!P67</f>
        <v>133806992</v>
      </c>
      <c r="Q8" s="36">
        <f>'[4]D4 Gallon Forecast'!Q74+'[4]D6 Gallon Forecast'!Q67</f>
        <v>139596321.19621357</v>
      </c>
      <c r="R8" s="36">
        <f>'[4]D4 Gallon Forecast'!R74+'[4]D6 Gallon Forecast'!R67</f>
        <v>128327443.75111075</v>
      </c>
      <c r="S8" s="36">
        <f>'[4]D4 Gallon Forecast'!S74+'[4]D6 Gallon Forecast'!S67</f>
        <v>128291100.9364365</v>
      </c>
      <c r="T8" s="36">
        <f>'[4]D4 Gallon Forecast'!T74+'[4]D6 Gallon Forecast'!T67</f>
        <v>102051082.81149849</v>
      </c>
      <c r="U8" s="36">
        <f>'[4]D4 Gallon Forecast'!U74+'[4]D6 Gallon Forecast'!U67</f>
        <v>116194869.4194393</v>
      </c>
      <c r="V8" s="36">
        <f>'[4]D4 Gallon Forecast'!V74+'[4]D6 Gallon Forecast'!V67</f>
        <v>119512100.43965368</v>
      </c>
      <c r="W8" s="36">
        <f>'[4]D4 Gallon Forecast'!W74+'[4]D6 Gallon Forecast'!W67</f>
        <v>118507037.85269792</v>
      </c>
      <c r="X8" s="36">
        <f>'[4]D4 Gallon Forecast'!X74+'[4]D6 Gallon Forecast'!X67</f>
        <v>125180524.38988824</v>
      </c>
      <c r="Y8" s="36">
        <f>'[4]D4 Gallon Forecast'!Y74+'[4]D6 Gallon Forecast'!Y67</f>
        <v>117476305.05333263</v>
      </c>
      <c r="Z8" s="36">
        <f>'[4]D4 Gallon Forecast'!Z74+'[4]D6 Gallon Forecast'!Z67</f>
        <v>114755553.80732942</v>
      </c>
      <c r="AA8" s="36">
        <f>'[4]D4 Gallon Forecast'!AA74+'[4]D6 Gallon Forecast'!AA67</f>
        <v>110453656.59288941</v>
      </c>
      <c r="AB8" s="36">
        <f>'[4]D4 Gallon Forecast'!AB74+'[4]D6 Gallon Forecast'!AB67</f>
        <v>92501679.595246017</v>
      </c>
      <c r="AC8" s="36">
        <f>'[4]D4 Gallon Forecast'!AC74+'[4]D6 Gallon Forecast'!AC67</f>
        <v>75065601.182823285</v>
      </c>
      <c r="AD8" s="36">
        <f>'[4]D4 Gallon Forecast'!AD74+'[4]D6 Gallon Forecast'!AD67</f>
        <v>73666915.683805659</v>
      </c>
      <c r="AE8" s="36">
        <f>'[4]D4 Gallon Forecast'!AE74+'[4]D6 Gallon Forecast'!AE67</f>
        <v>61328921.064157829</v>
      </c>
      <c r="AF8" s="36">
        <f>'[4]D4 Gallon Forecast'!AF74+'[4]D6 Gallon Forecast'!AF67</f>
        <v>36977278.917775065</v>
      </c>
      <c r="AG8" s="36">
        <f>'[4]D4 Gallon Forecast'!AG74+'[4]D6 Gallon Forecast'!AG67</f>
        <v>40897147.789793655</v>
      </c>
      <c r="AH8" s="36">
        <f>'[4]D4 Gallon Forecast'!AH74+'[4]D6 Gallon Forecast'!BC67</f>
        <v>38965802.95600643</v>
      </c>
      <c r="AI8" s="36">
        <f>'[4]D4 Gallon Forecast'!AI74+'[4]D6 Gallon Forecast'!BD67</f>
        <v>32051867.174560521</v>
      </c>
      <c r="AJ8" s="36">
        <f>'[4]D4 Gallon Forecast'!AJ74+'[4]D6 Gallon Forecast'!BE67</f>
        <v>32389354.656997025</v>
      </c>
      <c r="AK8" s="36">
        <f>'[4]D4 Gallon Forecast'!AK74+'[4]D6 Gallon Forecast'!BF67</f>
        <v>32516424.686103303</v>
      </c>
      <c r="AL8" s="36">
        <f>'[4]D4 Gallon Forecast'!AL74+'[4]D6 Gallon Forecast'!BG67</f>
        <v>32412757.810343415</v>
      </c>
      <c r="AM8" s="36">
        <f>'[4]D4 Gallon Forecast'!AM74+'[4]D6 Gallon Forecast'!BH67</f>
        <v>32432464.070917565</v>
      </c>
      <c r="AN8" s="36">
        <f>'[4]D4 Gallon Forecast'!AN74+'[4]D6 Gallon Forecast'!BI67</f>
        <v>32965742.414035406</v>
      </c>
      <c r="AO8" s="36">
        <f>'[4]D4 Gallon Forecast'!AO74+'[4]D6 Gallon Forecast'!BJ67</f>
        <v>33527440.334387213</v>
      </c>
      <c r="AP8" s="36">
        <f>'[4]D4 Gallon Forecast'!AP74+'[4]D6 Gallon Forecast'!BK67</f>
        <v>34265666.269287564</v>
      </c>
      <c r="AQ8" s="35"/>
      <c r="AR8" s="35">
        <f>O8/30</f>
        <v>5100209.833333333</v>
      </c>
      <c r="AS8" s="35">
        <f>N8/30</f>
        <v>4761840.7</v>
      </c>
      <c r="AT8" s="35">
        <f>M8/30</f>
        <v>5148570.5999999996</v>
      </c>
      <c r="AU8" s="35">
        <f>L8/30</f>
        <v>5517311</v>
      </c>
      <c r="AV8" s="35">
        <f t="shared" si="1"/>
        <v>338369.13333333284</v>
      </c>
      <c r="AW8" s="35">
        <f>SUM(J8:N8)/5/30</f>
        <v>5116548.7666666666</v>
      </c>
      <c r="AX8" s="35">
        <f t="shared" si="2"/>
        <v>-16338.933333333582</v>
      </c>
      <c r="AY8" s="85">
        <f t="shared" si="3"/>
        <v>-3.1933504552479979E-3</v>
      </c>
      <c r="AZ8" s="85" t="e">
        <f t="shared" si="4"/>
        <v>#DIV/0!</v>
      </c>
      <c r="BA8" s="35">
        <f>'[4]D4 Gallon Forecast'!$DK74+'[4]D6 Gallon Forecast'!$BK67</f>
        <v>0</v>
      </c>
      <c r="BB8" s="35">
        <f t="shared" si="0"/>
        <v>153006295</v>
      </c>
      <c r="BC8" s="70" t="e">
        <f t="shared" si="5"/>
        <v>#DIV/0!</v>
      </c>
    </row>
    <row r="9" spans="1:68" x14ac:dyDescent="0.2">
      <c r="A9" s="32" t="s">
        <v>75</v>
      </c>
      <c r="B9" s="35">
        <f>'[4]D4 Gallon Forecast'!B75+'[4]D6 Gallon Forecast'!B68</f>
        <v>34054859</v>
      </c>
      <c r="C9" s="35">
        <f>'[4]D4 Gallon Forecast'!C75+'[4]D6 Gallon Forecast'!C68</f>
        <v>86877103</v>
      </c>
      <c r="D9" s="35">
        <f>'[4]D4 Gallon Forecast'!D75+'[4]D6 Gallon Forecast'!D68</f>
        <v>97342403</v>
      </c>
      <c r="E9" s="35">
        <f>'[4]D4 Gallon Forecast'!E75+'[4]D6 Gallon Forecast'!E68</f>
        <v>128367947</v>
      </c>
      <c r="F9" s="35">
        <f>'[4]D4 Gallon Forecast'!F75+'[4]D6 Gallon Forecast'!F68</f>
        <v>128057221</v>
      </c>
      <c r="G9" s="35">
        <f>'[4]D4 Gallon Forecast'!G75+'[4]D6 Gallon Forecast'!G68</f>
        <v>129184420</v>
      </c>
      <c r="H9" s="35">
        <f>'[4]D4 Gallon Forecast'!H75+'[4]D6 Gallon Forecast'!H68</f>
        <v>137972248</v>
      </c>
      <c r="I9" s="35">
        <f>'[4]D4 Gallon Forecast'!I75+'[4]D6 Gallon Forecast'!I68</f>
        <v>150290364</v>
      </c>
      <c r="J9" s="35">
        <f>'[4]D4 Gallon Forecast'!J75+'[4]D6 Gallon Forecast'!J68</f>
        <v>169779870</v>
      </c>
      <c r="K9" s="35">
        <f>'[4]D4 Gallon Forecast'!K75+'[4]D6 Gallon Forecast'!K68</f>
        <v>169452631</v>
      </c>
      <c r="L9" s="35">
        <f>'[4]D4 Gallon Forecast'!L75+'[4]D6 Gallon Forecast'!L68</f>
        <v>162738265</v>
      </c>
      <c r="M9" s="35">
        <f>'[4]D4 Gallon Forecast'!M75+'[4]D6 Gallon Forecast'!M68</f>
        <v>146890338</v>
      </c>
      <c r="N9" s="35">
        <f>'[4]D4 Gallon Forecast'!N75+'[4]D6 Gallon Forecast'!N68</f>
        <v>137545866</v>
      </c>
      <c r="O9" s="35">
        <f>'[4]D4 Gallon Forecast'!O75+'[4]D6 Gallon Forecast'!O68</f>
        <v>142593233</v>
      </c>
      <c r="P9" s="35">
        <f>'[4]D4 Gallon Forecast'!P75+'[4]D6 Gallon Forecast'!P68</f>
        <v>145953904</v>
      </c>
      <c r="Q9" s="36">
        <f>'[4]D4 Gallon Forecast'!Q75+'[4]D6 Gallon Forecast'!Q68</f>
        <v>137410035.36067736</v>
      </c>
      <c r="R9" s="36">
        <f>'[4]D4 Gallon Forecast'!R75+'[4]D6 Gallon Forecast'!R68</f>
        <v>125884935.60488664</v>
      </c>
      <c r="S9" s="36">
        <f>'[4]D4 Gallon Forecast'!S75+'[4]D6 Gallon Forecast'!S68</f>
        <v>126697521.14974993</v>
      </c>
      <c r="T9" s="36">
        <f>'[4]D4 Gallon Forecast'!T75+'[4]D6 Gallon Forecast'!T68</f>
        <v>101311751.51358101</v>
      </c>
      <c r="U9" s="36">
        <f>'[4]D4 Gallon Forecast'!U75+'[4]D6 Gallon Forecast'!U68</f>
        <v>117053362.6174828</v>
      </c>
      <c r="V9" s="36">
        <f>'[4]D4 Gallon Forecast'!V75+'[4]D6 Gallon Forecast'!V68</f>
        <v>118250207.24527477</v>
      </c>
      <c r="W9" s="36">
        <f>'[4]D4 Gallon Forecast'!W75+'[4]D6 Gallon Forecast'!W68</f>
        <v>117478901.26538534</v>
      </c>
      <c r="X9" s="36">
        <f>'[4]D4 Gallon Forecast'!X75+'[4]D6 Gallon Forecast'!X68</f>
        <v>124378517.04396257</v>
      </c>
      <c r="Y9" s="36">
        <f>'[4]D4 Gallon Forecast'!Y75+'[4]D6 Gallon Forecast'!Y68</f>
        <v>116880023.40248293</v>
      </c>
      <c r="Z9" s="36">
        <f>'[4]D4 Gallon Forecast'!Z75+'[4]D6 Gallon Forecast'!Z68</f>
        <v>114216735.58585307</v>
      </c>
      <c r="AA9" s="36">
        <f>'[4]D4 Gallon Forecast'!AA75+'[4]D6 Gallon Forecast'!AA68</f>
        <v>109676386.93365525</v>
      </c>
      <c r="AB9" s="36">
        <f>'[4]D4 Gallon Forecast'!AB75+'[4]D6 Gallon Forecast'!AB68</f>
        <v>91919752.217968166</v>
      </c>
      <c r="AC9" s="36">
        <f>'[4]D4 Gallon Forecast'!AC75+'[4]D6 Gallon Forecast'!AC68</f>
        <v>74637301.339815542</v>
      </c>
      <c r="AD9" s="36">
        <f>'[4]D4 Gallon Forecast'!AD75+'[4]D6 Gallon Forecast'!AD68</f>
        <v>73259224.506927252</v>
      </c>
      <c r="AE9" s="36">
        <f>'[4]D4 Gallon Forecast'!AE75+'[4]D6 Gallon Forecast'!AE68</f>
        <v>60987999.670774586</v>
      </c>
      <c r="AF9" s="36">
        <f>'[4]D4 Gallon Forecast'!AF75+'[4]D6 Gallon Forecast'!AF68</f>
        <v>36774808.852375284</v>
      </c>
      <c r="AG9" s="36">
        <f>'[4]D4 Gallon Forecast'!AG75+'[4]D6 Gallon Forecast'!AG68</f>
        <v>40679147.350639433</v>
      </c>
      <c r="AH9" s="36">
        <f>'[4]D4 Gallon Forecast'!AH75+'[4]D6 Gallon Forecast'!BC68</f>
        <v>38724212.753602996</v>
      </c>
      <c r="AI9" s="36">
        <f>'[4]D4 Gallon Forecast'!AI75+'[4]D6 Gallon Forecast'!BD68</f>
        <v>31852589.765391726</v>
      </c>
      <c r="AJ9" s="36">
        <f>'[4]D4 Gallon Forecast'!AJ75+'[4]D6 Gallon Forecast'!BE68</f>
        <v>32185768.911333382</v>
      </c>
      <c r="AK9" s="36">
        <f>'[4]D4 Gallon Forecast'!AK75+'[4]D6 Gallon Forecast'!BF68</f>
        <v>32311149.362391438</v>
      </c>
      <c r="AL9" s="36">
        <f>'[4]D4 Gallon Forecast'!AL75+'[4]D6 Gallon Forecast'!BG68</f>
        <v>32209745.326823406</v>
      </c>
      <c r="AM9" s="36">
        <f>'[4]D4 Gallon Forecast'!AM75+'[4]D6 Gallon Forecast'!BH68</f>
        <v>32229637.889737874</v>
      </c>
      <c r="AN9" s="36">
        <f>'[4]D4 Gallon Forecast'!AN75+'[4]D6 Gallon Forecast'!BI68</f>
        <v>32759154.547360282</v>
      </c>
      <c r="AO9" s="36">
        <f>'[4]D4 Gallon Forecast'!AO75+'[4]D6 Gallon Forecast'!BJ68</f>
        <v>33317006.187705301</v>
      </c>
      <c r="AP9" s="36">
        <f>'[4]D4 Gallon Forecast'!AP75+'[4]D6 Gallon Forecast'!BK68</f>
        <v>34050660.30783283</v>
      </c>
      <c r="AQ9" s="35"/>
      <c r="AR9" s="35">
        <f>O9/31</f>
        <v>4599781.7096774196</v>
      </c>
      <c r="AS9" s="35">
        <f>N9/31</f>
        <v>4436963.4193548383</v>
      </c>
      <c r="AT9" s="35">
        <f>M9/31</f>
        <v>4738398</v>
      </c>
      <c r="AU9" s="35">
        <f>L9/31</f>
        <v>5249621.4516129028</v>
      </c>
      <c r="AV9" s="35">
        <f t="shared" si="1"/>
        <v>162818.29032258131</v>
      </c>
      <c r="AW9" s="35">
        <f>SUM(J9:N9)/5/31</f>
        <v>5073593.3548387093</v>
      </c>
      <c r="AX9" s="35">
        <f t="shared" si="2"/>
        <v>-473811.64516128972</v>
      </c>
      <c r="AY9" s="85">
        <f t="shared" si="3"/>
        <v>-9.3387784953126635E-2</v>
      </c>
      <c r="AZ9" s="85" t="e">
        <f t="shared" si="4"/>
        <v>#DIV/0!</v>
      </c>
      <c r="BA9" s="35">
        <f>'[4]D4 Gallon Forecast'!$DK75+'[4]D6 Gallon Forecast'!$BK68</f>
        <v>0</v>
      </c>
      <c r="BB9" s="35">
        <f t="shared" si="0"/>
        <v>142593233</v>
      </c>
      <c r="BC9" s="70" t="e">
        <f t="shared" si="5"/>
        <v>#DIV/0!</v>
      </c>
    </row>
    <row r="10" spans="1:68" x14ac:dyDescent="0.2">
      <c r="A10" s="32" t="s">
        <v>76</v>
      </c>
      <c r="B10" s="35">
        <f>'[4]D4 Gallon Forecast'!B76+'[4]D6 Gallon Forecast'!B69</f>
        <v>28833177</v>
      </c>
      <c r="C10" s="35">
        <f>'[4]D4 Gallon Forecast'!C76+'[4]D6 Gallon Forecast'!C69</f>
        <v>101064518</v>
      </c>
      <c r="D10" s="35">
        <f>'[4]D4 Gallon Forecast'!D76+'[4]D6 Gallon Forecast'!D69</f>
        <v>96254350</v>
      </c>
      <c r="E10" s="35">
        <f>'[4]D4 Gallon Forecast'!E76+'[4]D6 Gallon Forecast'!E69</f>
        <v>129938329</v>
      </c>
      <c r="F10" s="35">
        <f>'[4]D4 Gallon Forecast'!F76+'[4]D6 Gallon Forecast'!F69</f>
        <v>127896494</v>
      </c>
      <c r="G10" s="35">
        <f>'[4]D4 Gallon Forecast'!G76+'[4]D6 Gallon Forecast'!G69</f>
        <v>125600893</v>
      </c>
      <c r="H10" s="35">
        <f>'[4]D4 Gallon Forecast'!H76+'[4]D6 Gallon Forecast'!H69</f>
        <v>161658331</v>
      </c>
      <c r="I10" s="35">
        <f>'[4]D4 Gallon Forecast'!I76+'[4]D6 Gallon Forecast'!I69</f>
        <v>157536696</v>
      </c>
      <c r="J10" s="35">
        <f>'[4]D4 Gallon Forecast'!J76+'[4]D6 Gallon Forecast'!J69</f>
        <v>180631297</v>
      </c>
      <c r="K10" s="35">
        <f>'[4]D4 Gallon Forecast'!K76+'[4]D6 Gallon Forecast'!K69</f>
        <v>153598697</v>
      </c>
      <c r="L10" s="35">
        <f>'[4]D4 Gallon Forecast'!L76+'[4]D6 Gallon Forecast'!L69</f>
        <v>171493499</v>
      </c>
      <c r="M10" s="35">
        <f>'[4]D4 Gallon Forecast'!M76+'[4]D6 Gallon Forecast'!M69</f>
        <v>154582245</v>
      </c>
      <c r="N10" s="35">
        <f>'[4]D4 Gallon Forecast'!N76+'[4]D6 Gallon Forecast'!N69</f>
        <v>151833118</v>
      </c>
      <c r="O10" s="35">
        <f>'[4]D4 Gallon Forecast'!O76+'[4]D6 Gallon Forecast'!O69</f>
        <v>152345476</v>
      </c>
      <c r="P10" s="35">
        <f>'[4]D4 Gallon Forecast'!P76+'[4]D6 Gallon Forecast'!P69</f>
        <v>139724190</v>
      </c>
      <c r="Q10" s="36">
        <f>'[4]D4 Gallon Forecast'!Q76+'[4]D6 Gallon Forecast'!Q69</f>
        <v>143738699.39125273</v>
      </c>
      <c r="R10" s="36">
        <f>'[4]D4 Gallon Forecast'!R76+'[4]D6 Gallon Forecast'!R69</f>
        <v>131459720.50294538</v>
      </c>
      <c r="S10" s="36">
        <f>'[4]D4 Gallon Forecast'!S76+'[4]D6 Gallon Forecast'!S69</f>
        <v>132090665.22020352</v>
      </c>
      <c r="T10" s="36">
        <f>'[4]D4 Gallon Forecast'!T76+'[4]D6 Gallon Forecast'!T69</f>
        <v>104368498.00468701</v>
      </c>
      <c r="U10" s="36">
        <f>'[4]D4 Gallon Forecast'!U76+'[4]D6 Gallon Forecast'!U69</f>
        <v>119582994.88862705</v>
      </c>
      <c r="V10" s="36">
        <f>'[4]D4 Gallon Forecast'!V76+'[4]D6 Gallon Forecast'!V69</f>
        <v>122698327.46870466</v>
      </c>
      <c r="W10" s="36">
        <f>'[4]D4 Gallon Forecast'!W76+'[4]D6 Gallon Forecast'!W69</f>
        <v>121666952.63630889</v>
      </c>
      <c r="X10" s="36">
        <f>'[4]D4 Gallon Forecast'!X76+'[4]D6 Gallon Forecast'!X69</f>
        <v>128579959.17383428</v>
      </c>
      <c r="Y10" s="36">
        <f>'[4]D4 Gallon Forecast'!Y76+'[4]D6 Gallon Forecast'!Y69</f>
        <v>120603607.1044246</v>
      </c>
      <c r="Z10" s="36">
        <f>'[4]D4 Gallon Forecast'!Z76+'[4]D6 Gallon Forecast'!Z69</f>
        <v>117888545.46712206</v>
      </c>
      <c r="AA10" s="36">
        <f>'[4]D4 Gallon Forecast'!AA76+'[4]D6 Gallon Forecast'!AA69</f>
        <v>113430882.75858529</v>
      </c>
      <c r="AB10" s="36">
        <f>'[4]D4 Gallon Forecast'!AB76+'[4]D6 Gallon Forecast'!AB69</f>
        <v>95003866.92825456</v>
      </c>
      <c r="AC10" s="36">
        <f>'[4]D4 Gallon Forecast'!AC76+'[4]D6 Gallon Forecast'!AC69</f>
        <v>77109814.102692112</v>
      </c>
      <c r="AD10" s="36">
        <f>'[4]D4 Gallon Forecast'!AD76+'[4]D6 Gallon Forecast'!AD69</f>
        <v>75674450.218948558</v>
      </c>
      <c r="AE10" s="36">
        <f>'[4]D4 Gallon Forecast'!AE76+'[4]D6 Gallon Forecast'!AE69</f>
        <v>63016629.632883891</v>
      </c>
      <c r="AF10" s="36">
        <f>'[4]D4 Gallon Forecast'!AF76+'[4]D6 Gallon Forecast'!AF69</f>
        <v>38011376.788413398</v>
      </c>
      <c r="AG10" s="36">
        <f>'[4]D4 Gallon Forecast'!AG76+'[4]D6 Gallon Forecast'!AG69</f>
        <v>42036575.9503382</v>
      </c>
      <c r="AH10" s="36">
        <f>'[4]D4 Gallon Forecast'!AH76+'[4]D6 Gallon Forecast'!BC69</f>
        <v>40005641.844131738</v>
      </c>
      <c r="AI10" s="36">
        <f>'[4]D4 Gallon Forecast'!AI76+'[4]D6 Gallon Forecast'!BD69</f>
        <v>32907077.852865238</v>
      </c>
      <c r="AJ10" s="36">
        <f>'[4]D4 Gallon Forecast'!AJ76+'[4]D6 Gallon Forecast'!BE69</f>
        <v>33253921.295223381</v>
      </c>
      <c r="AK10" s="36">
        <f>'[4]D4 Gallon Forecast'!AK76+'[4]D6 Gallon Forecast'!BF69</f>
        <v>33383945.108255003</v>
      </c>
      <c r="AL10" s="36">
        <f>'[4]D4 Gallon Forecast'!AL76+'[4]D6 Gallon Forecast'!BG69</f>
        <v>33277636.783196837</v>
      </c>
      <c r="AM10" s="36">
        <f>'[4]D4 Gallon Forecast'!AM76+'[4]D6 Gallon Forecast'!BH69</f>
        <v>33297917.420431193</v>
      </c>
      <c r="AN10" s="36">
        <f>'[4]D4 Gallon Forecast'!AN76+'[4]D6 Gallon Forecast'!BI69</f>
        <v>33845417.055991583</v>
      </c>
      <c r="AO10" s="36">
        <f>'[4]D4 Gallon Forecast'!AO76+'[4]D6 Gallon Forecast'!BJ69</f>
        <v>34422119.610067606</v>
      </c>
      <c r="AP10" s="36">
        <f>'[4]D4 Gallon Forecast'!AP76+'[4]D6 Gallon Forecast'!BK69</f>
        <v>35179991.315252721</v>
      </c>
      <c r="AQ10" s="35"/>
      <c r="AR10" s="35">
        <f>O10/31</f>
        <v>4914370.1935483869</v>
      </c>
      <c r="AS10" s="35">
        <f>N10/31</f>
        <v>4897842.5161290327</v>
      </c>
      <c r="AT10" s="35">
        <f>M10/31</f>
        <v>4986524.0322580645</v>
      </c>
      <c r="AU10" s="35">
        <f>L10/31</f>
        <v>5532048.3548387093</v>
      </c>
      <c r="AV10" s="35">
        <f t="shared" si="1"/>
        <v>16527.677419354208</v>
      </c>
      <c r="AW10" s="35">
        <f>SUM(J10:N10)/5/31</f>
        <v>5239605.522580645</v>
      </c>
      <c r="AX10" s="35">
        <f t="shared" si="2"/>
        <v>-325235.32903225813</v>
      </c>
      <c r="AY10" s="85">
        <f t="shared" si="3"/>
        <v>-6.2072483821658218E-2</v>
      </c>
      <c r="AZ10" s="85" t="e">
        <f t="shared" si="4"/>
        <v>#DIV/0!</v>
      </c>
      <c r="BA10" s="35">
        <f>'[4]D4 Gallon Forecast'!$DK76+'[4]D6 Gallon Forecast'!$BK69</f>
        <v>0</v>
      </c>
      <c r="BB10" s="35">
        <f t="shared" si="0"/>
        <v>152345476</v>
      </c>
      <c r="BC10" s="70" t="e">
        <f t="shared" si="5"/>
        <v>#DIV/0!</v>
      </c>
    </row>
    <row r="11" spans="1:68" x14ac:dyDescent="0.2">
      <c r="A11" s="32" t="s">
        <v>77</v>
      </c>
      <c r="B11" s="35">
        <f>'[4]D4 Gallon Forecast'!B77+'[4]D6 Gallon Forecast'!B70</f>
        <v>35676995</v>
      </c>
      <c r="C11" s="35">
        <f>'[4]D4 Gallon Forecast'!C77+'[4]D6 Gallon Forecast'!C70</f>
        <v>114504154</v>
      </c>
      <c r="D11" s="35">
        <f>'[4]D4 Gallon Forecast'!D77+'[4]D6 Gallon Forecast'!D70</f>
        <v>81339106</v>
      </c>
      <c r="E11" s="35">
        <f>'[4]D4 Gallon Forecast'!E77+'[4]D6 Gallon Forecast'!E70</f>
        <v>127647342</v>
      </c>
      <c r="F11" s="35">
        <f>'[4]D4 Gallon Forecast'!F77+'[4]D6 Gallon Forecast'!F70</f>
        <v>124958575</v>
      </c>
      <c r="G11" s="35">
        <f>'[4]D4 Gallon Forecast'!G77+'[4]D6 Gallon Forecast'!G70</f>
        <v>117829158</v>
      </c>
      <c r="H11" s="35">
        <f>'[4]D4 Gallon Forecast'!H77+'[4]D6 Gallon Forecast'!H70</f>
        <v>146642586</v>
      </c>
      <c r="I11" s="35">
        <f>'[4]D4 Gallon Forecast'!I77+'[4]D6 Gallon Forecast'!I70</f>
        <v>148333215</v>
      </c>
      <c r="J11" s="35">
        <f>'[4]D4 Gallon Forecast'!J77+'[4]D6 Gallon Forecast'!J70</f>
        <v>157006356</v>
      </c>
      <c r="K11" s="35">
        <f>'[4]D4 Gallon Forecast'!K77+'[4]D6 Gallon Forecast'!K70</f>
        <v>143659811</v>
      </c>
      <c r="L11" s="35">
        <f>'[4]D4 Gallon Forecast'!L77+'[4]D6 Gallon Forecast'!L70</f>
        <v>167865219</v>
      </c>
      <c r="M11" s="35">
        <f>'[4]D4 Gallon Forecast'!M77+'[4]D6 Gallon Forecast'!M70</f>
        <v>139934774</v>
      </c>
      <c r="N11" s="35">
        <f>'[4]D4 Gallon Forecast'!N77+'[4]D6 Gallon Forecast'!N70</f>
        <v>141860945</v>
      </c>
      <c r="O11" s="35">
        <f>'[4]D4 Gallon Forecast'!O77+'[4]D6 Gallon Forecast'!O70</f>
        <v>143870897</v>
      </c>
      <c r="P11" s="35">
        <f>'[4]D4 Gallon Forecast'!P77+'[4]D6 Gallon Forecast'!P70</f>
        <v>134537885</v>
      </c>
      <c r="Q11" s="36">
        <f>'[4]D4 Gallon Forecast'!Q77+'[4]D6 Gallon Forecast'!Q70</f>
        <v>135753181.58840644</v>
      </c>
      <c r="R11" s="36">
        <f>'[4]D4 Gallon Forecast'!R77+'[4]D6 Gallon Forecast'!R70</f>
        <v>123115291.15353051</v>
      </c>
      <c r="S11" s="36">
        <f>'[4]D4 Gallon Forecast'!S77+'[4]D6 Gallon Forecast'!S70</f>
        <v>124592502.84535326</v>
      </c>
      <c r="T11" s="36">
        <f>'[4]D4 Gallon Forecast'!T77+'[4]D6 Gallon Forecast'!T70</f>
        <v>98648565.200392768</v>
      </c>
      <c r="U11" s="36">
        <f>'[4]D4 Gallon Forecast'!U77+'[4]D6 Gallon Forecast'!U70</f>
        <v>113039666.74188949</v>
      </c>
      <c r="V11" s="36">
        <f>'[4]D4 Gallon Forecast'!V77+'[4]D6 Gallon Forecast'!V70</f>
        <v>115693624.97106646</v>
      </c>
      <c r="W11" s="36">
        <f>'[4]D4 Gallon Forecast'!W77+'[4]D6 Gallon Forecast'!W70</f>
        <v>114674093.80411504</v>
      </c>
      <c r="X11" s="36">
        <f>'[4]D4 Gallon Forecast'!X77+'[4]D6 Gallon Forecast'!X70</f>
        <v>121357948.27251801</v>
      </c>
      <c r="Y11" s="36">
        <f>'[4]D4 Gallon Forecast'!Y77+'[4]D6 Gallon Forecast'!Y70</f>
        <v>113846748.21757419</v>
      </c>
      <c r="Z11" s="36">
        <f>'[4]D4 Gallon Forecast'!Z77+'[4]D6 Gallon Forecast'!Z70</f>
        <v>111261585.80869138</v>
      </c>
      <c r="AA11" s="36">
        <f>'[4]D4 Gallon Forecast'!AA77+'[4]D6 Gallon Forecast'!AA70</f>
        <v>107023930.8665835</v>
      </c>
      <c r="AB11" s="36">
        <f>'[4]D4 Gallon Forecast'!AB77+'[4]D6 Gallon Forecast'!AB70</f>
        <v>89654533.880206734</v>
      </c>
      <c r="AC11" s="36">
        <f>'[4]D4 Gallon Forecast'!AC77+'[4]D6 Gallon Forecast'!AC70</f>
        <v>72798660.619198799</v>
      </c>
      <c r="AD11" s="36">
        <f>'[4]D4 Gallon Forecast'!AD77+'[4]D6 Gallon Forecast'!AD70</f>
        <v>71448378.292235494</v>
      </c>
      <c r="AE11" s="36">
        <f>'[4]D4 Gallon Forecast'!AE77+'[4]D6 Gallon Forecast'!AE70</f>
        <v>59510638.69116348</v>
      </c>
      <c r="AF11" s="36">
        <f>'[4]D4 Gallon Forecast'!AF77+'[4]D6 Gallon Forecast'!AF70</f>
        <v>35924632.805718414</v>
      </c>
      <c r="AG11" s="36">
        <f>'[4]D4 Gallon Forecast'!AG77+'[4]D6 Gallon Forecast'!AG70</f>
        <v>39723207.724703304</v>
      </c>
      <c r="AH11" s="36">
        <f>'[4]D4 Gallon Forecast'!AH77+'[4]D6 Gallon Forecast'!BC70</f>
        <v>37734436.348292552</v>
      </c>
      <c r="AI11" s="36">
        <f>'[4]D4 Gallon Forecast'!AI77+'[4]D6 Gallon Forecast'!BD70</f>
        <v>31038240.161159899</v>
      </c>
      <c r="AJ11" s="36">
        <f>'[4]D4 Gallon Forecast'!AJ77+'[4]D6 Gallon Forecast'!BE70</f>
        <v>31364826.100315414</v>
      </c>
      <c r="AK11" s="36">
        <f>'[4]D4 Gallon Forecast'!AK77+'[4]D6 Gallon Forecast'!BF70</f>
        <v>31487545.255584102</v>
      </c>
      <c r="AL11" s="36">
        <f>'[4]D4 Gallon Forecast'!AL77+'[4]D6 Gallon Forecast'!BG70</f>
        <v>31387598.449853819</v>
      </c>
      <c r="AM11" s="36">
        <f>'[4]D4 Gallon Forecast'!AM77+'[4]D6 Gallon Forecast'!BH70</f>
        <v>31406801.185355742</v>
      </c>
      <c r="AN11" s="36">
        <f>'[4]D4 Gallon Forecast'!AN77+'[4]D6 Gallon Forecast'!BI70</f>
        <v>31923029.354396719</v>
      </c>
      <c r="AO11" s="36">
        <f>'[4]D4 Gallon Forecast'!AO77+'[4]D6 Gallon Forecast'!BJ70</f>
        <v>32466923.571955193</v>
      </c>
      <c r="AP11" s="36">
        <f>'[4]D4 Gallon Forecast'!AP77+'[4]D6 Gallon Forecast'!BK70</f>
        <v>33181800.741670121</v>
      </c>
      <c r="AQ11" s="70"/>
      <c r="AR11" s="35">
        <f>O11/30</f>
        <v>4795696.5666666664</v>
      </c>
      <c r="AS11" s="35">
        <f>N11/30</f>
        <v>4728698.166666667</v>
      </c>
      <c r="AT11" s="35">
        <f>M11/30</f>
        <v>4664492.4666666668</v>
      </c>
      <c r="AU11" s="35">
        <f>L11/30</f>
        <v>5595507.2999999998</v>
      </c>
      <c r="AV11" s="36">
        <f t="shared" si="1"/>
        <v>66998.399999999441</v>
      </c>
      <c r="AW11" s="36">
        <f>SUM(J11:N11)/5/30</f>
        <v>5002180.7</v>
      </c>
      <c r="AX11" s="36">
        <f t="shared" si="2"/>
        <v>-206484.13333333377</v>
      </c>
      <c r="AY11" s="86">
        <f t="shared" si="3"/>
        <v>-4.1278823320663675E-2</v>
      </c>
      <c r="AZ11" s="85" t="e">
        <f t="shared" si="4"/>
        <v>#DIV/0!</v>
      </c>
      <c r="BA11" s="36">
        <f>'[4]D4 Gallon Forecast'!$DK77+'[4]D6 Gallon Forecast'!$BK70</f>
        <v>0</v>
      </c>
      <c r="BB11" s="36">
        <f t="shared" si="0"/>
        <v>143870897</v>
      </c>
      <c r="BC11" s="70" t="e">
        <f t="shared" si="5"/>
        <v>#DIV/0!</v>
      </c>
    </row>
    <row r="12" spans="1:68" x14ac:dyDescent="0.2">
      <c r="A12" s="32" t="s">
        <v>78</v>
      </c>
      <c r="B12" s="35">
        <f>'[4]D4 Gallon Forecast'!B78+'[4]D6 Gallon Forecast'!B71</f>
        <v>39280236</v>
      </c>
      <c r="C12" s="35">
        <f>'[4]D4 Gallon Forecast'!C78+'[4]D6 Gallon Forecast'!C71</f>
        <v>111948307</v>
      </c>
      <c r="D12" s="35">
        <f>'[4]D4 Gallon Forecast'!D78+'[4]D6 Gallon Forecast'!D71</f>
        <v>80600435</v>
      </c>
      <c r="E12" s="35">
        <f>'[4]D4 Gallon Forecast'!E78+'[4]D6 Gallon Forecast'!E71</f>
        <v>130300292</v>
      </c>
      <c r="F12" s="35">
        <f>'[4]D4 Gallon Forecast'!F78+'[4]D6 Gallon Forecast'!F71</f>
        <v>121555864</v>
      </c>
      <c r="G12" s="35">
        <f>'[4]D4 Gallon Forecast'!G78+'[4]D6 Gallon Forecast'!G71</f>
        <v>105019500</v>
      </c>
      <c r="H12" s="35">
        <f>'[4]D4 Gallon Forecast'!H78+'[4]D6 Gallon Forecast'!H71</f>
        <v>143064387</v>
      </c>
      <c r="I12" s="35">
        <f>'[4]D4 Gallon Forecast'!I78+'[4]D6 Gallon Forecast'!I71</f>
        <v>149347918</v>
      </c>
      <c r="J12" s="35">
        <f>'[4]D4 Gallon Forecast'!J78+'[4]D6 Gallon Forecast'!J71</f>
        <v>170944979</v>
      </c>
      <c r="K12" s="35">
        <f>'[4]D4 Gallon Forecast'!K78+'[4]D6 Gallon Forecast'!K71</f>
        <v>146618360</v>
      </c>
      <c r="L12" s="35">
        <f>'[4]D4 Gallon Forecast'!L78+'[4]D6 Gallon Forecast'!L71</f>
        <v>149489760</v>
      </c>
      <c r="M12" s="35">
        <f>'[4]D4 Gallon Forecast'!M78+'[4]D6 Gallon Forecast'!M71</f>
        <v>139778878</v>
      </c>
      <c r="N12" s="35">
        <f>'[4]D4 Gallon Forecast'!N78+'[4]D6 Gallon Forecast'!N71</f>
        <v>138040230</v>
      </c>
      <c r="O12" s="35">
        <f>'[4]D4 Gallon Forecast'!O78+'[4]D6 Gallon Forecast'!O71</f>
        <v>144087366</v>
      </c>
      <c r="P12" s="35">
        <f>'[4]D4 Gallon Forecast'!P78+'[4]D6 Gallon Forecast'!P71</f>
        <v>148097836</v>
      </c>
      <c r="Q12" s="36">
        <f>'[4]D4 Gallon Forecast'!Q78+'[4]D6 Gallon Forecast'!Q71</f>
        <v>134474043.6377117</v>
      </c>
      <c r="R12" s="36">
        <f>'[4]D4 Gallon Forecast'!R78+'[4]D6 Gallon Forecast'!R71</f>
        <v>124925106.8480117</v>
      </c>
      <c r="S12" s="36">
        <f>'[4]D4 Gallon Forecast'!S78+'[4]D6 Gallon Forecast'!S71</f>
        <v>126829966.22731104</v>
      </c>
      <c r="T12" s="36">
        <f>'[4]D4 Gallon Forecast'!T78+'[4]D6 Gallon Forecast'!T71</f>
        <v>101367330.09276886</v>
      </c>
      <c r="U12" s="36">
        <f>'[4]D4 Gallon Forecast'!U78+'[4]D6 Gallon Forecast'!U71</f>
        <v>116849668.93225507</v>
      </c>
      <c r="V12" s="36">
        <f>'[4]D4 Gallon Forecast'!V78+'[4]D6 Gallon Forecast'!V71</f>
        <v>117497730.54929785</v>
      </c>
      <c r="W12" s="36">
        <f>'[4]D4 Gallon Forecast'!W78+'[4]D6 Gallon Forecast'!W71</f>
        <v>117139597.50267988</v>
      </c>
      <c r="X12" s="36">
        <f>'[4]D4 Gallon Forecast'!X78+'[4]D6 Gallon Forecast'!X71</f>
        <v>124146466.09239797</v>
      </c>
      <c r="Y12" s="36">
        <f>'[4]D4 Gallon Forecast'!Y78+'[4]D6 Gallon Forecast'!Y71</f>
        <v>116588344.91828558</v>
      </c>
      <c r="Z12" s="36">
        <f>'[4]D4 Gallon Forecast'!Z78+'[4]D6 Gallon Forecast'!Z71</f>
        <v>113874025.8621653</v>
      </c>
      <c r="AA12" s="36">
        <f>'[4]D4 Gallon Forecast'!AA78+'[4]D6 Gallon Forecast'!AA71</f>
        <v>109321742.26348764</v>
      </c>
      <c r="AB12" s="36">
        <f>'[4]D4 Gallon Forecast'!AB78+'[4]D6 Gallon Forecast'!AB71</f>
        <v>91684271.349957824</v>
      </c>
      <c r="AC12" s="36">
        <f>'[4]D4 Gallon Forecast'!AC78+'[4]D6 Gallon Forecast'!AC71</f>
        <v>74459158.945197016</v>
      </c>
      <c r="AD12" s="36">
        <f>'[4]D4 Gallon Forecast'!AD78+'[4]D6 Gallon Forecast'!AD71</f>
        <v>73075119.593821958</v>
      </c>
      <c r="AE12" s="36">
        <f>'[4]D4 Gallon Forecast'!AE78+'[4]D6 Gallon Forecast'!AE71</f>
        <v>60841581.584413379</v>
      </c>
      <c r="AF12" s="36">
        <f>'[4]D4 Gallon Forecast'!AF78+'[4]D6 Gallon Forecast'!AF71</f>
        <v>36707685.90450266</v>
      </c>
      <c r="AG12" s="36">
        <f>'[4]D4 Gallon Forecast'!AG78+'[4]D6 Gallon Forecast'!AG71</f>
        <v>40604723.989099659</v>
      </c>
      <c r="AH12" s="36">
        <f>'[4]D4 Gallon Forecast'!AH78+'[4]D6 Gallon Forecast'!BC71</f>
        <v>38603619.850421131</v>
      </c>
      <c r="AI12" s="36">
        <f>'[4]D4 Gallon Forecast'!AI78+'[4]D6 Gallon Forecast'!BD71</f>
        <v>31751829.891655203</v>
      </c>
      <c r="AJ12" s="36">
        <f>'[4]D4 Gallon Forecast'!AJ78+'[4]D6 Gallon Forecast'!BE71</f>
        <v>32083795.3165773</v>
      </c>
      <c r="AK12" s="36">
        <f>'[4]D4 Gallon Forecast'!AK78+'[4]D6 Gallon Forecast'!BF71</f>
        <v>32209528.331847917</v>
      </c>
      <c r="AL12" s="36">
        <f>'[4]D4 Gallon Forecast'!AL78+'[4]D6 Gallon Forecast'!BG71</f>
        <v>32108873.618052717</v>
      </c>
      <c r="AM12" s="36">
        <f>'[4]D4 Gallon Forecast'!AM78+'[4]D6 Gallon Forecast'!BH71</f>
        <v>32128331.047857922</v>
      </c>
      <c r="AN12" s="36">
        <f>'[4]D4 Gallon Forecast'!AN78+'[4]D6 Gallon Forecast'!BI71</f>
        <v>32655953.421717301</v>
      </c>
      <c r="AO12" s="36">
        <f>'[4]D4 Gallon Forecast'!AO78+'[4]D6 Gallon Forecast'!BJ71</f>
        <v>33212133.111051768</v>
      </c>
      <c r="AP12" s="36">
        <f>'[4]D4 Gallon Forecast'!AP78+'[4]D6 Gallon Forecast'!BK71</f>
        <v>33943616.186458252</v>
      </c>
      <c r="AQ12" s="35"/>
      <c r="AR12" s="36">
        <f>O12/31</f>
        <v>4647979.5483870972</v>
      </c>
      <c r="AS12" s="35">
        <f>N12/31</f>
        <v>4452910.6451612907</v>
      </c>
      <c r="AT12" s="35">
        <f>M12/31</f>
        <v>4508996.064516129</v>
      </c>
      <c r="AU12" s="35">
        <f>L12/31</f>
        <v>4822250.3225806449</v>
      </c>
      <c r="AV12" s="36">
        <f t="shared" si="1"/>
        <v>195068.90322580654</v>
      </c>
      <c r="AW12" s="36">
        <f>SUM(J12:N12)/5/31</f>
        <v>4805627.1419354845</v>
      </c>
      <c r="AX12" s="36">
        <f t="shared" si="2"/>
        <v>-157647.59354838729</v>
      </c>
      <c r="AY12" s="86">
        <f t="shared" si="3"/>
        <v>-3.280479090287769E-2</v>
      </c>
      <c r="AZ12" s="85" t="e">
        <f t="shared" si="4"/>
        <v>#DIV/0!</v>
      </c>
      <c r="BA12" s="36">
        <f>'[4]D4 Gallon Forecast'!$DK78+'[4]D6 Gallon Forecast'!$BK71</f>
        <v>0</v>
      </c>
      <c r="BB12" s="36">
        <f t="shared" si="0"/>
        <v>144087366</v>
      </c>
      <c r="BC12" s="70" t="e">
        <f>BB12/BA12</f>
        <v>#DIV/0!</v>
      </c>
    </row>
    <row r="13" spans="1:68" x14ac:dyDescent="0.2">
      <c r="A13" s="32" t="s">
        <v>79</v>
      </c>
      <c r="B13" s="35">
        <f>'[4]D4 Gallon Forecast'!B79+'[4]D6 Gallon Forecast'!B72</f>
        <v>34240264</v>
      </c>
      <c r="C13" s="35">
        <f>'[4]D4 Gallon Forecast'!C79+'[4]D6 Gallon Forecast'!C72</f>
        <v>105483544</v>
      </c>
      <c r="D13" s="35">
        <f>'[4]D4 Gallon Forecast'!D79+'[4]D6 Gallon Forecast'!D72</f>
        <v>68079027</v>
      </c>
      <c r="E13" s="35">
        <f>'[4]D4 Gallon Forecast'!E79+'[4]D6 Gallon Forecast'!E72</f>
        <v>110331788</v>
      </c>
      <c r="F13" s="35">
        <f>'[4]D4 Gallon Forecast'!F79+'[4]D6 Gallon Forecast'!F72</f>
        <v>97405510</v>
      </c>
      <c r="G13" s="35">
        <f>'[4]D4 Gallon Forecast'!G79+'[4]D6 Gallon Forecast'!G72</f>
        <v>96486492</v>
      </c>
      <c r="H13" s="35">
        <f>'[4]D4 Gallon Forecast'!H79+'[4]D6 Gallon Forecast'!H72</f>
        <v>139716935</v>
      </c>
      <c r="I13" s="35">
        <f>'[4]D4 Gallon Forecast'!I79+'[4]D6 Gallon Forecast'!I72</f>
        <v>147829945</v>
      </c>
      <c r="J13" s="35">
        <f>'[4]D4 Gallon Forecast'!J79+'[4]D6 Gallon Forecast'!J72</f>
        <v>150780540</v>
      </c>
      <c r="K13" s="35">
        <f>'[4]D4 Gallon Forecast'!K79+'[4]D6 Gallon Forecast'!K72</f>
        <v>119139678</v>
      </c>
      <c r="L13" s="35">
        <f>'[4]D4 Gallon Forecast'!L79+'[4]D6 Gallon Forecast'!L72</f>
        <v>142828517</v>
      </c>
      <c r="M13" s="35">
        <f>'[4]D4 Gallon Forecast'!M79+'[4]D6 Gallon Forecast'!M72</f>
        <v>140856752</v>
      </c>
      <c r="N13" s="35">
        <f>'[4]D4 Gallon Forecast'!N79+'[4]D6 Gallon Forecast'!N72</f>
        <v>141295576</v>
      </c>
      <c r="O13" s="35">
        <f>'[4]D4 Gallon Forecast'!O79+'[4]D6 Gallon Forecast'!O72</f>
        <v>135076229</v>
      </c>
      <c r="P13" s="35">
        <f>'[4]D4 Gallon Forecast'!P79+'[4]D6 Gallon Forecast'!P72</f>
        <v>133353588</v>
      </c>
      <c r="Q13" s="36">
        <f>'[4]D4 Gallon Forecast'!Q79+'[4]D6 Gallon Forecast'!Q72</f>
        <v>129676507.59899189</v>
      </c>
      <c r="R13" s="36">
        <f>'[4]D4 Gallon Forecast'!R79+'[4]D6 Gallon Forecast'!R72</f>
        <v>120705638.08168112</v>
      </c>
      <c r="S13" s="36">
        <f>'[4]D4 Gallon Forecast'!S79+'[4]D6 Gallon Forecast'!S72</f>
        <v>121482247.02564251</v>
      </c>
      <c r="T13" s="36">
        <f>'[4]D4 Gallon Forecast'!T79+'[4]D6 Gallon Forecast'!T72</f>
        <v>95745955.405538946</v>
      </c>
      <c r="U13" s="36">
        <f>'[4]D4 Gallon Forecast'!U79+'[4]D6 Gallon Forecast'!U72</f>
        <v>110546272.79410225</v>
      </c>
      <c r="V13" s="36">
        <f>'[4]D4 Gallon Forecast'!V79+'[4]D6 Gallon Forecast'!V72</f>
        <v>112401811.4875498</v>
      </c>
      <c r="W13" s="36">
        <f>'[4]D4 Gallon Forecast'!W79+'[4]D6 Gallon Forecast'!W72</f>
        <v>111848852.90908106</v>
      </c>
      <c r="X13" s="36">
        <f>'[4]D4 Gallon Forecast'!X79+'[4]D6 Gallon Forecast'!X72</f>
        <v>118234092.67355746</v>
      </c>
      <c r="Y13" s="36">
        <f>'[4]D4 Gallon Forecast'!Y79+'[4]D6 Gallon Forecast'!Y72</f>
        <v>110897954.82215808</v>
      </c>
      <c r="Z13" s="36">
        <f>'[4]D4 Gallon Forecast'!Z79+'[4]D6 Gallon Forecast'!Z72</f>
        <v>108448806.98004794</v>
      </c>
      <c r="AA13" s="36">
        <f>'[4]D4 Gallon Forecast'!AA79+'[4]D6 Gallon Forecast'!AA72</f>
        <v>104253470.50167501</v>
      </c>
      <c r="AB13" s="36">
        <f>'[4]D4 Gallon Forecast'!AB79+'[4]D6 Gallon Forecast'!AB72</f>
        <v>87385747.566454291</v>
      </c>
      <c r="AC13" s="36">
        <f>'[4]D4 Gallon Forecast'!AC79+'[4]D6 Gallon Forecast'!AC72</f>
        <v>70958328.192763925</v>
      </c>
      <c r="AD13" s="36">
        <f>'[4]D4 Gallon Forecast'!AD79+'[4]D6 Gallon Forecast'!AD72</f>
        <v>69650279.960373968</v>
      </c>
      <c r="AE13" s="36">
        <f>'[4]D4 Gallon Forecast'!AE79+'[4]D6 Gallon Forecast'!AE72</f>
        <v>58034686.143140405</v>
      </c>
      <c r="AF13" s="36">
        <f>'[4]D4 Gallon Forecast'!AF79+'[4]D6 Gallon Forecast'!AF72</f>
        <v>35061298.841105297</v>
      </c>
      <c r="AG13" s="36">
        <f>'[4]D4 Gallon Forecast'!AG79+'[4]D6 Gallon Forecast'!AG72</f>
        <v>38764062.356217071</v>
      </c>
      <c r="AH13" s="36">
        <f>'[4]D4 Gallon Forecast'!AH79+'[4]D6 Gallon Forecast'!BC72</f>
        <v>36747912.484966658</v>
      </c>
      <c r="AI13" s="36">
        <f>'[4]D4 Gallon Forecast'!AI79+'[4]D6 Gallon Forecast'!BD72</f>
        <v>30226964.974622205</v>
      </c>
      <c r="AJ13" s="36">
        <f>'[4]D4 Gallon Forecast'!AJ79+'[4]D6 Gallon Forecast'!BE72</f>
        <v>30545251.233862162</v>
      </c>
      <c r="AK13" s="36">
        <f>'[4]D4 Gallon Forecast'!AK79+'[4]D6 Gallon Forecast'!BF72</f>
        <v>30664468.706297193</v>
      </c>
      <c r="AL13" s="36">
        <f>'[4]D4 Gallon Forecast'!AL79+'[4]D6 Gallon Forecast'!BG72</f>
        <v>30567447.781337548</v>
      </c>
      <c r="AM13" s="36">
        <f>'[4]D4 Gallon Forecast'!AM79+'[4]D6 Gallon Forecast'!BH72</f>
        <v>30585933.259245329</v>
      </c>
      <c r="AN13" s="36">
        <f>'[4]D4 Gallon Forecast'!AN79+'[4]D6 Gallon Forecast'!BI72</f>
        <v>31088724.560799327</v>
      </c>
      <c r="AO13" s="36">
        <f>'[4]D4 Gallon Forecast'!AO79+'[4]D6 Gallon Forecast'!BJ72</f>
        <v>31618423.586942941</v>
      </c>
      <c r="AP13" s="36">
        <f>'[4]D4 Gallon Forecast'!AP79+'[4]D6 Gallon Forecast'!BK72</f>
        <v>32314592.314608969</v>
      </c>
      <c r="AQ13" s="70"/>
      <c r="AR13" s="36">
        <f>O13/30</f>
        <v>4502540.9666666668</v>
      </c>
      <c r="AS13" s="35">
        <f>N13/30</f>
        <v>4709852.5333333332</v>
      </c>
      <c r="AT13" s="35">
        <f>M13/30</f>
        <v>4695225.0666666664</v>
      </c>
      <c r="AU13" s="35">
        <f>L13/30</f>
        <v>4760950.5666666664</v>
      </c>
      <c r="AV13" s="36">
        <f t="shared" si="1"/>
        <v>-207311.56666666642</v>
      </c>
      <c r="AW13" s="36">
        <f>SUM(J13:N13)/5/30</f>
        <v>4632673.7533333329</v>
      </c>
      <c r="AX13" s="36">
        <f t="shared" si="2"/>
        <v>-130132.78666666616</v>
      </c>
      <c r="AY13" s="86">
        <f t="shared" si="3"/>
        <v>-2.8090211742847666E-2</v>
      </c>
      <c r="AZ13" s="85" t="e">
        <f t="shared" si="4"/>
        <v>#DIV/0!</v>
      </c>
      <c r="BA13" s="36">
        <f>'[4]D4 Gallon Forecast'!$DK79+'[4]D6 Gallon Forecast'!$BK72</f>
        <v>0</v>
      </c>
      <c r="BB13" s="36">
        <f t="shared" si="0"/>
        <v>135076229</v>
      </c>
      <c r="BC13" s="70" t="e">
        <f>BB13/BA13</f>
        <v>#DIV/0!</v>
      </c>
    </row>
    <row r="14" spans="1:68" x14ac:dyDescent="0.2">
      <c r="A14" s="32" t="s">
        <v>80</v>
      </c>
      <c r="B14" s="35">
        <f>'[4]D4 Gallon Forecast'!B80+'[4]D6 Gallon Forecast'!B73</f>
        <v>38225439</v>
      </c>
      <c r="C14" s="35">
        <f>'[4]D4 Gallon Forecast'!C80+'[4]D6 Gallon Forecast'!C73</f>
        <v>150888922</v>
      </c>
      <c r="D14" s="35">
        <f>'[4]D4 Gallon Forecast'!D80+'[4]D6 Gallon Forecast'!D73</f>
        <v>58155836</v>
      </c>
      <c r="E14" s="35">
        <f>'[4]D4 Gallon Forecast'!E80+'[4]D6 Gallon Forecast'!E73</f>
        <v>158431724</v>
      </c>
      <c r="F14" s="35">
        <f>'[4]D4 Gallon Forecast'!F80+'[4]D6 Gallon Forecast'!F73</f>
        <v>163494776</v>
      </c>
      <c r="G14" s="35">
        <f>'[4]D4 Gallon Forecast'!G80+'[4]D6 Gallon Forecast'!G73</f>
        <v>110100066</v>
      </c>
      <c r="H14" s="35">
        <f>'[4]D4 Gallon Forecast'!H80+'[4]D6 Gallon Forecast'!H73</f>
        <v>187217202</v>
      </c>
      <c r="I14" s="35">
        <f>'[4]D4 Gallon Forecast'!I80+'[4]D6 Gallon Forecast'!I73</f>
        <v>162595163</v>
      </c>
      <c r="J14" s="35">
        <f>'[4]D4 Gallon Forecast'!J80+'[4]D6 Gallon Forecast'!J73</f>
        <v>183329377</v>
      </c>
      <c r="K14" s="35">
        <f>'[4]D4 Gallon Forecast'!K80+'[4]D6 Gallon Forecast'!K73</f>
        <v>139601581</v>
      </c>
      <c r="L14" s="35">
        <f>'[4]D4 Gallon Forecast'!L80+'[4]D6 Gallon Forecast'!L73</f>
        <v>175881221</v>
      </c>
      <c r="M14" s="35">
        <f>'[4]D4 Gallon Forecast'!M80+'[4]D6 Gallon Forecast'!M73</f>
        <v>165708240</v>
      </c>
      <c r="N14" s="35">
        <f>'[4]D4 Gallon Forecast'!N80+'[4]D6 Gallon Forecast'!N73</f>
        <v>145591401</v>
      </c>
      <c r="O14" s="35">
        <f>'[4]D4 Gallon Forecast'!O80+'[4]D6 Gallon Forecast'!O73</f>
        <v>136732063</v>
      </c>
      <c r="P14" s="35">
        <f>'[4]D4 Gallon Forecast'!P80+'[4]D6 Gallon Forecast'!P73</f>
        <v>174921835</v>
      </c>
      <c r="Q14" s="36">
        <f>'[4]D4 Gallon Forecast'!Q80+'[4]D6 Gallon Forecast'!Q73</f>
        <v>258143861.5953773</v>
      </c>
      <c r="R14" s="36">
        <f>'[4]D4 Gallon Forecast'!R80+'[4]D6 Gallon Forecast'!R73</f>
        <v>137661873.42641428</v>
      </c>
      <c r="S14" s="36">
        <f>'[4]D4 Gallon Forecast'!S80+'[4]D6 Gallon Forecast'!S73</f>
        <v>156664967.74563795</v>
      </c>
      <c r="T14" s="36">
        <f>'[4]D4 Gallon Forecast'!T80+'[4]D6 Gallon Forecast'!T73</f>
        <v>128908763.41894458</v>
      </c>
      <c r="U14" s="36">
        <f>'[4]D4 Gallon Forecast'!U80+'[4]D6 Gallon Forecast'!U73</f>
        <v>157388593.25165468</v>
      </c>
      <c r="V14" s="36">
        <f>'[4]D4 Gallon Forecast'!V80+'[4]D6 Gallon Forecast'!V73</f>
        <v>162967951.52164388</v>
      </c>
      <c r="W14" s="36">
        <f>'[4]D4 Gallon Forecast'!W80+'[4]D6 Gallon Forecast'!W73</f>
        <v>148228949.52301049</v>
      </c>
      <c r="X14" s="36">
        <f>'[4]D4 Gallon Forecast'!X80+'[4]D6 Gallon Forecast'!X73</f>
        <v>161466409.75747168</v>
      </c>
      <c r="Y14" s="36">
        <f>'[4]D4 Gallon Forecast'!Y80+'[4]D6 Gallon Forecast'!Y73</f>
        <v>133302148.2602807</v>
      </c>
      <c r="Z14" s="36">
        <f>'[4]D4 Gallon Forecast'!Z80+'[4]D6 Gallon Forecast'!Z73</f>
        <v>139720332.46357611</v>
      </c>
      <c r="AA14" s="36">
        <f>'[4]D4 Gallon Forecast'!AA80+'[4]D6 Gallon Forecast'!AA73</f>
        <v>132278877.85477579</v>
      </c>
      <c r="AB14" s="36">
        <f>'[4]D4 Gallon Forecast'!AB80+'[4]D6 Gallon Forecast'!AB73</f>
        <v>112741745.05760872</v>
      </c>
      <c r="AC14" s="36">
        <f>'[4]D4 Gallon Forecast'!AC80+'[4]D6 Gallon Forecast'!AC73</f>
        <v>90947849.359370142</v>
      </c>
      <c r="AD14" s="36">
        <f>'[4]D4 Gallon Forecast'!AD80+'[4]D6 Gallon Forecast'!AD73</f>
        <v>87846989.776406243</v>
      </c>
      <c r="AE14" s="36">
        <f>'[4]D4 Gallon Forecast'!AE80+'[4]D6 Gallon Forecast'!AE73</f>
        <v>73988739.117500782</v>
      </c>
      <c r="AF14" s="36">
        <f>'[4]D4 Gallon Forecast'!AF80+'[4]D6 Gallon Forecast'!AF73</f>
        <v>44431188.332845934</v>
      </c>
      <c r="AG14" s="36">
        <f>'[4]D4 Gallon Forecast'!AG80+'[4]D6 Gallon Forecast'!AG73</f>
        <v>49274548.274698757</v>
      </c>
      <c r="AH14" s="36">
        <f>'[4]D4 Gallon Forecast'!AH80+'[4]D6 Gallon Forecast'!BC73</f>
        <v>47032594.043637335</v>
      </c>
      <c r="AI14" s="36">
        <f>'[4]D4 Gallon Forecast'!AI80+'[4]D6 Gallon Forecast'!BD73</f>
        <v>38618953.516545221</v>
      </c>
      <c r="AJ14" s="36">
        <f>'[4]D4 Gallon Forecast'!AJ80+'[4]D6 Gallon Forecast'!BE73</f>
        <v>39137372.258665383</v>
      </c>
      <c r="AK14" s="36">
        <f>'[4]D4 Gallon Forecast'!AK80+'[4]D6 Gallon Forecast'!BF73</f>
        <v>39271537.727887392</v>
      </c>
      <c r="AL14" s="36">
        <f>'[4]D4 Gallon Forecast'!AL80+'[4]D6 Gallon Forecast'!BG73</f>
        <v>39147222.456198752</v>
      </c>
      <c r="AM14" s="36">
        <f>'[4]D4 Gallon Forecast'!AM80+'[4]D6 Gallon Forecast'!BH73</f>
        <v>39150969.880105853</v>
      </c>
      <c r="AN14" s="36">
        <f>'[4]D4 Gallon Forecast'!AN80+'[4]D6 Gallon Forecast'!BI73</f>
        <v>39795762.014315486</v>
      </c>
      <c r="AO14" s="36">
        <f>'[4]D4 Gallon Forecast'!AO80+'[4]D6 Gallon Forecast'!BJ73</f>
        <v>40488998.933273315</v>
      </c>
      <c r="AP14" s="36">
        <f>'[4]D4 Gallon Forecast'!AP80+'[4]D6 Gallon Forecast'!BK73</f>
        <v>41375746.977975965</v>
      </c>
      <c r="AR14" s="36">
        <f>O14/31</f>
        <v>4410711.7096774196</v>
      </c>
      <c r="AS14" s="35">
        <f>N14/31</f>
        <v>4696496.8064516131</v>
      </c>
      <c r="AT14" s="35">
        <f>M14/31</f>
        <v>5345427.0967741935</v>
      </c>
      <c r="AU14" s="35">
        <f>L14/31</f>
        <v>5673587.7741935486</v>
      </c>
      <c r="AV14" s="36">
        <f t="shared" si="1"/>
        <v>-285785.09677419346</v>
      </c>
      <c r="AW14" s="36">
        <f>SUM(J14:N14)/5/31</f>
        <v>5226527.8709677421</v>
      </c>
      <c r="AX14" s="36">
        <f t="shared" si="2"/>
        <v>-815816.16129032243</v>
      </c>
      <c r="AY14" s="86">
        <f t="shared" si="3"/>
        <v>-0.15609142081151214</v>
      </c>
      <c r="AZ14" s="85" t="e">
        <f t="shared" si="4"/>
        <v>#DIV/0!</v>
      </c>
      <c r="BA14" s="36">
        <f>'[4]D4 Gallon Forecast'!$DK80+'[4]D6 Gallon Forecast'!$BK73</f>
        <v>0</v>
      </c>
      <c r="BB14" s="36">
        <f t="shared" si="0"/>
        <v>136732063</v>
      </c>
    </row>
    <row r="15" spans="1:68" x14ac:dyDescent="0.2">
      <c r="A15" s="32" t="s">
        <v>58</v>
      </c>
      <c r="B15" s="35">
        <f>SUM(B3:B14)</f>
        <v>213791812</v>
      </c>
      <c r="C15" s="35">
        <f>SUM(C3:C14)</f>
        <v>1034699258</v>
      </c>
      <c r="D15" s="35">
        <f t="shared" ref="D15:AO15" si="6">SUM(D3:D14)</f>
        <v>1016720521</v>
      </c>
      <c r="E15" s="35">
        <f t="shared" si="6"/>
        <v>1379089177</v>
      </c>
      <c r="F15" s="35">
        <f t="shared" si="6"/>
        <v>1307193064</v>
      </c>
      <c r="G15" s="35">
        <f t="shared" si="6"/>
        <v>1254263323</v>
      </c>
      <c r="H15" s="35">
        <f t="shared" si="6"/>
        <v>1633083985</v>
      </c>
      <c r="I15" s="35">
        <f t="shared" si="6"/>
        <v>1588251757</v>
      </c>
      <c r="J15" s="35">
        <f t="shared" si="6"/>
        <v>1855122841</v>
      </c>
      <c r="K15" s="35">
        <f t="shared" si="6"/>
        <v>1713775596</v>
      </c>
      <c r="L15" s="35">
        <f t="shared" si="6"/>
        <v>1824875658</v>
      </c>
      <c r="M15" s="35">
        <f t="shared" si="6"/>
        <v>1704629355</v>
      </c>
      <c r="N15" s="35">
        <f t="shared" si="6"/>
        <v>1620211085</v>
      </c>
      <c r="O15" s="35">
        <f t="shared" si="6"/>
        <v>1670320836</v>
      </c>
      <c r="P15" s="35">
        <f t="shared" si="6"/>
        <v>1669248540</v>
      </c>
      <c r="Q15" s="36">
        <f t="shared" si="6"/>
        <v>1583697997.5079873</v>
      </c>
      <c r="R15" s="36">
        <f t="shared" si="6"/>
        <v>1460842585.3604758</v>
      </c>
      <c r="S15" s="36">
        <f t="shared" si="6"/>
        <v>1470286060.4745083</v>
      </c>
      <c r="T15" s="36">
        <f t="shared" si="6"/>
        <v>1171958387.8512294</v>
      </c>
      <c r="U15" s="36">
        <f t="shared" si="6"/>
        <v>1351081445.4218287</v>
      </c>
      <c r="V15" s="36">
        <f t="shared" si="6"/>
        <v>1367656114.7320323</v>
      </c>
      <c r="W15" s="36">
        <f t="shared" si="6"/>
        <v>1359803005.7684138</v>
      </c>
      <c r="X15" s="36">
        <f t="shared" si="6"/>
        <v>1438892054.3258986</v>
      </c>
      <c r="Y15" s="36">
        <f t="shared" si="6"/>
        <v>1351162113.0410497</v>
      </c>
      <c r="Z15" s="36">
        <f t="shared" si="6"/>
        <v>1320113061.1881897</v>
      </c>
      <c r="AA15" s="36">
        <f t="shared" si="6"/>
        <v>1267843991.3080239</v>
      </c>
      <c r="AB15" s="36">
        <f t="shared" si="6"/>
        <v>1062212994.4981396</v>
      </c>
      <c r="AC15" s="36">
        <f t="shared" si="6"/>
        <v>861614031.38410616</v>
      </c>
      <c r="AD15" s="36">
        <f t="shared" si="6"/>
        <v>845262192.38442278</v>
      </c>
      <c r="AE15" s="36">
        <f t="shared" si="6"/>
        <v>702814957.57267106</v>
      </c>
      <c r="AF15" s="36">
        <f t="shared" si="6"/>
        <v>422332419.50028104</v>
      </c>
      <c r="AG15" s="36">
        <f t="shared" si="6"/>
        <v>467546235.62363827</v>
      </c>
      <c r="AH15" s="36">
        <f t="shared" si="6"/>
        <v>448635004.69407254</v>
      </c>
      <c r="AI15" s="36">
        <f t="shared" si="6"/>
        <v>369022083.29888958</v>
      </c>
      <c r="AJ15" s="36">
        <f t="shared" si="6"/>
        <v>372888665.5371173</v>
      </c>
      <c r="AK15" s="36">
        <f t="shared" si="6"/>
        <v>374344713.67332029</v>
      </c>
      <c r="AL15" s="36">
        <f t="shared" si="6"/>
        <v>373167204.47525615</v>
      </c>
      <c r="AM15" s="36">
        <f t="shared" si="6"/>
        <v>373395520.93563485</v>
      </c>
      <c r="AN15" s="36">
        <f t="shared" si="6"/>
        <v>379530877.06040347</v>
      </c>
      <c r="AO15" s="36">
        <f t="shared" si="6"/>
        <v>385995056.19845152</v>
      </c>
      <c r="AP15" s="36">
        <f>SUM(AP3:AP14)</f>
        <v>394494911.41562796</v>
      </c>
      <c r="AR15" s="35"/>
      <c r="AT15" s="70"/>
      <c r="AW15" s="36"/>
      <c r="AX15" s="35"/>
      <c r="AY15" s="35"/>
      <c r="AZ15" s="35"/>
      <c r="BA15" s="36"/>
      <c r="BB15" s="36"/>
    </row>
    <row r="16" spans="1:68" x14ac:dyDescent="0.2">
      <c r="C16" s="35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AR16" s="70"/>
      <c r="AW16" s="70"/>
    </row>
    <row r="17" spans="1:92" x14ac:dyDescent="0.2">
      <c r="A17" s="32" t="s">
        <v>81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1">
        <f>R15/Q15-1</f>
        <v>-7.7575025251550134E-2</v>
      </c>
      <c r="S17" s="71">
        <f>S15/R15-1</f>
        <v>6.4644029470857234E-3</v>
      </c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R17" s="70" t="s">
        <v>82</v>
      </c>
      <c r="BH17" s="32" t="s">
        <v>83</v>
      </c>
      <c r="BM17" s="32" t="s">
        <v>84</v>
      </c>
      <c r="CH17" s="32" t="s">
        <v>85</v>
      </c>
      <c r="CL17" s="32" t="s">
        <v>86</v>
      </c>
    </row>
    <row r="18" spans="1:92" s="61" customFormat="1" x14ac:dyDescent="0.2">
      <c r="B18" s="61">
        <f>B2</f>
        <v>2010</v>
      </c>
      <c r="C18" s="61">
        <f t="shared" ref="C18:AD18" si="7">C2</f>
        <v>2011</v>
      </c>
      <c r="D18" s="61">
        <f t="shared" si="7"/>
        <v>2012</v>
      </c>
      <c r="E18" s="61">
        <f t="shared" si="7"/>
        <v>2013</v>
      </c>
      <c r="F18" s="61">
        <f t="shared" si="7"/>
        <v>2014</v>
      </c>
      <c r="G18" s="61">
        <f t="shared" si="7"/>
        <v>2015</v>
      </c>
      <c r="H18" s="61">
        <f t="shared" si="7"/>
        <v>2016</v>
      </c>
      <c r="I18" s="61">
        <f t="shared" si="7"/>
        <v>2017</v>
      </c>
      <c r="J18" s="61">
        <f t="shared" si="7"/>
        <v>2018</v>
      </c>
      <c r="K18" s="61">
        <f t="shared" si="7"/>
        <v>2019</v>
      </c>
      <c r="L18" s="61">
        <f t="shared" si="7"/>
        <v>2020</v>
      </c>
      <c r="M18" s="61">
        <f t="shared" si="7"/>
        <v>2021</v>
      </c>
      <c r="N18" s="61">
        <f t="shared" si="7"/>
        <v>2022</v>
      </c>
      <c r="O18" s="61">
        <f t="shared" si="7"/>
        <v>2023</v>
      </c>
      <c r="P18" s="61">
        <f t="shared" si="7"/>
        <v>2024</v>
      </c>
      <c r="Q18" s="61">
        <f t="shared" si="7"/>
        <v>2025</v>
      </c>
      <c r="R18" s="32">
        <f t="shared" si="7"/>
        <v>2026</v>
      </c>
      <c r="S18" s="32">
        <f t="shared" si="7"/>
        <v>2027</v>
      </c>
      <c r="T18" s="32">
        <f t="shared" si="7"/>
        <v>2028</v>
      </c>
      <c r="U18" s="32">
        <f t="shared" si="7"/>
        <v>2029</v>
      </c>
      <c r="V18" s="32">
        <f t="shared" si="7"/>
        <v>2030</v>
      </c>
      <c r="W18" s="32">
        <f t="shared" si="7"/>
        <v>2031</v>
      </c>
      <c r="X18" s="32">
        <f t="shared" si="7"/>
        <v>2032</v>
      </c>
      <c r="Y18" s="32">
        <f t="shared" si="7"/>
        <v>2033</v>
      </c>
      <c r="Z18" s="32">
        <f t="shared" si="7"/>
        <v>2034</v>
      </c>
      <c r="AA18" s="32">
        <f t="shared" si="7"/>
        <v>2035</v>
      </c>
      <c r="AB18" s="32">
        <f t="shared" si="7"/>
        <v>2036</v>
      </c>
      <c r="AC18" s="32">
        <f t="shared" si="7"/>
        <v>2037</v>
      </c>
      <c r="AD18" s="32">
        <f t="shared" si="7"/>
        <v>2038</v>
      </c>
      <c r="AE18" s="32">
        <f>AE2</f>
        <v>2039</v>
      </c>
      <c r="AF18" s="32">
        <f>AF2</f>
        <v>2040</v>
      </c>
      <c r="AG18" s="32">
        <f t="shared" ref="AG18:AO18" si="8">AG2</f>
        <v>2041</v>
      </c>
      <c r="AH18" s="32">
        <f t="shared" si="8"/>
        <v>2042</v>
      </c>
      <c r="AI18" s="32">
        <f t="shared" si="8"/>
        <v>2043</v>
      </c>
      <c r="AJ18" s="32">
        <f t="shared" si="8"/>
        <v>2044</v>
      </c>
      <c r="AK18" s="32">
        <f t="shared" si="8"/>
        <v>2045</v>
      </c>
      <c r="AL18" s="32">
        <f t="shared" si="8"/>
        <v>2046</v>
      </c>
      <c r="AM18" s="32">
        <f t="shared" si="8"/>
        <v>2047</v>
      </c>
      <c r="AN18" s="32">
        <f t="shared" si="8"/>
        <v>2048</v>
      </c>
      <c r="AO18" s="32">
        <f t="shared" si="8"/>
        <v>2049</v>
      </c>
      <c r="AP18" s="32">
        <f>AP2</f>
        <v>2050</v>
      </c>
      <c r="AR18" s="61">
        <v>2021</v>
      </c>
      <c r="AS18" s="61">
        <v>2022</v>
      </c>
      <c r="AT18" s="61">
        <v>2023</v>
      </c>
      <c r="AU18" s="61" t="s">
        <v>87</v>
      </c>
      <c r="AZ18" s="61" t="s">
        <v>65</v>
      </c>
      <c r="BA18" s="61" t="s">
        <v>88</v>
      </c>
      <c r="BB18" s="61" t="s">
        <v>89</v>
      </c>
      <c r="BC18" s="61" t="s">
        <v>90</v>
      </c>
      <c r="BD18" s="61" t="s">
        <v>91</v>
      </c>
      <c r="BF18" s="61">
        <f t="shared" ref="BF18:BR18" si="9">C18</f>
        <v>2011</v>
      </c>
      <c r="BG18" s="61">
        <f t="shared" si="9"/>
        <v>2012</v>
      </c>
      <c r="BH18" s="61">
        <f t="shared" si="9"/>
        <v>2013</v>
      </c>
      <c r="BI18" s="61">
        <f t="shared" si="9"/>
        <v>2014</v>
      </c>
      <c r="BJ18" s="61">
        <f t="shared" si="9"/>
        <v>2015</v>
      </c>
      <c r="BK18" s="61">
        <f t="shared" si="9"/>
        <v>2016</v>
      </c>
      <c r="BL18" s="61">
        <f t="shared" si="9"/>
        <v>2017</v>
      </c>
      <c r="BM18" s="61">
        <f t="shared" si="9"/>
        <v>2018</v>
      </c>
      <c r="BN18" s="61">
        <f t="shared" si="9"/>
        <v>2019</v>
      </c>
      <c r="BO18" s="61">
        <f t="shared" si="9"/>
        <v>2020</v>
      </c>
      <c r="BP18" s="61">
        <f t="shared" si="9"/>
        <v>2021</v>
      </c>
      <c r="BQ18" s="61">
        <f t="shared" si="9"/>
        <v>2022</v>
      </c>
      <c r="BR18" s="61">
        <f t="shared" si="9"/>
        <v>2023</v>
      </c>
      <c r="BS18" s="61">
        <f t="shared" ref="BS18" si="10">P18</f>
        <v>2024</v>
      </c>
      <c r="BT18" s="61">
        <f t="shared" ref="BT18" si="11">Q18</f>
        <v>2025</v>
      </c>
      <c r="BU18" s="61">
        <f t="shared" ref="BU18" si="12">R18</f>
        <v>2026</v>
      </c>
      <c r="BV18" s="61">
        <f t="shared" ref="BV18" si="13">S18</f>
        <v>2027</v>
      </c>
      <c r="BW18" s="61">
        <f t="shared" ref="BW18" si="14">T18</f>
        <v>2028</v>
      </c>
      <c r="BX18" s="61">
        <f t="shared" ref="BX18" si="15">U18</f>
        <v>2029</v>
      </c>
      <c r="BZ18" s="61">
        <f>BM18</f>
        <v>2018</v>
      </c>
      <c r="CA18" s="61">
        <f>BN18</f>
        <v>2019</v>
      </c>
      <c r="CB18" s="61">
        <f>BO18</f>
        <v>2020</v>
      </c>
      <c r="CC18" s="61">
        <f>BP18</f>
        <v>2021</v>
      </c>
      <c r="CD18" s="61">
        <f>BQ18</f>
        <v>2022</v>
      </c>
      <c r="CE18" s="61" t="s">
        <v>40</v>
      </c>
      <c r="CF18" s="61" t="s">
        <v>92</v>
      </c>
      <c r="CH18" s="61">
        <f>M18</f>
        <v>2021</v>
      </c>
      <c r="CI18" s="61">
        <f>N18</f>
        <v>2022</v>
      </c>
      <c r="CJ18" s="61">
        <f>O18</f>
        <v>2023</v>
      </c>
      <c r="CL18" s="61">
        <f>CH18</f>
        <v>2021</v>
      </c>
      <c r="CM18" s="61">
        <f>CI18</f>
        <v>2022</v>
      </c>
      <c r="CN18" s="61">
        <f>CJ18</f>
        <v>2023</v>
      </c>
    </row>
    <row r="19" spans="1:92" x14ac:dyDescent="0.2">
      <c r="A19" s="32" t="s">
        <v>70</v>
      </c>
      <c r="B19" s="87">
        <f>[5]BD!K25</f>
        <v>26.606999999999999</v>
      </c>
      <c r="C19" s="87">
        <f>[5]BD!L25</f>
        <v>35.354999999999997</v>
      </c>
      <c r="D19" s="87">
        <f>[5]BD!M25</f>
        <v>73.546000000000006</v>
      </c>
      <c r="E19" s="87">
        <f>[5]BD!N25</f>
        <v>68.864000000000004</v>
      </c>
      <c r="F19" s="87">
        <f>[5]BD!O25</f>
        <v>72.540000000000006</v>
      </c>
      <c r="G19" s="87">
        <f>[5]BD!P25</f>
        <v>72.546000000000006</v>
      </c>
      <c r="H19" s="87">
        <f>[5]BD!Q25</f>
        <v>104.57599999999999</v>
      </c>
      <c r="I19" s="87">
        <f>[5]BD!R25</f>
        <v>92.757000000000005</v>
      </c>
      <c r="J19" s="87">
        <f>[5]BD!S25</f>
        <v>125.52500000000001</v>
      </c>
      <c r="K19" s="87">
        <f>[5]BD!T25</f>
        <v>143.917</v>
      </c>
      <c r="L19" s="87">
        <f>[5]BD!U25</f>
        <v>134.233</v>
      </c>
      <c r="M19" s="88">
        <f>[5]BD!V25</f>
        <v>140.79400000000001</v>
      </c>
      <c r="N19" s="88">
        <f>[5]BD!W25</f>
        <v>119.98699999999999</v>
      </c>
      <c r="O19" s="88">
        <f>[5]BD!X25</f>
        <v>137.54599999999999</v>
      </c>
      <c r="P19" s="88">
        <f>[5]BD!Y25</f>
        <v>127.182</v>
      </c>
      <c r="Q19" s="88">
        <f>[5]BD!Z25</f>
        <v>65.635810000000006</v>
      </c>
      <c r="R19" s="89">
        <f t="shared" ref="R19:R30" si="16">R3*(SUM(M19:Q19)/SUM(M3:Q3))</f>
        <v>114.98204215743304</v>
      </c>
      <c r="S19" s="89">
        <f t="shared" ref="S19:S30" si="17">S3*(SUM(N19:R19)/SUM(N3:R3))</f>
        <v>103.67431961593968</v>
      </c>
      <c r="T19" s="89">
        <f t="shared" ref="T19:AP30" si="18">T3*(SUM(O19:S19)/SUM(O3:S3))</f>
        <v>81.750689820374049</v>
      </c>
      <c r="U19" s="89">
        <f t="shared" si="18"/>
        <v>90.510240099334112</v>
      </c>
      <c r="V19" s="89">
        <f t="shared" si="18"/>
        <v>88.604996206819948</v>
      </c>
      <c r="W19" s="89">
        <f t="shared" si="18"/>
        <v>95.501829865882328</v>
      </c>
      <c r="X19" s="89">
        <f t="shared" si="18"/>
        <v>98.413018302144508</v>
      </c>
      <c r="Y19" s="89">
        <f t="shared" si="18"/>
        <v>114.06254774309181</v>
      </c>
      <c r="Z19" s="89">
        <f t="shared" si="18"/>
        <v>101.31289024348023</v>
      </c>
      <c r="AA19" s="89">
        <f t="shared" si="18"/>
        <v>98.89169418266745</v>
      </c>
      <c r="AB19" s="89">
        <f t="shared" si="18"/>
        <v>79.933685668920688</v>
      </c>
      <c r="AC19" s="89">
        <f t="shared" si="18"/>
        <v>65.612696047890282</v>
      </c>
      <c r="AD19" s="89">
        <f t="shared" si="18"/>
        <v>65.967770426459111</v>
      </c>
      <c r="AE19" s="89">
        <f t="shared" si="18"/>
        <v>53.604243279066068</v>
      </c>
      <c r="AF19" s="89">
        <f t="shared" si="18"/>
        <v>31.895443409118307</v>
      </c>
      <c r="AG19" s="89">
        <f t="shared" si="18"/>
        <v>35.257750920678752</v>
      </c>
      <c r="AH19" s="89">
        <f t="shared" si="18"/>
        <v>34.875948048847604</v>
      </c>
      <c r="AI19" s="89">
        <f t="shared" si="18"/>
        <v>28.770005633982446</v>
      </c>
      <c r="AJ19" s="89">
        <f t="shared" si="18"/>
        <v>28.934338278359352</v>
      </c>
      <c r="AK19" s="89">
        <f t="shared" si="18"/>
        <v>29.057405406091373</v>
      </c>
      <c r="AL19" s="89">
        <f t="shared" si="18"/>
        <v>28.968184648633905</v>
      </c>
      <c r="AM19" s="89">
        <f t="shared" si="18"/>
        <v>29.016454264886189</v>
      </c>
      <c r="AN19" s="89">
        <f t="shared" si="18"/>
        <v>29.490652418612836</v>
      </c>
      <c r="AO19" s="89">
        <f t="shared" si="18"/>
        <v>29.973174413919697</v>
      </c>
      <c r="AP19" s="89">
        <f t="shared" si="18"/>
        <v>30.637615676957882</v>
      </c>
      <c r="AR19" s="85">
        <f>M19/('Renewable Fuel - EIA'!M3/1000000)</f>
        <v>0.72386916329909201</v>
      </c>
      <c r="AS19" s="85">
        <f>N19/('Renewable Fuel - EIA'!N3/1000000)</f>
        <v>0.49264240961085243</v>
      </c>
      <c r="AT19" s="85">
        <f>O19/('Renewable Fuel - EIA'!O3/1000000)</f>
        <v>0.41996726877465523</v>
      </c>
      <c r="AU19" s="85">
        <f>AVERAGE(AR19:AS19)</f>
        <v>0.60825578645497225</v>
      </c>
      <c r="AV19" s="90">
        <f>AT19-AU19</f>
        <v>-0.18828851768031701</v>
      </c>
      <c r="AY19" s="87"/>
      <c r="AZ19" s="35">
        <f t="shared" ref="AZ19:AZ31" si="19">O19-N19</f>
        <v>17.558999999999997</v>
      </c>
      <c r="BA19" s="35">
        <f>O19-N30</f>
        <v>4.6529999999999916</v>
      </c>
      <c r="BB19" s="35">
        <f>AVERAGE(J19-I30,I19-H30,H19-G30,G19-F30,L19-K30,K19-J30)</f>
        <v>-25.146999999999995</v>
      </c>
      <c r="BC19" s="35">
        <f t="shared" ref="BC19:BC31" si="20">O19-(N3/1000000)</f>
        <v>46.830984999999998</v>
      </c>
      <c r="BD19" s="35">
        <f t="shared" ref="BD19:BD30" si="21">(SUM(C19:L19)-(SUM(C3:L3)/1000000))/10</f>
        <v>15.906525699999998</v>
      </c>
      <c r="BE19" s="35">
        <f>BC19-BD19</f>
        <v>30.924459300000002</v>
      </c>
      <c r="BF19" s="35">
        <f>C3+'Renewable Diesel'!C49</f>
        <v>37305482</v>
      </c>
      <c r="BG19" s="35">
        <f>D3+'Renewable Diesel'!D49</f>
        <v>64335094</v>
      </c>
      <c r="BH19" s="35">
        <f>E3+'Renewable Diesel'!E49</f>
        <v>72436563</v>
      </c>
      <c r="BI19" s="35">
        <f>F3+'Renewable Diesel'!F49</f>
        <v>67024356</v>
      </c>
      <c r="BJ19" s="35">
        <f>G3+'Renewable Diesel'!G49</f>
        <v>73384532</v>
      </c>
      <c r="BK19" s="35">
        <f>H3+'Renewable Diesel'!H49</f>
        <v>97318215</v>
      </c>
      <c r="BL19" s="35">
        <f>I3+'Renewable Diesel'!I49</f>
        <v>84496710</v>
      </c>
      <c r="BM19" s="35">
        <f>J3+'Renewable Diesel'!J49</f>
        <v>124176708</v>
      </c>
      <c r="BN19" s="35">
        <f>K3+'Renewable Diesel'!K49</f>
        <v>144155998</v>
      </c>
      <c r="BO19" s="35">
        <f>L3+'Renewable Diesel'!L49</f>
        <v>160261309</v>
      </c>
      <c r="BP19" s="35">
        <f>M3+'Renewable Diesel'!M49</f>
        <v>157677215</v>
      </c>
      <c r="BQ19" s="35">
        <f>N3+'Renewable Diesel'!N49</f>
        <v>177725259</v>
      </c>
      <c r="BR19" s="35">
        <f>O3+'Renewable Diesel'!O49</f>
        <v>267826684</v>
      </c>
      <c r="BS19" s="35">
        <f>P3+'Renewable Diesel'!P49</f>
        <v>350925936</v>
      </c>
      <c r="BT19" s="35">
        <f>Q3+'Renewable Diesel'!Q49</f>
        <v>283003085</v>
      </c>
      <c r="BU19" s="35">
        <f>R3+'Renewable Diesel'!R49</f>
        <v>271316703.28324366</v>
      </c>
      <c r="BV19" s="35">
        <f>S3+'Renewable Diesel'!S49</f>
        <v>281036196.00172698</v>
      </c>
      <c r="BW19" s="35">
        <f>T3+'Renewable Diesel'!T49</f>
        <v>267963721.68197706</v>
      </c>
      <c r="BX19" s="35">
        <f>U3+'Renewable Diesel'!U49</f>
        <v>278659868.48624063</v>
      </c>
      <c r="BY19" s="32" t="s">
        <v>93</v>
      </c>
      <c r="BZ19" s="35">
        <f>SUM(BM19:BM21)</f>
        <v>431582523</v>
      </c>
      <c r="CA19" s="35">
        <f>SUM(BN19:BN21)</f>
        <v>485061232</v>
      </c>
      <c r="CB19" s="35">
        <f>SUM(BO19:BO21)</f>
        <v>520914441</v>
      </c>
      <c r="CC19" s="35">
        <f>SUM(BP19:BP21)</f>
        <v>528294939</v>
      </c>
      <c r="CD19" s="35">
        <f>SUM(BQ19:BQ21)</f>
        <v>635489797</v>
      </c>
      <c r="CE19" s="85">
        <f>CD19/CC19-1</f>
        <v>0.20290722111195536</v>
      </c>
      <c r="CF19" s="85">
        <f>CD19/CC22-1</f>
        <v>-0.1456407950849532</v>
      </c>
      <c r="CH19" s="32">
        <v>132</v>
      </c>
      <c r="CI19" s="32">
        <v>112</v>
      </c>
      <c r="CJ19" s="32">
        <v>147</v>
      </c>
      <c r="CL19" s="87">
        <f>CH19-M19</f>
        <v>-8.7940000000000111</v>
      </c>
      <c r="CM19" s="87">
        <f>CI19-N19</f>
        <v>-7.9869999999999948</v>
      </c>
      <c r="CN19" s="87">
        <f>CJ19-O19</f>
        <v>9.4540000000000077</v>
      </c>
    </row>
    <row r="20" spans="1:92" x14ac:dyDescent="0.2">
      <c r="A20" s="32" t="s">
        <v>71</v>
      </c>
      <c r="B20" s="87">
        <f>[5]BD!K26</f>
        <v>29.245999999999999</v>
      </c>
      <c r="C20" s="87">
        <f>[5]BD!L26</f>
        <v>40.341999999999999</v>
      </c>
      <c r="D20" s="87">
        <f>[5]BD!M26</f>
        <v>79.236000000000004</v>
      </c>
      <c r="E20" s="87">
        <f>[5]BD!N26</f>
        <v>70.233999999999995</v>
      </c>
      <c r="F20" s="87">
        <f>[5]BD!O26</f>
        <v>75.643000000000001</v>
      </c>
      <c r="G20" s="87">
        <f>[5]BD!P26</f>
        <v>77.736000000000004</v>
      </c>
      <c r="H20" s="87">
        <f>[5]BD!Q26</f>
        <v>105.154</v>
      </c>
      <c r="I20" s="87">
        <f>[5]BD!R26</f>
        <v>93.983000000000004</v>
      </c>
      <c r="J20" s="87">
        <f>[5]BD!S26</f>
        <v>127.94499999999999</v>
      </c>
      <c r="K20" s="87">
        <f>[5]BD!T26</f>
        <v>130.529</v>
      </c>
      <c r="L20" s="87">
        <f>[5]BD!U26</f>
        <v>131.82900000000001</v>
      </c>
      <c r="M20" s="88">
        <f>[5]BD!V26</f>
        <v>108.27</v>
      </c>
      <c r="N20" s="88">
        <f>[5]BD!W26</f>
        <v>113.685</v>
      </c>
      <c r="O20" s="88">
        <f>[5]BD!X26</f>
        <v>119.309</v>
      </c>
      <c r="P20" s="88">
        <f>[5]BD!Y26</f>
        <v>125.521</v>
      </c>
      <c r="Q20" s="88">
        <f>[5]BD!Z26</f>
        <v>73.721896000000001</v>
      </c>
      <c r="R20" s="89">
        <f t="shared" si="16"/>
        <v>105.13259298048351</v>
      </c>
      <c r="S20" s="89">
        <f t="shared" si="17"/>
        <v>98.546220938355077</v>
      </c>
      <c r="T20" s="89">
        <f t="shared" si="18"/>
        <v>77.761661549425924</v>
      </c>
      <c r="U20" s="89">
        <f t="shared" si="18"/>
        <v>88.208788224436944</v>
      </c>
      <c r="V20" s="89">
        <f t="shared" si="18"/>
        <v>86.046726606611799</v>
      </c>
      <c r="W20" s="89">
        <f t="shared" si="18"/>
        <v>90.756575938790192</v>
      </c>
      <c r="X20" s="89">
        <f t="shared" si="18"/>
        <v>94.40795289837564</v>
      </c>
      <c r="Y20" s="89">
        <f t="shared" si="18"/>
        <v>88.220277817392898</v>
      </c>
      <c r="Z20" s="89">
        <f t="shared" si="18"/>
        <v>85.932141825343166</v>
      </c>
      <c r="AA20" s="89">
        <f t="shared" si="18"/>
        <v>82.456014188435432</v>
      </c>
      <c r="AB20" s="89">
        <f t="shared" si="18"/>
        <v>69.487983638307611</v>
      </c>
      <c r="AC20" s="89">
        <f t="shared" si="18"/>
        <v>56.008222700219328</v>
      </c>
      <c r="AD20" s="89">
        <f t="shared" si="18"/>
        <v>54.819161291214364</v>
      </c>
      <c r="AE20" s="89">
        <f t="shared" si="18"/>
        <v>45.399897681127882</v>
      </c>
      <c r="AF20" s="89">
        <f t="shared" si="18"/>
        <v>27.002711974966477</v>
      </c>
      <c r="AG20" s="89">
        <f t="shared" si="18"/>
        <v>29.999502822419082</v>
      </c>
      <c r="AH20" s="89">
        <f>AH4*(SUM(AC20:AG20)/SUM(AC4:AG4))</f>
        <v>29.470724457295475</v>
      </c>
      <c r="AI20" s="89">
        <f t="shared" si="18"/>
        <v>24.23782409677866</v>
      </c>
      <c r="AJ20" s="89">
        <f t="shared" si="18"/>
        <v>24.494987014800387</v>
      </c>
      <c r="AK20" s="89">
        <f t="shared" si="18"/>
        <v>24.595520907057907</v>
      </c>
      <c r="AL20" s="89">
        <f t="shared" si="18"/>
        <v>24.51908725718225</v>
      </c>
      <c r="AM20" s="89">
        <f t="shared" si="18"/>
        <v>24.529726497214401</v>
      </c>
      <c r="AN20" s="89">
        <f t="shared" si="18"/>
        <v>24.933139362283267</v>
      </c>
      <c r="AO20" s="89">
        <f t="shared" si="18"/>
        <v>25.35881988546684</v>
      </c>
      <c r="AP20" s="89">
        <f t="shared" si="18"/>
        <v>25.917818250938684</v>
      </c>
      <c r="AR20" s="85">
        <f>M20/('Renewable Fuel - EIA'!M4/1000000)</f>
        <v>0.69037416787818495</v>
      </c>
      <c r="AS20" s="85">
        <f>N20/('Renewable Fuel - EIA'!N4/1000000)</f>
        <v>0.50917714715683116</v>
      </c>
      <c r="AT20" s="85">
        <f>O20/('Renewable Fuel - EIA'!O4/1000000)</f>
        <v>0.40032278413056316</v>
      </c>
      <c r="AU20" s="85">
        <f t="shared" ref="AU20:AU31" si="22">AVERAGE(AR20:AS20)</f>
        <v>0.59977565751750805</v>
      </c>
      <c r="AV20" s="90">
        <f t="shared" ref="AV20:AV31" si="23">AT20-AU20</f>
        <v>-0.1994528733869449</v>
      </c>
      <c r="AY20" s="87"/>
      <c r="AZ20" s="35">
        <f t="shared" si="19"/>
        <v>5.6239999999999952</v>
      </c>
      <c r="BA20" s="35">
        <f t="shared" ref="BA20:BA30" si="24">O20-O19</f>
        <v>-18.236999999999995</v>
      </c>
      <c r="BB20" s="35">
        <f t="shared" ref="BB20:BB30" si="25">AVERAGE(J20-J19,I20-I19,H20-H19,G20-G19,L20-L19,K20-K19)</f>
        <v>-1.0630000000000024</v>
      </c>
      <c r="BC20" s="35">
        <f t="shared" si="20"/>
        <v>8.8663499999999971</v>
      </c>
      <c r="BD20" s="35">
        <f t="shared" si="21"/>
        <v>7.1602551999999831</v>
      </c>
      <c r="BE20" s="35">
        <f t="shared" ref="BE20:BE31" si="26">BC20-BD20</f>
        <v>1.706094800000014</v>
      </c>
      <c r="BF20" s="35">
        <f>C4+'Renewable Diesel'!C50</f>
        <v>42498040</v>
      </c>
      <c r="BG20" s="35">
        <f>D4+'Renewable Diesel'!D50</f>
        <v>75700261</v>
      </c>
      <c r="BH20" s="35">
        <f>E4+'Renewable Diesel'!E50</f>
        <v>75804191</v>
      </c>
      <c r="BI20" s="35">
        <f>F4+'Renewable Diesel'!F50</f>
        <v>82152505</v>
      </c>
      <c r="BJ20" s="35">
        <f>G4+'Renewable Diesel'!G50</f>
        <v>76316532</v>
      </c>
      <c r="BK20" s="35">
        <f>H4+'Renewable Diesel'!H50</f>
        <v>107754563</v>
      </c>
      <c r="BL20" s="35">
        <f>I4+'Renewable Diesel'!I50</f>
        <v>99518882</v>
      </c>
      <c r="BM20" s="35">
        <f>J4+'Renewable Diesel'!J50</f>
        <v>137141084</v>
      </c>
      <c r="BN20" s="35">
        <f>K4+'Renewable Diesel'!K50</f>
        <v>157504153</v>
      </c>
      <c r="BO20" s="35">
        <f>L4+'Renewable Diesel'!L50</f>
        <v>165333669</v>
      </c>
      <c r="BP20" s="35">
        <f>M4+'Renewable Diesel'!M50</f>
        <v>161056760</v>
      </c>
      <c r="BQ20" s="35">
        <f>N4+'Renewable Diesel'!N50</f>
        <v>211839141</v>
      </c>
      <c r="BR20" s="36">
        <f>O4+'Renewable Diesel'!O50</f>
        <v>255812966</v>
      </c>
      <c r="BS20" s="36">
        <f>P4+'Renewable Diesel'!P50</f>
        <v>355872860</v>
      </c>
      <c r="BT20" s="36">
        <f>Q4+'Renewable Diesel'!Q50</f>
        <v>259824688</v>
      </c>
      <c r="BU20" s="36">
        <f>R4+'Renewable Diesel'!R50</f>
        <v>292902090.31723052</v>
      </c>
      <c r="BV20" s="36">
        <f>S4+'Renewable Diesel'!S50</f>
        <v>305041537.94999653</v>
      </c>
      <c r="BW20" s="36">
        <f>T4+'Renewable Diesel'!T50</f>
        <v>288654879.70301038</v>
      </c>
      <c r="BX20" s="36">
        <f>U4+'Renewable Diesel'!U50</f>
        <v>301584662.22357082</v>
      </c>
      <c r="BY20" s="32" t="s">
        <v>94</v>
      </c>
      <c r="BZ20" s="35">
        <f>SUM(BM22:BM24)</f>
        <v>531064598</v>
      </c>
      <c r="CA20" s="35">
        <f>SUM(BN22:BN24)</f>
        <v>587745534</v>
      </c>
      <c r="CB20" s="35">
        <f>SUM(BO22:BO24)</f>
        <v>596317642</v>
      </c>
      <c r="CC20" s="35">
        <f>SUM(BP22:BP24)</f>
        <v>628900977</v>
      </c>
      <c r="CD20" s="35">
        <f>SUM(BQ22:BQ24)</f>
        <v>785826505</v>
      </c>
      <c r="CE20" s="85">
        <f>CD20/CC20-1</f>
        <v>0.24952342855081944</v>
      </c>
      <c r="CF20" s="85">
        <f>CD20/CD19-1</f>
        <v>0.23656824816024535</v>
      </c>
      <c r="CH20" s="32">
        <v>120</v>
      </c>
      <c r="CI20" s="32">
        <v>121</v>
      </c>
      <c r="CJ20" s="32">
        <v>125</v>
      </c>
      <c r="CL20" s="87">
        <f t="shared" ref="CL20:CN30" si="27">CH20-M20</f>
        <v>11.730000000000004</v>
      </c>
      <c r="CM20" s="87">
        <f t="shared" si="27"/>
        <v>7.3149999999999977</v>
      </c>
      <c r="CN20" s="87">
        <f t="shared" si="27"/>
        <v>5.6910000000000025</v>
      </c>
    </row>
    <row r="21" spans="1:92" x14ac:dyDescent="0.2">
      <c r="A21" s="32" t="s">
        <v>72</v>
      </c>
      <c r="B21" s="87">
        <f>[5]BD!K27</f>
        <v>33.771999999999998</v>
      </c>
      <c r="C21" s="87">
        <f>[5]BD!L27</f>
        <v>59.59</v>
      </c>
      <c r="D21" s="87">
        <f>[5]BD!M27</f>
        <v>94.524000000000001</v>
      </c>
      <c r="E21" s="87">
        <f>[5]BD!N27</f>
        <v>101.28400000000001</v>
      </c>
      <c r="F21" s="87">
        <f>[5]BD!O27</f>
        <v>99.177999999999997</v>
      </c>
      <c r="G21" s="87">
        <f>[5]BD!P27</f>
        <v>97.673000000000002</v>
      </c>
      <c r="H21" s="87">
        <f>[5]BD!Q27</f>
        <v>120.15900000000001</v>
      </c>
      <c r="I21" s="87">
        <f>[5]BD!R27</f>
        <v>115.973</v>
      </c>
      <c r="J21" s="87">
        <f>[5]BD!S27</f>
        <v>149.12700000000001</v>
      </c>
      <c r="K21" s="87">
        <f>[5]BD!T27</f>
        <v>140.82499999999999</v>
      </c>
      <c r="L21" s="87">
        <f>[5]BD!U27</f>
        <v>150.94499999999999</v>
      </c>
      <c r="M21" s="88">
        <f>[5]BD!V27</f>
        <v>150.571</v>
      </c>
      <c r="N21" s="88">
        <f>[5]BD!W27</f>
        <v>132.755</v>
      </c>
      <c r="O21" s="88">
        <f>[5]BD!X27</f>
        <v>139.26400000000001</v>
      </c>
      <c r="P21" s="88">
        <f>[5]BD!Y27</f>
        <v>135.63999999999999</v>
      </c>
      <c r="Q21" s="88">
        <f>[5]BD!Z27</f>
        <v>95.835418000000004</v>
      </c>
      <c r="R21" s="89">
        <f t="shared" si="16"/>
        <v>115.65530045466006</v>
      </c>
      <c r="S21" s="89">
        <f t="shared" si="17"/>
        <v>113.54377105637973</v>
      </c>
      <c r="T21" s="89">
        <f t="shared" si="18"/>
        <v>89.333106771150995</v>
      </c>
      <c r="U21" s="89">
        <f t="shared" si="18"/>
        <v>100.93044462483954</v>
      </c>
      <c r="V21" s="89">
        <f t="shared" si="18"/>
        <v>100.0059137407364</v>
      </c>
      <c r="W21" s="89">
        <f t="shared" si="18"/>
        <v>103.45755069464886</v>
      </c>
      <c r="X21" s="89">
        <f t="shared" si="18"/>
        <v>108.51612779577053</v>
      </c>
      <c r="Y21" s="89">
        <f t="shared" si="18"/>
        <v>101.3492156363487</v>
      </c>
      <c r="Z21" s="89">
        <f t="shared" si="18"/>
        <v>98.720859796916784</v>
      </c>
      <c r="AA21" s="89">
        <f t="shared" si="18"/>
        <v>94.802622156266168</v>
      </c>
      <c r="AB21" s="89">
        <f t="shared" si="18"/>
        <v>79.724047482792002</v>
      </c>
      <c r="AC21" s="89">
        <f t="shared" si="18"/>
        <v>64.347927165964634</v>
      </c>
      <c r="AD21" s="89">
        <f t="shared" si="18"/>
        <v>62.974380463097255</v>
      </c>
      <c r="AE21" s="89">
        <f t="shared" si="18"/>
        <v>52.15342215107249</v>
      </c>
      <c r="AF21" s="89">
        <f t="shared" si="18"/>
        <v>31.019709804529271</v>
      </c>
      <c r="AG21" s="89">
        <f t="shared" si="18"/>
        <v>34.452054477974059</v>
      </c>
      <c r="AH21" s="89">
        <f t="shared" si="18"/>
        <v>33.853080118574532</v>
      </c>
      <c r="AI21" s="89">
        <f t="shared" si="18"/>
        <v>27.840855258213306</v>
      </c>
      <c r="AJ21" s="89">
        <f t="shared" si="18"/>
        <v>28.135602170918443</v>
      </c>
      <c r="AK21" s="89">
        <f t="shared" si="18"/>
        <v>28.250385479351856</v>
      </c>
      <c r="AL21" s="89">
        <f t="shared" si="18"/>
        <v>28.162158584890982</v>
      </c>
      <c r="AM21" s="89">
        <f t="shared" si="18"/>
        <v>28.17570347117298</v>
      </c>
      <c r="AN21" s="89">
        <f t="shared" si="18"/>
        <v>28.638675597152037</v>
      </c>
      <c r="AO21" s="89">
        <f t="shared" si="18"/>
        <v>29.127448882356695</v>
      </c>
      <c r="AP21" s="89">
        <f t="shared" si="18"/>
        <v>29.769445452453603</v>
      </c>
      <c r="AR21" s="85">
        <f>M21/('Renewable Fuel - EIA'!M5/1000000)</f>
        <v>0.7490647324537838</v>
      </c>
      <c r="AS21" s="85">
        <f>N21/('Renewable Fuel - EIA'!N5/1000000)</f>
        <v>0.52349011814066471</v>
      </c>
      <c r="AT21" s="85">
        <f>O21/('Renewable Fuel - EIA'!O5/1000000)</f>
        <v>0.38399647062067443</v>
      </c>
      <c r="AU21" s="85">
        <f t="shared" si="22"/>
        <v>0.63627742529722431</v>
      </c>
      <c r="AV21" s="90">
        <f t="shared" si="23"/>
        <v>-0.25228095467654987</v>
      </c>
      <c r="AY21" s="87"/>
      <c r="AZ21" s="35">
        <f t="shared" si="19"/>
        <v>6.5090000000000146</v>
      </c>
      <c r="BA21" s="35">
        <f t="shared" si="24"/>
        <v>19.955000000000013</v>
      </c>
      <c r="BB21" s="35">
        <f>AVERAGE(J21-J20,I21-I20,H21-H20,G21-G20,L21-L20,K21-K20)</f>
        <v>17.920999999999999</v>
      </c>
      <c r="BC21" s="35">
        <f t="shared" si="20"/>
        <v>3.3945620000000076</v>
      </c>
      <c r="BD21" s="35">
        <f t="shared" si="21"/>
        <v>0.55372070000000806</v>
      </c>
      <c r="BE21" s="35">
        <f t="shared" si="26"/>
        <v>2.8408412999999997</v>
      </c>
      <c r="BF21" s="35">
        <f>C5+'Renewable Diesel'!C51</f>
        <v>66495947</v>
      </c>
      <c r="BG21" s="35">
        <f>D5+'Renewable Diesel'!D51</f>
        <v>100507707</v>
      </c>
      <c r="BH21" s="35">
        <f>E5+'Renewable Diesel'!E51</f>
        <v>102906828</v>
      </c>
      <c r="BI21" s="35">
        <f>F5+'Renewable Diesel'!F51</f>
        <v>105766600</v>
      </c>
      <c r="BJ21" s="35">
        <f>G5+'Renewable Diesel'!G51</f>
        <v>108482968</v>
      </c>
      <c r="BK21" s="35">
        <f>H5+'Renewable Diesel'!H51</f>
        <v>144502248</v>
      </c>
      <c r="BL21" s="35">
        <f>I5+'Renewable Diesel'!I51</f>
        <v>127353306</v>
      </c>
      <c r="BM21" s="35">
        <f>J5+'Renewable Diesel'!J51</f>
        <v>170264731</v>
      </c>
      <c r="BN21" s="35">
        <f>K5+'Renewable Diesel'!K51</f>
        <v>183401081</v>
      </c>
      <c r="BO21" s="35">
        <f>L5+'Renewable Diesel'!L51</f>
        <v>195319463</v>
      </c>
      <c r="BP21" s="35">
        <f>M5+'Renewable Diesel'!M51</f>
        <v>209560964</v>
      </c>
      <c r="BQ21" s="35">
        <f>N5+'Renewable Diesel'!N51</f>
        <v>245925397</v>
      </c>
      <c r="BR21" s="36">
        <f>O5+'Renewable Diesel'!O51</f>
        <v>315065110</v>
      </c>
      <c r="BS21" s="36">
        <f>P5+'Renewable Diesel'!P51</f>
        <v>348726432</v>
      </c>
      <c r="BT21" s="36">
        <f>Q5+'Renewable Diesel'!Q51</f>
        <v>325235935</v>
      </c>
      <c r="BU21" s="36">
        <f>R5+'Renewable Diesel'!R51</f>
        <v>315390984.11608392</v>
      </c>
      <c r="BV21" s="36">
        <f>S5+'Renewable Diesel'!S51</f>
        <v>334267858.65447259</v>
      </c>
      <c r="BW21" s="36">
        <f>T5+'Renewable Diesel'!T51</f>
        <v>314591772.87439275</v>
      </c>
      <c r="BX21" s="36">
        <f>U5+'Renewable Diesel'!U51</f>
        <v>328204094.27982646</v>
      </c>
      <c r="BY21" s="32" t="s">
        <v>95</v>
      </c>
      <c r="BZ21" s="35">
        <f>SUM(BM25:BM27)</f>
        <v>566244094</v>
      </c>
      <c r="CA21" s="35">
        <f>SUM(BN25:BN27)</f>
        <v>583866420</v>
      </c>
      <c r="CB21" s="35">
        <f>SUM(BO25:BO27)</f>
        <v>640846807</v>
      </c>
      <c r="CC21" s="35">
        <f>SUM(BP25:BP27)</f>
        <v>649047956</v>
      </c>
      <c r="CD21" s="35">
        <f>SUM(BQ25:BQ27)</f>
        <v>790077799</v>
      </c>
      <c r="CE21" s="85">
        <f>CD21/CC21-1</f>
        <v>0.21728724618308481</v>
      </c>
      <c r="CH21" s="32">
        <v>150</v>
      </c>
      <c r="CI21" s="32">
        <v>135</v>
      </c>
      <c r="CJ21" s="32">
        <v>130</v>
      </c>
      <c r="CL21" s="87">
        <f t="shared" si="27"/>
        <v>-0.57099999999999795</v>
      </c>
      <c r="CM21" s="87">
        <f t="shared" si="27"/>
        <v>2.2450000000000045</v>
      </c>
      <c r="CN21" s="87">
        <f t="shared" si="27"/>
        <v>-9.26400000000001</v>
      </c>
    </row>
    <row r="22" spans="1:92" x14ac:dyDescent="0.2">
      <c r="A22" s="32" t="s">
        <v>73</v>
      </c>
      <c r="B22" s="87">
        <f>[5]BD!K28</f>
        <v>34.19</v>
      </c>
      <c r="C22" s="87">
        <f>[5]BD!L28</f>
        <v>71.052000000000007</v>
      </c>
      <c r="D22" s="87">
        <f>[5]BD!M28</f>
        <v>93.942999999999998</v>
      </c>
      <c r="E22" s="87">
        <f>[5]BD!N28</f>
        <v>107.01900000000001</v>
      </c>
      <c r="F22" s="87">
        <f>[5]BD!O28</f>
        <v>93.352000000000004</v>
      </c>
      <c r="G22" s="87">
        <f>[5]BD!P28</f>
        <v>107.85</v>
      </c>
      <c r="H22" s="87">
        <f>[5]BD!Q28</f>
        <v>119.95099999999999</v>
      </c>
      <c r="I22" s="87">
        <f>[5]BD!R28</f>
        <v>126.821</v>
      </c>
      <c r="J22" s="87">
        <f>[5]BD!S28</f>
        <v>142.52500000000001</v>
      </c>
      <c r="K22" s="87">
        <f>[5]BD!T28</f>
        <v>152.149</v>
      </c>
      <c r="L22" s="87">
        <f>[5]BD!U28</f>
        <v>143.72900000000001</v>
      </c>
      <c r="M22" s="88">
        <f>[5]BD!V28</f>
        <v>144.03899999999999</v>
      </c>
      <c r="N22" s="88">
        <f>[5]BD!W28</f>
        <v>126.742</v>
      </c>
      <c r="O22" s="88">
        <f>[5]BD!X28</f>
        <v>133.381</v>
      </c>
      <c r="P22" s="88">
        <f>[5]BD!Y28</f>
        <v>133.541</v>
      </c>
      <c r="Q22" s="89">
        <f>[5]BD!Z28</f>
        <v>131.79198624915776</v>
      </c>
      <c r="R22" s="89">
        <f t="shared" si="16"/>
        <v>118.57306601625727</v>
      </c>
      <c r="S22" s="89">
        <f t="shared" si="17"/>
        <v>118.29696510372223</v>
      </c>
      <c r="T22" s="89">
        <f t="shared" si="18"/>
        <v>94.837255307363165</v>
      </c>
      <c r="U22" s="89">
        <f t="shared" si="18"/>
        <v>109.63794666629842</v>
      </c>
      <c r="V22" s="89">
        <f t="shared" si="18"/>
        <v>111.4255623201126</v>
      </c>
      <c r="W22" s="89">
        <f t="shared" si="18"/>
        <v>110.18695069537823</v>
      </c>
      <c r="X22" s="89">
        <f t="shared" si="18"/>
        <v>116.55309290442661</v>
      </c>
      <c r="Y22" s="89">
        <f t="shared" si="18"/>
        <v>109.60873767775671</v>
      </c>
      <c r="Z22" s="89">
        <f t="shared" si="18"/>
        <v>107.13561697237316</v>
      </c>
      <c r="AA22" s="89">
        <f t="shared" si="18"/>
        <v>102.89646380915644</v>
      </c>
      <c r="AB22" s="89">
        <f t="shared" si="18"/>
        <v>86.141916607652718</v>
      </c>
      <c r="AC22" s="89">
        <f t="shared" si="18"/>
        <v>69.889850300489215</v>
      </c>
      <c r="AD22" s="89">
        <f t="shared" si="18"/>
        <v>68.586964187876518</v>
      </c>
      <c r="AE22" s="89">
        <f t="shared" si="18"/>
        <v>57.035519119296126</v>
      </c>
      <c r="AF22" s="89">
        <f t="shared" si="18"/>
        <v>34.280504574825635</v>
      </c>
      <c r="AG22" s="89">
        <f t="shared" si="18"/>
        <v>37.942998241319216</v>
      </c>
      <c r="AH22" s="89">
        <f t="shared" si="18"/>
        <v>36.387280036424492</v>
      </c>
      <c r="AI22" s="89">
        <f t="shared" si="18"/>
        <v>29.931883789830749</v>
      </c>
      <c r="AJ22" s="89">
        <f t="shared" si="18"/>
        <v>30.244955941421065</v>
      </c>
      <c r="AK22" s="89">
        <f t="shared" si="18"/>
        <v>30.362091625576216</v>
      </c>
      <c r="AL22" s="89">
        <f t="shared" si="18"/>
        <v>30.26634403327817</v>
      </c>
      <c r="AM22" s="89">
        <f t="shared" si="18"/>
        <v>30.285474461259007</v>
      </c>
      <c r="AN22" s="89">
        <f t="shared" si="18"/>
        <v>30.783253662663164</v>
      </c>
      <c r="AO22" s="89">
        <f t="shared" si="18"/>
        <v>31.307351901376514</v>
      </c>
      <c r="AP22" s="89">
        <f t="shared" si="18"/>
        <v>31.996625879259547</v>
      </c>
      <c r="AR22" s="85">
        <f>M22/('Renewable Fuel - EIA'!M6/1000000)</f>
        <v>0.75290889132821071</v>
      </c>
      <c r="AS22" s="85">
        <f>N22/('Renewable Fuel - EIA'!N6/1000000)</f>
        <v>0.48774311728893921</v>
      </c>
      <c r="AT22" s="85">
        <f>O22/('Renewable Fuel - EIA'!O6/1000000)</f>
        <v>0.37824417523083553</v>
      </c>
      <c r="AU22" s="85">
        <f t="shared" si="22"/>
        <v>0.62032600430857499</v>
      </c>
      <c r="AV22" s="90">
        <f t="shared" si="23"/>
        <v>-0.24208182907773945</v>
      </c>
      <c r="AY22" s="87"/>
      <c r="AZ22" s="36">
        <f t="shared" si="19"/>
        <v>6.6389999999999958</v>
      </c>
      <c r="BA22" s="36">
        <f t="shared" si="24"/>
        <v>-5.8830000000000098</v>
      </c>
      <c r="BB22" s="35">
        <f t="shared" si="25"/>
        <v>3.0538333333333347</v>
      </c>
      <c r="BC22" s="36">
        <f t="shared" si="20"/>
        <v>-10.905382000000003</v>
      </c>
      <c r="BD22" s="35">
        <f t="shared" si="21"/>
        <v>-3.0908003000000006</v>
      </c>
      <c r="BE22" s="35">
        <f t="shared" si="26"/>
        <v>-7.8145817000000024</v>
      </c>
      <c r="BF22" s="35">
        <f>C6+'Renewable Diesel'!C52</f>
        <v>72393305</v>
      </c>
      <c r="BG22" s="35">
        <f>D6+'Renewable Diesel'!D52</f>
        <v>96133947</v>
      </c>
      <c r="BH22" s="35">
        <f>E6+'Renewable Diesel'!E52</f>
        <v>112634491</v>
      </c>
      <c r="BI22" s="35">
        <f>F6+'Renewable Diesel'!F52</f>
        <v>117026801</v>
      </c>
      <c r="BJ22" s="35">
        <f>G6+'Renewable Diesel'!G52</f>
        <v>122225366</v>
      </c>
      <c r="BK22" s="35">
        <f>H6+'Renewable Diesel'!H52</f>
        <v>147522539</v>
      </c>
      <c r="BL22" s="35">
        <f>I6+'Renewable Diesel'!I52</f>
        <v>144727366</v>
      </c>
      <c r="BM22" s="35">
        <f>J6+'Renewable Diesel'!J52</f>
        <v>170388657</v>
      </c>
      <c r="BN22" s="35">
        <f>K6+'Renewable Diesel'!K52</f>
        <v>199457168</v>
      </c>
      <c r="BO22" s="35">
        <f>L6+'Renewable Diesel'!L52</f>
        <v>187994982</v>
      </c>
      <c r="BP22" s="35">
        <f>M6+'Renewable Diesel'!M52</f>
        <v>195030927</v>
      </c>
      <c r="BQ22" s="35">
        <f>N6+'Renewable Diesel'!N52</f>
        <v>250767044</v>
      </c>
      <c r="BR22" s="36">
        <f>O6+'Renewable Diesel'!O52</f>
        <v>308243060</v>
      </c>
      <c r="BS22" s="36">
        <f>P6+'Renewable Diesel'!P52</f>
        <v>419163740</v>
      </c>
      <c r="BT22" s="36">
        <f>Q6+'Renewable Diesel'!Q52</f>
        <v>333123342.73070389</v>
      </c>
      <c r="BU22" s="36">
        <f>R6+'Renewable Diesel'!R52</f>
        <v>315625374.48466688</v>
      </c>
      <c r="BV22" s="36">
        <f>S6+'Renewable Diesel'!S52</f>
        <v>336155028.66829848</v>
      </c>
      <c r="BW22" s="36">
        <f>T6+'Renewable Diesel'!T52</f>
        <v>313880559.76549983</v>
      </c>
      <c r="BX22" s="36">
        <f>U6+'Renewable Diesel'!U52</f>
        <v>330874356.36510813</v>
      </c>
      <c r="BY22" s="32" t="s">
        <v>96</v>
      </c>
      <c r="BZ22" s="35">
        <f>SUM(BM28:BM30)</f>
        <v>631716073</v>
      </c>
      <c r="CA22" s="35">
        <f>SUM(BN28:BN30)</f>
        <v>549239599</v>
      </c>
      <c r="CB22" s="35">
        <f>SUM(BO28:BO30)</f>
        <v>600305115</v>
      </c>
      <c r="CC22" s="35">
        <f>SUM(BP28:BP30)</f>
        <v>743820390</v>
      </c>
      <c r="CD22" s="35">
        <f>SUM(BQ28:BQ30)</f>
        <v>864153690</v>
      </c>
      <c r="CE22" s="85">
        <f>CD22/CC22-1</f>
        <v>0.16177736133315723</v>
      </c>
      <c r="CH22" s="32">
        <v>140</v>
      </c>
      <c r="CI22" s="32">
        <v>140</v>
      </c>
      <c r="CJ22" s="32">
        <v>130</v>
      </c>
      <c r="CL22" s="87">
        <f t="shared" si="27"/>
        <v>-4.0389999999999873</v>
      </c>
      <c r="CM22" s="87">
        <f t="shared" si="27"/>
        <v>13.257999999999996</v>
      </c>
      <c r="CN22" s="87">
        <f t="shared" si="27"/>
        <v>-3.3810000000000002</v>
      </c>
    </row>
    <row r="23" spans="1:92" x14ac:dyDescent="0.2">
      <c r="A23" s="32" t="s">
        <v>10</v>
      </c>
      <c r="B23" s="87">
        <f>[5]BD!K29</f>
        <v>31.914999999999999</v>
      </c>
      <c r="C23" s="87">
        <f>[5]BD!L29</f>
        <v>77.197000000000003</v>
      </c>
      <c r="D23" s="87">
        <f>[5]BD!M29</f>
        <v>101.97</v>
      </c>
      <c r="E23" s="87">
        <f>[5]BD!N29</f>
        <v>111.101</v>
      </c>
      <c r="F23" s="87">
        <f>[5]BD!O29</f>
        <v>106.31399999999999</v>
      </c>
      <c r="G23" s="87">
        <f>[5]BD!P29</f>
        <v>116.94</v>
      </c>
      <c r="H23" s="87">
        <f>[5]BD!Q29</f>
        <v>135.34399999999999</v>
      </c>
      <c r="I23" s="87">
        <f>[5]BD!R29</f>
        <v>136.18100000000001</v>
      </c>
      <c r="J23" s="87">
        <f>[5]BD!S29</f>
        <v>151.31200000000001</v>
      </c>
      <c r="K23" s="87">
        <f>[5]BD!T29</f>
        <v>154.59</v>
      </c>
      <c r="L23" s="87">
        <f>[5]BD!U29</f>
        <v>152.47999999999999</v>
      </c>
      <c r="M23" s="88">
        <f>[5]BD!V29</f>
        <v>148.54599999999999</v>
      </c>
      <c r="N23" s="88">
        <f>[5]BD!W29</f>
        <v>136.148</v>
      </c>
      <c r="O23" s="88">
        <f>[5]BD!X29</f>
        <v>154.77099999999999</v>
      </c>
      <c r="P23" s="88">
        <f>[5]BD!Y29</f>
        <v>143.05699999999999</v>
      </c>
      <c r="Q23" s="89">
        <f>[5]BD!Z29</f>
        <v>137.92023689019857</v>
      </c>
      <c r="R23" s="89">
        <f t="shared" si="16"/>
        <v>127.66872084435728</v>
      </c>
      <c r="S23" s="89">
        <f t="shared" si="17"/>
        <v>128.57206421137172</v>
      </c>
      <c r="T23" s="89">
        <f t="shared" si="18"/>
        <v>103.30943210188964</v>
      </c>
      <c r="U23" s="89">
        <f t="shared" si="18"/>
        <v>117.69929794624385</v>
      </c>
      <c r="V23" s="89">
        <f t="shared" si="18"/>
        <v>119.57799672200558</v>
      </c>
      <c r="W23" s="89">
        <f t="shared" si="18"/>
        <v>118.96878684543337</v>
      </c>
      <c r="X23" s="89">
        <f t="shared" si="18"/>
        <v>125.91811425050392</v>
      </c>
      <c r="Y23" s="89">
        <f t="shared" si="18"/>
        <v>118.26015319064267</v>
      </c>
      <c r="Z23" s="89">
        <f t="shared" si="18"/>
        <v>115.40251501943808</v>
      </c>
      <c r="AA23" s="89">
        <f t="shared" si="18"/>
        <v>110.90998252136431</v>
      </c>
      <c r="AB23" s="89">
        <f t="shared" si="18"/>
        <v>92.933146663075192</v>
      </c>
      <c r="AC23" s="89">
        <f t="shared" si="18"/>
        <v>75.38670725033316</v>
      </c>
      <c r="AD23" s="89">
        <f t="shared" si="18"/>
        <v>73.952876170027579</v>
      </c>
      <c r="AE23" s="89">
        <f t="shared" si="18"/>
        <v>61.487596319075337</v>
      </c>
      <c r="AF23" s="89">
        <f t="shared" si="18"/>
        <v>36.964192316446685</v>
      </c>
      <c r="AG23" s="89">
        <f t="shared" si="18"/>
        <v>40.919150107100094</v>
      </c>
      <c r="AH23" s="89">
        <f t="shared" si="18"/>
        <v>39.239307824426845</v>
      </c>
      <c r="AI23" s="89">
        <f t="shared" si="18"/>
        <v>32.275248335356125</v>
      </c>
      <c r="AJ23" s="89">
        <f t="shared" si="18"/>
        <v>32.613094241959004</v>
      </c>
      <c r="AK23" s="89">
        <f t="shared" si="18"/>
        <v>32.741530946967337</v>
      </c>
      <c r="AL23" s="89">
        <f t="shared" si="18"/>
        <v>32.638406637994152</v>
      </c>
      <c r="AM23" s="89">
        <f t="shared" si="18"/>
        <v>32.658147919508664</v>
      </c>
      <c r="AN23" s="89">
        <f t="shared" si="18"/>
        <v>33.194656647951312</v>
      </c>
      <c r="AO23" s="89">
        <f t="shared" si="18"/>
        <v>33.760087504935079</v>
      </c>
      <c r="AP23" s="89">
        <f t="shared" si="18"/>
        <v>34.503647292376044</v>
      </c>
      <c r="AR23" s="85">
        <f>M23/('Renewable Fuel - EIA'!M7/1000000)</f>
        <v>0.6844996175361957</v>
      </c>
      <c r="AS23" s="85">
        <f>N23/('Renewable Fuel - EIA'!N7/1000000)</f>
        <v>0.49264727167462724</v>
      </c>
      <c r="AT23" s="85">
        <f>O23/('Renewable Fuel - EIA'!O7/1000000)</f>
        <v>0.38131454982655311</v>
      </c>
      <c r="AU23" s="85">
        <f t="shared" si="22"/>
        <v>0.5885734446054115</v>
      </c>
      <c r="AV23" s="90">
        <f t="shared" si="23"/>
        <v>-0.20725889477885839</v>
      </c>
      <c r="AY23" s="87"/>
      <c r="AZ23" s="36">
        <f t="shared" si="19"/>
        <v>18.62299999999999</v>
      </c>
      <c r="BA23" s="36">
        <f t="shared" si="24"/>
        <v>21.389999999999986</v>
      </c>
      <c r="BB23" s="35">
        <f t="shared" si="25"/>
        <v>8.9703333333333344</v>
      </c>
      <c r="BC23" s="36">
        <f t="shared" si="20"/>
        <v>14.895756999999975</v>
      </c>
      <c r="BD23" s="35">
        <f t="shared" si="21"/>
        <v>-4.8453865999999834</v>
      </c>
      <c r="BE23" s="35">
        <f t="shared" si="26"/>
        <v>19.741143599999958</v>
      </c>
      <c r="BF23" s="35">
        <f>C7+'Renewable Diesel'!C53</f>
        <v>85312196</v>
      </c>
      <c r="BG23" s="35">
        <f>D7+'Renewable Diesel'!D53</f>
        <v>111738425</v>
      </c>
      <c r="BH23" s="35">
        <f>E7+'Renewable Diesel'!E53</f>
        <v>121729322</v>
      </c>
      <c r="BI23" s="35">
        <f>F7+'Renewable Diesel'!F53</f>
        <v>126074468</v>
      </c>
      <c r="BJ23" s="35">
        <f>G7+'Renewable Diesel'!G53</f>
        <v>137283347</v>
      </c>
      <c r="BK23" s="35">
        <f>H7+'Renewable Diesel'!H53</f>
        <v>157196806</v>
      </c>
      <c r="BL23" s="35">
        <f>I7+'Renewable Diesel'!I53</f>
        <v>171466810</v>
      </c>
      <c r="BM23" s="35">
        <f>J7+'Renewable Diesel'!J53</f>
        <v>187743693</v>
      </c>
      <c r="BN23" s="35">
        <f>K7+'Renewable Diesel'!K53</f>
        <v>204425291</v>
      </c>
      <c r="BO23" s="35">
        <f>L7+'Renewable Diesel'!L53</f>
        <v>189595394</v>
      </c>
      <c r="BP23" s="35">
        <f>M7+'Renewable Diesel'!M53</f>
        <v>210553387</v>
      </c>
      <c r="BQ23" s="35">
        <f>N7+'Renewable Diesel'!N53</f>
        <v>275950965</v>
      </c>
      <c r="BR23" s="36">
        <f>O7+'Renewable Diesel'!O53</f>
        <v>392858867</v>
      </c>
      <c r="BS23" s="36">
        <f>P7+'Renewable Diesel'!P53</f>
        <v>363131490</v>
      </c>
      <c r="BT23" s="36">
        <f>Q7+'Renewable Diesel'!Q53</f>
        <v>336257225.10705066</v>
      </c>
      <c r="BU23" s="36">
        <f>R7+'Renewable Diesel'!R53</f>
        <v>346280777.14756262</v>
      </c>
      <c r="BV23" s="36">
        <f>S7+'Renewable Diesel'!S53</f>
        <v>370133173.22485858</v>
      </c>
      <c r="BW23" s="36">
        <f>T7+'Renewable Diesel'!T53</f>
        <v>348059044.40288889</v>
      </c>
      <c r="BX23" s="36">
        <f>U7+'Renewable Diesel'!U53</f>
        <v>362974503.91842628</v>
      </c>
      <c r="CH23" s="32">
        <v>145</v>
      </c>
      <c r="CI23" s="32">
        <v>135</v>
      </c>
      <c r="CJ23" s="32">
        <v>158</v>
      </c>
      <c r="CL23" s="87">
        <f t="shared" si="27"/>
        <v>-3.5459999999999923</v>
      </c>
      <c r="CM23" s="87">
        <f t="shared" si="27"/>
        <v>-1.1479999999999961</v>
      </c>
      <c r="CN23" s="87">
        <f t="shared" si="27"/>
        <v>3.2290000000000134</v>
      </c>
    </row>
    <row r="24" spans="1:92" x14ac:dyDescent="0.2">
      <c r="A24" s="32" t="s">
        <v>74</v>
      </c>
      <c r="B24" s="87">
        <f>[5]BD!K30</f>
        <v>27.065999999999999</v>
      </c>
      <c r="C24" s="87">
        <f>[5]BD!L30</f>
        <v>81.391000000000005</v>
      </c>
      <c r="D24" s="87">
        <f>[5]BD!M30</f>
        <v>93.373999999999995</v>
      </c>
      <c r="E24" s="87">
        <f>[5]BD!N30</f>
        <v>113.369</v>
      </c>
      <c r="F24" s="87">
        <f>[5]BD!O30</f>
        <v>111.07</v>
      </c>
      <c r="G24" s="87">
        <f>[5]BD!P30</f>
        <v>121.824</v>
      </c>
      <c r="H24" s="87">
        <f>[5]BD!Q30</f>
        <v>134.62</v>
      </c>
      <c r="I24" s="87">
        <f>[5]BD!R30</f>
        <v>140.459</v>
      </c>
      <c r="J24" s="87">
        <f>[5]BD!S30</f>
        <v>158.86699999999999</v>
      </c>
      <c r="K24" s="87">
        <f>[5]BD!T30</f>
        <v>141.553</v>
      </c>
      <c r="L24" s="87">
        <f>[5]BD!U30</f>
        <v>150.80000000000001</v>
      </c>
      <c r="M24" s="88">
        <f>[5]BD!V30</f>
        <v>143.429</v>
      </c>
      <c r="N24" s="88">
        <f>[5]BD!W30</f>
        <v>137.149</v>
      </c>
      <c r="O24" s="88">
        <f>[5]BD!X30</f>
        <v>150.68700000000001</v>
      </c>
      <c r="P24" s="88">
        <f>[5]BD!Y30</f>
        <v>141.52099999999999</v>
      </c>
      <c r="Q24" s="89">
        <f>[5]BD!Z30</f>
        <v>139.59632119621358</v>
      </c>
      <c r="R24" s="89">
        <f t="shared" si="16"/>
        <v>126.316747207623</v>
      </c>
      <c r="S24" s="89">
        <f t="shared" si="17"/>
        <v>127.86403459835202</v>
      </c>
      <c r="T24" s="89">
        <f t="shared" si="18"/>
        <v>102.49288006411696</v>
      </c>
      <c r="U24" s="89">
        <f t="shared" si="18"/>
        <v>117.24602529696779</v>
      </c>
      <c r="V24" s="89">
        <f t="shared" si="18"/>
        <v>119.32833575591818</v>
      </c>
      <c r="W24" s="89">
        <f t="shared" si="18"/>
        <v>118.28202224154897</v>
      </c>
      <c r="X24" s="89">
        <f t="shared" si="18"/>
        <v>125.32124129118617</v>
      </c>
      <c r="Y24" s="89">
        <f t="shared" si="18"/>
        <v>117.72378395188854</v>
      </c>
      <c r="Z24" s="89">
        <f t="shared" si="18"/>
        <v>114.9536934757043</v>
      </c>
      <c r="AA24" s="89">
        <f t="shared" si="18"/>
        <v>110.48659340834728</v>
      </c>
      <c r="AB24" s="89">
        <f t="shared" si="18"/>
        <v>92.563874477290469</v>
      </c>
      <c r="AC24" s="89">
        <f t="shared" si="18"/>
        <v>75.156888993857791</v>
      </c>
      <c r="AD24" s="89">
        <f t="shared" si="18"/>
        <v>73.758165150654818</v>
      </c>
      <c r="AE24" s="89">
        <f t="shared" si="18"/>
        <v>61.391481345481466</v>
      </c>
      <c r="AF24" s="89">
        <f t="shared" si="18"/>
        <v>37.007739550150532</v>
      </c>
      <c r="AG24" s="89">
        <f t="shared" si="18"/>
        <v>40.937829657145109</v>
      </c>
      <c r="AH24" s="89">
        <f t="shared" si="18"/>
        <v>39.008599110763683</v>
      </c>
      <c r="AI24" s="89">
        <f t="shared" si="18"/>
        <v>32.085944248430224</v>
      </c>
      <c r="AJ24" s="89">
        <f t="shared" si="18"/>
        <v>32.421798706254123</v>
      </c>
      <c r="AK24" s="89">
        <f t="shared" si="18"/>
        <v>32.54879372727747</v>
      </c>
      <c r="AL24" s="89">
        <f t="shared" si="18"/>
        <v>32.446187489633552</v>
      </c>
      <c r="AM24" s="89">
        <f t="shared" si="18"/>
        <v>32.466202762173062</v>
      </c>
      <c r="AN24" s="89">
        <f t="shared" si="18"/>
        <v>32.999575206615503</v>
      </c>
      <c r="AO24" s="89">
        <f t="shared" si="18"/>
        <v>33.561606010078691</v>
      </c>
      <c r="AP24" s="89">
        <f t="shared" si="18"/>
        <v>34.300701724610342</v>
      </c>
      <c r="AR24" s="85">
        <f>M24/('Renewable Fuel - EIA'!M8/1000000)</f>
        <v>0.73487759640116002</v>
      </c>
      <c r="AS24" s="85">
        <f>N24/('Renewable Fuel - EIA'!N8/1000000)</f>
        <v>0.4964202464202464</v>
      </c>
      <c r="AT24" s="85">
        <f>O24/('Renewable Fuel - EIA'!O8/1000000)</f>
        <v>0.36858287592826328</v>
      </c>
      <c r="AU24" s="85">
        <f t="shared" si="22"/>
        <v>0.61564892141070326</v>
      </c>
      <c r="AV24" s="90">
        <f t="shared" si="23"/>
        <v>-0.24706604548243999</v>
      </c>
      <c r="AY24" s="87"/>
      <c r="AZ24" s="36">
        <f t="shared" si="19"/>
        <v>13.538000000000011</v>
      </c>
      <c r="BA24" s="36">
        <f t="shared" si="24"/>
        <v>-4.0839999999999748</v>
      </c>
      <c r="BB24" s="35">
        <f t="shared" si="25"/>
        <v>0.21266666666666603</v>
      </c>
      <c r="BC24" s="36">
        <f t="shared" si="20"/>
        <v>7.8317790000000116</v>
      </c>
      <c r="BD24" s="35">
        <f t="shared" si="21"/>
        <v>-5.6814583000000081</v>
      </c>
      <c r="BE24" s="35">
        <f t="shared" si="26"/>
        <v>13.51323730000002</v>
      </c>
      <c r="BF24" s="35">
        <f>C8+'Renewable Diesel'!C54</f>
        <v>82525461</v>
      </c>
      <c r="BG24" s="35">
        <f>D8+'Renewable Diesel'!D54</f>
        <v>110206272</v>
      </c>
      <c r="BH24" s="35">
        <f>E8+'Renewable Diesel'!E54</f>
        <v>124728561</v>
      </c>
      <c r="BI24" s="35">
        <f>F8+'Renewable Diesel'!F54</f>
        <v>128915261</v>
      </c>
      <c r="BJ24" s="35">
        <f>G8+'Renewable Diesel'!G54</f>
        <v>145339534</v>
      </c>
      <c r="BK24" s="35">
        <f>H8+'Renewable Diesel'!H54</f>
        <v>165312000</v>
      </c>
      <c r="BL24" s="35">
        <f>I8+'Renewable Diesel'!I54</f>
        <v>162758314</v>
      </c>
      <c r="BM24" s="35">
        <f>J8+'Renewable Diesel'!J54</f>
        <v>172932248</v>
      </c>
      <c r="BN24" s="35">
        <f>K8+'Renewable Diesel'!K54</f>
        <v>183863075</v>
      </c>
      <c r="BO24" s="35">
        <f>L8+'Renewable Diesel'!L54</f>
        <v>218727266</v>
      </c>
      <c r="BP24" s="35">
        <f>M8+'Renewable Diesel'!M54</f>
        <v>223316663</v>
      </c>
      <c r="BQ24" s="35">
        <f>N8+'Renewable Diesel'!N54</f>
        <v>259108496</v>
      </c>
      <c r="BR24" s="36">
        <f>O8+'Renewable Diesel'!O54</f>
        <v>355497294</v>
      </c>
      <c r="BS24" s="36">
        <f>P8+'Renewable Diesel'!P54</f>
        <v>416396556</v>
      </c>
      <c r="BT24" s="36">
        <f>Q8+'Renewable Diesel'!Q54</f>
        <v>335191631.62428951</v>
      </c>
      <c r="BU24" s="36">
        <f>R8+'Renewable Diesel'!R54</f>
        <v>344050372.31106097</v>
      </c>
      <c r="BV24" s="36">
        <f>S8+'Renewable Diesel'!S54</f>
        <v>366657111.62124479</v>
      </c>
      <c r="BW24" s="36">
        <f>T8+'Renewable Diesel'!T54</f>
        <v>345657765.72027141</v>
      </c>
      <c r="BX24" s="36">
        <f>U8+'Renewable Diesel'!U54</f>
        <v>361165391.89265698</v>
      </c>
      <c r="CH24" s="32">
        <v>148</v>
      </c>
      <c r="CI24" s="32">
        <v>137</v>
      </c>
      <c r="CJ24" s="32">
        <v>146</v>
      </c>
      <c r="CL24" s="87">
        <f t="shared" si="27"/>
        <v>4.570999999999998</v>
      </c>
      <c r="CM24" s="87">
        <f t="shared" si="27"/>
        <v>-0.14900000000000091</v>
      </c>
      <c r="CN24" s="87">
        <f t="shared" si="27"/>
        <v>-4.6870000000000118</v>
      </c>
    </row>
    <row r="25" spans="1:92" x14ac:dyDescent="0.2">
      <c r="A25" s="32" t="s">
        <v>75</v>
      </c>
      <c r="B25" s="87">
        <f>[5]BD!K31</f>
        <v>27.597000000000001</v>
      </c>
      <c r="C25" s="87">
        <f>[5]BD!L31</f>
        <v>91.68</v>
      </c>
      <c r="D25" s="87">
        <f>[5]BD!M31</f>
        <v>89.316999999999993</v>
      </c>
      <c r="E25" s="87">
        <f>[5]BD!N31</f>
        <v>129.02600000000001</v>
      </c>
      <c r="F25" s="87">
        <f>[5]BD!O31</f>
        <v>122.887</v>
      </c>
      <c r="G25" s="87">
        <f>[5]BD!P31</f>
        <v>121.07599999999999</v>
      </c>
      <c r="H25" s="87">
        <f>[5]BD!Q31</f>
        <v>139.887</v>
      </c>
      <c r="I25" s="87">
        <f>[5]BD!R31</f>
        <v>149.51300000000001</v>
      </c>
      <c r="J25" s="87">
        <f>[5]BD!S31</f>
        <v>166.33099999999999</v>
      </c>
      <c r="K25" s="87">
        <f>[5]BD!T31</f>
        <v>158.61000000000001</v>
      </c>
      <c r="L25" s="87">
        <f>[5]BD!U31</f>
        <v>161.66900000000001</v>
      </c>
      <c r="M25" s="88">
        <f>[5]BD!V31</f>
        <v>149.16999999999999</v>
      </c>
      <c r="N25" s="88">
        <f>[5]BD!W31</f>
        <v>146.58000000000001</v>
      </c>
      <c r="O25" s="88">
        <f>[5]BD!X31</f>
        <v>152.161</v>
      </c>
      <c r="P25" s="88">
        <f>[5]BD!Y31</f>
        <v>146.05699999999999</v>
      </c>
      <c r="Q25" s="89">
        <f>[5]BD!Z31</f>
        <v>137.41003536067737</v>
      </c>
      <c r="R25" s="89">
        <f t="shared" si="16"/>
        <v>129.60351257197297</v>
      </c>
      <c r="S25" s="89">
        <f t="shared" si="17"/>
        <v>130.81858409868065</v>
      </c>
      <c r="T25" s="89">
        <f t="shared" si="18"/>
        <v>103.92621888465898</v>
      </c>
      <c r="U25" s="89">
        <f t="shared" si="18"/>
        <v>118.99253930622159</v>
      </c>
      <c r="V25" s="89">
        <f t="shared" si="18"/>
        <v>120.6591660279786</v>
      </c>
      <c r="W25" s="89">
        <f t="shared" si="18"/>
        <v>120.43028920349457</v>
      </c>
      <c r="X25" s="89">
        <f t="shared" si="18"/>
        <v>127.38417128780429</v>
      </c>
      <c r="Y25" s="89">
        <f t="shared" si="18"/>
        <v>119.49042888785203</v>
      </c>
      <c r="Z25" s="89">
        <f t="shared" si="18"/>
        <v>116.70002498095225</v>
      </c>
      <c r="AA25" s="89">
        <f t="shared" si="18"/>
        <v>112.1733420444673</v>
      </c>
      <c r="AB25" s="89">
        <f t="shared" si="18"/>
        <v>94.057128085524369</v>
      </c>
      <c r="AC25" s="89">
        <f t="shared" si="18"/>
        <v>76.343379758279383</v>
      </c>
      <c r="AD25" s="89">
        <f t="shared" si="18"/>
        <v>74.910325925974078</v>
      </c>
      <c r="AE25" s="89">
        <f t="shared" si="18"/>
        <v>62.365666612643139</v>
      </c>
      <c r="AF25" s="89">
        <f t="shared" si="18"/>
        <v>37.614189975047182</v>
      </c>
      <c r="AG25" s="89">
        <f t="shared" si="18"/>
        <v>41.608415420010658</v>
      </c>
      <c r="AH25" s="89">
        <f t="shared" si="18"/>
        <v>39.603740926436437</v>
      </c>
      <c r="AI25" s="89">
        <f t="shared" si="18"/>
        <v>32.574662799043935</v>
      </c>
      <c r="AJ25" s="89">
        <f t="shared" si="18"/>
        <v>32.916877312814627</v>
      </c>
      <c r="AK25" s="89">
        <f t="shared" si="18"/>
        <v>33.046484897462328</v>
      </c>
      <c r="AL25" s="89">
        <f t="shared" si="18"/>
        <v>32.942321938080866</v>
      </c>
      <c r="AM25" s="89">
        <f t="shared" si="18"/>
        <v>32.961883973216686</v>
      </c>
      <c r="AN25" s="89">
        <f t="shared" si="18"/>
        <v>33.503486557881345</v>
      </c>
      <c r="AO25" s="89">
        <f t="shared" si="18"/>
        <v>34.074355501616601</v>
      </c>
      <c r="AP25" s="89">
        <f t="shared" si="18"/>
        <v>34.824796775324771</v>
      </c>
      <c r="AR25" s="85">
        <f>M25/('Renewable Fuel - EIA'!M9/1000000)</f>
        <v>0.68737500806399576</v>
      </c>
      <c r="AS25" s="85">
        <f>N25/('Renewable Fuel - EIA'!N9/1000000)</f>
        <v>0.49850021425510649</v>
      </c>
      <c r="AT25" s="85">
        <f>O25/('Renewable Fuel - EIA'!O9/1000000)</f>
        <v>0.39482137667621542</v>
      </c>
      <c r="AU25" s="85">
        <f t="shared" si="22"/>
        <v>0.59293761115955113</v>
      </c>
      <c r="AV25" s="90">
        <f t="shared" si="23"/>
        <v>-0.19811623448333571</v>
      </c>
      <c r="AY25" s="87"/>
      <c r="AZ25" s="36">
        <f t="shared" si="19"/>
        <v>5.5809999999999889</v>
      </c>
      <c r="BA25" s="36">
        <f t="shared" si="24"/>
        <v>1.4739999999999895</v>
      </c>
      <c r="BB25" s="35">
        <f t="shared" si="25"/>
        <v>8.1605000000000008</v>
      </c>
      <c r="BC25" s="36">
        <f t="shared" si="20"/>
        <v>14.615134000000012</v>
      </c>
      <c r="BD25" s="35">
        <f t="shared" si="21"/>
        <v>-3.0066471999999749</v>
      </c>
      <c r="BE25" s="35">
        <f t="shared" si="26"/>
        <v>17.621781199999987</v>
      </c>
      <c r="BF25" s="35">
        <f>C9+'Renewable Diesel'!C55</f>
        <v>93343469</v>
      </c>
      <c r="BG25" s="35">
        <f>D9+'Renewable Diesel'!D55</f>
        <v>103621114</v>
      </c>
      <c r="BH25" s="35">
        <f>E9+'Renewable Diesel'!E55</f>
        <v>144080292</v>
      </c>
      <c r="BI25" s="35">
        <f>F9+'Renewable Diesel'!F55</f>
        <v>142054784</v>
      </c>
      <c r="BJ25" s="35">
        <f>G9+'Renewable Diesel'!G55</f>
        <v>144705669</v>
      </c>
      <c r="BK25" s="35">
        <f>H9+'Renewable Diesel'!H55</f>
        <v>157492256</v>
      </c>
      <c r="BL25" s="35">
        <f>I9+'Renewable Diesel'!I55</f>
        <v>169942173</v>
      </c>
      <c r="BM25" s="35">
        <f>J9+'Renewable Diesel'!J55</f>
        <v>180333384</v>
      </c>
      <c r="BN25" s="35">
        <f>K9+'Renewable Diesel'!K55</f>
        <v>215734916</v>
      </c>
      <c r="BO25" s="35">
        <f>L9+'Renewable Diesel'!L55</f>
        <v>209422664</v>
      </c>
      <c r="BP25" s="35">
        <f>M9+'Renewable Diesel'!M55</f>
        <v>216390911</v>
      </c>
      <c r="BQ25" s="35">
        <f>N9+'Renewable Diesel'!N55</f>
        <v>246521404</v>
      </c>
      <c r="BR25" s="36">
        <f>O9+'Renewable Diesel'!O55</f>
        <v>325390007</v>
      </c>
      <c r="BS25" s="36">
        <f>P9+'Renewable Diesel'!P55</f>
        <v>438587264</v>
      </c>
      <c r="BT25" s="36">
        <f>Q9+'Renewable Diesel'!Q55</f>
        <v>329485235.57733601</v>
      </c>
      <c r="BU25" s="36">
        <f>R9+'Renewable Diesel'!R55</f>
        <v>336404275.69903731</v>
      </c>
      <c r="BV25" s="36">
        <f>S9+'Renewable Diesel'!S55</f>
        <v>358779614.71771175</v>
      </c>
      <c r="BW25" s="36">
        <f>T9+'Renewable Diesel'!T55</f>
        <v>338085273.60893637</v>
      </c>
      <c r="BX25" s="36">
        <f>U9+'Renewable Diesel'!U55</f>
        <v>356010272.86592984</v>
      </c>
      <c r="CH25" s="32">
        <v>144</v>
      </c>
      <c r="CI25" s="32">
        <v>135</v>
      </c>
      <c r="CJ25" s="32">
        <v>149</v>
      </c>
      <c r="CL25" s="87">
        <f t="shared" si="27"/>
        <v>-5.1699999999999875</v>
      </c>
      <c r="CM25" s="87">
        <f t="shared" si="27"/>
        <v>-11.580000000000013</v>
      </c>
      <c r="CN25" s="87">
        <f t="shared" si="27"/>
        <v>-3.1610000000000014</v>
      </c>
    </row>
    <row r="26" spans="1:92" x14ac:dyDescent="0.2">
      <c r="A26" s="32" t="s">
        <v>76</v>
      </c>
      <c r="B26" s="87">
        <f>[5]BD!K32</f>
        <v>27.427</v>
      </c>
      <c r="C26" s="87">
        <f>[5]BD!L32</f>
        <v>95.484999999999999</v>
      </c>
      <c r="D26" s="87">
        <f>[5]BD!M32</f>
        <v>91.405000000000001</v>
      </c>
      <c r="E26" s="87">
        <f>[5]BD!N32</f>
        <v>129.619</v>
      </c>
      <c r="F26" s="87">
        <f>[5]BD!O32</f>
        <v>125.437</v>
      </c>
      <c r="G26" s="87">
        <f>[5]BD!P32</f>
        <v>123.176</v>
      </c>
      <c r="H26" s="87">
        <f>[5]BD!Q32</f>
        <v>142.17699999999999</v>
      </c>
      <c r="I26" s="87">
        <f>[5]BD!R32</f>
        <v>149.48599999999999</v>
      </c>
      <c r="J26" s="87">
        <f>[5]BD!S32</f>
        <v>172.28</v>
      </c>
      <c r="K26" s="87">
        <f>[5]BD!T32</f>
        <v>155.898</v>
      </c>
      <c r="L26" s="87">
        <f>[5]BD!U32</f>
        <v>162.60900000000001</v>
      </c>
      <c r="M26" s="88">
        <f>[5]BD!V32</f>
        <v>149.50200000000001</v>
      </c>
      <c r="N26" s="88">
        <f>[5]BD!W32</f>
        <v>147.78700000000001</v>
      </c>
      <c r="O26" s="88">
        <f>[5]BD!X32</f>
        <v>144.845</v>
      </c>
      <c r="P26" s="88">
        <f>[5]BD!Y32</f>
        <v>139.72418999999999</v>
      </c>
      <c r="Q26" s="89">
        <f>[5]BD!Z32</f>
        <v>143.73869939125274</v>
      </c>
      <c r="R26" s="89">
        <f t="shared" si="16"/>
        <v>128.51484077978557</v>
      </c>
      <c r="S26" s="89">
        <f t="shared" si="17"/>
        <v>129.42874726797754</v>
      </c>
      <c r="T26" s="89">
        <f t="shared" si="18"/>
        <v>102.41243973808699</v>
      </c>
      <c r="U26" s="89">
        <f t="shared" si="18"/>
        <v>118.19457875422506</v>
      </c>
      <c r="V26" s="89">
        <f t="shared" si="18"/>
        <v>120.95841062755906</v>
      </c>
      <c r="W26" s="89">
        <f t="shared" si="18"/>
        <v>119.53525165901716</v>
      </c>
      <c r="X26" s="89">
        <f t="shared" si="18"/>
        <v>126.46453877138222</v>
      </c>
      <c r="Y26" s="89">
        <f t="shared" si="18"/>
        <v>118.71816524944059</v>
      </c>
      <c r="Z26" s="89">
        <f t="shared" si="18"/>
        <v>116.10792748178538</v>
      </c>
      <c r="AA26" s="89">
        <f t="shared" si="18"/>
        <v>111.64008708754434</v>
      </c>
      <c r="AB26" s="89">
        <f t="shared" si="18"/>
        <v>93.47287832011223</v>
      </c>
      <c r="AC26" s="89">
        <f t="shared" si="18"/>
        <v>75.890104865396893</v>
      </c>
      <c r="AD26" s="89">
        <f t="shared" si="18"/>
        <v>74.489223938943979</v>
      </c>
      <c r="AE26" s="89">
        <f t="shared" si="18"/>
        <v>62.029195568926106</v>
      </c>
      <c r="AF26" s="89">
        <f t="shared" si="18"/>
        <v>37.409790768874814</v>
      </c>
      <c r="AG26" s="89">
        <f t="shared" si="18"/>
        <v>41.370753152084085</v>
      </c>
      <c r="AH26" s="89">
        <f t="shared" si="18"/>
        <v>39.375531475985881</v>
      </c>
      <c r="AI26" s="89">
        <f t="shared" si="18"/>
        <v>32.389433518897</v>
      </c>
      <c r="AJ26" s="89">
        <f t="shared" si="18"/>
        <v>32.7300249821877</v>
      </c>
      <c r="AK26" s="89">
        <f t="shared" si="18"/>
        <v>32.857040045837714</v>
      </c>
      <c r="AL26" s="89">
        <f t="shared" si="18"/>
        <v>32.752711128968237</v>
      </c>
      <c r="AM26" s="89">
        <f t="shared" si="18"/>
        <v>32.773198319069927</v>
      </c>
      <c r="AN26" s="89">
        <f t="shared" si="18"/>
        <v>33.312006883857016</v>
      </c>
      <c r="AO26" s="89">
        <f t="shared" si="18"/>
        <v>33.879419098248292</v>
      </c>
      <c r="AP26" s="89">
        <f t="shared" si="18"/>
        <v>34.625261376162904</v>
      </c>
      <c r="AR26" s="85">
        <f>M26/('Renewable Fuel - EIA'!M10/1000000)</f>
        <v>0.69211966334268493</v>
      </c>
      <c r="AS26" s="85">
        <f>N26/('Renewable Fuel - EIA'!N10/1000000)</f>
        <v>0.52121731524782933</v>
      </c>
      <c r="AT26" s="85">
        <f>O26/('Renewable Fuel - EIA'!O10/1000000)</f>
        <v>0.3527711207232484</v>
      </c>
      <c r="AU26" s="85">
        <f t="shared" si="22"/>
        <v>0.60666848929525719</v>
      </c>
      <c r="AV26" s="91">
        <f t="shared" si="23"/>
        <v>-0.25389736857200879</v>
      </c>
      <c r="AY26" s="87"/>
      <c r="AZ26" s="36">
        <f t="shared" si="19"/>
        <v>-2.9420000000000073</v>
      </c>
      <c r="BA26" s="36">
        <f t="shared" si="24"/>
        <v>-7.3160000000000025</v>
      </c>
      <c r="BB26" s="35">
        <f t="shared" si="25"/>
        <v>1.4233333333333296</v>
      </c>
      <c r="BC26" s="36">
        <f t="shared" si="20"/>
        <v>-6.9881180000000143</v>
      </c>
      <c r="BD26" s="35">
        <f t="shared" si="21"/>
        <v>-5.8101104000000081</v>
      </c>
      <c r="BE26" s="35">
        <f t="shared" si="26"/>
        <v>-1.1780076000000061</v>
      </c>
      <c r="BF26" s="35">
        <f>C10+'Renewable Diesel'!C56</f>
        <v>109509873</v>
      </c>
      <c r="BG26" s="35">
        <f>D10+'Renewable Diesel'!D56</f>
        <v>101735451</v>
      </c>
      <c r="BH26" s="35">
        <f>E10+'Renewable Diesel'!E56</f>
        <v>145194580</v>
      </c>
      <c r="BI26" s="35">
        <f>F10+'Renewable Diesel'!F56</f>
        <v>129939608</v>
      </c>
      <c r="BJ26" s="35">
        <f>G10+'Renewable Diesel'!G56</f>
        <v>140701301</v>
      </c>
      <c r="BK26" s="35">
        <f>H10+'Renewable Diesel'!H56</f>
        <v>186458295</v>
      </c>
      <c r="BL26" s="35">
        <f>I10+'Renewable Diesel'!I56</f>
        <v>182209088</v>
      </c>
      <c r="BM26" s="35">
        <f>J10+'Renewable Diesel'!J56</f>
        <v>196655898</v>
      </c>
      <c r="BN26" s="35">
        <f>K10+'Renewable Diesel'!K56</f>
        <v>183779313</v>
      </c>
      <c r="BO26" s="35">
        <f>L10+'Renewable Diesel'!L56</f>
        <v>215446153</v>
      </c>
      <c r="BP26" s="35">
        <f>M10+'Renewable Diesel'!M56</f>
        <v>236974765</v>
      </c>
      <c r="BQ26" s="35">
        <f>N10+'Renewable Diesel'!N56</f>
        <v>274082072</v>
      </c>
      <c r="BR26" s="36">
        <f>O10+'Renewable Diesel'!O56</f>
        <v>388821756</v>
      </c>
      <c r="BS26" s="36">
        <f>P10+'Renewable Diesel'!P56</f>
        <v>400214563</v>
      </c>
      <c r="BT26" s="36">
        <f>Q10+'Renewable Diesel'!Q56</f>
        <v>340497501.08893645</v>
      </c>
      <c r="BU26" s="36">
        <f>R10+'Renewable Diesel'!R56</f>
        <v>347701173.76607329</v>
      </c>
      <c r="BV26" s="36">
        <f>S10+'Renewable Diesel'!S56</f>
        <v>370727562.40691298</v>
      </c>
      <c r="BW26" s="36">
        <f>T10+'Renewable Diesel'!T56</f>
        <v>347995066.19192857</v>
      </c>
      <c r="BX26" s="36">
        <f>U10+'Renewable Diesel'!U56</f>
        <v>365434128.9022181</v>
      </c>
      <c r="CH26" s="32">
        <v>147</v>
      </c>
      <c r="CI26" s="32">
        <v>144</v>
      </c>
      <c r="CJ26" s="32">
        <v>148</v>
      </c>
      <c r="CL26" s="87">
        <f t="shared" si="27"/>
        <v>-2.5020000000000095</v>
      </c>
      <c r="CM26" s="87">
        <f t="shared" si="27"/>
        <v>-3.7870000000000061</v>
      </c>
      <c r="CN26" s="87">
        <f t="shared" si="27"/>
        <v>3.1550000000000011</v>
      </c>
    </row>
    <row r="27" spans="1:92" x14ac:dyDescent="0.2">
      <c r="A27" s="32" t="s">
        <v>77</v>
      </c>
      <c r="B27" s="87">
        <f>[5]BD!K33</f>
        <v>30.356999999999999</v>
      </c>
      <c r="C27" s="87">
        <f>[5]BD!L33</f>
        <v>95.941999999999993</v>
      </c>
      <c r="D27" s="87">
        <f>[5]BD!M33</f>
        <v>81.852999999999994</v>
      </c>
      <c r="E27" s="87">
        <f>[5]BD!N33</f>
        <v>127.065</v>
      </c>
      <c r="F27" s="87">
        <f>[5]BD!O33</f>
        <v>115.67700000000001</v>
      </c>
      <c r="G27" s="87">
        <f>[5]BD!P33</f>
        <v>104.119</v>
      </c>
      <c r="H27" s="87">
        <f>[5]BD!Q33</f>
        <v>134.667</v>
      </c>
      <c r="I27" s="87">
        <f>[5]BD!R33</f>
        <v>147.29300000000001</v>
      </c>
      <c r="J27" s="87">
        <f>[5]BD!S33</f>
        <v>164.39599999999999</v>
      </c>
      <c r="K27" s="87">
        <f>[5]BD!T33</f>
        <v>141.846</v>
      </c>
      <c r="L27" s="87">
        <f>[5]BD!U33</f>
        <v>159.161</v>
      </c>
      <c r="M27" s="88">
        <f>[5]BD!V33</f>
        <v>133.76499999999999</v>
      </c>
      <c r="N27" s="88">
        <f>[5]BD!W33</f>
        <v>140.709</v>
      </c>
      <c r="O27" s="88">
        <f>[5]BD!X33</f>
        <v>144.38900000000001</v>
      </c>
      <c r="P27" s="88">
        <f>[5]BD!Y33</f>
        <v>134.53788499999999</v>
      </c>
      <c r="Q27" s="89">
        <f>[5]BD!Z33</f>
        <v>135.75318158840645</v>
      </c>
      <c r="R27" s="89">
        <f t="shared" si="16"/>
        <v>121.91172779660126</v>
      </c>
      <c r="S27" s="89">
        <f t="shared" si="17"/>
        <v>124.25541838706735</v>
      </c>
      <c r="T27" s="89">
        <f t="shared" si="18"/>
        <v>98.496159719227123</v>
      </c>
      <c r="U27" s="89">
        <f t="shared" si="18"/>
        <v>112.72930757651282</v>
      </c>
      <c r="V27" s="89">
        <f t="shared" si="18"/>
        <v>115.30417296965148</v>
      </c>
      <c r="W27" s="89">
        <f t="shared" si="18"/>
        <v>114.19695156468315</v>
      </c>
      <c r="X27" s="89">
        <f t="shared" si="18"/>
        <v>121.0010494862036</v>
      </c>
      <c r="Y27" s="89">
        <f t="shared" si="18"/>
        <v>113.50601300825078</v>
      </c>
      <c r="Z27" s="89">
        <f t="shared" si="18"/>
        <v>110.9011205271083</v>
      </c>
      <c r="AA27" s="89">
        <f t="shared" si="18"/>
        <v>106.66682940301939</v>
      </c>
      <c r="AB27" s="89">
        <f t="shared" si="18"/>
        <v>89.355928132271345</v>
      </c>
      <c r="AC27" s="89">
        <f t="shared" si="18"/>
        <v>72.568956074290668</v>
      </c>
      <c r="AD27" s="89">
        <f t="shared" si="18"/>
        <v>71.219174481455283</v>
      </c>
      <c r="AE27" s="89">
        <f t="shared" si="18"/>
        <v>59.316508859781187</v>
      </c>
      <c r="AF27" s="89">
        <f t="shared" si="18"/>
        <v>35.807220332398813</v>
      </c>
      <c r="AG27" s="89">
        <f t="shared" si="18"/>
        <v>39.594262693153361</v>
      </c>
      <c r="AH27" s="89">
        <f t="shared" si="18"/>
        <v>37.612970638824038</v>
      </c>
      <c r="AI27" s="89">
        <f t="shared" si="18"/>
        <v>30.937740912223816</v>
      </c>
      <c r="AJ27" s="89">
        <f t="shared" si="18"/>
        <v>31.262940241103891</v>
      </c>
      <c r="AK27" s="89">
        <f t="shared" si="18"/>
        <v>31.38540670387869</v>
      </c>
      <c r="AL27" s="89">
        <f t="shared" si="18"/>
        <v>31.285945485365893</v>
      </c>
      <c r="AM27" s="89">
        <f t="shared" si="18"/>
        <v>31.305143073242846</v>
      </c>
      <c r="AN27" s="89">
        <f t="shared" si="18"/>
        <v>31.819563023573004</v>
      </c>
      <c r="AO27" s="89">
        <f t="shared" si="18"/>
        <v>32.361673939347021</v>
      </c>
      <c r="AP27" s="89">
        <f t="shared" si="18"/>
        <v>33.074277352538296</v>
      </c>
      <c r="AR27" s="85">
        <f>M27/('Renewable Fuel - EIA'!M11/1000000)</f>
        <v>0.73333662269881461</v>
      </c>
      <c r="AS27" s="85">
        <f>N27/('Renewable Fuel - EIA'!N11/1000000)</f>
        <v>0.47819216182048041</v>
      </c>
      <c r="AT27" s="86">
        <f>O27/('Renewable Fuel - EIA'!O11/1000000)</f>
        <v>0.34354285333599816</v>
      </c>
      <c r="AU27" s="85">
        <f t="shared" si="22"/>
        <v>0.60576439225964751</v>
      </c>
      <c r="AV27" s="91">
        <f t="shared" si="23"/>
        <v>-0.26222153892364936</v>
      </c>
      <c r="AY27" s="87"/>
      <c r="AZ27" s="36">
        <f t="shared" si="19"/>
        <v>3.6800000000000068</v>
      </c>
      <c r="BA27" s="36">
        <f t="shared" si="24"/>
        <v>-0.45599999999998886</v>
      </c>
      <c r="BB27" s="35">
        <f t="shared" si="25"/>
        <v>-9.0239999999999991</v>
      </c>
      <c r="BC27" s="36">
        <f t="shared" si="20"/>
        <v>2.5280550000000233</v>
      </c>
      <c r="BD27" s="35">
        <f t="shared" si="21"/>
        <v>-5.7766521999999672</v>
      </c>
      <c r="BE27" s="35">
        <f t="shared" si="26"/>
        <v>8.3047071999999904</v>
      </c>
      <c r="BF27" s="35">
        <f>C11+'Renewable Diesel'!C57</f>
        <v>120403224</v>
      </c>
      <c r="BG27" s="35">
        <f>D11+'Renewable Diesel'!D57</f>
        <v>85078023</v>
      </c>
      <c r="BH27" s="35">
        <f>E11+'Renewable Diesel'!E57</f>
        <v>145288433</v>
      </c>
      <c r="BI27" s="35">
        <f>F11+'Renewable Diesel'!F57</f>
        <v>130908001</v>
      </c>
      <c r="BJ27" s="35">
        <f>G11+'Renewable Diesel'!G57</f>
        <v>131675413</v>
      </c>
      <c r="BK27" s="35">
        <f>H11+'Renewable Diesel'!H57</f>
        <v>165857997</v>
      </c>
      <c r="BL27" s="35">
        <f>I11+'Renewable Diesel'!I57</f>
        <v>170300253</v>
      </c>
      <c r="BM27" s="35">
        <f>J11+'Renewable Diesel'!J57</f>
        <v>189254812</v>
      </c>
      <c r="BN27" s="35">
        <f>K11+'Renewable Diesel'!K57</f>
        <v>184352191</v>
      </c>
      <c r="BO27" s="35">
        <f>L11+'Renewable Diesel'!L57</f>
        <v>215977990</v>
      </c>
      <c r="BP27" s="35">
        <f>M11+'Renewable Diesel'!M57</f>
        <v>195682280</v>
      </c>
      <c r="BQ27" s="35">
        <f>N11+'Renewable Diesel'!N57</f>
        <v>269474323</v>
      </c>
      <c r="BR27" s="36">
        <f>O11+'Renewable Diesel'!O57</f>
        <v>377879405</v>
      </c>
      <c r="BS27" s="36">
        <f>P11+'Renewable Diesel'!P57</f>
        <v>392465822</v>
      </c>
      <c r="BT27" s="36">
        <f>Q11+'Renewable Diesel'!Q57</f>
        <v>335320677.81855679</v>
      </c>
      <c r="BU27" s="36">
        <f>R11+'Renewable Diesel'!R57</f>
        <v>342343995.49801153</v>
      </c>
      <c r="BV27" s="36">
        <f>S11+'Renewable Diesel'!S57</f>
        <v>366749258.36565852</v>
      </c>
      <c r="BW27" s="36">
        <f>T11+'Renewable Diesel'!T57</f>
        <v>345278708.43286538</v>
      </c>
      <c r="BX27" s="36">
        <f>U11+'Renewable Diesel'!U57</f>
        <v>361757997.97570151</v>
      </c>
      <c r="CH27" s="32">
        <v>137</v>
      </c>
      <c r="CI27" s="32">
        <v>139</v>
      </c>
      <c r="CJ27" s="32">
        <v>148</v>
      </c>
      <c r="CL27" s="87">
        <f t="shared" si="27"/>
        <v>3.2350000000000136</v>
      </c>
      <c r="CM27" s="87">
        <f t="shared" si="27"/>
        <v>-1.7090000000000032</v>
      </c>
      <c r="CN27" s="87">
        <f t="shared" si="27"/>
        <v>3.61099999999999</v>
      </c>
    </row>
    <row r="28" spans="1:92" x14ac:dyDescent="0.2">
      <c r="A28" s="32" t="s">
        <v>78</v>
      </c>
      <c r="B28" s="87">
        <f>[5]BD!K34</f>
        <v>28.404</v>
      </c>
      <c r="C28" s="87">
        <f>[5]BD!L34</f>
        <v>105.342</v>
      </c>
      <c r="D28" s="87">
        <f>[5]BD!M34</f>
        <v>75.283000000000001</v>
      </c>
      <c r="E28" s="87">
        <f>[5]BD!N34</f>
        <v>137.434</v>
      </c>
      <c r="F28" s="87">
        <f>[5]BD!O34</f>
        <v>122.988</v>
      </c>
      <c r="G28" s="87">
        <f>[5]BD!P34</f>
        <v>106.467</v>
      </c>
      <c r="H28" s="87">
        <f>[5]BD!Q34</f>
        <v>144.19200000000001</v>
      </c>
      <c r="I28" s="87">
        <f>[5]BD!R34</f>
        <v>147.624</v>
      </c>
      <c r="J28" s="87">
        <f>[5]BD!S34</f>
        <v>170.952</v>
      </c>
      <c r="K28" s="87">
        <f>[5]BD!T34</f>
        <v>144.31399999999999</v>
      </c>
      <c r="L28" s="87">
        <f>[5]BD!U34</f>
        <v>157.203</v>
      </c>
      <c r="M28" s="88">
        <f>[5]BD!V34</f>
        <v>145.87200000000001</v>
      </c>
      <c r="N28" s="88">
        <f>[5]BD!W34</f>
        <v>145.48400000000001</v>
      </c>
      <c r="O28" s="88">
        <f>[5]BD!X34</f>
        <v>146.773</v>
      </c>
      <c r="P28" s="88">
        <f>[5]BD!Y34</f>
        <v>148.097836</v>
      </c>
      <c r="Q28" s="89">
        <f>[5]BD!Z34</f>
        <v>134.4740436377117</v>
      </c>
      <c r="R28" s="89">
        <f t="shared" si="16"/>
        <v>127.8018464716352</v>
      </c>
      <c r="S28" s="89">
        <f t="shared" si="17"/>
        <v>129.22194702153664</v>
      </c>
      <c r="T28" s="89">
        <f t="shared" si="18"/>
        <v>102.55585404886486</v>
      </c>
      <c r="U28" s="89">
        <f t="shared" si="18"/>
        <v>118.03660247518368</v>
      </c>
      <c r="V28" s="89">
        <f t="shared" si="18"/>
        <v>118.98367534034183</v>
      </c>
      <c r="W28" s="89">
        <f t="shared" si="18"/>
        <v>118.96011473493904</v>
      </c>
      <c r="X28" s="89">
        <f t="shared" si="18"/>
        <v>125.87559038205021</v>
      </c>
      <c r="Y28" s="89">
        <f t="shared" si="18"/>
        <v>118.08581483927058</v>
      </c>
      <c r="Z28" s="89">
        <f t="shared" si="18"/>
        <v>115.35844657014839</v>
      </c>
      <c r="AA28" s="89">
        <f t="shared" si="18"/>
        <v>110.80920981104516</v>
      </c>
      <c r="AB28" s="89">
        <f t="shared" si="18"/>
        <v>92.949550784120689</v>
      </c>
      <c r="AC28" s="89">
        <f t="shared" si="18"/>
        <v>75.459393969837137</v>
      </c>
      <c r="AD28" s="89">
        <f t="shared" si="18"/>
        <v>74.047890556295414</v>
      </c>
      <c r="AE28" s="89">
        <f t="shared" si="18"/>
        <v>61.658677365603026</v>
      </c>
      <c r="AF28" s="89">
        <f t="shared" si="18"/>
        <v>37.204691668521427</v>
      </c>
      <c r="AG28" s="89">
        <f t="shared" si="18"/>
        <v>41.153613778227793</v>
      </c>
      <c r="AH28" s="89">
        <f t="shared" si="18"/>
        <v>39.121958885956829</v>
      </c>
      <c r="AI28" s="89">
        <f t="shared" si="18"/>
        <v>32.178110525705335</v>
      </c>
      <c r="AJ28" s="89">
        <f t="shared" si="18"/>
        <v>32.515808448698898</v>
      </c>
      <c r="AK28" s="89">
        <f t="shared" si="18"/>
        <v>32.643618886959132</v>
      </c>
      <c r="AL28" s="89">
        <f t="shared" si="18"/>
        <v>32.541187502931116</v>
      </c>
      <c r="AM28" s="89">
        <f t="shared" si="18"/>
        <v>32.560485400876708</v>
      </c>
      <c r="AN28" s="89">
        <f t="shared" si="18"/>
        <v>33.09539090877734</v>
      </c>
      <c r="AO28" s="89">
        <f t="shared" si="18"/>
        <v>33.659258953576867</v>
      </c>
      <c r="AP28" s="89">
        <f t="shared" si="18"/>
        <v>34.400573517060486</v>
      </c>
      <c r="AR28" s="85">
        <f>M28/('Renewable Fuel - EIA'!M12/1000000)</f>
        <v>0.61017970083324979</v>
      </c>
      <c r="AS28" s="85">
        <f>N28/('Renewable Fuel - EIA'!N12/1000000)</f>
        <v>0.507160287248135</v>
      </c>
      <c r="AT28" s="86">
        <f>O28/('Renewable Fuel - EIA'!O12/1000000)</f>
        <v>0.37873580124582618</v>
      </c>
      <c r="AU28" s="85">
        <f t="shared" si="22"/>
        <v>0.5586699940406924</v>
      </c>
      <c r="AV28" s="91">
        <f t="shared" si="23"/>
        <v>-0.17993419279486622</v>
      </c>
      <c r="AY28" s="87"/>
      <c r="AZ28" s="36">
        <f t="shared" si="19"/>
        <v>1.2889999999999873</v>
      </c>
      <c r="BA28" s="36">
        <f t="shared" si="24"/>
        <v>2.3839999999999861</v>
      </c>
      <c r="BB28" s="35">
        <f t="shared" si="25"/>
        <v>3.211666666666666</v>
      </c>
      <c r="BC28" s="36">
        <f t="shared" si="20"/>
        <v>8.7327699999999879</v>
      </c>
      <c r="BD28" s="35">
        <f t="shared" si="21"/>
        <v>0.29091980000000606</v>
      </c>
      <c r="BE28" s="35">
        <f t="shared" si="26"/>
        <v>8.4418501999999815</v>
      </c>
      <c r="BF28" s="35">
        <f>C12+'Renewable Diesel'!C58</f>
        <v>118866333</v>
      </c>
      <c r="BG28" s="35">
        <f>D12+'Renewable Diesel'!D58</f>
        <v>84454289</v>
      </c>
      <c r="BH28" s="35">
        <f>E12+'Renewable Diesel'!E58</f>
        <v>149232054</v>
      </c>
      <c r="BI28" s="35">
        <f>F12+'Renewable Diesel'!F58</f>
        <v>136277687</v>
      </c>
      <c r="BJ28" s="35">
        <f>G12+'Renewable Diesel'!G58</f>
        <v>118433621</v>
      </c>
      <c r="BK28" s="35">
        <f>H12+'Renewable Diesel'!H58</f>
        <v>163704152</v>
      </c>
      <c r="BL28" s="35">
        <f>I12+'Renewable Diesel'!I58</f>
        <v>174694745</v>
      </c>
      <c r="BM28" s="35">
        <f>J12+'Renewable Diesel'!J58</f>
        <v>209950325</v>
      </c>
      <c r="BN28" s="35">
        <f>K12+'Renewable Diesel'!K58</f>
        <v>195187583</v>
      </c>
      <c r="BO28" s="35">
        <f>L12+'Renewable Diesel'!L58</f>
        <v>174727256</v>
      </c>
      <c r="BP28" s="35">
        <f>M12+'Renewable Diesel'!M58</f>
        <v>217123852</v>
      </c>
      <c r="BQ28" s="35">
        <f>N12+'Renewable Diesel'!N58</f>
        <v>251719923</v>
      </c>
      <c r="BR28" s="36">
        <f>O12+'Renewable Diesel'!O58</f>
        <v>358118649</v>
      </c>
      <c r="BS28" s="36">
        <f>P12+'Renewable Diesel'!P58</f>
        <v>437655129</v>
      </c>
      <c r="BT28" s="36">
        <f>Q12+'Renewable Diesel'!Q58</f>
        <v>351121586.07315123</v>
      </c>
      <c r="BU28" s="36">
        <f>R12+'Renewable Diesel'!R58</f>
        <v>363508404.17817545</v>
      </c>
      <c r="BV28" s="36">
        <f>S12+'Renewable Diesel'!S58</f>
        <v>389963699.4761095</v>
      </c>
      <c r="BW28" s="36">
        <f>T12+'Renewable Diesel'!T58</f>
        <v>369691141.6188935</v>
      </c>
      <c r="BX28" s="36">
        <f>U12+'Renewable Diesel'!U58</f>
        <v>387058095.58261204</v>
      </c>
      <c r="CH28" s="32">
        <v>141</v>
      </c>
      <c r="CI28" s="32">
        <v>139</v>
      </c>
      <c r="CJ28" s="32">
        <v>152</v>
      </c>
      <c r="CL28" s="87">
        <f t="shared" si="27"/>
        <v>-4.8720000000000141</v>
      </c>
      <c r="CM28" s="87">
        <f t="shared" si="27"/>
        <v>-6.4840000000000089</v>
      </c>
      <c r="CN28" s="87">
        <f t="shared" si="27"/>
        <v>5.2270000000000039</v>
      </c>
    </row>
    <row r="29" spans="1:92" x14ac:dyDescent="0.2">
      <c r="A29" s="32" t="s">
        <v>79</v>
      </c>
      <c r="B29" s="87">
        <f>[5]BD!K35</f>
        <v>22.167999999999999</v>
      </c>
      <c r="C29" s="87">
        <f>[5]BD!L35</f>
        <v>104.747</v>
      </c>
      <c r="D29" s="87">
        <f>[5]BD!M35</f>
        <v>57.228999999999999</v>
      </c>
      <c r="E29" s="87">
        <f>[5]BD!N35</f>
        <v>129.34100000000001</v>
      </c>
      <c r="F29" s="87">
        <f>[5]BD!O35</f>
        <v>109.639</v>
      </c>
      <c r="G29" s="87">
        <f>[5]BD!P35</f>
        <v>105.883</v>
      </c>
      <c r="H29" s="87">
        <f>[5]BD!Q35</f>
        <v>143.15199999999999</v>
      </c>
      <c r="I29" s="87">
        <f>[5]BD!R35</f>
        <v>147.97999999999999</v>
      </c>
      <c r="J29" s="87">
        <f>[5]BD!S35</f>
        <v>160.273</v>
      </c>
      <c r="K29" s="87">
        <f>[5]BD!T35</f>
        <v>127.42400000000001</v>
      </c>
      <c r="L29" s="87">
        <f>[5]BD!U35</f>
        <v>152.06700000000001</v>
      </c>
      <c r="M29" s="88">
        <f>[5]BD!V35</f>
        <v>141.10400000000001</v>
      </c>
      <c r="N29" s="88">
        <f>[5]BD!W35</f>
        <v>142.108</v>
      </c>
      <c r="O29" s="88">
        <f>[5]BD!X35</f>
        <v>135.68700000000001</v>
      </c>
      <c r="P29" s="88">
        <f>[5]BD!Y35</f>
        <v>133.353588</v>
      </c>
      <c r="Q29" s="89">
        <f>[5]BD!Z35</f>
        <v>129.67650759899189</v>
      </c>
      <c r="R29" s="89">
        <f t="shared" si="16"/>
        <v>121.00204282041355</v>
      </c>
      <c r="S29" s="89">
        <f t="shared" si="17"/>
        <v>121.79871188629754</v>
      </c>
      <c r="T29" s="89">
        <f t="shared" si="18"/>
        <v>95.928931663148859</v>
      </c>
      <c r="U29" s="89">
        <f t="shared" si="18"/>
        <v>110.69266725793462</v>
      </c>
      <c r="V29" s="89">
        <f t="shared" si="18"/>
        <v>112.58499631167568</v>
      </c>
      <c r="W29" s="89">
        <f t="shared" si="18"/>
        <v>112.0732807359261</v>
      </c>
      <c r="X29" s="89">
        <f t="shared" si="18"/>
        <v>118.45972278906395</v>
      </c>
      <c r="Y29" s="89">
        <f t="shared" si="18"/>
        <v>111.09248168818917</v>
      </c>
      <c r="Z29" s="89">
        <f t="shared" si="18"/>
        <v>108.63614782777847</v>
      </c>
      <c r="AA29" s="89">
        <f t="shared" si="18"/>
        <v>104.44183442742974</v>
      </c>
      <c r="AB29" s="89">
        <f t="shared" si="18"/>
        <v>87.546776059655258</v>
      </c>
      <c r="AC29" s="89">
        <f t="shared" si="18"/>
        <v>71.086628942868757</v>
      </c>
      <c r="AD29" s="89">
        <f t="shared" si="18"/>
        <v>69.774503143696037</v>
      </c>
      <c r="AE29" s="89">
        <f t="shared" si="18"/>
        <v>58.138622253480172</v>
      </c>
      <c r="AF29" s="89">
        <f t="shared" si="18"/>
        <v>35.124709584218813</v>
      </c>
      <c r="AG29" s="89">
        <f t="shared" si="18"/>
        <v>38.834192201501068</v>
      </c>
      <c r="AH29" s="89">
        <f t="shared" si="18"/>
        <v>36.813998986974482</v>
      </c>
      <c r="AI29" s="89">
        <f t="shared" si="18"/>
        <v>30.281236692819416</v>
      </c>
      <c r="AJ29" s="89">
        <f t="shared" si="18"/>
        <v>30.600222248186395</v>
      </c>
      <c r="AK29" s="89">
        <f t="shared" si="18"/>
        <v>30.719744914766377</v>
      </c>
      <c r="AL29" s="89">
        <f t="shared" si="18"/>
        <v>30.622510878184311</v>
      </c>
      <c r="AM29" s="89">
        <f>AM13*(SUM(AH29:AL29)/SUM(AH13:AL13))</f>
        <v>30.640971535344416</v>
      </c>
      <c r="AN29" s="89">
        <f t="shared" si="18"/>
        <v>31.144675747695519</v>
      </c>
      <c r="AO29" s="89">
        <f t="shared" si="18"/>
        <v>31.675354571853145</v>
      </c>
      <c r="AP29" s="89">
        <f t="shared" si="18"/>
        <v>32.37278257900261</v>
      </c>
      <c r="AR29" s="85">
        <f>M29/('Renewable Fuel - EIA'!M13/1000000)</f>
        <v>0.57517874467027019</v>
      </c>
      <c r="AS29" s="85">
        <f>N29/('Renewable Fuel - EIA'!N13/1000000)</f>
        <v>0.46457830695095559</v>
      </c>
      <c r="AT29" s="86">
        <f>O29/('Renewable Fuel - EIA'!O13/1000000)</f>
        <v>0.35330739907511566</v>
      </c>
      <c r="AU29" s="85">
        <f t="shared" si="22"/>
        <v>0.51987852581061289</v>
      </c>
      <c r="AV29" s="91">
        <f t="shared" si="23"/>
        <v>-0.16657112673549723</v>
      </c>
      <c r="AY29" s="87"/>
      <c r="AZ29" s="36">
        <f t="shared" si="19"/>
        <v>-6.4209999999999923</v>
      </c>
      <c r="BA29" s="36">
        <f t="shared" si="24"/>
        <v>-11.085999999999984</v>
      </c>
      <c r="BB29" s="35">
        <f t="shared" si="25"/>
        <v>-5.6621666666666686</v>
      </c>
      <c r="BC29" s="36">
        <f t="shared" si="20"/>
        <v>-5.6085759999999993</v>
      </c>
      <c r="BD29" s="35">
        <f t="shared" si="21"/>
        <v>5.9653024000000183</v>
      </c>
      <c r="BE29" s="36">
        <f t="shared" si="26"/>
        <v>-11.573878400000018</v>
      </c>
      <c r="BF29" s="35">
        <f>C13+'Renewable Diesel'!C59</f>
        <v>110717464</v>
      </c>
      <c r="BG29" s="35">
        <f>D13+'Renewable Diesel'!D59</f>
        <v>73659736</v>
      </c>
      <c r="BH29" s="35">
        <f>E13+'Renewable Diesel'!E59</f>
        <v>126010686</v>
      </c>
      <c r="BI29" s="35">
        <f>F13+'Renewable Diesel'!F59</f>
        <v>113868312</v>
      </c>
      <c r="BJ29" s="35">
        <f>G13+'Renewable Diesel'!G59</f>
        <v>109142058</v>
      </c>
      <c r="BK29" s="35">
        <f>H13+'Renewable Diesel'!H59</f>
        <v>167078170</v>
      </c>
      <c r="BL29" s="35">
        <f>I13+'Renewable Diesel'!I59</f>
        <v>171006724</v>
      </c>
      <c r="BM29" s="35">
        <f>J13+'Renewable Diesel'!J59</f>
        <v>191105939</v>
      </c>
      <c r="BN29" s="35">
        <f>K13+'Renewable Diesel'!K59</f>
        <v>161654275</v>
      </c>
      <c r="BO29" s="35">
        <f>L13+'Renewable Diesel'!L59</f>
        <v>191888646</v>
      </c>
      <c r="BP29" s="35">
        <f>M13+'Renewable Diesel'!M59</f>
        <v>242717836</v>
      </c>
      <c r="BQ29" s="35">
        <f>N13+'Renewable Diesel'!N59</f>
        <v>313083206</v>
      </c>
      <c r="BR29" s="36">
        <f>O13+'Renewable Diesel'!O59</f>
        <v>340695743</v>
      </c>
      <c r="BS29" s="36">
        <f>P13+'Renewable Diesel'!P59</f>
        <v>394543012</v>
      </c>
      <c r="BT29" s="36">
        <f>Q13+'Renewable Diesel'!Q59</f>
        <v>363657441.33333385</v>
      </c>
      <c r="BU29" s="36">
        <f>R13+'Renewable Diesel'!R59</f>
        <v>408711542.57520038</v>
      </c>
      <c r="BV29" s="36">
        <f>S13+'Renewable Diesel'!S59</f>
        <v>439920012.22117978</v>
      </c>
      <c r="BW29" s="36">
        <f>T13+'Renewable Diesel'!T59</f>
        <v>419851739.75176871</v>
      </c>
      <c r="BX29" s="36">
        <f>U13+'Renewable Diesel'!U59</f>
        <v>437462230.30458319</v>
      </c>
      <c r="CH29" s="32">
        <v>146</v>
      </c>
      <c r="CI29" s="32">
        <v>147</v>
      </c>
      <c r="CJ29" s="32">
        <v>167</v>
      </c>
      <c r="CL29" s="87">
        <f t="shared" si="27"/>
        <v>4.8959999999999866</v>
      </c>
      <c r="CM29" s="87">
        <f t="shared" si="27"/>
        <v>4.8919999999999959</v>
      </c>
      <c r="CN29" s="87">
        <f t="shared" si="27"/>
        <v>31.312999999999988</v>
      </c>
    </row>
    <row r="30" spans="1:92" x14ac:dyDescent="0.2">
      <c r="A30" s="32" t="s">
        <v>80</v>
      </c>
      <c r="B30" s="87">
        <f>[5]BD!K36</f>
        <v>24.695</v>
      </c>
      <c r="C30" s="87">
        <f>[5]BD!L36</f>
        <v>109.357</v>
      </c>
      <c r="D30" s="87">
        <f>[5]BD!M36</f>
        <v>59.031999999999996</v>
      </c>
      <c r="E30" s="87">
        <f>[5]BD!N36</f>
        <v>135.1</v>
      </c>
      <c r="F30" s="87">
        <f>[5]BD!O36</f>
        <v>124.254</v>
      </c>
      <c r="G30" s="87">
        <f>[5]BD!P36</f>
        <v>108.057</v>
      </c>
      <c r="H30" s="87">
        <f>[5]BD!Q36</f>
        <v>143.851</v>
      </c>
      <c r="I30" s="87">
        <f>[5]BD!R36</f>
        <v>147.63900000000001</v>
      </c>
      <c r="J30" s="87">
        <f>[5]BD!S36</f>
        <v>167.785</v>
      </c>
      <c r="K30" s="87">
        <f>[5]BD!T36</f>
        <v>132.85</v>
      </c>
      <c r="L30" s="87">
        <f>[5]BD!U36</f>
        <v>157.97399999999999</v>
      </c>
      <c r="M30" s="88">
        <f>[5]BD!V36</f>
        <v>153.76300000000001</v>
      </c>
      <c r="N30" s="88">
        <f>[5]BD!W36</f>
        <v>132.893</v>
      </c>
      <c r="O30" s="88">
        <f>[5]BD!X36</f>
        <v>138.01400000000001</v>
      </c>
      <c r="P30" s="88">
        <f>[5]BD!Y36</f>
        <v>174.92183499999999</v>
      </c>
      <c r="Q30" s="89">
        <f>[5]BD!Z36</f>
        <v>258.1438615953773</v>
      </c>
      <c r="R30" s="89">
        <f t="shared" si="16"/>
        <v>134.01186159242155</v>
      </c>
      <c r="S30" s="89">
        <f t="shared" si="17"/>
        <v>153.89797156787751</v>
      </c>
      <c r="T30" s="89">
        <f t="shared" si="18"/>
        <v>128.14272151525881</v>
      </c>
      <c r="U30" s="89">
        <f t="shared" si="18"/>
        <v>156.06834520358905</v>
      </c>
      <c r="V30" s="89">
        <f t="shared" si="18"/>
        <v>161.31580819704115</v>
      </c>
      <c r="W30" s="89">
        <f t="shared" si="18"/>
        <v>146.20454623235486</v>
      </c>
      <c r="X30" s="89">
        <f t="shared" ref="X30:AP30" si="28">X14*(SUM(S30:W30)/SUM(S14:W14))</f>
        <v>159.64016216593947</v>
      </c>
      <c r="Y30" s="89">
        <f t="shared" si="28"/>
        <v>131.96921855124799</v>
      </c>
      <c r="Z30" s="89">
        <f t="shared" si="28"/>
        <v>138.22750602097889</v>
      </c>
      <c r="AA30" s="89">
        <f t="shared" si="28"/>
        <v>130.80145759534676</v>
      </c>
      <c r="AB30" s="89">
        <f t="shared" si="28"/>
        <v>111.45603745227655</v>
      </c>
      <c r="AC30" s="89">
        <f t="shared" si="28"/>
        <v>89.955383088972894</v>
      </c>
      <c r="AD30" s="89">
        <f t="shared" si="28"/>
        <v>86.897629513311145</v>
      </c>
      <c r="AE30" s="89">
        <f t="shared" si="28"/>
        <v>73.175009103884761</v>
      </c>
      <c r="AF30" s="89">
        <f t="shared" si="28"/>
        <v>43.938621765751584</v>
      </c>
      <c r="AG30" s="89">
        <f t="shared" si="28"/>
        <v>48.729606422785494</v>
      </c>
      <c r="AH30" s="89">
        <f t="shared" si="28"/>
        <v>46.51772193335556</v>
      </c>
      <c r="AI30" s="89">
        <f t="shared" si="28"/>
        <v>38.195784348854843</v>
      </c>
      <c r="AJ30" s="89">
        <f t="shared" si="28"/>
        <v>38.70647905990289</v>
      </c>
      <c r="AK30" s="89">
        <f t="shared" si="28"/>
        <v>38.839011301310975</v>
      </c>
      <c r="AL30" s="89">
        <f t="shared" si="28"/>
        <v>38.716654813176817</v>
      </c>
      <c r="AM30" s="89">
        <f t="shared" si="28"/>
        <v>38.720936515285402</v>
      </c>
      <c r="AN30" s="89">
        <f t="shared" si="28"/>
        <v>39.358293219136868</v>
      </c>
      <c r="AO30" s="89">
        <f t="shared" si="28"/>
        <v>40.043628615368029</v>
      </c>
      <c r="AP30" s="89">
        <f t="shared" si="28"/>
        <v>40.920704280478382</v>
      </c>
      <c r="AR30" s="85">
        <f>M30/('Renewable Fuel - EIA'!M14/1000000)</f>
        <v>0.55177450030502029</v>
      </c>
      <c r="AS30" s="85">
        <f>N30/('Renewable Fuel - EIA'!N14/1000000)</f>
        <v>0.43102016722776837</v>
      </c>
      <c r="AT30" s="86">
        <f>O30/('Renewable Fuel - EIA'!O14/1000000)</f>
        <v>0.31511772334557148</v>
      </c>
      <c r="AU30" s="85">
        <f t="shared" si="22"/>
        <v>0.49139733376639433</v>
      </c>
      <c r="AV30" s="91">
        <f t="shared" si="23"/>
        <v>-0.17627961042082285</v>
      </c>
      <c r="AY30" s="87"/>
      <c r="AZ30" s="36">
        <f t="shared" si="19"/>
        <v>5.1210000000000093</v>
      </c>
      <c r="BA30" s="36">
        <f t="shared" si="24"/>
        <v>2.3269999999999982</v>
      </c>
      <c r="BB30" s="36">
        <f t="shared" si="25"/>
        <v>3.5628333333333351</v>
      </c>
      <c r="BC30" s="36">
        <f t="shared" si="20"/>
        <v>-7.5774009999999805</v>
      </c>
      <c r="BD30" s="36">
        <f t="shared" si="21"/>
        <v>-20.379686800000012</v>
      </c>
      <c r="BE30" s="36">
        <f t="shared" si="26"/>
        <v>12.802285800000032</v>
      </c>
      <c r="BF30" s="35">
        <f>C14+'Renewable Diesel'!C60</f>
        <v>157369754</v>
      </c>
      <c r="BG30" s="35">
        <f>D14+'Renewable Diesel'!D60</f>
        <v>61951304</v>
      </c>
      <c r="BH30" s="35">
        <f>E14+'Renewable Diesel'!E60</f>
        <v>172329034</v>
      </c>
      <c r="BI30" s="35">
        <f>F14+'Renewable Diesel'!F60</f>
        <v>186325887</v>
      </c>
      <c r="BJ30" s="35">
        <f>G14+'Renewable Diesel'!G60</f>
        <v>123420598</v>
      </c>
      <c r="BK30" s="35">
        <f>H14+'Renewable Diesel'!H60</f>
        <v>214374179</v>
      </c>
      <c r="BL30" s="35">
        <f>I14+'Renewable Diesel'!I60</f>
        <v>188119511</v>
      </c>
      <c r="BM30" s="35">
        <f>J14+'Renewable Diesel'!J60</f>
        <v>230659809</v>
      </c>
      <c r="BN30" s="35">
        <f>K14+'Renewable Diesel'!K60</f>
        <v>192397741</v>
      </c>
      <c r="BO30" s="35">
        <f>L14+'Renewable Diesel'!L60</f>
        <v>233689213</v>
      </c>
      <c r="BP30" s="35">
        <f>M14+'Renewable Diesel'!M60</f>
        <v>283978702</v>
      </c>
      <c r="BQ30" s="35">
        <f>N14+'Renewable Diesel'!N60</f>
        <v>299350561</v>
      </c>
      <c r="BR30" s="36">
        <f>O14+'Renewable Diesel'!O60</f>
        <v>411548491</v>
      </c>
      <c r="BS30" s="36">
        <f>P14+'Renewable Diesel'!P60</f>
        <v>489033424</v>
      </c>
      <c r="BT30" s="36">
        <f>Q14+'Renewable Diesel'!Q60</f>
        <v>542120464.3255657</v>
      </c>
      <c r="BU30" s="36">
        <f>R14+'Renewable Diesel'!R60</f>
        <v>465650135.03278935</v>
      </c>
      <c r="BV30" s="36">
        <f>S14+'Renewable Diesel'!S60</f>
        <v>517073772.2308622</v>
      </c>
      <c r="BW30" s="36">
        <f>T14+'Renewable Diesel'!T60</f>
        <v>495514647.2834118</v>
      </c>
      <c r="BX30" s="36">
        <f>U14+'Renewable Diesel'!U60</f>
        <v>527245264.16656715</v>
      </c>
      <c r="CH30" s="32">
        <v>147</v>
      </c>
      <c r="CI30" s="32">
        <v>129</v>
      </c>
      <c r="CJ30" s="32">
        <v>157</v>
      </c>
      <c r="CL30" s="87">
        <f t="shared" si="27"/>
        <v>-6.7630000000000052</v>
      </c>
      <c r="CM30" s="87">
        <f t="shared" si="27"/>
        <v>-3.8930000000000007</v>
      </c>
      <c r="CN30" s="87">
        <f t="shared" si="27"/>
        <v>18.98599999999999</v>
      </c>
    </row>
    <row r="31" spans="1:92" x14ac:dyDescent="0.2">
      <c r="A31" s="32" t="s">
        <v>58</v>
      </c>
      <c r="B31" s="35">
        <f>SUM(B19:B30)</f>
        <v>343.44400000000002</v>
      </c>
      <c r="C31" s="35">
        <f t="shared" ref="C31:P31" si="29">SUM(C19:C30)</f>
        <v>967.4799999999999</v>
      </c>
      <c r="D31" s="35">
        <f t="shared" si="29"/>
        <v>990.7120000000001</v>
      </c>
      <c r="E31" s="35">
        <f t="shared" si="29"/>
        <v>1359.4559999999997</v>
      </c>
      <c r="F31" s="35">
        <f t="shared" si="29"/>
        <v>1278.9789999999998</v>
      </c>
      <c r="G31" s="35">
        <f t="shared" si="29"/>
        <v>1263.3470000000002</v>
      </c>
      <c r="H31" s="35">
        <f t="shared" si="29"/>
        <v>1567.73</v>
      </c>
      <c r="I31" s="35">
        <f t="shared" si="29"/>
        <v>1595.7089999999998</v>
      </c>
      <c r="J31" s="35">
        <f t="shared" si="29"/>
        <v>1857.318</v>
      </c>
      <c r="K31" s="35">
        <f t="shared" si="29"/>
        <v>1724.5050000000001</v>
      </c>
      <c r="L31" s="35">
        <f t="shared" si="29"/>
        <v>1814.6990000000001</v>
      </c>
      <c r="M31" s="35">
        <f t="shared" si="29"/>
        <v>1708.8249999999998</v>
      </c>
      <c r="N31" s="35">
        <f t="shared" si="29"/>
        <v>1622.027</v>
      </c>
      <c r="O31" s="35">
        <f t="shared" si="29"/>
        <v>1696.8270000000002</v>
      </c>
      <c r="P31" s="35">
        <f t="shared" si="29"/>
        <v>1683.1543339999998</v>
      </c>
      <c r="Q31" s="36">
        <f>SUM(Q19:Q30)</f>
        <v>1583.6979975079876</v>
      </c>
      <c r="R31" s="92">
        <f t="shared" ref="R31:AD31" si="30">SUM(R19:R30)</f>
        <v>1471.1743016936443</v>
      </c>
      <c r="S31" s="92">
        <f t="shared" si="30"/>
        <v>1479.9187557535577</v>
      </c>
      <c r="T31" s="92">
        <f t="shared" si="30"/>
        <v>1180.9473511835663</v>
      </c>
      <c r="U31" s="92">
        <f t="shared" si="30"/>
        <v>1358.9467834317875</v>
      </c>
      <c r="V31" s="92">
        <f t="shared" si="30"/>
        <v>1374.7957608264524</v>
      </c>
      <c r="W31" s="92">
        <f t="shared" si="30"/>
        <v>1368.5541504120968</v>
      </c>
      <c r="X31" s="92">
        <f t="shared" si="30"/>
        <v>1447.9547823248513</v>
      </c>
      <c r="Y31" s="92">
        <f t="shared" si="30"/>
        <v>1362.0868382413723</v>
      </c>
      <c r="Z31" s="92">
        <f t="shared" si="30"/>
        <v>1329.3888907420071</v>
      </c>
      <c r="AA31" s="92">
        <f t="shared" si="30"/>
        <v>1276.9761306350899</v>
      </c>
      <c r="AB31" s="92">
        <f t="shared" si="30"/>
        <v>1069.6229533719993</v>
      </c>
      <c r="AC31" s="92">
        <f t="shared" si="30"/>
        <v>867.70613915840022</v>
      </c>
      <c r="AD31" s="92">
        <f t="shared" si="30"/>
        <v>851.39806524900564</v>
      </c>
      <c r="AE31" s="92">
        <f>SUM(AE19:AE30)</f>
        <v>707.75583965943781</v>
      </c>
      <c r="AF31" s="92">
        <f>SUM(AF19:AF30)</f>
        <v>425.26952572484953</v>
      </c>
      <c r="AG31" s="92">
        <f t="shared" ref="AG31:AP31" si="31">SUM(AG19:AG30)</f>
        <v>470.80012989439882</v>
      </c>
      <c r="AH31" s="92">
        <f t="shared" si="31"/>
        <v>451.88086244386585</v>
      </c>
      <c r="AI31" s="92">
        <f t="shared" si="31"/>
        <v>371.69873016013582</v>
      </c>
      <c r="AJ31" s="92">
        <f t="shared" si="31"/>
        <v>375.57712864660681</v>
      </c>
      <c r="AK31" s="92">
        <f t="shared" si="31"/>
        <v>377.04703484253736</v>
      </c>
      <c r="AL31" s="92">
        <f t="shared" si="31"/>
        <v>375.86170039832024</v>
      </c>
      <c r="AM31" s="92">
        <f t="shared" si="31"/>
        <v>376.09432819325031</v>
      </c>
      <c r="AN31" s="92">
        <f t="shared" si="31"/>
        <v>382.27336923619919</v>
      </c>
      <c r="AO31" s="92">
        <f t="shared" si="31"/>
        <v>388.78217927814347</v>
      </c>
      <c r="AP31" s="92">
        <f t="shared" si="31"/>
        <v>397.34425015716351</v>
      </c>
      <c r="AR31" s="85">
        <f>AVERAGE(AR19:AR30)</f>
        <v>0.68212986740088866</v>
      </c>
      <c r="AS31" s="85">
        <f>AVERAGE(AS19:AS30)</f>
        <v>0.4918990635868698</v>
      </c>
      <c r="AT31" s="86">
        <f>AVERAGE(AT19:AT30)</f>
        <v>0.37256036657612673</v>
      </c>
      <c r="AU31" s="85">
        <f t="shared" si="22"/>
        <v>0.58701446549387926</v>
      </c>
      <c r="AV31" s="91">
        <f t="shared" si="23"/>
        <v>-0.21445409891775252</v>
      </c>
      <c r="AY31" s="35"/>
      <c r="AZ31" s="36">
        <f t="shared" si="19"/>
        <v>74.800000000000182</v>
      </c>
      <c r="BC31" s="36">
        <f t="shared" si="20"/>
        <v>76.615915000000314</v>
      </c>
      <c r="BD31" s="35">
        <f>(SUM(C31:L31)-(SUM(C15:L15)/1000000))/2</f>
        <v>-93.570089999999254</v>
      </c>
      <c r="BE31" s="32">
        <f t="shared" si="26"/>
        <v>170.18600499999957</v>
      </c>
      <c r="BF31" s="35">
        <f t="shared" ref="BF31:BQ31" si="32">SUM(BF19:BF30)</f>
        <v>1096740548</v>
      </c>
      <c r="BG31" s="35">
        <f t="shared" si="32"/>
        <v>1069121623</v>
      </c>
      <c r="BH31" s="35">
        <f t="shared" si="32"/>
        <v>1492375035</v>
      </c>
      <c r="BI31" s="35">
        <f t="shared" si="32"/>
        <v>1466334270</v>
      </c>
      <c r="BJ31" s="35">
        <f t="shared" si="32"/>
        <v>1431110939</v>
      </c>
      <c r="BK31" s="35">
        <f t="shared" si="32"/>
        <v>1874571420</v>
      </c>
      <c r="BL31" s="35">
        <f t="shared" si="32"/>
        <v>1846593882</v>
      </c>
      <c r="BM31" s="35">
        <f t="shared" si="32"/>
        <v>2160607288</v>
      </c>
      <c r="BN31" s="35">
        <f t="shared" si="32"/>
        <v>2205912785</v>
      </c>
      <c r="BO31" s="35">
        <f t="shared" si="32"/>
        <v>2358384005</v>
      </c>
      <c r="BP31" s="35">
        <f t="shared" si="32"/>
        <v>2550064262</v>
      </c>
      <c r="BQ31" s="35">
        <f t="shared" si="32"/>
        <v>3075547791</v>
      </c>
      <c r="BR31" s="36">
        <f>SUM(BR19:BR30)</f>
        <v>4097758032</v>
      </c>
      <c r="BS31" s="36">
        <f t="shared" ref="BS31:BT31" si="33">SUM(BS19:BS30)</f>
        <v>4806716228</v>
      </c>
      <c r="BT31" s="36">
        <f t="shared" si="33"/>
        <v>4134838813.6789241</v>
      </c>
      <c r="BU31" s="36">
        <f t="shared" ref="BU31" si="34">SUM(BU19:BU30)</f>
        <v>4149885828.4091358</v>
      </c>
      <c r="BV31" s="36">
        <f t="shared" ref="BV31" si="35">SUM(BV19:BV30)</f>
        <v>4436504825.5390329</v>
      </c>
      <c r="BW31" s="36">
        <f t="shared" ref="BW31" si="36">SUM(BW19:BW30)</f>
        <v>4195224321.0358443</v>
      </c>
      <c r="BX31" s="36">
        <f t="shared" ref="BX31" si="37">SUM(BX19:BX30)</f>
        <v>4398430866.9634409</v>
      </c>
    </row>
    <row r="32" spans="1:92" x14ac:dyDescent="0.2">
      <c r="B32" s="35">
        <f>(B15/1000000)-B31</f>
        <v>-129.65218800000002</v>
      </c>
      <c r="C32" s="35">
        <f t="shared" ref="C32:O32" si="38">(C15/1000000)-C31</f>
        <v>67.219258000000195</v>
      </c>
      <c r="D32" s="35">
        <f t="shared" si="38"/>
        <v>26.00852099999986</v>
      </c>
      <c r="E32" s="35">
        <f t="shared" si="38"/>
        <v>19.633177000000387</v>
      </c>
      <c r="F32" s="35">
        <f t="shared" si="38"/>
        <v>28.214064000000235</v>
      </c>
      <c r="G32" s="35">
        <f t="shared" si="38"/>
        <v>-9.0836770000003071</v>
      </c>
      <c r="H32" s="35">
        <f t="shared" si="38"/>
        <v>65.353984999999966</v>
      </c>
      <c r="I32" s="35">
        <f t="shared" si="38"/>
        <v>-7.4572429999998349</v>
      </c>
      <c r="J32" s="35">
        <f t="shared" si="38"/>
        <v>-2.195158999999876</v>
      </c>
      <c r="K32" s="35">
        <f t="shared" si="38"/>
        <v>-10.729404000000159</v>
      </c>
      <c r="L32" s="35">
        <f t="shared" si="38"/>
        <v>10.176657999999861</v>
      </c>
      <c r="M32" s="35">
        <f t="shared" si="38"/>
        <v>-4.1956449999997858</v>
      </c>
      <c r="N32" s="35">
        <f t="shared" si="38"/>
        <v>-1.8159150000001318</v>
      </c>
      <c r="O32" s="35">
        <f t="shared" si="38"/>
        <v>-26.506164000000126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R32" s="35"/>
      <c r="AU32" s="85"/>
      <c r="BD32" s="35"/>
      <c r="BF32" s="70">
        <f t="shared" ref="BF32:BR32" si="39">BF30/BF29-1</f>
        <v>0.42136342645998459</v>
      </c>
      <c r="BG32" s="70">
        <f t="shared" si="39"/>
        <v>-0.15895294547349448</v>
      </c>
      <c r="BH32" s="70">
        <f t="shared" si="39"/>
        <v>0.36757476266735023</v>
      </c>
      <c r="BI32" s="70">
        <f t="shared" si="39"/>
        <v>0.63632782226542539</v>
      </c>
      <c r="BJ32" s="70">
        <f t="shared" si="39"/>
        <v>0.13082527727303805</v>
      </c>
      <c r="BK32" s="70">
        <f t="shared" si="39"/>
        <v>0.28307713090225972</v>
      </c>
      <c r="BL32" s="70">
        <f t="shared" si="39"/>
        <v>0.10007084282837897</v>
      </c>
      <c r="BM32" s="70">
        <f t="shared" si="39"/>
        <v>0.20697352582014727</v>
      </c>
      <c r="BN32" s="70">
        <f t="shared" si="39"/>
        <v>0.19018034629767766</v>
      </c>
      <c r="BO32" s="70">
        <f t="shared" si="39"/>
        <v>0.21783762547368224</v>
      </c>
      <c r="BP32" s="70">
        <f t="shared" si="39"/>
        <v>0.1699951955735135</v>
      </c>
      <c r="BQ32" s="70">
        <f t="shared" si="39"/>
        <v>-4.3862605009864386E-2</v>
      </c>
      <c r="BR32" s="71">
        <f t="shared" si="39"/>
        <v>0.20796487615637749</v>
      </c>
    </row>
    <row r="33" spans="1:83" x14ac:dyDescent="0.2">
      <c r="A33" s="32" t="s">
        <v>97</v>
      </c>
      <c r="AU33" s="85"/>
      <c r="BD33" s="35"/>
      <c r="BG33" s="70">
        <f t="shared" ref="BG33:BP33" si="40">BG31/BF31-1</f>
        <v>-2.5182733555685011E-2</v>
      </c>
      <c r="BH33" s="70">
        <f t="shared" si="40"/>
        <v>0.39588892684850308</v>
      </c>
      <c r="BI33" s="70">
        <f t="shared" si="40"/>
        <v>-1.7449209742375515E-2</v>
      </c>
      <c r="BJ33" s="70">
        <f t="shared" si="40"/>
        <v>-2.4021351557172554E-2</v>
      </c>
      <c r="BK33" s="70">
        <f t="shared" si="40"/>
        <v>0.30987149138128411</v>
      </c>
      <c r="BL33" s="70">
        <f t="shared" si="40"/>
        <v>-1.4924765043094479E-2</v>
      </c>
      <c r="BM33" s="70">
        <f t="shared" si="40"/>
        <v>0.17005006301650893</v>
      </c>
      <c r="BN33" s="70">
        <f t="shared" si="40"/>
        <v>2.096887169252204E-2</v>
      </c>
      <c r="BO33" s="70">
        <f t="shared" si="40"/>
        <v>6.9119332838900149E-2</v>
      </c>
      <c r="BP33" s="70">
        <f t="shared" si="40"/>
        <v>8.1276101175050242E-2</v>
      </c>
      <c r="BQ33" s="70">
        <f>BQ31/BP31-1</f>
        <v>0.20606677911240801</v>
      </c>
      <c r="BR33" s="71">
        <f>BR31/BQ31-1</f>
        <v>0.33236688566222305</v>
      </c>
    </row>
    <row r="34" spans="1:83" s="61" customFormat="1" x14ac:dyDescent="0.2">
      <c r="B34" s="61">
        <v>2010</v>
      </c>
      <c r="C34" s="61">
        <v>2011</v>
      </c>
      <c r="D34" s="61">
        <v>2012</v>
      </c>
      <c r="E34" s="61">
        <v>2013</v>
      </c>
      <c r="F34" s="61">
        <v>2014</v>
      </c>
      <c r="G34" s="61">
        <v>2015</v>
      </c>
      <c r="H34" s="61">
        <v>2016</v>
      </c>
      <c r="I34" s="61">
        <v>2017</v>
      </c>
      <c r="J34" s="61">
        <v>2018</v>
      </c>
      <c r="K34" s="61">
        <v>2019</v>
      </c>
      <c r="L34" s="61">
        <v>2020</v>
      </c>
      <c r="M34" s="61">
        <v>2021</v>
      </c>
      <c r="N34" s="61">
        <v>2022</v>
      </c>
      <c r="O34" s="61">
        <v>2023</v>
      </c>
      <c r="P34" s="61">
        <v>2024</v>
      </c>
      <c r="Q34" s="61">
        <v>2025</v>
      </c>
      <c r="R34" s="32">
        <v>2026</v>
      </c>
      <c r="S34" s="32">
        <f t="shared" ref="S34:AO34" si="41">S2</f>
        <v>2027</v>
      </c>
      <c r="T34" s="32">
        <f t="shared" si="41"/>
        <v>2028</v>
      </c>
      <c r="U34" s="32">
        <f t="shared" si="41"/>
        <v>2029</v>
      </c>
      <c r="V34" s="32">
        <f t="shared" si="41"/>
        <v>2030</v>
      </c>
      <c r="W34" s="32">
        <f t="shared" si="41"/>
        <v>2031</v>
      </c>
      <c r="X34" s="32">
        <f t="shared" si="41"/>
        <v>2032</v>
      </c>
      <c r="Y34" s="32">
        <f t="shared" si="41"/>
        <v>2033</v>
      </c>
      <c r="Z34" s="32">
        <f t="shared" si="41"/>
        <v>2034</v>
      </c>
      <c r="AA34" s="32">
        <f t="shared" si="41"/>
        <v>2035</v>
      </c>
      <c r="AB34" s="32">
        <f t="shared" si="41"/>
        <v>2036</v>
      </c>
      <c r="AC34" s="32">
        <f t="shared" si="41"/>
        <v>2037</v>
      </c>
      <c r="AD34" s="32">
        <f t="shared" si="41"/>
        <v>2038</v>
      </c>
      <c r="AE34" s="32">
        <f t="shared" si="41"/>
        <v>2039</v>
      </c>
      <c r="AF34" s="32">
        <f t="shared" si="41"/>
        <v>2040</v>
      </c>
      <c r="AG34" s="32">
        <f t="shared" si="41"/>
        <v>2041</v>
      </c>
      <c r="AH34" s="32">
        <f t="shared" si="41"/>
        <v>2042</v>
      </c>
      <c r="AI34" s="32">
        <f t="shared" si="41"/>
        <v>2043</v>
      </c>
      <c r="AJ34" s="32">
        <f t="shared" si="41"/>
        <v>2044</v>
      </c>
      <c r="AK34" s="32">
        <f t="shared" si="41"/>
        <v>2045</v>
      </c>
      <c r="AL34" s="32">
        <f t="shared" si="41"/>
        <v>2046</v>
      </c>
      <c r="AM34" s="32">
        <f t="shared" si="41"/>
        <v>2047</v>
      </c>
      <c r="AN34" s="32">
        <f t="shared" si="41"/>
        <v>2048</v>
      </c>
      <c r="AO34" s="32">
        <f t="shared" si="41"/>
        <v>2049</v>
      </c>
      <c r="AP34" s="32">
        <f>AP2</f>
        <v>2050</v>
      </c>
      <c r="AR34" s="61">
        <v>2023</v>
      </c>
      <c r="AS34" s="61">
        <v>2022</v>
      </c>
      <c r="AT34" s="61">
        <v>2021</v>
      </c>
      <c r="AU34" s="61">
        <v>2020</v>
      </c>
      <c r="AV34" s="61" t="s">
        <v>65</v>
      </c>
      <c r="AW34" s="61" t="s">
        <v>66</v>
      </c>
      <c r="AX34" s="61" t="s">
        <v>67</v>
      </c>
      <c r="BA34" s="36"/>
      <c r="BB34" s="61" t="s">
        <v>68</v>
      </c>
      <c r="BC34" s="61" t="s">
        <v>69</v>
      </c>
      <c r="BP34" s="61">
        <f t="shared" ref="BP34:CC34" si="42">B34</f>
        <v>2010</v>
      </c>
      <c r="BQ34" s="61">
        <f t="shared" si="42"/>
        <v>2011</v>
      </c>
      <c r="BR34" s="61">
        <f t="shared" si="42"/>
        <v>2012</v>
      </c>
      <c r="BS34" s="61">
        <f t="shared" si="42"/>
        <v>2013</v>
      </c>
      <c r="BT34" s="61">
        <f t="shared" si="42"/>
        <v>2014</v>
      </c>
      <c r="BU34" s="61">
        <f t="shared" si="42"/>
        <v>2015</v>
      </c>
      <c r="BV34" s="61">
        <f t="shared" si="42"/>
        <v>2016</v>
      </c>
      <c r="BW34" s="61">
        <f t="shared" si="42"/>
        <v>2017</v>
      </c>
      <c r="BX34" s="61">
        <f t="shared" si="42"/>
        <v>2018</v>
      </c>
      <c r="BY34" s="61">
        <f t="shared" si="42"/>
        <v>2019</v>
      </c>
      <c r="BZ34" s="61">
        <f t="shared" si="42"/>
        <v>2020</v>
      </c>
      <c r="CA34" s="61">
        <f t="shared" si="42"/>
        <v>2021</v>
      </c>
      <c r="CB34" s="61">
        <f t="shared" si="42"/>
        <v>2022</v>
      </c>
      <c r="CC34" s="61">
        <f t="shared" si="42"/>
        <v>2023</v>
      </c>
      <c r="CD34" s="61" t="s">
        <v>48</v>
      </c>
      <c r="CE34" s="61" t="s">
        <v>69</v>
      </c>
    </row>
    <row r="35" spans="1:83" x14ac:dyDescent="0.2">
      <c r="A35" s="32" t="s">
        <v>70</v>
      </c>
      <c r="B35" s="35">
        <f>'[4]D4 Gallon Forecast'!B69+'[4]D4 Gallon Forecast'!B85+'[4]D4 Gallon Forecast'!B101+'[4]D6 Gallon Forecast'!B62+'[4]D6 Gallon Forecast'!B78</f>
        <v>485714</v>
      </c>
      <c r="C35" s="35">
        <f>'[4]D4 Gallon Forecast'!C69+'[4]D4 Gallon Forecast'!C85+'[4]D4 Gallon Forecast'!C101+'[4]D6 Gallon Forecast'!C62+'[4]D6 Gallon Forecast'!C78</f>
        <v>35514051</v>
      </c>
      <c r="D35" s="35">
        <f>'[4]D4 Gallon Forecast'!D69+'[4]D4 Gallon Forecast'!D85+'[4]D4 Gallon Forecast'!D101+'[4]D6 Gallon Forecast'!D62+'[4]D6 Gallon Forecast'!D78</f>
        <v>61156111</v>
      </c>
      <c r="E35" s="35">
        <f>'[4]D4 Gallon Forecast'!E69+'[4]D4 Gallon Forecast'!E85+'[4]D4 Gallon Forecast'!E101+'[4]D6 Gallon Forecast'!E62+'[4]D6 Gallon Forecast'!E78</f>
        <v>72133794</v>
      </c>
      <c r="F35" s="35">
        <f>'[4]D4 Gallon Forecast'!F69+'[4]D4 Gallon Forecast'!F85+'[4]D4 Gallon Forecast'!F101+'[4]D6 Gallon Forecast'!F62+'[4]D6 Gallon Forecast'!F78</f>
        <v>58677581</v>
      </c>
      <c r="G35" s="35">
        <f>'[4]D4 Gallon Forecast'!G69+'[4]D4 Gallon Forecast'!G85+'[4]D4 Gallon Forecast'!G101+'[4]D6 Gallon Forecast'!G62+'[4]D6 Gallon Forecast'!G78</f>
        <v>64506298</v>
      </c>
      <c r="H35" s="35">
        <f>'[4]D4 Gallon Forecast'!H69+'[4]D4 Gallon Forecast'!H85+'[4]D4 Gallon Forecast'!H101+'[4]D6 Gallon Forecast'!H62+'[4]D6 Gallon Forecast'!H78</f>
        <v>106278433</v>
      </c>
      <c r="I35" s="35">
        <f>'[4]D4 Gallon Forecast'!I69+'[4]D4 Gallon Forecast'!I85+'[4]D4 Gallon Forecast'!I101+'[4]D6 Gallon Forecast'!I62+'[4]D6 Gallon Forecast'!I78</f>
        <v>87126264</v>
      </c>
      <c r="J35" s="35">
        <f>'[4]D4 Gallon Forecast'!J69+'[4]D4 Gallon Forecast'!J85+'[4]D4 Gallon Forecast'!J101+'[4]D6 Gallon Forecast'!J62+'[4]D6 Gallon Forecast'!J78</f>
        <v>121192145</v>
      </c>
      <c r="K35" s="35">
        <f>'[4]D4 Gallon Forecast'!K69+'[4]D4 Gallon Forecast'!K85+'[4]D4 Gallon Forecast'!K101+'[4]D6 Gallon Forecast'!K62+'[4]D6 Gallon Forecast'!K78</f>
        <v>119478211</v>
      </c>
      <c r="L35" s="35">
        <f>'[4]D4 Gallon Forecast'!L69+'[4]D4 Gallon Forecast'!L85+'[4]D4 Gallon Forecast'!L101+'[4]D6 Gallon Forecast'!L62+'[4]D6 Gallon Forecast'!L78</f>
        <v>132141705</v>
      </c>
      <c r="M35" s="35">
        <f>'[4]D4 Gallon Forecast'!M69+'[4]D4 Gallon Forecast'!M85+'[4]D4 Gallon Forecast'!M101+'[4]D6 Gallon Forecast'!M62+'[4]D6 Gallon Forecast'!M78</f>
        <v>115838804</v>
      </c>
      <c r="N35" s="35">
        <f>'[4]D4 Gallon Forecast'!N69+'[4]D4 Gallon Forecast'!N85+'[4]D4 Gallon Forecast'!N101+'[4]D6 Gallon Forecast'!N62+'[4]D6 Gallon Forecast'!N78</f>
        <v>103416061</v>
      </c>
      <c r="O35" s="35">
        <f>'[4]D4 Gallon Forecast'!O69+'[4]D4 Gallon Forecast'!O85+'[4]D4 Gallon Forecast'!O101+'[4]D6 Gallon Forecast'!O62+'[4]D6 Gallon Forecast'!O78</f>
        <v>144130783</v>
      </c>
      <c r="P35" s="35">
        <f>'[4]D4 Gallon Forecast'!P69+'[4]D4 Gallon Forecast'!P85+'[4]D4 Gallon Forecast'!P101+'[4]D6 Gallon Forecast'!P62+'[4]D6 Gallon Forecast'!P78</f>
        <v>161030405</v>
      </c>
      <c r="Q35" s="36">
        <f>'[4]D4 Gallon Forecast'!Q69+'[4]D4 Gallon Forecast'!Q85+'[4]D4 Gallon Forecast'!Q101+'[4]D6 Gallon Forecast'!Q62+'[4]D6 Gallon Forecast'!Q78</f>
        <v>68771165</v>
      </c>
      <c r="R35" s="36">
        <f>'[4]D4 Gallon Forecast'!R69+'[4]D4 Gallon Forecast'!R85+'[4]D4 Gallon Forecast'!R101+'[4]D6 Gallon Forecast'!R62+'[4]D6 Gallon Forecast'!R78</f>
        <v>108041469.4560629</v>
      </c>
      <c r="S35" s="36">
        <f>'[4]D4 Gallon Forecast'!S69+'[4]D4 Gallon Forecast'!S85+'[4]D4 Gallon Forecast'!S101+'[4]D6 Gallon Forecast'!S62+'[4]D6 Gallon Forecast'!S78</f>
        <v>101556357.41130923</v>
      </c>
      <c r="T35" s="36">
        <f>'[4]D4 Gallon Forecast'!T69+'[4]D4 Gallon Forecast'!T85+'[4]D4 Gallon Forecast'!T101+'[4]D6 Gallon Forecast'!T62+'[4]D6 Gallon Forecast'!T78</f>
        <v>85628609.562343836</v>
      </c>
      <c r="U35" s="36">
        <f>'[4]D4 Gallon Forecast'!U69+'[4]D4 Gallon Forecast'!U85+'[4]D4 Gallon Forecast'!U101+'[4]D6 Gallon Forecast'!U62+'[4]D6 Gallon Forecast'!U78</f>
        <v>94796771.942570031</v>
      </c>
      <c r="V35" s="36">
        <f>'[4]D4 Gallon Forecast'!V69+'[4]D4 Gallon Forecast'!V85+'[4]D4 Gallon Forecast'!V101+'[4]D6 Gallon Forecast'!V62+'[4]D6 Gallon Forecast'!V78</f>
        <v>89161424.05131197</v>
      </c>
      <c r="W35" s="36">
        <f>'[4]D4 Gallon Forecast'!W69+'[4]D4 Gallon Forecast'!W85+'[4]D4 Gallon Forecast'!W101+'[4]D6 Gallon Forecast'!W62+'[4]D6 Gallon Forecast'!W78</f>
        <v>95377171.433157742</v>
      </c>
      <c r="X35" s="36">
        <f>'[4]D4 Gallon Forecast'!X69+'[4]D4 Gallon Forecast'!X85+'[4]D4 Gallon Forecast'!X101+'[4]D6 Gallon Forecast'!X62+'[4]D6 Gallon Forecast'!X78</f>
        <v>97683942.236450404</v>
      </c>
      <c r="Y35" s="36">
        <f>'[4]D4 Gallon Forecast'!Y69+'[4]D4 Gallon Forecast'!Y85+'[4]D4 Gallon Forecast'!Y101+'[4]D6 Gallon Forecast'!Y62+'[4]D6 Gallon Forecast'!Y78</f>
        <v>111526116.28892411</v>
      </c>
      <c r="Z35" s="36">
        <f>'[4]D4 Gallon Forecast'!Z69+'[4]D4 Gallon Forecast'!Z85+'[4]D4 Gallon Forecast'!Z101+'[4]D6 Gallon Forecast'!Z62+'[4]D6 Gallon Forecast'!Z78</f>
        <v>99641329.510209948</v>
      </c>
      <c r="AA35" s="36">
        <f>'[4]D4 Gallon Forecast'!AA69+'[4]D4 Gallon Forecast'!AA85+'[4]D4 Gallon Forecast'!AA101+'[4]D6 Gallon Forecast'!AA62+'[4]D6 Gallon Forecast'!AA78</f>
        <v>96254073.791797623</v>
      </c>
      <c r="AB35" s="36">
        <f>'[4]D4 Gallon Forecast'!AB69+'[4]D4 Gallon Forecast'!AB85+'[4]D4 Gallon Forecast'!AB101+'[4]D6 Gallon Forecast'!AB62+'[4]D6 Gallon Forecast'!AB78</f>
        <v>78015536.091763735</v>
      </c>
      <c r="AC35" s="36">
        <f>'[4]D4 Gallon Forecast'!AC69+'[4]D4 Gallon Forecast'!AC85+'[4]D4 Gallon Forecast'!AC101+'[4]D6 Gallon Forecast'!AC62+'[4]D6 Gallon Forecast'!AC78</f>
        <v>64286843.959812053</v>
      </c>
      <c r="AD35" s="36">
        <f>'[4]D4 Gallon Forecast'!AD69+'[4]D4 Gallon Forecast'!AD85+'[4]D4 Gallon Forecast'!AD101+'[4]D6 Gallon Forecast'!AD62+'[4]D6 Gallon Forecast'!AD78</f>
        <v>63598919.563585639</v>
      </c>
      <c r="AE35" s="36">
        <f>'[4]D4 Gallon Forecast'!AE69+'[4]D4 Gallon Forecast'!AE85+'[4]D4 Gallon Forecast'!AE101+'[4]D6 Gallon Forecast'!AE62+'[4]D6 Gallon Forecast'!AE78</f>
        <v>51732247.477786012</v>
      </c>
      <c r="AF35" s="36">
        <f>'[4]D4 Gallon Forecast'!AF69+'[4]D4 Gallon Forecast'!AF85+'[4]D4 Gallon Forecast'!AF101+'[4]D6 Gallon Forecast'!AF62+'[4]D6 Gallon Forecast'!AF78</f>
        <v>32284081.866265785</v>
      </c>
      <c r="AG35" s="36">
        <f>'[4]D4 Gallon Forecast'!AG69+'[4]D4 Gallon Forecast'!AG85+'[4]D4 Gallon Forecast'!AG101+'[4]D6 Gallon Forecast'!AG62+'[4]D6 Gallon Forecast'!AG78</f>
        <v>35323884.723519474</v>
      </c>
      <c r="AH35" s="36">
        <f>'[4]D4 Gallon Forecast'!AH69+'[4]D4 Gallon Forecast'!AH85+'[4]D4 Gallon Forecast'!AH101+'[4]D6 Gallon Forecast'!AH62+'[4]D6 Gallon Forecast'!AH78</f>
        <v>34987351.686319754</v>
      </c>
      <c r="AI35" s="36">
        <f>'[4]D4 Gallon Forecast'!AI69+'[4]D4 Gallon Forecast'!AI85+'[4]D4 Gallon Forecast'!AI101+'[4]D6 Gallon Forecast'!AI62+'[4]D6 Gallon Forecast'!AI78</f>
        <v>29516971.664250392</v>
      </c>
      <c r="AJ35" s="36">
        <f>'[4]D4 Gallon Forecast'!AJ69+'[4]D4 Gallon Forecast'!AJ85+'[4]D4 Gallon Forecast'!AJ101+'[4]D6 Gallon Forecast'!AJ62+'[4]D6 Gallon Forecast'!AJ78</f>
        <v>29658142.554442652</v>
      </c>
      <c r="AK35" s="36">
        <f>'[4]D4 Gallon Forecast'!AK69+'[4]D4 Gallon Forecast'!AK85+'[4]D4 Gallon Forecast'!AK101+'[4]D6 Gallon Forecast'!AK62+'[4]D6 Gallon Forecast'!AK78</f>
        <v>29768738.572978973</v>
      </c>
      <c r="AL35" s="36">
        <f>'[4]D4 Gallon Forecast'!AL69+'[4]D4 Gallon Forecast'!AL85+'[4]D4 Gallon Forecast'!AL101+'[4]D6 Gallon Forecast'!AL62+'[4]D6 Gallon Forecast'!AL78</f>
        <v>29693596.925033711</v>
      </c>
      <c r="AM35" s="36">
        <f>'[4]D4 Gallon Forecast'!AM69+'[4]D4 Gallon Forecast'!AM85+'[4]D4 Gallon Forecast'!AM101+'[4]D6 Gallon Forecast'!AM62+'[4]D6 Gallon Forecast'!AM78</f>
        <v>29736330.679520335</v>
      </c>
      <c r="AN35" s="36">
        <f>'[4]D4 Gallon Forecast'!AN69+'[4]D4 Gallon Forecast'!AN85+'[4]D4 Gallon Forecast'!AN101+'[4]D6 Gallon Forecast'!AN62+'[4]D6 Gallon Forecast'!AN78</f>
        <v>30159225.118238717</v>
      </c>
      <c r="AO35" s="36">
        <f>'[4]D4 Gallon Forecast'!AO69+'[4]D4 Gallon Forecast'!AO85+'[4]D4 Gallon Forecast'!AO101+'[4]D6 Gallon Forecast'!AO62+'[4]D6 Gallon Forecast'!AO78</f>
        <v>30590477.181060608</v>
      </c>
      <c r="AP35" s="36">
        <f>'[4]D4 Gallon Forecast'!AP69+'[4]D4 Gallon Forecast'!AP85+'[4]D4 Gallon Forecast'!AP101+'[4]D6 Gallon Forecast'!AP62+'[4]D6 Gallon Forecast'!AP78</f>
        <v>31185608.081723712</v>
      </c>
      <c r="AQ35" s="36"/>
      <c r="AR35" s="35">
        <f>O35/31</f>
        <v>4649380.0967741935</v>
      </c>
      <c r="AS35" s="35">
        <f>N35/31</f>
        <v>3336001.9677419355</v>
      </c>
      <c r="AT35" s="35">
        <f>M35/31</f>
        <v>3736735.6129032257</v>
      </c>
      <c r="AU35" s="35">
        <f>L35/31</f>
        <v>4262635.6451612907</v>
      </c>
      <c r="AV35" s="35">
        <f>AR35-AS35</f>
        <v>1313378.1290322579</v>
      </c>
      <c r="AW35" s="35">
        <f>SUM(J35:N35)/5/31</f>
        <v>3819786.619354839</v>
      </c>
      <c r="AX35" s="35">
        <f>AR35-AW35</f>
        <v>829593.47741935449</v>
      </c>
      <c r="AZ35" s="32" t="s">
        <v>98</v>
      </c>
      <c r="BA35" s="32" t="s">
        <v>69</v>
      </c>
      <c r="BB35" s="35">
        <f>'[4]D4 Gallon Forecast'!DK69+'[4]D4 Gallon Forecast'!DK101+'[4]D6 Gallon Forecast'!BK62+'[4]D6 Gallon Forecast'!BK78</f>
        <v>0</v>
      </c>
      <c r="BC35" s="35">
        <f t="shared" ref="BC35:BC47" si="43">O35-BB35</f>
        <v>144130783</v>
      </c>
      <c r="BP35" s="83">
        <f t="shared" ref="BP35:CC35" si="44">B35/31/1000000</f>
        <v>1.5668193548387097E-2</v>
      </c>
      <c r="BQ35" s="83">
        <f t="shared" si="44"/>
        <v>1.1456145483870968</v>
      </c>
      <c r="BR35" s="83">
        <f t="shared" si="44"/>
        <v>1.9727777741935484</v>
      </c>
      <c r="BS35" s="83">
        <f t="shared" si="44"/>
        <v>2.3268965806451614</v>
      </c>
      <c r="BT35" s="83">
        <f t="shared" si="44"/>
        <v>1.8928251935483871</v>
      </c>
      <c r="BU35" s="83">
        <f t="shared" si="44"/>
        <v>2.0808483225806449</v>
      </c>
      <c r="BV35" s="83">
        <f t="shared" si="44"/>
        <v>3.4283365483870969</v>
      </c>
      <c r="BW35" s="83">
        <f t="shared" si="44"/>
        <v>2.8105246451612902</v>
      </c>
      <c r="BX35" s="83">
        <f t="shared" si="44"/>
        <v>3.9094240322580647</v>
      </c>
      <c r="BY35" s="83">
        <f t="shared" si="44"/>
        <v>3.8541358387096776</v>
      </c>
      <c r="BZ35" s="83">
        <f t="shared" si="44"/>
        <v>4.262635645161291</v>
      </c>
      <c r="CA35" s="83">
        <f t="shared" si="44"/>
        <v>3.7367356129032259</v>
      </c>
      <c r="CB35" s="83">
        <f t="shared" si="44"/>
        <v>3.3360019677419355</v>
      </c>
      <c r="CC35" s="83">
        <f t="shared" si="44"/>
        <v>4.6493800967741938</v>
      </c>
      <c r="CD35" s="83">
        <f>AVERAGE(BX35:CB35)</f>
        <v>3.8197866193548387</v>
      </c>
      <c r="CE35" s="83">
        <f>CC35-CD35</f>
        <v>0.82959347741935519</v>
      </c>
    </row>
    <row r="36" spans="1:83" x14ac:dyDescent="0.2">
      <c r="A36" s="32" t="s">
        <v>71</v>
      </c>
      <c r="B36" s="35">
        <f>'[4]D4 Gallon Forecast'!B70+'[4]D4 Gallon Forecast'!B86+'[4]D4 Gallon Forecast'!B102+'[4]D6 Gallon Forecast'!B63+'[4]D6 Gallon Forecast'!B79</f>
        <v>538632</v>
      </c>
      <c r="C36" s="35">
        <f>'[4]D4 Gallon Forecast'!C70+'[4]D4 Gallon Forecast'!C86+'[4]D4 Gallon Forecast'!C102+'[4]D6 Gallon Forecast'!C63+'[4]D6 Gallon Forecast'!C79</f>
        <v>42871879</v>
      </c>
      <c r="D36" s="35">
        <f>'[4]D4 Gallon Forecast'!D70+'[4]D4 Gallon Forecast'!D86+'[4]D4 Gallon Forecast'!D102+'[4]D6 Gallon Forecast'!D63+'[4]D6 Gallon Forecast'!D79</f>
        <v>76619591</v>
      </c>
      <c r="E36" s="35">
        <f>'[4]D4 Gallon Forecast'!E70+'[4]D4 Gallon Forecast'!E86+'[4]D4 Gallon Forecast'!E102+'[4]D6 Gallon Forecast'!E63+'[4]D6 Gallon Forecast'!E79</f>
        <v>77585112</v>
      </c>
      <c r="F36" s="35">
        <f>'[4]D4 Gallon Forecast'!F70+'[4]D4 Gallon Forecast'!F86+'[4]D4 Gallon Forecast'!F102+'[4]D6 Gallon Forecast'!F63+'[4]D6 Gallon Forecast'!F79</f>
        <v>73641751</v>
      </c>
      <c r="G36" s="35">
        <f>'[4]D4 Gallon Forecast'!G70+'[4]D4 Gallon Forecast'!G86+'[4]D4 Gallon Forecast'!G102+'[4]D6 Gallon Forecast'!G63+'[4]D6 Gallon Forecast'!G79</f>
        <v>67860542</v>
      </c>
      <c r="H36" s="35">
        <f>'[4]D4 Gallon Forecast'!H70+'[4]D4 Gallon Forecast'!H86+'[4]D4 Gallon Forecast'!H102+'[4]D6 Gallon Forecast'!H63+'[4]D6 Gallon Forecast'!H79</f>
        <v>114175016</v>
      </c>
      <c r="I36" s="35">
        <f>'[4]D4 Gallon Forecast'!I70+'[4]D4 Gallon Forecast'!I86+'[4]D4 Gallon Forecast'!I102+'[4]D6 Gallon Forecast'!I63+'[4]D6 Gallon Forecast'!I79</f>
        <v>108248383</v>
      </c>
      <c r="J36" s="35">
        <f>'[4]D4 Gallon Forecast'!J70+'[4]D4 Gallon Forecast'!J86+'[4]D4 Gallon Forecast'!J102+'[4]D6 Gallon Forecast'!J63+'[4]D6 Gallon Forecast'!J79</f>
        <v>127120953</v>
      </c>
      <c r="K36" s="35">
        <f>'[4]D4 Gallon Forecast'!K70+'[4]D4 Gallon Forecast'!K86+'[4]D4 Gallon Forecast'!K102+'[4]D6 Gallon Forecast'!K63+'[4]D6 Gallon Forecast'!K79</f>
        <v>128298680</v>
      </c>
      <c r="L36" s="35">
        <f>'[4]D4 Gallon Forecast'!L70+'[4]D4 Gallon Forecast'!L86+'[4]D4 Gallon Forecast'!L102+'[4]D6 Gallon Forecast'!L63+'[4]D6 Gallon Forecast'!L79</f>
        <v>139499905</v>
      </c>
      <c r="M36" s="35">
        <f>'[4]D4 Gallon Forecast'!M70+'[4]D4 Gallon Forecast'!M86+'[4]D4 Gallon Forecast'!M102+'[4]D6 Gallon Forecast'!M63+'[4]D6 Gallon Forecast'!M79</f>
        <v>117542663</v>
      </c>
      <c r="N36" s="35">
        <f>'[4]D4 Gallon Forecast'!N70+'[4]D4 Gallon Forecast'!N86+'[4]D4 Gallon Forecast'!N102+'[4]D6 Gallon Forecast'!N63+'[4]D6 Gallon Forecast'!N79</f>
        <v>117186475</v>
      </c>
      <c r="O36" s="35">
        <f>'[4]D4 Gallon Forecast'!O70+'[4]D4 Gallon Forecast'!O86+'[4]D4 Gallon Forecast'!O102+'[4]D6 Gallon Forecast'!O63+'[4]D6 Gallon Forecast'!O79</f>
        <v>155538920</v>
      </c>
      <c r="P36" s="35">
        <f>'[4]D4 Gallon Forecast'!P70+'[4]D4 Gallon Forecast'!P86+'[4]D4 Gallon Forecast'!P102+'[4]D6 Gallon Forecast'!P63+'[4]D6 Gallon Forecast'!P79</f>
        <v>177754856</v>
      </c>
      <c r="Q36" s="36">
        <f>'[4]D4 Gallon Forecast'!Q70+'[4]D4 Gallon Forecast'!Q86+'[4]D4 Gallon Forecast'!Q102+'[4]D6 Gallon Forecast'!Q63+'[4]D6 Gallon Forecast'!Q79</f>
        <v>80131009</v>
      </c>
      <c r="R36" s="36">
        <f>'[4]D4 Gallon Forecast'!R70+'[4]D4 Gallon Forecast'!R86+'[4]D4 Gallon Forecast'!R102+'[4]D6 Gallon Forecast'!R63+'[4]D6 Gallon Forecast'!R79</f>
        <v>116735753.42343728</v>
      </c>
      <c r="S36" s="36">
        <f>'[4]D4 Gallon Forecast'!S70+'[4]D4 Gallon Forecast'!S86+'[4]D4 Gallon Forecast'!S102+'[4]D6 Gallon Forecast'!S63+'[4]D6 Gallon Forecast'!S79</f>
        <v>111136676.44483152</v>
      </c>
      <c r="T36" s="36">
        <f>'[4]D4 Gallon Forecast'!T70+'[4]D4 Gallon Forecast'!T86+'[4]D4 Gallon Forecast'!T102+'[4]D6 Gallon Forecast'!T63+'[4]D6 Gallon Forecast'!T79</f>
        <v>93702893.953921124</v>
      </c>
      <c r="U36" s="36">
        <f>'[4]D4 Gallon Forecast'!U70+'[4]D4 Gallon Forecast'!U86+'[4]D4 Gallon Forecast'!U102+'[4]D6 Gallon Forecast'!U63+'[4]D6 Gallon Forecast'!U79</f>
        <v>104257852.92893907</v>
      </c>
      <c r="V36" s="36">
        <f>'[4]D4 Gallon Forecast'!V70+'[4]D4 Gallon Forecast'!V86+'[4]D4 Gallon Forecast'!V102+'[4]D6 Gallon Forecast'!V63+'[4]D6 Gallon Forecast'!V79</f>
        <v>98362459.113332763</v>
      </c>
      <c r="W36" s="36">
        <f>'[4]D4 Gallon Forecast'!W70+'[4]D4 Gallon Forecast'!W86+'[4]D4 Gallon Forecast'!W102+'[4]D6 Gallon Forecast'!W63+'[4]D6 Gallon Forecast'!W79</f>
        <v>104321714.90688652</v>
      </c>
      <c r="X36" s="36">
        <f>'[4]D4 Gallon Forecast'!X70+'[4]D4 Gallon Forecast'!X86+'[4]D4 Gallon Forecast'!X102+'[4]D6 Gallon Forecast'!X63+'[4]D6 Gallon Forecast'!X79</f>
        <v>106606432.20122485</v>
      </c>
      <c r="Y36" s="36">
        <f>'[4]D4 Gallon Forecast'!Y70+'[4]D4 Gallon Forecast'!Y86+'[4]D4 Gallon Forecast'!Y102+'[4]D6 Gallon Forecast'!Y63+'[4]D6 Gallon Forecast'!Y79</f>
        <v>99849275.286737859</v>
      </c>
      <c r="Z36" s="36">
        <f>'[4]D4 Gallon Forecast'!Z70+'[4]D4 Gallon Forecast'!Z86+'[4]D4 Gallon Forecast'!Z102+'[4]D6 Gallon Forecast'!Z63+'[4]D6 Gallon Forecast'!Z79</f>
        <v>97002482.147608131</v>
      </c>
      <c r="AA36" s="36">
        <f>'[4]D4 Gallon Forecast'!AA70+'[4]D4 Gallon Forecast'!AA86+'[4]D4 Gallon Forecast'!AA102+'[4]D6 Gallon Forecast'!AA63+'[4]D6 Gallon Forecast'!AA79</f>
        <v>92218164.860193208</v>
      </c>
      <c r="AB36" s="36">
        <f>'[4]D4 Gallon Forecast'!AB70+'[4]D4 Gallon Forecast'!AB86+'[4]D4 Gallon Forecast'!AB102+'[4]D6 Gallon Forecast'!AB63+'[4]D6 Gallon Forecast'!AB79</f>
        <v>77685714.91191645</v>
      </c>
      <c r="AC36" s="36">
        <f>'[4]D4 Gallon Forecast'!AC70+'[4]D4 Gallon Forecast'!AC86+'[4]D4 Gallon Forecast'!AC102+'[4]D6 Gallon Forecast'!AC63+'[4]D6 Gallon Forecast'!AC79</f>
        <v>62964775.581957929</v>
      </c>
      <c r="AD36" s="36">
        <f>'[4]D4 Gallon Forecast'!AD70+'[4]D4 Gallon Forecast'!AD86+'[4]D4 Gallon Forecast'!AD102+'[4]D6 Gallon Forecast'!AD63+'[4]D6 Gallon Forecast'!AD79</f>
        <v>60395029.498308867</v>
      </c>
      <c r="AE36" s="36">
        <f>'[4]D4 Gallon Forecast'!AE70+'[4]D4 Gallon Forecast'!AE86+'[4]D4 Gallon Forecast'!AE102+'[4]D6 Gallon Forecast'!AE63+'[4]D6 Gallon Forecast'!AE79</f>
        <v>50021769.856224149</v>
      </c>
      <c r="AF36" s="36">
        <f>'[4]D4 Gallon Forecast'!AF70+'[4]D4 Gallon Forecast'!AF86+'[4]D4 Gallon Forecast'!AF102+'[4]D6 Gallon Forecast'!AF63+'[4]D6 Gallon Forecast'!AF79</f>
        <v>31816059.070206404</v>
      </c>
      <c r="AG36" s="36">
        <f>'[4]D4 Gallon Forecast'!AG70+'[4]D4 Gallon Forecast'!AG86+'[4]D4 Gallon Forecast'!AG102+'[4]D6 Gallon Forecast'!AG63+'[4]D6 Gallon Forecast'!AG79</f>
        <v>34816716.776641458</v>
      </c>
      <c r="AH36" s="36">
        <f>'[4]D4 Gallon Forecast'!AH70+'[4]D4 Gallon Forecast'!AH86+'[4]D4 Gallon Forecast'!AH102+'[4]D6 Gallon Forecast'!AH63+'[4]D6 Gallon Forecast'!AH79</f>
        <v>34286349.823174313</v>
      </c>
      <c r="AI36" s="36">
        <f>'[4]D4 Gallon Forecast'!AI70+'[4]D4 Gallon Forecast'!AI86+'[4]D4 Gallon Forecast'!AI102+'[4]D6 Gallon Forecast'!AI63+'[4]D6 Gallon Forecast'!AI79</f>
        <v>29103766.904609133</v>
      </c>
      <c r="AJ36" s="36">
        <f>'[4]D4 Gallon Forecast'!AJ70+'[4]D4 Gallon Forecast'!AJ86+'[4]D4 Gallon Forecast'!AJ102+'[4]D6 Gallon Forecast'!AJ63+'[4]D6 Gallon Forecast'!AJ79</f>
        <v>29355008.013333023</v>
      </c>
      <c r="AK36" s="36">
        <f>'[4]D4 Gallon Forecast'!AK70+'[4]D4 Gallon Forecast'!AK86+'[4]D4 Gallon Forecast'!AK102+'[4]D6 Gallon Forecast'!AK63+'[4]D6 Gallon Forecast'!AK79</f>
        <v>29456631.013261832</v>
      </c>
      <c r="AL36" s="36">
        <f>'[4]D4 Gallon Forecast'!AL70+'[4]D4 Gallon Forecast'!AL86+'[4]D4 Gallon Forecast'!AL102+'[4]D6 Gallon Forecast'!AL63+'[4]D6 Gallon Forecast'!AL79</f>
        <v>29385317.33173418</v>
      </c>
      <c r="AM36" s="36">
        <f>'[4]D4 Gallon Forecast'!AM70+'[4]D4 Gallon Forecast'!AM86+'[4]D4 Gallon Forecast'!AM102+'[4]D6 Gallon Forecast'!AM63+'[4]D6 Gallon Forecast'!AM79</f>
        <v>29393683.871061988</v>
      </c>
      <c r="AN36" s="36">
        <f>'[4]D4 Gallon Forecast'!AN70+'[4]D4 Gallon Forecast'!AN86+'[4]D4 Gallon Forecast'!AN102+'[4]D6 Gallon Forecast'!AN63+'[4]D6 Gallon Forecast'!AN79</f>
        <v>29791606.991660282</v>
      </c>
      <c r="AO36" s="36">
        <f>'[4]D4 Gallon Forecast'!AO70+'[4]D4 Gallon Forecast'!AO86+'[4]D4 Gallon Forecast'!AO102+'[4]D6 Gallon Forecast'!AO63+'[4]D6 Gallon Forecast'!AO79</f>
        <v>30212667.274375807</v>
      </c>
      <c r="AP36" s="36">
        <f>'[4]D4 Gallon Forecast'!AP70+'[4]D4 Gallon Forecast'!AP86+'[4]D4 Gallon Forecast'!AP102+'[4]D6 Gallon Forecast'!AP63+'[4]D6 Gallon Forecast'!AP79</f>
        <v>30766220.221087627</v>
      </c>
      <c r="AQ36" s="36"/>
      <c r="AR36" s="35">
        <f>O36/28</f>
        <v>5554961.4285714282</v>
      </c>
      <c r="AS36" s="35">
        <f>N36/28</f>
        <v>4185231.25</v>
      </c>
      <c r="AT36" s="35">
        <f>M36/28</f>
        <v>4197952.25</v>
      </c>
      <c r="AU36" s="35">
        <f>L36/29</f>
        <v>4810341.5517241377</v>
      </c>
      <c r="AV36" s="35">
        <f t="shared" ref="AV36:AV46" si="45">AR36-AS36</f>
        <v>1369730.1785714282</v>
      </c>
      <c r="AW36" s="35">
        <f>SUM(J36:N36)/141</f>
        <v>4465593.4468085105</v>
      </c>
      <c r="AX36" s="35">
        <f t="shared" ref="AX36:AX46" si="46">AR36-AW36</f>
        <v>1089367.9817629177</v>
      </c>
      <c r="AZ36" s="35">
        <v>130292203.94799341</v>
      </c>
      <c r="BA36" s="35">
        <f>L36-AZ36</f>
        <v>9207701.0520065874</v>
      </c>
      <c r="BB36" s="35">
        <f>'[4]D4 Gallon Forecast'!DK70+'[4]D4 Gallon Forecast'!DK102+'[4]D6 Gallon Forecast'!BK63+'[4]D6 Gallon Forecast'!BK79</f>
        <v>0</v>
      </c>
      <c r="BC36" s="35">
        <f t="shared" si="43"/>
        <v>155538920</v>
      </c>
      <c r="BP36" s="83">
        <f>B36/28/1000000</f>
        <v>1.9236857142857142E-2</v>
      </c>
      <c r="BQ36" s="83">
        <f>C36/28/1000000</f>
        <v>1.5311385357142857</v>
      </c>
      <c r="BR36" s="83">
        <f>D36/29/1000000</f>
        <v>2.6420548620689654</v>
      </c>
      <c r="BS36" s="83">
        <f>E36/28/1000000</f>
        <v>2.7708968571428572</v>
      </c>
      <c r="BT36" s="83">
        <f>F36/28/1000000</f>
        <v>2.6300625357142859</v>
      </c>
      <c r="BU36" s="83">
        <f>G36/28/1000000</f>
        <v>2.423590785714286</v>
      </c>
      <c r="BV36" s="83">
        <f>H36/29/1000000</f>
        <v>3.9370695172413792</v>
      </c>
      <c r="BW36" s="83">
        <f>I36/28/1000000</f>
        <v>3.8660136785714285</v>
      </c>
      <c r="BX36" s="83">
        <f>J36/28/1000000</f>
        <v>4.5400340357142852</v>
      </c>
      <c r="BY36" s="83">
        <f>K36/28/1000000</f>
        <v>4.5820957142857148</v>
      </c>
      <c r="BZ36" s="83">
        <f>L36/29/1000000</f>
        <v>4.8103415517241377</v>
      </c>
      <c r="CA36" s="83">
        <f>M36/28/1000000</f>
        <v>4.1979522500000002</v>
      </c>
      <c r="CB36" s="83">
        <f>N36/28/1000000</f>
        <v>4.1852312500000002</v>
      </c>
      <c r="CC36" s="83">
        <f>O36/28/1000000</f>
        <v>5.5549614285714286</v>
      </c>
      <c r="CD36" s="83">
        <f t="shared" ref="CD36:CD46" si="47">AVERAGE(BX36:CB36)</f>
        <v>4.4631309603448273</v>
      </c>
      <c r="CE36" s="83">
        <f t="shared" ref="CE36:CE46" si="48">CC36-CD36</f>
        <v>1.0918304682266013</v>
      </c>
    </row>
    <row r="37" spans="1:83" x14ac:dyDescent="0.2">
      <c r="A37" s="32" t="s">
        <v>72</v>
      </c>
      <c r="B37" s="35">
        <f>'[4]D4 Gallon Forecast'!B71+'[4]D4 Gallon Forecast'!B87+'[4]D4 Gallon Forecast'!B103+'[4]D6 Gallon Forecast'!B64+'[4]D6 Gallon Forecast'!B80</f>
        <v>812805</v>
      </c>
      <c r="C37" s="35">
        <f>'[4]D4 Gallon Forecast'!C71+'[4]D4 Gallon Forecast'!C87+'[4]D4 Gallon Forecast'!C103+'[4]D6 Gallon Forecast'!C64+'[4]D6 Gallon Forecast'!C80</f>
        <v>67974220</v>
      </c>
      <c r="D37" s="35">
        <f>'[4]D4 Gallon Forecast'!D71+'[4]D4 Gallon Forecast'!D87+'[4]D4 Gallon Forecast'!D103+'[4]D6 Gallon Forecast'!D64+'[4]D6 Gallon Forecast'!D80</f>
        <v>100594710</v>
      </c>
      <c r="E37" s="35">
        <f>'[4]D4 Gallon Forecast'!E71+'[4]D4 Gallon Forecast'!E87+'[4]D4 Gallon Forecast'!E103+'[4]D6 Gallon Forecast'!E64+'[4]D6 Gallon Forecast'!E80</f>
        <v>110403770</v>
      </c>
      <c r="F37" s="35">
        <f>'[4]D4 Gallon Forecast'!F71+'[4]D4 Gallon Forecast'!F87+'[4]D4 Gallon Forecast'!F103+'[4]D6 Gallon Forecast'!F64+'[4]D6 Gallon Forecast'!F80</f>
        <v>103903722</v>
      </c>
      <c r="G37" s="35">
        <f>'[4]D4 Gallon Forecast'!G71+'[4]D4 Gallon Forecast'!G87+'[4]D4 Gallon Forecast'!G103+'[4]D6 Gallon Forecast'!G64+'[4]D6 Gallon Forecast'!G80</f>
        <v>100915574</v>
      </c>
      <c r="H37" s="35">
        <f>'[4]D4 Gallon Forecast'!H71+'[4]D4 Gallon Forecast'!H87+'[4]D4 Gallon Forecast'!H103+'[4]D6 Gallon Forecast'!H64+'[4]D6 Gallon Forecast'!H80</f>
        <v>135261740</v>
      </c>
      <c r="I37" s="35">
        <f>'[4]D4 Gallon Forecast'!I71+'[4]D4 Gallon Forecast'!I87+'[4]D4 Gallon Forecast'!I103+'[4]D6 Gallon Forecast'!I64+'[4]D6 Gallon Forecast'!I80</f>
        <v>152048658</v>
      </c>
      <c r="J37" s="35">
        <f>'[4]D4 Gallon Forecast'!J71+'[4]D4 Gallon Forecast'!J87+'[4]D4 Gallon Forecast'!J103+'[4]D6 Gallon Forecast'!J64+'[4]D6 Gallon Forecast'!J80</f>
        <v>160842293</v>
      </c>
      <c r="K37" s="35">
        <f>'[4]D4 Gallon Forecast'!K71+'[4]D4 Gallon Forecast'!K87+'[4]D4 Gallon Forecast'!K103+'[4]D6 Gallon Forecast'!K64+'[4]D6 Gallon Forecast'!K80</f>
        <v>159718814</v>
      </c>
      <c r="L37" s="35">
        <f>'[4]D4 Gallon Forecast'!L71+'[4]D4 Gallon Forecast'!L87+'[4]D4 Gallon Forecast'!L103+'[4]D6 Gallon Forecast'!L64+'[4]D6 Gallon Forecast'!L80</f>
        <v>168671952</v>
      </c>
      <c r="M37" s="35">
        <f>'[4]D4 Gallon Forecast'!M71+'[4]D4 Gallon Forecast'!M87+'[4]D4 Gallon Forecast'!M103+'[4]D6 Gallon Forecast'!M64+'[4]D6 Gallon Forecast'!M80</f>
        <v>165487926</v>
      </c>
      <c r="N37" s="35">
        <f>'[4]D4 Gallon Forecast'!N71+'[4]D4 Gallon Forecast'!N87+'[4]D4 Gallon Forecast'!N103+'[4]D6 Gallon Forecast'!N64+'[4]D6 Gallon Forecast'!N80</f>
        <v>158552137</v>
      </c>
      <c r="O37" s="35">
        <f>'[4]D4 Gallon Forecast'!O71+'[4]D4 Gallon Forecast'!O87+'[4]D4 Gallon Forecast'!O103+'[4]D6 Gallon Forecast'!O64+'[4]D6 Gallon Forecast'!O80</f>
        <v>175679732</v>
      </c>
      <c r="P37" s="35">
        <f>'[4]D4 Gallon Forecast'!P71+'[4]D4 Gallon Forecast'!P87+'[4]D4 Gallon Forecast'!P103+'[4]D6 Gallon Forecast'!P64+'[4]D6 Gallon Forecast'!P80</f>
        <v>163379961</v>
      </c>
      <c r="Q37" s="36">
        <f>'[4]D4 Gallon Forecast'!Q71+'[4]D4 Gallon Forecast'!Q87+'[4]D4 Gallon Forecast'!Q103+'[4]D6 Gallon Forecast'!Q64+'[4]D6 Gallon Forecast'!Q80</f>
        <v>99739018</v>
      </c>
      <c r="R37" s="36">
        <f>'[4]D4 Gallon Forecast'!R71+'[4]D4 Gallon Forecast'!R87+'[4]D4 Gallon Forecast'!R103+'[4]D6 Gallon Forecast'!R64+'[4]D6 Gallon Forecast'!R80</f>
        <v>127379177.69004369</v>
      </c>
      <c r="S37" s="36">
        <f>'[4]D4 Gallon Forecast'!S71+'[4]D4 Gallon Forecast'!S87+'[4]D4 Gallon Forecast'!S103+'[4]D6 Gallon Forecast'!S64+'[4]D6 Gallon Forecast'!S80</f>
        <v>125604162.35638797</v>
      </c>
      <c r="T37" s="36">
        <f>'[4]D4 Gallon Forecast'!T71+'[4]D4 Gallon Forecast'!T87+'[4]D4 Gallon Forecast'!T103+'[4]D6 Gallon Forecast'!T64+'[4]D6 Gallon Forecast'!T80</f>
        <v>101515910.40107201</v>
      </c>
      <c r="U37" s="36">
        <f>'[4]D4 Gallon Forecast'!U71+'[4]D4 Gallon Forecast'!U87+'[4]D4 Gallon Forecast'!U103+'[4]D6 Gallon Forecast'!U64+'[4]D6 Gallon Forecast'!U80</f>
        <v>111820169.8819562</v>
      </c>
      <c r="V37" s="36">
        <f>'[4]D4 Gallon Forecast'!V71+'[4]D4 Gallon Forecast'!V87+'[4]D4 Gallon Forecast'!V103+'[4]D6 Gallon Forecast'!V64+'[4]D6 Gallon Forecast'!V80</f>
        <v>110000222.02375217</v>
      </c>
      <c r="W37" s="36">
        <f>'[4]D4 Gallon Forecast'!W71+'[4]D4 Gallon Forecast'!W87+'[4]D4 Gallon Forecast'!W103+'[4]D6 Gallon Forecast'!W64+'[4]D6 Gallon Forecast'!W80</f>
        <v>114712682.54379082</v>
      </c>
      <c r="X37" s="36">
        <f>'[4]D4 Gallon Forecast'!X71+'[4]D4 Gallon Forecast'!X87+'[4]D4 Gallon Forecast'!X103+'[4]D6 Gallon Forecast'!X64+'[4]D6 Gallon Forecast'!X80</f>
        <v>118145512.24459578</v>
      </c>
      <c r="Y37" s="36">
        <f>'[4]D4 Gallon Forecast'!Y71+'[4]D4 Gallon Forecast'!Y87+'[4]D4 Gallon Forecast'!Y103+'[4]D6 Gallon Forecast'!Y64+'[4]D6 Gallon Forecast'!Y80</f>
        <v>110168424.97985919</v>
      </c>
      <c r="Z37" s="36">
        <f>'[4]D4 Gallon Forecast'!Z71+'[4]D4 Gallon Forecast'!Z87+'[4]D4 Gallon Forecast'!Z103+'[4]D6 Gallon Forecast'!Z64+'[4]D6 Gallon Forecast'!Z80</f>
        <v>107157442.19556621</v>
      </c>
      <c r="AA37" s="36">
        <f>'[4]D4 Gallon Forecast'!AA71+'[4]D4 Gallon Forecast'!AA87+'[4]D4 Gallon Forecast'!AA103+'[4]D6 Gallon Forecast'!AA64+'[4]D6 Gallon Forecast'!AA80</f>
        <v>102456780.92157562</v>
      </c>
      <c r="AB37" s="36">
        <f>'[4]D4 Gallon Forecast'!AB71+'[4]D4 Gallon Forecast'!AB87+'[4]D4 Gallon Forecast'!AB103+'[4]D6 Gallon Forecast'!AB64+'[4]D6 Gallon Forecast'!AB80</f>
        <v>86118395.905189708</v>
      </c>
      <c r="AC37" s="36">
        <f>'[4]D4 Gallon Forecast'!AC71+'[4]D4 Gallon Forecast'!AC87+'[4]D4 Gallon Forecast'!AC103+'[4]D6 Gallon Forecast'!AC64+'[4]D6 Gallon Forecast'!AC80</f>
        <v>69730781.388370931</v>
      </c>
      <c r="AD37" s="36">
        <f>'[4]D4 Gallon Forecast'!AD71+'[4]D4 Gallon Forecast'!AD87+'[4]D4 Gallon Forecast'!AD103+'[4]D6 Gallon Forecast'!AD64+'[4]D6 Gallon Forecast'!AD80</f>
        <v>67193791.216317296</v>
      </c>
      <c r="AE37" s="36">
        <f>'[4]D4 Gallon Forecast'!AE71+'[4]D4 Gallon Forecast'!AE87+'[4]D4 Gallon Forecast'!AE103+'[4]D6 Gallon Forecast'!AE64+'[4]D6 Gallon Forecast'!AE80</f>
        <v>55673105.382687449</v>
      </c>
      <c r="AF37" s="36">
        <f>'[4]D4 Gallon Forecast'!AF71+'[4]D4 Gallon Forecast'!AF87+'[4]D4 Gallon Forecast'!AF103+'[4]D6 Gallon Forecast'!AF64+'[4]D6 Gallon Forecast'!AF80</f>
        <v>34857812.145582527</v>
      </c>
      <c r="AG37" s="36">
        <f>'[4]D4 Gallon Forecast'!AG71+'[4]D4 Gallon Forecast'!AG87+'[4]D4 Gallon Forecast'!AG103+'[4]D6 Gallon Forecast'!AG64+'[4]D6 Gallon Forecast'!AG80</f>
        <v>38259896.288697079</v>
      </c>
      <c r="AH37" s="36">
        <f>'[4]D4 Gallon Forecast'!AH71+'[4]D4 Gallon Forecast'!AH87+'[4]D4 Gallon Forecast'!AH103+'[4]D6 Gallon Forecast'!AH64+'[4]D6 Gallon Forecast'!AH80</f>
        <v>37656245.386700019</v>
      </c>
      <c r="AI37" s="36">
        <f>'[4]D4 Gallon Forecast'!AI71+'[4]D4 Gallon Forecast'!AI87+'[4]D4 Gallon Forecast'!AI103+'[4]D6 Gallon Forecast'!AI64+'[4]D6 Gallon Forecast'!AI80</f>
        <v>31726496.809763901</v>
      </c>
      <c r="AJ37" s="36">
        <f>'[4]D4 Gallon Forecast'!AJ71+'[4]D4 Gallon Forecast'!AJ87+'[4]D4 Gallon Forecast'!AJ103+'[4]D6 Gallon Forecast'!AJ64+'[4]D6 Gallon Forecast'!AJ80</f>
        <v>32019368.172032531</v>
      </c>
      <c r="AK37" s="36">
        <f>'[4]D4 Gallon Forecast'!AK71+'[4]D4 Gallon Forecast'!AK87+'[4]D4 Gallon Forecast'!AK103+'[4]D6 Gallon Forecast'!AK64+'[4]D6 Gallon Forecast'!AK80</f>
        <v>32135600.526573427</v>
      </c>
      <c r="AL37" s="36">
        <f>'[4]D4 Gallon Forecast'!AL71+'[4]D4 Gallon Forecast'!AL87+'[4]D4 Gallon Forecast'!AL103+'[4]D6 Gallon Forecast'!AL64+'[4]D6 Gallon Forecast'!AL80</f>
        <v>32049662.29216785</v>
      </c>
      <c r="AM37" s="36">
        <f>'[4]D4 Gallon Forecast'!AM71+'[4]D4 Gallon Forecast'!AM87+'[4]D4 Gallon Forecast'!AM103+'[4]D6 Gallon Forecast'!AM64+'[4]D6 Gallon Forecast'!AM80</f>
        <v>32060299.539093003</v>
      </c>
      <c r="AN37" s="36">
        <f>'[4]D4 Gallon Forecast'!AN71+'[4]D4 Gallon Forecast'!AN87+'[4]D4 Gallon Forecast'!AN103+'[4]D6 Gallon Forecast'!AN64+'[4]D6 Gallon Forecast'!AN80</f>
        <v>32516417.335717149</v>
      </c>
      <c r="AO37" s="36">
        <f>'[4]D4 Gallon Forecast'!AO71+'[4]D4 Gallon Forecast'!AO87+'[4]D4 Gallon Forecast'!AO103+'[4]D6 Gallon Forecast'!AO64+'[4]D6 Gallon Forecast'!AO80</f>
        <v>32998845.366411284</v>
      </c>
      <c r="AP37" s="36">
        <f>'[4]D4 Gallon Forecast'!AP71+'[4]D4 Gallon Forecast'!AP87+'[4]D4 Gallon Forecast'!AP103+'[4]D6 Gallon Forecast'!AP64+'[4]D6 Gallon Forecast'!AP80</f>
        <v>33631940.378426209</v>
      </c>
      <c r="AQ37" s="36"/>
      <c r="AR37" s="35">
        <f>O37/31</f>
        <v>5667088.1290322579</v>
      </c>
      <c r="AS37" s="35">
        <f>N37/31</f>
        <v>5114585.064516129</v>
      </c>
      <c r="AT37" s="35">
        <f>M37/31</f>
        <v>5338320.1935483869</v>
      </c>
      <c r="AU37" s="35">
        <f>L37/31</f>
        <v>5441030.7096774196</v>
      </c>
      <c r="AV37" s="35">
        <f t="shared" si="45"/>
        <v>552503.06451612897</v>
      </c>
      <c r="AW37" s="35">
        <f>SUM(J37:N37)/5/31</f>
        <v>5246923.3677419359</v>
      </c>
      <c r="AX37" s="35">
        <f t="shared" si="46"/>
        <v>420164.76129032206</v>
      </c>
      <c r="AZ37" s="35">
        <v>170144510.09231934</v>
      </c>
      <c r="BA37" s="35">
        <f>L37-AZ37</f>
        <v>-1472558.0923193395</v>
      </c>
      <c r="BB37" s="35">
        <f>'[4]D4 Gallon Forecast'!DK71+'[4]D4 Gallon Forecast'!DK103+'[4]D6 Gallon Forecast'!BK64+'[4]D6 Gallon Forecast'!BK80</f>
        <v>0</v>
      </c>
      <c r="BC37" s="35">
        <f t="shared" si="43"/>
        <v>175679732</v>
      </c>
      <c r="BP37" s="83">
        <f t="shared" ref="BP37:CC37" si="49">B37/31/1000000</f>
        <v>2.6219516129032259E-2</v>
      </c>
      <c r="BQ37" s="83">
        <f t="shared" si="49"/>
        <v>2.1927167741935487</v>
      </c>
      <c r="BR37" s="83">
        <f t="shared" si="49"/>
        <v>3.2449906451612902</v>
      </c>
      <c r="BS37" s="83">
        <f t="shared" si="49"/>
        <v>3.5614119354838709</v>
      </c>
      <c r="BT37" s="83">
        <f t="shared" si="49"/>
        <v>3.3517329677419356</v>
      </c>
      <c r="BU37" s="83">
        <f t="shared" si="49"/>
        <v>3.2553410967741936</v>
      </c>
      <c r="BV37" s="83">
        <f t="shared" si="49"/>
        <v>4.3632819354838714</v>
      </c>
      <c r="BW37" s="83">
        <f t="shared" si="49"/>
        <v>4.904795419354838</v>
      </c>
      <c r="BX37" s="83">
        <f t="shared" si="49"/>
        <v>5.1884610645161287</v>
      </c>
      <c r="BY37" s="83">
        <f t="shared" si="49"/>
        <v>5.1522198064516127</v>
      </c>
      <c r="BZ37" s="83">
        <f t="shared" si="49"/>
        <v>5.4410307096774195</v>
      </c>
      <c r="CA37" s="83">
        <f t="shared" si="49"/>
        <v>5.3383201935483866</v>
      </c>
      <c r="CB37" s="83">
        <f t="shared" si="49"/>
        <v>5.1145850645161293</v>
      </c>
      <c r="CC37" s="83">
        <f t="shared" si="49"/>
        <v>5.6670881290322583</v>
      </c>
      <c r="CD37" s="83">
        <f t="shared" si="47"/>
        <v>5.2469233677419354</v>
      </c>
      <c r="CE37" s="83">
        <f t="shared" si="48"/>
        <v>0.42016476129032299</v>
      </c>
    </row>
    <row r="38" spans="1:83" x14ac:dyDescent="0.2">
      <c r="A38" s="32" t="s">
        <v>73</v>
      </c>
      <c r="B38" s="35">
        <f>'[4]D4 Gallon Forecast'!B72+'[4]D4 Gallon Forecast'!B88+'[4]D4 Gallon Forecast'!B104+'[4]D6 Gallon Forecast'!B65+'[4]D6 Gallon Forecast'!B81</f>
        <v>522149</v>
      </c>
      <c r="C38" s="35">
        <f>'[4]D4 Gallon Forecast'!C72+'[4]D4 Gallon Forecast'!C88+'[4]D4 Gallon Forecast'!C104+'[4]D6 Gallon Forecast'!C65+'[4]D6 Gallon Forecast'!C81</f>
        <v>72638153</v>
      </c>
      <c r="D38" s="35">
        <f>'[4]D4 Gallon Forecast'!D72+'[4]D4 Gallon Forecast'!D88+'[4]D4 Gallon Forecast'!D104+'[4]D6 Gallon Forecast'!D65+'[4]D6 Gallon Forecast'!D81</f>
        <v>95239341</v>
      </c>
      <c r="E38" s="35">
        <f>'[4]D4 Gallon Forecast'!E72+'[4]D4 Gallon Forecast'!E88+'[4]D4 Gallon Forecast'!E104+'[4]D6 Gallon Forecast'!E65+'[4]D6 Gallon Forecast'!E81</f>
        <v>115749935</v>
      </c>
      <c r="F38" s="35">
        <f>'[4]D4 Gallon Forecast'!F72+'[4]D4 Gallon Forecast'!F88+'[4]D4 Gallon Forecast'!F104+'[4]D6 Gallon Forecast'!F65+'[4]D6 Gallon Forecast'!F81</f>
        <v>109109944</v>
      </c>
      <c r="G38" s="35">
        <f>'[4]D4 Gallon Forecast'!G72+'[4]D4 Gallon Forecast'!G88+'[4]D4 Gallon Forecast'!G104+'[4]D6 Gallon Forecast'!G65+'[4]D6 Gallon Forecast'!G81</f>
        <v>118563995</v>
      </c>
      <c r="H38" s="35">
        <f>'[4]D4 Gallon Forecast'!H72+'[4]D4 Gallon Forecast'!H88+'[4]D4 Gallon Forecast'!H104+'[4]D6 Gallon Forecast'!H65+'[4]D6 Gallon Forecast'!H81</f>
        <v>155453802</v>
      </c>
      <c r="I38" s="35">
        <f>'[4]D4 Gallon Forecast'!I72+'[4]D4 Gallon Forecast'!I88+'[4]D4 Gallon Forecast'!I104+'[4]D6 Gallon Forecast'!I65+'[4]D6 Gallon Forecast'!I81</f>
        <v>145178416</v>
      </c>
      <c r="J38" s="35">
        <f>'[4]D4 Gallon Forecast'!J72+'[4]D4 Gallon Forecast'!J88+'[4]D4 Gallon Forecast'!J104+'[4]D6 Gallon Forecast'!J65+'[4]D6 Gallon Forecast'!J81</f>
        <v>160573861</v>
      </c>
      <c r="K38" s="35">
        <f>'[4]D4 Gallon Forecast'!K72+'[4]D4 Gallon Forecast'!K88+'[4]D4 Gallon Forecast'!K104+'[4]D6 Gallon Forecast'!K65+'[4]D6 Gallon Forecast'!K81</f>
        <v>182419876</v>
      </c>
      <c r="L38" s="35">
        <f>'[4]D4 Gallon Forecast'!L72+'[4]D4 Gallon Forecast'!L88+'[4]D4 Gallon Forecast'!L104+'[4]D6 Gallon Forecast'!L65+'[4]D6 Gallon Forecast'!L81</f>
        <v>168039266</v>
      </c>
      <c r="M38" s="35">
        <f>'[4]D4 Gallon Forecast'!M72+'[4]D4 Gallon Forecast'!M88+'[4]D4 Gallon Forecast'!M104+'[4]D6 Gallon Forecast'!M65+'[4]D6 Gallon Forecast'!M81</f>
        <v>161733115</v>
      </c>
      <c r="N38" s="35">
        <f>'[4]D4 Gallon Forecast'!N72+'[4]D4 Gallon Forecast'!N88+'[4]D4 Gallon Forecast'!N104+'[4]D6 Gallon Forecast'!N65+'[4]D6 Gallon Forecast'!N81</f>
        <v>174159602</v>
      </c>
      <c r="O38" s="35">
        <f>'[4]D4 Gallon Forecast'!O72+'[4]D4 Gallon Forecast'!O88+'[4]D4 Gallon Forecast'!O104+'[4]D6 Gallon Forecast'!O65+'[4]D6 Gallon Forecast'!O81</f>
        <v>168799978</v>
      </c>
      <c r="P38" s="35">
        <f>'[4]D4 Gallon Forecast'!P72+'[4]D4 Gallon Forecast'!P88+'[4]D4 Gallon Forecast'!P104+'[4]D6 Gallon Forecast'!P65+'[4]D6 Gallon Forecast'!P81</f>
        <v>184411893</v>
      </c>
      <c r="Q38" s="36">
        <f>'[4]D4 Gallon Forecast'!Q72+'[4]D4 Gallon Forecast'!Q88+'[4]D4 Gallon Forecast'!Q104+'[4]D6 Gallon Forecast'!Q65+'[4]D6 Gallon Forecast'!Q81</f>
        <v>164272431.20525539</v>
      </c>
      <c r="R38" s="36">
        <f>'[4]D4 Gallon Forecast'!R72+'[4]D4 Gallon Forecast'!R88+'[4]D4 Gallon Forecast'!R104+'[4]D6 Gallon Forecast'!R65+'[4]D6 Gallon Forecast'!R81</f>
        <v>140581373.30061626</v>
      </c>
      <c r="S38" s="36">
        <f>'[4]D4 Gallon Forecast'!S72+'[4]D4 Gallon Forecast'!S88+'[4]D4 Gallon Forecast'!S104+'[4]D6 Gallon Forecast'!S65+'[4]D6 Gallon Forecast'!S81</f>
        <v>142349116.51119152</v>
      </c>
      <c r="T38" s="36">
        <f>'[4]D4 Gallon Forecast'!T72+'[4]D4 Gallon Forecast'!T88+'[4]D4 Gallon Forecast'!T104+'[4]D6 Gallon Forecast'!T65+'[4]D6 Gallon Forecast'!T81</f>
        <v>117206032.85977118</v>
      </c>
      <c r="U38" s="36">
        <f>'[4]D4 Gallon Forecast'!U72+'[4]D4 Gallon Forecast'!U88+'[4]D4 Gallon Forecast'!U104+'[4]D6 Gallon Forecast'!U65+'[4]D6 Gallon Forecast'!U81</f>
        <v>134662179.14529213</v>
      </c>
      <c r="V38" s="36">
        <f>'[4]D4 Gallon Forecast'!V72+'[4]D4 Gallon Forecast'!V88+'[4]D4 Gallon Forecast'!V104+'[4]D6 Gallon Forecast'!V65+'[4]D6 Gallon Forecast'!V81</f>
        <v>136155523.40861633</v>
      </c>
      <c r="W38" s="36">
        <f>'[4]D4 Gallon Forecast'!W72+'[4]D4 Gallon Forecast'!W88+'[4]D4 Gallon Forecast'!W104+'[4]D6 Gallon Forecast'!W65+'[4]D6 Gallon Forecast'!W81</f>
        <v>133618349.37333395</v>
      </c>
      <c r="X38" s="36">
        <f>'[4]D4 Gallon Forecast'!X72+'[4]D4 Gallon Forecast'!X88+'[4]D4 Gallon Forecast'!X104+'[4]D6 Gallon Forecast'!X65+'[4]D6 Gallon Forecast'!X81</f>
        <v>138116332.56778955</v>
      </c>
      <c r="Y38" s="36">
        <f>'[4]D4 Gallon Forecast'!Y72+'[4]D4 Gallon Forecast'!Y88+'[4]D4 Gallon Forecast'!Y104+'[4]D6 Gallon Forecast'!Y65+'[4]D6 Gallon Forecast'!Y81</f>
        <v>129720013.99987581</v>
      </c>
      <c r="Z38" s="36">
        <f>'[4]D4 Gallon Forecast'!Z72+'[4]D4 Gallon Forecast'!Z88+'[4]D4 Gallon Forecast'!Z104+'[4]D6 Gallon Forecast'!Z65+'[4]D6 Gallon Forecast'!Z81</f>
        <v>126938250.11546579</v>
      </c>
      <c r="AA38" s="36">
        <f>'[4]D4 Gallon Forecast'!AA72+'[4]D4 Gallon Forecast'!AA88+'[4]D4 Gallon Forecast'!AA104+'[4]D6 Gallon Forecast'!AA65+'[4]D6 Gallon Forecast'!AA81</f>
        <v>121006819.95617312</v>
      </c>
      <c r="AB38" s="36">
        <f>'[4]D4 Gallon Forecast'!AB72+'[4]D4 Gallon Forecast'!AB88+'[4]D4 Gallon Forecast'!AB104+'[4]D6 Gallon Forecast'!AB65+'[4]D6 Gallon Forecast'!AB81</f>
        <v>100983623.99308479</v>
      </c>
      <c r="AC38" s="36">
        <f>'[4]D4 Gallon Forecast'!AC72+'[4]D4 Gallon Forecast'!AC88+'[4]D4 Gallon Forecast'!AC104+'[4]D6 Gallon Forecast'!AC65+'[4]D6 Gallon Forecast'!AC81</f>
        <v>82355150.474598527</v>
      </c>
      <c r="AD38" s="36">
        <f>'[4]D4 Gallon Forecast'!AD72+'[4]D4 Gallon Forecast'!AD88+'[4]D4 Gallon Forecast'!AD104+'[4]D6 Gallon Forecast'!AD65+'[4]D6 Gallon Forecast'!AD81</f>
        <v>79035809.004430175</v>
      </c>
      <c r="AE38" s="36">
        <f>'[4]D4 Gallon Forecast'!AE72+'[4]D4 Gallon Forecast'!AE88+'[4]D4 Gallon Forecast'!AE104+'[4]D6 Gallon Forecast'!AE65+'[4]D6 Gallon Forecast'!AE81</f>
        <v>65758294.730636455</v>
      </c>
      <c r="AF38" s="36">
        <f>'[4]D4 Gallon Forecast'!AF72+'[4]D4 Gallon Forecast'!AF88+'[4]D4 Gallon Forecast'!AF104+'[4]D6 Gallon Forecast'!AF65+'[4]D6 Gallon Forecast'!AF81</f>
        <v>42457625.137778535</v>
      </c>
      <c r="AG38" s="36">
        <f>'[4]D4 Gallon Forecast'!AG72+'[4]D4 Gallon Forecast'!AG88+'[4]D4 Gallon Forecast'!AG104+'[4]D6 Gallon Forecast'!AG65+'[4]D6 Gallon Forecast'!AG81</f>
        <v>46212522.330314465</v>
      </c>
      <c r="AH38" s="36">
        <f>'[4]D4 Gallon Forecast'!AH72+'[4]D4 Gallon Forecast'!AH88+'[4]D4 Gallon Forecast'!AH104+'[4]D6 Gallon Forecast'!AH65+'[4]D6 Gallon Forecast'!AH81</f>
        <v>45630818.366726093</v>
      </c>
      <c r="AI38" s="36">
        <f>'[4]D4 Gallon Forecast'!AI72+'[4]D4 Gallon Forecast'!AI88+'[4]D4 Gallon Forecast'!AI104+'[4]D6 Gallon Forecast'!AI65+'[4]D6 Gallon Forecast'!AI81</f>
        <v>39103574.11569266</v>
      </c>
      <c r="AJ38" s="36">
        <f>'[4]D4 Gallon Forecast'!AJ72+'[4]D4 Gallon Forecast'!AJ88+'[4]D4 Gallon Forecast'!AJ104+'[4]D6 Gallon Forecast'!AJ65+'[4]D6 Gallon Forecast'!AJ81</f>
        <v>39453009.84513025</v>
      </c>
      <c r="AK38" s="36">
        <f>'[4]D4 Gallon Forecast'!AK72+'[4]D4 Gallon Forecast'!AK88+'[4]D4 Gallon Forecast'!AK104+'[4]D6 Gallon Forecast'!AK65+'[4]D6 Gallon Forecast'!AK81</f>
        <v>39569728.913190506</v>
      </c>
      <c r="AL38" s="36">
        <f>'[4]D4 Gallon Forecast'!AL72+'[4]D4 Gallon Forecast'!AL88+'[4]D4 Gallon Forecast'!AL104+'[4]D6 Gallon Forecast'!AL65+'[4]D6 Gallon Forecast'!AL81</f>
        <v>39467313.26061485</v>
      </c>
      <c r="AM38" s="36">
        <f>'[4]D4 Gallon Forecast'!AM72+'[4]D4 Gallon Forecast'!AM88+'[4]D4 Gallon Forecast'!AM104+'[4]D6 Gallon Forecast'!AM65+'[4]D6 Gallon Forecast'!AM81</f>
        <v>39467348.208190851</v>
      </c>
      <c r="AN38" s="36">
        <f>'[4]D4 Gallon Forecast'!AN72+'[4]D4 Gallon Forecast'!AN88+'[4]D4 Gallon Forecast'!AN104+'[4]D6 Gallon Forecast'!AN65+'[4]D6 Gallon Forecast'!AN81</f>
        <v>40018842.372026742</v>
      </c>
      <c r="AO38" s="36">
        <f>'[4]D4 Gallon Forecast'!AO72+'[4]D4 Gallon Forecast'!AO88+'[4]D4 Gallon Forecast'!AO104+'[4]D6 Gallon Forecast'!AO65+'[4]D6 Gallon Forecast'!AO81</f>
        <v>40596539.978826702</v>
      </c>
      <c r="AP38" s="36">
        <f>'[4]D4 Gallon Forecast'!AP72+'[4]D4 Gallon Forecast'!AP88+'[4]D4 Gallon Forecast'!AP104+'[4]D6 Gallon Forecast'!AP65+'[4]D6 Gallon Forecast'!AP81</f>
        <v>41312508.625971839</v>
      </c>
      <c r="AQ38" s="36"/>
      <c r="AR38" s="35">
        <f>O38/30</f>
        <v>5626665.9333333336</v>
      </c>
      <c r="AS38" s="35">
        <f>N38/30</f>
        <v>5805320.0666666664</v>
      </c>
      <c r="AT38" s="35">
        <f>M38/30</f>
        <v>5391103.833333333</v>
      </c>
      <c r="AU38" s="35">
        <f>L38/30</f>
        <v>5601308.8666666662</v>
      </c>
      <c r="AV38" s="35">
        <f t="shared" si="45"/>
        <v>-178654.13333333284</v>
      </c>
      <c r="AW38" s="35">
        <f>SUM(J38:N38)/5/30</f>
        <v>5646171.4666666668</v>
      </c>
      <c r="AX38" s="35">
        <f t="shared" si="46"/>
        <v>-19505.533333333209</v>
      </c>
      <c r="AZ38" s="35">
        <v>181943061.15832081</v>
      </c>
      <c r="BA38" s="35">
        <f>L38-AZ38</f>
        <v>-13903795.158320814</v>
      </c>
      <c r="BB38" s="35">
        <f>'[4]D4 Gallon Forecast'!DK72+'[4]D4 Gallon Forecast'!DK104+'[4]D6 Gallon Forecast'!BK65+'[4]D6 Gallon Forecast'!BK81</f>
        <v>0</v>
      </c>
      <c r="BC38" s="35">
        <f t="shared" si="43"/>
        <v>168799978</v>
      </c>
      <c r="BP38" s="83">
        <f t="shared" ref="BP38:CC38" si="50">B38/30/1000000</f>
        <v>1.7404966666666667E-2</v>
      </c>
      <c r="BQ38" s="83">
        <f t="shared" si="50"/>
        <v>2.4212717666666665</v>
      </c>
      <c r="BR38" s="83">
        <f t="shared" si="50"/>
        <v>3.1746447</v>
      </c>
      <c r="BS38" s="83">
        <f t="shared" si="50"/>
        <v>3.8583311666666664</v>
      </c>
      <c r="BT38" s="83">
        <f t="shared" si="50"/>
        <v>3.6369981333333334</v>
      </c>
      <c r="BU38" s="83">
        <f t="shared" si="50"/>
        <v>3.9521331666666666</v>
      </c>
      <c r="BV38" s="83">
        <f t="shared" si="50"/>
        <v>5.1817934000000001</v>
      </c>
      <c r="BW38" s="83">
        <f t="shared" si="50"/>
        <v>4.8392805333333335</v>
      </c>
      <c r="BX38" s="83">
        <f t="shared" si="50"/>
        <v>5.3524620333333335</v>
      </c>
      <c r="BY38" s="83">
        <f t="shared" si="50"/>
        <v>6.0806625333333333</v>
      </c>
      <c r="BZ38" s="83">
        <f t="shared" si="50"/>
        <v>5.6013088666666659</v>
      </c>
      <c r="CA38" s="83">
        <f t="shared" si="50"/>
        <v>5.3911038333333332</v>
      </c>
      <c r="CB38" s="83">
        <f t="shared" si="50"/>
        <v>5.805320066666666</v>
      </c>
      <c r="CC38" s="83">
        <f t="shared" si="50"/>
        <v>5.6266659333333333</v>
      </c>
      <c r="CD38" s="83">
        <f t="shared" si="47"/>
        <v>5.6461714666666669</v>
      </c>
      <c r="CE38" s="83">
        <f t="shared" si="48"/>
        <v>-1.9505533333333602E-2</v>
      </c>
    </row>
    <row r="39" spans="1:83" x14ac:dyDescent="0.2">
      <c r="A39" s="32" t="s">
        <v>10</v>
      </c>
      <c r="B39" s="35">
        <f>'[4]D4 Gallon Forecast'!B73+'[4]D4 Gallon Forecast'!B89+'[4]D4 Gallon Forecast'!B105+'[4]D6 Gallon Forecast'!B66+'[4]D6 Gallon Forecast'!B82</f>
        <v>485714</v>
      </c>
      <c r="C39" s="35">
        <f>'[4]D4 Gallon Forecast'!C73+'[4]D4 Gallon Forecast'!C89+'[4]D4 Gallon Forecast'!C105+'[4]D6 Gallon Forecast'!C66+'[4]D6 Gallon Forecast'!C82</f>
        <v>80036475</v>
      </c>
      <c r="D39" s="35">
        <f>'[4]D4 Gallon Forecast'!D73+'[4]D4 Gallon Forecast'!D89+'[4]D4 Gallon Forecast'!D105+'[4]D6 Gallon Forecast'!D66+'[4]D6 Gallon Forecast'!D82</f>
        <v>114968701</v>
      </c>
      <c r="E39" s="35">
        <f>'[4]D4 Gallon Forecast'!E73+'[4]D4 Gallon Forecast'!E89+'[4]D4 Gallon Forecast'!E105+'[4]D6 Gallon Forecast'!E66+'[4]D6 Gallon Forecast'!E82</f>
        <v>128969969</v>
      </c>
      <c r="F39" s="35">
        <f>'[4]D4 Gallon Forecast'!F73+'[4]D4 Gallon Forecast'!F89+'[4]D4 Gallon Forecast'!F105+'[4]D6 Gallon Forecast'!F66+'[4]D6 Gallon Forecast'!F82</f>
        <v>114828338</v>
      </c>
      <c r="G39" s="35">
        <f>'[4]D4 Gallon Forecast'!G73+'[4]D4 Gallon Forecast'!G89+'[4]D4 Gallon Forecast'!G105+'[4]D6 Gallon Forecast'!G66+'[4]D6 Gallon Forecast'!G82</f>
        <v>135962139</v>
      </c>
      <c r="H39" s="35">
        <f>'[4]D4 Gallon Forecast'!H73+'[4]D4 Gallon Forecast'!H89+'[4]D4 Gallon Forecast'!H105+'[4]D6 Gallon Forecast'!H66+'[4]D6 Gallon Forecast'!H82</f>
        <v>169004899</v>
      </c>
      <c r="I39" s="35">
        <f>'[4]D4 Gallon Forecast'!I73+'[4]D4 Gallon Forecast'!I89+'[4]D4 Gallon Forecast'!I105+'[4]D6 Gallon Forecast'!I66+'[4]D6 Gallon Forecast'!I82</f>
        <v>186105670</v>
      </c>
      <c r="J39" s="35">
        <f>'[4]D4 Gallon Forecast'!J73+'[4]D4 Gallon Forecast'!J89+'[4]D4 Gallon Forecast'!J105+'[4]D6 Gallon Forecast'!J66+'[4]D6 Gallon Forecast'!J82</f>
        <v>182292273</v>
      </c>
      <c r="K39" s="35">
        <f>'[4]D4 Gallon Forecast'!K73+'[4]D4 Gallon Forecast'!K89+'[4]D4 Gallon Forecast'!K105+'[4]D6 Gallon Forecast'!K66+'[4]D6 Gallon Forecast'!K82</f>
        <v>179698181</v>
      </c>
      <c r="L39" s="35">
        <f>'[4]D4 Gallon Forecast'!L73+'[4]D4 Gallon Forecast'!L89+'[4]D4 Gallon Forecast'!L105+'[4]D6 Gallon Forecast'!L66+'[4]D6 Gallon Forecast'!L82</f>
        <v>161820889</v>
      </c>
      <c r="M39" s="35">
        <f>'[4]D4 Gallon Forecast'!M73+'[4]D4 Gallon Forecast'!M89+'[4]D4 Gallon Forecast'!M105+'[4]D6 Gallon Forecast'!M66+'[4]D6 Gallon Forecast'!M82</f>
        <v>163828393</v>
      </c>
      <c r="N39" s="35">
        <f>'[4]D4 Gallon Forecast'!N73+'[4]D4 Gallon Forecast'!N89+'[4]D4 Gallon Forecast'!N105+'[4]D6 Gallon Forecast'!N66+'[4]D6 Gallon Forecast'!N82</f>
        <v>151651903</v>
      </c>
      <c r="O39" s="35">
        <f>'[4]D4 Gallon Forecast'!O73+'[4]D4 Gallon Forecast'!O89+'[4]D4 Gallon Forecast'!O105+'[4]D6 Gallon Forecast'!O66+'[4]D6 Gallon Forecast'!O82</f>
        <v>203013371</v>
      </c>
      <c r="P39" s="35">
        <f>'[4]D4 Gallon Forecast'!P73+'[4]D4 Gallon Forecast'!P89+'[4]D4 Gallon Forecast'!P105+'[4]D6 Gallon Forecast'!P66+'[4]D6 Gallon Forecast'!P82</f>
        <v>179709360</v>
      </c>
      <c r="Q39" s="36">
        <f>'[4]D4 Gallon Forecast'!Q73+'[4]D4 Gallon Forecast'!Q89+'[4]D4 Gallon Forecast'!Q105+'[4]D6 Gallon Forecast'!Q66+'[4]D6 Gallon Forecast'!Q82</f>
        <v>163752760.37751266</v>
      </c>
      <c r="R39" s="36">
        <f>'[4]D4 Gallon Forecast'!R73+'[4]D4 Gallon Forecast'!R89+'[4]D4 Gallon Forecast'!R105+'[4]D6 Gallon Forecast'!R66+'[4]D6 Gallon Forecast'!R82</f>
        <v>144310341.59647697</v>
      </c>
      <c r="S39" s="36">
        <f>'[4]D4 Gallon Forecast'!S73+'[4]D4 Gallon Forecast'!S89+'[4]D4 Gallon Forecast'!S105+'[4]D6 Gallon Forecast'!S66+'[4]D6 Gallon Forecast'!S82</f>
        <v>146412828.23341778</v>
      </c>
      <c r="T39" s="36">
        <f>'[4]D4 Gallon Forecast'!T73+'[4]D4 Gallon Forecast'!T89+'[4]D4 Gallon Forecast'!T105+'[4]D6 Gallon Forecast'!T66+'[4]D6 Gallon Forecast'!T82</f>
        <v>122866263.18673673</v>
      </c>
      <c r="U39" s="36">
        <f>'[4]D4 Gallon Forecast'!U73+'[4]D4 Gallon Forecast'!U89+'[4]D4 Gallon Forecast'!U105+'[4]D6 Gallon Forecast'!U66+'[4]D6 Gallon Forecast'!U82</f>
        <v>136608941.89750066</v>
      </c>
      <c r="V39" s="36">
        <f>'[4]D4 Gallon Forecast'!V73+'[4]D4 Gallon Forecast'!V89+'[4]D4 Gallon Forecast'!V105+'[4]D6 Gallon Forecast'!V66+'[4]D6 Gallon Forecast'!V82</f>
        <v>138977772.56305495</v>
      </c>
      <c r="W39" s="36">
        <f>'[4]D4 Gallon Forecast'!W73+'[4]D4 Gallon Forecast'!W89+'[4]D4 Gallon Forecast'!W105+'[4]D6 Gallon Forecast'!W66+'[4]D6 Gallon Forecast'!W82</f>
        <v>137276740.89320797</v>
      </c>
      <c r="X39" s="36">
        <f>'[4]D4 Gallon Forecast'!X73+'[4]D4 Gallon Forecast'!X89+'[4]D4 Gallon Forecast'!X105+'[4]D6 Gallon Forecast'!X66+'[4]D6 Gallon Forecast'!X82</f>
        <v>142829032.17949891</v>
      </c>
      <c r="Y39" s="36">
        <f>'[4]D4 Gallon Forecast'!Y73+'[4]D4 Gallon Forecast'!Y89+'[4]D4 Gallon Forecast'!Y105+'[4]D6 Gallon Forecast'!Y66+'[4]D6 Gallon Forecast'!Y82</f>
        <v>134226583.70081514</v>
      </c>
      <c r="Z39" s="36">
        <f>'[4]D4 Gallon Forecast'!Z73+'[4]D4 Gallon Forecast'!Z89+'[4]D4 Gallon Forecast'!Z105+'[4]D6 Gallon Forecast'!Z66+'[4]D6 Gallon Forecast'!Z82</f>
        <v>130806160.4278404</v>
      </c>
      <c r="AA39" s="36">
        <f>'[4]D4 Gallon Forecast'!AA73+'[4]D4 Gallon Forecast'!AA89+'[4]D4 Gallon Forecast'!AA105+'[4]D6 Gallon Forecast'!AA66+'[4]D6 Gallon Forecast'!AA82</f>
        <v>125092056.17142376</v>
      </c>
      <c r="AB39" s="36">
        <f>'[4]D4 Gallon Forecast'!AB73+'[4]D4 Gallon Forecast'!AB89+'[4]D4 Gallon Forecast'!AB105+'[4]D6 Gallon Forecast'!AB66+'[4]D6 Gallon Forecast'!AB82</f>
        <v>104555146.77552737</v>
      </c>
      <c r="AC39" s="36">
        <f>'[4]D4 Gallon Forecast'!AC73+'[4]D4 Gallon Forecast'!AC89+'[4]D4 Gallon Forecast'!AC105+'[4]D6 Gallon Forecast'!AC66+'[4]D6 Gallon Forecast'!AC82</f>
        <v>85164663.415532306</v>
      </c>
      <c r="AD39" s="36">
        <f>'[4]D4 Gallon Forecast'!AD73+'[4]D4 Gallon Forecast'!AD89+'[4]D4 Gallon Forecast'!AD105+'[4]D6 Gallon Forecast'!AD66+'[4]D6 Gallon Forecast'!AD82</f>
        <v>82132249.515004531</v>
      </c>
      <c r="AE39" s="36">
        <f>'[4]D4 Gallon Forecast'!AE73+'[4]D4 Gallon Forecast'!AE89+'[4]D4 Gallon Forecast'!AE105+'[4]D6 Gallon Forecast'!AE66+'[4]D6 Gallon Forecast'!AE82</f>
        <v>68293933.155161917</v>
      </c>
      <c r="AF39" s="36">
        <f>'[4]D4 Gallon Forecast'!AF73+'[4]D4 Gallon Forecast'!AF89+'[4]D4 Gallon Forecast'!AF105+'[4]D6 Gallon Forecast'!AF66+'[4]D6 Gallon Forecast'!AF82</f>
        <v>43393859.178082325</v>
      </c>
      <c r="AG39" s="36">
        <f>'[4]D4 Gallon Forecast'!AG73+'[4]D4 Gallon Forecast'!AG89+'[4]D4 Gallon Forecast'!AG105+'[4]D6 Gallon Forecast'!AG66+'[4]D6 Gallon Forecast'!AG82</f>
        <v>47416088.174137861</v>
      </c>
      <c r="AH39" s="36">
        <f>'[4]D4 Gallon Forecast'!AH73+'[4]D4 Gallon Forecast'!AH89+'[4]D4 Gallon Forecast'!AH105+'[4]D6 Gallon Forecast'!AH66+'[4]D6 Gallon Forecast'!AH82</f>
        <v>46790634.539219573</v>
      </c>
      <c r="AI39" s="36">
        <f>'[4]D4 Gallon Forecast'!AI73+'[4]D4 Gallon Forecast'!AI89+'[4]D4 Gallon Forecast'!AI105+'[4]D6 Gallon Forecast'!AI66+'[4]D6 Gallon Forecast'!AI82</f>
        <v>39802520.60520529</v>
      </c>
      <c r="AJ39" s="36">
        <f>'[4]D4 Gallon Forecast'!AJ73+'[4]D4 Gallon Forecast'!AJ89+'[4]D4 Gallon Forecast'!AJ105+'[4]D6 Gallon Forecast'!AJ66+'[4]D6 Gallon Forecast'!AJ82</f>
        <v>40174246.884465635</v>
      </c>
      <c r="AK39" s="36">
        <f>'[4]D4 Gallon Forecast'!AK73+'[4]D4 Gallon Forecast'!AK89+'[4]D4 Gallon Forecast'!AK105+'[4]D6 Gallon Forecast'!AK66+'[4]D6 Gallon Forecast'!AK82</f>
        <v>40303526.970325723</v>
      </c>
      <c r="AL39" s="36">
        <f>'[4]D4 Gallon Forecast'!AL73+'[4]D4 Gallon Forecast'!AL89+'[4]D4 Gallon Forecast'!AL105+'[4]D6 Gallon Forecast'!AL66+'[4]D6 Gallon Forecast'!AL82</f>
        <v>40193922.960114278</v>
      </c>
      <c r="AM39" s="36">
        <f>'[4]D4 Gallon Forecast'!AM73+'[4]D4 Gallon Forecast'!AM89+'[4]D4 Gallon Forecast'!AM105+'[4]D6 Gallon Forecast'!AM66+'[4]D6 Gallon Forecast'!AM82</f>
        <v>40193078.687247306</v>
      </c>
      <c r="AN39" s="36">
        <f>'[4]D4 Gallon Forecast'!AN73+'[4]D4 Gallon Forecast'!AN89+'[4]D4 Gallon Forecast'!AN105+'[4]D6 Gallon Forecast'!AN66+'[4]D6 Gallon Forecast'!AN82</f>
        <v>40782457.458643466</v>
      </c>
      <c r="AO39" s="36">
        <f>'[4]D4 Gallon Forecast'!AO73+'[4]D4 Gallon Forecast'!AO89+'[4]D4 Gallon Forecast'!AO105+'[4]D6 Gallon Forecast'!AO66+'[4]D6 Gallon Forecast'!AO82</f>
        <v>41400611.2976394</v>
      </c>
      <c r="AP39" s="36">
        <f>'[4]D4 Gallon Forecast'!AP73+'[4]D4 Gallon Forecast'!AP89+'[4]D4 Gallon Forecast'!AP105+'[4]D6 Gallon Forecast'!AP66+'[4]D6 Gallon Forecast'!AP82</f>
        <v>42167236.390531518</v>
      </c>
      <c r="AQ39" s="36"/>
      <c r="AR39" s="35">
        <f>O39/31</f>
        <v>6548818.4193548383</v>
      </c>
      <c r="AS39" s="35">
        <f>N39/31</f>
        <v>4891996.8709677421</v>
      </c>
      <c r="AT39" s="35">
        <f>M39/31</f>
        <v>5284786.8709677421</v>
      </c>
      <c r="AU39" s="35">
        <f>L39/31</f>
        <v>5220028.6774193551</v>
      </c>
      <c r="AV39" s="35">
        <f t="shared" si="45"/>
        <v>1656821.5483870963</v>
      </c>
      <c r="AW39" s="35">
        <f>SUM(J39:N39)/5/31</f>
        <v>5414784.7677419363</v>
      </c>
      <c r="AX39" s="35">
        <f t="shared" si="46"/>
        <v>1134033.6516129021</v>
      </c>
      <c r="AZ39" s="35">
        <v>202646177.02106068</v>
      </c>
      <c r="BA39" s="35">
        <f>L39-AZ39</f>
        <v>-40825288.021060675</v>
      </c>
      <c r="BB39" s="36">
        <f>'[4]D4 Gallon Forecast'!DK73+'[4]D4 Gallon Forecast'!DK105+'[4]D6 Gallon Forecast'!BK66+'[4]D6 Gallon Forecast'!BK82</f>
        <v>0</v>
      </c>
      <c r="BC39" s="36">
        <f t="shared" si="43"/>
        <v>203013371</v>
      </c>
      <c r="BP39" s="83">
        <f t="shared" ref="BP39:CC39" si="51">B39/31/1000000</f>
        <v>1.5668193548387097E-2</v>
      </c>
      <c r="BQ39" s="83">
        <f t="shared" si="51"/>
        <v>2.5818217741935485</v>
      </c>
      <c r="BR39" s="83">
        <f t="shared" si="51"/>
        <v>3.7086677741935485</v>
      </c>
      <c r="BS39" s="83">
        <f t="shared" si="51"/>
        <v>4.160321580645161</v>
      </c>
      <c r="BT39" s="83">
        <f t="shared" si="51"/>
        <v>3.7041399354838709</v>
      </c>
      <c r="BU39" s="83">
        <f t="shared" si="51"/>
        <v>4.385875451612903</v>
      </c>
      <c r="BV39" s="83">
        <f t="shared" si="51"/>
        <v>5.4517709354838706</v>
      </c>
      <c r="BW39" s="83">
        <f t="shared" si="51"/>
        <v>6.0034087096774194</v>
      </c>
      <c r="BX39" s="83">
        <f t="shared" si="51"/>
        <v>5.8803959032258062</v>
      </c>
      <c r="BY39" s="83">
        <f t="shared" si="51"/>
        <v>5.7967155161290327</v>
      </c>
      <c r="BZ39" s="83">
        <f t="shared" si="51"/>
        <v>5.2200286774193554</v>
      </c>
      <c r="CA39" s="83">
        <f t="shared" si="51"/>
        <v>5.2847868709677419</v>
      </c>
      <c r="CB39" s="83">
        <f t="shared" si="51"/>
        <v>4.8919968709677422</v>
      </c>
      <c r="CC39" s="83">
        <f t="shared" si="51"/>
        <v>6.5488184193548387</v>
      </c>
      <c r="CD39" s="83">
        <f t="shared" si="47"/>
        <v>5.4147847677419358</v>
      </c>
      <c r="CE39" s="83">
        <f t="shared" si="48"/>
        <v>1.1340336516129028</v>
      </c>
    </row>
    <row r="40" spans="1:83" x14ac:dyDescent="0.2">
      <c r="A40" s="32" t="s">
        <v>74</v>
      </c>
      <c r="B40" s="35">
        <f>'[4]D4 Gallon Forecast'!B74+'[4]D4 Gallon Forecast'!B90+'[4]D4 Gallon Forecast'!B106+'[4]D6 Gallon Forecast'!B67+'[4]D6 Gallon Forecast'!B83</f>
        <v>637838</v>
      </c>
      <c r="C40" s="35">
        <f>'[4]D4 Gallon Forecast'!C74+'[4]D4 Gallon Forecast'!C90+'[4]D4 Gallon Forecast'!C106+'[4]D6 Gallon Forecast'!C67+'[4]D6 Gallon Forecast'!C83</f>
        <v>81471835</v>
      </c>
      <c r="D40" s="35">
        <f>'[4]D4 Gallon Forecast'!D74+'[4]D4 Gallon Forecast'!D90+'[4]D4 Gallon Forecast'!D106+'[4]D6 Gallon Forecast'!D67+'[4]D6 Gallon Forecast'!D83</f>
        <v>112491179</v>
      </c>
      <c r="E40" s="35">
        <f>'[4]D4 Gallon Forecast'!E74+'[4]D4 Gallon Forecast'!E90+'[4]D4 Gallon Forecast'!E106+'[4]D6 Gallon Forecast'!E67+'[4]D6 Gallon Forecast'!E83</f>
        <v>132219750</v>
      </c>
      <c r="F40" s="35">
        <f>'[4]D4 Gallon Forecast'!F74+'[4]D4 Gallon Forecast'!F90+'[4]D4 Gallon Forecast'!F106+'[4]D6 Gallon Forecast'!F67+'[4]D6 Gallon Forecast'!F83</f>
        <v>118789044</v>
      </c>
      <c r="G40" s="35">
        <f>'[4]D4 Gallon Forecast'!G74+'[4]D4 Gallon Forecast'!G90+'[4]D4 Gallon Forecast'!G106+'[4]D6 Gallon Forecast'!G67+'[4]D6 Gallon Forecast'!G83</f>
        <v>152453344</v>
      </c>
      <c r="H40" s="35">
        <f>'[4]D4 Gallon Forecast'!H74+'[4]D4 Gallon Forecast'!H90+'[4]D4 Gallon Forecast'!H106+'[4]D6 Gallon Forecast'!H67+'[4]D6 Gallon Forecast'!H83</f>
        <v>200669531</v>
      </c>
      <c r="I40" s="35">
        <f>'[4]D4 Gallon Forecast'!I74+'[4]D4 Gallon Forecast'!I90+'[4]D4 Gallon Forecast'!I106+'[4]D6 Gallon Forecast'!I67+'[4]D6 Gallon Forecast'!I83</f>
        <v>228773847</v>
      </c>
      <c r="J40" s="35">
        <f>'[4]D4 Gallon Forecast'!J74+'[4]D4 Gallon Forecast'!J90+'[4]D4 Gallon Forecast'!J106+'[4]D6 Gallon Forecast'!J67+'[4]D6 Gallon Forecast'!J83</f>
        <v>172782518</v>
      </c>
      <c r="K40" s="35">
        <f>'[4]D4 Gallon Forecast'!K74+'[4]D4 Gallon Forecast'!K90+'[4]D4 Gallon Forecast'!K106+'[4]D6 Gallon Forecast'!K67+'[4]D6 Gallon Forecast'!K83</f>
        <v>163491563</v>
      </c>
      <c r="L40" s="35">
        <f>'[4]D4 Gallon Forecast'!L74+'[4]D4 Gallon Forecast'!L90+'[4]D4 Gallon Forecast'!L106+'[4]D6 Gallon Forecast'!L67+'[4]D6 Gallon Forecast'!L83</f>
        <v>182268531</v>
      </c>
      <c r="M40" s="35">
        <f>'[4]D4 Gallon Forecast'!M74+'[4]D4 Gallon Forecast'!M90+'[4]D4 Gallon Forecast'!M106+'[4]D6 Gallon Forecast'!M67+'[4]D6 Gallon Forecast'!M83</f>
        <v>172045534</v>
      </c>
      <c r="N40" s="35">
        <f>'[4]D4 Gallon Forecast'!N74+'[4]D4 Gallon Forecast'!N90+'[4]D4 Gallon Forecast'!N106+'[4]D6 Gallon Forecast'!N67+'[4]D6 Gallon Forecast'!N83</f>
        <v>162170057</v>
      </c>
      <c r="O40" s="35">
        <f>'[4]D4 Gallon Forecast'!O74+'[4]D4 Gallon Forecast'!O90+'[4]D4 Gallon Forecast'!O106+'[4]D6 Gallon Forecast'!O67+'[4]D6 Gallon Forecast'!O83</f>
        <v>194186168</v>
      </c>
      <c r="P40" s="35">
        <f>'[4]D4 Gallon Forecast'!P74+'[4]D4 Gallon Forecast'!P90+'[4]D4 Gallon Forecast'!P106+'[4]D6 Gallon Forecast'!P67+'[4]D6 Gallon Forecast'!P83</f>
        <v>171320567</v>
      </c>
      <c r="Q40" s="36">
        <f>'[4]D4 Gallon Forecast'!Q74+'[4]D4 Gallon Forecast'!Q90+'[4]D4 Gallon Forecast'!Q106+'[4]D6 Gallon Forecast'!Q67+'[4]D6 Gallon Forecast'!Q83</f>
        <v>168417761.31579515</v>
      </c>
      <c r="R40" s="36">
        <f>'[4]D4 Gallon Forecast'!R74+'[4]D4 Gallon Forecast'!R90+'[4]D4 Gallon Forecast'!R106+'[4]D6 Gallon Forecast'!R67+'[4]D6 Gallon Forecast'!R83</f>
        <v>144546902.41702604</v>
      </c>
      <c r="S40" s="36">
        <f>'[4]D4 Gallon Forecast'!S74+'[4]D4 Gallon Forecast'!S90+'[4]D4 Gallon Forecast'!S106+'[4]D6 Gallon Forecast'!S67+'[4]D6 Gallon Forecast'!S83</f>
        <v>145388849.07179502</v>
      </c>
      <c r="T40" s="36">
        <f>'[4]D4 Gallon Forecast'!T74+'[4]D4 Gallon Forecast'!T90+'[4]D4 Gallon Forecast'!T106+'[4]D6 Gallon Forecast'!T67+'[4]D6 Gallon Forecast'!T83</f>
        <v>121024342.88442855</v>
      </c>
      <c r="U40" s="36">
        <f>'[4]D4 Gallon Forecast'!U74+'[4]D4 Gallon Forecast'!U90+'[4]D4 Gallon Forecast'!U106+'[4]D6 Gallon Forecast'!U67+'[4]D6 Gallon Forecast'!U83</f>
        <v>135554374.27668154</v>
      </c>
      <c r="V40" s="36">
        <f>'[4]D4 Gallon Forecast'!V74+'[4]D4 Gallon Forecast'!V90+'[4]D4 Gallon Forecast'!V106+'[4]D6 Gallon Forecast'!V67+'[4]D6 Gallon Forecast'!V83</f>
        <v>139262890.8035309</v>
      </c>
      <c r="W40" s="36">
        <f>'[4]D4 Gallon Forecast'!W74+'[4]D4 Gallon Forecast'!W90+'[4]D4 Gallon Forecast'!W106+'[4]D6 Gallon Forecast'!W67+'[4]D6 Gallon Forecast'!W83</f>
        <v>136614736.00365818</v>
      </c>
      <c r="X40" s="36">
        <f>'[4]D4 Gallon Forecast'!X74+'[4]D4 Gallon Forecast'!X90+'[4]D4 Gallon Forecast'!X106+'[4]D6 Gallon Forecast'!X67+'[4]D6 Gallon Forecast'!X83</f>
        <v>141592478.3716197</v>
      </c>
      <c r="Y40" s="36">
        <f>'[4]D4 Gallon Forecast'!Y74+'[4]D4 Gallon Forecast'!Y90+'[4]D4 Gallon Forecast'!Y106+'[4]D6 Gallon Forecast'!Y67+'[4]D6 Gallon Forecast'!Y83</f>
        <v>133054414.71390592</v>
      </c>
      <c r="Z40" s="36">
        <f>'[4]D4 Gallon Forecast'!Z74+'[4]D4 Gallon Forecast'!Z90+'[4]D4 Gallon Forecast'!Z106+'[4]D6 Gallon Forecast'!Z67+'[4]D6 Gallon Forecast'!Z83</f>
        <v>129912262.52336562</v>
      </c>
      <c r="AA40" s="36">
        <f>'[4]D4 Gallon Forecast'!AA74+'[4]D4 Gallon Forecast'!AA90+'[4]D4 Gallon Forecast'!AA106+'[4]D6 Gallon Forecast'!AA67+'[4]D6 Gallon Forecast'!AA83</f>
        <v>124261617.74995394</v>
      </c>
      <c r="AB40" s="36">
        <f>'[4]D4 Gallon Forecast'!AB74+'[4]D4 Gallon Forecast'!AB90+'[4]D4 Gallon Forecast'!AB106+'[4]D6 Gallon Forecast'!AB67+'[4]D6 Gallon Forecast'!AB83</f>
        <v>103734593.38391</v>
      </c>
      <c r="AC40" s="36">
        <f>'[4]D4 Gallon Forecast'!AC74+'[4]D4 Gallon Forecast'!AC90+'[4]D4 Gallon Forecast'!AC106+'[4]D6 Gallon Forecast'!AC67+'[4]D6 Gallon Forecast'!AC83</f>
        <v>84575351.127071962</v>
      </c>
      <c r="AD40" s="36">
        <f>'[4]D4 Gallon Forecast'!AD74+'[4]D4 Gallon Forecast'!AD90+'[4]D4 Gallon Forecast'!AD106+'[4]D6 Gallon Forecast'!AD67+'[4]D6 Gallon Forecast'!AD83</f>
        <v>81449286.404325932</v>
      </c>
      <c r="AE40" s="36">
        <f>'[4]D4 Gallon Forecast'!AE74+'[4]D4 Gallon Forecast'!AE90+'[4]D4 Gallon Forecast'!AE106+'[4]D6 Gallon Forecast'!AE67+'[4]D6 Gallon Forecast'!AE83</f>
        <v>67812722.30399245</v>
      </c>
      <c r="AF40" s="36">
        <f>'[4]D4 Gallon Forecast'!AF74+'[4]D4 Gallon Forecast'!AF90+'[4]D4 Gallon Forecast'!AF106+'[4]D6 Gallon Forecast'!AF67+'[4]D6 Gallon Forecast'!AF83</f>
        <v>43457384.694367819</v>
      </c>
      <c r="AG40" s="36">
        <f>'[4]D4 Gallon Forecast'!AG74+'[4]D4 Gallon Forecast'!AG90+'[4]D4 Gallon Forecast'!AG106+'[4]D6 Gallon Forecast'!AG67+'[4]D6 Gallon Forecast'!AG83</f>
        <v>47379794.89445933</v>
      </c>
      <c r="AH40" s="36">
        <f>'[4]D4 Gallon Forecast'!AH74+'[4]D4 Gallon Forecast'!AH90+'[4]D4 Gallon Forecast'!AH106+'[4]D6 Gallon Forecast'!AH67+'[4]D6 Gallon Forecast'!AH83</f>
        <v>46782275.061584793</v>
      </c>
      <c r="AI40" s="36">
        <f>'[4]D4 Gallon Forecast'!AI74+'[4]D4 Gallon Forecast'!AI90+'[4]D4 Gallon Forecast'!AI106+'[4]D6 Gallon Forecast'!AI67+'[4]D6 Gallon Forecast'!AI83</f>
        <v>39974443.113760136</v>
      </c>
      <c r="AJ40" s="36">
        <f>'[4]D4 Gallon Forecast'!AJ74+'[4]D4 Gallon Forecast'!AJ90+'[4]D4 Gallon Forecast'!AJ106+'[4]D6 Gallon Forecast'!AJ67+'[4]D6 Gallon Forecast'!AJ83</f>
        <v>40347354.910673879</v>
      </c>
      <c r="AK40" s="36">
        <f>'[4]D4 Gallon Forecast'!AK74+'[4]D4 Gallon Forecast'!AK90+'[4]D4 Gallon Forecast'!AK106+'[4]D6 Gallon Forecast'!AK67+'[4]D6 Gallon Forecast'!AK83</f>
        <v>40471362.870634064</v>
      </c>
      <c r="AL40" s="36">
        <f>'[4]D4 Gallon Forecast'!AL74+'[4]D4 Gallon Forecast'!AL90+'[4]D4 Gallon Forecast'!AL106+'[4]D6 Gallon Forecast'!AL67+'[4]D6 Gallon Forecast'!AL83</f>
        <v>40361495.067506373</v>
      </c>
      <c r="AM40" s="36">
        <f>'[4]D4 Gallon Forecast'!AM74+'[4]D4 Gallon Forecast'!AM90+'[4]D4 Gallon Forecast'!AM106+'[4]D6 Gallon Forecast'!AM67+'[4]D6 Gallon Forecast'!AM83</f>
        <v>40356112.897516087</v>
      </c>
      <c r="AN40" s="36">
        <f>'[4]D4 Gallon Forecast'!AN74+'[4]D4 Gallon Forecast'!AN90+'[4]D4 Gallon Forecast'!AN106+'[4]D6 Gallon Forecast'!AN67+'[4]D6 Gallon Forecast'!AN83</f>
        <v>40944435.35882774</v>
      </c>
      <c r="AO40" s="36">
        <f>'[4]D4 Gallon Forecast'!AO74+'[4]D4 Gallon Forecast'!AO90+'[4]D4 Gallon Forecast'!AO106+'[4]D6 Gallon Forecast'!AO67+'[4]D6 Gallon Forecast'!AO83</f>
        <v>41560052.198770903</v>
      </c>
      <c r="AP40" s="36">
        <f>'[4]D4 Gallon Forecast'!AP74+'[4]D4 Gallon Forecast'!AP90+'[4]D4 Gallon Forecast'!AP106+'[4]D6 Gallon Forecast'!AP67+'[4]D6 Gallon Forecast'!AP83</f>
        <v>42312182.984750412</v>
      </c>
      <c r="AQ40" s="36"/>
      <c r="AR40" s="35">
        <f>O40/30</f>
        <v>6472872.2666666666</v>
      </c>
      <c r="AS40" s="35">
        <f>N40/30</f>
        <v>5405668.5666666664</v>
      </c>
      <c r="AT40" s="35">
        <f>M40/30</f>
        <v>5734851.1333333338</v>
      </c>
      <c r="AU40" s="35">
        <f>L40/30</f>
        <v>6075617.7000000002</v>
      </c>
      <c r="AV40" s="35">
        <f t="shared" si="45"/>
        <v>1067203.7000000002</v>
      </c>
      <c r="AW40" s="35">
        <f>SUM(J40:N40)/5/30</f>
        <v>5685054.6866666665</v>
      </c>
      <c r="AX40" s="35">
        <f t="shared" si="46"/>
        <v>787817.58000000007</v>
      </c>
      <c r="BB40" s="36">
        <f>'[4]D4 Gallon Forecast'!DK74+'[4]D4 Gallon Forecast'!DK106+'[4]D6 Gallon Forecast'!BK67+'[4]D6 Gallon Forecast'!BK83</f>
        <v>0</v>
      </c>
      <c r="BC40" s="36">
        <f t="shared" si="43"/>
        <v>194186168</v>
      </c>
      <c r="BP40" s="83">
        <f t="shared" ref="BP40:CC40" si="52">B40/30/1000000</f>
        <v>2.1261266666666667E-2</v>
      </c>
      <c r="BQ40" s="83">
        <f t="shared" si="52"/>
        <v>2.7157278333333337</v>
      </c>
      <c r="BR40" s="83">
        <f t="shared" si="52"/>
        <v>3.7497059666666668</v>
      </c>
      <c r="BS40" s="83">
        <f t="shared" si="52"/>
        <v>4.4073250000000002</v>
      </c>
      <c r="BT40" s="83">
        <f t="shared" si="52"/>
        <v>3.9596347999999999</v>
      </c>
      <c r="BU40" s="83">
        <f t="shared" si="52"/>
        <v>5.0817781333333336</v>
      </c>
      <c r="BV40" s="83">
        <f t="shared" si="52"/>
        <v>6.6889843666666664</v>
      </c>
      <c r="BW40" s="83">
        <f t="shared" si="52"/>
        <v>7.6257949000000007</v>
      </c>
      <c r="BX40" s="83">
        <f t="shared" si="52"/>
        <v>5.7594172666666665</v>
      </c>
      <c r="BY40" s="83">
        <f t="shared" si="52"/>
        <v>5.4497187666666669</v>
      </c>
      <c r="BZ40" s="83">
        <f t="shared" si="52"/>
        <v>6.0756177000000005</v>
      </c>
      <c r="CA40" s="83">
        <f t="shared" si="52"/>
        <v>5.7348511333333336</v>
      </c>
      <c r="CB40" s="83">
        <f t="shared" si="52"/>
        <v>5.4056685666666668</v>
      </c>
      <c r="CC40" s="83">
        <f t="shared" si="52"/>
        <v>6.4728722666666663</v>
      </c>
      <c r="CD40" s="83">
        <f t="shared" si="47"/>
        <v>5.6850546866666658</v>
      </c>
      <c r="CE40" s="83">
        <f t="shared" si="48"/>
        <v>0.78781758000000046</v>
      </c>
    </row>
    <row r="41" spans="1:83" x14ac:dyDescent="0.2">
      <c r="A41" s="32" t="s">
        <v>75</v>
      </c>
      <c r="B41" s="35">
        <f>'[4]D4 Gallon Forecast'!B75+'[4]D4 Gallon Forecast'!B91+'[4]D4 Gallon Forecast'!B107+'[4]D6 Gallon Forecast'!B68+'[4]D6 Gallon Forecast'!B84</f>
        <v>35432267</v>
      </c>
      <c r="C41" s="35">
        <f>'[4]D4 Gallon Forecast'!C75+'[4]D4 Gallon Forecast'!C91+'[4]D4 Gallon Forecast'!C107+'[4]D6 Gallon Forecast'!C68+'[4]D6 Gallon Forecast'!C84</f>
        <v>89398225</v>
      </c>
      <c r="D41" s="35">
        <f>'[4]D4 Gallon Forecast'!D75+'[4]D4 Gallon Forecast'!D91+'[4]D4 Gallon Forecast'!D107+'[4]D6 Gallon Forecast'!D68+'[4]D6 Gallon Forecast'!D84</f>
        <v>99992886</v>
      </c>
      <c r="E41" s="35">
        <f>'[4]D4 Gallon Forecast'!E75+'[4]D4 Gallon Forecast'!E91+'[4]D4 Gallon Forecast'!E107+'[4]D6 Gallon Forecast'!E68+'[4]D6 Gallon Forecast'!E84</f>
        <v>134887979</v>
      </c>
      <c r="F41" s="35">
        <f>'[4]D4 Gallon Forecast'!F75+'[4]D4 Gallon Forecast'!F91+'[4]D4 Gallon Forecast'!F107+'[4]D6 Gallon Forecast'!F68+'[4]D6 Gallon Forecast'!F84</f>
        <v>144878556</v>
      </c>
      <c r="G41" s="35">
        <f>'[4]D4 Gallon Forecast'!G75+'[4]D4 Gallon Forecast'!G91+'[4]D4 Gallon Forecast'!G107+'[4]D6 Gallon Forecast'!G68+'[4]D6 Gallon Forecast'!G84</f>
        <v>173973804</v>
      </c>
      <c r="H41" s="35">
        <f>'[4]D4 Gallon Forecast'!H75+'[4]D4 Gallon Forecast'!H91+'[4]D4 Gallon Forecast'!H107+'[4]D6 Gallon Forecast'!H68+'[4]D6 Gallon Forecast'!H84</f>
        <v>169509456</v>
      </c>
      <c r="I41" s="35">
        <f>'[4]D4 Gallon Forecast'!I75+'[4]D4 Gallon Forecast'!I91+'[4]D4 Gallon Forecast'!I107+'[4]D6 Gallon Forecast'!I68+'[4]D6 Gallon Forecast'!I84</f>
        <v>204921202</v>
      </c>
      <c r="J41" s="35">
        <f>'[4]D4 Gallon Forecast'!J75+'[4]D4 Gallon Forecast'!J91+'[4]D4 Gallon Forecast'!J107+'[4]D6 Gallon Forecast'!J68+'[4]D6 Gallon Forecast'!J84</f>
        <v>175091203</v>
      </c>
      <c r="K41" s="35">
        <f>'[4]D4 Gallon Forecast'!K75+'[4]D4 Gallon Forecast'!K91+'[4]D4 Gallon Forecast'!K107+'[4]D6 Gallon Forecast'!K68+'[4]D6 Gallon Forecast'!K84</f>
        <v>185779056</v>
      </c>
      <c r="L41" s="35">
        <f>'[4]D4 Gallon Forecast'!L75+'[4]D4 Gallon Forecast'!L91+'[4]D4 Gallon Forecast'!L107+'[4]D6 Gallon Forecast'!L68+'[4]D6 Gallon Forecast'!L84</f>
        <v>182733358</v>
      </c>
      <c r="M41" s="35">
        <f>'[4]D4 Gallon Forecast'!M75+'[4]D4 Gallon Forecast'!M91+'[4]D4 Gallon Forecast'!M107+'[4]D6 Gallon Forecast'!M68+'[4]D6 Gallon Forecast'!M84</f>
        <v>162272680</v>
      </c>
      <c r="N41" s="35">
        <f>'[4]D4 Gallon Forecast'!N75+'[4]D4 Gallon Forecast'!N91+'[4]D4 Gallon Forecast'!N107+'[4]D6 Gallon Forecast'!N68+'[4]D6 Gallon Forecast'!N84</f>
        <v>146261573</v>
      </c>
      <c r="O41" s="35">
        <f>'[4]D4 Gallon Forecast'!O75+'[4]D4 Gallon Forecast'!O91+'[4]D4 Gallon Forecast'!O107+'[4]D6 Gallon Forecast'!O68+'[4]D6 Gallon Forecast'!O84</f>
        <v>172912484</v>
      </c>
      <c r="P41" s="35">
        <f>'[4]D4 Gallon Forecast'!P75+'[4]D4 Gallon Forecast'!P91+'[4]D4 Gallon Forecast'!P107+'[4]D6 Gallon Forecast'!P68+'[4]D6 Gallon Forecast'!P84</f>
        <v>170840660</v>
      </c>
      <c r="Q41" s="36">
        <f>'[4]D4 Gallon Forecast'!Q75+'[4]D4 Gallon Forecast'!Q91+'[4]D4 Gallon Forecast'!Q107+'[4]D6 Gallon Forecast'!Q68+'[4]D6 Gallon Forecast'!Q84</f>
        <v>161006258.6196827</v>
      </c>
      <c r="R41" s="36">
        <f>'[4]D4 Gallon Forecast'!R75+'[4]D4 Gallon Forecast'!R91+'[4]D4 Gallon Forecast'!R107+'[4]D6 Gallon Forecast'!R68+'[4]D6 Gallon Forecast'!R84</f>
        <v>137169005.29176277</v>
      </c>
      <c r="S41" s="36">
        <f>'[4]D4 Gallon Forecast'!S75+'[4]D4 Gallon Forecast'!S91+'[4]D4 Gallon Forecast'!S107+'[4]D6 Gallon Forecast'!S68+'[4]D6 Gallon Forecast'!S84</f>
        <v>138216621.34464929</v>
      </c>
      <c r="T41" s="36">
        <f>'[4]D4 Gallon Forecast'!T75+'[4]D4 Gallon Forecast'!T91+'[4]D4 Gallon Forecast'!T107+'[4]D6 Gallon Forecast'!T68+'[4]D6 Gallon Forecast'!T84</f>
        <v>114673337.19466631</v>
      </c>
      <c r="U41" s="36">
        <f>'[4]D4 Gallon Forecast'!U75+'[4]D4 Gallon Forecast'!U91+'[4]D4 Gallon Forecast'!U107+'[4]D6 Gallon Forecast'!U68+'[4]D6 Gallon Forecast'!U84</f>
        <v>130471687.78009397</v>
      </c>
      <c r="V41" s="36">
        <f>'[4]D4 Gallon Forecast'!V75+'[4]D4 Gallon Forecast'!V91+'[4]D4 Gallon Forecast'!V107+'[4]D6 Gallon Forecast'!V68+'[4]D6 Gallon Forecast'!V84</f>
        <v>132635882.38752246</v>
      </c>
      <c r="W41" s="36">
        <f>'[4]D4 Gallon Forecast'!W75+'[4]D4 Gallon Forecast'!W91+'[4]D4 Gallon Forecast'!W107+'[4]D6 Gallon Forecast'!W68+'[4]D6 Gallon Forecast'!W84</f>
        <v>130151956.67314112</v>
      </c>
      <c r="X41" s="36">
        <f>'[4]D4 Gallon Forecast'!X75+'[4]D4 Gallon Forecast'!X91+'[4]D4 Gallon Forecast'!X107+'[4]D6 Gallon Forecast'!X68+'[4]D6 Gallon Forecast'!X84</f>
        <v>135876638.24936429</v>
      </c>
      <c r="Y41" s="36">
        <f>'[4]D4 Gallon Forecast'!Y75+'[4]D4 Gallon Forecast'!Y91+'[4]D4 Gallon Forecast'!Y107+'[4]D6 Gallon Forecast'!Y68+'[4]D6 Gallon Forecast'!Y84</f>
        <v>127871254.49392059</v>
      </c>
      <c r="Z41" s="36">
        <f>'[4]D4 Gallon Forecast'!Z75+'[4]D4 Gallon Forecast'!Z91+'[4]D4 Gallon Forecast'!Z107+'[4]D6 Gallon Forecast'!Z68+'[4]D6 Gallon Forecast'!Z84</f>
        <v>124914911.70396419</v>
      </c>
      <c r="AA41" s="36">
        <f>'[4]D4 Gallon Forecast'!AA75+'[4]D4 Gallon Forecast'!AA91+'[4]D4 Gallon Forecast'!AA107+'[4]D6 Gallon Forecast'!AA68+'[4]D6 Gallon Forecast'!AA84</f>
        <v>119462581.28329244</v>
      </c>
      <c r="AB41" s="36">
        <f>'[4]D4 Gallon Forecast'!AB75+'[4]D4 Gallon Forecast'!AB91+'[4]D4 Gallon Forecast'!AB107+'[4]D6 Gallon Forecast'!AB68+'[4]D6 Gallon Forecast'!AB84</f>
        <v>99825851.849011511</v>
      </c>
      <c r="AC41" s="36">
        <f>'[4]D4 Gallon Forecast'!AC75+'[4]D4 Gallon Forecast'!AC91+'[4]D4 Gallon Forecast'!AC107+'[4]D6 Gallon Forecast'!AC68+'[4]D6 Gallon Forecast'!AC84</f>
        <v>81340032.433850765</v>
      </c>
      <c r="AD41" s="36">
        <f>'[4]D4 Gallon Forecast'!AD75+'[4]D4 Gallon Forecast'!AD91+'[4]D4 Gallon Forecast'!AD107+'[4]D6 Gallon Forecast'!AD68+'[4]D6 Gallon Forecast'!AD84</f>
        <v>78752732.991144225</v>
      </c>
      <c r="AE41" s="36">
        <f>'[4]D4 Gallon Forecast'!AE75+'[4]D4 Gallon Forecast'!AE91+'[4]D4 Gallon Forecast'!AE107+'[4]D6 Gallon Forecast'!AE68+'[4]D6 Gallon Forecast'!AE84</f>
        <v>65565448.130591564</v>
      </c>
      <c r="AF41" s="36">
        <f>'[4]D4 Gallon Forecast'!AF75+'[4]D4 Gallon Forecast'!AF91+'[4]D4 Gallon Forecast'!AF107+'[4]D6 Gallon Forecast'!AF68+'[4]D6 Gallon Forecast'!AF84</f>
        <v>41349939.208846487</v>
      </c>
      <c r="AG41" s="36">
        <f>'[4]D4 Gallon Forecast'!AG75+'[4]D4 Gallon Forecast'!AG91+'[4]D4 Gallon Forecast'!AG107+'[4]D6 Gallon Forecast'!AG68+'[4]D6 Gallon Forecast'!AG84</f>
        <v>45250228.292136885</v>
      </c>
      <c r="AH41" s="36">
        <f>'[4]D4 Gallon Forecast'!AH75+'[4]D4 Gallon Forecast'!AH91+'[4]D4 Gallon Forecast'!AH107+'[4]D6 Gallon Forecast'!AH68+'[4]D6 Gallon Forecast'!AH84</f>
        <v>44664913.667905062</v>
      </c>
      <c r="AI41" s="36">
        <f>'[4]D4 Gallon Forecast'!AI75+'[4]D4 Gallon Forecast'!AI91+'[4]D4 Gallon Forecast'!AI107+'[4]D6 Gallon Forecast'!AI68+'[4]D6 Gallon Forecast'!AI84</f>
        <v>37903379.302126274</v>
      </c>
      <c r="AJ41" s="36">
        <f>'[4]D4 Gallon Forecast'!AJ75+'[4]D4 Gallon Forecast'!AJ91+'[4]D4 Gallon Forecast'!AJ107+'[4]D6 Gallon Forecast'!AJ68+'[4]D6 Gallon Forecast'!AJ84</f>
        <v>38272766.389807433</v>
      </c>
      <c r="AK41" s="36">
        <f>'[4]D4 Gallon Forecast'!AK75+'[4]D4 Gallon Forecast'!AK91+'[4]D4 Gallon Forecast'!AK107+'[4]D6 Gallon Forecast'!AK68+'[4]D6 Gallon Forecast'!AK84</f>
        <v>38394685.968292102</v>
      </c>
      <c r="AL41" s="36">
        <f>'[4]D4 Gallon Forecast'!AL75+'[4]D4 Gallon Forecast'!AL91+'[4]D4 Gallon Forecast'!AL107+'[4]D6 Gallon Forecast'!AL68+'[4]D6 Gallon Forecast'!AL84</f>
        <v>38286245.10294126</v>
      </c>
      <c r="AM41" s="36">
        <f>'[4]D4 Gallon Forecast'!AM75+'[4]D4 Gallon Forecast'!AM91+'[4]D4 Gallon Forecast'!AM107+'[4]D6 Gallon Forecast'!AM68+'[4]D6 Gallon Forecast'!AM84</f>
        <v>38280934.607287802</v>
      </c>
      <c r="AN41" s="36">
        <f>'[4]D4 Gallon Forecast'!AN75+'[4]D4 Gallon Forecast'!AN91+'[4]D4 Gallon Forecast'!AN107+'[4]D6 Gallon Forecast'!AN68+'[4]D6 Gallon Forecast'!AN84</f>
        <v>38867021.816012718</v>
      </c>
      <c r="AO41" s="36">
        <f>'[4]D4 Gallon Forecast'!AO75+'[4]D4 Gallon Forecast'!AO91+'[4]D4 Gallon Forecast'!AO107+'[4]D6 Gallon Forecast'!AO68+'[4]D6 Gallon Forecast'!AO84</f>
        <v>39480054.954392642</v>
      </c>
      <c r="AP41" s="36">
        <f>'[4]D4 Gallon Forecast'!AP75+'[4]D4 Gallon Forecast'!AP91+'[4]D4 Gallon Forecast'!AP107+'[4]D6 Gallon Forecast'!AP68+'[4]D6 Gallon Forecast'!AP84</f>
        <v>40227876.351753928</v>
      </c>
      <c r="AQ41" s="36"/>
      <c r="AR41" s="35">
        <f>O41/31</f>
        <v>5577822.064516129</v>
      </c>
      <c r="AS41" s="35">
        <f>N41/31</f>
        <v>4718115.2580645159</v>
      </c>
      <c r="AT41" s="35">
        <f>M41/31</f>
        <v>5234602.5806451617</v>
      </c>
      <c r="AU41" s="35">
        <f>L41/31</f>
        <v>5894624.4516129028</v>
      </c>
      <c r="AV41" s="35">
        <f t="shared" si="45"/>
        <v>859706.80645161308</v>
      </c>
      <c r="AW41" s="35">
        <f>SUM(J41:N41)/5/31</f>
        <v>5497663.6774193551</v>
      </c>
      <c r="AX41" s="35">
        <f t="shared" si="46"/>
        <v>80158.387096773833</v>
      </c>
      <c r="BB41" s="36">
        <f>'[4]D4 Gallon Forecast'!DK75+'[4]D4 Gallon Forecast'!DK107+'[4]D6 Gallon Forecast'!BK68+'[4]D6 Gallon Forecast'!BK84</f>
        <v>0</v>
      </c>
      <c r="BC41" s="36">
        <f t="shared" si="43"/>
        <v>172912484</v>
      </c>
      <c r="BP41" s="83">
        <f t="shared" ref="BP41:CC42" si="53">B41/31/1000000</f>
        <v>1.1429763548387095</v>
      </c>
      <c r="BQ41" s="83">
        <f t="shared" si="53"/>
        <v>2.883813709677419</v>
      </c>
      <c r="BR41" s="83">
        <f t="shared" si="53"/>
        <v>3.2255769677419357</v>
      </c>
      <c r="BS41" s="83">
        <f t="shared" si="53"/>
        <v>4.3512251290322581</v>
      </c>
      <c r="BT41" s="83">
        <f t="shared" si="53"/>
        <v>4.6735018064516129</v>
      </c>
      <c r="BU41" s="83">
        <f t="shared" si="53"/>
        <v>5.6120581935483873</v>
      </c>
      <c r="BV41" s="83">
        <f t="shared" si="53"/>
        <v>5.4680469677419357</v>
      </c>
      <c r="BW41" s="83">
        <f t="shared" si="53"/>
        <v>6.6103613548387097</v>
      </c>
      <c r="BX41" s="83">
        <f t="shared" si="53"/>
        <v>5.6481033225806447</v>
      </c>
      <c r="BY41" s="83">
        <f t="shared" si="53"/>
        <v>5.9928727741935486</v>
      </c>
      <c r="BZ41" s="83">
        <f t="shared" si="53"/>
        <v>5.8946244516129029</v>
      </c>
      <c r="CA41" s="83">
        <f t="shared" si="53"/>
        <v>5.2346025806451619</v>
      </c>
      <c r="CB41" s="83">
        <f t="shared" si="53"/>
        <v>4.7181152580645156</v>
      </c>
      <c r="CC41" s="83">
        <f t="shared" si="53"/>
        <v>5.5778220645161287</v>
      </c>
      <c r="CD41" s="83">
        <f t="shared" si="47"/>
        <v>5.4976636774193546</v>
      </c>
      <c r="CE41" s="83">
        <f t="shared" si="48"/>
        <v>8.0158387096774142E-2</v>
      </c>
    </row>
    <row r="42" spans="1:83" x14ac:dyDescent="0.2">
      <c r="A42" s="32" t="s">
        <v>76</v>
      </c>
      <c r="B42" s="35">
        <f>'[4]D4 Gallon Forecast'!B76+'[4]D4 Gallon Forecast'!B92+'[4]D4 Gallon Forecast'!B108+'[4]D6 Gallon Forecast'!B69+'[4]D6 Gallon Forecast'!B85</f>
        <v>31148672</v>
      </c>
      <c r="C42" s="35">
        <f>'[4]D4 Gallon Forecast'!C76+'[4]D4 Gallon Forecast'!C92+'[4]D4 Gallon Forecast'!C108+'[4]D6 Gallon Forecast'!C69+'[4]D6 Gallon Forecast'!C85</f>
        <v>103648360</v>
      </c>
      <c r="D42" s="35">
        <f>'[4]D4 Gallon Forecast'!D76+'[4]D4 Gallon Forecast'!D92+'[4]D4 Gallon Forecast'!D108+'[4]D6 Gallon Forecast'!D69+'[4]D6 Gallon Forecast'!D85</f>
        <v>99653767</v>
      </c>
      <c r="E42" s="35">
        <f>'[4]D4 Gallon Forecast'!E76+'[4]D4 Gallon Forecast'!E92+'[4]D4 Gallon Forecast'!E108+'[4]D6 Gallon Forecast'!E69+'[4]D6 Gallon Forecast'!E85</f>
        <v>146109349</v>
      </c>
      <c r="F42" s="35">
        <f>'[4]D4 Gallon Forecast'!F76+'[4]D4 Gallon Forecast'!F92+'[4]D4 Gallon Forecast'!F108+'[4]D6 Gallon Forecast'!F69+'[4]D6 Gallon Forecast'!F85</f>
        <v>138647613</v>
      </c>
      <c r="G42" s="35">
        <f>'[4]D4 Gallon Forecast'!G76+'[4]D4 Gallon Forecast'!G92+'[4]D4 Gallon Forecast'!G108+'[4]D6 Gallon Forecast'!G69+'[4]D6 Gallon Forecast'!G85</f>
        <v>160719562</v>
      </c>
      <c r="H42" s="35">
        <f>'[4]D4 Gallon Forecast'!H76+'[4]D4 Gallon Forecast'!H92+'[4]D4 Gallon Forecast'!H108+'[4]D6 Gallon Forecast'!H69+'[4]D6 Gallon Forecast'!H85</f>
        <v>236958773</v>
      </c>
      <c r="I42" s="35">
        <f>'[4]D4 Gallon Forecast'!I76+'[4]D4 Gallon Forecast'!I92+'[4]D4 Gallon Forecast'!I108+'[4]D6 Gallon Forecast'!I69+'[4]D6 Gallon Forecast'!I85</f>
        <v>209577776</v>
      </c>
      <c r="J42" s="35">
        <f>'[4]D4 Gallon Forecast'!J76+'[4]D4 Gallon Forecast'!J92+'[4]D4 Gallon Forecast'!J108+'[4]D6 Gallon Forecast'!J69+'[4]D6 Gallon Forecast'!J85</f>
        <v>193652290</v>
      </c>
      <c r="K42" s="35">
        <f>'[4]D4 Gallon Forecast'!K76+'[4]D4 Gallon Forecast'!K92+'[4]D4 Gallon Forecast'!K108+'[4]D6 Gallon Forecast'!K69+'[4]D6 Gallon Forecast'!K85</f>
        <v>162420863</v>
      </c>
      <c r="L42" s="35">
        <f>'[4]D4 Gallon Forecast'!L76+'[4]D4 Gallon Forecast'!L92+'[4]D4 Gallon Forecast'!L108+'[4]D6 Gallon Forecast'!L69+'[4]D6 Gallon Forecast'!L85</f>
        <v>187845121</v>
      </c>
      <c r="M42" s="35">
        <f>'[4]D4 Gallon Forecast'!M76+'[4]D4 Gallon Forecast'!M92+'[4]D4 Gallon Forecast'!M108+'[4]D6 Gallon Forecast'!M69+'[4]D6 Gallon Forecast'!M85</f>
        <v>165630384</v>
      </c>
      <c r="N42" s="35">
        <f>'[4]D4 Gallon Forecast'!N76+'[4]D4 Gallon Forecast'!N92+'[4]D4 Gallon Forecast'!N108+'[4]D6 Gallon Forecast'!N69+'[4]D6 Gallon Forecast'!N85</f>
        <v>167103111</v>
      </c>
      <c r="O42" s="35">
        <f>'[4]D4 Gallon Forecast'!O76+'[4]D4 Gallon Forecast'!O92+'[4]D4 Gallon Forecast'!O108+'[4]D6 Gallon Forecast'!O69+'[4]D6 Gallon Forecast'!O85</f>
        <v>196585405</v>
      </c>
      <c r="P42" s="35">
        <f>'[4]D4 Gallon Forecast'!P76+'[4]D4 Gallon Forecast'!P92+'[4]D4 Gallon Forecast'!P108+'[4]D6 Gallon Forecast'!P69+'[4]D6 Gallon Forecast'!P85</f>
        <v>164221312</v>
      </c>
      <c r="Q42" s="36">
        <f>'[4]D4 Gallon Forecast'!Q76+'[4]D4 Gallon Forecast'!Q92+'[4]D4 Gallon Forecast'!Q108+'[4]D6 Gallon Forecast'!Q69+'[4]D6 Gallon Forecast'!Q85</f>
        <v>169000157.69830978</v>
      </c>
      <c r="R42" s="36">
        <f>'[4]D4 Gallon Forecast'!R76+'[4]D4 Gallon Forecast'!R92+'[4]D4 Gallon Forecast'!R108+'[4]D6 Gallon Forecast'!R69+'[4]D6 Gallon Forecast'!R85</f>
        <v>144972363.64379805</v>
      </c>
      <c r="S42" s="36">
        <f>'[4]D4 Gallon Forecast'!S76+'[4]D4 Gallon Forecast'!S92+'[4]D4 Gallon Forecast'!S108+'[4]D6 Gallon Forecast'!S69+'[4]D6 Gallon Forecast'!S85</f>
        <v>146765905.30030289</v>
      </c>
      <c r="T42" s="36">
        <f>'[4]D4 Gallon Forecast'!T76+'[4]D4 Gallon Forecast'!T92+'[4]D4 Gallon Forecast'!T108+'[4]D6 Gallon Forecast'!T69+'[4]D6 Gallon Forecast'!T85</f>
        <v>120829761.35598384</v>
      </c>
      <c r="U42" s="36">
        <f>'[4]D4 Gallon Forecast'!U76+'[4]D4 Gallon Forecast'!U92+'[4]D4 Gallon Forecast'!U108+'[4]D6 Gallon Forecast'!U69+'[4]D6 Gallon Forecast'!U85</f>
        <v>134990197.59383392</v>
      </c>
      <c r="V42" s="36">
        <f>'[4]D4 Gallon Forecast'!V76+'[4]D4 Gallon Forecast'!V92+'[4]D4 Gallon Forecast'!V108+'[4]D6 Gallon Forecast'!V69+'[4]D6 Gallon Forecast'!V85</f>
        <v>139470204.17335248</v>
      </c>
      <c r="W42" s="36">
        <f>'[4]D4 Gallon Forecast'!W76+'[4]D4 Gallon Forecast'!W92+'[4]D4 Gallon Forecast'!W108+'[4]D6 Gallon Forecast'!W69+'[4]D6 Gallon Forecast'!W85</f>
        <v>136887638.91578224</v>
      </c>
      <c r="X42" s="36">
        <f>'[4]D4 Gallon Forecast'!X76+'[4]D4 Gallon Forecast'!X92+'[4]D4 Gallon Forecast'!X108+'[4]D6 Gallon Forecast'!X69+'[4]D6 Gallon Forecast'!X85</f>
        <v>142396525.0376654</v>
      </c>
      <c r="Y42" s="36">
        <f>'[4]D4 Gallon Forecast'!Y76+'[4]D4 Gallon Forecast'!Y92+'[4]D4 Gallon Forecast'!Y108+'[4]D6 Gallon Forecast'!Y69+'[4]D6 Gallon Forecast'!Y85</f>
        <v>133670866.06031439</v>
      </c>
      <c r="Z42" s="36">
        <f>'[4]D4 Gallon Forecast'!Z76+'[4]D4 Gallon Forecast'!Z92+'[4]D4 Gallon Forecast'!Z108+'[4]D6 Gallon Forecast'!Z69+'[4]D6 Gallon Forecast'!Z85</f>
        <v>130509543.85458183</v>
      </c>
      <c r="AA42" s="36">
        <f>'[4]D4 Gallon Forecast'!AA76+'[4]D4 Gallon Forecast'!AA92+'[4]D4 Gallon Forecast'!AA108+'[4]D6 Gallon Forecast'!AA69+'[4]D6 Gallon Forecast'!AA85</f>
        <v>125044671.37849219</v>
      </c>
      <c r="AB42" s="36">
        <f>'[4]D4 Gallon Forecast'!AB76+'[4]D4 Gallon Forecast'!AB92+'[4]D4 Gallon Forecast'!AB108+'[4]D6 Gallon Forecast'!AB69+'[4]D6 Gallon Forecast'!AB85</f>
        <v>104429122.39694628</v>
      </c>
      <c r="AC42" s="36">
        <f>'[4]D4 Gallon Forecast'!AC76+'[4]D4 Gallon Forecast'!AC92+'[4]D4 Gallon Forecast'!AC108+'[4]D6 Gallon Forecast'!AC69+'[4]D6 Gallon Forecast'!AC85</f>
        <v>85085652.908124119</v>
      </c>
      <c r="AD42" s="36">
        <f>'[4]D4 Gallon Forecast'!AD76+'[4]D4 Gallon Forecast'!AD92+'[4]D4 Gallon Forecast'!AD108+'[4]D6 Gallon Forecast'!AD69+'[4]D6 Gallon Forecast'!AD85</f>
        <v>82195354.3532058</v>
      </c>
      <c r="AE42" s="36">
        <f>'[4]D4 Gallon Forecast'!AE76+'[4]D4 Gallon Forecast'!AE92+'[4]D4 Gallon Forecast'!AE108+'[4]D6 Gallon Forecast'!AE69+'[4]D6 Gallon Forecast'!AE85</f>
        <v>68447846.033156186</v>
      </c>
      <c r="AF42" s="36">
        <f>'[4]D4 Gallon Forecast'!AF76+'[4]D4 Gallon Forecast'!AF92+'[4]D4 Gallon Forecast'!AF108+'[4]D6 Gallon Forecast'!AF69+'[4]D6 Gallon Forecast'!AF85</f>
        <v>43449474.588664748</v>
      </c>
      <c r="AG42" s="36">
        <f>'[4]D4 Gallon Forecast'!AG76+'[4]D4 Gallon Forecast'!AG92+'[4]D4 Gallon Forecast'!AG108+'[4]D6 Gallon Forecast'!AG69+'[4]D6 Gallon Forecast'!AG85</f>
        <v>47472718.545479544</v>
      </c>
      <c r="AH42" s="36">
        <f>'[4]D4 Gallon Forecast'!AH76+'[4]D4 Gallon Forecast'!AH92+'[4]D4 Gallon Forecast'!AH108+'[4]D6 Gallon Forecast'!AH69+'[4]D6 Gallon Forecast'!AH85</f>
        <v>46860936.393797725</v>
      </c>
      <c r="AI42" s="36">
        <f>'[4]D4 Gallon Forecast'!AI76+'[4]D4 Gallon Forecast'!AI92+'[4]D4 Gallon Forecast'!AI108+'[4]D6 Gallon Forecast'!AI69+'[4]D6 Gallon Forecast'!AI85</f>
        <v>39874869.033161454</v>
      </c>
      <c r="AJ42" s="36">
        <f>'[4]D4 Gallon Forecast'!AJ76+'[4]D4 Gallon Forecast'!AJ92+'[4]D4 Gallon Forecast'!AJ108+'[4]D6 Gallon Forecast'!AJ69+'[4]D6 Gallon Forecast'!AJ85</f>
        <v>40260214.191168524</v>
      </c>
      <c r="AK42" s="36">
        <f>'[4]D4 Gallon Forecast'!AK76+'[4]D4 Gallon Forecast'!AK92+'[4]D4 Gallon Forecast'!AK108+'[4]D6 Gallon Forecast'!AK69+'[4]D6 Gallon Forecast'!AK85</f>
        <v>40388037.104947247</v>
      </c>
      <c r="AL42" s="36">
        <f>'[4]D4 Gallon Forecast'!AL76+'[4]D4 Gallon Forecast'!AL92+'[4]D4 Gallon Forecast'!AL108+'[4]D6 Gallon Forecast'!AL69+'[4]D6 Gallon Forecast'!AL85</f>
        <v>40274234.177455969</v>
      </c>
      <c r="AM42" s="36">
        <f>'[4]D4 Gallon Forecast'!AM76+'[4]D4 Gallon Forecast'!AM92+'[4]D4 Gallon Forecast'!AM108+'[4]D6 Gallon Forecast'!AM69+'[4]D6 Gallon Forecast'!AM85</f>
        <v>40267662.092834257</v>
      </c>
      <c r="AN42" s="36">
        <f>'[4]D4 Gallon Forecast'!AN76+'[4]D4 Gallon Forecast'!AN92+'[4]D4 Gallon Forecast'!AN108+'[4]D6 Gallon Forecast'!AN69+'[4]D6 Gallon Forecast'!AN85</f>
        <v>40873839.532915995</v>
      </c>
      <c r="AO42" s="36">
        <f>'[4]D4 Gallon Forecast'!AO76+'[4]D4 Gallon Forecast'!AO92+'[4]D4 Gallon Forecast'!AO108+'[4]D6 Gallon Forecast'!AO69+'[4]D6 Gallon Forecast'!AO85</f>
        <v>41508132.004749306</v>
      </c>
      <c r="AP42" s="36">
        <f>'[4]D4 Gallon Forecast'!AP76+'[4]D4 Gallon Forecast'!AP92+'[4]D4 Gallon Forecast'!AP108+'[4]D6 Gallon Forecast'!AP69+'[4]D6 Gallon Forecast'!AP85</f>
        <v>42280864.171454713</v>
      </c>
      <c r="AQ42" s="36"/>
      <c r="AR42" s="35">
        <f>O42/31</f>
        <v>6341464.6774193551</v>
      </c>
      <c r="AS42" s="35">
        <f>N42/31</f>
        <v>5390422.935483871</v>
      </c>
      <c r="AT42" s="35">
        <f>M42/31</f>
        <v>5342915.6129032262</v>
      </c>
      <c r="AU42" s="35">
        <f>L42/31</f>
        <v>6059520.0322580645</v>
      </c>
      <c r="AV42" s="35">
        <f t="shared" si="45"/>
        <v>951041.74193548411</v>
      </c>
      <c r="AW42" s="35">
        <f>SUM(J42:N42)/5/31</f>
        <v>5655817.8645161297</v>
      </c>
      <c r="AX42" s="35">
        <f t="shared" si="46"/>
        <v>685646.81290322542</v>
      </c>
      <c r="BB42" s="36">
        <f>'[4]D4 Gallon Forecast'!DK76+'[4]D4 Gallon Forecast'!DK108+'[4]D6 Gallon Forecast'!BK69+'[4]D6 Gallon Forecast'!BK85</f>
        <v>0</v>
      </c>
      <c r="BC42" s="36">
        <f t="shared" si="43"/>
        <v>196585405</v>
      </c>
      <c r="BP42" s="83">
        <f t="shared" si="53"/>
        <v>1.004795870967742</v>
      </c>
      <c r="BQ42" s="83">
        <f t="shared" si="53"/>
        <v>3.3434954838709676</v>
      </c>
      <c r="BR42" s="83">
        <f t="shared" si="53"/>
        <v>3.2146376451612904</v>
      </c>
      <c r="BS42" s="83">
        <f t="shared" si="53"/>
        <v>4.7132048064516132</v>
      </c>
      <c r="BT42" s="83">
        <f t="shared" si="53"/>
        <v>4.4725036451612903</v>
      </c>
      <c r="BU42" s="83">
        <f t="shared" si="53"/>
        <v>5.1845020000000002</v>
      </c>
      <c r="BV42" s="83">
        <f t="shared" si="53"/>
        <v>7.6438313870967738</v>
      </c>
      <c r="BW42" s="83">
        <f t="shared" si="53"/>
        <v>6.7605734193548379</v>
      </c>
      <c r="BX42" s="83">
        <f t="shared" si="53"/>
        <v>6.2468480645161293</v>
      </c>
      <c r="BY42" s="83">
        <f t="shared" si="53"/>
        <v>5.2393826774193553</v>
      </c>
      <c r="BZ42" s="83">
        <f t="shared" si="53"/>
        <v>6.0595200322580647</v>
      </c>
      <c r="CA42" s="83">
        <f t="shared" si="53"/>
        <v>5.3429156129032265</v>
      </c>
      <c r="CB42" s="83">
        <f t="shared" si="53"/>
        <v>5.3904229354838709</v>
      </c>
      <c r="CC42" s="84">
        <f t="shared" si="53"/>
        <v>6.3414646774193555</v>
      </c>
      <c r="CD42" s="83">
        <f t="shared" si="47"/>
        <v>5.6558178645161288</v>
      </c>
      <c r="CE42" s="83">
        <f t="shared" si="48"/>
        <v>0.68564681290322671</v>
      </c>
    </row>
    <row r="43" spans="1:83" x14ac:dyDescent="0.2">
      <c r="A43" s="32" t="s">
        <v>77</v>
      </c>
      <c r="B43" s="35">
        <f>'[4]D4 Gallon Forecast'!B77+'[4]D4 Gallon Forecast'!B93+'[4]D4 Gallon Forecast'!B109+'[4]D6 Gallon Forecast'!B70+'[4]D6 Gallon Forecast'!B86</f>
        <v>36919404</v>
      </c>
      <c r="C43" s="35">
        <f>'[4]D4 Gallon Forecast'!C77+'[4]D4 Gallon Forecast'!C93+'[4]D4 Gallon Forecast'!C109+'[4]D6 Gallon Forecast'!C70+'[4]D6 Gallon Forecast'!C86</f>
        <v>119149133</v>
      </c>
      <c r="D43" s="35">
        <f>'[4]D4 Gallon Forecast'!D77+'[4]D4 Gallon Forecast'!D93+'[4]D4 Gallon Forecast'!D109+'[4]D6 Gallon Forecast'!D70+'[4]D6 Gallon Forecast'!D86</f>
        <v>85342771</v>
      </c>
      <c r="E43" s="35">
        <f>'[4]D4 Gallon Forecast'!E77+'[4]D4 Gallon Forecast'!E93+'[4]D4 Gallon Forecast'!E109+'[4]D6 Gallon Forecast'!E70+'[4]D6 Gallon Forecast'!E86</f>
        <v>138330513</v>
      </c>
      <c r="F43" s="35">
        <f>'[4]D4 Gallon Forecast'!F77+'[4]D4 Gallon Forecast'!F93+'[4]D4 Gallon Forecast'!F109+'[4]D6 Gallon Forecast'!F70+'[4]D6 Gallon Forecast'!F86</f>
        <v>141899393</v>
      </c>
      <c r="G43" s="35">
        <f>'[4]D4 Gallon Forecast'!G77+'[4]D4 Gallon Forecast'!G93+'[4]D4 Gallon Forecast'!G109+'[4]D6 Gallon Forecast'!G70+'[4]D6 Gallon Forecast'!G86</f>
        <v>148545640</v>
      </c>
      <c r="H43" s="35">
        <f>'[4]D4 Gallon Forecast'!H77+'[4]D4 Gallon Forecast'!H93+'[4]D4 Gallon Forecast'!H109+'[4]D6 Gallon Forecast'!H70+'[4]D6 Gallon Forecast'!H86</f>
        <v>236714211</v>
      </c>
      <c r="I43" s="35">
        <f>'[4]D4 Gallon Forecast'!I77+'[4]D4 Gallon Forecast'!I93+'[4]D4 Gallon Forecast'!I109+'[4]D6 Gallon Forecast'!I70+'[4]D6 Gallon Forecast'!I86</f>
        <v>176230508</v>
      </c>
      <c r="J43" s="35">
        <f>'[4]D4 Gallon Forecast'!J77+'[4]D4 Gallon Forecast'!J93+'[4]D4 Gallon Forecast'!J109+'[4]D6 Gallon Forecast'!J70+'[4]D6 Gallon Forecast'!J86</f>
        <v>168821035</v>
      </c>
      <c r="K43" s="35">
        <f>'[4]D4 Gallon Forecast'!K77+'[4]D4 Gallon Forecast'!K93+'[4]D4 Gallon Forecast'!K109+'[4]D6 Gallon Forecast'!K70+'[4]D6 Gallon Forecast'!K86</f>
        <v>158518831</v>
      </c>
      <c r="L43" s="35">
        <f>'[4]D4 Gallon Forecast'!L77+'[4]D4 Gallon Forecast'!L93+'[4]D4 Gallon Forecast'!L109+'[4]D6 Gallon Forecast'!L70+'[4]D6 Gallon Forecast'!L86</f>
        <v>181919433</v>
      </c>
      <c r="M43" s="35">
        <f>'[4]D4 Gallon Forecast'!M77+'[4]D4 Gallon Forecast'!M93+'[4]D4 Gallon Forecast'!M109+'[4]D6 Gallon Forecast'!M70+'[4]D6 Gallon Forecast'!M86</f>
        <v>151727069</v>
      </c>
      <c r="N43" s="35">
        <f>'[4]D4 Gallon Forecast'!N77+'[4]D4 Gallon Forecast'!N93+'[4]D4 Gallon Forecast'!N109+'[4]D6 Gallon Forecast'!N70+'[4]D6 Gallon Forecast'!N86</f>
        <v>160952336</v>
      </c>
      <c r="O43" s="35">
        <f>'[4]D4 Gallon Forecast'!O77+'[4]D4 Gallon Forecast'!O93+'[4]D4 Gallon Forecast'!O109+'[4]D6 Gallon Forecast'!O70+'[4]D6 Gallon Forecast'!O86</f>
        <v>184335390</v>
      </c>
      <c r="P43" s="35">
        <f>'[4]D4 Gallon Forecast'!P77+'[4]D4 Gallon Forecast'!P93+'[4]D4 Gallon Forecast'!P109+'[4]D6 Gallon Forecast'!P70+'[4]D6 Gallon Forecast'!P86</f>
        <v>163462307</v>
      </c>
      <c r="Q43" s="36">
        <f>'[4]D4 Gallon Forecast'!Q77+'[4]D4 Gallon Forecast'!Q93+'[4]D4 Gallon Forecast'!Q109+'[4]D6 Gallon Forecast'!Q70+'[4]D6 Gallon Forecast'!Q86</f>
        <v>162154811.16424808</v>
      </c>
      <c r="R43" s="36">
        <f>'[4]D4 Gallon Forecast'!R77+'[4]D4 Gallon Forecast'!R93+'[4]D4 Gallon Forecast'!R109+'[4]D6 Gallon Forecast'!R70+'[4]D6 Gallon Forecast'!R86</f>
        <v>137086293.79612666</v>
      </c>
      <c r="S43" s="36">
        <f>'[4]D4 Gallon Forecast'!S77+'[4]D4 Gallon Forecast'!S93+'[4]D4 Gallon Forecast'!S109+'[4]D6 Gallon Forecast'!S70+'[4]D6 Gallon Forecast'!S86</f>
        <v>139721387.29376036</v>
      </c>
      <c r="T43" s="36">
        <f>'[4]D4 Gallon Forecast'!T77+'[4]D4 Gallon Forecast'!T93+'[4]D4 Gallon Forecast'!T109+'[4]D6 Gallon Forecast'!T70+'[4]D6 Gallon Forecast'!T86</f>
        <v>115167447.38760211</v>
      </c>
      <c r="U43" s="36">
        <f>'[4]D4 Gallon Forecast'!U77+'[4]D4 Gallon Forecast'!U93+'[4]D4 Gallon Forecast'!U109+'[4]D6 Gallon Forecast'!U70+'[4]D6 Gallon Forecast'!U86</f>
        <v>129142215.96835145</v>
      </c>
      <c r="V43" s="36">
        <f>'[4]D4 Gallon Forecast'!V77+'[4]D4 Gallon Forecast'!V93+'[4]D4 Gallon Forecast'!V109+'[4]D6 Gallon Forecast'!V70+'[4]D6 Gallon Forecast'!V86</f>
        <v>133016939.55099699</v>
      </c>
      <c r="W43" s="36">
        <f>'[4]D4 Gallon Forecast'!W77+'[4]D4 Gallon Forecast'!W93+'[4]D4 Gallon Forecast'!W109+'[4]D6 Gallon Forecast'!W70+'[4]D6 Gallon Forecast'!W86</f>
        <v>130333879.60389529</v>
      </c>
      <c r="X43" s="36">
        <f>'[4]D4 Gallon Forecast'!X77+'[4]D4 Gallon Forecast'!X93+'[4]D4 Gallon Forecast'!X109+'[4]D6 Gallon Forecast'!X70+'[4]D6 Gallon Forecast'!X86</f>
        <v>135561049.27801794</v>
      </c>
      <c r="Y43" s="36">
        <f>'[4]D4 Gallon Forecast'!Y77+'[4]D4 Gallon Forecast'!Y93+'[4]D4 Gallon Forecast'!Y109+'[4]D6 Gallon Forecast'!Y70+'[4]D6 Gallon Forecast'!Y86</f>
        <v>127272331.30523659</v>
      </c>
      <c r="Z43" s="36">
        <f>'[4]D4 Gallon Forecast'!Z77+'[4]D4 Gallon Forecast'!Z93+'[4]D4 Gallon Forecast'!Z109+'[4]D6 Gallon Forecast'!Z70+'[4]D6 Gallon Forecast'!Z86</f>
        <v>124295574.5440153</v>
      </c>
      <c r="AA43" s="36">
        <f>'[4]D4 Gallon Forecast'!AA77+'[4]D4 Gallon Forecast'!AA93+'[4]D4 Gallon Forecast'!AA109+'[4]D6 Gallon Forecast'!AA70+'[4]D6 Gallon Forecast'!AA86</f>
        <v>118986696.05776271</v>
      </c>
      <c r="AB43" s="36">
        <f>'[4]D4 Gallon Forecast'!AB77+'[4]D4 Gallon Forecast'!AB93+'[4]D4 Gallon Forecast'!AB109+'[4]D6 Gallon Forecast'!AB70+'[4]D6 Gallon Forecast'!AB86</f>
        <v>99356259.668761864</v>
      </c>
      <c r="AC43" s="36">
        <f>'[4]D4 Gallon Forecast'!AC77+'[4]D4 Gallon Forecast'!AC93+'[4]D4 Gallon Forecast'!AC109+'[4]D6 Gallon Forecast'!AC70+'[4]D6 Gallon Forecast'!AC86</f>
        <v>81009424.71369493</v>
      </c>
      <c r="AD43" s="36">
        <f>'[4]D4 Gallon Forecast'!AD77+'[4]D4 Gallon Forecast'!AD93+'[4]D4 Gallon Forecast'!AD109+'[4]D6 Gallon Forecast'!AD70+'[4]D6 Gallon Forecast'!AD86</f>
        <v>78163788.121042788</v>
      </c>
      <c r="AE43" s="36">
        <f>'[4]D4 Gallon Forecast'!AE77+'[4]D4 Gallon Forecast'!AE93+'[4]D4 Gallon Forecast'!AE109+'[4]D6 Gallon Forecast'!AE70+'[4]D6 Gallon Forecast'!AE86</f>
        <v>65107404.139099009</v>
      </c>
      <c r="AF43" s="36">
        <f>'[4]D4 Gallon Forecast'!AF77+'[4]D4 Gallon Forecast'!AF93+'[4]D4 Gallon Forecast'!AF109+'[4]D6 Gallon Forecast'!AF70+'[4]D6 Gallon Forecast'!AF86</f>
        <v>41524734.17974142</v>
      </c>
      <c r="AG43" s="36">
        <f>'[4]D4 Gallon Forecast'!AG77+'[4]D4 Gallon Forecast'!AG93+'[4]D4 Gallon Forecast'!AG109+'[4]D6 Gallon Forecast'!AG70+'[4]D6 Gallon Forecast'!AG86</f>
        <v>45320827.495612226</v>
      </c>
      <c r="AH43" s="36">
        <f>'[4]D4 Gallon Forecast'!AH77+'[4]D4 Gallon Forecast'!AH93+'[4]D4 Gallon Forecast'!AH109+'[4]D6 Gallon Forecast'!AH70+'[4]D6 Gallon Forecast'!AH86</f>
        <v>44749486.566241123</v>
      </c>
      <c r="AI43" s="36">
        <f>'[4]D4 Gallon Forecast'!AI77+'[4]D4 Gallon Forecast'!AI93+'[4]D4 Gallon Forecast'!AI109+'[4]D6 Gallon Forecast'!AI70+'[4]D6 Gallon Forecast'!AI86</f>
        <v>38166138.914446726</v>
      </c>
      <c r="AJ43" s="36">
        <f>'[4]D4 Gallon Forecast'!AJ77+'[4]D4 Gallon Forecast'!AJ93+'[4]D4 Gallon Forecast'!AJ109+'[4]D6 Gallon Forecast'!AJ70+'[4]D6 Gallon Forecast'!AJ86</f>
        <v>38531291.187709853</v>
      </c>
      <c r="AK43" s="36">
        <f>'[4]D4 Gallon Forecast'!AK77+'[4]D4 Gallon Forecast'!AK93+'[4]D4 Gallon Forecast'!AK109+'[4]D6 Gallon Forecast'!AK70+'[4]D6 Gallon Forecast'!AK86</f>
        <v>38651253.745393299</v>
      </c>
      <c r="AL43" s="36">
        <f>'[4]D4 Gallon Forecast'!AL77+'[4]D4 Gallon Forecast'!AL93+'[4]D4 Gallon Forecast'!AL109+'[4]D6 Gallon Forecast'!AL70+'[4]D6 Gallon Forecast'!AL86</f>
        <v>38543860.290196933</v>
      </c>
      <c r="AM43" s="36">
        <f>'[4]D4 Gallon Forecast'!AM77+'[4]D4 Gallon Forecast'!AM93+'[4]D4 Gallon Forecast'!AM109+'[4]D6 Gallon Forecast'!AM70+'[4]D6 Gallon Forecast'!AM86</f>
        <v>38536403.024718806</v>
      </c>
      <c r="AN43" s="36">
        <f>'[4]D4 Gallon Forecast'!AN77+'[4]D4 Gallon Forecast'!AN93+'[4]D4 Gallon Forecast'!AN109+'[4]D6 Gallon Forecast'!AN70+'[4]D6 Gallon Forecast'!AN86</f>
        <v>39111270.669496313</v>
      </c>
      <c r="AO43" s="36">
        <f>'[4]D4 Gallon Forecast'!AO77+'[4]D4 Gallon Forecast'!AO93+'[4]D4 Gallon Forecast'!AO109+'[4]D6 Gallon Forecast'!AO70+'[4]D6 Gallon Forecast'!AO86</f>
        <v>39712622.57803987</v>
      </c>
      <c r="AP43" s="36">
        <f>'[4]D4 Gallon Forecast'!AP77+'[4]D4 Gallon Forecast'!AP93+'[4]D4 Gallon Forecast'!AP109+'[4]D6 Gallon Forecast'!AP70+'[4]D6 Gallon Forecast'!AP86</f>
        <v>40442264.86818397</v>
      </c>
      <c r="AQ43" s="36"/>
      <c r="AR43" s="36">
        <f>O43/30</f>
        <v>6144513</v>
      </c>
      <c r="AS43" s="35">
        <f>N43/30</f>
        <v>5365077.8666666662</v>
      </c>
      <c r="AT43" s="35">
        <f>M43/30</f>
        <v>5057568.9666666668</v>
      </c>
      <c r="AU43" s="35">
        <f>L43/30</f>
        <v>6063981.0999999996</v>
      </c>
      <c r="AV43" s="36">
        <f t="shared" si="45"/>
        <v>779435.13333333377</v>
      </c>
      <c r="AW43" s="36">
        <f>SUM(J43:N43)/5/30</f>
        <v>5479591.3600000003</v>
      </c>
      <c r="AX43" s="36">
        <f t="shared" si="46"/>
        <v>664921.63999999966</v>
      </c>
      <c r="BB43" s="36">
        <f>'[4]D4 Gallon Forecast'!DK77+'[4]D4 Gallon Forecast'!DK109+'[4]D6 Gallon Forecast'!BK70+'[4]D6 Gallon Forecast'!BK86</f>
        <v>0</v>
      </c>
      <c r="BC43" s="36">
        <f t="shared" si="43"/>
        <v>184335390</v>
      </c>
      <c r="BP43" s="83">
        <f t="shared" ref="BP43:CC43" si="54">B43/30/1000000</f>
        <v>1.2306468000000002</v>
      </c>
      <c r="BQ43" s="83">
        <f t="shared" si="54"/>
        <v>3.9716377666666665</v>
      </c>
      <c r="BR43" s="83">
        <f t="shared" si="54"/>
        <v>2.8447590333333332</v>
      </c>
      <c r="BS43" s="83">
        <f t="shared" si="54"/>
        <v>4.6110170999999998</v>
      </c>
      <c r="BT43" s="83">
        <f t="shared" si="54"/>
        <v>4.7299797666666663</v>
      </c>
      <c r="BU43" s="83">
        <f t="shared" si="54"/>
        <v>4.951521333333333</v>
      </c>
      <c r="BV43" s="83">
        <f t="shared" si="54"/>
        <v>7.8904737000000003</v>
      </c>
      <c r="BW43" s="83">
        <f t="shared" si="54"/>
        <v>5.8743502666666663</v>
      </c>
      <c r="BX43" s="83">
        <f t="shared" si="54"/>
        <v>5.6273678333333335</v>
      </c>
      <c r="BY43" s="83">
        <f t="shared" si="54"/>
        <v>5.2839610333333331</v>
      </c>
      <c r="BZ43" s="83">
        <f t="shared" si="54"/>
        <v>6.0639810999999995</v>
      </c>
      <c r="CA43" s="83">
        <f t="shared" si="54"/>
        <v>5.0575689666666666</v>
      </c>
      <c r="CB43" s="83">
        <f t="shared" si="54"/>
        <v>5.3650778666666659</v>
      </c>
      <c r="CC43" s="84">
        <f t="shared" si="54"/>
        <v>6.1445129999999999</v>
      </c>
      <c r="CD43" s="83">
        <f t="shared" si="47"/>
        <v>5.4795913599999988</v>
      </c>
      <c r="CE43" s="83">
        <f t="shared" si="48"/>
        <v>0.66492164000000109</v>
      </c>
    </row>
    <row r="44" spans="1:83" x14ac:dyDescent="0.2">
      <c r="A44" s="32" t="s">
        <v>78</v>
      </c>
      <c r="B44" s="35">
        <f>'[4]D4 Gallon Forecast'!B78+'[4]D4 Gallon Forecast'!B94+'[4]D4 Gallon Forecast'!B110+'[4]D6 Gallon Forecast'!B71+'[4]D6 Gallon Forecast'!B87</f>
        <v>42879319</v>
      </c>
      <c r="C44" s="35">
        <f>'[4]D4 Gallon Forecast'!C78+'[4]D4 Gallon Forecast'!C94+'[4]D4 Gallon Forecast'!C110+'[4]D6 Gallon Forecast'!C71+'[4]D6 Gallon Forecast'!C87</f>
        <v>116501673</v>
      </c>
      <c r="D44" s="35">
        <f>'[4]D4 Gallon Forecast'!D78+'[4]D4 Gallon Forecast'!D94+'[4]D4 Gallon Forecast'!D110+'[4]D6 Gallon Forecast'!D71+'[4]D6 Gallon Forecast'!D87</f>
        <v>83115456</v>
      </c>
      <c r="E44" s="35">
        <f>'[4]D4 Gallon Forecast'!E78+'[4]D4 Gallon Forecast'!E94+'[4]D4 Gallon Forecast'!E110+'[4]D6 Gallon Forecast'!E71+'[4]D6 Gallon Forecast'!E87</f>
        <v>147522598</v>
      </c>
      <c r="F44" s="35">
        <f>'[4]D4 Gallon Forecast'!F78+'[4]D4 Gallon Forecast'!F94+'[4]D4 Gallon Forecast'!F110+'[4]D6 Gallon Forecast'!F71+'[4]D6 Gallon Forecast'!F87</f>
        <v>144674264</v>
      </c>
      <c r="G44" s="35">
        <f>'[4]D4 Gallon Forecast'!G78+'[4]D4 Gallon Forecast'!G94+'[4]D4 Gallon Forecast'!G110+'[4]D6 Gallon Forecast'!G71+'[4]D6 Gallon Forecast'!G87</f>
        <v>160164445</v>
      </c>
      <c r="H44" s="35">
        <f>'[4]D4 Gallon Forecast'!H78+'[4]D4 Gallon Forecast'!H94+'[4]D4 Gallon Forecast'!H110+'[4]D6 Gallon Forecast'!H71+'[4]D6 Gallon Forecast'!H87</f>
        <v>208101092</v>
      </c>
      <c r="I44" s="35">
        <f>'[4]D4 Gallon Forecast'!I78+'[4]D4 Gallon Forecast'!I94+'[4]D4 Gallon Forecast'!I110+'[4]D6 Gallon Forecast'!I71+'[4]D6 Gallon Forecast'!I87</f>
        <v>186033545</v>
      </c>
      <c r="J44" s="35">
        <f>'[4]D4 Gallon Forecast'!J78+'[4]D4 Gallon Forecast'!J94+'[4]D4 Gallon Forecast'!J110+'[4]D6 Gallon Forecast'!J71+'[4]D6 Gallon Forecast'!J87</f>
        <v>191266411</v>
      </c>
      <c r="K44" s="35">
        <f>'[4]D4 Gallon Forecast'!K78+'[4]D4 Gallon Forecast'!K94+'[4]D4 Gallon Forecast'!K110+'[4]D6 Gallon Forecast'!K71+'[4]D6 Gallon Forecast'!K87</f>
        <v>160399806</v>
      </c>
      <c r="L44" s="35">
        <f>'[4]D4 Gallon Forecast'!L78+'[4]D4 Gallon Forecast'!L94+'[4]D4 Gallon Forecast'!L110+'[4]D6 Gallon Forecast'!L71+'[4]D6 Gallon Forecast'!L87</f>
        <v>164772262</v>
      </c>
      <c r="M44" s="35">
        <f>'[4]D4 Gallon Forecast'!M78+'[4]D4 Gallon Forecast'!M94+'[4]D4 Gallon Forecast'!M110+'[4]D6 Gallon Forecast'!M71+'[4]D6 Gallon Forecast'!M87</f>
        <v>157667026</v>
      </c>
      <c r="N44" s="35">
        <f>'[4]D4 Gallon Forecast'!N78+'[4]D4 Gallon Forecast'!N94+'[4]D4 Gallon Forecast'!N110+'[4]D6 Gallon Forecast'!N71+'[4]D6 Gallon Forecast'!N87</f>
        <v>155371189</v>
      </c>
      <c r="O44" s="35">
        <f>'[4]D4 Gallon Forecast'!O78+'[4]D4 Gallon Forecast'!O94+'[4]D4 Gallon Forecast'!O110+'[4]D6 Gallon Forecast'!O71+'[4]D6 Gallon Forecast'!O87</f>
        <v>201131379</v>
      </c>
      <c r="P44" s="36">
        <f>'[4]D4 Gallon Forecast'!P78+'[4]D4 Gallon Forecast'!P94+'[4]D4 Gallon Forecast'!P110+'[4]D6 Gallon Forecast'!P71+'[4]D6 Gallon Forecast'!P87</f>
        <v>174761632</v>
      </c>
      <c r="Q44" s="36">
        <f>'[4]D4 Gallon Forecast'!Q78+'[4]D4 Gallon Forecast'!Q94+'[4]D4 Gallon Forecast'!Q110+'[4]D6 Gallon Forecast'!Q71+'[4]D6 Gallon Forecast'!Q87</f>
        <v>162701308.51817742</v>
      </c>
      <c r="R44" s="36">
        <f>'[4]D4 Gallon Forecast'!R78+'[4]D4 Gallon Forecast'!R94+'[4]D4 Gallon Forecast'!R110+'[4]D6 Gallon Forecast'!R71+'[4]D6 Gallon Forecast'!R87</f>
        <v>141451847.54922166</v>
      </c>
      <c r="S44" s="36">
        <f>'[4]D4 Gallon Forecast'!S78+'[4]D4 Gallon Forecast'!S94+'[4]D4 Gallon Forecast'!S110+'[4]D6 Gallon Forecast'!S71+'[4]D6 Gallon Forecast'!S87</f>
        <v>144255638.11243257</v>
      </c>
      <c r="T44" s="36">
        <f>'[4]D4 Gallon Forecast'!T78+'[4]D4 Gallon Forecast'!T94+'[4]D4 Gallon Forecast'!T110+'[4]D6 Gallon Forecast'!T71+'[4]D6 Gallon Forecast'!T87</f>
        <v>121021665.44634108</v>
      </c>
      <c r="U44" s="36">
        <f>'[4]D4 Gallon Forecast'!U78+'[4]D4 Gallon Forecast'!U94+'[4]D4 Gallon Forecast'!U110+'[4]D6 Gallon Forecast'!U71+'[4]D6 Gallon Forecast'!U87</f>
        <v>134556352.36615777</v>
      </c>
      <c r="V44" s="36">
        <f>'[4]D4 Gallon Forecast'!V78+'[4]D4 Gallon Forecast'!V94+'[4]D4 Gallon Forecast'!V110+'[4]D6 Gallon Forecast'!V71+'[4]D6 Gallon Forecast'!V87</f>
        <v>137065559.7274881</v>
      </c>
      <c r="W44" s="36">
        <f>'[4]D4 Gallon Forecast'!W78+'[4]D4 Gallon Forecast'!W94+'[4]D4 Gallon Forecast'!W110+'[4]D6 Gallon Forecast'!W71+'[4]D6 Gallon Forecast'!W87</f>
        <v>135144375.53656602</v>
      </c>
      <c r="X44" s="36">
        <f>'[4]D4 Gallon Forecast'!X78+'[4]D4 Gallon Forecast'!X94+'[4]D4 Gallon Forecast'!X110+'[4]D6 Gallon Forecast'!X71+'[4]D6 Gallon Forecast'!X87</f>
        <v>140394861.09062743</v>
      </c>
      <c r="Y44" s="36">
        <f>'[4]D4 Gallon Forecast'!Y78+'[4]D4 Gallon Forecast'!Y94+'[4]D4 Gallon Forecast'!Y110+'[4]D6 Gallon Forecast'!Y71+'[4]D6 Gallon Forecast'!Y87</f>
        <v>131927376.4880057</v>
      </c>
      <c r="Z44" s="36">
        <f>'[4]D4 Gallon Forecast'!Z78+'[4]D4 Gallon Forecast'!Z94+'[4]D4 Gallon Forecast'!Z110+'[4]D6 Gallon Forecast'!Z71+'[4]D6 Gallon Forecast'!Z87</f>
        <v>128632934.12666774</v>
      </c>
      <c r="AA44" s="36">
        <f>'[4]D4 Gallon Forecast'!AA78+'[4]D4 Gallon Forecast'!AA94+'[4]D4 Gallon Forecast'!AA110+'[4]D6 Gallon Forecast'!AA71+'[4]D6 Gallon Forecast'!AA87</f>
        <v>122953245.53975621</v>
      </c>
      <c r="AB44" s="36">
        <f>'[4]D4 Gallon Forecast'!AB78+'[4]D4 Gallon Forecast'!AB94+'[4]D4 Gallon Forecast'!AB110+'[4]D6 Gallon Forecast'!AB71+'[4]D6 Gallon Forecast'!AB87</f>
        <v>102763768.72541015</v>
      </c>
      <c r="AC44" s="36">
        <f>'[4]D4 Gallon Forecast'!AC78+'[4]D4 Gallon Forecast'!AC94+'[4]D4 Gallon Forecast'!AC110+'[4]D6 Gallon Forecast'!AC71+'[4]D6 Gallon Forecast'!AC87</f>
        <v>83820005.535926387</v>
      </c>
      <c r="AD44" s="36">
        <f>'[4]D4 Gallon Forecast'!AD78+'[4]D4 Gallon Forecast'!AD94+'[4]D4 Gallon Forecast'!AD110+'[4]D6 Gallon Forecast'!AD71+'[4]D6 Gallon Forecast'!AD87</f>
        <v>80724498.185743228</v>
      </c>
      <c r="AE44" s="36">
        <f>'[4]D4 Gallon Forecast'!AE78+'[4]D4 Gallon Forecast'!AE94+'[4]D4 Gallon Forecast'!AE110+'[4]D6 Gallon Forecast'!AE71+'[4]D6 Gallon Forecast'!AE87</f>
        <v>67211521.520376608</v>
      </c>
      <c r="AF44" s="36">
        <f>'[4]D4 Gallon Forecast'!AF78+'[4]D4 Gallon Forecast'!AF94+'[4]D4 Gallon Forecast'!AF110+'[4]D6 Gallon Forecast'!AF71+'[4]D6 Gallon Forecast'!AF87</f>
        <v>43091468.971361257</v>
      </c>
      <c r="AG44" s="36">
        <f>'[4]D4 Gallon Forecast'!AG78+'[4]D4 Gallon Forecast'!AG94+'[4]D4 Gallon Forecast'!AG110+'[4]D6 Gallon Forecast'!AG71+'[4]D6 Gallon Forecast'!AG87</f>
        <v>46986512.357994154</v>
      </c>
      <c r="AH44" s="36">
        <f>'[4]D4 Gallon Forecast'!AH78+'[4]D4 Gallon Forecast'!AH94+'[4]D4 Gallon Forecast'!AH110+'[4]D6 Gallon Forecast'!AH71+'[4]D6 Gallon Forecast'!AH87</f>
        <v>46398222.942161135</v>
      </c>
      <c r="AI44" s="36">
        <f>'[4]D4 Gallon Forecast'!AI78+'[4]D4 Gallon Forecast'!AI94+'[4]D4 Gallon Forecast'!AI110+'[4]D6 Gallon Forecast'!AI71+'[4]D6 Gallon Forecast'!AI87</f>
        <v>39658257.407292791</v>
      </c>
      <c r="AJ44" s="36">
        <f>'[4]D4 Gallon Forecast'!AJ78+'[4]D4 Gallon Forecast'!AJ94+'[4]D4 Gallon Forecast'!AJ110+'[4]D6 Gallon Forecast'!AJ71+'[4]D6 Gallon Forecast'!AJ87</f>
        <v>40029154.094108157</v>
      </c>
      <c r="AK44" s="36">
        <f>'[4]D4 Gallon Forecast'!AK78+'[4]D4 Gallon Forecast'!AK94+'[4]D4 Gallon Forecast'!AK110+'[4]D6 Gallon Forecast'!AK71+'[4]D6 Gallon Forecast'!AK87</f>
        <v>40153574.426920965</v>
      </c>
      <c r="AL44" s="36">
        <f>'[4]D4 Gallon Forecast'!AL78+'[4]D4 Gallon Forecast'!AL94+'[4]D4 Gallon Forecast'!AL110+'[4]D6 Gallon Forecast'!AL71+'[4]D6 Gallon Forecast'!AL87</f>
        <v>40045107.610000342</v>
      </c>
      <c r="AM44" s="36">
        <f>'[4]D4 Gallon Forecast'!AM78+'[4]D4 Gallon Forecast'!AM94+'[4]D4 Gallon Forecast'!AM110+'[4]D6 Gallon Forecast'!AM71+'[4]D6 Gallon Forecast'!AM87</f>
        <v>40037386.377240419</v>
      </c>
      <c r="AN44" s="36">
        <f>'[4]D4 Gallon Forecast'!AN78+'[4]D4 Gallon Forecast'!AN94+'[4]D4 Gallon Forecast'!AN110+'[4]D6 Gallon Forecast'!AN71+'[4]D6 Gallon Forecast'!AN87</f>
        <v>40623594.496218041</v>
      </c>
      <c r="AO44" s="36">
        <f>'[4]D4 Gallon Forecast'!AO78+'[4]D4 Gallon Forecast'!AO94+'[4]D4 Gallon Forecast'!AO110+'[4]D6 Gallon Forecast'!AO71+'[4]D6 Gallon Forecast'!AO87</f>
        <v>41237363.069074795</v>
      </c>
      <c r="AP44" s="36">
        <f>'[4]D4 Gallon Forecast'!AP78+'[4]D4 Gallon Forecast'!AP94+'[4]D4 Gallon Forecast'!AP110+'[4]D6 Gallon Forecast'!AP71+'[4]D6 Gallon Forecast'!AP87</f>
        <v>41983739.742161736</v>
      </c>
      <c r="AQ44" s="36"/>
      <c r="AR44" s="36">
        <f>O44/31</f>
        <v>6488109</v>
      </c>
      <c r="AS44" s="35">
        <f>N44/31</f>
        <v>5011973.8387096776</v>
      </c>
      <c r="AT44" s="35">
        <f>M44/31</f>
        <v>5086033.0967741935</v>
      </c>
      <c r="AU44" s="35">
        <f>L44/31</f>
        <v>5315234.2580645159</v>
      </c>
      <c r="AV44" s="36">
        <f t="shared" si="45"/>
        <v>1476135.1612903224</v>
      </c>
      <c r="AW44" s="36">
        <f>SUM(J44:N44)/5/31</f>
        <v>5351462.5419354839</v>
      </c>
      <c r="AX44" s="36">
        <f t="shared" si="46"/>
        <v>1136646.4580645161</v>
      </c>
      <c r="BB44" s="36">
        <f>'[4]D4 Gallon Forecast'!DK78+'[4]D4 Gallon Forecast'!DK110+'[4]D6 Gallon Forecast'!BK71+'[4]D6 Gallon Forecast'!BK87</f>
        <v>0</v>
      </c>
      <c r="BC44" s="36">
        <f t="shared" si="43"/>
        <v>201131379</v>
      </c>
      <c r="BP44" s="83">
        <f t="shared" ref="BP44:CC44" si="55">B44/31/1000000</f>
        <v>1.3832038387096774</v>
      </c>
      <c r="BQ44" s="83">
        <f t="shared" si="55"/>
        <v>3.7581184838709678</v>
      </c>
      <c r="BR44" s="83">
        <f t="shared" si="55"/>
        <v>2.6811437419354838</v>
      </c>
      <c r="BS44" s="83">
        <f t="shared" si="55"/>
        <v>4.7587934838709671</v>
      </c>
      <c r="BT44" s="83">
        <f t="shared" si="55"/>
        <v>4.6669117419354844</v>
      </c>
      <c r="BU44" s="83">
        <f t="shared" si="55"/>
        <v>5.166595</v>
      </c>
      <c r="BV44" s="83">
        <f t="shared" si="55"/>
        <v>6.7129384516129029</v>
      </c>
      <c r="BW44" s="83">
        <f t="shared" si="55"/>
        <v>6.0010820967741934</v>
      </c>
      <c r="BX44" s="83">
        <f t="shared" si="55"/>
        <v>6.1698842258064515</v>
      </c>
      <c r="BY44" s="83">
        <f t="shared" si="55"/>
        <v>5.1741872903225801</v>
      </c>
      <c r="BZ44" s="83">
        <f t="shared" si="55"/>
        <v>5.3152342580645158</v>
      </c>
      <c r="CA44" s="83">
        <f t="shared" si="55"/>
        <v>5.0860330967741936</v>
      </c>
      <c r="CB44" s="83">
        <f t="shared" si="55"/>
        <v>5.0119738387096779</v>
      </c>
      <c r="CC44" s="84">
        <f t="shared" si="55"/>
        <v>6.4881089999999997</v>
      </c>
      <c r="CD44" s="83">
        <f t="shared" si="47"/>
        <v>5.3514625419354847</v>
      </c>
      <c r="CE44" s="83">
        <f t="shared" si="48"/>
        <v>1.136646458064515</v>
      </c>
    </row>
    <row r="45" spans="1:83" x14ac:dyDescent="0.2">
      <c r="A45" s="32" t="s">
        <v>79</v>
      </c>
      <c r="B45" s="35">
        <f>'[4]D4 Gallon Forecast'!B79+'[4]D4 Gallon Forecast'!B95+'[4]D4 Gallon Forecast'!B111+'[4]D6 Gallon Forecast'!B72+'[4]D6 Gallon Forecast'!B88</f>
        <v>36230885</v>
      </c>
      <c r="C45" s="35">
        <f>'[4]D4 Gallon Forecast'!C79+'[4]D4 Gallon Forecast'!C95+'[4]D4 Gallon Forecast'!C111+'[4]D6 Gallon Forecast'!C72+'[4]D6 Gallon Forecast'!C88</f>
        <v>108678235</v>
      </c>
      <c r="D45" s="35">
        <f>'[4]D4 Gallon Forecast'!D79+'[4]D4 Gallon Forecast'!D95+'[4]D4 Gallon Forecast'!D111+'[4]D6 Gallon Forecast'!D72+'[4]D6 Gallon Forecast'!D88</f>
        <v>68888709</v>
      </c>
      <c r="E45" s="35">
        <f>'[4]D4 Gallon Forecast'!E79+'[4]D4 Gallon Forecast'!E95+'[4]D4 Gallon Forecast'!E111+'[4]D6 Gallon Forecast'!E72+'[4]D6 Gallon Forecast'!E88</f>
        <v>142483599</v>
      </c>
      <c r="F45" s="35">
        <f>'[4]D4 Gallon Forecast'!F79+'[4]D4 Gallon Forecast'!F95+'[4]D4 Gallon Forecast'!F111+'[4]D6 Gallon Forecast'!F72+'[4]D6 Gallon Forecast'!F88</f>
        <v>129382732</v>
      </c>
      <c r="G45" s="35">
        <f>'[4]D4 Gallon Forecast'!G79+'[4]D4 Gallon Forecast'!G95+'[4]D4 Gallon Forecast'!G111+'[4]D6 Gallon Forecast'!G72+'[4]D6 Gallon Forecast'!G88</f>
        <v>139886531</v>
      </c>
      <c r="H45" s="35">
        <f>'[4]D4 Gallon Forecast'!H79+'[4]D4 Gallon Forecast'!H95+'[4]D4 Gallon Forecast'!H111+'[4]D6 Gallon Forecast'!H72+'[4]D6 Gallon Forecast'!H88</f>
        <v>208508201</v>
      </c>
      <c r="I45" s="35">
        <f>'[4]D4 Gallon Forecast'!I79+'[4]D4 Gallon Forecast'!I95+'[4]D4 Gallon Forecast'!I111+'[4]D6 Gallon Forecast'!I72+'[4]D6 Gallon Forecast'!I88</f>
        <v>172212170</v>
      </c>
      <c r="J45" s="35">
        <f>'[4]D4 Gallon Forecast'!J79+'[4]D4 Gallon Forecast'!J95+'[4]D4 Gallon Forecast'!J111+'[4]D6 Gallon Forecast'!J72+'[4]D6 Gallon Forecast'!J88</f>
        <v>163700900</v>
      </c>
      <c r="K45" s="35">
        <f>'[4]D4 Gallon Forecast'!K79+'[4]D4 Gallon Forecast'!K95+'[4]D4 Gallon Forecast'!K111+'[4]D6 Gallon Forecast'!K72+'[4]D6 Gallon Forecast'!K88</f>
        <v>134375291</v>
      </c>
      <c r="L45" s="35">
        <f>'[4]D4 Gallon Forecast'!L79+'[4]D4 Gallon Forecast'!L95+'[4]D4 Gallon Forecast'!L111+'[4]D6 Gallon Forecast'!L72+'[4]D6 Gallon Forecast'!L88</f>
        <v>164773007</v>
      </c>
      <c r="M45" s="35">
        <f>'[4]D4 Gallon Forecast'!M79+'[4]D4 Gallon Forecast'!M95+'[4]D4 Gallon Forecast'!M111+'[4]D6 Gallon Forecast'!M72+'[4]D6 Gallon Forecast'!M88</f>
        <v>162339335</v>
      </c>
      <c r="N45" s="35">
        <f>'[4]D4 Gallon Forecast'!N79+'[4]D4 Gallon Forecast'!N95+'[4]D4 Gallon Forecast'!N111+'[4]D6 Gallon Forecast'!N72+'[4]D6 Gallon Forecast'!N88</f>
        <v>175112972</v>
      </c>
      <c r="O45" s="35">
        <f>'[4]D4 Gallon Forecast'!O79+'[4]D4 Gallon Forecast'!O95+'[4]D4 Gallon Forecast'!O111+'[4]D6 Gallon Forecast'!O72+'[4]D6 Gallon Forecast'!O88</f>
        <v>177617706</v>
      </c>
      <c r="P45" s="36">
        <f>'[4]D4 Gallon Forecast'!P79+'[4]D4 Gallon Forecast'!P95+'[4]D4 Gallon Forecast'!P111+'[4]D6 Gallon Forecast'!P72+'[4]D6 Gallon Forecast'!P88</f>
        <v>156329288</v>
      </c>
      <c r="Q45" s="36">
        <f>'[4]D4 Gallon Forecast'!Q79+'[4]D4 Gallon Forecast'!Q95+'[4]D4 Gallon Forecast'!Q111+'[4]D6 Gallon Forecast'!Q72+'[4]D6 Gallon Forecast'!Q88</f>
        <v>158766221.75313032</v>
      </c>
      <c r="R45" s="36">
        <f>'[4]D4 Gallon Forecast'!R79+'[4]D4 Gallon Forecast'!R95+'[4]D4 Gallon Forecast'!R111+'[4]D6 Gallon Forecast'!R72+'[4]D6 Gallon Forecast'!R88</f>
        <v>137541530.5962123</v>
      </c>
      <c r="S45" s="36">
        <f>'[4]D4 Gallon Forecast'!S79+'[4]D4 Gallon Forecast'!S95+'[4]D4 Gallon Forecast'!S111+'[4]D6 Gallon Forecast'!S72+'[4]D6 Gallon Forecast'!S88</f>
        <v>138844261.38818553</v>
      </c>
      <c r="T45" s="36">
        <f>'[4]D4 Gallon Forecast'!T79+'[4]D4 Gallon Forecast'!T95+'[4]D4 Gallon Forecast'!T111+'[4]D6 Gallon Forecast'!T72+'[4]D6 Gallon Forecast'!T88</f>
        <v>113098867.27595325</v>
      </c>
      <c r="U45" s="36">
        <f>'[4]D4 Gallon Forecast'!U79+'[4]D4 Gallon Forecast'!U95+'[4]D4 Gallon Forecast'!U111+'[4]D6 Gallon Forecast'!U72+'[4]D6 Gallon Forecast'!U88</f>
        <v>127456290.19030787</v>
      </c>
      <c r="V45" s="36">
        <f>'[4]D4 Gallon Forecast'!V79+'[4]D4 Gallon Forecast'!V95+'[4]D4 Gallon Forecast'!V111+'[4]D6 Gallon Forecast'!V72+'[4]D6 Gallon Forecast'!V88</f>
        <v>131578415.39225192</v>
      </c>
      <c r="W45" s="36">
        <f>'[4]D4 Gallon Forecast'!W79+'[4]D4 Gallon Forecast'!W95+'[4]D4 Gallon Forecast'!W111+'[4]D6 Gallon Forecast'!W72+'[4]D6 Gallon Forecast'!W88</f>
        <v>129210987.25829163</v>
      </c>
      <c r="X45" s="36">
        <f>'[4]D4 Gallon Forecast'!X79+'[4]D4 Gallon Forecast'!X95+'[4]D4 Gallon Forecast'!X111+'[4]D6 Gallon Forecast'!X72+'[4]D6 Gallon Forecast'!X88</f>
        <v>133744370.04187632</v>
      </c>
      <c r="Y45" s="36">
        <f>'[4]D4 Gallon Forecast'!Y79+'[4]D4 Gallon Forecast'!Y95+'[4]D4 Gallon Forecast'!Y111+'[4]D6 Gallon Forecast'!Y72+'[4]D6 Gallon Forecast'!Y88</f>
        <v>125417721.25205833</v>
      </c>
      <c r="Z45" s="36">
        <f>'[4]D4 Gallon Forecast'!Z79+'[4]D4 Gallon Forecast'!Z95+'[4]D4 Gallon Forecast'!Z111+'[4]D6 Gallon Forecast'!Z72+'[4]D6 Gallon Forecast'!Z88</f>
        <v>122632098.14845479</v>
      </c>
      <c r="AA45" s="36">
        <f>'[4]D4 Gallon Forecast'!AA79+'[4]D4 Gallon Forecast'!AA95+'[4]D4 Gallon Forecast'!AA111+'[4]D6 Gallon Forecast'!AA72+'[4]D6 Gallon Forecast'!AA88</f>
        <v>117370558.53749855</v>
      </c>
      <c r="AB45" s="36">
        <f>'[4]D4 Gallon Forecast'!AB79+'[4]D4 Gallon Forecast'!AB95+'[4]D4 Gallon Forecast'!AB111+'[4]D6 Gallon Forecast'!AB72+'[4]D6 Gallon Forecast'!AB88</f>
        <v>97997804.895105451</v>
      </c>
      <c r="AC45" s="36">
        <f>'[4]D4 Gallon Forecast'!AC79+'[4]D4 Gallon Forecast'!AC95+'[4]D4 Gallon Forecast'!AC111+'[4]D6 Gallon Forecast'!AC72+'[4]D6 Gallon Forecast'!AC88</f>
        <v>79908834.583687365</v>
      </c>
      <c r="AD45" s="36">
        <f>'[4]D4 Gallon Forecast'!AD79+'[4]D4 Gallon Forecast'!AD95+'[4]D4 Gallon Forecast'!AD111+'[4]D6 Gallon Forecast'!AD72+'[4]D6 Gallon Forecast'!AD88</f>
        <v>76967424.1217428</v>
      </c>
      <c r="AE45" s="36">
        <f>'[4]D4 Gallon Forecast'!AE79+'[4]D4 Gallon Forecast'!AE95+'[4]D4 Gallon Forecast'!AE111+'[4]D6 Gallon Forecast'!AE72+'[4]D6 Gallon Forecast'!AE88</f>
        <v>64145222.280566022</v>
      </c>
      <c r="AF45" s="36">
        <f>'[4]D4 Gallon Forecast'!AF79+'[4]D4 Gallon Forecast'!AF95+'[4]D4 Gallon Forecast'!AF111+'[4]D6 Gallon Forecast'!AF72+'[4]D6 Gallon Forecast'!AF88</f>
        <v>41181741.149183959</v>
      </c>
      <c r="AG45" s="36">
        <f>'[4]D4 Gallon Forecast'!AG79+'[4]D4 Gallon Forecast'!AG95+'[4]D4 Gallon Forecast'!AG111+'[4]D6 Gallon Forecast'!AG72+'[4]D6 Gallon Forecast'!AG88</f>
        <v>44875107.094724528</v>
      </c>
      <c r="AH45" s="36">
        <f>'[4]D4 Gallon Forecast'!AH79+'[4]D4 Gallon Forecast'!AH95+'[4]D4 Gallon Forecast'!AH111+'[4]D6 Gallon Forecast'!AH72+'[4]D6 Gallon Forecast'!AH88</f>
        <v>44317385.552354075</v>
      </c>
      <c r="AI45" s="36">
        <f>'[4]D4 Gallon Forecast'!AI79+'[4]D4 Gallon Forecast'!AI95+'[4]D4 Gallon Forecast'!AI111+'[4]D6 Gallon Forecast'!AI72+'[4]D6 Gallon Forecast'!AI88</f>
        <v>37914380.697224021</v>
      </c>
      <c r="AJ45" s="36">
        <f>'[4]D4 Gallon Forecast'!AJ79+'[4]D4 Gallon Forecast'!AJ95+'[4]D4 Gallon Forecast'!AJ111+'[4]D6 Gallon Forecast'!AJ72+'[4]D6 Gallon Forecast'!AJ88</f>
        <v>38274816.517300338</v>
      </c>
      <c r="AK45" s="36">
        <f>'[4]D4 Gallon Forecast'!AK79+'[4]D4 Gallon Forecast'!AK95+'[4]D4 Gallon Forecast'!AK111+'[4]D6 Gallon Forecast'!AK72+'[4]D6 Gallon Forecast'!AK88</f>
        <v>38391177.956401311</v>
      </c>
      <c r="AL45" s="36">
        <f>'[4]D4 Gallon Forecast'!AL79+'[4]D4 Gallon Forecast'!AL95+'[4]D4 Gallon Forecast'!AL111+'[4]D6 Gallon Forecast'!AL72+'[4]D6 Gallon Forecast'!AL88</f>
        <v>38285167.779092848</v>
      </c>
      <c r="AM45" s="36">
        <f>'[4]D4 Gallon Forecast'!AM79+'[4]D4 Gallon Forecast'!AM95+'[4]D4 Gallon Forecast'!AM111+'[4]D6 Gallon Forecast'!AM72+'[4]D6 Gallon Forecast'!AM88</f>
        <v>38275952.002134942</v>
      </c>
      <c r="AN45" s="36">
        <f>'[4]D4 Gallon Forecast'!AN79+'[4]D4 Gallon Forecast'!AN95+'[4]D4 Gallon Forecast'!AN111+'[4]D6 Gallon Forecast'!AN72+'[4]D6 Gallon Forecast'!AN88</f>
        <v>38839705.860826164</v>
      </c>
      <c r="AO45" s="36">
        <f>'[4]D4 Gallon Forecast'!AO79+'[4]D4 Gallon Forecast'!AO95+'[4]D4 Gallon Forecast'!AO111+'[4]D6 Gallon Forecast'!AO72+'[4]D6 Gallon Forecast'!AO88</f>
        <v>39428935.4186996</v>
      </c>
      <c r="AP45" s="36">
        <f>'[4]D4 Gallon Forecast'!AP79+'[4]D4 Gallon Forecast'!AP95+'[4]D4 Gallon Forecast'!AP111+'[4]D6 Gallon Forecast'!AP72+'[4]D6 Gallon Forecast'!AP88</f>
        <v>40140177.756584972</v>
      </c>
      <c r="AQ45" s="36"/>
      <c r="AR45" s="36">
        <f>O45/30</f>
        <v>5920590.2000000002</v>
      </c>
      <c r="AS45" s="35">
        <f>N45/30</f>
        <v>5837099.0666666664</v>
      </c>
      <c r="AT45" s="35">
        <f>M45/30</f>
        <v>5411311.166666667</v>
      </c>
      <c r="AU45" s="35">
        <f>L45/30</f>
        <v>5492433.5666666664</v>
      </c>
      <c r="AV45" s="36">
        <f t="shared" si="45"/>
        <v>83491.133333333768</v>
      </c>
      <c r="AW45" s="36">
        <f>SUM(J45:N45)/5/30</f>
        <v>5335343.3666666662</v>
      </c>
      <c r="AX45" s="36">
        <f t="shared" si="46"/>
        <v>585246.83333333395</v>
      </c>
      <c r="BB45" s="36">
        <f>'[4]D4 Gallon Forecast'!DK79+'[4]D4 Gallon Forecast'!DK111+'[4]D6 Gallon Forecast'!BK72+'[4]D6 Gallon Forecast'!BK88</f>
        <v>0</v>
      </c>
      <c r="BC45" s="36">
        <f t="shared" si="43"/>
        <v>177617706</v>
      </c>
      <c r="BP45" s="83">
        <f t="shared" ref="BP45:CC45" si="56">B45/30/1000000</f>
        <v>1.2076961666666668</v>
      </c>
      <c r="BQ45" s="83">
        <f t="shared" si="56"/>
        <v>3.6226078333333334</v>
      </c>
      <c r="BR45" s="83">
        <f t="shared" si="56"/>
        <v>2.2962902999999999</v>
      </c>
      <c r="BS45" s="83">
        <f t="shared" si="56"/>
        <v>4.7494532999999999</v>
      </c>
      <c r="BT45" s="83">
        <f t="shared" si="56"/>
        <v>4.3127577333333331</v>
      </c>
      <c r="BU45" s="83">
        <f t="shared" si="56"/>
        <v>4.6628843666666659</v>
      </c>
      <c r="BV45" s="83">
        <f t="shared" si="56"/>
        <v>6.9502733666666661</v>
      </c>
      <c r="BW45" s="83">
        <f t="shared" si="56"/>
        <v>5.7404056666666667</v>
      </c>
      <c r="BX45" s="83">
        <f t="shared" si="56"/>
        <v>5.4566966666666668</v>
      </c>
      <c r="BY45" s="83">
        <f t="shared" si="56"/>
        <v>4.4791763666666666</v>
      </c>
      <c r="BZ45" s="83">
        <f t="shared" si="56"/>
        <v>5.4924335666666666</v>
      </c>
      <c r="CA45" s="83">
        <f t="shared" si="56"/>
        <v>5.4113111666666667</v>
      </c>
      <c r="CB45" s="83">
        <f t="shared" si="56"/>
        <v>5.8370990666666662</v>
      </c>
      <c r="CC45" s="84">
        <f t="shared" si="56"/>
        <v>5.9205902000000004</v>
      </c>
      <c r="CD45" s="83">
        <f t="shared" si="47"/>
        <v>5.3353433666666668</v>
      </c>
      <c r="CE45" s="83">
        <f t="shared" si="48"/>
        <v>0.5852468333333336</v>
      </c>
    </row>
    <row r="46" spans="1:83" x14ac:dyDescent="0.2">
      <c r="A46" s="32" t="s">
        <v>80</v>
      </c>
      <c r="B46" s="35">
        <f>'[4]D4 Gallon Forecast'!B80+'[4]D4 Gallon Forecast'!B96+'[4]D4 Gallon Forecast'!B112+'[4]D6 Gallon Forecast'!B73+'[4]D6 Gallon Forecast'!B89</f>
        <v>40187929</v>
      </c>
      <c r="C46" s="35">
        <f>'[4]D4 Gallon Forecast'!C80+'[4]D4 Gallon Forecast'!C96+'[4]D4 Gallon Forecast'!C112+'[4]D6 Gallon Forecast'!C73+'[4]D6 Gallon Forecast'!C89</f>
        <v>161278602</v>
      </c>
      <c r="D46" s="35">
        <f>'[4]D4 Gallon Forecast'!D80+'[4]D4 Gallon Forecast'!D96+'[4]D4 Gallon Forecast'!D112+'[4]D6 Gallon Forecast'!D73+'[4]D6 Gallon Forecast'!D89</f>
        <v>58888081</v>
      </c>
      <c r="E46" s="35">
        <f>'[4]D4 Gallon Forecast'!E80+'[4]D4 Gallon Forecast'!E96+'[4]D4 Gallon Forecast'!E112+'[4]D6 Gallon Forecast'!E73+'[4]D6 Gallon Forecast'!E89</f>
        <v>200823165</v>
      </c>
      <c r="F46" s="35">
        <f>'[4]D4 Gallon Forecast'!F80+'[4]D4 Gallon Forecast'!F96+'[4]D4 Gallon Forecast'!F112+'[4]D6 Gallon Forecast'!F73+'[4]D6 Gallon Forecast'!F89</f>
        <v>189148931</v>
      </c>
      <c r="G46" s="35">
        <f>'[4]D4 Gallon Forecast'!G80+'[4]D4 Gallon Forecast'!G96+'[4]D4 Gallon Forecast'!G112+'[4]D6 Gallon Forecast'!G73+'[4]D6 Gallon Forecast'!G89</f>
        <v>151405122</v>
      </c>
      <c r="H46" s="35">
        <f>'[4]D4 Gallon Forecast'!H80+'[4]D4 Gallon Forecast'!H96+'[4]D4 Gallon Forecast'!H112+'[4]D6 Gallon Forecast'!H73+'[4]D6 Gallon Forecast'!H89</f>
        <v>325223145</v>
      </c>
      <c r="I46" s="35">
        <f>'[4]D4 Gallon Forecast'!I80+'[4]D4 Gallon Forecast'!I96+'[4]D4 Gallon Forecast'!I112+'[4]D6 Gallon Forecast'!I73+'[4]D6 Gallon Forecast'!I89</f>
        <v>193711979</v>
      </c>
      <c r="J46" s="35">
        <f>'[4]D4 Gallon Forecast'!J80+'[4]D4 Gallon Forecast'!J96+'[4]D4 Gallon Forecast'!J112+'[4]D6 Gallon Forecast'!J73+'[4]D6 Gallon Forecast'!J89</f>
        <v>212930298</v>
      </c>
      <c r="K46" s="35">
        <f>'[4]D4 Gallon Forecast'!K80+'[4]D4 Gallon Forecast'!K96+'[4]D4 Gallon Forecast'!K112+'[4]D6 Gallon Forecast'!K73+'[4]D6 Gallon Forecast'!K89</f>
        <v>163919996</v>
      </c>
      <c r="L46" s="35">
        <f>'[4]D4 Gallon Forecast'!L80+'[4]D4 Gallon Forecast'!L96+'[4]D4 Gallon Forecast'!L112+'[4]D6 Gallon Forecast'!L73+'[4]D6 Gallon Forecast'!L89</f>
        <v>199885923</v>
      </c>
      <c r="M46" s="35">
        <f>'[4]D4 Gallon Forecast'!M80+'[4]D4 Gallon Forecast'!M96+'[4]D4 Gallon Forecast'!M112+'[4]D6 Gallon Forecast'!M73+'[4]D6 Gallon Forecast'!M89</f>
        <v>216969174</v>
      </c>
      <c r="N46" s="35">
        <f>'[4]D4 Gallon Forecast'!N80+'[4]D4 Gallon Forecast'!N96+'[4]D4 Gallon Forecast'!N112+'[4]D6 Gallon Forecast'!N73+'[4]D6 Gallon Forecast'!N89</f>
        <v>188600282</v>
      </c>
      <c r="O46" s="35">
        <f>'[4]D4 Gallon Forecast'!O80+'[4]D4 Gallon Forecast'!O96+'[4]D4 Gallon Forecast'!O112+'[4]D6 Gallon Forecast'!O73+'[4]D6 Gallon Forecast'!O89</f>
        <v>203475839</v>
      </c>
      <c r="P46" s="36">
        <f>'[4]D4 Gallon Forecast'!P80+'[4]D4 Gallon Forecast'!P96+'[4]D4 Gallon Forecast'!P112+'[4]D6 Gallon Forecast'!P73+'[4]D6 Gallon Forecast'!P89</f>
        <v>206312055</v>
      </c>
      <c r="Q46" s="36">
        <f>'[4]D4 Gallon Forecast'!Q80+'[4]D4 Gallon Forecast'!Q96+'[4]D4 Gallon Forecast'!Q112+'[4]D6 Gallon Forecast'!Q73+'[4]D6 Gallon Forecast'!Q89</f>
        <v>364987119.85587585</v>
      </c>
      <c r="R46" s="36">
        <f>'[4]D4 Gallon Forecast'!R80+'[4]D4 Gallon Forecast'!R96+'[4]D4 Gallon Forecast'!R112+'[4]D6 Gallon Forecast'!R73+'[4]D6 Gallon Forecast'!R89</f>
        <v>171028552.59969118</v>
      </c>
      <c r="S46" s="36">
        <f>'[4]D4 Gallon Forecast'!S80+'[4]D4 Gallon Forecast'!S96+'[4]D4 Gallon Forecast'!S112+'[4]D6 Gallon Forecast'!S73+'[4]D6 Gallon Forecast'!S89</f>
        <v>190036284.00624481</v>
      </c>
      <c r="T46" s="36">
        <f>'[4]D4 Gallon Forecast'!T80+'[4]D4 Gallon Forecast'!T96+'[4]D4 Gallon Forecast'!T112+'[4]D6 Gallon Forecast'!T73+'[4]D6 Gallon Forecast'!T89</f>
        <v>165225284.34240967</v>
      </c>
      <c r="U46" s="36">
        <f>'[4]D4 Gallon Forecast'!U80+'[4]D4 Gallon Forecast'!U96+'[4]D4 Gallon Forecast'!U112+'[4]D6 Gallon Forecast'!U73+'[4]D6 Gallon Forecast'!U89</f>
        <v>196766440.4501442</v>
      </c>
      <c r="V46" s="36">
        <f>'[4]D4 Gallon Forecast'!V80+'[4]D4 Gallon Forecast'!V96+'[4]D4 Gallon Forecast'!V112+'[4]D6 Gallon Forecast'!V73+'[4]D6 Gallon Forecast'!V89</f>
        <v>211970851.53682125</v>
      </c>
      <c r="W46" s="36">
        <f>'[4]D4 Gallon Forecast'!W80+'[4]D4 Gallon Forecast'!W96+'[4]D4 Gallon Forecast'!W112+'[4]D6 Gallon Forecast'!W73+'[4]D6 Gallon Forecast'!W89</f>
        <v>186154803.62670225</v>
      </c>
      <c r="X46" s="36">
        <f>'[4]D4 Gallon Forecast'!X80+'[4]D4 Gallon Forecast'!X96+'[4]D4 Gallon Forecast'!X112+'[4]D6 Gallon Forecast'!X73+'[4]D6 Gallon Forecast'!X89</f>
        <v>195946912.82716781</v>
      </c>
      <c r="Y46" s="36">
        <f>'[4]D4 Gallon Forecast'!Y80+'[4]D4 Gallon Forecast'!Y96+'[4]D4 Gallon Forecast'!Y112+'[4]D6 Gallon Forecast'!Y73+'[4]D6 Gallon Forecast'!Y89</f>
        <v>166459767.47139618</v>
      </c>
      <c r="Z46" s="36">
        <f>'[4]D4 Gallon Forecast'!Z80+'[4]D4 Gallon Forecast'!Z96+'[4]D4 Gallon Forecast'!Z112+'[4]D6 Gallon Forecast'!Z73+'[4]D6 Gallon Forecast'!Z89</f>
        <v>172672105.8904497</v>
      </c>
      <c r="AA46" s="36">
        <f>'[4]D4 Gallon Forecast'!AA80+'[4]D4 Gallon Forecast'!AA96+'[4]D4 Gallon Forecast'!AA112+'[4]D6 Gallon Forecast'!AA73+'[4]D6 Gallon Forecast'!AA89</f>
        <v>162738760.06010437</v>
      </c>
      <c r="AB46" s="36">
        <f>'[4]D4 Gallon Forecast'!AB80+'[4]D4 Gallon Forecast'!AB96+'[4]D4 Gallon Forecast'!AB112+'[4]D6 Gallon Forecast'!AB73+'[4]D6 Gallon Forecast'!AB89</f>
        <v>136749211.90151224</v>
      </c>
      <c r="AC46" s="36">
        <f>'[4]D4 Gallon Forecast'!AC80+'[4]D4 Gallon Forecast'!AC96+'[4]D4 Gallon Forecast'!AC112+'[4]D6 Gallon Forecast'!AC73+'[4]D6 Gallon Forecast'!AC89</f>
        <v>111374552.26147901</v>
      </c>
      <c r="AD46" s="36">
        <f>'[4]D4 Gallon Forecast'!AD80+'[4]D4 Gallon Forecast'!AD96+'[4]D4 Gallon Forecast'!AD112+'[4]D6 Gallon Forecast'!AD73+'[4]D6 Gallon Forecast'!AD89</f>
        <v>104655347.40957142</v>
      </c>
      <c r="AE46" s="36">
        <f>'[4]D4 Gallon Forecast'!AE80+'[4]D4 Gallon Forecast'!AE96+'[4]D4 Gallon Forecast'!AE112+'[4]D6 Gallon Forecast'!AE73+'[4]D6 Gallon Forecast'!AE89</f>
        <v>88047481.562393233</v>
      </c>
      <c r="AF46" s="36">
        <f>'[4]D4 Gallon Forecast'!AF80+'[4]D4 Gallon Forecast'!AF96+'[4]D4 Gallon Forecast'!AF112+'[4]D6 Gallon Forecast'!AF73+'[4]D6 Gallon Forecast'!AF89</f>
        <v>58470279.310199723</v>
      </c>
      <c r="AG46" s="36">
        <f>'[4]D4 Gallon Forecast'!AG80+'[4]D4 Gallon Forecast'!AG96+'[4]D4 Gallon Forecast'!AG112+'[4]D6 Gallon Forecast'!AG73+'[4]D6 Gallon Forecast'!AG89</f>
        <v>63233979.649921224</v>
      </c>
      <c r="AH46" s="36">
        <f>'[4]D4 Gallon Forecast'!AH80+'[4]D4 Gallon Forecast'!AH96+'[4]D4 Gallon Forecast'!AH112+'[4]D6 Gallon Forecast'!AH73+'[4]D6 Gallon Forecast'!AH89</f>
        <v>62400217.62965291</v>
      </c>
      <c r="AI46" s="36">
        <f>'[4]D4 Gallon Forecast'!AI80+'[4]D4 Gallon Forecast'!AI96+'[4]D4 Gallon Forecast'!AI112+'[4]D6 Gallon Forecast'!AI73+'[4]D6 Gallon Forecast'!AI89</f>
        <v>54114644.885478511</v>
      </c>
      <c r="AJ46" s="36">
        <f>'[4]D4 Gallon Forecast'!AJ80+'[4]D4 Gallon Forecast'!AJ96+'[4]D4 Gallon Forecast'!AJ112+'[4]D6 Gallon Forecast'!AJ73+'[4]D6 Gallon Forecast'!AJ89</f>
        <v>54671160.645851277</v>
      </c>
      <c r="AK46" s="36">
        <f>'[4]D4 Gallon Forecast'!AK80+'[4]D4 Gallon Forecast'!AK96+'[4]D4 Gallon Forecast'!AK112+'[4]D6 Gallon Forecast'!AK73+'[4]D6 Gallon Forecast'!AK89</f>
        <v>54793119.069478355</v>
      </c>
      <c r="AL46" s="36">
        <f>'[4]D4 Gallon Forecast'!AL80+'[4]D4 Gallon Forecast'!AL96+'[4]D4 Gallon Forecast'!AL112+'[4]D6 Gallon Forecast'!AL73+'[4]D6 Gallon Forecast'!AL89</f>
        <v>54654718.003873803</v>
      </c>
      <c r="AM46" s="36">
        <f>'[4]D4 Gallon Forecast'!AM80+'[4]D4 Gallon Forecast'!AM96+'[4]D4 Gallon Forecast'!AM112+'[4]D6 Gallon Forecast'!AM73+'[4]D6 Gallon Forecast'!AM89</f>
        <v>54639819.471436754</v>
      </c>
      <c r="AN46" s="36">
        <f>'[4]D4 Gallon Forecast'!AN80+'[4]D4 Gallon Forecast'!AN96+'[4]D4 Gallon Forecast'!AN112+'[4]D6 Gallon Forecast'!AN73+'[4]D6 Gallon Forecast'!AN89</f>
        <v>55343516.409516282</v>
      </c>
      <c r="AO46" s="36">
        <f>'[4]D4 Gallon Forecast'!AO80+'[4]D4 Gallon Forecast'!AO96+'[4]D4 Gallon Forecast'!AO112+'[4]D6 Gallon Forecast'!AO73+'[4]D6 Gallon Forecast'!AO89</f>
        <v>56091196.391736858</v>
      </c>
      <c r="AP46" s="36">
        <f>'[4]D4 Gallon Forecast'!AP80+'[4]D4 Gallon Forecast'!AP96+'[4]D4 Gallon Forecast'!AP112+'[4]D6 Gallon Forecast'!AP73+'[4]D6 Gallon Forecast'!AP89</f>
        <v>56990576.966871284</v>
      </c>
      <c r="AQ46" s="36"/>
      <c r="AR46" s="36">
        <f>O46/31</f>
        <v>6563736.7419354841</v>
      </c>
      <c r="AS46" s="35">
        <f>N46/31</f>
        <v>6083880.064516129</v>
      </c>
      <c r="AT46" s="35">
        <f>M46/31</f>
        <v>6999005.6129032262</v>
      </c>
      <c r="AU46" s="35">
        <f>L46/31</f>
        <v>6447933</v>
      </c>
      <c r="AV46" s="36">
        <f t="shared" si="45"/>
        <v>479856.67741935514</v>
      </c>
      <c r="AW46" s="36">
        <f>SUM(J46:N46)/5/31</f>
        <v>6337455.9548387099</v>
      </c>
      <c r="AX46" s="36">
        <f t="shared" si="46"/>
        <v>226280.78709677421</v>
      </c>
      <c r="BB46" s="36">
        <f>'[4]D4 Gallon Forecast'!DK80+'[4]D4 Gallon Forecast'!DK112+'[4]D6 Gallon Forecast'!BK73+'[4]D6 Gallon Forecast'!BK89</f>
        <v>0</v>
      </c>
      <c r="BC46" s="36">
        <f t="shared" si="43"/>
        <v>203475839</v>
      </c>
      <c r="BP46" s="83">
        <f t="shared" ref="BP46:CC46" si="57">B46/31/1000000</f>
        <v>1.2963848064516128</v>
      </c>
      <c r="BQ46" s="83">
        <f t="shared" si="57"/>
        <v>5.2025355483870968</v>
      </c>
      <c r="BR46" s="83">
        <f t="shared" si="57"/>
        <v>1.8996155161290322</v>
      </c>
      <c r="BS46" s="83">
        <f t="shared" si="57"/>
        <v>6.4781666129032258</v>
      </c>
      <c r="BT46" s="83">
        <f t="shared" si="57"/>
        <v>6.1015784193548379</v>
      </c>
      <c r="BU46" s="83">
        <f t="shared" si="57"/>
        <v>4.8840361935483871</v>
      </c>
      <c r="BV46" s="83">
        <f t="shared" si="57"/>
        <v>10.491069193548388</v>
      </c>
      <c r="BW46" s="83">
        <f t="shared" si="57"/>
        <v>6.2487735161290328</v>
      </c>
      <c r="BX46" s="83">
        <f t="shared" si="57"/>
        <v>6.8687192903225807</v>
      </c>
      <c r="BY46" s="83">
        <f t="shared" si="57"/>
        <v>5.2877418064516135</v>
      </c>
      <c r="BZ46" s="83">
        <f t="shared" si="57"/>
        <v>6.4479329999999999</v>
      </c>
      <c r="CA46" s="83">
        <f t="shared" si="57"/>
        <v>6.9990056129032263</v>
      </c>
      <c r="CB46" s="83">
        <f t="shared" si="57"/>
        <v>6.0838800645161291</v>
      </c>
      <c r="CC46" s="84">
        <f t="shared" si="57"/>
        <v>6.5637367419354842</v>
      </c>
      <c r="CD46" s="83">
        <f t="shared" si="47"/>
        <v>6.3374559548387097</v>
      </c>
      <c r="CE46" s="83">
        <f t="shared" si="48"/>
        <v>0.22628078709677446</v>
      </c>
    </row>
    <row r="47" spans="1:83" x14ac:dyDescent="0.2">
      <c r="A47" s="32" t="s">
        <v>58</v>
      </c>
      <c r="B47" s="35">
        <f t="shared" ref="B47:K47" si="58">SUM(B35:B46)</f>
        <v>226281328</v>
      </c>
      <c r="C47" s="35">
        <f t="shared" si="58"/>
        <v>1079160841</v>
      </c>
      <c r="D47" s="35">
        <f t="shared" si="58"/>
        <v>1056951303</v>
      </c>
      <c r="E47" s="35">
        <f t="shared" si="58"/>
        <v>1547219533</v>
      </c>
      <c r="F47" s="35">
        <f t="shared" si="58"/>
        <v>1467581869</v>
      </c>
      <c r="G47" s="35">
        <f t="shared" si="58"/>
        <v>1574956996</v>
      </c>
      <c r="H47" s="35">
        <f t="shared" si="58"/>
        <v>2265858299</v>
      </c>
      <c r="I47" s="35">
        <f t="shared" si="58"/>
        <v>2050168418</v>
      </c>
      <c r="J47" s="35">
        <f t="shared" si="58"/>
        <v>2030266180</v>
      </c>
      <c r="K47" s="35">
        <f t="shared" si="58"/>
        <v>1898519168</v>
      </c>
      <c r="L47" s="35">
        <f t="shared" ref="L47:AD47" si="59">SUM(L35:L46)</f>
        <v>2034371352</v>
      </c>
      <c r="M47" s="35">
        <f t="shared" si="59"/>
        <v>1913082103</v>
      </c>
      <c r="N47" s="35">
        <f t="shared" si="59"/>
        <v>1860537698</v>
      </c>
      <c r="O47" s="35">
        <f t="shared" si="59"/>
        <v>2177407155</v>
      </c>
      <c r="P47" s="36">
        <f t="shared" si="59"/>
        <v>2073534296</v>
      </c>
      <c r="Q47" s="36">
        <f t="shared" si="59"/>
        <v>1923700022.5079875</v>
      </c>
      <c r="R47" s="36">
        <f t="shared" si="59"/>
        <v>1650844611.360476</v>
      </c>
      <c r="S47" s="36">
        <f t="shared" si="59"/>
        <v>1670288087.4745083</v>
      </c>
      <c r="T47" s="36">
        <f t="shared" si="59"/>
        <v>1391960415.8512297</v>
      </c>
      <c r="U47" s="36">
        <f t="shared" si="59"/>
        <v>1571083474.4218287</v>
      </c>
      <c r="V47" s="36">
        <f t="shared" si="59"/>
        <v>1597658144.7320323</v>
      </c>
      <c r="W47" s="36">
        <f t="shared" si="59"/>
        <v>1569805036.7684138</v>
      </c>
      <c r="X47" s="36">
        <f t="shared" si="59"/>
        <v>1628894086.3258982</v>
      </c>
      <c r="Y47" s="36">
        <f t="shared" si="59"/>
        <v>1531164146.0410497</v>
      </c>
      <c r="Z47" s="36">
        <f t="shared" si="59"/>
        <v>1495115095.1881897</v>
      </c>
      <c r="AA47" s="36">
        <f t="shared" si="59"/>
        <v>1427846026.3080237</v>
      </c>
      <c r="AB47" s="36">
        <f t="shared" si="59"/>
        <v>1192215030.4981396</v>
      </c>
      <c r="AC47" s="36">
        <f t="shared" si="59"/>
        <v>971616068.38410628</v>
      </c>
      <c r="AD47" s="36">
        <f t="shared" si="59"/>
        <v>935264230.38442278</v>
      </c>
      <c r="AE47" s="36">
        <f>SUM(AE35:AE46)</f>
        <v>777816996.57267094</v>
      </c>
      <c r="AF47" s="36">
        <f t="shared" ref="AF47:AP47" si="60">SUM(AF35:AF46)</f>
        <v>497334459.5002811</v>
      </c>
      <c r="AG47" s="36">
        <f t="shared" si="60"/>
        <v>542548276.62363815</v>
      </c>
      <c r="AH47" s="36">
        <f t="shared" si="60"/>
        <v>535524837.61583662</v>
      </c>
      <c r="AI47" s="36">
        <f t="shared" si="60"/>
        <v>456859443.45301127</v>
      </c>
      <c r="AJ47" s="36">
        <f t="shared" si="60"/>
        <v>461046533.40602362</v>
      </c>
      <c r="AK47" s="36">
        <f t="shared" si="60"/>
        <v>462477437.13839775</v>
      </c>
      <c r="AL47" s="36">
        <f t="shared" si="60"/>
        <v>461240640.80073243</v>
      </c>
      <c r="AM47" s="36">
        <f t="shared" si="60"/>
        <v>461245011.45828253</v>
      </c>
      <c r="AN47" s="36">
        <f t="shared" si="60"/>
        <v>467871933.42009956</v>
      </c>
      <c r="AO47" s="36">
        <f t="shared" si="60"/>
        <v>474817497.71377784</v>
      </c>
      <c r="AP47" s="36">
        <f t="shared" si="60"/>
        <v>483441196.53950191</v>
      </c>
      <c r="AQ47" s="36"/>
      <c r="AR47" s="36">
        <f>O47/365</f>
        <v>5965499.0547945201</v>
      </c>
      <c r="AS47" s="35">
        <f>N47/365</f>
        <v>5097363.5561643839</v>
      </c>
      <c r="AT47" s="35">
        <f>M47/365</f>
        <v>5241320.8301369864</v>
      </c>
      <c r="AU47" s="35">
        <f>L47/365</f>
        <v>5573620.1424657535</v>
      </c>
      <c r="AV47" s="35"/>
      <c r="AW47" s="36">
        <f>AVERAGE(J47:N47)/365</f>
        <v>5335220.0005479455</v>
      </c>
      <c r="AX47" s="35"/>
      <c r="BB47" s="36">
        <f>'[4]D4 Gallon Forecast'!DK81+'[4]D4 Gallon Forecast'!DK113+'[4]D6 Gallon Forecast'!BK74+'[4]D6 Gallon Forecast'!BK90</f>
        <v>0</v>
      </c>
      <c r="BC47" s="36">
        <f t="shared" si="43"/>
        <v>2177407155</v>
      </c>
      <c r="BP47" s="35">
        <f t="shared" ref="BP47:CC47" si="61">B47/365</f>
        <v>619948.84383561648</v>
      </c>
      <c r="BQ47" s="35">
        <f t="shared" si="61"/>
        <v>2956605.0438356167</v>
      </c>
      <c r="BR47" s="35">
        <f t="shared" si="61"/>
        <v>2895756.9945205478</v>
      </c>
      <c r="BS47" s="35">
        <f t="shared" si="61"/>
        <v>4238957.6246575341</v>
      </c>
      <c r="BT47" s="35">
        <f t="shared" si="61"/>
        <v>4020772.2438356164</v>
      </c>
      <c r="BU47" s="35">
        <f t="shared" si="61"/>
        <v>4314950.6739726029</v>
      </c>
      <c r="BV47" s="35">
        <f t="shared" si="61"/>
        <v>6207830.9561643833</v>
      </c>
      <c r="BW47" s="35">
        <f t="shared" si="61"/>
        <v>5616899.7753424654</v>
      </c>
      <c r="BX47" s="35">
        <f t="shared" si="61"/>
        <v>5562373.0958904112</v>
      </c>
      <c r="BY47" s="35">
        <f t="shared" si="61"/>
        <v>5201422.3780821916</v>
      </c>
      <c r="BZ47" s="35">
        <f t="shared" si="61"/>
        <v>5573620.1424657535</v>
      </c>
      <c r="CA47" s="35">
        <f t="shared" si="61"/>
        <v>5241320.8301369864</v>
      </c>
      <c r="CB47" s="35">
        <f t="shared" si="61"/>
        <v>5097363.5561643839</v>
      </c>
      <c r="CC47" s="36">
        <f t="shared" si="61"/>
        <v>5965499.0547945201</v>
      </c>
    </row>
    <row r="48" spans="1:83" x14ac:dyDescent="0.2">
      <c r="C48" s="35"/>
      <c r="D48" s="35"/>
      <c r="E48" s="35"/>
      <c r="F48" s="35"/>
      <c r="G48" s="35"/>
      <c r="H48" s="35"/>
      <c r="I48" s="35"/>
      <c r="J48" s="35"/>
      <c r="K48" s="36"/>
      <c r="L48" s="36"/>
      <c r="M48" s="71">
        <f>M47/L47-1</f>
        <v>-5.9620014251950626E-2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5"/>
      <c r="AW48" s="32" t="s">
        <v>99</v>
      </c>
      <c r="AX48" s="35">
        <f>BE52-BE51</f>
        <v>254804820</v>
      </c>
      <c r="BU48" s="83">
        <f>BU35-AVERAGE(BP35:BT35)</f>
        <v>0.61009186451612862</v>
      </c>
      <c r="BV48" s="83">
        <f t="shared" ref="BV48:CC59" si="62">BV35-AVERAGE(BQ35:BU35)</f>
        <v>1.544544064516129</v>
      </c>
      <c r="BW48" s="83">
        <f t="shared" si="62"/>
        <v>0.47018776129032247</v>
      </c>
      <c r="BX48" s="83">
        <f t="shared" si="62"/>
        <v>1.4015377741935486</v>
      </c>
      <c r="BY48" s="83">
        <f t="shared" si="62"/>
        <v>1.029744090322581</v>
      </c>
      <c r="BZ48" s="83">
        <f t="shared" si="62"/>
        <v>1.0459817677419361</v>
      </c>
      <c r="CA48" s="83">
        <f t="shared" si="62"/>
        <v>8.372427096774171E-2</v>
      </c>
      <c r="CB48" s="83">
        <f t="shared" si="62"/>
        <v>-0.37868918709677413</v>
      </c>
      <c r="CC48" s="83">
        <f t="shared" si="62"/>
        <v>0.82959347741935519</v>
      </c>
    </row>
    <row r="49" spans="1:81" x14ac:dyDescent="0.2">
      <c r="A49" s="32" t="s">
        <v>100</v>
      </c>
      <c r="AU49" s="85"/>
      <c r="AW49" s="32" t="s">
        <v>65</v>
      </c>
      <c r="AX49" s="35">
        <f>BE52-BD52</f>
        <v>284630770</v>
      </c>
      <c r="BU49" s="83">
        <f t="shared" ref="BU49:BU59" si="63">BU36-AVERAGE(BP36:BT36)</f>
        <v>0.5049128561576357</v>
      </c>
      <c r="BV49" s="83">
        <f t="shared" si="62"/>
        <v>1.5375208019704432</v>
      </c>
      <c r="BW49" s="83">
        <f t="shared" si="62"/>
        <v>0.98527876699507377</v>
      </c>
      <c r="BX49" s="83">
        <f t="shared" si="62"/>
        <v>1.4145073608374377</v>
      </c>
      <c r="BY49" s="83">
        <f t="shared" si="62"/>
        <v>1.1027416036945819</v>
      </c>
      <c r="BZ49" s="83">
        <f t="shared" si="62"/>
        <v>0.94058080541871858</v>
      </c>
      <c r="CA49" s="83">
        <f t="shared" si="62"/>
        <v>-0.14915864950738911</v>
      </c>
      <c r="CB49" s="83">
        <f t="shared" si="62"/>
        <v>-0.21405619605911408</v>
      </c>
      <c r="CC49" s="83">
        <f t="shared" si="62"/>
        <v>1.0918304682266013</v>
      </c>
    </row>
    <row r="50" spans="1:81" s="61" customFormat="1" x14ac:dyDescent="0.2">
      <c r="B50" s="61">
        <f>B2</f>
        <v>2010</v>
      </c>
      <c r="C50" s="61">
        <f t="shared" ref="C50:AD50" si="64">C2</f>
        <v>2011</v>
      </c>
      <c r="D50" s="61">
        <f t="shared" si="64"/>
        <v>2012</v>
      </c>
      <c r="E50" s="61">
        <f t="shared" si="64"/>
        <v>2013</v>
      </c>
      <c r="F50" s="61">
        <f t="shared" si="64"/>
        <v>2014</v>
      </c>
      <c r="G50" s="61">
        <f t="shared" si="64"/>
        <v>2015</v>
      </c>
      <c r="H50" s="61">
        <f t="shared" si="64"/>
        <v>2016</v>
      </c>
      <c r="I50" s="61">
        <f t="shared" si="64"/>
        <v>2017</v>
      </c>
      <c r="J50" s="61">
        <f t="shared" si="64"/>
        <v>2018</v>
      </c>
      <c r="K50" s="61">
        <f t="shared" si="64"/>
        <v>2019</v>
      </c>
      <c r="L50" s="61">
        <f t="shared" si="64"/>
        <v>2020</v>
      </c>
      <c r="M50" s="61">
        <f t="shared" si="64"/>
        <v>2021</v>
      </c>
      <c r="N50" s="61">
        <f t="shared" si="64"/>
        <v>2022</v>
      </c>
      <c r="O50" s="61">
        <f t="shared" si="64"/>
        <v>2023</v>
      </c>
      <c r="P50" s="61">
        <f t="shared" si="64"/>
        <v>2024</v>
      </c>
      <c r="Q50" s="61">
        <f t="shared" si="64"/>
        <v>2025</v>
      </c>
      <c r="R50" s="32">
        <f t="shared" si="64"/>
        <v>2026</v>
      </c>
      <c r="S50" s="32">
        <f t="shared" si="64"/>
        <v>2027</v>
      </c>
      <c r="T50" s="32">
        <f t="shared" si="64"/>
        <v>2028</v>
      </c>
      <c r="U50" s="32">
        <f t="shared" si="64"/>
        <v>2029</v>
      </c>
      <c r="V50" s="32">
        <f t="shared" si="64"/>
        <v>2030</v>
      </c>
      <c r="W50" s="32">
        <f t="shared" si="64"/>
        <v>2031</v>
      </c>
      <c r="X50" s="32">
        <f t="shared" si="64"/>
        <v>2032</v>
      </c>
      <c r="Y50" s="32">
        <f t="shared" si="64"/>
        <v>2033</v>
      </c>
      <c r="Z50" s="32">
        <f t="shared" si="64"/>
        <v>2034</v>
      </c>
      <c r="AA50" s="32">
        <f t="shared" si="64"/>
        <v>2035</v>
      </c>
      <c r="AB50" s="32">
        <f t="shared" si="64"/>
        <v>2036</v>
      </c>
      <c r="AC50" s="32">
        <f t="shared" si="64"/>
        <v>2037</v>
      </c>
      <c r="AD50" s="32">
        <f t="shared" si="64"/>
        <v>2038</v>
      </c>
      <c r="AE50" s="32">
        <f>AE2</f>
        <v>2039</v>
      </c>
      <c r="AF50" s="32">
        <f>AF2</f>
        <v>2040</v>
      </c>
      <c r="AG50" s="32">
        <f t="shared" ref="AG50:AO50" si="65">AG2</f>
        <v>2041</v>
      </c>
      <c r="AH50" s="32">
        <f t="shared" si="65"/>
        <v>2042</v>
      </c>
      <c r="AI50" s="32">
        <f t="shared" si="65"/>
        <v>2043</v>
      </c>
      <c r="AJ50" s="32">
        <f t="shared" si="65"/>
        <v>2044</v>
      </c>
      <c r="AK50" s="32">
        <f t="shared" si="65"/>
        <v>2045</v>
      </c>
      <c r="AL50" s="32">
        <f t="shared" si="65"/>
        <v>2046</v>
      </c>
      <c r="AM50" s="32">
        <f t="shared" si="65"/>
        <v>2047</v>
      </c>
      <c r="AN50" s="32">
        <f t="shared" si="65"/>
        <v>2048</v>
      </c>
      <c r="AO50" s="32">
        <f t="shared" si="65"/>
        <v>2049</v>
      </c>
      <c r="AP50" s="32">
        <f>AP2</f>
        <v>2050</v>
      </c>
      <c r="AS50" s="61">
        <f t="shared" ref="AS50:BG50" si="66">C50</f>
        <v>2011</v>
      </c>
      <c r="AT50" s="61">
        <f t="shared" si="66"/>
        <v>2012</v>
      </c>
      <c r="AU50" s="61">
        <f t="shared" si="66"/>
        <v>2013</v>
      </c>
      <c r="AV50" s="61">
        <f t="shared" si="66"/>
        <v>2014</v>
      </c>
      <c r="AW50" s="61">
        <f t="shared" si="66"/>
        <v>2015</v>
      </c>
      <c r="AX50" s="61">
        <f t="shared" si="66"/>
        <v>2016</v>
      </c>
      <c r="AY50" s="61">
        <f t="shared" si="66"/>
        <v>2017</v>
      </c>
      <c r="AZ50" s="61">
        <f t="shared" si="66"/>
        <v>2018</v>
      </c>
      <c r="BA50" s="61">
        <f t="shared" si="66"/>
        <v>2019</v>
      </c>
      <c r="BB50" s="61">
        <f t="shared" si="66"/>
        <v>2020</v>
      </c>
      <c r="BC50" s="61">
        <f t="shared" si="66"/>
        <v>2021</v>
      </c>
      <c r="BD50" s="61">
        <f t="shared" si="66"/>
        <v>2022</v>
      </c>
      <c r="BE50" s="61">
        <f t="shared" si="66"/>
        <v>2023</v>
      </c>
      <c r="BF50" s="61">
        <f t="shared" si="66"/>
        <v>2024</v>
      </c>
      <c r="BG50" s="61">
        <f t="shared" si="66"/>
        <v>2025</v>
      </c>
      <c r="BU50" s="84">
        <f t="shared" si="63"/>
        <v>0.77992672903225779</v>
      </c>
      <c r="BV50" s="84">
        <f t="shared" si="62"/>
        <v>1.2420432516129036</v>
      </c>
      <c r="BW50" s="84">
        <f t="shared" si="62"/>
        <v>1.3494437032258055</v>
      </c>
      <c r="BX50" s="84">
        <f t="shared" si="62"/>
        <v>1.3011483935483872</v>
      </c>
      <c r="BY50" s="84">
        <f t="shared" si="62"/>
        <v>0.93949730967741907</v>
      </c>
      <c r="BZ50" s="84">
        <f t="shared" si="62"/>
        <v>0.86821084516129066</v>
      </c>
      <c r="CA50" s="84">
        <f t="shared" si="62"/>
        <v>0.32836240645161219</v>
      </c>
      <c r="CB50" s="84">
        <f t="shared" si="62"/>
        <v>-9.038037419354783E-2</v>
      </c>
      <c r="CC50" s="84">
        <f t="shared" si="62"/>
        <v>0.42016476129032299</v>
      </c>
    </row>
    <row r="51" spans="1:81" x14ac:dyDescent="0.2">
      <c r="A51" s="32" t="s">
        <v>93</v>
      </c>
      <c r="B51" s="35">
        <f>SUM(B3:B5)</f>
        <v>1835141</v>
      </c>
      <c r="C51" s="35">
        <f t="shared" ref="C51:AD51" si="67">SUM(C3:C5)</f>
        <v>137758025</v>
      </c>
      <c r="D51" s="35">
        <f t="shared" si="67"/>
        <v>227781944</v>
      </c>
      <c r="E51" s="35">
        <f t="shared" si="67"/>
        <v>246701646</v>
      </c>
      <c r="F51" s="35">
        <f t="shared" si="67"/>
        <v>217368189</v>
      </c>
      <c r="G51" s="35">
        <f t="shared" si="67"/>
        <v>211088348</v>
      </c>
      <c r="H51" s="35">
        <f t="shared" si="67"/>
        <v>312536851</v>
      </c>
      <c r="I51" s="35">
        <f t="shared" si="67"/>
        <v>255909158</v>
      </c>
      <c r="J51" s="35">
        <f t="shared" si="67"/>
        <v>371229080</v>
      </c>
      <c r="K51" s="35">
        <f t="shared" si="67"/>
        <v>372660245</v>
      </c>
      <c r="L51" s="35">
        <f t="shared" si="67"/>
        <v>396529498</v>
      </c>
      <c r="M51" s="35">
        <f t="shared" si="67"/>
        <v>367522566</v>
      </c>
      <c r="N51" s="35">
        <f t="shared" si="67"/>
        <v>337027103</v>
      </c>
      <c r="O51" s="35">
        <f t="shared" si="67"/>
        <v>365180224</v>
      </c>
      <c r="P51" s="35">
        <f t="shared" si="67"/>
        <v>380002001</v>
      </c>
      <c r="Q51" s="36">
        <f t="shared" si="67"/>
        <v>235193124</v>
      </c>
      <c r="R51" s="36">
        <f t="shared" si="67"/>
        <v>316300308.44135076</v>
      </c>
      <c r="S51" s="36">
        <f t="shared" si="67"/>
        <v>299598932.27972102</v>
      </c>
      <c r="T51" s="36">
        <f t="shared" si="67"/>
        <v>237690418.76565734</v>
      </c>
      <c r="U51" s="36">
        <f t="shared" si="67"/>
        <v>269532535.22761995</v>
      </c>
      <c r="V51" s="36">
        <f t="shared" si="67"/>
        <v>263613481.12013969</v>
      </c>
      <c r="W51" s="36">
        <f t="shared" si="67"/>
        <v>276182783.25230259</v>
      </c>
      <c r="X51" s="36">
        <f t="shared" si="67"/>
        <v>288070809.47030509</v>
      </c>
      <c r="Y51" s="36">
        <f t="shared" si="67"/>
        <v>289412020.48442721</v>
      </c>
      <c r="Z51" s="36">
        <f t="shared" si="67"/>
        <v>273222066.63588756</v>
      </c>
      <c r="AA51" s="36">
        <f t="shared" si="67"/>
        <v>263441858.04356098</v>
      </c>
      <c r="AB51" s="36">
        <f t="shared" si="67"/>
        <v>218690135.9951297</v>
      </c>
      <c r="AC51" s="36">
        <f t="shared" si="67"/>
        <v>177525175.99735856</v>
      </c>
      <c r="AD51" s="36">
        <f t="shared" si="67"/>
        <v>175358253.92078042</v>
      </c>
      <c r="AE51" s="36">
        <f>SUM(AE3:AE5)</f>
        <v>144289099.77480406</v>
      </c>
      <c r="AF51" s="36">
        <f>SUM(AF3:AF5)</f>
        <v>85810175.691454768</v>
      </c>
      <c r="AG51" s="36">
        <f t="shared" ref="AG51:AO51" si="68">SUM(AG3:AG5)</f>
        <v>95165357.9550381</v>
      </c>
      <c r="AH51" s="36">
        <f t="shared" si="68"/>
        <v>93726311.75680694</v>
      </c>
      <c r="AI51" s="36">
        <f t="shared" si="68"/>
        <v>77162030.212636515</v>
      </c>
      <c r="AJ51" s="36">
        <f t="shared" si="68"/>
        <v>77849332.645470709</v>
      </c>
      <c r="AK51" s="36">
        <f t="shared" si="68"/>
        <v>78169159.187987953</v>
      </c>
      <c r="AL51" s="36">
        <f t="shared" si="68"/>
        <v>77928366.917264193</v>
      </c>
      <c r="AM51" s="36">
        <f t="shared" si="68"/>
        <v>77997498.698433459</v>
      </c>
      <c r="AN51" s="36">
        <f t="shared" si="68"/>
        <v>79276598.004003331</v>
      </c>
      <c r="AO51" s="36">
        <f t="shared" si="68"/>
        <v>80610249.125109702</v>
      </c>
      <c r="AP51" s="36">
        <f>SUM(AP3:AP5)</f>
        <v>82390317.064019442</v>
      </c>
      <c r="AQ51" s="36"/>
      <c r="AS51" s="35">
        <f>C51+'Renewable Diesel'!C19</f>
        <v>146305502</v>
      </c>
      <c r="AT51" s="35">
        <f>D51+'Renewable Diesel'!D19</f>
        <v>243667526</v>
      </c>
      <c r="AU51" s="35">
        <f>E51+'Renewable Diesel'!E19</f>
        <v>278228430</v>
      </c>
      <c r="AV51" s="35">
        <f>F51+'Renewable Diesel'!F19</f>
        <v>315580377</v>
      </c>
      <c r="AW51" s="35">
        <f>G51+'Renewable Diesel'!G19</f>
        <v>284629574</v>
      </c>
      <c r="AX51" s="35">
        <f>H51+'Renewable Diesel'!H19</f>
        <v>382267139</v>
      </c>
      <c r="AY51" s="35">
        <f>I51+'Renewable Diesel'!I19</f>
        <v>358337212</v>
      </c>
      <c r="AZ51" s="35">
        <f>J51+'Renewable Diesel'!J19</f>
        <v>476958087</v>
      </c>
      <c r="BA51" s="35">
        <f>K51+'Renewable Diesel'!K19</f>
        <v>541784259</v>
      </c>
      <c r="BB51" s="35">
        <f>L51+'Renewable Diesel'!L19</f>
        <v>599549655</v>
      </c>
      <c r="BC51" s="35">
        <f>M51+'Renewable Diesel'!M19</f>
        <v>628930113</v>
      </c>
      <c r="BD51" s="35">
        <f>N51+'Renewable Diesel'!N19</f>
        <v>740932872</v>
      </c>
      <c r="BE51" s="35">
        <f>O51+'Renewable Diesel'!O19</f>
        <v>939759336</v>
      </c>
      <c r="BF51" s="36">
        <f>P51+'Renewable Diesel'!P19</f>
        <v>1162609573</v>
      </c>
      <c r="BG51" s="36">
        <f>Q51+'Renewable Diesel'!Q19</f>
        <v>888179778</v>
      </c>
      <c r="BH51" s="70">
        <f>AVERAGE(AZ51/AZ$55,BA51/BA$55,BB51/BB$55,BC51/BC$55,BD51/BD$55)</f>
        <v>0.20828766953225042</v>
      </c>
      <c r="BU51" s="83">
        <f t="shared" si="63"/>
        <v>1.3304030199999999</v>
      </c>
      <c r="BV51" s="83">
        <f t="shared" si="62"/>
        <v>1.7731176133333335</v>
      </c>
      <c r="BW51" s="83">
        <f t="shared" si="62"/>
        <v>0.87850042000000039</v>
      </c>
      <c r="BX51" s="83">
        <f t="shared" si="62"/>
        <v>1.058754753333333</v>
      </c>
      <c r="BY51" s="83">
        <f t="shared" si="62"/>
        <v>1.4881290800000002</v>
      </c>
      <c r="BZ51" s="83">
        <f t="shared" si="62"/>
        <v>0.52004253333333228</v>
      </c>
      <c r="CA51" s="83">
        <f t="shared" si="62"/>
        <v>-1.9997640000000594E-2</v>
      </c>
      <c r="CB51" s="83">
        <f t="shared" si="62"/>
        <v>0.35235650666666629</v>
      </c>
      <c r="CC51" s="83">
        <f t="shared" si="62"/>
        <v>-1.9505533333333602E-2</v>
      </c>
    </row>
    <row r="52" spans="1:81" x14ac:dyDescent="0.2">
      <c r="A52" s="32" t="s">
        <v>94</v>
      </c>
      <c r="B52" s="35">
        <f>SUM(B6:B8)</f>
        <v>1645701</v>
      </c>
      <c r="C52" s="35">
        <f t="shared" ref="C52:AD52" si="69">SUM(C6:C8)</f>
        <v>226174685</v>
      </c>
      <c r="D52" s="35">
        <f t="shared" si="69"/>
        <v>307167420</v>
      </c>
      <c r="E52" s="35">
        <f t="shared" si="69"/>
        <v>347370109</v>
      </c>
      <c r="F52" s="35">
        <f t="shared" si="69"/>
        <v>326456435</v>
      </c>
      <c r="G52" s="35">
        <f t="shared" si="69"/>
        <v>358954446</v>
      </c>
      <c r="H52" s="35">
        <f t="shared" si="69"/>
        <v>404275445</v>
      </c>
      <c r="I52" s="35">
        <f t="shared" si="69"/>
        <v>416409298</v>
      </c>
      <c r="J52" s="35">
        <f t="shared" si="69"/>
        <v>471421342</v>
      </c>
      <c r="K52" s="35">
        <f t="shared" si="69"/>
        <v>469044593</v>
      </c>
      <c r="L52" s="35">
        <f t="shared" si="69"/>
        <v>458049679</v>
      </c>
      <c r="M52" s="35">
        <f t="shared" si="69"/>
        <v>449355562</v>
      </c>
      <c r="N52" s="35">
        <f t="shared" si="69"/>
        <v>427016846</v>
      </c>
      <c r="O52" s="35">
        <f t="shared" si="69"/>
        <v>450435348</v>
      </c>
      <c r="P52" s="35">
        <f t="shared" si="69"/>
        <v>412657301</v>
      </c>
      <c r="Q52" s="36">
        <f t="shared" si="69"/>
        <v>409308544.33556986</v>
      </c>
      <c r="R52" s="36">
        <f t="shared" si="69"/>
        <v>380789711.30165529</v>
      </c>
      <c r="S52" s="36">
        <f t="shared" si="69"/>
        <v>382329257.9808892</v>
      </c>
      <c r="T52" s="36">
        <f t="shared" si="69"/>
        <v>303917105.44965911</v>
      </c>
      <c r="U52" s="36">
        <f t="shared" si="69"/>
        <v>347088350.96819752</v>
      </c>
      <c r="V52" s="36">
        <f t="shared" si="69"/>
        <v>354532980.3683551</v>
      </c>
      <c r="W52" s="36">
        <f t="shared" si="69"/>
        <v>352582874.87553042</v>
      </c>
      <c r="X52" s="36">
        <f t="shared" si="69"/>
        <v>372657851.84185135</v>
      </c>
      <c r="Y52" s="36">
        <f t="shared" si="69"/>
        <v>349631265.83141649</v>
      </c>
      <c r="Z52" s="36">
        <f t="shared" si="69"/>
        <v>341480962.38484621</v>
      </c>
      <c r="AA52" s="36">
        <f t="shared" si="69"/>
        <v>328416842.08570033</v>
      </c>
      <c r="AB52" s="36">
        <f t="shared" si="69"/>
        <v>275132941.50255954</v>
      </c>
      <c r="AC52" s="36">
        <f t="shared" si="69"/>
        <v>223177742.82771015</v>
      </c>
      <c r="AD52" s="36">
        <f t="shared" si="69"/>
        <v>218949496.11492878</v>
      </c>
      <c r="AE52" s="36">
        <f>SUM(AE6:AE8)</f>
        <v>182145582.95799047</v>
      </c>
      <c r="AF52" s="36">
        <f>SUM(AF6:AF8)</f>
        <v>109611252.28386524</v>
      </c>
      <c r="AG52" s="36">
        <f t="shared" ref="AG52:AO52" si="70">SUM(AG6:AG8)</f>
        <v>121298612.0229037</v>
      </c>
      <c r="AH52" s="36">
        <f t="shared" si="70"/>
        <v>116060275.61221328</v>
      </c>
      <c r="AI52" s="36">
        <f t="shared" si="70"/>
        <v>95464396.92401354</v>
      </c>
      <c r="AJ52" s="36">
        <f t="shared" si="70"/>
        <v>96468397.77566956</v>
      </c>
      <c r="AK52" s="36">
        <f t="shared" si="70"/>
        <v>96847379.993069246</v>
      </c>
      <c r="AL52" s="36">
        <f t="shared" si="70"/>
        <v>96540313.142528847</v>
      </c>
      <c r="AM52" s="36">
        <f t="shared" si="70"/>
        <v>96598431.554467425</v>
      </c>
      <c r="AN52" s="36">
        <f t="shared" si="70"/>
        <v>98186238.1018195</v>
      </c>
      <c r="AO52" s="36">
        <f t="shared" si="70"/>
        <v>99859202.072345689</v>
      </c>
      <c r="AP52" s="36">
        <f>SUM(AP6:AP8)</f>
        <v>102058186.50780964</v>
      </c>
      <c r="AQ52" s="36"/>
      <c r="AS52" s="35">
        <f>C52+'Renewable Diesel'!C20</f>
        <v>240230962</v>
      </c>
      <c r="AT52" s="35">
        <f>D52+'Renewable Diesel'!D20</f>
        <v>324855359</v>
      </c>
      <c r="AU52" s="35">
        <f>E52+'Renewable Diesel'!E20</f>
        <v>395344659</v>
      </c>
      <c r="AV52" s="35">
        <f>F52+'Renewable Diesel'!F20</f>
        <v>478299277</v>
      </c>
      <c r="AW52" s="35">
        <f>G52+'Renewable Diesel'!G20</f>
        <v>504950353</v>
      </c>
      <c r="AX52" s="35">
        <f>H52+'Renewable Diesel'!H20</f>
        <v>568610483</v>
      </c>
      <c r="AY52" s="35">
        <f>I52+'Renewable Diesel'!I20</f>
        <v>572713329</v>
      </c>
      <c r="AZ52" s="35">
        <f>J52+'Renewable Diesel'!J20</f>
        <v>639925770</v>
      </c>
      <c r="BA52" s="35">
        <f>K52+'Renewable Diesel'!K20</f>
        <v>707676073</v>
      </c>
      <c r="BB52" s="35">
        <f>L52+'Renewable Diesel'!L20</f>
        <v>708044450</v>
      </c>
      <c r="BC52" s="35">
        <f>M52+'Renewable Diesel'!M20</f>
        <v>751245218</v>
      </c>
      <c r="BD52" s="35">
        <f>N52+'Renewable Diesel'!N20</f>
        <v>909933386</v>
      </c>
      <c r="BE52" s="35">
        <f>O52+'Renewable Diesel'!O20</f>
        <v>1194564156</v>
      </c>
      <c r="BF52" s="36">
        <f>P52+'Renewable Diesel'!P20</f>
        <v>1312471333</v>
      </c>
      <c r="BG52" s="36">
        <f>Q52+'Renewable Diesel'!Q20</f>
        <v>1064160119.2840261</v>
      </c>
      <c r="BH52" s="70">
        <f>AVERAGE(AZ52/AZ$55,BA52/BA$55,BB52/BB$55,BC52/BC$55,BD52/BD$55)</f>
        <v>0.26002166449632602</v>
      </c>
      <c r="BU52" s="83">
        <f t="shared" si="63"/>
        <v>1.5517515999999993</v>
      </c>
      <c r="BV52" s="83">
        <f t="shared" si="62"/>
        <v>1.7436056322580646</v>
      </c>
      <c r="BW52" s="83">
        <f t="shared" si="62"/>
        <v>1.7212535741935486</v>
      </c>
      <c r="BX52" s="83">
        <f t="shared" si="62"/>
        <v>1.1392925806451615</v>
      </c>
      <c r="BY52" s="83">
        <f t="shared" si="62"/>
        <v>0.71159732903225859</v>
      </c>
      <c r="BZ52" s="83">
        <f t="shared" si="62"/>
        <v>-0.28360462580645063</v>
      </c>
      <c r="CA52" s="83">
        <f t="shared" si="62"/>
        <v>-0.38567707741935564</v>
      </c>
      <c r="CB52" s="83">
        <f t="shared" si="62"/>
        <v>-0.74507026451613001</v>
      </c>
      <c r="CC52" s="83">
        <f t="shared" si="62"/>
        <v>1.1340336516129028</v>
      </c>
    </row>
    <row r="53" spans="1:81" x14ac:dyDescent="0.2">
      <c r="A53" s="32" t="s">
        <v>95</v>
      </c>
      <c r="B53" s="35">
        <f>SUM(B9:B11)</f>
        <v>98565031</v>
      </c>
      <c r="C53" s="35">
        <f t="shared" ref="C53:K53" si="71">SUM(C9:C11)</f>
        <v>302445775</v>
      </c>
      <c r="D53" s="35">
        <f t="shared" si="71"/>
        <v>274935859</v>
      </c>
      <c r="E53" s="35">
        <f t="shared" si="71"/>
        <v>385953618</v>
      </c>
      <c r="F53" s="35">
        <f t="shared" si="71"/>
        <v>380912290</v>
      </c>
      <c r="G53" s="35">
        <f t="shared" si="71"/>
        <v>372614471</v>
      </c>
      <c r="H53" s="35">
        <f t="shared" si="71"/>
        <v>446273165</v>
      </c>
      <c r="I53" s="35">
        <f t="shared" si="71"/>
        <v>456160275</v>
      </c>
      <c r="J53" s="35">
        <f t="shared" si="71"/>
        <v>507417523</v>
      </c>
      <c r="K53" s="35">
        <f t="shared" si="71"/>
        <v>466711139</v>
      </c>
      <c r="L53" s="35">
        <f>SUM(L9:L11)</f>
        <v>502096983</v>
      </c>
      <c r="M53" s="35">
        <f t="shared" ref="M53:AD53" si="72">SUM(M9:M11)</f>
        <v>441407357</v>
      </c>
      <c r="N53" s="35">
        <f t="shared" si="72"/>
        <v>431239929</v>
      </c>
      <c r="O53" s="35">
        <f t="shared" si="72"/>
        <v>438809606</v>
      </c>
      <c r="P53" s="35">
        <f>SUM(P9:P11)</f>
        <v>420215979</v>
      </c>
      <c r="Q53" s="36">
        <f t="shared" si="72"/>
        <v>416901916.34033656</v>
      </c>
      <c r="R53" s="36">
        <f t="shared" si="72"/>
        <v>380459947.26136255</v>
      </c>
      <c r="S53" s="36">
        <f t="shared" si="72"/>
        <v>383380689.2153067</v>
      </c>
      <c r="T53" s="36">
        <f t="shared" si="72"/>
        <v>304328814.71866077</v>
      </c>
      <c r="U53" s="36">
        <f t="shared" si="72"/>
        <v>349676024.24799931</v>
      </c>
      <c r="V53" s="36">
        <f t="shared" si="72"/>
        <v>356642159.6850459</v>
      </c>
      <c r="W53" s="36">
        <f t="shared" si="72"/>
        <v>353819947.7058093</v>
      </c>
      <c r="X53" s="36">
        <f t="shared" si="72"/>
        <v>374316424.49031484</v>
      </c>
      <c r="Y53" s="36">
        <f t="shared" si="72"/>
        <v>351330378.7244817</v>
      </c>
      <c r="Z53" s="36">
        <f t="shared" si="72"/>
        <v>343366866.8616665</v>
      </c>
      <c r="AA53" s="36">
        <f t="shared" si="72"/>
        <v>330131200.55882406</v>
      </c>
      <c r="AB53" s="36">
        <f t="shared" si="72"/>
        <v>276578153.02642941</v>
      </c>
      <c r="AC53" s="36">
        <f t="shared" si="72"/>
        <v>224545776.06170645</v>
      </c>
      <c r="AD53" s="36">
        <f t="shared" si="72"/>
        <v>220382053.01811129</v>
      </c>
      <c r="AE53" s="36">
        <f>SUM(AE9:AE11)</f>
        <v>183515267.99482197</v>
      </c>
      <c r="AF53" s="36">
        <f>SUM(AF9:AF11)</f>
        <v>110710818.4465071</v>
      </c>
      <c r="AG53" s="36">
        <f t="shared" ref="AG53:AO53" si="73">SUM(AG9:AG11)</f>
        <v>122438931.02568093</v>
      </c>
      <c r="AH53" s="36">
        <f t="shared" si="73"/>
        <v>116464290.94602728</v>
      </c>
      <c r="AI53" s="36">
        <f t="shared" si="73"/>
        <v>95797907.779416859</v>
      </c>
      <c r="AJ53" s="36">
        <f t="shared" si="73"/>
        <v>96804516.306872189</v>
      </c>
      <c r="AK53" s="36">
        <f t="shared" si="73"/>
        <v>97182639.726230547</v>
      </c>
      <c r="AL53" s="36">
        <f t="shared" si="73"/>
        <v>96874980.559874058</v>
      </c>
      <c r="AM53" s="36">
        <f t="shared" si="73"/>
        <v>96934356.495524809</v>
      </c>
      <c r="AN53" s="36">
        <f t="shared" si="73"/>
        <v>98527600.957748577</v>
      </c>
      <c r="AO53" s="36">
        <f t="shared" si="73"/>
        <v>100206049.3697281</v>
      </c>
      <c r="AP53" s="36">
        <f>SUM(AP9:AP11)</f>
        <v>102412452.36475568</v>
      </c>
      <c r="AQ53" s="36"/>
      <c r="AS53" s="35">
        <f>C53+'Renewable Diesel'!C21</f>
        <v>323256566</v>
      </c>
      <c r="AT53" s="35">
        <f>D53+'Renewable Diesel'!D21</f>
        <v>303364619</v>
      </c>
      <c r="AU53" s="35">
        <f>E53+'Renewable Diesel'!E21</f>
        <v>526505517</v>
      </c>
      <c r="AV53" s="35">
        <f>F53+'Renewable Diesel'!F21</f>
        <v>474578640</v>
      </c>
      <c r="AW53" s="35">
        <f>G53+'Renewable Diesel'!G21</f>
        <v>492456173</v>
      </c>
      <c r="AX53" s="35">
        <f>H53+'Renewable Diesel'!H21</f>
        <v>605188078</v>
      </c>
      <c r="AY53" s="35">
        <f>I53+'Renewable Diesel'!I21</f>
        <v>605569028</v>
      </c>
      <c r="AZ53" s="35">
        <f>J53+'Renewable Diesel'!J21</f>
        <v>650754342</v>
      </c>
      <c r="BA53" s="35">
        <f>K53+'Renewable Diesel'!K21</f>
        <v>685822621</v>
      </c>
      <c r="BB53" s="35">
        <f>L53+'Renewable Diesel'!L21</f>
        <v>756032916</v>
      </c>
      <c r="BC53" s="35">
        <f>M53+'Renewable Diesel'!M21</f>
        <v>746222105</v>
      </c>
      <c r="BD53" s="35">
        <f>N53+'Renewable Diesel'!N21</f>
        <v>867840918</v>
      </c>
      <c r="BE53" s="36">
        <f>O53+'Renewable Diesel'!O21</f>
        <v>1186239258</v>
      </c>
      <c r="BF53" s="36">
        <f>P53+'Renewable Diesel'!P21</f>
        <v>1344273699</v>
      </c>
      <c r="BG53" s="36">
        <f>Q53+'Renewable Diesel'!Q21</f>
        <v>1051848172.6187859</v>
      </c>
      <c r="BH53" s="70">
        <f>AVERAGE(AZ53/AZ$55,BA53/BA$55,BB53/BB$55,BC53/BC$55,BD53/BD$55)</f>
        <v>0.25992732619939379</v>
      </c>
      <c r="BU53" s="83">
        <f t="shared" si="63"/>
        <v>2.1110471600000005</v>
      </c>
      <c r="BV53" s="83">
        <f t="shared" si="62"/>
        <v>2.7061500199999999</v>
      </c>
      <c r="BW53" s="83">
        <f t="shared" si="62"/>
        <v>2.8483092466666671</v>
      </c>
      <c r="BX53" s="83">
        <f t="shared" si="62"/>
        <v>0.20671382666666638</v>
      </c>
      <c r="BY53" s="83">
        <f t="shared" si="62"/>
        <v>-0.37340312666666708</v>
      </c>
      <c r="BZ53" s="83">
        <f t="shared" si="62"/>
        <v>-4.5520986666666374E-2</v>
      </c>
      <c r="CA53" s="83">
        <f t="shared" si="62"/>
        <v>-0.58505546666666675</v>
      </c>
      <c r="CB53" s="83">
        <f t="shared" si="62"/>
        <v>-0.72341138666666627</v>
      </c>
      <c r="CC53" s="83">
        <f t="shared" si="62"/>
        <v>0.78781758000000046</v>
      </c>
    </row>
    <row r="54" spans="1:81" x14ac:dyDescent="0.2">
      <c r="A54" s="32" t="s">
        <v>96</v>
      </c>
      <c r="B54" s="35">
        <f>SUM(B12:B14)</f>
        <v>111745939</v>
      </c>
      <c r="C54" s="35">
        <f t="shared" ref="C54:AD54" si="74">SUM(C12:C14)</f>
        <v>368320773</v>
      </c>
      <c r="D54" s="35">
        <f t="shared" si="74"/>
        <v>206835298</v>
      </c>
      <c r="E54" s="35">
        <f t="shared" si="74"/>
        <v>399063804</v>
      </c>
      <c r="F54" s="35">
        <f t="shared" si="74"/>
        <v>382456150</v>
      </c>
      <c r="G54" s="35">
        <f t="shared" si="74"/>
        <v>311606058</v>
      </c>
      <c r="H54" s="35">
        <f t="shared" si="74"/>
        <v>469998524</v>
      </c>
      <c r="I54" s="35">
        <f t="shared" si="74"/>
        <v>459773026</v>
      </c>
      <c r="J54" s="35">
        <f t="shared" si="74"/>
        <v>505054896</v>
      </c>
      <c r="K54" s="35">
        <f t="shared" si="74"/>
        <v>405359619</v>
      </c>
      <c r="L54" s="35">
        <f t="shared" si="74"/>
        <v>468199498</v>
      </c>
      <c r="M54" s="35">
        <f t="shared" si="74"/>
        <v>446343870</v>
      </c>
      <c r="N54" s="35">
        <f t="shared" si="74"/>
        <v>424927207</v>
      </c>
      <c r="O54" s="35">
        <f t="shared" si="74"/>
        <v>415895658</v>
      </c>
      <c r="P54" s="36">
        <f t="shared" si="74"/>
        <v>456373259</v>
      </c>
      <c r="Q54" s="36">
        <f t="shared" si="74"/>
        <v>522294412.83208084</v>
      </c>
      <c r="R54" s="36">
        <f t="shared" si="74"/>
        <v>383292618.35610712</v>
      </c>
      <c r="S54" s="36">
        <f t="shared" si="74"/>
        <v>404977180.99859154</v>
      </c>
      <c r="T54" s="36">
        <f t="shared" si="74"/>
        <v>326022048.91725242</v>
      </c>
      <c r="U54" s="36">
        <f t="shared" si="74"/>
        <v>384784534.97801203</v>
      </c>
      <c r="V54" s="36">
        <f t="shared" si="74"/>
        <v>392867493.55849153</v>
      </c>
      <c r="W54" s="36">
        <f t="shared" si="74"/>
        <v>377217399.93477142</v>
      </c>
      <c r="X54" s="36">
        <f t="shared" si="74"/>
        <v>403846968.52342713</v>
      </c>
      <c r="Y54" s="36">
        <f t="shared" si="74"/>
        <v>360788448.00072432</v>
      </c>
      <c r="Z54" s="36">
        <f t="shared" si="74"/>
        <v>362043165.30578935</v>
      </c>
      <c r="AA54" s="36">
        <f t="shared" si="74"/>
        <v>345854090.61993843</v>
      </c>
      <c r="AB54" s="36">
        <f t="shared" si="74"/>
        <v>291811763.97402084</v>
      </c>
      <c r="AC54" s="36">
        <f t="shared" si="74"/>
        <v>236365336.49733108</v>
      </c>
      <c r="AD54" s="36">
        <f t="shared" si="74"/>
        <v>230572389.33060217</v>
      </c>
      <c r="AE54" s="36">
        <f>SUM(AE12:AE14)</f>
        <v>192865006.84505457</v>
      </c>
      <c r="AF54" s="36">
        <f>SUM(AF12:AF14)</f>
        <v>116200173.0784539</v>
      </c>
      <c r="AG54" s="36">
        <f t="shared" ref="AG54:AO54" si="75">SUM(AG12:AG14)</f>
        <v>128643334.6200155</v>
      </c>
      <c r="AH54" s="36">
        <f t="shared" si="75"/>
        <v>122384126.37902513</v>
      </c>
      <c r="AI54" s="36">
        <f t="shared" si="75"/>
        <v>100597748.38282263</v>
      </c>
      <c r="AJ54" s="36">
        <f t="shared" si="75"/>
        <v>101766418.80910484</v>
      </c>
      <c r="AK54" s="36">
        <f t="shared" si="75"/>
        <v>102145534.7660325</v>
      </c>
      <c r="AL54" s="36">
        <f t="shared" si="75"/>
        <v>101823543.85558902</v>
      </c>
      <c r="AM54" s="36">
        <f t="shared" si="75"/>
        <v>101865234.1872091</v>
      </c>
      <c r="AN54" s="36">
        <f t="shared" si="75"/>
        <v>103540439.99683212</v>
      </c>
      <c r="AO54" s="36">
        <f t="shared" si="75"/>
        <v>105319555.63126802</v>
      </c>
      <c r="AP54" s="36">
        <f>SUM(AP12:AP14)</f>
        <v>107633955.47904319</v>
      </c>
      <c r="AQ54" s="36"/>
      <c r="AS54" s="35">
        <f>C54+'Renewable Diesel'!C22</f>
        <v>386953551</v>
      </c>
      <c r="AT54" s="35">
        <f>D54+'Renewable Diesel'!D22</f>
        <v>247513077</v>
      </c>
      <c r="AU54" s="35">
        <f>E54+'Renewable Diesel'!E22</f>
        <v>552555403</v>
      </c>
      <c r="AV54" s="35">
        <f>F54+'Renewable Diesel'!F22</f>
        <v>491162390</v>
      </c>
      <c r="AW54" s="35">
        <f>G54+'Renewable Diesel'!G22</f>
        <v>434099296</v>
      </c>
      <c r="AX54" s="35">
        <f>H54+'Renewable Diesel'!H22</f>
        <v>623655911</v>
      </c>
      <c r="AY54" s="35">
        <f>I54+'Renewable Diesel'!I22</f>
        <v>622177035</v>
      </c>
      <c r="AZ54" s="35">
        <f>J54+'Renewable Diesel'!J22</f>
        <v>690033146</v>
      </c>
      <c r="BA54" s="35">
        <f>K54+'Renewable Diesel'!K22</f>
        <v>657358080</v>
      </c>
      <c r="BB54" s="35">
        <f>L54+'Renewable Diesel'!L22</f>
        <v>711038922</v>
      </c>
      <c r="BC54" s="35">
        <f>M54+'Renewable Diesel'!M22</f>
        <v>869914956</v>
      </c>
      <c r="BD54" s="35">
        <f>N54+'Renewable Diesel'!N22</f>
        <v>969383531</v>
      </c>
      <c r="BE54" s="36">
        <f>O54+'Renewable Diesel'!O22</f>
        <v>1257951254</v>
      </c>
      <c r="BF54" s="36">
        <f>P54+'Renewable Diesel'!P22</f>
        <v>1413824498</v>
      </c>
      <c r="BG54" s="36">
        <f>Q54+'Renewable Diesel'!Q22</f>
        <v>1353910902.0261121</v>
      </c>
      <c r="BH54" s="70">
        <f>AVERAGE(AZ54/AZ$55,BA54/BA$55,BB54/BB$55,BC54/BC$55,BD54/BD$55)</f>
        <v>0.27176333977202977</v>
      </c>
      <c r="BU54" s="83">
        <f t="shared" si="63"/>
        <v>2.3566394000000006</v>
      </c>
      <c r="BV54" s="83">
        <f t="shared" si="62"/>
        <v>1.3188118064516132</v>
      </c>
      <c r="BW54" s="83">
        <f t="shared" si="62"/>
        <v>1.9442795419354848</v>
      </c>
      <c r="BX54" s="83">
        <f t="shared" si="62"/>
        <v>0.30506463225806346</v>
      </c>
      <c r="BY54" s="83">
        <f t="shared" si="62"/>
        <v>0.3904584451612898</v>
      </c>
      <c r="BZ54" s="83">
        <f t="shared" si="62"/>
        <v>2.8335929032258456E-2</v>
      </c>
      <c r="CA54" s="83">
        <f t="shared" si="62"/>
        <v>-0.68819919354838621</v>
      </c>
      <c r="CB54" s="83">
        <f t="shared" si="62"/>
        <v>-1.157997638709678</v>
      </c>
      <c r="CC54" s="83">
        <f t="shared" si="62"/>
        <v>8.0158387096774142E-2</v>
      </c>
    </row>
    <row r="55" spans="1:81" x14ac:dyDescent="0.2">
      <c r="A55" s="32" t="s">
        <v>58</v>
      </c>
      <c r="B55" s="35">
        <f>SUM(B51:B54)</f>
        <v>213791812</v>
      </c>
      <c r="C55" s="35">
        <f t="shared" ref="C55:AD55" si="76">SUM(C51:C54)</f>
        <v>1034699258</v>
      </c>
      <c r="D55" s="35">
        <f t="shared" si="76"/>
        <v>1016720521</v>
      </c>
      <c r="E55" s="35">
        <f t="shared" si="76"/>
        <v>1379089177</v>
      </c>
      <c r="F55" s="35">
        <f t="shared" si="76"/>
        <v>1307193064</v>
      </c>
      <c r="G55" s="35">
        <f t="shared" si="76"/>
        <v>1254263323</v>
      </c>
      <c r="H55" s="35">
        <f t="shared" si="76"/>
        <v>1633083985</v>
      </c>
      <c r="I55" s="35">
        <f t="shared" si="76"/>
        <v>1588251757</v>
      </c>
      <c r="J55" s="35">
        <f t="shared" si="76"/>
        <v>1855122841</v>
      </c>
      <c r="K55" s="35">
        <f t="shared" si="76"/>
        <v>1713775596</v>
      </c>
      <c r="L55" s="35">
        <f t="shared" si="76"/>
        <v>1824875658</v>
      </c>
      <c r="M55" s="35">
        <f t="shared" si="76"/>
        <v>1704629355</v>
      </c>
      <c r="N55" s="35">
        <f t="shared" si="76"/>
        <v>1620211085</v>
      </c>
      <c r="O55" s="35">
        <f t="shared" si="76"/>
        <v>1670320836</v>
      </c>
      <c r="P55" s="36">
        <f t="shared" si="76"/>
        <v>1669248540</v>
      </c>
      <c r="Q55" s="36">
        <f t="shared" si="76"/>
        <v>1583697997.5079873</v>
      </c>
      <c r="R55" s="36">
        <f t="shared" si="76"/>
        <v>1460842585.3604755</v>
      </c>
      <c r="S55" s="36">
        <f t="shared" si="76"/>
        <v>1470286060.4745083</v>
      </c>
      <c r="T55" s="36">
        <f t="shared" si="76"/>
        <v>1171958387.8512297</v>
      </c>
      <c r="U55" s="36">
        <f t="shared" si="76"/>
        <v>1351081445.4218287</v>
      </c>
      <c r="V55" s="36">
        <f t="shared" si="76"/>
        <v>1367656114.7320321</v>
      </c>
      <c r="W55" s="36">
        <f t="shared" si="76"/>
        <v>1359803005.7684135</v>
      </c>
      <c r="X55" s="36">
        <f t="shared" si="76"/>
        <v>1438892054.3258984</v>
      </c>
      <c r="Y55" s="36">
        <f t="shared" si="76"/>
        <v>1351162113.0410497</v>
      </c>
      <c r="Z55" s="36">
        <f t="shared" si="76"/>
        <v>1320113061.1881895</v>
      </c>
      <c r="AA55" s="36">
        <f t="shared" si="76"/>
        <v>1267843991.3080237</v>
      </c>
      <c r="AB55" s="36">
        <f t="shared" si="76"/>
        <v>1062212994.4981395</v>
      </c>
      <c r="AC55" s="36">
        <f t="shared" si="76"/>
        <v>861614031.38410616</v>
      </c>
      <c r="AD55" s="36">
        <f t="shared" si="76"/>
        <v>845262192.38442266</v>
      </c>
      <c r="AE55" s="36">
        <f>SUM(AE51:AE54)</f>
        <v>702814957.57267106</v>
      </c>
      <c r="AF55" s="36">
        <f>SUM(AF51:AF54)</f>
        <v>422332419.50028098</v>
      </c>
      <c r="AG55" s="36">
        <f t="shared" ref="AG55:AP55" si="77">SUM(AG51:AG54)</f>
        <v>467546235.62363827</v>
      </c>
      <c r="AH55" s="36">
        <f t="shared" si="77"/>
        <v>448635004.6940726</v>
      </c>
      <c r="AI55" s="36">
        <f t="shared" si="77"/>
        <v>369022083.29888952</v>
      </c>
      <c r="AJ55" s="36">
        <f t="shared" si="77"/>
        <v>372888665.5371173</v>
      </c>
      <c r="AK55" s="36">
        <f t="shared" si="77"/>
        <v>374344713.67332029</v>
      </c>
      <c r="AL55" s="36">
        <f t="shared" si="77"/>
        <v>373167204.47525615</v>
      </c>
      <c r="AM55" s="36">
        <f t="shared" si="77"/>
        <v>373395520.93563485</v>
      </c>
      <c r="AN55" s="36">
        <f t="shared" si="77"/>
        <v>379530877.06040353</v>
      </c>
      <c r="AO55" s="36">
        <f t="shared" si="77"/>
        <v>385995056.19845152</v>
      </c>
      <c r="AP55" s="36">
        <f t="shared" si="77"/>
        <v>394494911.41562796</v>
      </c>
      <c r="AQ55" s="36"/>
      <c r="AS55" s="35">
        <f>C55+'Renewable Diesel'!C23</f>
        <v>1096746581</v>
      </c>
      <c r="AT55" s="35">
        <f>D55+'Renewable Diesel'!D23</f>
        <v>1119400581</v>
      </c>
      <c r="AU55" s="35">
        <f>E55+'Renewable Diesel'!E23</f>
        <v>1752634009</v>
      </c>
      <c r="AV55" s="35">
        <f>F55+'Renewable Diesel'!F23</f>
        <v>1759620684</v>
      </c>
      <c r="AW55" s="35">
        <f>G55+'Renewable Diesel'!G23</f>
        <v>1716135396</v>
      </c>
      <c r="AX55" s="35">
        <f>H55+'Renewable Diesel'!H23</f>
        <v>2179721611</v>
      </c>
      <c r="AY55" s="35">
        <f>I55+'Renewable Diesel'!I23</f>
        <v>2158796604</v>
      </c>
      <c r="AZ55" s="35">
        <f>J55+'Renewable Diesel'!J23</f>
        <v>2457671345</v>
      </c>
      <c r="BA55" s="35">
        <f>K55+'Renewable Diesel'!K23</f>
        <v>2592641033</v>
      </c>
      <c r="BB55" s="35">
        <f>L55+'Renewable Diesel'!L23</f>
        <v>2774665943</v>
      </c>
      <c r="BC55" s="35">
        <f>M55+'Renewable Diesel'!M23</f>
        <v>2996312392</v>
      </c>
      <c r="BD55" s="35">
        <f>N55+'Renewable Diesel'!N23</f>
        <v>3488090707</v>
      </c>
      <c r="BE55" s="36">
        <f>O55+'Renewable Diesel'!O23</f>
        <v>4578514004</v>
      </c>
      <c r="BF55" s="36">
        <f>P55+'Renewable Diesel'!P23</f>
        <v>5233179103</v>
      </c>
      <c r="BG55" s="36">
        <f>Q55+'Renewable Diesel'!Q23</f>
        <v>4358098971.9289236</v>
      </c>
      <c r="BU55" s="83">
        <f t="shared" si="63"/>
        <v>1.8347745096774193</v>
      </c>
      <c r="BV55" s="83">
        <f t="shared" si="62"/>
        <v>3.4581626709677415</v>
      </c>
      <c r="BW55" s="83">
        <f t="shared" si="62"/>
        <v>1.7148375225806438</v>
      </c>
      <c r="BX55" s="83">
        <f t="shared" si="62"/>
        <v>0.49192501290322621</v>
      </c>
      <c r="BY55" s="83">
        <f t="shared" si="62"/>
        <v>-0.82226902580645156</v>
      </c>
      <c r="BZ55" s="83">
        <f t="shared" si="62"/>
        <v>-0.15550747741935478</v>
      </c>
      <c r="CA55" s="83">
        <f t="shared" si="62"/>
        <v>-1.0471155032258057</v>
      </c>
      <c r="CB55" s="83">
        <f t="shared" si="62"/>
        <v>-0.53942502580645169</v>
      </c>
      <c r="CC55" s="83">
        <f t="shared" si="62"/>
        <v>0.68564681290322671</v>
      </c>
    </row>
    <row r="56" spans="1:81" x14ac:dyDescent="0.2">
      <c r="AS56" s="32">
        <f t="shared" ref="AS56:AY56" si="78">AS54/AS53-1</f>
        <v>0.19704776855174533</v>
      </c>
      <c r="AT56" s="32">
        <f t="shared" si="78"/>
        <v>-0.1841069739249982</v>
      </c>
      <c r="AU56" s="32">
        <f t="shared" si="78"/>
        <v>4.9476947836047058E-2</v>
      </c>
      <c r="AV56" s="32">
        <f t="shared" si="78"/>
        <v>3.4944155935884513E-2</v>
      </c>
      <c r="AW56" s="32">
        <f t="shared" si="78"/>
        <v>-0.11850166613710011</v>
      </c>
      <c r="AX56" s="32">
        <f t="shared" si="78"/>
        <v>3.0515857253883283E-2</v>
      </c>
      <c r="AY56" s="32">
        <f t="shared" si="78"/>
        <v>2.7425456441936724E-2</v>
      </c>
      <c r="AZ56" s="32">
        <f>AZ54/AZ53-1</f>
        <v>6.0358881170553991E-2</v>
      </c>
      <c r="BA56" s="32">
        <f>BA54/BA53-1</f>
        <v>-4.1504231747993003E-2</v>
      </c>
      <c r="BB56" s="32">
        <f>BB54/BB53-1</f>
        <v>-5.9513273890313023E-2</v>
      </c>
      <c r="BC56" s="32">
        <f>BC54/BC53-1</f>
        <v>0.16575876025543357</v>
      </c>
      <c r="BD56" s="32">
        <f>BD54/BD53-1</f>
        <v>0.11700602137314764</v>
      </c>
      <c r="BU56" s="83">
        <f t="shared" si="63"/>
        <v>1.4739132399999999</v>
      </c>
      <c r="BV56" s="83">
        <f t="shared" si="62"/>
        <v>3.6686907000000009</v>
      </c>
      <c r="BW56" s="83">
        <f t="shared" si="62"/>
        <v>0.86880007999999975</v>
      </c>
      <c r="BX56" s="83">
        <f t="shared" si="62"/>
        <v>1.5899399999999453E-2</v>
      </c>
      <c r="BY56" s="83">
        <f t="shared" si="62"/>
        <v>-0.5307775466666671</v>
      </c>
      <c r="BZ56" s="83">
        <f t="shared" si="62"/>
        <v>0.13844626666666571</v>
      </c>
      <c r="CA56" s="83">
        <f t="shared" si="62"/>
        <v>-1.0904578200000001</v>
      </c>
      <c r="CB56" s="83">
        <f t="shared" si="62"/>
        <v>-0.21636797333333302</v>
      </c>
      <c r="CC56" s="83">
        <f t="shared" si="62"/>
        <v>0.66492164000000109</v>
      </c>
    </row>
    <row r="57" spans="1:81" x14ac:dyDescent="0.2">
      <c r="AT57" s="32">
        <f t="shared" ref="AT57:BB57" si="79">AT55/AS55-1</f>
        <v>2.0655637676430638E-2</v>
      </c>
      <c r="AU57" s="32">
        <f t="shared" si="79"/>
        <v>0.56568974391125493</v>
      </c>
      <c r="AV57" s="32">
        <f t="shared" si="79"/>
        <v>3.986385613951704E-3</v>
      </c>
      <c r="AW57" s="32">
        <f t="shared" si="79"/>
        <v>-2.4712876130296713E-2</v>
      </c>
      <c r="AX57" s="32">
        <f t="shared" si="79"/>
        <v>0.27013382282105214</v>
      </c>
      <c r="AY57" s="32">
        <f t="shared" si="79"/>
        <v>-9.599852978656398E-3</v>
      </c>
      <c r="AZ57" s="32">
        <f t="shared" si="79"/>
        <v>0.13844506724080441</v>
      </c>
      <c r="BA57" s="32">
        <f t="shared" si="79"/>
        <v>5.4917712359949356E-2</v>
      </c>
      <c r="BB57" s="32">
        <f t="shared" si="79"/>
        <v>7.0208296360015243E-2</v>
      </c>
      <c r="BC57" s="32">
        <f>BC55/BB55-1</f>
        <v>7.9882210526703412E-2</v>
      </c>
      <c r="BD57" s="32">
        <f>BD55/BC55-1</f>
        <v>0.16412785139260611</v>
      </c>
      <c r="BE57" s="32">
        <f>BE55/BD55-1</f>
        <v>0.3126132284380414</v>
      </c>
      <c r="BU57" s="83">
        <f t="shared" si="63"/>
        <v>1.716960741935484</v>
      </c>
      <c r="BV57" s="83">
        <f t="shared" si="62"/>
        <v>2.5066259612903226</v>
      </c>
      <c r="BW57" s="83">
        <f t="shared" si="62"/>
        <v>1.2038056129032251</v>
      </c>
      <c r="BX57" s="83">
        <f t="shared" si="62"/>
        <v>0.70862007096774171</v>
      </c>
      <c r="BY57" s="83">
        <f t="shared" si="62"/>
        <v>-0.56929501290322637</v>
      </c>
      <c r="BZ57" s="83">
        <f t="shared" si="62"/>
        <v>-0.52970315483871033</v>
      </c>
      <c r="CA57" s="83">
        <f t="shared" si="62"/>
        <v>-0.78863216774193567</v>
      </c>
      <c r="CB57" s="83">
        <f t="shared" si="62"/>
        <v>-0.53731035483870837</v>
      </c>
      <c r="CC57" s="83">
        <f t="shared" si="62"/>
        <v>1.136646458064515</v>
      </c>
    </row>
    <row r="58" spans="1:81" x14ac:dyDescent="0.2">
      <c r="A58" s="32" t="s">
        <v>101</v>
      </c>
      <c r="AU58" s="32" t="s">
        <v>102</v>
      </c>
      <c r="BD58" s="32">
        <f>((BD55/AT55)^(1/10))-1</f>
        <v>0.12036678294207559</v>
      </c>
      <c r="BE58" s="32">
        <f>((BE55/AT55)^(1/11))-1</f>
        <v>0.136613050000707</v>
      </c>
      <c r="BU58" s="83">
        <f t="shared" si="63"/>
        <v>1.4251232999999992</v>
      </c>
      <c r="BV58" s="83">
        <f t="shared" si="62"/>
        <v>3.0214746599999995</v>
      </c>
      <c r="BW58" s="83">
        <f t="shared" si="62"/>
        <v>1.1460738533333332</v>
      </c>
      <c r="BX58" s="83">
        <f t="shared" si="62"/>
        <v>0.17354177999999987</v>
      </c>
      <c r="BY58" s="83">
        <f t="shared" si="62"/>
        <v>-0.94542719333333292</v>
      </c>
      <c r="BZ58" s="83">
        <f t="shared" si="62"/>
        <v>3.4546279999999818E-2</v>
      </c>
      <c r="CA58" s="83">
        <f t="shared" si="62"/>
        <v>-0.21248595999999953</v>
      </c>
      <c r="CB58" s="83">
        <f t="shared" si="62"/>
        <v>0.52109437999999919</v>
      </c>
      <c r="CC58" s="83">
        <f t="shared" si="62"/>
        <v>0.5852468333333336</v>
      </c>
    </row>
    <row r="59" spans="1:81" s="61" customFormat="1" x14ac:dyDescent="0.2">
      <c r="B59" s="61">
        <f>B2</f>
        <v>2010</v>
      </c>
      <c r="C59" s="61">
        <f t="shared" ref="C59:AD59" si="80">C2</f>
        <v>2011</v>
      </c>
      <c r="D59" s="61">
        <f t="shared" si="80"/>
        <v>2012</v>
      </c>
      <c r="E59" s="61">
        <f t="shared" si="80"/>
        <v>2013</v>
      </c>
      <c r="F59" s="61">
        <f t="shared" si="80"/>
        <v>2014</v>
      </c>
      <c r="G59" s="61">
        <f t="shared" si="80"/>
        <v>2015</v>
      </c>
      <c r="H59" s="61">
        <f t="shared" si="80"/>
        <v>2016</v>
      </c>
      <c r="I59" s="61">
        <f t="shared" si="80"/>
        <v>2017</v>
      </c>
      <c r="J59" s="61">
        <f t="shared" si="80"/>
        <v>2018</v>
      </c>
      <c r="K59" s="61">
        <f t="shared" si="80"/>
        <v>2019</v>
      </c>
      <c r="L59" s="61">
        <f t="shared" si="80"/>
        <v>2020</v>
      </c>
      <c r="M59" s="61">
        <f t="shared" si="80"/>
        <v>2021</v>
      </c>
      <c r="N59" s="61">
        <f t="shared" si="80"/>
        <v>2022</v>
      </c>
      <c r="O59" s="61">
        <f t="shared" si="80"/>
        <v>2023</v>
      </c>
      <c r="P59" s="61">
        <f t="shared" si="80"/>
        <v>2024</v>
      </c>
      <c r="Q59" s="61">
        <f t="shared" si="80"/>
        <v>2025</v>
      </c>
      <c r="R59" s="32">
        <f t="shared" si="80"/>
        <v>2026</v>
      </c>
      <c r="S59" s="32">
        <f t="shared" si="80"/>
        <v>2027</v>
      </c>
      <c r="T59" s="32">
        <f t="shared" si="80"/>
        <v>2028</v>
      </c>
      <c r="U59" s="32">
        <f t="shared" si="80"/>
        <v>2029</v>
      </c>
      <c r="V59" s="32">
        <f t="shared" si="80"/>
        <v>2030</v>
      </c>
      <c r="W59" s="32">
        <f t="shared" si="80"/>
        <v>2031</v>
      </c>
      <c r="X59" s="32">
        <f t="shared" si="80"/>
        <v>2032</v>
      </c>
      <c r="Y59" s="32">
        <f t="shared" si="80"/>
        <v>2033</v>
      </c>
      <c r="Z59" s="32">
        <f t="shared" si="80"/>
        <v>2034</v>
      </c>
      <c r="AA59" s="32">
        <f t="shared" si="80"/>
        <v>2035</v>
      </c>
      <c r="AB59" s="32">
        <f t="shared" si="80"/>
        <v>2036</v>
      </c>
      <c r="AC59" s="32">
        <f t="shared" si="80"/>
        <v>2037</v>
      </c>
      <c r="AD59" s="32">
        <f t="shared" si="80"/>
        <v>2038</v>
      </c>
      <c r="AE59" s="32">
        <f>AE2</f>
        <v>2039</v>
      </c>
      <c r="AF59" s="32">
        <f>AF2</f>
        <v>2040</v>
      </c>
      <c r="AG59" s="32">
        <f t="shared" ref="AG59:AO59" si="81">AG2</f>
        <v>2041</v>
      </c>
      <c r="AH59" s="32">
        <f t="shared" si="81"/>
        <v>2042</v>
      </c>
      <c r="AI59" s="32">
        <f t="shared" si="81"/>
        <v>2043</v>
      </c>
      <c r="AJ59" s="32">
        <f t="shared" si="81"/>
        <v>2044</v>
      </c>
      <c r="AK59" s="32">
        <f t="shared" si="81"/>
        <v>2045</v>
      </c>
      <c r="AL59" s="32">
        <f t="shared" si="81"/>
        <v>2046</v>
      </c>
      <c r="AM59" s="32">
        <f t="shared" si="81"/>
        <v>2047</v>
      </c>
      <c r="AN59" s="32">
        <f t="shared" si="81"/>
        <v>2048</v>
      </c>
      <c r="AO59" s="32">
        <f t="shared" si="81"/>
        <v>2049</v>
      </c>
      <c r="AP59" s="32">
        <f>AP2</f>
        <v>2050</v>
      </c>
      <c r="AU59" s="61">
        <v>2018</v>
      </c>
      <c r="AV59" s="61" t="s">
        <v>69</v>
      </c>
      <c r="AW59" s="61">
        <v>2019</v>
      </c>
      <c r="AY59" s="61">
        <v>2022</v>
      </c>
      <c r="BA59" s="61">
        <v>2023</v>
      </c>
      <c r="BC59" s="61">
        <v>2024</v>
      </c>
      <c r="BF59" s="61" t="s">
        <v>103</v>
      </c>
      <c r="BG59" s="61" t="s">
        <v>69</v>
      </c>
      <c r="BH59" s="61" t="s">
        <v>104</v>
      </c>
      <c r="BU59" s="84">
        <f t="shared" si="63"/>
        <v>0.68838001290322648</v>
      </c>
      <c r="BV59" s="84">
        <f t="shared" si="62"/>
        <v>5.5778827354838718</v>
      </c>
      <c r="BW59" s="84">
        <f t="shared" si="62"/>
        <v>0.2778803290322589</v>
      </c>
      <c r="BX59" s="84">
        <f t="shared" si="62"/>
        <v>2.7994503225807321E-2</v>
      </c>
      <c r="BY59" s="84">
        <f t="shared" si="62"/>
        <v>-1.6310935161290319</v>
      </c>
      <c r="BZ59" s="84">
        <f t="shared" si="62"/>
        <v>-0.30813500000000094</v>
      </c>
      <c r="CA59" s="84">
        <f t="shared" si="62"/>
        <v>-6.984174838709567E-2</v>
      </c>
      <c r="CB59" s="84">
        <f t="shared" si="62"/>
        <v>-0.28655458064516193</v>
      </c>
      <c r="CC59" s="84">
        <f t="shared" si="62"/>
        <v>0.22628078709677446</v>
      </c>
    </row>
    <row r="60" spans="1:81" x14ac:dyDescent="0.2">
      <c r="A60" s="32" t="s">
        <v>93</v>
      </c>
      <c r="B60" s="35"/>
      <c r="C60" s="35">
        <f>'[2]US LCFS'!$H2</f>
        <v>1954349</v>
      </c>
      <c r="D60" s="35">
        <f>'[2]US LCFS'!$H6</f>
        <v>5006202</v>
      </c>
      <c r="E60" s="35">
        <f>'[2]US LCFS'!$H10</f>
        <v>5481532</v>
      </c>
      <c r="F60" s="35">
        <f>'[2]US LCFS'!$H14</f>
        <v>16037416</v>
      </c>
      <c r="G60" s="35">
        <f>'[2]US LCFS'!$H18</f>
        <v>19632811</v>
      </c>
      <c r="H60" s="35">
        <f>'[2]US LCFS'!$H22</f>
        <v>28882258</v>
      </c>
      <c r="I60" s="35">
        <f>'[2]US LCFS'!$H26</f>
        <v>38177310</v>
      </c>
      <c r="J60" s="35">
        <f>'[2]US LCFS'!$H30</f>
        <v>36595945</v>
      </c>
      <c r="K60" s="35">
        <f>'[2]US LCFS'!$H34</f>
        <v>41827876</v>
      </c>
      <c r="L60" s="35">
        <f>'[2]US LCFS'!$H38</f>
        <v>56349932</v>
      </c>
      <c r="M60" s="35">
        <f>'[2]US LCFS'!$H42</f>
        <v>61422026</v>
      </c>
      <c r="N60" s="35">
        <f>'[2]US LCFS'!$H46</f>
        <v>70878960</v>
      </c>
      <c r="O60" s="35">
        <f>'[2]US LCFS'!$H50</f>
        <v>68541019</v>
      </c>
      <c r="P60" s="35">
        <f>'[2]US LCFS'!$H$54</f>
        <v>64404789</v>
      </c>
      <c r="Q60" s="36">
        <f>'[6]Fuel Vol and Credit Gen'!$BG$12</f>
        <v>78891431.171170473</v>
      </c>
      <c r="R60" s="36">
        <f>'[6]Fuel Vol and Credit Gen'!$BK$12</f>
        <v>61120943.765449136</v>
      </c>
      <c r="S60" s="36">
        <f>'[6]Fuel Vol and Credit Gen'!$BO$12</f>
        <v>65205969.378807083</v>
      </c>
      <c r="T60" s="36">
        <f>'[6]Fuel Vol and Credit Gen'!$BS$12</f>
        <v>69218674.756625339</v>
      </c>
      <c r="U60" s="36">
        <f>'[6]Fuel Vol and Credit Gen'!$BW$12</f>
        <v>64986054.491051331</v>
      </c>
      <c r="V60" s="36">
        <f>'[6]Fuel Vol and Credit Gen'!$CA$12</f>
        <v>63933861.510896251</v>
      </c>
      <c r="W60" s="36">
        <f>'[6]Fuel Vol and Credit Gen'!$CE$12</f>
        <v>61613426.512063392</v>
      </c>
      <c r="X60" s="36">
        <f>'[6]Fuel Vol and Credit Gen'!$CI$12</f>
        <v>62515030.887064777</v>
      </c>
      <c r="Y60" s="36">
        <f>'[6]Fuel Vol and Credit Gen'!$CM$12</f>
        <v>64994081.013200119</v>
      </c>
      <c r="Z60" s="36">
        <f>'[6]Fuel Vol and Credit Gen'!$CQ$12</f>
        <v>66525986.030507751</v>
      </c>
      <c r="AA60" s="36">
        <f>'[6]Fuel Vol and Credit Gen'!$CU$12</f>
        <v>67344341.382877618</v>
      </c>
      <c r="AB60" s="36">
        <f>'[6]Fuel Vol and Credit Gen'!$CY$12</f>
        <v>72914767.115726739</v>
      </c>
      <c r="AC60" s="36">
        <f>'[6]Fuel Vol and Credit Gen'!$DC$12</f>
        <v>81125386.872185379</v>
      </c>
      <c r="AD60" s="36">
        <f>'[6]Fuel Vol and Credit Gen'!$DG$12</f>
        <v>83290336.138409302</v>
      </c>
      <c r="AE60" s="36">
        <f>'[6]Fuel Vol and Credit Gen'!$DK$12</f>
        <v>89481839.256546348</v>
      </c>
      <c r="AF60" s="36">
        <f>'[6]Fuel Vol and Credit Gen'!$DO$12</f>
        <v>100454903.39792667</v>
      </c>
      <c r="AG60" s="36">
        <f>'[6]Fuel Vol and Credit Gen'!$DO$12</f>
        <v>100454903.39792667</v>
      </c>
      <c r="AH60" s="36">
        <f>'[6]Fuel Vol and Credit Gen'!$DO$12</f>
        <v>100454903.39792667</v>
      </c>
      <c r="AI60" s="36">
        <f>'[6]Fuel Vol and Credit Gen'!$DO$12</f>
        <v>100454903.39792667</v>
      </c>
      <c r="AJ60" s="36">
        <f>'[6]Fuel Vol and Credit Gen'!$DO$12</f>
        <v>100454903.39792667</v>
      </c>
      <c r="AK60" s="36">
        <f>'[6]Fuel Vol and Credit Gen'!$DO$12</f>
        <v>100454903.39792667</v>
      </c>
      <c r="AL60" s="36">
        <f>'[6]Fuel Vol and Credit Gen'!$DO$12</f>
        <v>100454903.39792667</v>
      </c>
      <c r="AM60" s="36">
        <f>'[6]Fuel Vol and Credit Gen'!$DO$12</f>
        <v>100454903.39792667</v>
      </c>
      <c r="AN60" s="36">
        <f>'[6]Fuel Vol and Credit Gen'!$DO$12</f>
        <v>100454903.39792667</v>
      </c>
      <c r="AO60" s="36">
        <f>'[6]Fuel Vol and Credit Gen'!$DO$12</f>
        <v>100454903.39792667</v>
      </c>
      <c r="AP60" s="36">
        <f>'[6]Fuel Vol and Credit Gen'!$DO$12</f>
        <v>100454903.39792667</v>
      </c>
      <c r="AQ60" s="36"/>
      <c r="AR60" s="36"/>
      <c r="AU60" s="35">
        <v>50000000</v>
      </c>
      <c r="AV60" s="35">
        <f>J60-AU60</f>
        <v>-13404055</v>
      </c>
      <c r="AW60" s="35">
        <v>68750000</v>
      </c>
      <c r="AX60" s="35">
        <f>K60-AW60</f>
        <v>-26922124</v>
      </c>
      <c r="AY60" s="35">
        <f>AY$64/4</f>
        <v>87500000</v>
      </c>
      <c r="AZ60" s="35">
        <f>N60-AY60</f>
        <v>-16621040</v>
      </c>
      <c r="BA60" s="35">
        <v>87500000</v>
      </c>
      <c r="BB60" s="35">
        <f>O60-BA60</f>
        <v>-18958981</v>
      </c>
      <c r="BC60" s="35">
        <f>BA60</f>
        <v>87500000</v>
      </c>
      <c r="BD60" s="35">
        <f>P60-BC60</f>
        <v>-23095211</v>
      </c>
      <c r="BF60" s="36">
        <v>38012885.101235971</v>
      </c>
      <c r="BG60" s="35">
        <f>K60-BF60</f>
        <v>3814990.8987640291</v>
      </c>
      <c r="BH60" s="36">
        <v>38037438.765653461</v>
      </c>
      <c r="BI60" s="35">
        <f>L60-BH60</f>
        <v>18312493.234346539</v>
      </c>
    </row>
    <row r="61" spans="1:81" x14ac:dyDescent="0.2">
      <c r="A61" s="32" t="s">
        <v>94</v>
      </c>
      <c r="B61" s="35"/>
      <c r="C61" s="35">
        <f>'[2]US LCFS'!$H3</f>
        <v>2623187</v>
      </c>
      <c r="D61" s="35">
        <f>'[2]US LCFS'!$H7</f>
        <v>6502404</v>
      </c>
      <c r="E61" s="35">
        <f>'[2]US LCFS'!$H11</f>
        <v>13975203</v>
      </c>
      <c r="F61" s="35">
        <f>'[2]US LCFS'!$H15</f>
        <v>16122376</v>
      </c>
      <c r="G61" s="35">
        <f>'[2]US LCFS'!$H19</f>
        <v>28502517</v>
      </c>
      <c r="H61" s="35">
        <f>'[2]US LCFS'!$H23</f>
        <v>35790526</v>
      </c>
      <c r="I61" s="35">
        <f>'[2]US LCFS'!$H27</f>
        <v>37575247</v>
      </c>
      <c r="J61" s="35">
        <f>'[2]US LCFS'!$H31</f>
        <v>40693700</v>
      </c>
      <c r="K61" s="35">
        <f>'[2]US LCFS'!$H35</f>
        <v>57413156</v>
      </c>
      <c r="L61" s="35">
        <f>'[2]US LCFS'!$H39</f>
        <v>59271313</v>
      </c>
      <c r="M61" s="35">
        <f>'[2]US LCFS'!$H43</f>
        <v>78153595</v>
      </c>
      <c r="N61" s="35">
        <f>'[2]US LCFS'!$H47</f>
        <v>67195260</v>
      </c>
      <c r="O61" s="35">
        <f>'[2]US LCFS'!$H51</f>
        <v>60275869</v>
      </c>
      <c r="P61" s="35">
        <f>'[2]US LCFS'!$H$54</f>
        <v>64404789</v>
      </c>
      <c r="Q61" s="36">
        <f>'[6]Fuel Vol and Credit Gen'!$BH$12</f>
        <v>48998068.276747525</v>
      </c>
      <c r="R61" s="36">
        <f>'[6]Fuel Vol and Credit Gen'!$BL$12</f>
        <v>51963504.182742245</v>
      </c>
      <c r="S61" s="36">
        <f>'[6]Fuel Vol and Credit Gen'!$BP$12</f>
        <v>49932351.879483439</v>
      </c>
      <c r="T61" s="36">
        <f>'[6]Fuel Vol and Credit Gen'!$BT$12</f>
        <v>26680625.134341978</v>
      </c>
      <c r="U61" s="36">
        <f>'[6]Fuel Vol and Credit Gen'!$BX$12</f>
        <v>40727703.088250123</v>
      </c>
      <c r="V61" s="36">
        <f>'[6]Fuel Vol and Credit Gen'!$CB$12</f>
        <v>43098928.978547812</v>
      </c>
      <c r="W61" s="36">
        <f>'[6]Fuel Vol and Credit Gen'!$CF$12</f>
        <v>46802554.485772371</v>
      </c>
      <c r="X61" s="36">
        <f>'[6]Fuel Vol and Credit Gen'!$CJ$12</f>
        <v>48433051.585389882</v>
      </c>
      <c r="Y61" s="36">
        <f>'[6]Fuel Vol and Credit Gen'!$CN$12</f>
        <v>41830532.809001595</v>
      </c>
      <c r="Z61" s="36">
        <f>'[6]Fuel Vol and Credit Gen'!$CR$12</f>
        <v>40427168.401841566</v>
      </c>
      <c r="AA61" s="36">
        <f>'[6]Fuel Vol and Credit Gen'!$CV$12</f>
        <v>36961092.763620287</v>
      </c>
      <c r="AB61" s="36">
        <f>'[6]Fuel Vol and Credit Gen'!$CZ$12</f>
        <v>22332641.13430091</v>
      </c>
      <c r="AC61" s="36">
        <f>'[6]Fuel Vol and Credit Gen'!$DD$12</f>
        <v>6989393.2310535535</v>
      </c>
      <c r="AD61" s="36">
        <f>'[6]Fuel Vol and Credit Gen'!$DH$12</f>
        <v>5217502.9623537585</v>
      </c>
      <c r="AE61" s="36">
        <f>'[6]Fuel Vol and Credit Gen'!$DL$12</f>
        <v>-5809937.3122376055</v>
      </c>
      <c r="AF61" s="36">
        <f>'[6]Fuel Vol and Credit Gen'!$DP$12</f>
        <v>-27148926.785798285</v>
      </c>
      <c r="AG61" s="36">
        <f>'[6]Fuel Vol and Credit Gen'!$DP$12</f>
        <v>-27148926.785798285</v>
      </c>
      <c r="AH61" s="36">
        <f>'[6]Fuel Vol and Credit Gen'!$DP$12</f>
        <v>-27148926.785798285</v>
      </c>
      <c r="AI61" s="36">
        <f>'[6]Fuel Vol and Credit Gen'!$DP$12</f>
        <v>-27148926.785798285</v>
      </c>
      <c r="AJ61" s="36">
        <f>'[6]Fuel Vol and Credit Gen'!$DP$12</f>
        <v>-27148926.785798285</v>
      </c>
      <c r="AK61" s="36">
        <f>'[6]Fuel Vol and Credit Gen'!$DP$12</f>
        <v>-27148926.785798285</v>
      </c>
      <c r="AL61" s="36">
        <f>'[6]Fuel Vol and Credit Gen'!$DP$12</f>
        <v>-27148926.785798285</v>
      </c>
      <c r="AM61" s="36">
        <f>'[6]Fuel Vol and Credit Gen'!$DP$12</f>
        <v>-27148926.785798285</v>
      </c>
      <c r="AN61" s="36">
        <f>'[6]Fuel Vol and Credit Gen'!$DP$12</f>
        <v>-27148926.785798285</v>
      </c>
      <c r="AO61" s="36">
        <f>'[6]Fuel Vol and Credit Gen'!$DP$12</f>
        <v>-27148926.785798285</v>
      </c>
      <c r="AP61" s="36">
        <f>'[6]Fuel Vol and Credit Gen'!$DP$12</f>
        <v>-27148926.785798285</v>
      </c>
      <c r="AQ61" s="36"/>
      <c r="AR61" s="36"/>
      <c r="AU61" s="35">
        <v>50000000</v>
      </c>
      <c r="AV61" s="35">
        <f>J61-AU61</f>
        <v>-9306300</v>
      </c>
      <c r="AW61" s="35">
        <v>68750000</v>
      </c>
      <c r="AX61" s="35">
        <f>K61-AW61</f>
        <v>-11336844</v>
      </c>
      <c r="AY61" s="35">
        <f>AY$64/4</f>
        <v>87500000</v>
      </c>
      <c r="AZ61" s="35">
        <f>N61-AY61</f>
        <v>-20304740</v>
      </c>
      <c r="BA61" s="35">
        <v>87500000</v>
      </c>
      <c r="BB61" s="35">
        <f>O61-BA61</f>
        <v>-27224131</v>
      </c>
      <c r="BC61" s="35">
        <f>BA61</f>
        <v>87500000</v>
      </c>
      <c r="BD61" s="35">
        <f>P61-BC61</f>
        <v>-23095211</v>
      </c>
      <c r="BF61" s="36">
        <v>43739925.735395044</v>
      </c>
      <c r="BG61" s="35">
        <f>K61-BF61</f>
        <v>13673230.264604956</v>
      </c>
      <c r="BH61" s="36">
        <v>43928564.309071288</v>
      </c>
      <c r="BI61" s="35">
        <f>L61-BH61</f>
        <v>15342748.690928712</v>
      </c>
    </row>
    <row r="62" spans="1:81" x14ac:dyDescent="0.2">
      <c r="A62" s="32" t="s">
        <v>95</v>
      </c>
      <c r="B62" s="35"/>
      <c r="C62" s="35">
        <f>'[2]US LCFS'!$H4</f>
        <v>3477614</v>
      </c>
      <c r="D62" s="35">
        <f>'[2]US LCFS'!$H8</f>
        <v>4240695</v>
      </c>
      <c r="E62" s="35">
        <f>'[2]US LCFS'!$H12</f>
        <v>13936349</v>
      </c>
      <c r="F62" s="35">
        <f>'[2]US LCFS'!$H16</f>
        <v>13880356</v>
      </c>
      <c r="G62" s="35">
        <f>'[2]US LCFS'!$H20</f>
        <v>42889152</v>
      </c>
      <c r="H62" s="35">
        <f>'[2]US LCFS'!$H24</f>
        <v>45225506</v>
      </c>
      <c r="I62" s="35">
        <f>'[2]US LCFS'!$H28</f>
        <v>50257498</v>
      </c>
      <c r="J62" s="35">
        <f>'[2]US LCFS'!$H32</f>
        <v>49904077</v>
      </c>
      <c r="K62" s="35">
        <f>'[2]US LCFS'!$H36</f>
        <v>56880071</v>
      </c>
      <c r="L62" s="35">
        <f>'[2]US LCFS'!$H40</f>
        <v>69710273</v>
      </c>
      <c r="M62" s="35">
        <f>'[2]US LCFS'!$H44</f>
        <v>77619602</v>
      </c>
      <c r="N62" s="35">
        <f>'[2]US LCFS'!$H48</f>
        <v>72306901</v>
      </c>
      <c r="O62" s="35">
        <f>'[2]US LCFS'!$H52</f>
        <v>67129512</v>
      </c>
      <c r="P62" s="36">
        <f>'[6]Fuel Vol and Credit Gen'!$BE$12</f>
        <v>58423071</v>
      </c>
      <c r="Q62" s="36">
        <f>'[6]Fuel Vol and Credit Gen'!$BI$12</f>
        <v>52553264.619507283</v>
      </c>
      <c r="R62" s="36">
        <f>'[6]Fuel Vol and Credit Gen'!$BM$12</f>
        <v>57303008.875407279</v>
      </c>
      <c r="S62" s="36">
        <f>'[6]Fuel Vol and Credit Gen'!$BQ$12</f>
        <v>55531148.196585611</v>
      </c>
      <c r="T62" s="36">
        <f>'[6]Fuel Vol and Credit Gen'!$BU$12</f>
        <v>32050652.939088725</v>
      </c>
      <c r="U62" s="36">
        <f>'[6]Fuel Vol and Credit Gen'!$BY$12</f>
        <v>45884708.550418407</v>
      </c>
      <c r="V62" s="36">
        <f>'[6]Fuel Vol and Credit Gen'!$CC$12</f>
        <v>48413286.711739562</v>
      </c>
      <c r="W62" s="36">
        <f>'[6]Fuel Vol and Credit Gen'!$CG$12</f>
        <v>48184918.358182698</v>
      </c>
      <c r="X62" s="36">
        <f>'[6]Fuel Vol and Credit Gen'!$CK$12</f>
        <v>53331248.023169942</v>
      </c>
      <c r="Y62" s="36">
        <f>'[6]Fuel Vol and Credit Gen'!$CO$12</f>
        <v>51734623.423499003</v>
      </c>
      <c r="Z62" s="36">
        <f>'[6]Fuel Vol and Credit Gen'!$CS$12</f>
        <v>50006051.524138734</v>
      </c>
      <c r="AA62" s="36">
        <f>'[6]Fuel Vol and Credit Gen'!$CW$12</f>
        <v>46278506.76491987</v>
      </c>
      <c r="AB62" s="36">
        <f>'[6]Fuel Vol and Credit Gen'!$DA$12</f>
        <v>42440328.110824876</v>
      </c>
      <c r="AC62" s="36">
        <f>'[6]Fuel Vol and Credit Gen'!$DE$12</f>
        <v>37893611.210520148</v>
      </c>
      <c r="AD62" s="36">
        <f>'[6]Fuel Vol and Credit Gen'!$DI$12</f>
        <v>38905882.681057587</v>
      </c>
      <c r="AE62" s="36">
        <f>'[6]Fuel Vol and Credit Gen'!$DM$12</f>
        <v>35788352.602647334</v>
      </c>
      <c r="AF62" s="36">
        <f>'[6]Fuel Vol and Credit Gen'!$DQ$12</f>
        <v>30208260.948240448</v>
      </c>
      <c r="AG62" s="36">
        <f>'[6]Fuel Vol and Credit Gen'!$DQ$12</f>
        <v>30208260.948240448</v>
      </c>
      <c r="AH62" s="36">
        <f>'[6]Fuel Vol and Credit Gen'!$DQ$12</f>
        <v>30208260.948240448</v>
      </c>
      <c r="AI62" s="36">
        <f>'[6]Fuel Vol and Credit Gen'!$DQ$12</f>
        <v>30208260.948240448</v>
      </c>
      <c r="AJ62" s="36">
        <f>'[6]Fuel Vol and Credit Gen'!$DQ$12</f>
        <v>30208260.948240448</v>
      </c>
      <c r="AK62" s="36">
        <f>'[6]Fuel Vol and Credit Gen'!$DQ$12</f>
        <v>30208260.948240448</v>
      </c>
      <c r="AL62" s="36">
        <f>'[6]Fuel Vol and Credit Gen'!$DQ$12</f>
        <v>30208260.948240448</v>
      </c>
      <c r="AM62" s="36">
        <f>'[6]Fuel Vol and Credit Gen'!$DQ$12</f>
        <v>30208260.948240448</v>
      </c>
      <c r="AN62" s="36">
        <f>'[6]Fuel Vol and Credit Gen'!$DQ$12</f>
        <v>30208260.948240448</v>
      </c>
      <c r="AO62" s="36">
        <f>'[6]Fuel Vol and Credit Gen'!$DQ$12</f>
        <v>30208260.948240448</v>
      </c>
      <c r="AP62" s="36">
        <f>'[6]Fuel Vol and Credit Gen'!$DQ$12</f>
        <v>30208260.948240448</v>
      </c>
      <c r="AQ62" s="36"/>
      <c r="AR62" s="36"/>
      <c r="AU62" s="35">
        <v>50000000</v>
      </c>
      <c r="AV62" s="35">
        <f>J62-AU62</f>
        <v>-95923</v>
      </c>
      <c r="AW62" s="35">
        <v>68750000</v>
      </c>
      <c r="AX62" s="35">
        <f>K62-AW62</f>
        <v>-11869929</v>
      </c>
      <c r="AY62" s="35">
        <f>AY$64/4</f>
        <v>87500000</v>
      </c>
      <c r="AZ62" s="35">
        <f>N62-AY62</f>
        <v>-15193099</v>
      </c>
      <c r="BA62" s="35">
        <v>87500000</v>
      </c>
      <c r="BB62" s="35">
        <f>O62-BA62</f>
        <v>-20370488</v>
      </c>
      <c r="BC62" s="35">
        <f>BA62</f>
        <v>87500000</v>
      </c>
      <c r="BD62" s="35">
        <f>P62-BC62</f>
        <v>-29076929</v>
      </c>
      <c r="BF62" s="36">
        <v>55092432.570531651</v>
      </c>
      <c r="BG62" s="35">
        <f>K62-BF62</f>
        <v>1787638.4294683486</v>
      </c>
      <c r="BH62" s="36">
        <v>57387335.711339399</v>
      </c>
      <c r="BI62" s="35">
        <f>L62-BH62</f>
        <v>12322937.288660601</v>
      </c>
    </row>
    <row r="63" spans="1:81" x14ac:dyDescent="0.2">
      <c r="A63" s="32" t="s">
        <v>96</v>
      </c>
      <c r="B63" s="35"/>
      <c r="C63" s="35">
        <f>'[2]US LCFS'!$H5</f>
        <v>4482442</v>
      </c>
      <c r="D63" s="35">
        <f>'[2]US LCFS'!$H9</f>
        <v>4226644</v>
      </c>
      <c r="E63" s="35">
        <f>'[2]US LCFS'!$H13</f>
        <v>26508045</v>
      </c>
      <c r="F63" s="35">
        <f>'[2]US LCFS'!$H17</f>
        <v>20757948</v>
      </c>
      <c r="G63" s="35">
        <f>'[2]US LCFS'!$H21</f>
        <v>35425955</v>
      </c>
      <c r="H63" s="35">
        <f>'[2]US LCFS'!$H25</f>
        <v>53450453</v>
      </c>
      <c r="I63" s="35">
        <f>'[2]US LCFS'!$H29</f>
        <v>43756532</v>
      </c>
      <c r="J63" s="35">
        <f>'[2]US LCFS'!$H33</f>
        <v>57231365</v>
      </c>
      <c r="K63" s="35">
        <f>'[2]US LCFS'!$H37</f>
        <v>55445419</v>
      </c>
      <c r="L63" s="35">
        <f>'[2]US LCFS'!$H41</f>
        <v>81113099</v>
      </c>
      <c r="M63" s="35">
        <f>'[2]US LCFS'!$H45</f>
        <v>72876457</v>
      </c>
      <c r="N63" s="35">
        <f>'[2]US LCFS'!$H49</f>
        <v>71232651</v>
      </c>
      <c r="O63" s="35">
        <f>'[2]US LCFS'!$H53</f>
        <v>72940256</v>
      </c>
      <c r="P63" s="36">
        <f>'[6]Fuel Vol and Credit Gen'!$BF$12</f>
        <v>54434656.190726638</v>
      </c>
      <c r="Q63" s="36">
        <f>'[6]Fuel Vol and Credit Gen'!$BJ$12</f>
        <v>57058039.938386612</v>
      </c>
      <c r="R63" s="36">
        <f>'[6]Fuel Vol and Credit Gen'!$BN$12</f>
        <v>68800425.817226037</v>
      </c>
      <c r="S63" s="36">
        <f>'[6]Fuel Vol and Credit Gen'!$BR$12</f>
        <v>71347684.719060674</v>
      </c>
      <c r="T63" s="36">
        <f>'[6]Fuel Vol and Credit Gen'!$BV$12</f>
        <v>79235565.132404864</v>
      </c>
      <c r="U63" s="36">
        <f>'[6]Fuel Vol and Credit Gen'!$BZ$12</f>
        <v>70688919.647427604</v>
      </c>
      <c r="V63" s="36">
        <f>'[6]Fuel Vol and Credit Gen'!$CD$12</f>
        <v>83351574.160884947</v>
      </c>
      <c r="W63" s="36">
        <f>'[6]Fuel Vol and Credit Gen'!$CH$12</f>
        <v>78418645.009344265</v>
      </c>
      <c r="X63" s="36">
        <f>'[6]Fuel Vol and Credit Gen'!$CL$12</f>
        <v>73398806.771944821</v>
      </c>
      <c r="Y63" s="36">
        <f>'[6]Fuel Vol and Credit Gen'!$CP$12</f>
        <v>77573857.302446097</v>
      </c>
      <c r="Z63" s="36">
        <f>'[6]Fuel Vol and Credit Gen'!$CT$12</f>
        <v>78839879.603995889</v>
      </c>
      <c r="AA63" s="36">
        <f>'[6]Fuel Vol and Credit Gen'!$CX$12</f>
        <v>80059581.280127823</v>
      </c>
      <c r="AB63" s="36">
        <f>'[6]Fuel Vol and Credit Gen'!$DB$12</f>
        <v>81265345.000448033</v>
      </c>
      <c r="AC63" s="36">
        <f>'[6]Fuel Vol and Credit Gen'!$DF$12</f>
        <v>83018171.295584053</v>
      </c>
      <c r="AD63" s="36">
        <f>'[6]Fuel Vol and Credit Gen'!$DJ$12</f>
        <v>84186464.808131129</v>
      </c>
      <c r="AE63" s="36">
        <f>'[6]Fuel Vol and Credit Gen'!$DN$12</f>
        <v>86351066.384441853</v>
      </c>
      <c r="AF63" s="36">
        <f>'[6]Fuel Vol and Credit Gen'!$DR$12</f>
        <v>89229089.262383759</v>
      </c>
      <c r="AG63" s="36">
        <f>'[6]Fuel Vol and Credit Gen'!$DR$12</f>
        <v>89229089.262383759</v>
      </c>
      <c r="AH63" s="36">
        <f>'[6]Fuel Vol and Credit Gen'!$DR$12</f>
        <v>89229089.262383759</v>
      </c>
      <c r="AI63" s="36">
        <f>'[6]Fuel Vol and Credit Gen'!$DR$12</f>
        <v>89229089.262383759</v>
      </c>
      <c r="AJ63" s="36">
        <f>'[6]Fuel Vol and Credit Gen'!$DR$12</f>
        <v>89229089.262383759</v>
      </c>
      <c r="AK63" s="36">
        <f>'[6]Fuel Vol and Credit Gen'!$DR$12</f>
        <v>89229089.262383759</v>
      </c>
      <c r="AL63" s="36">
        <f>'[6]Fuel Vol and Credit Gen'!$DR$12</f>
        <v>89229089.262383759</v>
      </c>
      <c r="AM63" s="36">
        <f>'[6]Fuel Vol and Credit Gen'!$DR$12</f>
        <v>89229089.262383759</v>
      </c>
      <c r="AN63" s="36">
        <f>'[6]Fuel Vol and Credit Gen'!$DR$12</f>
        <v>89229089.262383759</v>
      </c>
      <c r="AO63" s="36">
        <f>'[6]Fuel Vol and Credit Gen'!$DR$12</f>
        <v>89229089.262383759</v>
      </c>
      <c r="AP63" s="36">
        <f>'[6]Fuel Vol and Credit Gen'!$DR$12</f>
        <v>89229089.262383759</v>
      </c>
      <c r="AQ63" s="36"/>
      <c r="AR63" s="36"/>
      <c r="AU63" s="35">
        <v>50000000</v>
      </c>
      <c r="AV63" s="35">
        <f>J63-AU63</f>
        <v>7231365</v>
      </c>
      <c r="AW63" s="35">
        <v>68750000</v>
      </c>
      <c r="AX63" s="35">
        <f>K63-AW63</f>
        <v>-13304581</v>
      </c>
      <c r="AY63" s="35">
        <f>AY$64/4</f>
        <v>87500000</v>
      </c>
      <c r="AZ63" s="35">
        <f>N63-AY63</f>
        <v>-16267349</v>
      </c>
      <c r="BA63" s="35">
        <v>87500000</v>
      </c>
      <c r="BB63" s="35">
        <f>O63-BA63</f>
        <v>-14559744</v>
      </c>
      <c r="BC63" s="35">
        <f>BA63</f>
        <v>87500000</v>
      </c>
      <c r="BD63" s="35">
        <f>P63-BC63</f>
        <v>-33065343.809273362</v>
      </c>
      <c r="BF63" s="36">
        <v>58029320.721531801</v>
      </c>
      <c r="BG63" s="35">
        <f>K63-BF63</f>
        <v>-2583901.7215318009</v>
      </c>
      <c r="BH63" s="36">
        <v>58524594.291782349</v>
      </c>
      <c r="BI63" s="35">
        <f>L63-BH63</f>
        <v>22588504.708217651</v>
      </c>
    </row>
    <row r="64" spans="1:81" x14ac:dyDescent="0.2">
      <c r="A64" s="32" t="s">
        <v>58</v>
      </c>
      <c r="B64" s="35"/>
      <c r="C64" s="35">
        <f>SUM(C60:C63)</f>
        <v>12537592</v>
      </c>
      <c r="D64" s="35">
        <f t="shared" ref="D64:V64" si="82">SUM(D60:D63)</f>
        <v>19975945</v>
      </c>
      <c r="E64" s="35">
        <f t="shared" si="82"/>
        <v>59901129</v>
      </c>
      <c r="F64" s="35">
        <f t="shared" si="82"/>
        <v>66798096</v>
      </c>
      <c r="G64" s="35">
        <f t="shared" si="82"/>
        <v>126450435</v>
      </c>
      <c r="H64" s="35">
        <f t="shared" si="82"/>
        <v>163348743</v>
      </c>
      <c r="I64" s="35">
        <f t="shared" si="82"/>
        <v>169766587</v>
      </c>
      <c r="J64" s="35">
        <f t="shared" si="82"/>
        <v>184425087</v>
      </c>
      <c r="K64" s="35">
        <f t="shared" si="82"/>
        <v>211566522</v>
      </c>
      <c r="L64" s="35">
        <f t="shared" si="82"/>
        <v>266444617</v>
      </c>
      <c r="M64" s="35">
        <f t="shared" si="82"/>
        <v>290071680</v>
      </c>
      <c r="N64" s="35">
        <f t="shared" si="82"/>
        <v>281613772</v>
      </c>
      <c r="O64" s="35">
        <f t="shared" si="82"/>
        <v>268886656</v>
      </c>
      <c r="P64" s="36">
        <f t="shared" si="82"/>
        <v>241667305.19072664</v>
      </c>
      <c r="Q64" s="36">
        <f t="shared" si="82"/>
        <v>237500804.0058119</v>
      </c>
      <c r="R64" s="36">
        <f t="shared" si="82"/>
        <v>239187882.64082468</v>
      </c>
      <c r="S64" s="36">
        <f t="shared" si="82"/>
        <v>242017154.17393678</v>
      </c>
      <c r="T64" s="36">
        <f t="shared" si="82"/>
        <v>207185517.96246091</v>
      </c>
      <c r="U64" s="36">
        <f t="shared" si="82"/>
        <v>222287385.77714747</v>
      </c>
      <c r="V64" s="36">
        <f t="shared" si="82"/>
        <v>238797651.36206856</v>
      </c>
      <c r="W64" s="36">
        <f t="shared" ref="W64:AP64" si="83">FORECAST(W55,R64:V64,R55:V55)+BH75</f>
        <v>229367270.11816517</v>
      </c>
      <c r="X64" s="36">
        <f t="shared" si="83"/>
        <v>239338119.35710552</v>
      </c>
      <c r="Y64" s="36">
        <f t="shared" si="83"/>
        <v>229044029.07093164</v>
      </c>
      <c r="Z64" s="36">
        <f t="shared" si="83"/>
        <v>224356340.78901461</v>
      </c>
      <c r="AA64" s="36">
        <f t="shared" si="83"/>
        <v>219757926.4083406</v>
      </c>
      <c r="AB64" s="36">
        <f t="shared" si="83"/>
        <v>195235157.04036444</v>
      </c>
      <c r="AC64" s="36">
        <f t="shared" si="83"/>
        <v>171860056.17307934</v>
      </c>
      <c r="AD64" s="36">
        <f t="shared" si="83"/>
        <v>170021187.43357354</v>
      </c>
      <c r="AE64" s="36">
        <f t="shared" si="83"/>
        <v>153551933.70131183</v>
      </c>
      <c r="AF64" s="36">
        <f t="shared" si="83"/>
        <v>120498317.1531546</v>
      </c>
      <c r="AG64" s="36">
        <f t="shared" si="83"/>
        <v>125887122.69811797</v>
      </c>
      <c r="AH64" s="36">
        <f t="shared" si="83"/>
        <v>123654379.71442004</v>
      </c>
      <c r="AI64" s="36">
        <f t="shared" si="83"/>
        <v>114322914.69151103</v>
      </c>
      <c r="AJ64" s="36">
        <f t="shared" si="83"/>
        <v>114740816.14447519</v>
      </c>
      <c r="AK64" s="36">
        <f t="shared" si="83"/>
        <v>114918199.86528194</v>
      </c>
      <c r="AL64" s="36">
        <f t="shared" si="83"/>
        <v>114787864.4587338</v>
      </c>
      <c r="AM64" s="36">
        <f t="shared" si="83"/>
        <v>114814914.97706097</v>
      </c>
      <c r="AN64" s="36">
        <f t="shared" si="83"/>
        <v>115495535.18029261</v>
      </c>
      <c r="AO64" s="36">
        <f t="shared" si="83"/>
        <v>116221182.76166643</v>
      </c>
      <c r="AP64" s="36">
        <f t="shared" si="83"/>
        <v>117168894.3262012</v>
      </c>
      <c r="AQ64" s="36"/>
      <c r="AR64" s="36"/>
      <c r="AU64" s="35">
        <f>SUM(AU60:AU63)</f>
        <v>200000000</v>
      </c>
      <c r="AV64" s="35">
        <f>J64-AU64</f>
        <v>-15574913</v>
      </c>
      <c r="AW64" s="35">
        <f>SUM(AW60:AW63)</f>
        <v>275000000</v>
      </c>
      <c r="AX64" s="35">
        <f>K64-AW64</f>
        <v>-63433478</v>
      </c>
      <c r="AY64" s="35">
        <v>350000000</v>
      </c>
      <c r="AZ64" s="35">
        <f>N64-AY64</f>
        <v>-68386228</v>
      </c>
      <c r="BA64" s="35">
        <v>350000000</v>
      </c>
      <c r="BB64" s="35">
        <f>O64-BA64</f>
        <v>-81113344</v>
      </c>
      <c r="BC64" s="35">
        <f>BA64</f>
        <v>350000000</v>
      </c>
      <c r="BD64" s="35">
        <f>P64-BC64</f>
        <v>-108332694.80927336</v>
      </c>
      <c r="BF64" s="36">
        <v>194874564.12869447</v>
      </c>
      <c r="BG64" s="35">
        <f>K64-BF64</f>
        <v>16691957.871305525</v>
      </c>
      <c r="BH64" s="36">
        <v>197877933.0778465</v>
      </c>
      <c r="BI64" s="35">
        <f>L64-BH64</f>
        <v>68566683.922153503</v>
      </c>
    </row>
    <row r="65" spans="1:49" x14ac:dyDescent="0.2">
      <c r="D65" s="70"/>
      <c r="E65" s="70"/>
      <c r="F65" s="70"/>
      <c r="G65" s="70"/>
      <c r="H65" s="70"/>
      <c r="I65" s="70"/>
      <c r="J65" s="70"/>
      <c r="K65" s="70"/>
      <c r="L65" s="70"/>
      <c r="M65" s="70">
        <f t="shared" ref="M65:AO65" si="84">M64/M55</f>
        <v>0.17016700970751497</v>
      </c>
      <c r="N65" s="70">
        <f t="shared" si="84"/>
        <v>0.17381301399996285</v>
      </c>
      <c r="O65" s="70">
        <f t="shared" si="84"/>
        <v>0.16097904678236319</v>
      </c>
      <c r="P65" s="70">
        <f t="shared" si="84"/>
        <v>0.14477610697249832</v>
      </c>
      <c r="Q65" s="70">
        <f t="shared" si="84"/>
        <v>0.14996596849874724</v>
      </c>
      <c r="R65" s="70">
        <f t="shared" si="84"/>
        <v>0.16373282449306678</v>
      </c>
      <c r="S65" s="70">
        <f t="shared" si="84"/>
        <v>0.16460548778911099</v>
      </c>
      <c r="T65" s="70">
        <f t="shared" si="84"/>
        <v>0.17678572900726691</v>
      </c>
      <c r="U65" s="70">
        <f t="shared" si="84"/>
        <v>0.16452552622225219</v>
      </c>
      <c r="V65" s="70">
        <f t="shared" si="84"/>
        <v>0.17460357818738428</v>
      </c>
      <c r="W65" s="70">
        <f t="shared" si="84"/>
        <v>0.16867683711917639</v>
      </c>
      <c r="X65" s="70">
        <f t="shared" si="84"/>
        <v>0.16633500660286307</v>
      </c>
      <c r="Y65" s="70">
        <f t="shared" si="84"/>
        <v>0.16951631995913805</v>
      </c>
      <c r="Z65" s="70">
        <f t="shared" si="84"/>
        <v>0.16995236800935745</v>
      </c>
      <c r="AA65" s="70">
        <f>AA64/AA55</f>
        <v>0.17333199345892569</v>
      </c>
      <c r="AB65" s="70">
        <f t="shared" si="84"/>
        <v>0.18380038471719751</v>
      </c>
      <c r="AC65" s="70">
        <f t="shared" si="84"/>
        <v>0.19946292645327685</v>
      </c>
      <c r="AD65" s="70">
        <f t="shared" si="84"/>
        <v>0.20114609285191881</v>
      </c>
      <c r="AE65" s="70">
        <f t="shared" si="84"/>
        <v>0.21848131154128797</v>
      </c>
      <c r="AF65" s="70">
        <f t="shared" si="84"/>
        <v>0.28531628544105747</v>
      </c>
      <c r="AG65" s="70">
        <f t="shared" si="84"/>
        <v>0.26925063898804141</v>
      </c>
      <c r="AH65" s="70">
        <f t="shared" si="84"/>
        <v>0.27562356575082864</v>
      </c>
      <c r="AI65" s="70">
        <f t="shared" si="84"/>
        <v>0.30979965662086179</v>
      </c>
      <c r="AJ65" s="70">
        <f t="shared" si="84"/>
        <v>0.30770797492382856</v>
      </c>
      <c r="AK65" s="70">
        <f t="shared" si="84"/>
        <v>0.30698496777910345</v>
      </c>
      <c r="AL65" s="70">
        <f t="shared" si="84"/>
        <v>0.30760437434513382</v>
      </c>
      <c r="AM65" s="70">
        <f t="shared" si="84"/>
        <v>0.30748873122356635</v>
      </c>
      <c r="AN65" s="70">
        <f t="shared" si="84"/>
        <v>0.3043113015595596</v>
      </c>
      <c r="AO65" s="70">
        <f t="shared" si="84"/>
        <v>0.30109500340831741</v>
      </c>
      <c r="AP65" s="70">
        <f>AP64/AP55</f>
        <v>0.29700990034509112</v>
      </c>
      <c r="AU65" s="35"/>
      <c r="AW65" s="35"/>
    </row>
    <row r="66" spans="1:49" x14ac:dyDescent="0.2">
      <c r="E66" s="32">
        <v>2016</v>
      </c>
      <c r="G66" s="32">
        <v>2017</v>
      </c>
      <c r="I66" s="32">
        <v>2018</v>
      </c>
      <c r="K66" s="32">
        <v>2019</v>
      </c>
      <c r="M66" s="32">
        <v>2020</v>
      </c>
      <c r="O66" s="32">
        <v>2021</v>
      </c>
    </row>
    <row r="67" spans="1:49" x14ac:dyDescent="0.2">
      <c r="E67" s="35">
        <f>FORECAST(H51,C60:G60,C51:G51)</f>
        <v>15325696.976549221</v>
      </c>
      <c r="F67" s="35">
        <f>H60-E67</f>
        <v>13556561.023450779</v>
      </c>
      <c r="G67" s="35">
        <f>FORECAST(I51,D60:H60,D51:H51)</f>
        <v>16729727.809775248</v>
      </c>
      <c r="H67" s="35">
        <f>I60-G67</f>
        <v>21447582.190224752</v>
      </c>
      <c r="I67" s="35">
        <f>FORECAST(J51,E60:I60,E51:I51)</f>
        <v>37874270.470096432</v>
      </c>
      <c r="J67" s="35">
        <f>J60-I67</f>
        <v>-1278325.4700964317</v>
      </c>
      <c r="K67" s="35">
        <f>FORECAST(K51,F60:J60,F51:J51)</f>
        <v>38017027.831600055</v>
      </c>
      <c r="L67" s="35">
        <f>K60-K67</f>
        <v>3810848.1683999449</v>
      </c>
      <c r="M67" s="35">
        <f>FORECAST(L51,G60:K60,G51:K51)</f>
        <v>41212830.568409033</v>
      </c>
      <c r="N67" s="35">
        <f>L60-M67</f>
        <v>15137101.431590967</v>
      </c>
      <c r="O67" s="35">
        <f>FORECAST(M51,H60:L60,H51:L51)</f>
        <v>42997407.336881183</v>
      </c>
      <c r="P67" s="35">
        <f>M60-O67</f>
        <v>18424618.663118817</v>
      </c>
      <c r="Q67" s="35">
        <f>FORECAST(N51,I60:M60,I51:M51)</f>
        <v>45356257.888020851</v>
      </c>
      <c r="R67" s="35">
        <f>N60-Q67</f>
        <v>25522702.111979149</v>
      </c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R67" s="35"/>
    </row>
    <row r="68" spans="1:49" x14ac:dyDescent="0.2">
      <c r="E68" s="35">
        <f>FORECAST(H52,C61:G61,C52:G52)</f>
        <v>27773220.636094369</v>
      </c>
      <c r="F68" s="35">
        <f>H61-E68</f>
        <v>8017305.363905631</v>
      </c>
      <c r="G68" s="35">
        <f>FORECAST(I52,D61:H61,D52:H52)</f>
        <v>40384651.02092509</v>
      </c>
      <c r="H68" s="35">
        <f>I61-G68</f>
        <v>-2809404.0209250897</v>
      </c>
      <c r="I68" s="35">
        <f>FORECAST(J52,E61:I61,E52:I52)</f>
        <v>52983878.775589243</v>
      </c>
      <c r="J68" s="35">
        <f>J61-I68</f>
        <v>-12290178.775589243</v>
      </c>
      <c r="K68" s="35">
        <f>FORECAST(K52,F61:J61,F52:J52)</f>
        <v>43818336.063381359</v>
      </c>
      <c r="L68" s="35">
        <f>K61-K68</f>
        <v>13594819.936618641</v>
      </c>
      <c r="M68" s="35">
        <f>FORECAST(L52,G61:K61,G52:K52)</f>
        <v>46327615.233442739</v>
      </c>
      <c r="N68" s="35">
        <f>L61-M68</f>
        <v>12943697.766557261</v>
      </c>
      <c r="O68" s="35">
        <f>FORECAST(M52,H61:L61,H52:L52)</f>
        <v>47507929.649627768</v>
      </c>
      <c r="P68" s="35">
        <f>M61-O68</f>
        <v>30645665.350372232</v>
      </c>
      <c r="Q68" s="36">
        <f>FORECAST(N52,I61:M61,I52:M52)</f>
        <v>50044994.70793803</v>
      </c>
      <c r="R68" s="35">
        <f>N61-Q68</f>
        <v>17150265.29206197</v>
      </c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R68" s="35"/>
    </row>
    <row r="69" spans="1:49" x14ac:dyDescent="0.2">
      <c r="E69" s="35">
        <f>FORECAST(H53,C62:G62,C53:G53)</f>
        <v>34775174.918281958</v>
      </c>
      <c r="F69" s="35">
        <f>H62-E69</f>
        <v>10450331.081718042</v>
      </c>
      <c r="G69" s="35">
        <f>FORECAST(I53,D62:H62,D53:H53)</f>
        <v>42125276.937585749</v>
      </c>
      <c r="H69" s="35">
        <f>I62-G69</f>
        <v>8132221.0624142513</v>
      </c>
      <c r="I69" s="35">
        <f>FORECAST(J53,E62:I62,E53:I53)</f>
        <v>63109801.762803912</v>
      </c>
      <c r="J69" s="35">
        <f>J62-I69</f>
        <v>-13205724.762803912</v>
      </c>
      <c r="K69" s="35">
        <f>FORECAST(K53,F62:J62,F53:J53)</f>
        <v>46452432.198289633</v>
      </c>
      <c r="L69" s="35">
        <f>K62-K69</f>
        <v>10427638.801710367</v>
      </c>
      <c r="M69" s="35">
        <f>FORECAST(L53,G62:K62,G53:K53)</f>
        <v>52717768.772031739</v>
      </c>
      <c r="N69" s="35">
        <f>L62-M69</f>
        <v>16992504.227968261</v>
      </c>
      <c r="O69" s="35">
        <f>FORECAST(M53,H62:L62,H53:L53)</f>
        <v>47712832.746036023</v>
      </c>
      <c r="P69" s="35">
        <f>M62-O69</f>
        <v>29906769.253963977</v>
      </c>
      <c r="Q69" s="36">
        <f>FORECAST(N53,I62:M62,I53:M53)</f>
        <v>66685477.938152343</v>
      </c>
      <c r="R69" s="35">
        <f>N62-Q69</f>
        <v>5621423.061847657</v>
      </c>
    </row>
    <row r="70" spans="1:49" x14ac:dyDescent="0.2">
      <c r="E70" s="35">
        <f>FORECAST(H54,C63:G63,C54:G54)</f>
        <v>27125642.111336701</v>
      </c>
      <c r="F70" s="35">
        <f>H63-E70</f>
        <v>26324810.888663299</v>
      </c>
      <c r="G70" s="35">
        <f>FORECAST(I54,D63:H63,D54:H54)</f>
        <v>43675015.807784148</v>
      </c>
      <c r="H70" s="35">
        <f>I63-G70</f>
        <v>81516.192215852439</v>
      </c>
      <c r="I70" s="35">
        <f>FORECAST(J54,E63:I63,E54:I54)</f>
        <v>48243054.151744172</v>
      </c>
      <c r="J70" s="35">
        <f>J63-I70</f>
        <v>8988310.848255828</v>
      </c>
      <c r="K70" s="35">
        <f>FORECAST(K54,F63:J63,F54:J54)</f>
        <v>39231260.651741885</v>
      </c>
      <c r="L70" s="35">
        <f>K63-K70</f>
        <v>16214158.348258115</v>
      </c>
      <c r="M70" s="35">
        <f>FORECAST(L54,G63:K63,G54:K54)</f>
        <v>52535811.4151005</v>
      </c>
      <c r="N70" s="35">
        <f>L63-M70</f>
        <v>28577287.5848995</v>
      </c>
      <c r="O70" s="35">
        <f>FORECAST(M54,H63:L63,H54:L54)</f>
        <v>57456131.39239794</v>
      </c>
      <c r="P70" s="35">
        <f>M63-O70</f>
        <v>15420325.60760206</v>
      </c>
      <c r="Q70" s="36">
        <f>FORECAST(N54,I63:M63,I54:M54)</f>
        <v>61122568.39797537</v>
      </c>
      <c r="R70" s="35">
        <f>N63-Q70</f>
        <v>10110082.60202463</v>
      </c>
    </row>
    <row r="71" spans="1:49" x14ac:dyDescent="0.2">
      <c r="E71" s="35">
        <f>SUM(E67:E70)</f>
        <v>104999734.64226225</v>
      </c>
      <c r="F71" s="35">
        <f>H64-E71</f>
        <v>58349008.35773775</v>
      </c>
      <c r="G71" s="35">
        <f>SUM(G67:G70)</f>
        <v>142914671.57607022</v>
      </c>
      <c r="H71" s="35">
        <f>I64-G71</f>
        <v>26851915.423929781</v>
      </c>
      <c r="I71" s="35">
        <f>SUM(I67:I70)</f>
        <v>202211005.16023374</v>
      </c>
      <c r="J71" s="35">
        <f>J64-I71</f>
        <v>-17785918.160233736</v>
      </c>
      <c r="K71" s="35">
        <f>SUM(K67:K70)</f>
        <v>167519056.74501294</v>
      </c>
      <c r="L71" s="35">
        <f>K64-K71</f>
        <v>44047465.254987061</v>
      </c>
      <c r="M71" s="35">
        <f>SUM(M67:M70)</f>
        <v>192794025.98898405</v>
      </c>
      <c r="N71" s="35">
        <f>L64-M71</f>
        <v>73650591.011015952</v>
      </c>
      <c r="O71" s="35">
        <f>SUM(O67:O70)</f>
        <v>195674301.1249429</v>
      </c>
      <c r="P71" s="35">
        <f>M64-O71</f>
        <v>94397378.875057101</v>
      </c>
      <c r="Q71" s="36">
        <f>SUM(Q67:Q70)</f>
        <v>223209298.93208659</v>
      </c>
      <c r="R71" s="35">
        <f>N64-Q71</f>
        <v>58404473.067913413</v>
      </c>
      <c r="AV71" s="35"/>
    </row>
    <row r="72" spans="1:49" x14ac:dyDescent="0.2">
      <c r="AV72" s="35"/>
    </row>
    <row r="73" spans="1:49" x14ac:dyDescent="0.2">
      <c r="E73" s="35">
        <f>(SUM(C60:G60)/SUM(C$64:G$64))*E$77</f>
        <v>22896761.781828146</v>
      </c>
      <c r="F73" s="35">
        <f>H60-E73</f>
        <v>5985496.2181718536</v>
      </c>
      <c r="G73" s="35">
        <f>(SUM(D60:H60)/SUM(D$64:H$64))*G$77</f>
        <v>24463806.950903069</v>
      </c>
      <c r="H73" s="35">
        <f>I60-G73</f>
        <v>13713503.049096931</v>
      </c>
      <c r="I73" s="35">
        <f>(SUM(E60:I60)/SUM(E$64:I$64))*I$77</f>
        <v>38748964.673721507</v>
      </c>
      <c r="J73" s="35">
        <f>J60-I73</f>
        <v>-2153019.6737215072</v>
      </c>
      <c r="K73" s="35">
        <f>(SUM(F60:J60)/SUM(F$64:J$64)*K$77)</f>
        <v>33614997.791132867</v>
      </c>
      <c r="L73" s="35">
        <f>K60-K73</f>
        <v>8212878.2088671327</v>
      </c>
      <c r="M73" s="35">
        <f>(SUM(G60:K60)/SUM(G$64:K$64)*M$77)</f>
        <v>37642056.049128354</v>
      </c>
      <c r="N73" s="35">
        <f>L60-M73</f>
        <v>18707875.950871646</v>
      </c>
      <c r="O73" s="35">
        <f>(SUM(H60:L60)/SUM(H$64:L$64)*O$77)</f>
        <v>54215415.970830537</v>
      </c>
      <c r="P73" s="35">
        <f>M60-O73</f>
        <v>7206610.0291694626</v>
      </c>
      <c r="Q73" s="35">
        <f>(SUM(I60:M60)/SUM(I$64:M$64)*Q$77)</f>
        <v>56708277.413546495</v>
      </c>
      <c r="R73" s="35">
        <f>N60-Q73</f>
        <v>14170682.586453505</v>
      </c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V73" s="35"/>
    </row>
    <row r="74" spans="1:49" x14ac:dyDescent="0.2">
      <c r="E74" s="35">
        <f>(SUM(C61:G61)/SUM(C$64:G$64))*E$77</f>
        <v>32230814.14610222</v>
      </c>
      <c r="F74" s="35">
        <f>H61-E74</f>
        <v>3559711.8538977802</v>
      </c>
      <c r="G74" s="35">
        <f>(SUM(D61:H61)/SUM(D$64:H$64))*G$77</f>
        <v>32892061.665710811</v>
      </c>
      <c r="H74" s="35">
        <f>I61-G74</f>
        <v>4683185.3342891894</v>
      </c>
      <c r="I74" s="35">
        <f>(SUM(E61:I61)/SUM(E$64:I$64))*I$77</f>
        <v>47255134.354077004</v>
      </c>
      <c r="J74" s="35">
        <f>J61-I74</f>
        <v>-6561434.3540770039</v>
      </c>
      <c r="K74" s="35">
        <f>(SUM(F61:J61)/SUM(F$64:J$64)*K$77)</f>
        <v>38285636.326620758</v>
      </c>
      <c r="L74" s="35">
        <f>K61-K74</f>
        <v>19127519.673379242</v>
      </c>
      <c r="M74" s="35">
        <f>(SUM(G61:K61)/SUM(G$64:K$64)*M$77)</f>
        <v>45588958.891766071</v>
      </c>
      <c r="N74" s="35">
        <f>L61-M74</f>
        <v>13682354.108233929</v>
      </c>
      <c r="O74" s="35">
        <f>(SUM(H61:L61)/SUM(H$64:L$64)*O$77)</f>
        <v>61981236.47917974</v>
      </c>
      <c r="P74" s="35">
        <f>M61-O74</f>
        <v>16172358.52082026</v>
      </c>
      <c r="Q74" s="35">
        <f>(SUM(I61:M61)/SUM(I$64:M$64)*Q$77)</f>
        <v>66080232.203503937</v>
      </c>
      <c r="R74" s="35">
        <f>N61-Q74</f>
        <v>1115027.7964960635</v>
      </c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V74" s="35"/>
    </row>
    <row r="75" spans="1:49" x14ac:dyDescent="0.2">
      <c r="E75" s="35">
        <f>(SUM(C62:G62)/SUM(C$64:G$64))*E$77</f>
        <v>37322245.530105419</v>
      </c>
      <c r="F75" s="35">
        <f>H62-E75</f>
        <v>7903260.4698945805</v>
      </c>
      <c r="G75" s="35">
        <f>(SUM(D62:H62)/SUM(D$64:H$64))*G$77</f>
        <v>39177204.797399729</v>
      </c>
      <c r="H75" s="35">
        <f>I62-G75</f>
        <v>11080293.202600271</v>
      </c>
      <c r="I75" s="35">
        <f>(SUM(E62:I62)/SUM(E$64:I$64))*I$77</f>
        <v>59509909.753301643</v>
      </c>
      <c r="J75" s="35">
        <f>J62-I75</f>
        <v>-9605832.7533016428</v>
      </c>
      <c r="K75" s="35">
        <f>(SUM(F62:J62)/SUM(F$64:J$64)*K$77)</f>
        <v>48774141.035948955</v>
      </c>
      <c r="L75" s="35">
        <f>K62-K75</f>
        <v>8105929.9640510455</v>
      </c>
      <c r="M75" s="35">
        <f>(SUM(G62:K62)/SUM(G$64:K$64)*M$77)</f>
        <v>55889048.657643229</v>
      </c>
      <c r="N75" s="35">
        <f>L62-M75</f>
        <v>13821224.342356771</v>
      </c>
      <c r="O75" s="35">
        <f>(SUM(H62:L62)/SUM(H$64:L$64)*O$77)</f>
        <v>73057160.026863769</v>
      </c>
      <c r="P75" s="35">
        <f>M62-O75</f>
        <v>4562441.9731362313</v>
      </c>
      <c r="Q75" s="35">
        <f>(SUM(I62:M62)/SUM(I$64:M$64)*Q$77)</f>
        <v>73644908.309635714</v>
      </c>
      <c r="R75" s="35">
        <f>N62-Q75</f>
        <v>-1338007.3096357137</v>
      </c>
      <c r="AV75" s="35"/>
    </row>
    <row r="76" spans="1:49" x14ac:dyDescent="0.2">
      <c r="E76" s="35">
        <f>E77-SUM(E73:E75)</f>
        <v>43497967.611839354</v>
      </c>
      <c r="F76" s="35">
        <f>H63-E76</f>
        <v>9952485.388160646</v>
      </c>
      <c r="G76" s="35">
        <f>G77-SUM(G73:G75)</f>
        <v>45761609.767725036</v>
      </c>
      <c r="H76" s="35">
        <f>I63-G76</f>
        <v>-2005077.7677250355</v>
      </c>
      <c r="I76" s="35">
        <f>I77-SUM(I73:I75)</f>
        <v>64419295.030521095</v>
      </c>
      <c r="J76" s="35">
        <f>J63-I76</f>
        <v>-7187930.0305210948</v>
      </c>
      <c r="K76" s="35">
        <f>K77-SUM(K73:K75)</f>
        <v>50816644.285244256</v>
      </c>
      <c r="L76" s="35">
        <f>K63-K76</f>
        <v>4628774.7147557437</v>
      </c>
      <c r="M76" s="35">
        <f>(SUM(G63:K63)/SUM(G$64:K$64)*M$77)</f>
        <v>55924024.294431478</v>
      </c>
      <c r="N76" s="35">
        <f>L63-M76</f>
        <v>25189074.705568522</v>
      </c>
      <c r="O76" s="35">
        <f>(SUM(H63:L63)/SUM(H$64:L$64)*O$77)</f>
        <v>78166063.792949557</v>
      </c>
      <c r="P76" s="35">
        <f>M63-O76</f>
        <v>-5289606.7929495573</v>
      </c>
      <c r="Q76" s="35">
        <f>Q77-SUM(Q73:Q75)</f>
        <v>75109076.797148108</v>
      </c>
      <c r="R76" s="35">
        <f>N63-Q76</f>
        <v>-3876425.7971481085</v>
      </c>
    </row>
    <row r="77" spans="1:49" x14ac:dyDescent="0.2">
      <c r="E77" s="35">
        <f>FORECAST(H55,C64:G64,C55:G55)</f>
        <v>135947789.06987515</v>
      </c>
      <c r="F77" s="35">
        <f>H64-E77</f>
        <v>27400953.930124849</v>
      </c>
      <c r="G77" s="35">
        <f>FORECAST(I55,D64:H64,D55:H55)</f>
        <v>142294683.18173864</v>
      </c>
      <c r="H77" s="35">
        <f>I64-G77</f>
        <v>27471903.818261355</v>
      </c>
      <c r="I77" s="35">
        <f>FORECAST(J55,E64:I64,E55:I55)</f>
        <v>209933303.81162125</v>
      </c>
      <c r="J77" s="35">
        <f>J64-I77</f>
        <v>-25508216.811621249</v>
      </c>
      <c r="K77" s="35">
        <f>FORECAST(K55,F64:J64,F55:J55)</f>
        <v>171491419.43894684</v>
      </c>
      <c r="L77" s="35">
        <f>K64-K77</f>
        <v>40075102.561053157</v>
      </c>
      <c r="M77" s="35">
        <f>FORECAST(M55,H64:L64,H55:L55)</f>
        <v>195044087.89296913</v>
      </c>
      <c r="N77" s="35">
        <f>L64-M77</f>
        <v>71400529.107030869</v>
      </c>
      <c r="O77" s="35">
        <f>FORECAST(O55,J64:N64,J55:N55)</f>
        <v>267419876.26982361</v>
      </c>
      <c r="P77" s="35">
        <f>M64-O77</f>
        <v>22651803.730176389</v>
      </c>
      <c r="Q77" s="35">
        <f>FORECAST(Q55,L64:P64,L55:P55)</f>
        <v>271542494.72383428</v>
      </c>
      <c r="R77" s="35">
        <f>O64-Q77</f>
        <v>-2655838.7238342762</v>
      </c>
    </row>
    <row r="79" spans="1:49" x14ac:dyDescent="0.2">
      <c r="A79" s="32" t="s">
        <v>105</v>
      </c>
    </row>
    <row r="80" spans="1:49" s="61" customFormat="1" x14ac:dyDescent="0.2">
      <c r="B80" s="61">
        <v>2010</v>
      </c>
      <c r="C80" s="61">
        <v>2011</v>
      </c>
      <c r="D80" s="61">
        <v>2012</v>
      </c>
      <c r="E80" s="61">
        <v>2013</v>
      </c>
      <c r="F80" s="61">
        <v>2014</v>
      </c>
      <c r="G80" s="61">
        <v>2015</v>
      </c>
      <c r="H80" s="61">
        <v>2016</v>
      </c>
      <c r="I80" s="61">
        <v>2017</v>
      </c>
      <c r="J80" s="61">
        <v>2018</v>
      </c>
      <c r="K80" s="61">
        <v>2019</v>
      </c>
      <c r="L80" s="61">
        <v>2020</v>
      </c>
      <c r="M80" s="61">
        <v>2021</v>
      </c>
      <c r="N80" s="61">
        <v>2022</v>
      </c>
      <c r="O80" s="61">
        <v>2023</v>
      </c>
      <c r="P80" s="61">
        <v>2024</v>
      </c>
      <c r="Q80" s="61">
        <v>2025</v>
      </c>
      <c r="R80" s="32">
        <v>2026</v>
      </c>
      <c r="S80" s="32">
        <v>2027</v>
      </c>
      <c r="T80" s="32">
        <v>2028</v>
      </c>
      <c r="U80" s="32">
        <v>2029</v>
      </c>
      <c r="V80" s="32">
        <v>2030</v>
      </c>
      <c r="W80" s="32">
        <v>2031</v>
      </c>
      <c r="X80" s="32">
        <v>2032</v>
      </c>
      <c r="Y80" s="32">
        <v>2033</v>
      </c>
      <c r="Z80" s="32">
        <v>2034</v>
      </c>
      <c r="AA80" s="32">
        <v>2035</v>
      </c>
      <c r="AB80" s="32">
        <v>2036</v>
      </c>
      <c r="AC80" s="32">
        <v>2037</v>
      </c>
      <c r="AD80" s="32">
        <v>2038</v>
      </c>
      <c r="AE80" s="32">
        <v>2039</v>
      </c>
      <c r="AF80" s="32">
        <v>2040</v>
      </c>
      <c r="AG80" s="32">
        <v>2040</v>
      </c>
      <c r="AH80" s="32">
        <v>2040</v>
      </c>
      <c r="AI80" s="32">
        <v>2040</v>
      </c>
      <c r="AJ80" s="32">
        <v>2040</v>
      </c>
      <c r="AK80" s="32">
        <v>2040</v>
      </c>
      <c r="AL80" s="32">
        <v>2040</v>
      </c>
      <c r="AM80" s="32">
        <v>2040</v>
      </c>
      <c r="AN80" s="32">
        <v>2040</v>
      </c>
      <c r="AO80" s="32">
        <v>2040</v>
      </c>
      <c r="AP80" s="32">
        <v>2040</v>
      </c>
    </row>
    <row r="81" spans="1:44" x14ac:dyDescent="0.2">
      <c r="A81" s="32" t="s">
        <v>70</v>
      </c>
      <c r="B81" s="35">
        <f>'[4]D4 Gallon Forecast'!B69+'[4]D4 Gallon Forecast'!B85+'[4]D4 Gallon Forecast'!B101+'[4]D6 Gallon Forecast'!B62</f>
        <v>485714</v>
      </c>
      <c r="C81" s="35">
        <f>'[4]D4 Gallon Forecast'!C69+'[4]D4 Gallon Forecast'!C85+'[4]D4 Gallon Forecast'!C101+'[4]D6 Gallon Forecast'!C62</f>
        <v>35514051</v>
      </c>
      <c r="D81" s="35">
        <f>'[4]D4 Gallon Forecast'!D69+'[4]D4 Gallon Forecast'!D85+'[4]D4 Gallon Forecast'!D101+'[4]D6 Gallon Forecast'!D62</f>
        <v>61156111</v>
      </c>
      <c r="E81" s="35">
        <f>'[4]D4 Gallon Forecast'!E69+'[4]D4 Gallon Forecast'!E85+'[4]D4 Gallon Forecast'!E101+'[4]D6 Gallon Forecast'!E62</f>
        <v>72133794</v>
      </c>
      <c r="F81" s="35">
        <f>'[4]D4 Gallon Forecast'!F69+'[4]D4 Gallon Forecast'!F85+'[4]D4 Gallon Forecast'!F101+'[4]D6 Gallon Forecast'!F62</f>
        <v>58677581</v>
      </c>
      <c r="G81" s="35">
        <f>'[4]D4 Gallon Forecast'!G69+'[4]D4 Gallon Forecast'!G85+'[4]D4 Gallon Forecast'!G101+'[4]D6 Gallon Forecast'!G62</f>
        <v>64506298</v>
      </c>
      <c r="H81" s="35">
        <f>'[4]D4 Gallon Forecast'!H69+'[4]D4 Gallon Forecast'!H85+'[4]D4 Gallon Forecast'!H101+'[4]D6 Gallon Forecast'!H62</f>
        <v>106278433</v>
      </c>
      <c r="I81" s="35">
        <f>'[4]D4 Gallon Forecast'!I69+'[4]D4 Gallon Forecast'!I85+'[4]D4 Gallon Forecast'!I101+'[4]D6 Gallon Forecast'!I62</f>
        <v>87126264</v>
      </c>
      <c r="J81" s="35">
        <f>'[4]D4 Gallon Forecast'!J69+'[4]D4 Gallon Forecast'!J85+'[4]D4 Gallon Forecast'!J101+'[4]D6 Gallon Forecast'!J62</f>
        <v>121192145</v>
      </c>
      <c r="K81" s="35">
        <f>'[4]D4 Gallon Forecast'!K69+'[4]D4 Gallon Forecast'!K85+'[4]D4 Gallon Forecast'!K101+'[4]D6 Gallon Forecast'!K62</f>
        <v>119478211</v>
      </c>
      <c r="L81" s="35">
        <f>'[4]D4 Gallon Forecast'!L69+'[4]D4 Gallon Forecast'!L85+'[4]D4 Gallon Forecast'!L101+'[4]D6 Gallon Forecast'!L62</f>
        <v>132141705</v>
      </c>
      <c r="M81" s="35">
        <f>'[4]D4 Gallon Forecast'!M69+'[4]D4 Gallon Forecast'!M85+'[4]D4 Gallon Forecast'!M101+'[4]D6 Gallon Forecast'!M62</f>
        <v>115838804</v>
      </c>
      <c r="N81" s="35">
        <f>'[4]D4 Gallon Forecast'!N69+'[4]D4 Gallon Forecast'!N85+'[4]D4 Gallon Forecast'!N101+'[4]D6 Gallon Forecast'!N62</f>
        <v>103416061</v>
      </c>
      <c r="O81" s="35">
        <f>'[4]D4 Gallon Forecast'!O69+'[4]D4 Gallon Forecast'!O85+'[4]D4 Gallon Forecast'!O101+'[4]D6 Gallon Forecast'!O62</f>
        <v>144130783</v>
      </c>
      <c r="P81" s="35">
        <f>'[4]D4 Gallon Forecast'!P69+'[4]D4 Gallon Forecast'!P85+'[4]D4 Gallon Forecast'!P101+'[4]D6 Gallon Forecast'!P62</f>
        <v>161030405</v>
      </c>
      <c r="Q81" s="36">
        <f>'[4]D4 Gallon Forecast'!Q69+'[4]D4 Gallon Forecast'!Q85+'[4]D4 Gallon Forecast'!Q101+'[4]D6 Gallon Forecast'!Q62</f>
        <v>68771165</v>
      </c>
      <c r="R81" s="36">
        <f>'[4]D4 Gallon Forecast'!R69+'[4]D4 Gallon Forecast'!R85+'[4]D4 Gallon Forecast'!R101+'[4]D6 Gallon Forecast'!R62</f>
        <v>108041469.4560629</v>
      </c>
      <c r="S81" s="36">
        <f>'[4]D4 Gallon Forecast'!S69+'[4]D4 Gallon Forecast'!S85+'[4]D4 Gallon Forecast'!S101+'[4]D6 Gallon Forecast'!S62</f>
        <v>101556357.41130923</v>
      </c>
      <c r="T81" s="36">
        <f>'[4]D4 Gallon Forecast'!T69+'[4]D4 Gallon Forecast'!T85+'[4]D4 Gallon Forecast'!T101+'[4]D6 Gallon Forecast'!T62</f>
        <v>85628609.562343836</v>
      </c>
      <c r="U81" s="36">
        <f>'[4]D4 Gallon Forecast'!U69+'[4]D4 Gallon Forecast'!U85+'[4]D4 Gallon Forecast'!U101+'[4]D6 Gallon Forecast'!U62</f>
        <v>94796771.942570031</v>
      </c>
      <c r="V81" s="36">
        <f>'[4]D4 Gallon Forecast'!V69+'[4]D4 Gallon Forecast'!V85+'[4]D4 Gallon Forecast'!V101+'[4]D6 Gallon Forecast'!V62</f>
        <v>89161424.05131197</v>
      </c>
      <c r="W81" s="36">
        <f>'[4]D4 Gallon Forecast'!W69+'[4]D4 Gallon Forecast'!W85+'[4]D4 Gallon Forecast'!W101+'[4]D6 Gallon Forecast'!W62</f>
        <v>95377171.433157742</v>
      </c>
      <c r="X81" s="36">
        <f>'[4]D4 Gallon Forecast'!X69+'[4]D4 Gallon Forecast'!X85+'[4]D4 Gallon Forecast'!X101+'[4]D6 Gallon Forecast'!X62</f>
        <v>97683942.236450404</v>
      </c>
      <c r="Y81" s="36">
        <f>'[4]D4 Gallon Forecast'!Y69+'[4]D4 Gallon Forecast'!Y85+'[4]D4 Gallon Forecast'!Y101+'[4]D6 Gallon Forecast'!Y62</f>
        <v>111526116.28892411</v>
      </c>
      <c r="Z81" s="36">
        <f>'[4]D4 Gallon Forecast'!Z69+'[4]D4 Gallon Forecast'!Z85+'[4]D4 Gallon Forecast'!Z101+'[4]D6 Gallon Forecast'!Z62</f>
        <v>99641329.510209948</v>
      </c>
      <c r="AA81" s="36">
        <f>'[4]D4 Gallon Forecast'!AA69+'[4]D4 Gallon Forecast'!AA85+'[4]D4 Gallon Forecast'!AA101+'[4]D6 Gallon Forecast'!AA62</f>
        <v>96254073.791797623</v>
      </c>
      <c r="AB81" s="36">
        <f>'[4]D4 Gallon Forecast'!AB69+'[4]D4 Gallon Forecast'!AB85+'[4]D4 Gallon Forecast'!AB101+'[4]D6 Gallon Forecast'!AB62</f>
        <v>78015536.091763735</v>
      </c>
      <c r="AC81" s="36">
        <f>'[4]D4 Gallon Forecast'!AC69+'[4]D4 Gallon Forecast'!AC85+'[4]D4 Gallon Forecast'!AC101+'[4]D6 Gallon Forecast'!AC62</f>
        <v>64286843.959812053</v>
      </c>
      <c r="AD81" s="36">
        <f>'[4]D4 Gallon Forecast'!AD69+'[4]D4 Gallon Forecast'!AD85+'[4]D4 Gallon Forecast'!AD101+'[4]D6 Gallon Forecast'!AD62</f>
        <v>63598919.563585639</v>
      </c>
      <c r="AE81" s="36">
        <f>'[4]D4 Gallon Forecast'!AE69+'[4]D4 Gallon Forecast'!AE85+'[4]D4 Gallon Forecast'!AE101+'[4]D6 Gallon Forecast'!AE62</f>
        <v>51732247.477786012</v>
      </c>
      <c r="AF81" s="36">
        <f>'[4]D4 Gallon Forecast'!AF69+'[4]D4 Gallon Forecast'!AF85+'[4]D4 Gallon Forecast'!AF101+'[4]D6 Gallon Forecast'!AF62</f>
        <v>32284081.866265785</v>
      </c>
      <c r="AG81" s="36">
        <f>'[4]D4 Gallon Forecast'!AG69+'[4]D4 Gallon Forecast'!AG85+'[4]D4 Gallon Forecast'!AG101+'[4]D6 Gallon Forecast'!AG62</f>
        <v>35323884.723519474</v>
      </c>
      <c r="AH81" s="36">
        <f>'[4]D4 Gallon Forecast'!AH69+'[4]D4 Gallon Forecast'!AH85+'[4]D4 Gallon Forecast'!AH101+'[4]D6 Gallon Forecast'!AH62</f>
        <v>34987351.686319754</v>
      </c>
      <c r="AI81" s="36">
        <f>'[4]D4 Gallon Forecast'!AI69+'[4]D4 Gallon Forecast'!AI85+'[4]D4 Gallon Forecast'!AI101+'[4]D6 Gallon Forecast'!AI62</f>
        <v>29516971.664250392</v>
      </c>
      <c r="AJ81" s="36">
        <f>'[4]D4 Gallon Forecast'!AJ69+'[4]D4 Gallon Forecast'!AJ85+'[4]D4 Gallon Forecast'!AJ101+'[4]D6 Gallon Forecast'!AJ62</f>
        <v>29658142.554442652</v>
      </c>
      <c r="AK81" s="36">
        <f>'[4]D4 Gallon Forecast'!AK69+'[4]D4 Gallon Forecast'!AK85+'[4]D4 Gallon Forecast'!AK101+'[4]D6 Gallon Forecast'!AK62</f>
        <v>29768738.572978973</v>
      </c>
      <c r="AL81" s="36">
        <f>'[4]D4 Gallon Forecast'!AL69+'[4]D4 Gallon Forecast'!AL85+'[4]D4 Gallon Forecast'!AL101+'[4]D6 Gallon Forecast'!AL62</f>
        <v>29693596.925033711</v>
      </c>
      <c r="AM81" s="36">
        <f>'[4]D4 Gallon Forecast'!AM69+'[4]D4 Gallon Forecast'!AM85+'[4]D4 Gallon Forecast'!AM101+'[4]D6 Gallon Forecast'!AM62</f>
        <v>29736330.679520335</v>
      </c>
      <c r="AN81" s="36">
        <f>'[4]D4 Gallon Forecast'!AN69+'[4]D4 Gallon Forecast'!AN85+'[4]D4 Gallon Forecast'!AN101+'[4]D6 Gallon Forecast'!AN62</f>
        <v>30159225.118238717</v>
      </c>
      <c r="AO81" s="36">
        <f>'[4]D4 Gallon Forecast'!AO69+'[4]D4 Gallon Forecast'!AO85+'[4]D4 Gallon Forecast'!AO101+'[4]D6 Gallon Forecast'!AO62</f>
        <v>30590477.181060608</v>
      </c>
      <c r="AP81" s="36">
        <f>'[4]D4 Gallon Forecast'!AP69+'[4]D4 Gallon Forecast'!AP85+'[4]D4 Gallon Forecast'!AP101+'[4]D6 Gallon Forecast'!AP62</f>
        <v>31185608.081723712</v>
      </c>
      <c r="AQ81" s="36"/>
      <c r="AR81" s="35"/>
    </row>
    <row r="82" spans="1:44" x14ac:dyDescent="0.2">
      <c r="A82" s="32" t="s">
        <v>71</v>
      </c>
      <c r="B82" s="35">
        <f>'[4]D4 Gallon Forecast'!B70+'[4]D4 Gallon Forecast'!B86+'[4]D4 Gallon Forecast'!B102+'[4]D6 Gallon Forecast'!B63</f>
        <v>538632</v>
      </c>
      <c r="C82" s="35">
        <f>'[4]D4 Gallon Forecast'!C70+'[4]D4 Gallon Forecast'!C86+'[4]D4 Gallon Forecast'!C102+'[4]D6 Gallon Forecast'!C63</f>
        <v>42871879</v>
      </c>
      <c r="D82" s="35">
        <f>'[4]D4 Gallon Forecast'!D70+'[4]D4 Gallon Forecast'!D86+'[4]D4 Gallon Forecast'!D102+'[4]D6 Gallon Forecast'!D63</f>
        <v>76619591</v>
      </c>
      <c r="E82" s="35">
        <f>'[4]D4 Gallon Forecast'!E70+'[4]D4 Gallon Forecast'!E86+'[4]D4 Gallon Forecast'!E102+'[4]D6 Gallon Forecast'!E63</f>
        <v>77585112</v>
      </c>
      <c r="F82" s="35">
        <f>'[4]D4 Gallon Forecast'!F70+'[4]D4 Gallon Forecast'!F86+'[4]D4 Gallon Forecast'!F102+'[4]D6 Gallon Forecast'!F63</f>
        <v>73641751</v>
      </c>
      <c r="G82" s="35">
        <f>'[4]D4 Gallon Forecast'!G70+'[4]D4 Gallon Forecast'!G86+'[4]D4 Gallon Forecast'!G102+'[4]D6 Gallon Forecast'!G63</f>
        <v>67860542</v>
      </c>
      <c r="H82" s="35">
        <f>'[4]D4 Gallon Forecast'!H70+'[4]D4 Gallon Forecast'!H86+'[4]D4 Gallon Forecast'!H102+'[4]D6 Gallon Forecast'!H63</f>
        <v>114175016</v>
      </c>
      <c r="I82" s="35">
        <f>'[4]D4 Gallon Forecast'!I70+'[4]D4 Gallon Forecast'!I86+'[4]D4 Gallon Forecast'!I102+'[4]D6 Gallon Forecast'!I63</f>
        <v>108248383</v>
      </c>
      <c r="J82" s="35">
        <f>'[4]D4 Gallon Forecast'!J70+'[4]D4 Gallon Forecast'!J86+'[4]D4 Gallon Forecast'!J102+'[4]D6 Gallon Forecast'!J63</f>
        <v>127120953</v>
      </c>
      <c r="K82" s="35">
        <f>'[4]D4 Gallon Forecast'!K70+'[4]D4 Gallon Forecast'!K86+'[4]D4 Gallon Forecast'!K102+'[4]D6 Gallon Forecast'!K63</f>
        <v>128298680</v>
      </c>
      <c r="L82" s="35">
        <f>'[4]D4 Gallon Forecast'!L70+'[4]D4 Gallon Forecast'!L86+'[4]D4 Gallon Forecast'!L102+'[4]D6 Gallon Forecast'!L63</f>
        <v>139499905</v>
      </c>
      <c r="M82" s="35">
        <f>'[4]D4 Gallon Forecast'!M70+'[4]D4 Gallon Forecast'!M86+'[4]D4 Gallon Forecast'!M102+'[4]D6 Gallon Forecast'!M63</f>
        <v>117542663</v>
      </c>
      <c r="N82" s="35">
        <f>'[4]D4 Gallon Forecast'!N70+'[4]D4 Gallon Forecast'!N86+'[4]D4 Gallon Forecast'!N102+'[4]D6 Gallon Forecast'!N63</f>
        <v>117186475</v>
      </c>
      <c r="O82" s="35">
        <f>'[4]D4 Gallon Forecast'!O70+'[4]D4 Gallon Forecast'!O86+'[4]D4 Gallon Forecast'!O102+'[4]D6 Gallon Forecast'!O63</f>
        <v>155538920</v>
      </c>
      <c r="P82" s="35">
        <f>'[4]D4 Gallon Forecast'!P70+'[4]D4 Gallon Forecast'!P86+'[4]D4 Gallon Forecast'!P102+'[4]D6 Gallon Forecast'!P63</f>
        <v>177754856</v>
      </c>
      <c r="Q82" s="36">
        <f>'[4]D4 Gallon Forecast'!Q70+'[4]D4 Gallon Forecast'!Q86+'[4]D4 Gallon Forecast'!Q102+'[4]D6 Gallon Forecast'!Q63</f>
        <v>80131009</v>
      </c>
      <c r="R82" s="36">
        <f>'[4]D4 Gallon Forecast'!R70+'[4]D4 Gallon Forecast'!R86+'[4]D4 Gallon Forecast'!R102+'[4]D6 Gallon Forecast'!R63</f>
        <v>116735753.42343728</v>
      </c>
      <c r="S82" s="36">
        <f>'[4]D4 Gallon Forecast'!S70+'[4]D4 Gallon Forecast'!S86+'[4]D4 Gallon Forecast'!S102+'[4]D6 Gallon Forecast'!S63</f>
        <v>111136676.44483152</v>
      </c>
      <c r="T82" s="36">
        <f>'[4]D4 Gallon Forecast'!T70+'[4]D4 Gallon Forecast'!T86+'[4]D4 Gallon Forecast'!T102+'[4]D6 Gallon Forecast'!T63</f>
        <v>93702893.953921124</v>
      </c>
      <c r="U82" s="36">
        <f>'[4]D4 Gallon Forecast'!U70+'[4]D4 Gallon Forecast'!U86+'[4]D4 Gallon Forecast'!U102+'[4]D6 Gallon Forecast'!U63</f>
        <v>104257852.92893907</v>
      </c>
      <c r="V82" s="36">
        <f>'[4]D4 Gallon Forecast'!V70+'[4]D4 Gallon Forecast'!V86+'[4]D4 Gallon Forecast'!V102+'[4]D6 Gallon Forecast'!V63</f>
        <v>98362459.113332763</v>
      </c>
      <c r="W82" s="36">
        <f>'[4]D4 Gallon Forecast'!W70+'[4]D4 Gallon Forecast'!W86+'[4]D4 Gallon Forecast'!W102+'[4]D6 Gallon Forecast'!W63</f>
        <v>104321714.90688652</v>
      </c>
      <c r="X82" s="36">
        <f>'[4]D4 Gallon Forecast'!X70+'[4]D4 Gallon Forecast'!X86+'[4]D4 Gallon Forecast'!X102+'[4]D6 Gallon Forecast'!X63</f>
        <v>106606432.20122485</v>
      </c>
      <c r="Y82" s="36">
        <f>'[4]D4 Gallon Forecast'!Y70+'[4]D4 Gallon Forecast'!Y86+'[4]D4 Gallon Forecast'!Y102+'[4]D6 Gallon Forecast'!Y63</f>
        <v>99849275.286737859</v>
      </c>
      <c r="Z82" s="36">
        <f>'[4]D4 Gallon Forecast'!Z70+'[4]D4 Gallon Forecast'!Z86+'[4]D4 Gallon Forecast'!Z102+'[4]D6 Gallon Forecast'!Z63</f>
        <v>97002482.147608131</v>
      </c>
      <c r="AA82" s="36">
        <f>'[4]D4 Gallon Forecast'!AA70+'[4]D4 Gallon Forecast'!AA86+'[4]D4 Gallon Forecast'!AA102+'[4]D6 Gallon Forecast'!AA63</f>
        <v>92218164.860193208</v>
      </c>
      <c r="AB82" s="36">
        <f>'[4]D4 Gallon Forecast'!AB70+'[4]D4 Gallon Forecast'!AB86+'[4]D4 Gallon Forecast'!AB102+'[4]D6 Gallon Forecast'!AB63</f>
        <v>77685714.91191645</v>
      </c>
      <c r="AC82" s="36">
        <f>'[4]D4 Gallon Forecast'!AC70+'[4]D4 Gallon Forecast'!AC86+'[4]D4 Gallon Forecast'!AC102+'[4]D6 Gallon Forecast'!AC63</f>
        <v>62964775.581957929</v>
      </c>
      <c r="AD82" s="36">
        <f>'[4]D4 Gallon Forecast'!AD70+'[4]D4 Gallon Forecast'!AD86+'[4]D4 Gallon Forecast'!AD102+'[4]D6 Gallon Forecast'!AD63</f>
        <v>60395029.498308867</v>
      </c>
      <c r="AE82" s="36">
        <f>'[4]D4 Gallon Forecast'!AE70+'[4]D4 Gallon Forecast'!AE86+'[4]D4 Gallon Forecast'!AE102+'[4]D6 Gallon Forecast'!AE63</f>
        <v>50021769.856224149</v>
      </c>
      <c r="AF82" s="36">
        <f>'[4]D4 Gallon Forecast'!AF70+'[4]D4 Gallon Forecast'!AF86+'[4]D4 Gallon Forecast'!AF102+'[4]D6 Gallon Forecast'!AF63</f>
        <v>31816059.070206404</v>
      </c>
      <c r="AG82" s="36">
        <f>'[4]D4 Gallon Forecast'!AG70+'[4]D4 Gallon Forecast'!AG86+'[4]D4 Gallon Forecast'!AG102+'[4]D6 Gallon Forecast'!AG63</f>
        <v>34816716.776641458</v>
      </c>
      <c r="AH82" s="36">
        <f>'[4]D4 Gallon Forecast'!AH70+'[4]D4 Gallon Forecast'!AH86+'[4]D4 Gallon Forecast'!AH102+'[4]D6 Gallon Forecast'!AH63</f>
        <v>34286349.823174313</v>
      </c>
      <c r="AI82" s="36">
        <f>'[4]D4 Gallon Forecast'!AI70+'[4]D4 Gallon Forecast'!AI86+'[4]D4 Gallon Forecast'!AI102+'[4]D6 Gallon Forecast'!AI63</f>
        <v>29103766.904609133</v>
      </c>
      <c r="AJ82" s="36">
        <f>'[4]D4 Gallon Forecast'!AJ70+'[4]D4 Gallon Forecast'!AJ86+'[4]D4 Gallon Forecast'!AJ102+'[4]D6 Gallon Forecast'!AJ63</f>
        <v>29355008.013333023</v>
      </c>
      <c r="AK82" s="36">
        <f>'[4]D4 Gallon Forecast'!AK70+'[4]D4 Gallon Forecast'!AK86+'[4]D4 Gallon Forecast'!AK102+'[4]D6 Gallon Forecast'!AK63</f>
        <v>29456631.013261832</v>
      </c>
      <c r="AL82" s="36">
        <f>'[4]D4 Gallon Forecast'!AL70+'[4]D4 Gallon Forecast'!AL86+'[4]D4 Gallon Forecast'!AL102+'[4]D6 Gallon Forecast'!AL63</f>
        <v>29385317.33173418</v>
      </c>
      <c r="AM82" s="36">
        <f>'[4]D4 Gallon Forecast'!AM70+'[4]D4 Gallon Forecast'!AM86+'[4]D4 Gallon Forecast'!AM102+'[4]D6 Gallon Forecast'!AM63</f>
        <v>29393683.871061988</v>
      </c>
      <c r="AN82" s="36">
        <f>'[4]D4 Gallon Forecast'!AN70+'[4]D4 Gallon Forecast'!AN86+'[4]D4 Gallon Forecast'!AN102+'[4]D6 Gallon Forecast'!AN63</f>
        <v>29791606.991660282</v>
      </c>
      <c r="AO82" s="36">
        <f>'[4]D4 Gallon Forecast'!AO70+'[4]D4 Gallon Forecast'!AO86+'[4]D4 Gallon Forecast'!AO102+'[4]D6 Gallon Forecast'!AO63</f>
        <v>30212667.274375807</v>
      </c>
      <c r="AP82" s="36">
        <f>'[4]D4 Gallon Forecast'!AP70+'[4]D4 Gallon Forecast'!AP86+'[4]D4 Gallon Forecast'!AP102+'[4]D6 Gallon Forecast'!AP63</f>
        <v>30766220.221087627</v>
      </c>
      <c r="AQ82" s="36"/>
      <c r="AR82" s="35"/>
    </row>
    <row r="83" spans="1:44" x14ac:dyDescent="0.2">
      <c r="A83" s="32" t="s">
        <v>72</v>
      </c>
      <c r="B83" s="35">
        <f>'[4]D4 Gallon Forecast'!B71+'[4]D4 Gallon Forecast'!B87+'[4]D4 Gallon Forecast'!B103+'[4]D6 Gallon Forecast'!B64</f>
        <v>810795</v>
      </c>
      <c r="C83" s="35">
        <f>'[4]D4 Gallon Forecast'!C71+'[4]D4 Gallon Forecast'!C87+'[4]D4 Gallon Forecast'!C103+'[4]D6 Gallon Forecast'!C64</f>
        <v>67972209</v>
      </c>
      <c r="D83" s="35">
        <f>'[4]D4 Gallon Forecast'!D71+'[4]D4 Gallon Forecast'!D87+'[4]D4 Gallon Forecast'!D103+'[4]D6 Gallon Forecast'!D64</f>
        <v>100592698</v>
      </c>
      <c r="E83" s="35">
        <f>'[4]D4 Gallon Forecast'!E71+'[4]D4 Gallon Forecast'!E87+'[4]D4 Gallon Forecast'!E103+'[4]D6 Gallon Forecast'!E64</f>
        <v>110401757</v>
      </c>
      <c r="F83" s="35">
        <f>'[4]D4 Gallon Forecast'!F71+'[4]D4 Gallon Forecast'!F87+'[4]D4 Gallon Forecast'!F103+'[4]D6 Gallon Forecast'!F64</f>
        <v>103901708</v>
      </c>
      <c r="G83" s="35">
        <f>'[4]D4 Gallon Forecast'!G71+'[4]D4 Gallon Forecast'!G87+'[4]D4 Gallon Forecast'!G103+'[4]D6 Gallon Forecast'!G64</f>
        <v>100913559</v>
      </c>
      <c r="H83" s="35">
        <f>'[4]D4 Gallon Forecast'!H71+'[4]D4 Gallon Forecast'!H87+'[4]D4 Gallon Forecast'!H103+'[4]D6 Gallon Forecast'!H64</f>
        <v>135259724</v>
      </c>
      <c r="I83" s="35">
        <f>'[4]D4 Gallon Forecast'!I71+'[4]D4 Gallon Forecast'!I87+'[4]D4 Gallon Forecast'!I103+'[4]D6 Gallon Forecast'!I64</f>
        <v>152046641</v>
      </c>
      <c r="J83" s="35">
        <f>'[4]D4 Gallon Forecast'!J71+'[4]D4 Gallon Forecast'!J87+'[4]D4 Gallon Forecast'!J103+'[4]D6 Gallon Forecast'!J64</f>
        <v>160840275</v>
      </c>
      <c r="K83" s="35">
        <f>'[4]D4 Gallon Forecast'!K71+'[4]D4 Gallon Forecast'!K87+'[4]D4 Gallon Forecast'!K103+'[4]D6 Gallon Forecast'!K64</f>
        <v>159716795</v>
      </c>
      <c r="L83" s="35">
        <f>'[4]D4 Gallon Forecast'!L71+'[4]D4 Gallon Forecast'!L87+'[4]D4 Gallon Forecast'!L103+'[4]D6 Gallon Forecast'!L64</f>
        <v>168669932</v>
      </c>
      <c r="M83" s="35">
        <f>'[4]D4 Gallon Forecast'!M71+'[4]D4 Gallon Forecast'!M87+'[4]D4 Gallon Forecast'!M103+'[4]D6 Gallon Forecast'!M64</f>
        <v>165485905</v>
      </c>
      <c r="N83" s="35">
        <f>'[4]D4 Gallon Forecast'!N71+'[4]D4 Gallon Forecast'!N87+'[4]D4 Gallon Forecast'!N103+'[4]D6 Gallon Forecast'!N64</f>
        <v>158550115</v>
      </c>
      <c r="O83" s="35">
        <f>'[4]D4 Gallon Forecast'!O71+'[4]D4 Gallon Forecast'!O87+'[4]D4 Gallon Forecast'!O103+'[4]D6 Gallon Forecast'!O64</f>
        <v>175677709</v>
      </c>
      <c r="P83" s="35">
        <f>'[4]D4 Gallon Forecast'!P71+'[4]D4 Gallon Forecast'!P87+'[4]D4 Gallon Forecast'!P103+'[4]D6 Gallon Forecast'!P64</f>
        <v>163377937</v>
      </c>
      <c r="Q83" s="36">
        <f>'[4]D4 Gallon Forecast'!Q71+'[4]D4 Gallon Forecast'!Q87+'[4]D4 Gallon Forecast'!Q103+'[4]D6 Gallon Forecast'!Q64</f>
        <v>99736993</v>
      </c>
      <c r="R83" s="36">
        <f>'[4]D4 Gallon Forecast'!R71+'[4]D4 Gallon Forecast'!R87+'[4]D4 Gallon Forecast'!R103+'[4]D6 Gallon Forecast'!R64</f>
        <v>127377151.69004369</v>
      </c>
      <c r="S83" s="36">
        <f>'[4]D4 Gallon Forecast'!S71+'[4]D4 Gallon Forecast'!S87+'[4]D4 Gallon Forecast'!S103+'[4]D6 Gallon Forecast'!S64</f>
        <v>125602135.35638797</v>
      </c>
      <c r="T83" s="36">
        <f>'[4]D4 Gallon Forecast'!T71+'[4]D4 Gallon Forecast'!T87+'[4]D4 Gallon Forecast'!T103+'[4]D6 Gallon Forecast'!T64</f>
        <v>101513882.40107201</v>
      </c>
      <c r="U83" s="36">
        <f>'[4]D4 Gallon Forecast'!U71+'[4]D4 Gallon Forecast'!U87+'[4]D4 Gallon Forecast'!U103+'[4]D6 Gallon Forecast'!U64</f>
        <v>111818140.8819562</v>
      </c>
      <c r="V83" s="36">
        <f>'[4]D4 Gallon Forecast'!V71+'[4]D4 Gallon Forecast'!V87+'[4]D4 Gallon Forecast'!V103+'[4]D6 Gallon Forecast'!V64</f>
        <v>109998192.02375217</v>
      </c>
      <c r="W83" s="36">
        <f>'[4]D4 Gallon Forecast'!W71+'[4]D4 Gallon Forecast'!W87+'[4]D4 Gallon Forecast'!W103+'[4]D6 Gallon Forecast'!W64</f>
        <v>114710651.54379082</v>
      </c>
      <c r="X83" s="36">
        <f>'[4]D4 Gallon Forecast'!X71+'[4]D4 Gallon Forecast'!X87+'[4]D4 Gallon Forecast'!X103+'[4]D6 Gallon Forecast'!X64</f>
        <v>118143480.24459578</v>
      </c>
      <c r="Y83" s="36">
        <f>'[4]D4 Gallon Forecast'!Y71+'[4]D4 Gallon Forecast'!Y87+'[4]D4 Gallon Forecast'!Y103+'[4]D6 Gallon Forecast'!Y64</f>
        <v>110166391.97985919</v>
      </c>
      <c r="Z83" s="36">
        <f>'[4]D4 Gallon Forecast'!Z71+'[4]D4 Gallon Forecast'!Z87+'[4]D4 Gallon Forecast'!Z103+'[4]D6 Gallon Forecast'!Z64</f>
        <v>107155408.19556621</v>
      </c>
      <c r="AA83" s="36">
        <f>'[4]D4 Gallon Forecast'!AA71+'[4]D4 Gallon Forecast'!AA87+'[4]D4 Gallon Forecast'!AA103+'[4]D6 Gallon Forecast'!AA64</f>
        <v>102454745.92157562</v>
      </c>
      <c r="AB83" s="36">
        <f>'[4]D4 Gallon Forecast'!AB71+'[4]D4 Gallon Forecast'!AB87+'[4]D4 Gallon Forecast'!AB103+'[4]D6 Gallon Forecast'!AB64</f>
        <v>86116359.905189708</v>
      </c>
      <c r="AC83" s="36">
        <f>'[4]D4 Gallon Forecast'!AC71+'[4]D4 Gallon Forecast'!AC87+'[4]D4 Gallon Forecast'!AC103+'[4]D6 Gallon Forecast'!AC64</f>
        <v>69728744.388370931</v>
      </c>
      <c r="AD83" s="36">
        <f>'[4]D4 Gallon Forecast'!AD71+'[4]D4 Gallon Forecast'!AD87+'[4]D4 Gallon Forecast'!AD103+'[4]D6 Gallon Forecast'!AD64</f>
        <v>67191753.216317296</v>
      </c>
      <c r="AE83" s="36">
        <f>'[4]D4 Gallon Forecast'!AE71+'[4]D4 Gallon Forecast'!AE87+'[4]D4 Gallon Forecast'!AE103+'[4]D6 Gallon Forecast'!AE64</f>
        <v>55671066.382687449</v>
      </c>
      <c r="AF83" s="36">
        <f>'[4]D4 Gallon Forecast'!AF71+'[4]D4 Gallon Forecast'!AF87+'[4]D4 Gallon Forecast'!AF103+'[4]D6 Gallon Forecast'!AF64</f>
        <v>34855772.145582527</v>
      </c>
      <c r="AG83" s="36">
        <f>'[4]D4 Gallon Forecast'!AG71+'[4]D4 Gallon Forecast'!AG87+'[4]D4 Gallon Forecast'!AG103+'[4]D6 Gallon Forecast'!AG64</f>
        <v>38257855.288697079</v>
      </c>
      <c r="AH83" s="36">
        <f>'[4]D4 Gallon Forecast'!AH71+'[4]D4 Gallon Forecast'!AH87+'[4]D4 Gallon Forecast'!AH103+'[4]D6 Gallon Forecast'!AH64</f>
        <v>37654203.386700019</v>
      </c>
      <c r="AI83" s="36">
        <f>'[4]D4 Gallon Forecast'!AI71+'[4]D4 Gallon Forecast'!AI87+'[4]D4 Gallon Forecast'!AI103+'[4]D6 Gallon Forecast'!AI64</f>
        <v>31724453.809763901</v>
      </c>
      <c r="AJ83" s="36">
        <f>'[4]D4 Gallon Forecast'!AJ71+'[4]D4 Gallon Forecast'!AJ87+'[4]D4 Gallon Forecast'!AJ103+'[4]D6 Gallon Forecast'!AJ64</f>
        <v>32017324.172032531</v>
      </c>
      <c r="AK83" s="36">
        <f>'[4]D4 Gallon Forecast'!AK71+'[4]D4 Gallon Forecast'!AK87+'[4]D4 Gallon Forecast'!AK103+'[4]D6 Gallon Forecast'!AK64</f>
        <v>32133555.526573427</v>
      </c>
      <c r="AL83" s="36">
        <f>'[4]D4 Gallon Forecast'!AL71+'[4]D4 Gallon Forecast'!AL87+'[4]D4 Gallon Forecast'!AL103+'[4]D6 Gallon Forecast'!AL64</f>
        <v>32047616.29216785</v>
      </c>
      <c r="AM83" s="36">
        <f>'[4]D4 Gallon Forecast'!AM71+'[4]D4 Gallon Forecast'!AM87+'[4]D4 Gallon Forecast'!AM103+'[4]D6 Gallon Forecast'!AM64</f>
        <v>32058252.539093003</v>
      </c>
      <c r="AN83" s="36">
        <f>'[4]D4 Gallon Forecast'!AN71+'[4]D4 Gallon Forecast'!AN87+'[4]D4 Gallon Forecast'!AN103+'[4]D6 Gallon Forecast'!AN64</f>
        <v>32514369.335717149</v>
      </c>
      <c r="AO83" s="36">
        <f>'[4]D4 Gallon Forecast'!AO71+'[4]D4 Gallon Forecast'!AO87+'[4]D4 Gallon Forecast'!AO103+'[4]D6 Gallon Forecast'!AO64</f>
        <v>32996796.366411284</v>
      </c>
      <c r="AP83" s="36">
        <f>'[4]D4 Gallon Forecast'!AP71+'[4]D4 Gallon Forecast'!AP87+'[4]D4 Gallon Forecast'!AP103+'[4]D6 Gallon Forecast'!AP64</f>
        <v>33629890.378426209</v>
      </c>
      <c r="AQ83" s="36"/>
      <c r="AR83" s="35"/>
    </row>
    <row r="84" spans="1:44" x14ac:dyDescent="0.2">
      <c r="A84" s="32" t="s">
        <v>73</v>
      </c>
      <c r="B84" s="35">
        <f>'[4]D4 Gallon Forecast'!B72+'[4]D4 Gallon Forecast'!B88+'[4]D4 Gallon Forecast'!B104+'[4]D6 Gallon Forecast'!B65</f>
        <v>522149</v>
      </c>
      <c r="C84" s="35">
        <f>'[4]D4 Gallon Forecast'!C72+'[4]D4 Gallon Forecast'!C88+'[4]D4 Gallon Forecast'!C104+'[4]D6 Gallon Forecast'!C65</f>
        <v>72638153</v>
      </c>
      <c r="D84" s="35">
        <f>'[4]D4 Gallon Forecast'!D72+'[4]D4 Gallon Forecast'!D88+'[4]D4 Gallon Forecast'!D104+'[4]D6 Gallon Forecast'!D65</f>
        <v>95239341</v>
      </c>
      <c r="E84" s="35">
        <f>'[4]D4 Gallon Forecast'!E72+'[4]D4 Gallon Forecast'!E88+'[4]D4 Gallon Forecast'!E104+'[4]D6 Gallon Forecast'!E65</f>
        <v>115749935</v>
      </c>
      <c r="F84" s="35">
        <f>'[4]D4 Gallon Forecast'!F72+'[4]D4 Gallon Forecast'!F88+'[4]D4 Gallon Forecast'!F104+'[4]D6 Gallon Forecast'!F65</f>
        <v>109109944</v>
      </c>
      <c r="G84" s="35">
        <f>'[4]D4 Gallon Forecast'!G72+'[4]D4 Gallon Forecast'!G88+'[4]D4 Gallon Forecast'!G104+'[4]D6 Gallon Forecast'!G65</f>
        <v>118563995</v>
      </c>
      <c r="H84" s="35">
        <f>'[4]D4 Gallon Forecast'!H72+'[4]D4 Gallon Forecast'!H88+'[4]D4 Gallon Forecast'!H104+'[4]D6 Gallon Forecast'!H65</f>
        <v>155453802</v>
      </c>
      <c r="I84" s="35">
        <f>'[4]D4 Gallon Forecast'!I72+'[4]D4 Gallon Forecast'!I88+'[4]D4 Gallon Forecast'!I104+'[4]D6 Gallon Forecast'!I65</f>
        <v>145178416</v>
      </c>
      <c r="J84" s="35">
        <f>'[4]D4 Gallon Forecast'!J72+'[4]D4 Gallon Forecast'!J88+'[4]D4 Gallon Forecast'!J104+'[4]D6 Gallon Forecast'!J65</f>
        <v>160573861</v>
      </c>
      <c r="K84" s="35">
        <f>'[4]D4 Gallon Forecast'!K72+'[4]D4 Gallon Forecast'!K88+'[4]D4 Gallon Forecast'!K104+'[4]D6 Gallon Forecast'!K65</f>
        <v>182419876</v>
      </c>
      <c r="L84" s="35">
        <f>'[4]D4 Gallon Forecast'!L72+'[4]D4 Gallon Forecast'!L88+'[4]D4 Gallon Forecast'!L104+'[4]D6 Gallon Forecast'!L65</f>
        <v>168039266</v>
      </c>
      <c r="M84" s="35">
        <f>'[4]D4 Gallon Forecast'!M72+'[4]D4 Gallon Forecast'!M88+'[4]D4 Gallon Forecast'!M104+'[4]D6 Gallon Forecast'!M65</f>
        <v>161733115</v>
      </c>
      <c r="N84" s="35">
        <f>'[4]D4 Gallon Forecast'!N72+'[4]D4 Gallon Forecast'!N88+'[4]D4 Gallon Forecast'!N104+'[4]D6 Gallon Forecast'!N65</f>
        <v>174159602</v>
      </c>
      <c r="O84" s="35">
        <f>'[4]D4 Gallon Forecast'!O72+'[4]D4 Gallon Forecast'!O88+'[4]D4 Gallon Forecast'!O104+'[4]D6 Gallon Forecast'!O65</f>
        <v>168799978</v>
      </c>
      <c r="P84" s="35">
        <f>'[4]D4 Gallon Forecast'!P72+'[4]D4 Gallon Forecast'!P88+'[4]D4 Gallon Forecast'!P104+'[4]D6 Gallon Forecast'!P65</f>
        <v>184411893</v>
      </c>
      <c r="Q84" s="36">
        <f>'[4]D4 Gallon Forecast'!Q72+'[4]D4 Gallon Forecast'!Q88+'[4]D4 Gallon Forecast'!Q104+'[4]D6 Gallon Forecast'!Q65</f>
        <v>164272431.20525539</v>
      </c>
      <c r="R84" s="36">
        <f>'[4]D4 Gallon Forecast'!R72+'[4]D4 Gallon Forecast'!R88+'[4]D4 Gallon Forecast'!R104+'[4]D6 Gallon Forecast'!R65</f>
        <v>140581373.30061626</v>
      </c>
      <c r="S84" s="36">
        <f>'[4]D4 Gallon Forecast'!S72+'[4]D4 Gallon Forecast'!S88+'[4]D4 Gallon Forecast'!S104+'[4]D6 Gallon Forecast'!S65</f>
        <v>142349116.51119152</v>
      </c>
      <c r="T84" s="36">
        <f>'[4]D4 Gallon Forecast'!T72+'[4]D4 Gallon Forecast'!T88+'[4]D4 Gallon Forecast'!T104+'[4]D6 Gallon Forecast'!T65</f>
        <v>117206032.85977118</v>
      </c>
      <c r="U84" s="36">
        <f>'[4]D4 Gallon Forecast'!U72+'[4]D4 Gallon Forecast'!U88+'[4]D4 Gallon Forecast'!U104+'[4]D6 Gallon Forecast'!U65</f>
        <v>134662179.14529213</v>
      </c>
      <c r="V84" s="36">
        <f>'[4]D4 Gallon Forecast'!V72+'[4]D4 Gallon Forecast'!V88+'[4]D4 Gallon Forecast'!V104+'[4]D6 Gallon Forecast'!V65</f>
        <v>136155523.40861633</v>
      </c>
      <c r="W84" s="36">
        <f>'[4]D4 Gallon Forecast'!W72+'[4]D4 Gallon Forecast'!W88+'[4]D4 Gallon Forecast'!W104+'[4]D6 Gallon Forecast'!W65</f>
        <v>133618349.37333395</v>
      </c>
      <c r="X84" s="36">
        <f>'[4]D4 Gallon Forecast'!X72+'[4]D4 Gallon Forecast'!X88+'[4]D4 Gallon Forecast'!X104+'[4]D6 Gallon Forecast'!X65</f>
        <v>138116332.56778955</v>
      </c>
      <c r="Y84" s="36">
        <f>'[4]D4 Gallon Forecast'!Y72+'[4]D4 Gallon Forecast'!Y88+'[4]D4 Gallon Forecast'!Y104+'[4]D6 Gallon Forecast'!Y65</f>
        <v>129720013.99987581</v>
      </c>
      <c r="Z84" s="36">
        <f>'[4]D4 Gallon Forecast'!Z72+'[4]D4 Gallon Forecast'!Z88+'[4]D4 Gallon Forecast'!Z104+'[4]D6 Gallon Forecast'!Z65</f>
        <v>126938250.11546579</v>
      </c>
      <c r="AA84" s="36">
        <f>'[4]D4 Gallon Forecast'!AA72+'[4]D4 Gallon Forecast'!AA88+'[4]D4 Gallon Forecast'!AA104+'[4]D6 Gallon Forecast'!AA65</f>
        <v>121006819.95617312</v>
      </c>
      <c r="AB84" s="36">
        <f>'[4]D4 Gallon Forecast'!AB72+'[4]D4 Gallon Forecast'!AB88+'[4]D4 Gallon Forecast'!AB104+'[4]D6 Gallon Forecast'!AB65</f>
        <v>100983623.99308479</v>
      </c>
      <c r="AC84" s="36">
        <f>'[4]D4 Gallon Forecast'!AC72+'[4]D4 Gallon Forecast'!AC88+'[4]D4 Gallon Forecast'!AC104+'[4]D6 Gallon Forecast'!AC65</f>
        <v>82355150.474598527</v>
      </c>
      <c r="AD84" s="36">
        <f>'[4]D4 Gallon Forecast'!AD72+'[4]D4 Gallon Forecast'!AD88+'[4]D4 Gallon Forecast'!AD104+'[4]D6 Gallon Forecast'!AD65</f>
        <v>79035809.004430175</v>
      </c>
      <c r="AE84" s="36">
        <f>'[4]D4 Gallon Forecast'!AE72+'[4]D4 Gallon Forecast'!AE88+'[4]D4 Gallon Forecast'!AE104+'[4]D6 Gallon Forecast'!AE65</f>
        <v>65758294.730636455</v>
      </c>
      <c r="AF84" s="36">
        <f>'[4]D4 Gallon Forecast'!AF72+'[4]D4 Gallon Forecast'!AF88+'[4]D4 Gallon Forecast'!AF104+'[4]D6 Gallon Forecast'!AF65</f>
        <v>42457625.137778535</v>
      </c>
      <c r="AG84" s="36">
        <f>'[4]D4 Gallon Forecast'!AG72+'[4]D4 Gallon Forecast'!AG88+'[4]D4 Gallon Forecast'!AG104+'[4]D6 Gallon Forecast'!AG65</f>
        <v>46212522.330314465</v>
      </c>
      <c r="AH84" s="36">
        <f>'[4]D4 Gallon Forecast'!AH72+'[4]D4 Gallon Forecast'!AH88+'[4]D4 Gallon Forecast'!AH104+'[4]D6 Gallon Forecast'!AH65</f>
        <v>45630817.366726093</v>
      </c>
      <c r="AI84" s="36">
        <f>'[4]D4 Gallon Forecast'!AI72+'[4]D4 Gallon Forecast'!AI88+'[4]D4 Gallon Forecast'!AI104+'[4]D6 Gallon Forecast'!AI65</f>
        <v>39103572.11569266</v>
      </c>
      <c r="AJ84" s="36">
        <f>'[4]D4 Gallon Forecast'!AJ72+'[4]D4 Gallon Forecast'!AJ88+'[4]D4 Gallon Forecast'!AJ104+'[4]D6 Gallon Forecast'!AJ65</f>
        <v>39453006.84513025</v>
      </c>
      <c r="AK84" s="36">
        <f>'[4]D4 Gallon Forecast'!AK72+'[4]D4 Gallon Forecast'!AK88+'[4]D4 Gallon Forecast'!AK104+'[4]D6 Gallon Forecast'!AK65</f>
        <v>39569724.913190506</v>
      </c>
      <c r="AL84" s="36">
        <f>'[4]D4 Gallon Forecast'!AL72+'[4]D4 Gallon Forecast'!AL88+'[4]D4 Gallon Forecast'!AL104+'[4]D6 Gallon Forecast'!AL65</f>
        <v>39467308.26061485</v>
      </c>
      <c r="AM84" s="36">
        <f>'[4]D4 Gallon Forecast'!AM72+'[4]D4 Gallon Forecast'!AM88+'[4]D4 Gallon Forecast'!AM104+'[4]D6 Gallon Forecast'!AM65</f>
        <v>39467342.208190851</v>
      </c>
      <c r="AN84" s="36">
        <f>'[4]D4 Gallon Forecast'!AN72+'[4]D4 Gallon Forecast'!AN88+'[4]D4 Gallon Forecast'!AN104+'[4]D6 Gallon Forecast'!AN65</f>
        <v>40018835.372026742</v>
      </c>
      <c r="AO84" s="36">
        <f>'[4]D4 Gallon Forecast'!AO72+'[4]D4 Gallon Forecast'!AO88+'[4]D4 Gallon Forecast'!AO104+'[4]D6 Gallon Forecast'!AO65</f>
        <v>40596531.978826702</v>
      </c>
      <c r="AP84" s="36">
        <f>'[4]D4 Gallon Forecast'!AP72+'[4]D4 Gallon Forecast'!AP88+'[4]D4 Gallon Forecast'!AP104+'[4]D6 Gallon Forecast'!AP65</f>
        <v>41312499.625971839</v>
      </c>
      <c r="AQ84" s="36"/>
      <c r="AR84" s="35"/>
    </row>
    <row r="85" spans="1:44" x14ac:dyDescent="0.2">
      <c r="A85" s="32" t="s">
        <v>10</v>
      </c>
      <c r="B85" s="35">
        <f>'[4]D4 Gallon Forecast'!B73+'[4]D4 Gallon Forecast'!B89+'[4]D4 Gallon Forecast'!B105+'[4]D6 Gallon Forecast'!B66</f>
        <v>485714</v>
      </c>
      <c r="C85" s="35">
        <f>'[4]D4 Gallon Forecast'!C73+'[4]D4 Gallon Forecast'!C89+'[4]D4 Gallon Forecast'!C105+'[4]D6 Gallon Forecast'!C66</f>
        <v>80036475</v>
      </c>
      <c r="D85" s="35">
        <f>'[4]D4 Gallon Forecast'!D73+'[4]D4 Gallon Forecast'!D89+'[4]D4 Gallon Forecast'!D105+'[4]D6 Gallon Forecast'!D66</f>
        <v>114968701</v>
      </c>
      <c r="E85" s="35">
        <f>'[4]D4 Gallon Forecast'!E73+'[4]D4 Gallon Forecast'!E89+'[4]D4 Gallon Forecast'!E105+'[4]D6 Gallon Forecast'!E66</f>
        <v>128969969</v>
      </c>
      <c r="F85" s="35">
        <f>'[4]D4 Gallon Forecast'!F73+'[4]D4 Gallon Forecast'!F89+'[4]D4 Gallon Forecast'!F105+'[4]D6 Gallon Forecast'!F66</f>
        <v>114715707</v>
      </c>
      <c r="G85" s="35">
        <f>'[4]D4 Gallon Forecast'!G73+'[4]D4 Gallon Forecast'!G89+'[4]D4 Gallon Forecast'!G105+'[4]D6 Gallon Forecast'!G66</f>
        <v>135962139</v>
      </c>
      <c r="H85" s="35">
        <f>'[4]D4 Gallon Forecast'!H73+'[4]D4 Gallon Forecast'!H89+'[4]D4 Gallon Forecast'!H105+'[4]D6 Gallon Forecast'!H66</f>
        <v>169004899</v>
      </c>
      <c r="I85" s="35">
        <f>'[4]D4 Gallon Forecast'!I73+'[4]D4 Gallon Forecast'!I89+'[4]D4 Gallon Forecast'!I105+'[4]D6 Gallon Forecast'!I66</f>
        <v>186105670</v>
      </c>
      <c r="J85" s="35">
        <f>'[4]D4 Gallon Forecast'!J73+'[4]D4 Gallon Forecast'!J89+'[4]D4 Gallon Forecast'!J105+'[4]D6 Gallon Forecast'!J66</f>
        <v>182292273</v>
      </c>
      <c r="K85" s="35">
        <f>'[4]D4 Gallon Forecast'!K73+'[4]D4 Gallon Forecast'!K89+'[4]D4 Gallon Forecast'!K105+'[4]D6 Gallon Forecast'!K66</f>
        <v>179698181</v>
      </c>
      <c r="L85" s="35">
        <f>'[4]D4 Gallon Forecast'!L73+'[4]D4 Gallon Forecast'!L89+'[4]D4 Gallon Forecast'!L105+'[4]D6 Gallon Forecast'!L66</f>
        <v>161820889</v>
      </c>
      <c r="M85" s="35">
        <f>'[4]D4 Gallon Forecast'!M73+'[4]D4 Gallon Forecast'!M89+'[4]D4 Gallon Forecast'!M105+'[4]D6 Gallon Forecast'!M66</f>
        <v>163828393</v>
      </c>
      <c r="N85" s="35">
        <f>'[4]D4 Gallon Forecast'!N73+'[4]D4 Gallon Forecast'!N89+'[4]D4 Gallon Forecast'!N105+'[4]D6 Gallon Forecast'!N66</f>
        <v>151651903</v>
      </c>
      <c r="O85" s="35">
        <f>'[4]D4 Gallon Forecast'!O73+'[4]D4 Gallon Forecast'!O89+'[4]D4 Gallon Forecast'!O105+'[4]D6 Gallon Forecast'!O66</f>
        <v>203013371</v>
      </c>
      <c r="P85" s="35">
        <f>'[4]D4 Gallon Forecast'!P73+'[4]D4 Gallon Forecast'!P89+'[4]D4 Gallon Forecast'!P105+'[4]D6 Gallon Forecast'!P66</f>
        <v>178180167</v>
      </c>
      <c r="Q85" s="36">
        <f>'[4]D4 Gallon Forecast'!Q73+'[4]D4 Gallon Forecast'!Q89+'[4]D4 Gallon Forecast'!Q105+'[4]D6 Gallon Forecast'!Q66</f>
        <v>163752760.37751266</v>
      </c>
      <c r="R85" s="36">
        <f>'[4]D4 Gallon Forecast'!R73+'[4]D4 Gallon Forecast'!R89+'[4]D4 Gallon Forecast'!R105+'[4]D6 Gallon Forecast'!R66</f>
        <v>144310341.59647697</v>
      </c>
      <c r="S85" s="36">
        <f>'[4]D4 Gallon Forecast'!S73+'[4]D4 Gallon Forecast'!S89+'[4]D4 Gallon Forecast'!S105+'[4]D6 Gallon Forecast'!S66</f>
        <v>146412828.23341778</v>
      </c>
      <c r="T85" s="36">
        <f>'[4]D4 Gallon Forecast'!T73+'[4]D4 Gallon Forecast'!T89+'[4]D4 Gallon Forecast'!T105+'[4]D6 Gallon Forecast'!T66</f>
        <v>122866263.18673673</v>
      </c>
      <c r="U85" s="36">
        <f>'[4]D4 Gallon Forecast'!U73+'[4]D4 Gallon Forecast'!U89+'[4]D4 Gallon Forecast'!U105+'[4]D6 Gallon Forecast'!U66</f>
        <v>136608941.89750066</v>
      </c>
      <c r="V85" s="36">
        <f>'[4]D4 Gallon Forecast'!V73+'[4]D4 Gallon Forecast'!V89+'[4]D4 Gallon Forecast'!V105+'[4]D6 Gallon Forecast'!V66</f>
        <v>138977772.56305495</v>
      </c>
      <c r="W85" s="36">
        <f>'[4]D4 Gallon Forecast'!W73+'[4]D4 Gallon Forecast'!W89+'[4]D4 Gallon Forecast'!W105+'[4]D6 Gallon Forecast'!W66</f>
        <v>137276740.89320797</v>
      </c>
      <c r="X85" s="36">
        <f>'[4]D4 Gallon Forecast'!X73+'[4]D4 Gallon Forecast'!X89+'[4]D4 Gallon Forecast'!X105+'[4]D6 Gallon Forecast'!X66</f>
        <v>142829032.17949891</v>
      </c>
      <c r="Y85" s="36">
        <f>'[4]D4 Gallon Forecast'!Y73+'[4]D4 Gallon Forecast'!Y89+'[4]D4 Gallon Forecast'!Y105+'[4]D6 Gallon Forecast'!Y66</f>
        <v>134226583.70081514</v>
      </c>
      <c r="Z85" s="36">
        <f>'[4]D4 Gallon Forecast'!Z73+'[4]D4 Gallon Forecast'!Z89+'[4]D4 Gallon Forecast'!Z105+'[4]D6 Gallon Forecast'!Z66</f>
        <v>130806160.4278404</v>
      </c>
      <c r="AA85" s="36">
        <f>'[4]D4 Gallon Forecast'!AA73+'[4]D4 Gallon Forecast'!AA89+'[4]D4 Gallon Forecast'!AA105+'[4]D6 Gallon Forecast'!AA66</f>
        <v>125092056.17142376</v>
      </c>
      <c r="AB85" s="36">
        <f>'[4]D4 Gallon Forecast'!AB73+'[4]D4 Gallon Forecast'!AB89+'[4]D4 Gallon Forecast'!AB105+'[4]D6 Gallon Forecast'!AB66</f>
        <v>104555146.77552737</v>
      </c>
      <c r="AC85" s="36">
        <f>'[4]D4 Gallon Forecast'!AC73+'[4]D4 Gallon Forecast'!AC89+'[4]D4 Gallon Forecast'!AC105+'[4]D6 Gallon Forecast'!AC66</f>
        <v>85164663.415532306</v>
      </c>
      <c r="AD85" s="36">
        <f>'[4]D4 Gallon Forecast'!AD73+'[4]D4 Gallon Forecast'!AD89+'[4]D4 Gallon Forecast'!AD105+'[4]D6 Gallon Forecast'!AD66</f>
        <v>82132249.515004531</v>
      </c>
      <c r="AE85" s="36">
        <f>'[4]D4 Gallon Forecast'!AE73+'[4]D4 Gallon Forecast'!AE89+'[4]D4 Gallon Forecast'!AE105+'[4]D6 Gallon Forecast'!AE66</f>
        <v>68293933.155161917</v>
      </c>
      <c r="AF85" s="36">
        <f>'[4]D4 Gallon Forecast'!AF73+'[4]D4 Gallon Forecast'!AF89+'[4]D4 Gallon Forecast'!AF105+'[4]D6 Gallon Forecast'!AF66</f>
        <v>43393859.178082325</v>
      </c>
      <c r="AG85" s="36">
        <f>'[4]D4 Gallon Forecast'!AG73+'[4]D4 Gallon Forecast'!AG89+'[4]D4 Gallon Forecast'!AG105+'[4]D6 Gallon Forecast'!AG66</f>
        <v>47416088.174137861</v>
      </c>
      <c r="AH85" s="36">
        <f>'[4]D4 Gallon Forecast'!AH73+'[4]D4 Gallon Forecast'!AH89+'[4]D4 Gallon Forecast'!AH105+'[4]D6 Gallon Forecast'!AH66</f>
        <v>46790633.539219573</v>
      </c>
      <c r="AI85" s="36">
        <f>'[4]D4 Gallon Forecast'!AI73+'[4]D4 Gallon Forecast'!AI89+'[4]D4 Gallon Forecast'!AI105+'[4]D6 Gallon Forecast'!AI66</f>
        <v>39802518.60520529</v>
      </c>
      <c r="AJ85" s="36">
        <f>'[4]D4 Gallon Forecast'!AJ73+'[4]D4 Gallon Forecast'!AJ89+'[4]D4 Gallon Forecast'!AJ105+'[4]D6 Gallon Forecast'!AJ66</f>
        <v>40174243.884465635</v>
      </c>
      <c r="AK85" s="36">
        <f>'[4]D4 Gallon Forecast'!AK73+'[4]D4 Gallon Forecast'!AK89+'[4]D4 Gallon Forecast'!AK105+'[4]D6 Gallon Forecast'!AK66</f>
        <v>40303522.970325723</v>
      </c>
      <c r="AL85" s="36">
        <f>'[4]D4 Gallon Forecast'!AL73+'[4]D4 Gallon Forecast'!AL89+'[4]D4 Gallon Forecast'!AL105+'[4]D6 Gallon Forecast'!AL66</f>
        <v>40193917.960114278</v>
      </c>
      <c r="AM85" s="36">
        <f>'[4]D4 Gallon Forecast'!AM73+'[4]D4 Gallon Forecast'!AM89+'[4]D4 Gallon Forecast'!AM105+'[4]D6 Gallon Forecast'!AM66</f>
        <v>40193072.687247306</v>
      </c>
      <c r="AN85" s="36">
        <f>'[4]D4 Gallon Forecast'!AN73+'[4]D4 Gallon Forecast'!AN89+'[4]D4 Gallon Forecast'!AN105+'[4]D6 Gallon Forecast'!AN66</f>
        <v>40782450.458643466</v>
      </c>
      <c r="AO85" s="36">
        <f>'[4]D4 Gallon Forecast'!AO73+'[4]D4 Gallon Forecast'!AO89+'[4]D4 Gallon Forecast'!AO105+'[4]D6 Gallon Forecast'!AO66</f>
        <v>41400603.2976394</v>
      </c>
      <c r="AP85" s="36">
        <f>'[4]D4 Gallon Forecast'!AP73+'[4]D4 Gallon Forecast'!AP89+'[4]D4 Gallon Forecast'!AP105+'[4]D6 Gallon Forecast'!AP66</f>
        <v>42167227.390531518</v>
      </c>
      <c r="AQ85" s="36"/>
      <c r="AR85" s="35"/>
    </row>
    <row r="86" spans="1:44" x14ac:dyDescent="0.2">
      <c r="A86" s="32" t="s">
        <v>74</v>
      </c>
      <c r="B86" s="35">
        <f>'[4]D4 Gallon Forecast'!B74+'[4]D4 Gallon Forecast'!B90+'[4]D4 Gallon Forecast'!B106+'[4]D6 Gallon Forecast'!B67</f>
        <v>637838</v>
      </c>
      <c r="C86" s="35">
        <f>'[4]D4 Gallon Forecast'!C74+'[4]D4 Gallon Forecast'!C90+'[4]D4 Gallon Forecast'!C106+'[4]D6 Gallon Forecast'!C67</f>
        <v>81471835</v>
      </c>
      <c r="D86" s="35">
        <f>'[4]D4 Gallon Forecast'!D74+'[4]D4 Gallon Forecast'!D90+'[4]D4 Gallon Forecast'!D106+'[4]D6 Gallon Forecast'!D67</f>
        <v>112491179</v>
      </c>
      <c r="E86" s="35">
        <f>'[4]D4 Gallon Forecast'!E74+'[4]D4 Gallon Forecast'!E90+'[4]D4 Gallon Forecast'!E106+'[4]D6 Gallon Forecast'!E67</f>
        <v>132219750</v>
      </c>
      <c r="F86" s="35">
        <f>'[4]D4 Gallon Forecast'!F74+'[4]D4 Gallon Forecast'!F90+'[4]D4 Gallon Forecast'!F106+'[4]D6 Gallon Forecast'!F67</f>
        <v>118789044</v>
      </c>
      <c r="G86" s="35">
        <f>'[4]D4 Gallon Forecast'!G74+'[4]D4 Gallon Forecast'!G90+'[4]D4 Gallon Forecast'!G106+'[4]D6 Gallon Forecast'!G67</f>
        <v>147553322</v>
      </c>
      <c r="H86" s="35">
        <f>'[4]D4 Gallon Forecast'!H74+'[4]D4 Gallon Forecast'!H90+'[4]D4 Gallon Forecast'!H106+'[4]D6 Gallon Forecast'!H67</f>
        <v>199536304</v>
      </c>
      <c r="I86" s="35">
        <f>'[4]D4 Gallon Forecast'!I74+'[4]D4 Gallon Forecast'!I90+'[4]D4 Gallon Forecast'!I106+'[4]D6 Gallon Forecast'!I67</f>
        <v>228773847</v>
      </c>
      <c r="J86" s="35">
        <f>'[4]D4 Gallon Forecast'!J74+'[4]D4 Gallon Forecast'!J90+'[4]D4 Gallon Forecast'!J106+'[4]D6 Gallon Forecast'!J67</f>
        <v>172782518</v>
      </c>
      <c r="K86" s="35">
        <f>'[4]D4 Gallon Forecast'!K74+'[4]D4 Gallon Forecast'!K90+'[4]D4 Gallon Forecast'!K106+'[4]D6 Gallon Forecast'!K67</f>
        <v>163491563</v>
      </c>
      <c r="L86" s="35">
        <f>'[4]D4 Gallon Forecast'!L74+'[4]D4 Gallon Forecast'!L90+'[4]D4 Gallon Forecast'!L106+'[4]D6 Gallon Forecast'!L67</f>
        <v>182268531</v>
      </c>
      <c r="M86" s="35">
        <f>'[4]D4 Gallon Forecast'!M74+'[4]D4 Gallon Forecast'!M90+'[4]D4 Gallon Forecast'!M106+'[4]D6 Gallon Forecast'!M67</f>
        <v>172045534</v>
      </c>
      <c r="N86" s="35">
        <f>'[4]D4 Gallon Forecast'!N74+'[4]D4 Gallon Forecast'!N90+'[4]D4 Gallon Forecast'!N106+'[4]D6 Gallon Forecast'!N67</f>
        <v>162170057</v>
      </c>
      <c r="O86" s="35">
        <f>'[4]D4 Gallon Forecast'!O74+'[4]D4 Gallon Forecast'!O90+'[4]D4 Gallon Forecast'!O106+'[4]D6 Gallon Forecast'!O67</f>
        <v>194186168</v>
      </c>
      <c r="P86" s="35">
        <f>'[4]D4 Gallon Forecast'!P74+'[4]D4 Gallon Forecast'!P90+'[4]D4 Gallon Forecast'!P106+'[4]D6 Gallon Forecast'!P67</f>
        <v>171320567</v>
      </c>
      <c r="Q86" s="36">
        <f>'[4]D4 Gallon Forecast'!Q74+'[4]D4 Gallon Forecast'!Q90+'[4]D4 Gallon Forecast'!Q106+'[4]D6 Gallon Forecast'!Q67</f>
        <v>168417761.31579515</v>
      </c>
      <c r="R86" s="36">
        <f>'[4]D4 Gallon Forecast'!R74+'[4]D4 Gallon Forecast'!R90+'[4]D4 Gallon Forecast'!R106+'[4]D6 Gallon Forecast'!R67</f>
        <v>144546902.41702604</v>
      </c>
      <c r="S86" s="36">
        <f>'[4]D4 Gallon Forecast'!S74+'[4]D4 Gallon Forecast'!S90+'[4]D4 Gallon Forecast'!S106+'[4]D6 Gallon Forecast'!S67</f>
        <v>145388849.07179502</v>
      </c>
      <c r="T86" s="36">
        <f>'[4]D4 Gallon Forecast'!T74+'[4]D4 Gallon Forecast'!T90+'[4]D4 Gallon Forecast'!T106+'[4]D6 Gallon Forecast'!T67</f>
        <v>121024342.88442855</v>
      </c>
      <c r="U86" s="36">
        <f>'[4]D4 Gallon Forecast'!U74+'[4]D4 Gallon Forecast'!U90+'[4]D4 Gallon Forecast'!U106+'[4]D6 Gallon Forecast'!U67</f>
        <v>135554374.27668154</v>
      </c>
      <c r="V86" s="36">
        <f>'[4]D4 Gallon Forecast'!V74+'[4]D4 Gallon Forecast'!V90+'[4]D4 Gallon Forecast'!V106+'[4]D6 Gallon Forecast'!V67</f>
        <v>139262890.8035309</v>
      </c>
      <c r="W86" s="36">
        <f>'[4]D4 Gallon Forecast'!W74+'[4]D4 Gallon Forecast'!W90+'[4]D4 Gallon Forecast'!W106+'[4]D6 Gallon Forecast'!W67</f>
        <v>136614736.00365818</v>
      </c>
      <c r="X86" s="36">
        <f>'[4]D4 Gallon Forecast'!X74+'[4]D4 Gallon Forecast'!X90+'[4]D4 Gallon Forecast'!X106+'[4]D6 Gallon Forecast'!X67</f>
        <v>141592478.3716197</v>
      </c>
      <c r="Y86" s="36">
        <f>'[4]D4 Gallon Forecast'!Y74+'[4]D4 Gallon Forecast'!Y90+'[4]D4 Gallon Forecast'!Y106+'[4]D6 Gallon Forecast'!Y67</f>
        <v>133054414.71390592</v>
      </c>
      <c r="Z86" s="36">
        <f>'[4]D4 Gallon Forecast'!Z74+'[4]D4 Gallon Forecast'!Z90+'[4]D4 Gallon Forecast'!Z106+'[4]D6 Gallon Forecast'!Z67</f>
        <v>129912262.52336562</v>
      </c>
      <c r="AA86" s="36">
        <f>'[4]D4 Gallon Forecast'!AA74+'[4]D4 Gallon Forecast'!AA90+'[4]D4 Gallon Forecast'!AA106+'[4]D6 Gallon Forecast'!AA67</f>
        <v>124261617.74995394</v>
      </c>
      <c r="AB86" s="36">
        <f>'[4]D4 Gallon Forecast'!AB74+'[4]D4 Gallon Forecast'!AB90+'[4]D4 Gallon Forecast'!AB106+'[4]D6 Gallon Forecast'!AB67</f>
        <v>103734593.38391</v>
      </c>
      <c r="AC86" s="36">
        <f>'[4]D4 Gallon Forecast'!AC74+'[4]D4 Gallon Forecast'!AC90+'[4]D4 Gallon Forecast'!AC106+'[4]D6 Gallon Forecast'!AC67</f>
        <v>84575351.127071962</v>
      </c>
      <c r="AD86" s="36">
        <f>'[4]D4 Gallon Forecast'!AD74+'[4]D4 Gallon Forecast'!AD90+'[4]D4 Gallon Forecast'!AD106+'[4]D6 Gallon Forecast'!AD67</f>
        <v>81449286.404325932</v>
      </c>
      <c r="AE86" s="36">
        <f>'[4]D4 Gallon Forecast'!AE74+'[4]D4 Gallon Forecast'!AE90+'[4]D4 Gallon Forecast'!AE106+'[4]D6 Gallon Forecast'!AE67</f>
        <v>67812722.30399245</v>
      </c>
      <c r="AF86" s="36">
        <f>'[4]D4 Gallon Forecast'!AF74+'[4]D4 Gallon Forecast'!AF90+'[4]D4 Gallon Forecast'!AF106+'[4]D6 Gallon Forecast'!AF67</f>
        <v>43457384.694367819</v>
      </c>
      <c r="AG86" s="36">
        <f>'[4]D4 Gallon Forecast'!AG74+'[4]D4 Gallon Forecast'!AG90+'[4]D4 Gallon Forecast'!AG106+'[4]D6 Gallon Forecast'!AG67</f>
        <v>47379794.89445933</v>
      </c>
      <c r="AH86" s="36">
        <f>'[4]D4 Gallon Forecast'!AH74+'[4]D4 Gallon Forecast'!AH90+'[4]D4 Gallon Forecast'!AH106+'[4]D6 Gallon Forecast'!AH67</f>
        <v>46782274.061584793</v>
      </c>
      <c r="AI86" s="36">
        <f>'[4]D4 Gallon Forecast'!AI74+'[4]D4 Gallon Forecast'!AI90+'[4]D4 Gallon Forecast'!AI106+'[4]D6 Gallon Forecast'!AI67</f>
        <v>39974441.113760136</v>
      </c>
      <c r="AJ86" s="36">
        <f>'[4]D4 Gallon Forecast'!AJ74+'[4]D4 Gallon Forecast'!AJ90+'[4]D4 Gallon Forecast'!AJ106+'[4]D6 Gallon Forecast'!AJ67</f>
        <v>40347351.910673879</v>
      </c>
      <c r="AK86" s="36">
        <f>'[4]D4 Gallon Forecast'!AK74+'[4]D4 Gallon Forecast'!AK90+'[4]D4 Gallon Forecast'!AK106+'[4]D6 Gallon Forecast'!AK67</f>
        <v>40471358.870634064</v>
      </c>
      <c r="AL86" s="36">
        <f>'[4]D4 Gallon Forecast'!AL74+'[4]D4 Gallon Forecast'!AL90+'[4]D4 Gallon Forecast'!AL106+'[4]D6 Gallon Forecast'!AL67</f>
        <v>40361490.067506373</v>
      </c>
      <c r="AM86" s="36">
        <f>'[4]D4 Gallon Forecast'!AM74+'[4]D4 Gallon Forecast'!AM90+'[4]D4 Gallon Forecast'!AM106+'[4]D6 Gallon Forecast'!AM67</f>
        <v>40356106.897516087</v>
      </c>
      <c r="AN86" s="36">
        <f>'[4]D4 Gallon Forecast'!AN74+'[4]D4 Gallon Forecast'!AN90+'[4]D4 Gallon Forecast'!AN106+'[4]D6 Gallon Forecast'!AN67</f>
        <v>40944428.35882774</v>
      </c>
      <c r="AO86" s="36">
        <f>'[4]D4 Gallon Forecast'!AO74+'[4]D4 Gallon Forecast'!AO90+'[4]D4 Gallon Forecast'!AO106+'[4]D6 Gallon Forecast'!AO67</f>
        <v>41560044.198770903</v>
      </c>
      <c r="AP86" s="36">
        <f>'[4]D4 Gallon Forecast'!AP74+'[4]D4 Gallon Forecast'!AP90+'[4]D4 Gallon Forecast'!AP106+'[4]D6 Gallon Forecast'!AP67</f>
        <v>42312173.984750412</v>
      </c>
      <c r="AQ86" s="36"/>
      <c r="AR86" s="35"/>
    </row>
    <row r="87" spans="1:44" x14ac:dyDescent="0.2">
      <c r="A87" s="32" t="s">
        <v>75</v>
      </c>
      <c r="B87" s="35">
        <f>'[4]D4 Gallon Forecast'!B75+'[4]D4 Gallon Forecast'!B91+'[4]D4 Gallon Forecast'!B107+'[4]D6 Gallon Forecast'!B68</f>
        <v>35432267</v>
      </c>
      <c r="C87" s="35">
        <f>'[4]D4 Gallon Forecast'!C75+'[4]D4 Gallon Forecast'!C91+'[4]D4 Gallon Forecast'!C107+'[4]D6 Gallon Forecast'!C68</f>
        <v>89398225</v>
      </c>
      <c r="D87" s="35">
        <f>'[4]D4 Gallon Forecast'!D75+'[4]D4 Gallon Forecast'!D91+'[4]D4 Gallon Forecast'!D107+'[4]D6 Gallon Forecast'!D68</f>
        <v>99992886</v>
      </c>
      <c r="E87" s="35">
        <f>'[4]D4 Gallon Forecast'!E75+'[4]D4 Gallon Forecast'!E91+'[4]D4 Gallon Forecast'!E107+'[4]D6 Gallon Forecast'!E68</f>
        <v>134887979</v>
      </c>
      <c r="F87" s="35">
        <f>'[4]D4 Gallon Forecast'!F75+'[4]D4 Gallon Forecast'!F91+'[4]D4 Gallon Forecast'!F107+'[4]D6 Gallon Forecast'!F68</f>
        <v>144878556</v>
      </c>
      <c r="G87" s="35">
        <f>'[4]D4 Gallon Forecast'!G75+'[4]D4 Gallon Forecast'!G91+'[4]D4 Gallon Forecast'!G107+'[4]D6 Gallon Forecast'!G68</f>
        <v>166243503</v>
      </c>
      <c r="H87" s="35">
        <f>'[4]D4 Gallon Forecast'!H75+'[4]D4 Gallon Forecast'!H91+'[4]D4 Gallon Forecast'!H107+'[4]D6 Gallon Forecast'!H68</f>
        <v>164634114</v>
      </c>
      <c r="I87" s="35">
        <f>'[4]D4 Gallon Forecast'!I75+'[4]D4 Gallon Forecast'!I91+'[4]D4 Gallon Forecast'!I107+'[4]D6 Gallon Forecast'!I68</f>
        <v>204921202</v>
      </c>
      <c r="J87" s="35">
        <f>'[4]D4 Gallon Forecast'!J75+'[4]D4 Gallon Forecast'!J91+'[4]D4 Gallon Forecast'!J107+'[4]D6 Gallon Forecast'!J68</f>
        <v>175091203</v>
      </c>
      <c r="K87" s="35">
        <f>'[4]D4 Gallon Forecast'!K75+'[4]D4 Gallon Forecast'!K91+'[4]D4 Gallon Forecast'!K107+'[4]D6 Gallon Forecast'!K68</f>
        <v>185779056</v>
      </c>
      <c r="L87" s="35">
        <f>'[4]D4 Gallon Forecast'!L75+'[4]D4 Gallon Forecast'!L91+'[4]D4 Gallon Forecast'!L107+'[4]D6 Gallon Forecast'!L68</f>
        <v>182733358</v>
      </c>
      <c r="M87" s="35">
        <f>'[4]D4 Gallon Forecast'!M75+'[4]D4 Gallon Forecast'!M91+'[4]D4 Gallon Forecast'!M107+'[4]D6 Gallon Forecast'!M68</f>
        <v>162272680</v>
      </c>
      <c r="N87" s="35">
        <f>'[4]D4 Gallon Forecast'!N75+'[4]D4 Gallon Forecast'!N91+'[4]D4 Gallon Forecast'!N107+'[4]D6 Gallon Forecast'!N68</f>
        <v>146261573</v>
      </c>
      <c r="O87" s="35">
        <f>'[4]D4 Gallon Forecast'!O75+'[4]D4 Gallon Forecast'!O91+'[4]D4 Gallon Forecast'!O107+'[4]D6 Gallon Forecast'!O68</f>
        <v>172912484</v>
      </c>
      <c r="P87" s="35">
        <f>'[4]D4 Gallon Forecast'!P75+'[4]D4 Gallon Forecast'!P91+'[4]D4 Gallon Forecast'!P107+'[4]D6 Gallon Forecast'!P68</f>
        <v>168413793</v>
      </c>
      <c r="Q87" s="36">
        <f>'[4]D4 Gallon Forecast'!Q75+'[4]D4 Gallon Forecast'!Q91+'[4]D4 Gallon Forecast'!Q107+'[4]D6 Gallon Forecast'!Q68</f>
        <v>161006258.6196827</v>
      </c>
      <c r="R87" s="36">
        <f>'[4]D4 Gallon Forecast'!R75+'[4]D4 Gallon Forecast'!R91+'[4]D4 Gallon Forecast'!R107+'[4]D6 Gallon Forecast'!R68</f>
        <v>137169005.29176277</v>
      </c>
      <c r="S87" s="36">
        <f>'[4]D4 Gallon Forecast'!S75+'[4]D4 Gallon Forecast'!S91+'[4]D4 Gallon Forecast'!S107+'[4]D6 Gallon Forecast'!S68</f>
        <v>138216621.34464929</v>
      </c>
      <c r="T87" s="36">
        <f>'[4]D4 Gallon Forecast'!T75+'[4]D4 Gallon Forecast'!T91+'[4]D4 Gallon Forecast'!T107+'[4]D6 Gallon Forecast'!T68</f>
        <v>114673337.19466631</v>
      </c>
      <c r="U87" s="36">
        <f>'[4]D4 Gallon Forecast'!U75+'[4]D4 Gallon Forecast'!U91+'[4]D4 Gallon Forecast'!U107+'[4]D6 Gallon Forecast'!U68</f>
        <v>130471687.78009397</v>
      </c>
      <c r="V87" s="36">
        <f>'[4]D4 Gallon Forecast'!V75+'[4]D4 Gallon Forecast'!V91+'[4]D4 Gallon Forecast'!V107+'[4]D6 Gallon Forecast'!V68</f>
        <v>132635882.38752246</v>
      </c>
      <c r="W87" s="36">
        <f>'[4]D4 Gallon Forecast'!W75+'[4]D4 Gallon Forecast'!W91+'[4]D4 Gallon Forecast'!W107+'[4]D6 Gallon Forecast'!W68</f>
        <v>130151956.67314112</v>
      </c>
      <c r="X87" s="36">
        <f>'[4]D4 Gallon Forecast'!X75+'[4]D4 Gallon Forecast'!X91+'[4]D4 Gallon Forecast'!X107+'[4]D6 Gallon Forecast'!X68</f>
        <v>135876638.24936429</v>
      </c>
      <c r="Y87" s="36">
        <f>'[4]D4 Gallon Forecast'!Y75+'[4]D4 Gallon Forecast'!Y91+'[4]D4 Gallon Forecast'!Y107+'[4]D6 Gallon Forecast'!Y68</f>
        <v>127871254.49392059</v>
      </c>
      <c r="Z87" s="36">
        <f>'[4]D4 Gallon Forecast'!Z75+'[4]D4 Gallon Forecast'!Z91+'[4]D4 Gallon Forecast'!Z107+'[4]D6 Gallon Forecast'!Z68</f>
        <v>124914911.70396419</v>
      </c>
      <c r="AA87" s="36">
        <f>'[4]D4 Gallon Forecast'!AA75+'[4]D4 Gallon Forecast'!AA91+'[4]D4 Gallon Forecast'!AA107+'[4]D6 Gallon Forecast'!AA68</f>
        <v>119462581.28329244</v>
      </c>
      <c r="AB87" s="36">
        <f>'[4]D4 Gallon Forecast'!AB75+'[4]D4 Gallon Forecast'!AB91+'[4]D4 Gallon Forecast'!AB107+'[4]D6 Gallon Forecast'!AB68</f>
        <v>99825851.849011511</v>
      </c>
      <c r="AC87" s="36">
        <f>'[4]D4 Gallon Forecast'!AC75+'[4]D4 Gallon Forecast'!AC91+'[4]D4 Gallon Forecast'!AC107+'[4]D6 Gallon Forecast'!AC68</f>
        <v>81340032.433850765</v>
      </c>
      <c r="AD87" s="36">
        <f>'[4]D4 Gallon Forecast'!AD75+'[4]D4 Gallon Forecast'!AD91+'[4]D4 Gallon Forecast'!AD107+'[4]D6 Gallon Forecast'!AD68</f>
        <v>78752732.991144225</v>
      </c>
      <c r="AE87" s="36">
        <f>'[4]D4 Gallon Forecast'!AE75+'[4]D4 Gallon Forecast'!AE91+'[4]D4 Gallon Forecast'!AE107+'[4]D6 Gallon Forecast'!AE68</f>
        <v>65565448.130591564</v>
      </c>
      <c r="AF87" s="36">
        <f>'[4]D4 Gallon Forecast'!AF75+'[4]D4 Gallon Forecast'!AF91+'[4]D4 Gallon Forecast'!AF107+'[4]D6 Gallon Forecast'!AF68</f>
        <v>41349939.208846487</v>
      </c>
      <c r="AG87" s="36">
        <f>'[4]D4 Gallon Forecast'!AG75+'[4]D4 Gallon Forecast'!AG91+'[4]D4 Gallon Forecast'!AG107+'[4]D6 Gallon Forecast'!AG68</f>
        <v>45250228.292136885</v>
      </c>
      <c r="AH87" s="36">
        <f>'[4]D4 Gallon Forecast'!AH75+'[4]D4 Gallon Forecast'!AH91+'[4]D4 Gallon Forecast'!AH107+'[4]D6 Gallon Forecast'!AH68</f>
        <v>44664912.667905062</v>
      </c>
      <c r="AI87" s="36">
        <f>'[4]D4 Gallon Forecast'!AI75+'[4]D4 Gallon Forecast'!AI91+'[4]D4 Gallon Forecast'!AI107+'[4]D6 Gallon Forecast'!AI68</f>
        <v>37903377.302126274</v>
      </c>
      <c r="AJ87" s="36">
        <f>'[4]D4 Gallon Forecast'!AJ75+'[4]D4 Gallon Forecast'!AJ91+'[4]D4 Gallon Forecast'!AJ107+'[4]D6 Gallon Forecast'!AJ68</f>
        <v>38272763.389807433</v>
      </c>
      <c r="AK87" s="36">
        <f>'[4]D4 Gallon Forecast'!AK75+'[4]D4 Gallon Forecast'!AK91+'[4]D4 Gallon Forecast'!AK107+'[4]D6 Gallon Forecast'!AK68</f>
        <v>38394681.968292102</v>
      </c>
      <c r="AL87" s="36">
        <f>'[4]D4 Gallon Forecast'!AL75+'[4]D4 Gallon Forecast'!AL91+'[4]D4 Gallon Forecast'!AL107+'[4]D6 Gallon Forecast'!AL68</f>
        <v>38286240.10294126</v>
      </c>
      <c r="AM87" s="36">
        <f>'[4]D4 Gallon Forecast'!AM75+'[4]D4 Gallon Forecast'!AM91+'[4]D4 Gallon Forecast'!AM107+'[4]D6 Gallon Forecast'!AM68</f>
        <v>38280928.607287802</v>
      </c>
      <c r="AN87" s="36">
        <f>'[4]D4 Gallon Forecast'!AN75+'[4]D4 Gallon Forecast'!AN91+'[4]D4 Gallon Forecast'!AN107+'[4]D6 Gallon Forecast'!AN68</f>
        <v>38867014.816012718</v>
      </c>
      <c r="AO87" s="36">
        <f>'[4]D4 Gallon Forecast'!AO75+'[4]D4 Gallon Forecast'!AO91+'[4]D4 Gallon Forecast'!AO107+'[4]D6 Gallon Forecast'!AO68</f>
        <v>39480046.954392642</v>
      </c>
      <c r="AP87" s="36">
        <f>'[4]D4 Gallon Forecast'!AP75+'[4]D4 Gallon Forecast'!AP91+'[4]D4 Gallon Forecast'!AP107+'[4]D6 Gallon Forecast'!AP68</f>
        <v>40227867.351753928</v>
      </c>
      <c r="AQ87" s="36"/>
      <c r="AR87" s="35"/>
    </row>
    <row r="88" spans="1:44" x14ac:dyDescent="0.2">
      <c r="A88" s="32" t="s">
        <v>76</v>
      </c>
      <c r="B88" s="35">
        <f>'[4]D4 Gallon Forecast'!B76+'[4]D4 Gallon Forecast'!B92+'[4]D4 Gallon Forecast'!B108+'[4]D6 Gallon Forecast'!B69</f>
        <v>31148672</v>
      </c>
      <c r="C88" s="35">
        <f>'[4]D4 Gallon Forecast'!C76+'[4]D4 Gallon Forecast'!C92+'[4]D4 Gallon Forecast'!C108+'[4]D6 Gallon Forecast'!C69</f>
        <v>103648360</v>
      </c>
      <c r="D88" s="35">
        <f>'[4]D4 Gallon Forecast'!D76+'[4]D4 Gallon Forecast'!D92+'[4]D4 Gallon Forecast'!D108+'[4]D6 Gallon Forecast'!D69</f>
        <v>99653767</v>
      </c>
      <c r="E88" s="35">
        <f>'[4]D4 Gallon Forecast'!E76+'[4]D4 Gallon Forecast'!E92+'[4]D4 Gallon Forecast'!E108+'[4]D6 Gallon Forecast'!E69</f>
        <v>146109349</v>
      </c>
      <c r="F88" s="35">
        <f>'[4]D4 Gallon Forecast'!F76+'[4]D4 Gallon Forecast'!F92+'[4]D4 Gallon Forecast'!F108+'[4]D6 Gallon Forecast'!F69</f>
        <v>135711486</v>
      </c>
      <c r="G88" s="35">
        <f>'[4]D4 Gallon Forecast'!G76+'[4]D4 Gallon Forecast'!G92+'[4]D4 Gallon Forecast'!G108+'[4]D6 Gallon Forecast'!G69</f>
        <v>156275622</v>
      </c>
      <c r="H88" s="35">
        <f>'[4]D4 Gallon Forecast'!H76+'[4]D4 Gallon Forecast'!H92+'[4]D4 Gallon Forecast'!H108+'[4]D6 Gallon Forecast'!H69</f>
        <v>223115751</v>
      </c>
      <c r="I88" s="35">
        <f>'[4]D4 Gallon Forecast'!I76+'[4]D4 Gallon Forecast'!I92+'[4]D4 Gallon Forecast'!I108+'[4]D6 Gallon Forecast'!I69</f>
        <v>209577776</v>
      </c>
      <c r="J88" s="35">
        <f>'[4]D4 Gallon Forecast'!J76+'[4]D4 Gallon Forecast'!J92+'[4]D4 Gallon Forecast'!J108+'[4]D6 Gallon Forecast'!J69</f>
        <v>193652290</v>
      </c>
      <c r="K88" s="35">
        <f>'[4]D4 Gallon Forecast'!K76+'[4]D4 Gallon Forecast'!K92+'[4]D4 Gallon Forecast'!K108+'[4]D6 Gallon Forecast'!K69</f>
        <v>162420863</v>
      </c>
      <c r="L88" s="35">
        <f>'[4]D4 Gallon Forecast'!L76+'[4]D4 Gallon Forecast'!L92+'[4]D4 Gallon Forecast'!L108+'[4]D6 Gallon Forecast'!L69</f>
        <v>187845121</v>
      </c>
      <c r="M88" s="35">
        <f>'[4]D4 Gallon Forecast'!M76+'[4]D4 Gallon Forecast'!M92+'[4]D4 Gallon Forecast'!M108+'[4]D6 Gallon Forecast'!M69</f>
        <v>165630384</v>
      </c>
      <c r="N88" s="35">
        <f>'[4]D4 Gallon Forecast'!N76+'[4]D4 Gallon Forecast'!N92+'[4]D4 Gallon Forecast'!N108+'[4]D6 Gallon Forecast'!N69</f>
        <v>167103111</v>
      </c>
      <c r="O88" s="35">
        <f>'[4]D4 Gallon Forecast'!O76+'[4]D4 Gallon Forecast'!O92+'[4]D4 Gallon Forecast'!O108+'[4]D6 Gallon Forecast'!O69</f>
        <v>196585405</v>
      </c>
      <c r="P88" s="35">
        <f>'[4]D4 Gallon Forecast'!P76+'[4]D4 Gallon Forecast'!P92+'[4]D4 Gallon Forecast'!P108+'[4]D6 Gallon Forecast'!P69</f>
        <v>164221312</v>
      </c>
      <c r="Q88" s="36">
        <f>'[4]D4 Gallon Forecast'!Q76+'[4]D4 Gallon Forecast'!Q92+'[4]D4 Gallon Forecast'!Q108+'[4]D6 Gallon Forecast'!Q69</f>
        <v>169000157.69830978</v>
      </c>
      <c r="R88" s="36">
        <f>'[4]D4 Gallon Forecast'!R76+'[4]D4 Gallon Forecast'!R92+'[4]D4 Gallon Forecast'!R108+'[4]D6 Gallon Forecast'!R69</f>
        <v>144972363.64379805</v>
      </c>
      <c r="S88" s="36">
        <f>'[4]D4 Gallon Forecast'!S76+'[4]D4 Gallon Forecast'!S92+'[4]D4 Gallon Forecast'!S108+'[4]D6 Gallon Forecast'!S69</f>
        <v>146765905.30030289</v>
      </c>
      <c r="T88" s="36">
        <f>'[4]D4 Gallon Forecast'!T76+'[4]D4 Gallon Forecast'!T92+'[4]D4 Gallon Forecast'!T108+'[4]D6 Gallon Forecast'!T69</f>
        <v>120829761.35598384</v>
      </c>
      <c r="U88" s="36">
        <f>'[4]D4 Gallon Forecast'!U76+'[4]D4 Gallon Forecast'!U92+'[4]D4 Gallon Forecast'!U108+'[4]D6 Gallon Forecast'!U69</f>
        <v>134990197.59383392</v>
      </c>
      <c r="V88" s="36">
        <f>'[4]D4 Gallon Forecast'!V76+'[4]D4 Gallon Forecast'!V92+'[4]D4 Gallon Forecast'!V108+'[4]D6 Gallon Forecast'!V69</f>
        <v>139470204.17335248</v>
      </c>
      <c r="W88" s="36">
        <f>'[4]D4 Gallon Forecast'!W76+'[4]D4 Gallon Forecast'!W92+'[4]D4 Gallon Forecast'!W108+'[4]D6 Gallon Forecast'!W69</f>
        <v>136887638.91578224</v>
      </c>
      <c r="X88" s="36">
        <f>'[4]D4 Gallon Forecast'!X76+'[4]D4 Gallon Forecast'!X92+'[4]D4 Gallon Forecast'!X108+'[4]D6 Gallon Forecast'!X69</f>
        <v>142396525.0376654</v>
      </c>
      <c r="Y88" s="36">
        <f>'[4]D4 Gallon Forecast'!Y76+'[4]D4 Gallon Forecast'!Y92+'[4]D4 Gallon Forecast'!Y108+'[4]D6 Gallon Forecast'!Y69</f>
        <v>133670866.06031439</v>
      </c>
      <c r="Z88" s="36">
        <f>'[4]D4 Gallon Forecast'!Z76+'[4]D4 Gallon Forecast'!Z92+'[4]D4 Gallon Forecast'!Z108+'[4]D6 Gallon Forecast'!Z69</f>
        <v>130509543.85458183</v>
      </c>
      <c r="AA88" s="36">
        <f>'[4]D4 Gallon Forecast'!AA76+'[4]D4 Gallon Forecast'!AA92+'[4]D4 Gallon Forecast'!AA108+'[4]D6 Gallon Forecast'!AA69</f>
        <v>125044671.37849219</v>
      </c>
      <c r="AB88" s="36">
        <f>'[4]D4 Gallon Forecast'!AB76+'[4]D4 Gallon Forecast'!AB92+'[4]D4 Gallon Forecast'!AB108+'[4]D6 Gallon Forecast'!AB69</f>
        <v>104429122.39694628</v>
      </c>
      <c r="AC88" s="36">
        <f>'[4]D4 Gallon Forecast'!AC76+'[4]D4 Gallon Forecast'!AC92+'[4]D4 Gallon Forecast'!AC108+'[4]D6 Gallon Forecast'!AC69</f>
        <v>85085652.908124119</v>
      </c>
      <c r="AD88" s="36">
        <f>'[4]D4 Gallon Forecast'!AD76+'[4]D4 Gallon Forecast'!AD92+'[4]D4 Gallon Forecast'!AD108+'[4]D6 Gallon Forecast'!AD69</f>
        <v>82195354.3532058</v>
      </c>
      <c r="AE88" s="36">
        <f>'[4]D4 Gallon Forecast'!AE76+'[4]D4 Gallon Forecast'!AE92+'[4]D4 Gallon Forecast'!AE108+'[4]D6 Gallon Forecast'!AE69</f>
        <v>68447846.033156186</v>
      </c>
      <c r="AF88" s="36">
        <f>'[4]D4 Gallon Forecast'!AF76+'[4]D4 Gallon Forecast'!AF92+'[4]D4 Gallon Forecast'!AF108+'[4]D6 Gallon Forecast'!AF69</f>
        <v>43449474.588664748</v>
      </c>
      <c r="AG88" s="36">
        <f>'[4]D4 Gallon Forecast'!AG76+'[4]D4 Gallon Forecast'!AG92+'[4]D4 Gallon Forecast'!AG108+'[4]D6 Gallon Forecast'!AG69</f>
        <v>47472718.545479544</v>
      </c>
      <c r="AH88" s="36">
        <f>'[4]D4 Gallon Forecast'!AH76+'[4]D4 Gallon Forecast'!AH92+'[4]D4 Gallon Forecast'!AH108+'[4]D6 Gallon Forecast'!AH69</f>
        <v>46860935.393797725</v>
      </c>
      <c r="AI88" s="36">
        <f>'[4]D4 Gallon Forecast'!AI76+'[4]D4 Gallon Forecast'!AI92+'[4]D4 Gallon Forecast'!AI108+'[4]D6 Gallon Forecast'!AI69</f>
        <v>39874867.033161454</v>
      </c>
      <c r="AJ88" s="36">
        <f>'[4]D4 Gallon Forecast'!AJ76+'[4]D4 Gallon Forecast'!AJ92+'[4]D4 Gallon Forecast'!AJ108+'[4]D6 Gallon Forecast'!AJ69</f>
        <v>40260211.191168524</v>
      </c>
      <c r="AK88" s="36">
        <f>'[4]D4 Gallon Forecast'!AK76+'[4]D4 Gallon Forecast'!AK92+'[4]D4 Gallon Forecast'!AK108+'[4]D6 Gallon Forecast'!AK69</f>
        <v>40388033.104947247</v>
      </c>
      <c r="AL88" s="36">
        <f>'[4]D4 Gallon Forecast'!AL76+'[4]D4 Gallon Forecast'!AL92+'[4]D4 Gallon Forecast'!AL108+'[4]D6 Gallon Forecast'!AL69</f>
        <v>40274229.177455969</v>
      </c>
      <c r="AM88" s="36">
        <f>'[4]D4 Gallon Forecast'!AM76+'[4]D4 Gallon Forecast'!AM92+'[4]D4 Gallon Forecast'!AM108+'[4]D6 Gallon Forecast'!AM69</f>
        <v>40267656.092834257</v>
      </c>
      <c r="AN88" s="36">
        <f>'[4]D4 Gallon Forecast'!AN76+'[4]D4 Gallon Forecast'!AN92+'[4]D4 Gallon Forecast'!AN108+'[4]D6 Gallon Forecast'!AN69</f>
        <v>40873832.532915995</v>
      </c>
      <c r="AO88" s="36">
        <f>'[4]D4 Gallon Forecast'!AO76+'[4]D4 Gallon Forecast'!AO92+'[4]D4 Gallon Forecast'!AO108+'[4]D6 Gallon Forecast'!AO69</f>
        <v>41508124.004749306</v>
      </c>
      <c r="AP88" s="36">
        <f>'[4]D4 Gallon Forecast'!AP76+'[4]D4 Gallon Forecast'!AP92+'[4]D4 Gallon Forecast'!AP108+'[4]D6 Gallon Forecast'!AP69</f>
        <v>42280855.171454713</v>
      </c>
      <c r="AQ88" s="36"/>
      <c r="AR88" s="70"/>
    </row>
    <row r="89" spans="1:44" x14ac:dyDescent="0.2">
      <c r="A89" s="32" t="s">
        <v>77</v>
      </c>
      <c r="B89" s="35">
        <f>'[4]D4 Gallon Forecast'!B77+'[4]D4 Gallon Forecast'!B93+'[4]D4 Gallon Forecast'!B109+'[4]D6 Gallon Forecast'!B70</f>
        <v>36919404</v>
      </c>
      <c r="C89" s="35">
        <f>'[4]D4 Gallon Forecast'!C77+'[4]D4 Gallon Forecast'!C93+'[4]D4 Gallon Forecast'!C109+'[4]D6 Gallon Forecast'!C70</f>
        <v>119149133</v>
      </c>
      <c r="D89" s="35">
        <f>'[4]D4 Gallon Forecast'!D77+'[4]D4 Gallon Forecast'!D93+'[4]D4 Gallon Forecast'!D109+'[4]D6 Gallon Forecast'!D70</f>
        <v>85342771</v>
      </c>
      <c r="E89" s="35">
        <f>'[4]D4 Gallon Forecast'!E77+'[4]D4 Gallon Forecast'!E93+'[4]D4 Gallon Forecast'!E109+'[4]D6 Gallon Forecast'!E70</f>
        <v>138330513</v>
      </c>
      <c r="F89" s="35">
        <f>'[4]D4 Gallon Forecast'!F77+'[4]D4 Gallon Forecast'!F93+'[4]D4 Gallon Forecast'!F109+'[4]D6 Gallon Forecast'!F70</f>
        <v>137365165</v>
      </c>
      <c r="G89" s="35">
        <f>'[4]D4 Gallon Forecast'!G77+'[4]D4 Gallon Forecast'!G93+'[4]D4 Gallon Forecast'!G109+'[4]D6 Gallon Forecast'!G70</f>
        <v>139667501</v>
      </c>
      <c r="H89" s="35">
        <f>'[4]D4 Gallon Forecast'!H77+'[4]D4 Gallon Forecast'!H93+'[4]D4 Gallon Forecast'!H109+'[4]D6 Gallon Forecast'!H70</f>
        <v>219905880</v>
      </c>
      <c r="I89" s="35">
        <f>'[4]D4 Gallon Forecast'!I77+'[4]D4 Gallon Forecast'!I93+'[4]D4 Gallon Forecast'!I109+'[4]D6 Gallon Forecast'!I70</f>
        <v>176230508</v>
      </c>
      <c r="J89" s="35">
        <f>'[4]D4 Gallon Forecast'!J77+'[4]D4 Gallon Forecast'!J93+'[4]D4 Gallon Forecast'!J109+'[4]D6 Gallon Forecast'!J70</f>
        <v>168821035</v>
      </c>
      <c r="K89" s="35">
        <f>'[4]D4 Gallon Forecast'!K77+'[4]D4 Gallon Forecast'!K93+'[4]D4 Gallon Forecast'!K109+'[4]D6 Gallon Forecast'!K70</f>
        <v>158518831</v>
      </c>
      <c r="L89" s="35">
        <f>'[4]D4 Gallon Forecast'!L77+'[4]D4 Gallon Forecast'!L93+'[4]D4 Gallon Forecast'!L109+'[4]D6 Gallon Forecast'!L70</f>
        <v>181919433</v>
      </c>
      <c r="M89" s="35">
        <f>'[4]D4 Gallon Forecast'!M77+'[4]D4 Gallon Forecast'!M93+'[4]D4 Gallon Forecast'!M109+'[4]D6 Gallon Forecast'!M70</f>
        <v>151727069</v>
      </c>
      <c r="N89" s="35">
        <f>'[4]D4 Gallon Forecast'!N77+'[4]D4 Gallon Forecast'!N93+'[4]D4 Gallon Forecast'!N109+'[4]D6 Gallon Forecast'!N70</f>
        <v>160952336</v>
      </c>
      <c r="O89" s="35">
        <f>'[4]D4 Gallon Forecast'!O77+'[4]D4 Gallon Forecast'!O93+'[4]D4 Gallon Forecast'!O109+'[4]D6 Gallon Forecast'!O70</f>
        <v>184335390</v>
      </c>
      <c r="P89" s="35">
        <f>'[4]D4 Gallon Forecast'!P77+'[4]D4 Gallon Forecast'!P93+'[4]D4 Gallon Forecast'!P109+'[4]D6 Gallon Forecast'!P70</f>
        <v>161185953</v>
      </c>
      <c r="Q89" s="36">
        <f>'[4]D4 Gallon Forecast'!Q77+'[4]D4 Gallon Forecast'!Q93+'[4]D4 Gallon Forecast'!Q109+'[4]D6 Gallon Forecast'!Q70</f>
        <v>162154811.16424808</v>
      </c>
      <c r="R89" s="36">
        <f>'[4]D4 Gallon Forecast'!R77+'[4]D4 Gallon Forecast'!R93+'[4]D4 Gallon Forecast'!R109+'[4]D6 Gallon Forecast'!R70</f>
        <v>137086293.79612666</v>
      </c>
      <c r="S89" s="36">
        <f>'[4]D4 Gallon Forecast'!S77+'[4]D4 Gallon Forecast'!S93+'[4]D4 Gallon Forecast'!S109+'[4]D6 Gallon Forecast'!S70</f>
        <v>139721387.29376036</v>
      </c>
      <c r="T89" s="36">
        <f>'[4]D4 Gallon Forecast'!T77+'[4]D4 Gallon Forecast'!T93+'[4]D4 Gallon Forecast'!T109+'[4]D6 Gallon Forecast'!T70</f>
        <v>115167447.38760211</v>
      </c>
      <c r="U89" s="36">
        <f>'[4]D4 Gallon Forecast'!U77+'[4]D4 Gallon Forecast'!U93+'[4]D4 Gallon Forecast'!U109+'[4]D6 Gallon Forecast'!U70</f>
        <v>129142215.96835145</v>
      </c>
      <c r="V89" s="36">
        <f>'[4]D4 Gallon Forecast'!V77+'[4]D4 Gallon Forecast'!V93+'[4]D4 Gallon Forecast'!V109+'[4]D6 Gallon Forecast'!V70</f>
        <v>133016939.55099699</v>
      </c>
      <c r="W89" s="36">
        <f>'[4]D4 Gallon Forecast'!W77+'[4]D4 Gallon Forecast'!W93+'[4]D4 Gallon Forecast'!W109+'[4]D6 Gallon Forecast'!W70</f>
        <v>130333879.60389529</v>
      </c>
      <c r="X89" s="36">
        <f>'[4]D4 Gallon Forecast'!X77+'[4]D4 Gallon Forecast'!X93+'[4]D4 Gallon Forecast'!X109+'[4]D6 Gallon Forecast'!X70</f>
        <v>135561049.27801794</v>
      </c>
      <c r="Y89" s="36">
        <f>'[4]D4 Gallon Forecast'!Y77+'[4]D4 Gallon Forecast'!Y93+'[4]D4 Gallon Forecast'!Y109+'[4]D6 Gallon Forecast'!Y70</f>
        <v>127272331.30523659</v>
      </c>
      <c r="Z89" s="36">
        <f>'[4]D4 Gallon Forecast'!Z77+'[4]D4 Gallon Forecast'!Z93+'[4]D4 Gallon Forecast'!Z109+'[4]D6 Gallon Forecast'!Z70</f>
        <v>124295574.5440153</v>
      </c>
      <c r="AA89" s="36">
        <f>'[4]D4 Gallon Forecast'!AA77+'[4]D4 Gallon Forecast'!AA93+'[4]D4 Gallon Forecast'!AA109+'[4]D6 Gallon Forecast'!AA70</f>
        <v>118986696.05776271</v>
      </c>
      <c r="AB89" s="36">
        <f>'[4]D4 Gallon Forecast'!AB77+'[4]D4 Gallon Forecast'!AB93+'[4]D4 Gallon Forecast'!AB109+'[4]D6 Gallon Forecast'!AB70</f>
        <v>99356259.668761864</v>
      </c>
      <c r="AC89" s="36">
        <f>'[4]D4 Gallon Forecast'!AC77+'[4]D4 Gallon Forecast'!AC93+'[4]D4 Gallon Forecast'!AC109+'[4]D6 Gallon Forecast'!AC70</f>
        <v>81009424.71369493</v>
      </c>
      <c r="AD89" s="36">
        <f>'[4]D4 Gallon Forecast'!AD77+'[4]D4 Gallon Forecast'!AD93+'[4]D4 Gallon Forecast'!AD109+'[4]D6 Gallon Forecast'!AD70</f>
        <v>78163788.121042788</v>
      </c>
      <c r="AE89" s="36">
        <f>'[4]D4 Gallon Forecast'!AE77+'[4]D4 Gallon Forecast'!AE93+'[4]D4 Gallon Forecast'!AE109+'[4]D6 Gallon Forecast'!AE70</f>
        <v>65107404.139099009</v>
      </c>
      <c r="AF89" s="36">
        <f>'[4]D4 Gallon Forecast'!AF77+'[4]D4 Gallon Forecast'!AF93+'[4]D4 Gallon Forecast'!AF109+'[4]D6 Gallon Forecast'!AF70</f>
        <v>41524734.17974142</v>
      </c>
      <c r="AG89" s="36">
        <f>'[4]D4 Gallon Forecast'!AG77+'[4]D4 Gallon Forecast'!AG93+'[4]D4 Gallon Forecast'!AG109+'[4]D6 Gallon Forecast'!AG70</f>
        <v>45320827.495612226</v>
      </c>
      <c r="AH89" s="36">
        <f>'[4]D4 Gallon Forecast'!AH77+'[4]D4 Gallon Forecast'!AH93+'[4]D4 Gallon Forecast'!AH109+'[4]D6 Gallon Forecast'!AH70</f>
        <v>44749485.566241123</v>
      </c>
      <c r="AI89" s="36">
        <f>'[4]D4 Gallon Forecast'!AI77+'[4]D4 Gallon Forecast'!AI93+'[4]D4 Gallon Forecast'!AI109+'[4]D6 Gallon Forecast'!AI70</f>
        <v>38166136.914446726</v>
      </c>
      <c r="AJ89" s="36">
        <f>'[4]D4 Gallon Forecast'!AJ77+'[4]D4 Gallon Forecast'!AJ93+'[4]D4 Gallon Forecast'!AJ109+'[4]D6 Gallon Forecast'!AJ70</f>
        <v>38531288.187709853</v>
      </c>
      <c r="AK89" s="36">
        <f>'[4]D4 Gallon Forecast'!AK77+'[4]D4 Gallon Forecast'!AK93+'[4]D4 Gallon Forecast'!AK109+'[4]D6 Gallon Forecast'!AK70</f>
        <v>38651249.745393299</v>
      </c>
      <c r="AL89" s="36">
        <f>'[4]D4 Gallon Forecast'!AL77+'[4]D4 Gallon Forecast'!AL93+'[4]D4 Gallon Forecast'!AL109+'[4]D6 Gallon Forecast'!AL70</f>
        <v>38543855.290196933</v>
      </c>
      <c r="AM89" s="36">
        <f>'[4]D4 Gallon Forecast'!AM77+'[4]D4 Gallon Forecast'!AM93+'[4]D4 Gallon Forecast'!AM109+'[4]D6 Gallon Forecast'!AM70</f>
        <v>38536397.024718806</v>
      </c>
      <c r="AN89" s="36">
        <f>'[4]D4 Gallon Forecast'!AN77+'[4]D4 Gallon Forecast'!AN93+'[4]D4 Gallon Forecast'!AN109+'[4]D6 Gallon Forecast'!AN70</f>
        <v>39111263.669496313</v>
      </c>
      <c r="AO89" s="36">
        <f>'[4]D4 Gallon Forecast'!AO77+'[4]D4 Gallon Forecast'!AO93+'[4]D4 Gallon Forecast'!AO109+'[4]D6 Gallon Forecast'!AO70</f>
        <v>39712614.57803987</v>
      </c>
      <c r="AP89" s="36">
        <f>'[4]D4 Gallon Forecast'!AP77+'[4]D4 Gallon Forecast'!AP93+'[4]D4 Gallon Forecast'!AP109+'[4]D6 Gallon Forecast'!AP70</f>
        <v>40442255.86818397</v>
      </c>
      <c r="AQ89" s="36"/>
      <c r="AR89" s="35"/>
    </row>
    <row r="90" spans="1:44" x14ac:dyDescent="0.2">
      <c r="A90" s="32" t="s">
        <v>78</v>
      </c>
      <c r="B90" s="35">
        <f>'[4]D4 Gallon Forecast'!B78+'[4]D4 Gallon Forecast'!B94+'[4]D4 Gallon Forecast'!B110+'[4]D6 Gallon Forecast'!B71</f>
        <v>42879319</v>
      </c>
      <c r="C90" s="35">
        <f>'[4]D4 Gallon Forecast'!C78+'[4]D4 Gallon Forecast'!C94+'[4]D4 Gallon Forecast'!C110+'[4]D6 Gallon Forecast'!C71</f>
        <v>116501673</v>
      </c>
      <c r="D90" s="35">
        <f>'[4]D4 Gallon Forecast'!D78+'[4]D4 Gallon Forecast'!D94+'[4]D4 Gallon Forecast'!D110+'[4]D6 Gallon Forecast'!D71</f>
        <v>83115456</v>
      </c>
      <c r="E90" s="35">
        <f>'[4]D4 Gallon Forecast'!E78+'[4]D4 Gallon Forecast'!E94+'[4]D4 Gallon Forecast'!E110+'[4]D6 Gallon Forecast'!E71</f>
        <v>147522598</v>
      </c>
      <c r="F90" s="35">
        <f>'[4]D4 Gallon Forecast'!F78+'[4]D4 Gallon Forecast'!F94+'[4]D4 Gallon Forecast'!F110+'[4]D6 Gallon Forecast'!F71</f>
        <v>136807694</v>
      </c>
      <c r="G90" s="35">
        <f>'[4]D4 Gallon Forecast'!G78+'[4]D4 Gallon Forecast'!G94+'[4]D4 Gallon Forecast'!G110+'[4]D6 Gallon Forecast'!G71</f>
        <v>146814402</v>
      </c>
      <c r="H90" s="35">
        <f>'[4]D4 Gallon Forecast'!H78+'[4]D4 Gallon Forecast'!H94+'[4]D4 Gallon Forecast'!H110+'[4]D6 Gallon Forecast'!H71</f>
        <v>193600193</v>
      </c>
      <c r="I90" s="35">
        <f>'[4]D4 Gallon Forecast'!I78+'[4]D4 Gallon Forecast'!I94+'[4]D4 Gallon Forecast'!I110+'[4]D6 Gallon Forecast'!I71</f>
        <v>186033545</v>
      </c>
      <c r="J90" s="35">
        <f>'[4]D4 Gallon Forecast'!J78+'[4]D4 Gallon Forecast'!J94+'[4]D4 Gallon Forecast'!J110+'[4]D6 Gallon Forecast'!J71</f>
        <v>191266411</v>
      </c>
      <c r="K90" s="35">
        <f>'[4]D4 Gallon Forecast'!K78+'[4]D4 Gallon Forecast'!K94+'[4]D4 Gallon Forecast'!K110+'[4]D6 Gallon Forecast'!K71</f>
        <v>160399806</v>
      </c>
      <c r="L90" s="35">
        <f>'[4]D4 Gallon Forecast'!L78+'[4]D4 Gallon Forecast'!L94+'[4]D4 Gallon Forecast'!L110+'[4]D6 Gallon Forecast'!L71</f>
        <v>164772262</v>
      </c>
      <c r="M90" s="35">
        <f>'[4]D4 Gallon Forecast'!M78+'[4]D4 Gallon Forecast'!M94+'[4]D4 Gallon Forecast'!M110+'[4]D6 Gallon Forecast'!M71</f>
        <v>157667026</v>
      </c>
      <c r="N90" s="35">
        <f>'[4]D4 Gallon Forecast'!N78+'[4]D4 Gallon Forecast'!N94+'[4]D4 Gallon Forecast'!N110+'[4]D6 Gallon Forecast'!N71</f>
        <v>155371189</v>
      </c>
      <c r="O90" s="35">
        <f>'[4]D4 Gallon Forecast'!O78+'[4]D4 Gallon Forecast'!O94+'[4]D4 Gallon Forecast'!O110+'[4]D6 Gallon Forecast'!O71</f>
        <v>201131379</v>
      </c>
      <c r="P90" s="36">
        <f>'[4]D4 Gallon Forecast'!P78+'[4]D4 Gallon Forecast'!P94+'[4]D4 Gallon Forecast'!P110+'[4]D6 Gallon Forecast'!P71</f>
        <v>174761632</v>
      </c>
      <c r="Q90" s="36">
        <f>'[4]D4 Gallon Forecast'!Q78+'[4]D4 Gallon Forecast'!Q94+'[4]D4 Gallon Forecast'!Q110+'[4]D6 Gallon Forecast'!Q71</f>
        <v>162701308.51817742</v>
      </c>
      <c r="R90" s="36">
        <f>'[4]D4 Gallon Forecast'!R78+'[4]D4 Gallon Forecast'!R94+'[4]D4 Gallon Forecast'!R110+'[4]D6 Gallon Forecast'!R71</f>
        <v>141451847.54922166</v>
      </c>
      <c r="S90" s="36">
        <f>'[4]D4 Gallon Forecast'!S78+'[4]D4 Gallon Forecast'!S94+'[4]D4 Gallon Forecast'!S110+'[4]D6 Gallon Forecast'!S71</f>
        <v>144255638.11243257</v>
      </c>
      <c r="T90" s="36">
        <f>'[4]D4 Gallon Forecast'!T78+'[4]D4 Gallon Forecast'!T94+'[4]D4 Gallon Forecast'!T110+'[4]D6 Gallon Forecast'!T71</f>
        <v>121021665.44634108</v>
      </c>
      <c r="U90" s="36">
        <f>'[4]D4 Gallon Forecast'!U78+'[4]D4 Gallon Forecast'!U94+'[4]D4 Gallon Forecast'!U110+'[4]D6 Gallon Forecast'!U71</f>
        <v>134556352.36615777</v>
      </c>
      <c r="V90" s="36">
        <f>'[4]D4 Gallon Forecast'!V78+'[4]D4 Gallon Forecast'!V94+'[4]D4 Gallon Forecast'!V110+'[4]D6 Gallon Forecast'!V71</f>
        <v>137065559.7274881</v>
      </c>
      <c r="W90" s="36">
        <f>'[4]D4 Gallon Forecast'!W78+'[4]D4 Gallon Forecast'!W94+'[4]D4 Gallon Forecast'!W110+'[4]D6 Gallon Forecast'!W71</f>
        <v>135144375.53656602</v>
      </c>
      <c r="X90" s="36">
        <f>'[4]D4 Gallon Forecast'!X78+'[4]D4 Gallon Forecast'!X94+'[4]D4 Gallon Forecast'!X110+'[4]D6 Gallon Forecast'!X71</f>
        <v>140394861.09062743</v>
      </c>
      <c r="Y90" s="36">
        <f>'[4]D4 Gallon Forecast'!Y78+'[4]D4 Gallon Forecast'!Y94+'[4]D4 Gallon Forecast'!Y110+'[4]D6 Gallon Forecast'!Y71</f>
        <v>131927376.4880057</v>
      </c>
      <c r="Z90" s="36">
        <f>'[4]D4 Gallon Forecast'!Z78+'[4]D4 Gallon Forecast'!Z94+'[4]D4 Gallon Forecast'!Z110+'[4]D6 Gallon Forecast'!Z71</f>
        <v>128632934.12666774</v>
      </c>
      <c r="AA90" s="36">
        <f>'[4]D4 Gallon Forecast'!AA78+'[4]D4 Gallon Forecast'!AA94+'[4]D4 Gallon Forecast'!AA110+'[4]D6 Gallon Forecast'!AA71</f>
        <v>122953245.53975621</v>
      </c>
      <c r="AB90" s="36">
        <f>'[4]D4 Gallon Forecast'!AB78+'[4]D4 Gallon Forecast'!AB94+'[4]D4 Gallon Forecast'!AB110+'[4]D6 Gallon Forecast'!AB71</f>
        <v>102763768.72541015</v>
      </c>
      <c r="AC90" s="36">
        <f>'[4]D4 Gallon Forecast'!AC78+'[4]D4 Gallon Forecast'!AC94+'[4]D4 Gallon Forecast'!AC110+'[4]D6 Gallon Forecast'!AC71</f>
        <v>83820005.535926387</v>
      </c>
      <c r="AD90" s="36">
        <f>'[4]D4 Gallon Forecast'!AD78+'[4]D4 Gallon Forecast'!AD94+'[4]D4 Gallon Forecast'!AD110+'[4]D6 Gallon Forecast'!AD71</f>
        <v>80724498.185743228</v>
      </c>
      <c r="AE90" s="36">
        <f>'[4]D4 Gallon Forecast'!AE78+'[4]D4 Gallon Forecast'!AE94+'[4]D4 Gallon Forecast'!AE110+'[4]D6 Gallon Forecast'!AE71</f>
        <v>67211521.520376608</v>
      </c>
      <c r="AF90" s="36">
        <f>'[4]D4 Gallon Forecast'!AF78+'[4]D4 Gallon Forecast'!AF94+'[4]D4 Gallon Forecast'!AF110+'[4]D6 Gallon Forecast'!AF71</f>
        <v>43091468.971361257</v>
      </c>
      <c r="AG90" s="36">
        <f>'[4]D4 Gallon Forecast'!AG78+'[4]D4 Gallon Forecast'!AG94+'[4]D4 Gallon Forecast'!AG110+'[4]D6 Gallon Forecast'!AG71</f>
        <v>46986512.357994154</v>
      </c>
      <c r="AH90" s="36">
        <f>'[4]D4 Gallon Forecast'!AH78+'[4]D4 Gallon Forecast'!AH94+'[4]D4 Gallon Forecast'!AH110+'[4]D6 Gallon Forecast'!AH71</f>
        <v>46398221.942161135</v>
      </c>
      <c r="AI90" s="36">
        <f>'[4]D4 Gallon Forecast'!AI78+'[4]D4 Gallon Forecast'!AI94+'[4]D4 Gallon Forecast'!AI110+'[4]D6 Gallon Forecast'!AI71</f>
        <v>39658255.407292791</v>
      </c>
      <c r="AJ90" s="36">
        <f>'[4]D4 Gallon Forecast'!AJ78+'[4]D4 Gallon Forecast'!AJ94+'[4]D4 Gallon Forecast'!AJ110+'[4]D6 Gallon Forecast'!AJ71</f>
        <v>40029151.094108157</v>
      </c>
      <c r="AK90" s="36">
        <f>'[4]D4 Gallon Forecast'!AK78+'[4]D4 Gallon Forecast'!AK94+'[4]D4 Gallon Forecast'!AK110+'[4]D6 Gallon Forecast'!AK71</f>
        <v>40153570.426920965</v>
      </c>
      <c r="AL90" s="36">
        <f>'[4]D4 Gallon Forecast'!AL78+'[4]D4 Gallon Forecast'!AL94+'[4]D4 Gallon Forecast'!AL110+'[4]D6 Gallon Forecast'!AL71</f>
        <v>40045102.610000342</v>
      </c>
      <c r="AM90" s="36">
        <f>'[4]D4 Gallon Forecast'!AM78+'[4]D4 Gallon Forecast'!AM94+'[4]D4 Gallon Forecast'!AM110+'[4]D6 Gallon Forecast'!AM71</f>
        <v>40037380.377240419</v>
      </c>
      <c r="AN90" s="36">
        <f>'[4]D4 Gallon Forecast'!AN78+'[4]D4 Gallon Forecast'!AN94+'[4]D4 Gallon Forecast'!AN110+'[4]D6 Gallon Forecast'!AN71</f>
        <v>40623587.496218041</v>
      </c>
      <c r="AO90" s="36">
        <f>'[4]D4 Gallon Forecast'!AO78+'[4]D4 Gallon Forecast'!AO94+'[4]D4 Gallon Forecast'!AO110+'[4]D6 Gallon Forecast'!AO71</f>
        <v>41237355.069074795</v>
      </c>
      <c r="AP90" s="36">
        <f>'[4]D4 Gallon Forecast'!AP78+'[4]D4 Gallon Forecast'!AP94+'[4]D4 Gallon Forecast'!AP110+'[4]D6 Gallon Forecast'!AP71</f>
        <v>41983730.742161736</v>
      </c>
      <c r="AQ90" s="36"/>
      <c r="AR90" s="70"/>
    </row>
    <row r="91" spans="1:44" x14ac:dyDescent="0.2">
      <c r="A91" s="32" t="s">
        <v>79</v>
      </c>
      <c r="B91" s="35">
        <f>'[4]D4 Gallon Forecast'!B79+'[4]D4 Gallon Forecast'!B95+'[4]D4 Gallon Forecast'!B111+'[4]D6 Gallon Forecast'!B72</f>
        <v>36230885</v>
      </c>
      <c r="C91" s="35">
        <f>'[4]D4 Gallon Forecast'!C79+'[4]D4 Gallon Forecast'!C95+'[4]D4 Gallon Forecast'!C111+'[4]D6 Gallon Forecast'!C72</f>
        <v>108678235</v>
      </c>
      <c r="D91" s="35">
        <f>'[4]D4 Gallon Forecast'!D79+'[4]D4 Gallon Forecast'!D95+'[4]D4 Gallon Forecast'!D111+'[4]D6 Gallon Forecast'!D72</f>
        <v>68888709</v>
      </c>
      <c r="E91" s="35">
        <f>'[4]D4 Gallon Forecast'!E79+'[4]D4 Gallon Forecast'!E95+'[4]D4 Gallon Forecast'!E111+'[4]D6 Gallon Forecast'!E72</f>
        <v>139719481</v>
      </c>
      <c r="F91" s="35">
        <f>'[4]D4 Gallon Forecast'!F79+'[4]D4 Gallon Forecast'!F95+'[4]D4 Gallon Forecast'!F111+'[4]D6 Gallon Forecast'!F72</f>
        <v>123368156</v>
      </c>
      <c r="G91" s="35">
        <f>'[4]D4 Gallon Forecast'!G79+'[4]D4 Gallon Forecast'!G95+'[4]D4 Gallon Forecast'!G111+'[4]D6 Gallon Forecast'!G72</f>
        <v>122905658</v>
      </c>
      <c r="H91" s="35">
        <f>'[4]D4 Gallon Forecast'!H79+'[4]D4 Gallon Forecast'!H95+'[4]D4 Gallon Forecast'!H111+'[4]D6 Gallon Forecast'!H72</f>
        <v>205447734</v>
      </c>
      <c r="I91" s="35">
        <f>'[4]D4 Gallon Forecast'!I79+'[4]D4 Gallon Forecast'!I95+'[4]D4 Gallon Forecast'!I111+'[4]D6 Gallon Forecast'!I72</f>
        <v>172212170</v>
      </c>
      <c r="J91" s="35">
        <f>'[4]D4 Gallon Forecast'!J79+'[4]D4 Gallon Forecast'!J95+'[4]D4 Gallon Forecast'!J111+'[4]D6 Gallon Forecast'!J72</f>
        <v>163700900</v>
      </c>
      <c r="K91" s="35">
        <f>'[4]D4 Gallon Forecast'!K79+'[4]D4 Gallon Forecast'!K95+'[4]D4 Gallon Forecast'!K111+'[4]D6 Gallon Forecast'!K72</f>
        <v>134375291</v>
      </c>
      <c r="L91" s="35">
        <f>'[4]D4 Gallon Forecast'!L79+'[4]D4 Gallon Forecast'!L95+'[4]D4 Gallon Forecast'!L111+'[4]D6 Gallon Forecast'!L72</f>
        <v>164773007</v>
      </c>
      <c r="M91" s="35">
        <f>'[4]D4 Gallon Forecast'!M79+'[4]D4 Gallon Forecast'!M95+'[4]D4 Gallon Forecast'!M111+'[4]D6 Gallon Forecast'!M72</f>
        <v>162339335</v>
      </c>
      <c r="N91" s="35">
        <f>'[4]D4 Gallon Forecast'!N79+'[4]D4 Gallon Forecast'!N95+'[4]D4 Gallon Forecast'!N111+'[4]D6 Gallon Forecast'!N72</f>
        <v>175112972</v>
      </c>
      <c r="O91" s="35">
        <f>'[4]D4 Gallon Forecast'!O79+'[4]D4 Gallon Forecast'!O95+'[4]D4 Gallon Forecast'!O111+'[4]D6 Gallon Forecast'!O72</f>
        <v>177617706</v>
      </c>
      <c r="P91" s="36">
        <f>'[4]D4 Gallon Forecast'!P79+'[4]D4 Gallon Forecast'!P95+'[4]D4 Gallon Forecast'!P111+'[4]D6 Gallon Forecast'!P72</f>
        <v>156329288</v>
      </c>
      <c r="Q91" s="36">
        <f>'[4]D4 Gallon Forecast'!Q79+'[4]D4 Gallon Forecast'!Q95+'[4]D4 Gallon Forecast'!Q111+'[4]D6 Gallon Forecast'!Q72</f>
        <v>158766221.75313032</v>
      </c>
      <c r="R91" s="36">
        <f>'[4]D4 Gallon Forecast'!R79+'[4]D4 Gallon Forecast'!R95+'[4]D4 Gallon Forecast'!R111+'[4]D6 Gallon Forecast'!R72</f>
        <v>137541530.5962123</v>
      </c>
      <c r="S91" s="36">
        <f>'[4]D4 Gallon Forecast'!S79+'[4]D4 Gallon Forecast'!S95+'[4]D4 Gallon Forecast'!S111+'[4]D6 Gallon Forecast'!S72</f>
        <v>138844261.38818553</v>
      </c>
      <c r="T91" s="36">
        <f>'[4]D4 Gallon Forecast'!T79+'[4]D4 Gallon Forecast'!T95+'[4]D4 Gallon Forecast'!T111+'[4]D6 Gallon Forecast'!T72</f>
        <v>113098867.27595325</v>
      </c>
      <c r="U91" s="36">
        <f>'[4]D4 Gallon Forecast'!U79+'[4]D4 Gallon Forecast'!U95+'[4]D4 Gallon Forecast'!U111+'[4]D6 Gallon Forecast'!U72</f>
        <v>127456290.19030787</v>
      </c>
      <c r="V91" s="36">
        <f>'[4]D4 Gallon Forecast'!V79+'[4]D4 Gallon Forecast'!V95+'[4]D4 Gallon Forecast'!V111+'[4]D6 Gallon Forecast'!V72</f>
        <v>131578415.39225192</v>
      </c>
      <c r="W91" s="36">
        <f>'[4]D4 Gallon Forecast'!W79+'[4]D4 Gallon Forecast'!W95+'[4]D4 Gallon Forecast'!W111+'[4]D6 Gallon Forecast'!W72</f>
        <v>129210987.25829163</v>
      </c>
      <c r="X91" s="36">
        <f>'[4]D4 Gallon Forecast'!X79+'[4]D4 Gallon Forecast'!X95+'[4]D4 Gallon Forecast'!X111+'[4]D6 Gallon Forecast'!X72</f>
        <v>133744370.04187632</v>
      </c>
      <c r="Y91" s="36">
        <f>'[4]D4 Gallon Forecast'!Y79+'[4]D4 Gallon Forecast'!Y95+'[4]D4 Gallon Forecast'!Y111+'[4]D6 Gallon Forecast'!Y72</f>
        <v>125417721.25205833</v>
      </c>
      <c r="Z91" s="36">
        <f>'[4]D4 Gallon Forecast'!Z79+'[4]D4 Gallon Forecast'!Z95+'[4]D4 Gallon Forecast'!Z111+'[4]D6 Gallon Forecast'!Z72</f>
        <v>122632098.14845479</v>
      </c>
      <c r="AA91" s="36">
        <f>'[4]D4 Gallon Forecast'!AA79+'[4]D4 Gallon Forecast'!AA95+'[4]D4 Gallon Forecast'!AA111+'[4]D6 Gallon Forecast'!AA72</f>
        <v>117370558.53749855</v>
      </c>
      <c r="AB91" s="36">
        <f>'[4]D4 Gallon Forecast'!AB79+'[4]D4 Gallon Forecast'!AB95+'[4]D4 Gallon Forecast'!AB111+'[4]D6 Gallon Forecast'!AB72</f>
        <v>97997804.895105451</v>
      </c>
      <c r="AC91" s="36">
        <f>'[4]D4 Gallon Forecast'!AC79+'[4]D4 Gallon Forecast'!AC95+'[4]D4 Gallon Forecast'!AC111+'[4]D6 Gallon Forecast'!AC72</f>
        <v>79908834.583687365</v>
      </c>
      <c r="AD91" s="36">
        <f>'[4]D4 Gallon Forecast'!AD79+'[4]D4 Gallon Forecast'!AD95+'[4]D4 Gallon Forecast'!AD111+'[4]D6 Gallon Forecast'!AD72</f>
        <v>76967424.1217428</v>
      </c>
      <c r="AE91" s="36">
        <f>'[4]D4 Gallon Forecast'!AE79+'[4]D4 Gallon Forecast'!AE95+'[4]D4 Gallon Forecast'!AE111+'[4]D6 Gallon Forecast'!AE72</f>
        <v>64145222.280566022</v>
      </c>
      <c r="AF91" s="36">
        <f>'[4]D4 Gallon Forecast'!AF79+'[4]D4 Gallon Forecast'!AF95+'[4]D4 Gallon Forecast'!AF111+'[4]D6 Gallon Forecast'!AF72</f>
        <v>41181741.149183959</v>
      </c>
      <c r="AG91" s="36">
        <f>'[4]D4 Gallon Forecast'!AG79+'[4]D4 Gallon Forecast'!AG95+'[4]D4 Gallon Forecast'!AG111+'[4]D6 Gallon Forecast'!AG72</f>
        <v>44875107.094724528</v>
      </c>
      <c r="AH91" s="36">
        <f>'[4]D4 Gallon Forecast'!AH79+'[4]D4 Gallon Forecast'!AH95+'[4]D4 Gallon Forecast'!AH111+'[4]D6 Gallon Forecast'!AH72</f>
        <v>44317384.552354075</v>
      </c>
      <c r="AI91" s="36">
        <f>'[4]D4 Gallon Forecast'!AI79+'[4]D4 Gallon Forecast'!AI95+'[4]D4 Gallon Forecast'!AI111+'[4]D6 Gallon Forecast'!AI72</f>
        <v>37914378.697224021</v>
      </c>
      <c r="AJ91" s="36">
        <f>'[4]D4 Gallon Forecast'!AJ79+'[4]D4 Gallon Forecast'!AJ95+'[4]D4 Gallon Forecast'!AJ111+'[4]D6 Gallon Forecast'!AJ72</f>
        <v>38274813.517300338</v>
      </c>
      <c r="AK91" s="36">
        <f>'[4]D4 Gallon Forecast'!AK79+'[4]D4 Gallon Forecast'!AK95+'[4]D4 Gallon Forecast'!AK111+'[4]D6 Gallon Forecast'!AK72</f>
        <v>38391173.956401311</v>
      </c>
      <c r="AL91" s="36">
        <f>'[4]D4 Gallon Forecast'!AL79+'[4]D4 Gallon Forecast'!AL95+'[4]D4 Gallon Forecast'!AL111+'[4]D6 Gallon Forecast'!AL72</f>
        <v>38285162.779092848</v>
      </c>
      <c r="AM91" s="36">
        <f>'[4]D4 Gallon Forecast'!AM79+'[4]D4 Gallon Forecast'!AM95+'[4]D4 Gallon Forecast'!AM111+'[4]D6 Gallon Forecast'!AM72</f>
        <v>38275946.002134942</v>
      </c>
      <c r="AN91" s="36">
        <f>'[4]D4 Gallon Forecast'!AN79+'[4]D4 Gallon Forecast'!AN95+'[4]D4 Gallon Forecast'!AN111+'[4]D6 Gallon Forecast'!AN72</f>
        <v>38839698.860826164</v>
      </c>
      <c r="AO91" s="36">
        <f>'[4]D4 Gallon Forecast'!AO79+'[4]D4 Gallon Forecast'!AO95+'[4]D4 Gallon Forecast'!AO111+'[4]D6 Gallon Forecast'!AO72</f>
        <v>39428927.4186996</v>
      </c>
      <c r="AP91" s="36">
        <f>'[4]D4 Gallon Forecast'!AP79+'[4]D4 Gallon Forecast'!AP95+'[4]D4 Gallon Forecast'!AP111+'[4]D6 Gallon Forecast'!AP72</f>
        <v>40140168.756584972</v>
      </c>
      <c r="AQ91" s="36"/>
      <c r="AR91" s="35"/>
    </row>
    <row r="92" spans="1:44" x14ac:dyDescent="0.2">
      <c r="A92" s="32" t="s">
        <v>80</v>
      </c>
      <c r="B92" s="35">
        <f>'[4]D4 Gallon Forecast'!B80+'[4]D4 Gallon Forecast'!B96+'[4]D4 Gallon Forecast'!B112+'[4]D6 Gallon Forecast'!B73</f>
        <v>40187929</v>
      </c>
      <c r="C92" s="35">
        <f>'[4]D4 Gallon Forecast'!C80+'[4]D4 Gallon Forecast'!C96+'[4]D4 Gallon Forecast'!C112+'[4]D6 Gallon Forecast'!C73</f>
        <v>161278602</v>
      </c>
      <c r="D92" s="35">
        <f>'[4]D4 Gallon Forecast'!D80+'[4]D4 Gallon Forecast'!D96+'[4]D4 Gallon Forecast'!D112+'[4]D6 Gallon Forecast'!D73</f>
        <v>58888081</v>
      </c>
      <c r="E92" s="35">
        <f>'[4]D4 Gallon Forecast'!E80+'[4]D4 Gallon Forecast'!E96+'[4]D4 Gallon Forecast'!E112+'[4]D6 Gallon Forecast'!E73</f>
        <v>191274657</v>
      </c>
      <c r="F92" s="35">
        <f>'[4]D4 Gallon Forecast'!F80+'[4]D4 Gallon Forecast'!F96+'[4]D4 Gallon Forecast'!F112+'[4]D6 Gallon Forecast'!F73</f>
        <v>179855298</v>
      </c>
      <c r="G92" s="35">
        <f>'[4]D4 Gallon Forecast'!G80+'[4]D4 Gallon Forecast'!G96+'[4]D4 Gallon Forecast'!G112+'[4]D6 Gallon Forecast'!G73</f>
        <v>148252977</v>
      </c>
      <c r="H92" s="35">
        <f>'[4]D4 Gallon Forecast'!H80+'[4]D4 Gallon Forecast'!H96+'[4]D4 Gallon Forecast'!H112+'[4]D6 Gallon Forecast'!H73</f>
        <v>308312453</v>
      </c>
      <c r="I92" s="35">
        <f>'[4]D4 Gallon Forecast'!I80+'[4]D4 Gallon Forecast'!I96+'[4]D4 Gallon Forecast'!I112+'[4]D6 Gallon Forecast'!I73</f>
        <v>193711979</v>
      </c>
      <c r="J92" s="35">
        <f>'[4]D4 Gallon Forecast'!J80+'[4]D4 Gallon Forecast'!J96+'[4]D4 Gallon Forecast'!J112+'[4]D6 Gallon Forecast'!J73</f>
        <v>212930298</v>
      </c>
      <c r="K92" s="35">
        <f>'[4]D4 Gallon Forecast'!K80+'[4]D4 Gallon Forecast'!K96+'[4]D4 Gallon Forecast'!K112+'[4]D6 Gallon Forecast'!K73</f>
        <v>163919996</v>
      </c>
      <c r="L92" s="35">
        <f>'[4]D4 Gallon Forecast'!L80+'[4]D4 Gallon Forecast'!L96+'[4]D4 Gallon Forecast'!L112+'[4]D6 Gallon Forecast'!L73</f>
        <v>199885923</v>
      </c>
      <c r="M92" s="35">
        <f>'[4]D4 Gallon Forecast'!M80+'[4]D4 Gallon Forecast'!M96+'[4]D4 Gallon Forecast'!M112+'[4]D6 Gallon Forecast'!M73</f>
        <v>216969174</v>
      </c>
      <c r="N92" s="35">
        <f>'[4]D4 Gallon Forecast'!N80+'[4]D4 Gallon Forecast'!N96+'[4]D4 Gallon Forecast'!N112+'[4]D6 Gallon Forecast'!N73</f>
        <v>188600282</v>
      </c>
      <c r="O92" s="35">
        <f>'[4]D4 Gallon Forecast'!O80+'[4]D4 Gallon Forecast'!O96+'[4]D4 Gallon Forecast'!O112+'[4]D6 Gallon Forecast'!O73</f>
        <v>201325846</v>
      </c>
      <c r="P92" s="36">
        <f>'[4]D4 Gallon Forecast'!P80+'[4]D4 Gallon Forecast'!P96+'[4]D4 Gallon Forecast'!P112+'[4]D6 Gallon Forecast'!P73</f>
        <v>206312055</v>
      </c>
      <c r="Q92" s="36">
        <f>'[4]D4 Gallon Forecast'!Q80+'[4]D4 Gallon Forecast'!Q96+'[4]D4 Gallon Forecast'!Q112+'[4]D6 Gallon Forecast'!Q73</f>
        <v>364987119.85587585</v>
      </c>
      <c r="R92" s="36">
        <f>'[4]D4 Gallon Forecast'!R80+'[4]D4 Gallon Forecast'!R96+'[4]D4 Gallon Forecast'!R112+'[4]D6 Gallon Forecast'!R73</f>
        <v>171028552.59969118</v>
      </c>
      <c r="S92" s="36">
        <f>'[4]D4 Gallon Forecast'!S80+'[4]D4 Gallon Forecast'!S96+'[4]D4 Gallon Forecast'!S112+'[4]D6 Gallon Forecast'!S73</f>
        <v>190036284.00624481</v>
      </c>
      <c r="T92" s="36">
        <f>'[4]D4 Gallon Forecast'!T80+'[4]D4 Gallon Forecast'!T96+'[4]D4 Gallon Forecast'!T112+'[4]D6 Gallon Forecast'!T73</f>
        <v>165225284.34240967</v>
      </c>
      <c r="U92" s="36">
        <f>'[4]D4 Gallon Forecast'!U80+'[4]D4 Gallon Forecast'!U96+'[4]D4 Gallon Forecast'!U112+'[4]D6 Gallon Forecast'!U73</f>
        <v>196766440.4501442</v>
      </c>
      <c r="V92" s="36">
        <f>'[4]D4 Gallon Forecast'!V80+'[4]D4 Gallon Forecast'!V96+'[4]D4 Gallon Forecast'!V112+'[4]D6 Gallon Forecast'!V73</f>
        <v>211970851.53682125</v>
      </c>
      <c r="W92" s="36">
        <f>'[4]D4 Gallon Forecast'!W80+'[4]D4 Gallon Forecast'!W96+'[4]D4 Gallon Forecast'!W112+'[4]D6 Gallon Forecast'!W73</f>
        <v>186154803.62670225</v>
      </c>
      <c r="X92" s="36">
        <f>'[4]D4 Gallon Forecast'!X80+'[4]D4 Gallon Forecast'!X96+'[4]D4 Gallon Forecast'!X112+'[4]D6 Gallon Forecast'!X73</f>
        <v>195946912.82716781</v>
      </c>
      <c r="Y92" s="36">
        <f>'[4]D4 Gallon Forecast'!Y80+'[4]D4 Gallon Forecast'!Y96+'[4]D4 Gallon Forecast'!Y112+'[4]D6 Gallon Forecast'!Y73</f>
        <v>166459767.47139618</v>
      </c>
      <c r="Z92" s="36">
        <f>'[4]D4 Gallon Forecast'!Z80+'[4]D4 Gallon Forecast'!Z96+'[4]D4 Gallon Forecast'!Z112+'[4]D6 Gallon Forecast'!Z73</f>
        <v>172672105.8904497</v>
      </c>
      <c r="AA92" s="36">
        <f>'[4]D4 Gallon Forecast'!AA80+'[4]D4 Gallon Forecast'!AA96+'[4]D4 Gallon Forecast'!AA112+'[4]D6 Gallon Forecast'!AA73</f>
        <v>162738760.06010437</v>
      </c>
      <c r="AB92" s="36">
        <f>'[4]D4 Gallon Forecast'!AB80+'[4]D4 Gallon Forecast'!AB96+'[4]D4 Gallon Forecast'!AB112+'[4]D6 Gallon Forecast'!AB73</f>
        <v>136749211.90151224</v>
      </c>
      <c r="AC92" s="36">
        <f>'[4]D4 Gallon Forecast'!AC80+'[4]D4 Gallon Forecast'!AC96+'[4]D4 Gallon Forecast'!AC112+'[4]D6 Gallon Forecast'!AC73</f>
        <v>111374552.26147901</v>
      </c>
      <c r="AD92" s="36">
        <f>'[4]D4 Gallon Forecast'!AD80+'[4]D4 Gallon Forecast'!AD96+'[4]D4 Gallon Forecast'!AD112+'[4]D6 Gallon Forecast'!AD73</f>
        <v>104655347.40957142</v>
      </c>
      <c r="AE92" s="36">
        <f>'[4]D4 Gallon Forecast'!AE80+'[4]D4 Gallon Forecast'!AE96+'[4]D4 Gallon Forecast'!AE112+'[4]D6 Gallon Forecast'!AE73</f>
        <v>88047481.562393233</v>
      </c>
      <c r="AF92" s="36">
        <f>'[4]D4 Gallon Forecast'!AF80+'[4]D4 Gallon Forecast'!AF96+'[4]D4 Gallon Forecast'!AF112+'[4]D6 Gallon Forecast'!AF73</f>
        <v>58470279.310199723</v>
      </c>
      <c r="AG92" s="36">
        <f>'[4]D4 Gallon Forecast'!AG80+'[4]D4 Gallon Forecast'!AG96+'[4]D4 Gallon Forecast'!AG112+'[4]D6 Gallon Forecast'!AG73</f>
        <v>63233979.649921224</v>
      </c>
      <c r="AH92" s="36">
        <f>'[4]D4 Gallon Forecast'!AH80+'[4]D4 Gallon Forecast'!AH96+'[4]D4 Gallon Forecast'!AH112+'[4]D6 Gallon Forecast'!AH73</f>
        <v>62400216.62965291</v>
      </c>
      <c r="AI92" s="36">
        <f>'[4]D4 Gallon Forecast'!AI80+'[4]D4 Gallon Forecast'!AI96+'[4]D4 Gallon Forecast'!AI112+'[4]D6 Gallon Forecast'!AI73</f>
        <v>54114642.885478511</v>
      </c>
      <c r="AJ92" s="36">
        <f>'[4]D4 Gallon Forecast'!AJ80+'[4]D4 Gallon Forecast'!AJ96+'[4]D4 Gallon Forecast'!AJ112+'[4]D6 Gallon Forecast'!AJ73</f>
        <v>54671157.645851277</v>
      </c>
      <c r="AK92" s="36">
        <f>'[4]D4 Gallon Forecast'!AK80+'[4]D4 Gallon Forecast'!AK96+'[4]D4 Gallon Forecast'!AK112+'[4]D6 Gallon Forecast'!AK73</f>
        <v>54793115.069478355</v>
      </c>
      <c r="AL92" s="36">
        <f>'[4]D4 Gallon Forecast'!AL80+'[4]D4 Gallon Forecast'!AL96+'[4]D4 Gallon Forecast'!AL112+'[4]D6 Gallon Forecast'!AL73</f>
        <v>54654713.003873803</v>
      </c>
      <c r="AM92" s="36">
        <f>'[4]D4 Gallon Forecast'!AM80+'[4]D4 Gallon Forecast'!AM96+'[4]D4 Gallon Forecast'!AM112+'[4]D6 Gallon Forecast'!AM73</f>
        <v>54639813.471436754</v>
      </c>
      <c r="AN92" s="36">
        <f>'[4]D4 Gallon Forecast'!AN80+'[4]D4 Gallon Forecast'!AN96+'[4]D4 Gallon Forecast'!AN112+'[4]D6 Gallon Forecast'!AN73</f>
        <v>55343509.409516282</v>
      </c>
      <c r="AO92" s="36">
        <f>'[4]D4 Gallon Forecast'!AO80+'[4]D4 Gallon Forecast'!AO96+'[4]D4 Gallon Forecast'!AO112+'[4]D6 Gallon Forecast'!AO73</f>
        <v>56091188.391736858</v>
      </c>
      <c r="AP92" s="36">
        <f>'[4]D4 Gallon Forecast'!AP80+'[4]D4 Gallon Forecast'!AP96+'[4]D4 Gallon Forecast'!AP112+'[4]D6 Gallon Forecast'!AP73</f>
        <v>56990567.966871284</v>
      </c>
      <c r="AQ92" s="36"/>
      <c r="AR92" s="35"/>
    </row>
    <row r="93" spans="1:44" x14ac:dyDescent="0.2">
      <c r="A93" s="32" t="s">
        <v>58</v>
      </c>
      <c r="B93" s="35">
        <f>SUM(B81:B92)</f>
        <v>226279318</v>
      </c>
      <c r="C93" s="35">
        <f t="shared" ref="C93:AP93" si="85">SUM(C81:C92)</f>
        <v>1079158830</v>
      </c>
      <c r="D93" s="35">
        <f t="shared" si="85"/>
        <v>1056949291</v>
      </c>
      <c r="E93" s="35">
        <f t="shared" si="85"/>
        <v>1534904894</v>
      </c>
      <c r="F93" s="35">
        <f t="shared" si="85"/>
        <v>1436822090</v>
      </c>
      <c r="G93" s="35">
        <f t="shared" si="85"/>
        <v>1515519518</v>
      </c>
      <c r="H93" s="35">
        <f t="shared" si="85"/>
        <v>2194724303</v>
      </c>
      <c r="I93" s="35">
        <f t="shared" si="85"/>
        <v>2050166401</v>
      </c>
      <c r="J93" s="35">
        <f t="shared" si="85"/>
        <v>2030264162</v>
      </c>
      <c r="K93" s="35">
        <f t="shared" si="85"/>
        <v>1898517149</v>
      </c>
      <c r="L93" s="35">
        <f t="shared" si="85"/>
        <v>2034369332</v>
      </c>
      <c r="M93" s="35">
        <f t="shared" si="85"/>
        <v>1913080082</v>
      </c>
      <c r="N93" s="35">
        <f t="shared" si="85"/>
        <v>1860535676</v>
      </c>
      <c r="O93" s="35">
        <f t="shared" si="85"/>
        <v>2175255139</v>
      </c>
      <c r="P93" s="36">
        <f t="shared" si="85"/>
        <v>2067299858</v>
      </c>
      <c r="Q93" s="36">
        <f t="shared" si="85"/>
        <v>1923697997.5079875</v>
      </c>
      <c r="R93" s="36">
        <f t="shared" si="85"/>
        <v>1650842585.360476</v>
      </c>
      <c r="S93" s="36">
        <f t="shared" si="85"/>
        <v>1670286060.4745083</v>
      </c>
      <c r="T93" s="36">
        <f t="shared" si="85"/>
        <v>1391958387.8512297</v>
      </c>
      <c r="U93" s="36">
        <f t="shared" si="85"/>
        <v>1571081445.4218287</v>
      </c>
      <c r="V93" s="36">
        <f t="shared" si="85"/>
        <v>1597656114.7320323</v>
      </c>
      <c r="W93" s="36">
        <f t="shared" si="85"/>
        <v>1569803005.7684138</v>
      </c>
      <c r="X93" s="36">
        <f t="shared" si="85"/>
        <v>1628892054.3258982</v>
      </c>
      <c r="Y93" s="36">
        <f t="shared" si="85"/>
        <v>1531162113.0410497</v>
      </c>
      <c r="Z93" s="36">
        <f t="shared" si="85"/>
        <v>1495113061.1881897</v>
      </c>
      <c r="AA93" s="36">
        <f t="shared" si="85"/>
        <v>1427843991.3080237</v>
      </c>
      <c r="AB93" s="36">
        <f t="shared" si="85"/>
        <v>1192212994.4981396</v>
      </c>
      <c r="AC93" s="36">
        <f t="shared" si="85"/>
        <v>971614031.38410628</v>
      </c>
      <c r="AD93" s="36">
        <f t="shared" si="85"/>
        <v>935262192.38442278</v>
      </c>
      <c r="AE93" s="36">
        <f t="shared" si="85"/>
        <v>777814957.57267094</v>
      </c>
      <c r="AF93" s="36">
        <f t="shared" si="85"/>
        <v>497332419.5002811</v>
      </c>
      <c r="AG93" s="36">
        <f t="shared" si="85"/>
        <v>542546235.62363815</v>
      </c>
      <c r="AH93" s="36">
        <f t="shared" si="85"/>
        <v>535522786.61583662</v>
      </c>
      <c r="AI93" s="36">
        <f t="shared" si="85"/>
        <v>456857382.45301127</v>
      </c>
      <c r="AJ93" s="36">
        <f t="shared" si="85"/>
        <v>461044462.40602362</v>
      </c>
      <c r="AK93" s="36">
        <f t="shared" si="85"/>
        <v>462475356.13839775</v>
      </c>
      <c r="AL93" s="36">
        <f t="shared" si="85"/>
        <v>461238549.80073243</v>
      </c>
      <c r="AM93" s="36">
        <f t="shared" si="85"/>
        <v>461242910.45828253</v>
      </c>
      <c r="AN93" s="36">
        <f t="shared" si="85"/>
        <v>467869822.42009956</v>
      </c>
      <c r="AO93" s="36">
        <f t="shared" si="85"/>
        <v>474815376.71377784</v>
      </c>
      <c r="AP93" s="36">
        <f t="shared" si="85"/>
        <v>483439065.53950191</v>
      </c>
      <c r="AQ93" s="36"/>
      <c r="AR93" s="35"/>
    </row>
    <row r="96" spans="1:44" x14ac:dyDescent="0.2">
      <c r="A96" s="32" t="s">
        <v>106</v>
      </c>
    </row>
    <row r="97" spans="1:44" s="61" customFormat="1" x14ac:dyDescent="0.2">
      <c r="B97" s="61">
        <f>B80</f>
        <v>2010</v>
      </c>
      <c r="C97" s="61">
        <f t="shared" ref="C97:AD97" si="86">C80</f>
        <v>2011</v>
      </c>
      <c r="D97" s="61">
        <f t="shared" si="86"/>
        <v>2012</v>
      </c>
      <c r="E97" s="61">
        <f t="shared" si="86"/>
        <v>2013</v>
      </c>
      <c r="F97" s="61">
        <f t="shared" si="86"/>
        <v>2014</v>
      </c>
      <c r="G97" s="61">
        <f t="shared" si="86"/>
        <v>2015</v>
      </c>
      <c r="H97" s="61">
        <f t="shared" si="86"/>
        <v>2016</v>
      </c>
      <c r="I97" s="61">
        <f t="shared" si="86"/>
        <v>2017</v>
      </c>
      <c r="J97" s="61">
        <f t="shared" si="86"/>
        <v>2018</v>
      </c>
      <c r="K97" s="61">
        <f t="shared" si="86"/>
        <v>2019</v>
      </c>
      <c r="L97" s="61">
        <f t="shared" si="86"/>
        <v>2020</v>
      </c>
      <c r="M97" s="61">
        <f t="shared" si="86"/>
        <v>2021</v>
      </c>
      <c r="N97" s="61">
        <f t="shared" si="86"/>
        <v>2022</v>
      </c>
      <c r="O97" s="61">
        <f t="shared" si="86"/>
        <v>2023</v>
      </c>
      <c r="P97" s="61">
        <f t="shared" si="86"/>
        <v>2024</v>
      </c>
      <c r="Q97" s="61">
        <f t="shared" si="86"/>
        <v>2025</v>
      </c>
      <c r="R97" s="61">
        <f t="shared" si="86"/>
        <v>2026</v>
      </c>
      <c r="S97" s="61">
        <f t="shared" si="86"/>
        <v>2027</v>
      </c>
      <c r="T97" s="61">
        <f t="shared" si="86"/>
        <v>2028</v>
      </c>
      <c r="U97" s="61">
        <f t="shared" si="86"/>
        <v>2029</v>
      </c>
      <c r="V97" s="61">
        <f t="shared" si="86"/>
        <v>2030</v>
      </c>
      <c r="W97" s="61">
        <f t="shared" si="86"/>
        <v>2031</v>
      </c>
      <c r="X97" s="61">
        <f t="shared" si="86"/>
        <v>2032</v>
      </c>
      <c r="Y97" s="61">
        <f t="shared" si="86"/>
        <v>2033</v>
      </c>
      <c r="Z97" s="61">
        <f t="shared" si="86"/>
        <v>2034</v>
      </c>
      <c r="AA97" s="61">
        <f t="shared" si="86"/>
        <v>2035</v>
      </c>
      <c r="AB97" s="61">
        <f t="shared" si="86"/>
        <v>2036</v>
      </c>
      <c r="AC97" s="61">
        <f t="shared" si="86"/>
        <v>2037</v>
      </c>
      <c r="AD97" s="61">
        <f t="shared" si="86"/>
        <v>2038</v>
      </c>
      <c r="AE97" s="61">
        <f>AE80</f>
        <v>2039</v>
      </c>
      <c r="AF97" s="61">
        <f>AF80</f>
        <v>2040</v>
      </c>
      <c r="AG97" s="61">
        <f t="shared" ref="AG97:AO97" si="87">AG80</f>
        <v>2040</v>
      </c>
      <c r="AH97" s="61">
        <f t="shared" si="87"/>
        <v>2040</v>
      </c>
      <c r="AI97" s="61">
        <f t="shared" si="87"/>
        <v>2040</v>
      </c>
      <c r="AJ97" s="61">
        <f t="shared" si="87"/>
        <v>2040</v>
      </c>
      <c r="AK97" s="61">
        <f t="shared" si="87"/>
        <v>2040</v>
      </c>
      <c r="AL97" s="61">
        <f t="shared" si="87"/>
        <v>2040</v>
      </c>
      <c r="AM97" s="61">
        <f t="shared" si="87"/>
        <v>2040</v>
      </c>
      <c r="AN97" s="61">
        <f t="shared" si="87"/>
        <v>2040</v>
      </c>
      <c r="AO97" s="61">
        <f t="shared" si="87"/>
        <v>2040</v>
      </c>
      <c r="AP97" s="61">
        <f>AP80</f>
        <v>2040</v>
      </c>
    </row>
    <row r="98" spans="1:44" x14ac:dyDescent="0.2">
      <c r="A98" s="32" t="s">
        <v>93</v>
      </c>
      <c r="B98" s="35">
        <f>SUM(B81:B83)</f>
        <v>1835141</v>
      </c>
      <c r="C98" s="35">
        <f t="shared" ref="C98:K98" si="88">SUM(C81:C83)</f>
        <v>146358139</v>
      </c>
      <c r="D98" s="35">
        <f t="shared" si="88"/>
        <v>238368400</v>
      </c>
      <c r="E98" s="35">
        <f t="shared" si="88"/>
        <v>260120663</v>
      </c>
      <c r="F98" s="35">
        <f t="shared" si="88"/>
        <v>236221040</v>
      </c>
      <c r="G98" s="35">
        <f t="shared" si="88"/>
        <v>233280399</v>
      </c>
      <c r="H98" s="35">
        <f t="shared" si="88"/>
        <v>355713173</v>
      </c>
      <c r="I98" s="35">
        <f t="shared" si="88"/>
        <v>347421288</v>
      </c>
      <c r="J98" s="35">
        <f t="shared" si="88"/>
        <v>409153373</v>
      </c>
      <c r="K98" s="35">
        <f t="shared" si="88"/>
        <v>407493686</v>
      </c>
      <c r="L98" s="35">
        <f>SUM(L81:L83)</f>
        <v>440311542</v>
      </c>
      <c r="M98" s="35">
        <f t="shared" ref="M98:AD98" si="89">SUM(M81:M83)</f>
        <v>398867372</v>
      </c>
      <c r="N98" s="35">
        <f t="shared" si="89"/>
        <v>379152651</v>
      </c>
      <c r="O98" s="35">
        <f t="shared" si="89"/>
        <v>475347412</v>
      </c>
      <c r="P98" s="35">
        <f t="shared" si="89"/>
        <v>502163198</v>
      </c>
      <c r="Q98" s="36">
        <f t="shared" si="89"/>
        <v>248639167</v>
      </c>
      <c r="R98" s="36">
        <f t="shared" si="89"/>
        <v>352154374.56954384</v>
      </c>
      <c r="S98" s="36">
        <f t="shared" si="89"/>
        <v>338295169.21252871</v>
      </c>
      <c r="T98" s="36">
        <f t="shared" si="89"/>
        <v>280845385.917337</v>
      </c>
      <c r="U98" s="36">
        <f t="shared" si="89"/>
        <v>310872765.75346529</v>
      </c>
      <c r="V98" s="36">
        <f t="shared" si="89"/>
        <v>297522075.18839687</v>
      </c>
      <c r="W98" s="36">
        <f t="shared" si="89"/>
        <v>314409537.88383508</v>
      </c>
      <c r="X98" s="36">
        <f t="shared" si="89"/>
        <v>322433854.682271</v>
      </c>
      <c r="Y98" s="36">
        <f t="shared" si="89"/>
        <v>321541783.55552113</v>
      </c>
      <c r="Z98" s="36">
        <f t="shared" si="89"/>
        <v>303799219.85338426</v>
      </c>
      <c r="AA98" s="36">
        <f t="shared" si="89"/>
        <v>290926984.57356644</v>
      </c>
      <c r="AB98" s="36">
        <f t="shared" si="89"/>
        <v>241817610.90886986</v>
      </c>
      <c r="AC98" s="36">
        <f t="shared" si="89"/>
        <v>196980363.93014091</v>
      </c>
      <c r="AD98" s="36">
        <f t="shared" si="89"/>
        <v>191185702.2782118</v>
      </c>
      <c r="AE98" s="36">
        <f>SUM(AE81:AE83)</f>
        <v>157425083.7166976</v>
      </c>
      <c r="AF98" s="36">
        <f>SUM(AF81:AF83)</f>
        <v>98955913.082054719</v>
      </c>
      <c r="AG98" s="36">
        <f t="shared" ref="AG98:AO98" si="90">SUM(AG81:AG83)</f>
        <v>108398456.78885801</v>
      </c>
      <c r="AH98" s="36">
        <f t="shared" si="90"/>
        <v>106927904.89619409</v>
      </c>
      <c r="AI98" s="36">
        <f t="shared" si="90"/>
        <v>90345192.378623426</v>
      </c>
      <c r="AJ98" s="36">
        <f t="shared" si="90"/>
        <v>91030474.739808202</v>
      </c>
      <c r="AK98" s="36">
        <f t="shared" si="90"/>
        <v>91358925.112814233</v>
      </c>
      <c r="AL98" s="36">
        <f t="shared" si="90"/>
        <v>91126530.548935741</v>
      </c>
      <c r="AM98" s="36">
        <f t="shared" si="90"/>
        <v>91188267.089675322</v>
      </c>
      <c r="AN98" s="36">
        <f t="shared" si="90"/>
        <v>92465201.445616156</v>
      </c>
      <c r="AO98" s="36">
        <f t="shared" si="90"/>
        <v>93799940.821847707</v>
      </c>
      <c r="AP98" s="36">
        <f>SUM(AP81:AP83)</f>
        <v>95581718.681237549</v>
      </c>
      <c r="AQ98" s="36"/>
      <c r="AR98" s="35"/>
    </row>
    <row r="99" spans="1:44" x14ac:dyDescent="0.2">
      <c r="A99" s="32" t="s">
        <v>94</v>
      </c>
      <c r="B99" s="35">
        <f>SUM(B84:B86)</f>
        <v>1645701</v>
      </c>
      <c r="C99" s="35">
        <f t="shared" ref="C99:K99" si="91">SUM(C84:C86)</f>
        <v>234146463</v>
      </c>
      <c r="D99" s="35">
        <f t="shared" si="91"/>
        <v>322699221</v>
      </c>
      <c r="E99" s="35">
        <f t="shared" si="91"/>
        <v>376939654</v>
      </c>
      <c r="F99" s="35">
        <f t="shared" si="91"/>
        <v>342614695</v>
      </c>
      <c r="G99" s="35">
        <f t="shared" si="91"/>
        <v>402079456</v>
      </c>
      <c r="H99" s="35">
        <f t="shared" si="91"/>
        <v>523995005</v>
      </c>
      <c r="I99" s="35">
        <f t="shared" si="91"/>
        <v>560057933</v>
      </c>
      <c r="J99" s="35">
        <f t="shared" si="91"/>
        <v>515648652</v>
      </c>
      <c r="K99" s="35">
        <f t="shared" si="91"/>
        <v>525609620</v>
      </c>
      <c r="L99" s="35">
        <f>SUM(L84:L86)</f>
        <v>512128686</v>
      </c>
      <c r="M99" s="35">
        <f t="shared" ref="M99:AD99" si="92">SUM(M84:M86)</f>
        <v>497607042</v>
      </c>
      <c r="N99" s="35">
        <f t="shared" si="92"/>
        <v>487981562</v>
      </c>
      <c r="O99" s="35">
        <f t="shared" si="92"/>
        <v>565999517</v>
      </c>
      <c r="P99" s="35">
        <f t="shared" si="92"/>
        <v>533912627</v>
      </c>
      <c r="Q99" s="36">
        <f t="shared" si="92"/>
        <v>496442952.89856327</v>
      </c>
      <c r="R99" s="36">
        <f t="shared" si="92"/>
        <v>429438617.31411928</v>
      </c>
      <c r="S99" s="36">
        <f t="shared" si="92"/>
        <v>434150793.81640434</v>
      </c>
      <c r="T99" s="36">
        <f t="shared" si="92"/>
        <v>361096638.93093646</v>
      </c>
      <c r="U99" s="36">
        <f t="shared" si="92"/>
        <v>406825495.31947434</v>
      </c>
      <c r="V99" s="36">
        <f t="shared" si="92"/>
        <v>414396186.77520216</v>
      </c>
      <c r="W99" s="36">
        <f t="shared" si="92"/>
        <v>407509826.27020007</v>
      </c>
      <c r="X99" s="36">
        <f t="shared" si="92"/>
        <v>422537843.11890817</v>
      </c>
      <c r="Y99" s="36">
        <f t="shared" si="92"/>
        <v>397001012.41459686</v>
      </c>
      <c r="Z99" s="36">
        <f t="shared" si="92"/>
        <v>387656673.06667179</v>
      </c>
      <c r="AA99" s="36">
        <f t="shared" si="92"/>
        <v>370360493.87755084</v>
      </c>
      <c r="AB99" s="36">
        <f t="shared" si="92"/>
        <v>309273364.15252215</v>
      </c>
      <c r="AC99" s="36">
        <f t="shared" si="92"/>
        <v>252095165.01720279</v>
      </c>
      <c r="AD99" s="36">
        <f t="shared" si="92"/>
        <v>242617344.92376062</v>
      </c>
      <c r="AE99" s="36">
        <f>SUM(AE84:AE86)</f>
        <v>201864950.18979082</v>
      </c>
      <c r="AF99" s="36">
        <f>SUM(AF84:AF86)</f>
        <v>129308869.01022869</v>
      </c>
      <c r="AG99" s="36">
        <f t="shared" ref="AG99:AO99" si="93">SUM(AG84:AG86)</f>
        <v>141008405.39891165</v>
      </c>
      <c r="AH99" s="36">
        <f t="shared" si="93"/>
        <v>139203724.96753046</v>
      </c>
      <c r="AI99" s="36">
        <f t="shared" si="93"/>
        <v>118880531.83465809</v>
      </c>
      <c r="AJ99" s="36">
        <f t="shared" si="93"/>
        <v>119974602.64026976</v>
      </c>
      <c r="AK99" s="36">
        <f t="shared" si="93"/>
        <v>120344606.75415029</v>
      </c>
      <c r="AL99" s="36">
        <f t="shared" si="93"/>
        <v>120022716.2882355</v>
      </c>
      <c r="AM99" s="36">
        <f t="shared" si="93"/>
        <v>120016521.79295425</v>
      </c>
      <c r="AN99" s="36">
        <f t="shared" si="93"/>
        <v>121745714.18949795</v>
      </c>
      <c r="AO99" s="36">
        <f t="shared" si="93"/>
        <v>123557179.47523701</v>
      </c>
      <c r="AP99" s="36">
        <f>SUM(AP84:AP86)</f>
        <v>125791901.00125378</v>
      </c>
      <c r="AQ99" s="36"/>
      <c r="AR99" s="35"/>
    </row>
    <row r="100" spans="1:44" x14ac:dyDescent="0.2">
      <c r="A100" s="32" t="s">
        <v>95</v>
      </c>
      <c r="B100" s="35">
        <f>SUM(B87:B89)</f>
        <v>103500343</v>
      </c>
      <c r="C100" s="35">
        <f t="shared" ref="C100:AD100" si="94">SUM(C87:C89)</f>
        <v>312195718</v>
      </c>
      <c r="D100" s="35">
        <f t="shared" si="94"/>
        <v>284989424</v>
      </c>
      <c r="E100" s="35">
        <f t="shared" si="94"/>
        <v>419327841</v>
      </c>
      <c r="F100" s="35">
        <f t="shared" si="94"/>
        <v>417955207</v>
      </c>
      <c r="G100" s="35">
        <f t="shared" si="94"/>
        <v>462186626</v>
      </c>
      <c r="H100" s="35">
        <f t="shared" si="94"/>
        <v>607655745</v>
      </c>
      <c r="I100" s="35">
        <f t="shared" si="94"/>
        <v>590729486</v>
      </c>
      <c r="J100" s="35">
        <f t="shared" si="94"/>
        <v>537564528</v>
      </c>
      <c r="K100" s="35">
        <f t="shared" si="94"/>
        <v>506718750</v>
      </c>
      <c r="L100" s="35">
        <f t="shared" si="94"/>
        <v>552497912</v>
      </c>
      <c r="M100" s="35">
        <f t="shared" si="94"/>
        <v>479630133</v>
      </c>
      <c r="N100" s="35">
        <f t="shared" si="94"/>
        <v>474317020</v>
      </c>
      <c r="O100" s="35">
        <f t="shared" si="94"/>
        <v>553833279</v>
      </c>
      <c r="P100" s="35">
        <f>SUM(P87:P89)</f>
        <v>493821058</v>
      </c>
      <c r="Q100" s="36">
        <f t="shared" si="94"/>
        <v>492161227.48224056</v>
      </c>
      <c r="R100" s="36">
        <f t="shared" si="94"/>
        <v>419227662.73168749</v>
      </c>
      <c r="S100" s="36">
        <f t="shared" si="94"/>
        <v>424703913.93871254</v>
      </c>
      <c r="T100" s="36">
        <f t="shared" si="94"/>
        <v>350670545.93825227</v>
      </c>
      <c r="U100" s="36">
        <f t="shared" si="94"/>
        <v>394604101.34227931</v>
      </c>
      <c r="V100" s="36">
        <f t="shared" si="94"/>
        <v>405123026.11187196</v>
      </c>
      <c r="W100" s="36">
        <f t="shared" si="94"/>
        <v>397373475.19281864</v>
      </c>
      <c r="X100" s="36">
        <f t="shared" si="94"/>
        <v>413834212.56504762</v>
      </c>
      <c r="Y100" s="36">
        <f t="shared" si="94"/>
        <v>388814451.85947156</v>
      </c>
      <c r="Z100" s="36">
        <f t="shared" si="94"/>
        <v>379720030.1025613</v>
      </c>
      <c r="AA100" s="36">
        <f t="shared" si="94"/>
        <v>363493948.71954739</v>
      </c>
      <c r="AB100" s="36">
        <f t="shared" si="94"/>
        <v>303611233.91471964</v>
      </c>
      <c r="AC100" s="36">
        <f t="shared" si="94"/>
        <v>247435110.05566981</v>
      </c>
      <c r="AD100" s="36">
        <f t="shared" si="94"/>
        <v>239111875.46539283</v>
      </c>
      <c r="AE100" s="36">
        <f>SUM(AE87:AE89)</f>
        <v>199120698.30284676</v>
      </c>
      <c r="AF100" s="36">
        <f>SUM(AF87:AF89)</f>
        <v>126324147.97725266</v>
      </c>
      <c r="AG100" s="36">
        <f t="shared" ref="AG100:AO100" si="95">SUM(AG87:AG89)</f>
        <v>138043774.33322865</v>
      </c>
      <c r="AH100" s="36">
        <f t="shared" si="95"/>
        <v>136275333.6279439</v>
      </c>
      <c r="AI100" s="36">
        <f t="shared" si="95"/>
        <v>115944381.24973445</v>
      </c>
      <c r="AJ100" s="36">
        <f t="shared" si="95"/>
        <v>117064262.7686858</v>
      </c>
      <c r="AK100" s="36">
        <f t="shared" si="95"/>
        <v>117433964.81863266</v>
      </c>
      <c r="AL100" s="36">
        <f t="shared" si="95"/>
        <v>117104324.57059416</v>
      </c>
      <c r="AM100" s="36">
        <f t="shared" si="95"/>
        <v>117084981.72484086</v>
      </c>
      <c r="AN100" s="36">
        <f t="shared" si="95"/>
        <v>118852111.01842503</v>
      </c>
      <c r="AO100" s="36">
        <f t="shared" si="95"/>
        <v>120700785.53718181</v>
      </c>
      <c r="AP100" s="36">
        <f>SUM(AP87:AP89)</f>
        <v>122950978.39139262</v>
      </c>
      <c r="AQ100" s="36"/>
      <c r="AR100" s="35"/>
    </row>
    <row r="101" spans="1:44" x14ac:dyDescent="0.2">
      <c r="A101" s="32" t="s">
        <v>96</v>
      </c>
      <c r="B101" s="35">
        <f>SUM(B90:B92)</f>
        <v>119298133</v>
      </c>
      <c r="C101" s="35">
        <f t="shared" ref="C101:AD101" si="96">SUM(C90:C92)</f>
        <v>386458510</v>
      </c>
      <c r="D101" s="35">
        <f t="shared" si="96"/>
        <v>210892246</v>
      </c>
      <c r="E101" s="35">
        <f t="shared" si="96"/>
        <v>478516736</v>
      </c>
      <c r="F101" s="35">
        <f t="shared" si="96"/>
        <v>440031148</v>
      </c>
      <c r="G101" s="35">
        <f t="shared" si="96"/>
        <v>417973037</v>
      </c>
      <c r="H101" s="35">
        <f t="shared" si="96"/>
        <v>707360380</v>
      </c>
      <c r="I101" s="35">
        <f t="shared" si="96"/>
        <v>551957694</v>
      </c>
      <c r="J101" s="35">
        <f t="shared" si="96"/>
        <v>567897609</v>
      </c>
      <c r="K101" s="35">
        <f t="shared" si="96"/>
        <v>458695093</v>
      </c>
      <c r="L101" s="35">
        <f t="shared" si="96"/>
        <v>529431192</v>
      </c>
      <c r="M101" s="35">
        <f t="shared" si="96"/>
        <v>536975535</v>
      </c>
      <c r="N101" s="35">
        <f t="shared" si="96"/>
        <v>519084443</v>
      </c>
      <c r="O101" s="35">
        <f t="shared" si="96"/>
        <v>580074931</v>
      </c>
      <c r="P101" s="36">
        <f t="shared" si="96"/>
        <v>537402975</v>
      </c>
      <c r="Q101" s="36">
        <f t="shared" si="96"/>
        <v>686454650.12718356</v>
      </c>
      <c r="R101" s="36">
        <f t="shared" si="96"/>
        <v>450021930.74512517</v>
      </c>
      <c r="S101" s="36">
        <f t="shared" si="96"/>
        <v>473136183.50686288</v>
      </c>
      <c r="T101" s="36">
        <f t="shared" si="96"/>
        <v>399345817.064704</v>
      </c>
      <c r="U101" s="36">
        <f t="shared" si="96"/>
        <v>458779083.0066098</v>
      </c>
      <c r="V101" s="36">
        <f t="shared" si="96"/>
        <v>480614826.65656126</v>
      </c>
      <c r="W101" s="36">
        <f t="shared" si="96"/>
        <v>450510166.42155993</v>
      </c>
      <c r="X101" s="36">
        <f t="shared" si="96"/>
        <v>470086143.95967156</v>
      </c>
      <c r="Y101" s="36">
        <f t="shared" si="96"/>
        <v>423804865.21146023</v>
      </c>
      <c r="Z101" s="36">
        <f t="shared" si="96"/>
        <v>423937138.16557223</v>
      </c>
      <c r="AA101" s="36">
        <f t="shared" si="96"/>
        <v>403062564.13735914</v>
      </c>
      <c r="AB101" s="36">
        <f t="shared" si="96"/>
        <v>337510785.52202785</v>
      </c>
      <c r="AC101" s="36">
        <f t="shared" si="96"/>
        <v>275103392.38109279</v>
      </c>
      <c r="AD101" s="36">
        <f t="shared" si="96"/>
        <v>262347269.71705747</v>
      </c>
      <c r="AE101" s="36">
        <f>SUM(AE90:AE92)</f>
        <v>219404225.36333585</v>
      </c>
      <c r="AF101" s="36">
        <f>SUM(AF90:AF92)</f>
        <v>142743489.43074495</v>
      </c>
      <c r="AG101" s="36">
        <f t="shared" ref="AG101:AO101" si="97">SUM(AG90:AG92)</f>
        <v>155095599.10263991</v>
      </c>
      <c r="AH101" s="36">
        <f t="shared" si="97"/>
        <v>153115823.12416813</v>
      </c>
      <c r="AI101" s="36">
        <f t="shared" si="97"/>
        <v>131687276.98999532</v>
      </c>
      <c r="AJ101" s="36">
        <f t="shared" si="97"/>
        <v>132975122.25725979</v>
      </c>
      <c r="AK101" s="36">
        <f t="shared" si="97"/>
        <v>133337859.45280063</v>
      </c>
      <c r="AL101" s="36">
        <f t="shared" si="97"/>
        <v>132984978.39296699</v>
      </c>
      <c r="AM101" s="36">
        <f t="shared" si="97"/>
        <v>132953139.85081212</v>
      </c>
      <c r="AN101" s="36">
        <f t="shared" si="97"/>
        <v>134806795.76656049</v>
      </c>
      <c r="AO101" s="36">
        <f t="shared" si="97"/>
        <v>136757470.87951127</v>
      </c>
      <c r="AP101" s="36">
        <f>SUM(AP90:AP92)</f>
        <v>139114467.46561798</v>
      </c>
      <c r="AQ101" s="36"/>
      <c r="AR101" s="35"/>
    </row>
    <row r="102" spans="1:44" x14ac:dyDescent="0.2">
      <c r="A102" s="32" t="s">
        <v>58</v>
      </c>
      <c r="B102" s="35">
        <f>SUM(B98:B101)</f>
        <v>226279318</v>
      </c>
      <c r="C102" s="35">
        <f t="shared" ref="C102:AD102" si="98">SUM(C98:C101)</f>
        <v>1079158830</v>
      </c>
      <c r="D102" s="35">
        <f t="shared" si="98"/>
        <v>1056949291</v>
      </c>
      <c r="E102" s="35">
        <f t="shared" si="98"/>
        <v>1534904894</v>
      </c>
      <c r="F102" s="35">
        <f t="shared" si="98"/>
        <v>1436822090</v>
      </c>
      <c r="G102" s="35">
        <f t="shared" si="98"/>
        <v>1515519518</v>
      </c>
      <c r="H102" s="35">
        <f t="shared" si="98"/>
        <v>2194724303</v>
      </c>
      <c r="I102" s="35">
        <f t="shared" si="98"/>
        <v>2050166401</v>
      </c>
      <c r="J102" s="35">
        <f t="shared" si="98"/>
        <v>2030264162</v>
      </c>
      <c r="K102" s="35">
        <f t="shared" si="98"/>
        <v>1898517149</v>
      </c>
      <c r="L102" s="35">
        <f t="shared" si="98"/>
        <v>2034369332</v>
      </c>
      <c r="M102" s="35">
        <f t="shared" si="98"/>
        <v>1913080082</v>
      </c>
      <c r="N102" s="35">
        <f t="shared" si="98"/>
        <v>1860535676</v>
      </c>
      <c r="O102" s="35">
        <f t="shared" si="98"/>
        <v>2175255139</v>
      </c>
      <c r="P102" s="36">
        <f t="shared" si="98"/>
        <v>2067299858</v>
      </c>
      <c r="Q102" s="36">
        <f t="shared" si="98"/>
        <v>1923697997.5079875</v>
      </c>
      <c r="R102" s="36">
        <f t="shared" si="98"/>
        <v>1650842585.360476</v>
      </c>
      <c r="S102" s="36">
        <f t="shared" si="98"/>
        <v>1670286060.4745085</v>
      </c>
      <c r="T102" s="36">
        <f t="shared" si="98"/>
        <v>1391958387.8512297</v>
      </c>
      <c r="U102" s="36">
        <f t="shared" si="98"/>
        <v>1571081445.4218287</v>
      </c>
      <c r="V102" s="36">
        <f t="shared" si="98"/>
        <v>1597656114.7320323</v>
      </c>
      <c r="W102" s="36">
        <f t="shared" si="98"/>
        <v>1569803005.7684135</v>
      </c>
      <c r="X102" s="36">
        <f t="shared" si="98"/>
        <v>1628892054.3258982</v>
      </c>
      <c r="Y102" s="36">
        <f t="shared" si="98"/>
        <v>1531162113.04105</v>
      </c>
      <c r="Z102" s="36">
        <f t="shared" si="98"/>
        <v>1495113061.1881895</v>
      </c>
      <c r="AA102" s="36">
        <f t="shared" si="98"/>
        <v>1427843991.3080239</v>
      </c>
      <c r="AB102" s="36">
        <f t="shared" si="98"/>
        <v>1192212994.4981394</v>
      </c>
      <c r="AC102" s="36">
        <f t="shared" si="98"/>
        <v>971614031.38410628</v>
      </c>
      <c r="AD102" s="36">
        <f t="shared" si="98"/>
        <v>935262192.38442278</v>
      </c>
      <c r="AE102" s="36">
        <f>SUM(AE98:AE101)</f>
        <v>777814957.57267106</v>
      </c>
      <c r="AF102" s="36">
        <f>SUM(AF98:AF101)</f>
        <v>497332419.50028104</v>
      </c>
      <c r="AG102" s="36">
        <f t="shared" ref="AG102:AP102" si="99">SUM(AG98:AG101)</f>
        <v>542546235.62363815</v>
      </c>
      <c r="AH102" s="36">
        <f t="shared" si="99"/>
        <v>535522786.61583662</v>
      </c>
      <c r="AI102" s="36">
        <f t="shared" si="99"/>
        <v>456857382.45301127</v>
      </c>
      <c r="AJ102" s="36">
        <f t="shared" si="99"/>
        <v>461044462.40602356</v>
      </c>
      <c r="AK102" s="36">
        <f t="shared" si="99"/>
        <v>462475356.13839781</v>
      </c>
      <c r="AL102" s="36">
        <f t="shared" si="99"/>
        <v>461238549.80073237</v>
      </c>
      <c r="AM102" s="36">
        <f t="shared" si="99"/>
        <v>461242910.45828259</v>
      </c>
      <c r="AN102" s="36">
        <f t="shared" si="99"/>
        <v>467869822.42009962</v>
      </c>
      <c r="AO102" s="36">
        <f t="shared" si="99"/>
        <v>474815376.71377778</v>
      </c>
      <c r="AP102" s="36">
        <f t="shared" si="99"/>
        <v>483439065.53950191</v>
      </c>
      <c r="AQ102" s="36"/>
      <c r="AR102" s="35"/>
    </row>
    <row r="105" spans="1:44" x14ac:dyDescent="0.2">
      <c r="A105" s="32" t="s">
        <v>107</v>
      </c>
    </row>
    <row r="106" spans="1:44" s="61" customFormat="1" x14ac:dyDescent="0.2">
      <c r="B106" s="61">
        <f>B97</f>
        <v>2010</v>
      </c>
      <c r="C106" s="61">
        <f t="shared" ref="C106:AD106" si="100">C97</f>
        <v>2011</v>
      </c>
      <c r="D106" s="61">
        <f t="shared" si="100"/>
        <v>2012</v>
      </c>
      <c r="E106" s="61">
        <f t="shared" si="100"/>
        <v>2013</v>
      </c>
      <c r="F106" s="61">
        <f t="shared" si="100"/>
        <v>2014</v>
      </c>
      <c r="G106" s="61">
        <f t="shared" si="100"/>
        <v>2015</v>
      </c>
      <c r="H106" s="61">
        <f t="shared" si="100"/>
        <v>2016</v>
      </c>
      <c r="I106" s="61">
        <f t="shared" si="100"/>
        <v>2017</v>
      </c>
      <c r="J106" s="61">
        <f t="shared" si="100"/>
        <v>2018</v>
      </c>
      <c r="K106" s="61">
        <f t="shared" si="100"/>
        <v>2019</v>
      </c>
      <c r="L106" s="61">
        <f t="shared" si="100"/>
        <v>2020</v>
      </c>
      <c r="M106" s="61">
        <f t="shared" si="100"/>
        <v>2021</v>
      </c>
      <c r="N106" s="61">
        <f t="shared" si="100"/>
        <v>2022</v>
      </c>
      <c r="O106" s="61">
        <f t="shared" si="100"/>
        <v>2023</v>
      </c>
      <c r="P106" s="61">
        <f t="shared" si="100"/>
        <v>2024</v>
      </c>
      <c r="Q106" s="61">
        <f t="shared" si="100"/>
        <v>2025</v>
      </c>
      <c r="R106" s="61">
        <f t="shared" si="100"/>
        <v>2026</v>
      </c>
      <c r="S106" s="61">
        <f t="shared" si="100"/>
        <v>2027</v>
      </c>
      <c r="T106" s="61">
        <f t="shared" si="100"/>
        <v>2028</v>
      </c>
      <c r="U106" s="61">
        <f t="shared" si="100"/>
        <v>2029</v>
      </c>
      <c r="V106" s="61">
        <f t="shared" si="100"/>
        <v>2030</v>
      </c>
      <c r="W106" s="61">
        <f t="shared" si="100"/>
        <v>2031</v>
      </c>
      <c r="X106" s="61">
        <f t="shared" si="100"/>
        <v>2032</v>
      </c>
      <c r="Y106" s="61">
        <f t="shared" si="100"/>
        <v>2033</v>
      </c>
      <c r="Z106" s="61">
        <f t="shared" si="100"/>
        <v>2034</v>
      </c>
      <c r="AA106" s="61">
        <f t="shared" si="100"/>
        <v>2035</v>
      </c>
      <c r="AB106" s="61">
        <f t="shared" si="100"/>
        <v>2036</v>
      </c>
      <c r="AC106" s="61">
        <f t="shared" si="100"/>
        <v>2037</v>
      </c>
      <c r="AD106" s="61">
        <f t="shared" si="100"/>
        <v>2038</v>
      </c>
      <c r="AE106" s="61">
        <f>AE97</f>
        <v>2039</v>
      </c>
      <c r="AF106" s="61">
        <f>AF97</f>
        <v>2040</v>
      </c>
      <c r="AG106" s="61">
        <f t="shared" ref="AG106:AO106" si="101">AG97</f>
        <v>2040</v>
      </c>
      <c r="AH106" s="61">
        <f t="shared" si="101"/>
        <v>2040</v>
      </c>
      <c r="AI106" s="61">
        <f t="shared" si="101"/>
        <v>2040</v>
      </c>
      <c r="AJ106" s="61">
        <f t="shared" si="101"/>
        <v>2040</v>
      </c>
      <c r="AK106" s="61">
        <f t="shared" si="101"/>
        <v>2040</v>
      </c>
      <c r="AL106" s="61">
        <f t="shared" si="101"/>
        <v>2040</v>
      </c>
      <c r="AM106" s="61">
        <f t="shared" si="101"/>
        <v>2040</v>
      </c>
      <c r="AN106" s="61">
        <f t="shared" si="101"/>
        <v>2040</v>
      </c>
      <c r="AO106" s="61">
        <f t="shared" si="101"/>
        <v>2040</v>
      </c>
      <c r="AP106" s="61">
        <f>AP97</f>
        <v>2040</v>
      </c>
    </row>
    <row r="107" spans="1:44" x14ac:dyDescent="0.2">
      <c r="A107" s="32" t="s">
        <v>93</v>
      </c>
      <c r="C107" s="35">
        <f>C60</f>
        <v>1954349</v>
      </c>
      <c r="D107" s="35">
        <f t="shared" ref="D107:J107" si="102">D60</f>
        <v>5006202</v>
      </c>
      <c r="E107" s="35">
        <f t="shared" si="102"/>
        <v>5481532</v>
      </c>
      <c r="F107" s="35">
        <f t="shared" si="102"/>
        <v>16037416</v>
      </c>
      <c r="G107" s="35">
        <f t="shared" si="102"/>
        <v>19632811</v>
      </c>
      <c r="H107" s="35">
        <f t="shared" si="102"/>
        <v>28882258</v>
      </c>
      <c r="I107" s="35">
        <f t="shared" si="102"/>
        <v>38177310</v>
      </c>
      <c r="J107" s="35">
        <f t="shared" si="102"/>
        <v>36595945</v>
      </c>
      <c r="K107" s="35">
        <f>K60</f>
        <v>41827876</v>
      </c>
      <c r="L107" s="35">
        <f>L60</f>
        <v>56349932</v>
      </c>
      <c r="M107" s="35">
        <f>M60</f>
        <v>61422026</v>
      </c>
      <c r="N107" s="35">
        <f>N60</f>
        <v>70878960</v>
      </c>
      <c r="O107" s="35">
        <f>O60</f>
        <v>68541019</v>
      </c>
      <c r="P107" s="36">
        <f t="shared" ref="N107:AP110" si="103">MROUND(FORECAST(P98,H107:O107,H98:O98),50000)</f>
        <v>70900000</v>
      </c>
      <c r="Q107" s="36">
        <f t="shared" si="103"/>
        <v>27950000</v>
      </c>
      <c r="R107" s="36">
        <f t="shared" si="103"/>
        <v>45850000</v>
      </c>
      <c r="S107" s="36">
        <f t="shared" si="103"/>
        <v>45750000</v>
      </c>
      <c r="T107" s="36">
        <f t="shared" si="103"/>
        <v>38050000</v>
      </c>
      <c r="U107" s="36">
        <f t="shared" si="103"/>
        <v>43250000</v>
      </c>
      <c r="V107" s="36">
        <f t="shared" si="103"/>
        <v>40700000</v>
      </c>
      <c r="W107" s="36">
        <f t="shared" si="103"/>
        <v>41800000</v>
      </c>
      <c r="X107" s="36">
        <f t="shared" si="103"/>
        <v>43000000</v>
      </c>
      <c r="Y107" s="36">
        <f t="shared" si="103"/>
        <v>43050000</v>
      </c>
      <c r="Z107" s="36">
        <f t="shared" si="103"/>
        <v>41200000</v>
      </c>
      <c r="AA107" s="36">
        <f t="shared" si="103"/>
        <v>39600000</v>
      </c>
      <c r="AB107" s="36">
        <f t="shared" si="103"/>
        <v>33850000</v>
      </c>
      <c r="AC107" s="36">
        <f t="shared" si="103"/>
        <v>28800000</v>
      </c>
      <c r="AD107" s="36">
        <f t="shared" si="103"/>
        <v>28200000</v>
      </c>
      <c r="AE107" s="36">
        <f t="shared" si="103"/>
        <v>24350000</v>
      </c>
      <c r="AF107" s="36">
        <f t="shared" si="103"/>
        <v>17650000</v>
      </c>
      <c r="AG107" s="36">
        <f t="shared" si="103"/>
        <v>18700000</v>
      </c>
      <c r="AH107" s="36">
        <f t="shared" si="103"/>
        <v>18550000</v>
      </c>
      <c r="AI107" s="36">
        <f t="shared" si="103"/>
        <v>16650000</v>
      </c>
      <c r="AJ107" s="36">
        <f t="shared" si="103"/>
        <v>16750000</v>
      </c>
      <c r="AK107" s="36">
        <f t="shared" si="103"/>
        <v>16800000</v>
      </c>
      <c r="AL107" s="36">
        <f t="shared" si="103"/>
        <v>16750000</v>
      </c>
      <c r="AM107" s="36">
        <f t="shared" si="103"/>
        <v>16750000</v>
      </c>
      <c r="AN107" s="36">
        <f t="shared" si="103"/>
        <v>16900000</v>
      </c>
      <c r="AO107" s="36">
        <f t="shared" si="103"/>
        <v>17050000</v>
      </c>
      <c r="AP107" s="36">
        <f t="shared" si="103"/>
        <v>17250000</v>
      </c>
      <c r="AQ107" s="36"/>
      <c r="AR107" s="35"/>
    </row>
    <row r="108" spans="1:44" x14ac:dyDescent="0.2">
      <c r="A108" s="32" t="s">
        <v>94</v>
      </c>
      <c r="C108" s="35">
        <f t="shared" ref="C108:M110" si="104">C61</f>
        <v>2623187</v>
      </c>
      <c r="D108" s="35">
        <f t="shared" si="104"/>
        <v>6502404</v>
      </c>
      <c r="E108" s="35">
        <f t="shared" si="104"/>
        <v>13975203</v>
      </c>
      <c r="F108" s="35">
        <f t="shared" si="104"/>
        <v>16122376</v>
      </c>
      <c r="G108" s="35">
        <f t="shared" si="104"/>
        <v>28502517</v>
      </c>
      <c r="H108" s="35">
        <f t="shared" si="104"/>
        <v>35790526</v>
      </c>
      <c r="I108" s="35">
        <f t="shared" si="104"/>
        <v>37575247</v>
      </c>
      <c r="J108" s="35">
        <f t="shared" si="104"/>
        <v>40693700</v>
      </c>
      <c r="K108" s="35">
        <f>K61</f>
        <v>57413156</v>
      </c>
      <c r="L108" s="35">
        <f>L61</f>
        <v>59271313</v>
      </c>
      <c r="M108" s="35">
        <f>M61</f>
        <v>78153595</v>
      </c>
      <c r="N108" s="35">
        <f t="shared" si="103"/>
        <v>44650000</v>
      </c>
      <c r="O108" s="35">
        <f t="shared" si="103"/>
        <v>52950000</v>
      </c>
      <c r="P108" s="36">
        <f t="shared" si="103"/>
        <v>49050000</v>
      </c>
      <c r="Q108" s="36">
        <f t="shared" si="103"/>
        <v>57350000</v>
      </c>
      <c r="R108" s="36">
        <f t="shared" si="103"/>
        <v>62450000</v>
      </c>
      <c r="S108" s="36">
        <f t="shared" si="103"/>
        <v>62950000</v>
      </c>
      <c r="T108" s="36">
        <f t="shared" si="103"/>
        <v>68500000</v>
      </c>
      <c r="U108" s="36">
        <f t="shared" si="103"/>
        <v>64950000</v>
      </c>
      <c r="V108" s="36">
        <f t="shared" si="103"/>
        <v>62850000</v>
      </c>
      <c r="W108" s="36">
        <f t="shared" si="103"/>
        <v>64400000</v>
      </c>
      <c r="X108" s="36">
        <f t="shared" si="103"/>
        <v>62950000</v>
      </c>
      <c r="Y108" s="36">
        <f t="shared" si="103"/>
        <v>65300000</v>
      </c>
      <c r="Z108" s="36">
        <f t="shared" si="103"/>
        <v>66100000</v>
      </c>
      <c r="AA108" s="36">
        <f t="shared" si="103"/>
        <v>67550000</v>
      </c>
      <c r="AB108" s="36">
        <f t="shared" si="103"/>
        <v>73300000</v>
      </c>
      <c r="AC108" s="36">
        <f t="shared" si="103"/>
        <v>78550000</v>
      </c>
      <c r="AD108" s="36">
        <f t="shared" si="103"/>
        <v>79450000</v>
      </c>
      <c r="AE108" s="36">
        <f t="shared" si="103"/>
        <v>83150000</v>
      </c>
      <c r="AF108" s="36">
        <f t="shared" si="103"/>
        <v>89800000</v>
      </c>
      <c r="AG108" s="36">
        <f t="shared" si="103"/>
        <v>88750000</v>
      </c>
      <c r="AH108" s="36">
        <f t="shared" si="103"/>
        <v>88900000</v>
      </c>
      <c r="AI108" s="36">
        <f t="shared" si="103"/>
        <v>90800000</v>
      </c>
      <c r="AJ108" s="36">
        <f t="shared" si="103"/>
        <v>90700000</v>
      </c>
      <c r="AK108" s="36">
        <f t="shared" si="103"/>
        <v>90650000</v>
      </c>
      <c r="AL108" s="36">
        <f t="shared" si="103"/>
        <v>90700000</v>
      </c>
      <c r="AM108" s="36">
        <f t="shared" si="103"/>
        <v>90700000</v>
      </c>
      <c r="AN108" s="36">
        <f t="shared" si="103"/>
        <v>90550000</v>
      </c>
      <c r="AO108" s="36">
        <f t="shared" si="103"/>
        <v>90350000</v>
      </c>
      <c r="AP108" s="36">
        <f t="shared" si="103"/>
        <v>90150000</v>
      </c>
      <c r="AQ108" s="36"/>
      <c r="AR108" s="35"/>
    </row>
    <row r="109" spans="1:44" x14ac:dyDescent="0.2">
      <c r="A109" s="32" t="s">
        <v>95</v>
      </c>
      <c r="C109" s="35">
        <f t="shared" si="104"/>
        <v>3477614</v>
      </c>
      <c r="D109" s="35">
        <f t="shared" si="104"/>
        <v>4240695</v>
      </c>
      <c r="E109" s="35">
        <f t="shared" si="104"/>
        <v>13936349</v>
      </c>
      <c r="F109" s="35">
        <f t="shared" si="104"/>
        <v>13880356</v>
      </c>
      <c r="G109" s="35">
        <f t="shared" si="104"/>
        <v>42889152</v>
      </c>
      <c r="H109" s="35">
        <f t="shared" si="104"/>
        <v>45225506</v>
      </c>
      <c r="I109" s="35">
        <f t="shared" si="104"/>
        <v>50257498</v>
      </c>
      <c r="J109" s="35">
        <f t="shared" si="104"/>
        <v>49904077</v>
      </c>
      <c r="K109" s="35">
        <f t="shared" si="104"/>
        <v>56880071</v>
      </c>
      <c r="L109" s="35">
        <f t="shared" si="104"/>
        <v>69710273</v>
      </c>
      <c r="M109" s="35">
        <f t="shared" si="104"/>
        <v>77619602</v>
      </c>
      <c r="N109" s="35">
        <f t="shared" si="103"/>
        <v>46050000</v>
      </c>
      <c r="O109" s="35">
        <f t="shared" si="103"/>
        <v>54000000</v>
      </c>
      <c r="P109" s="36">
        <f t="shared" si="103"/>
        <v>60300000</v>
      </c>
      <c r="Q109" s="36">
        <f t="shared" si="103"/>
        <v>60050000</v>
      </c>
      <c r="R109" s="36">
        <f t="shared" si="103"/>
        <v>61250000</v>
      </c>
      <c r="S109" s="36">
        <f t="shared" si="103"/>
        <v>60300000</v>
      </c>
      <c r="T109" s="36">
        <f t="shared" si="103"/>
        <v>59700000</v>
      </c>
      <c r="U109" s="36">
        <f t="shared" si="103"/>
        <v>61000000</v>
      </c>
      <c r="V109" s="36">
        <f t="shared" si="103"/>
        <v>59400000</v>
      </c>
      <c r="W109" s="36">
        <f t="shared" si="103"/>
        <v>60500000</v>
      </c>
      <c r="X109" s="36">
        <f t="shared" si="103"/>
        <v>60300000</v>
      </c>
      <c r="Y109" s="36">
        <f t="shared" si="103"/>
        <v>60300000</v>
      </c>
      <c r="Z109" s="36">
        <f t="shared" si="103"/>
        <v>60150000</v>
      </c>
      <c r="AA109" s="36">
        <f t="shared" si="103"/>
        <v>60050000</v>
      </c>
      <c r="AB109" s="36">
        <f t="shared" si="103"/>
        <v>59650000</v>
      </c>
      <c r="AC109" s="36">
        <f t="shared" si="103"/>
        <v>59450000</v>
      </c>
      <c r="AD109" s="36">
        <f t="shared" si="103"/>
        <v>59450000</v>
      </c>
      <c r="AE109" s="36">
        <f t="shared" si="103"/>
        <v>59150000</v>
      </c>
      <c r="AF109" s="36">
        <f t="shared" si="103"/>
        <v>58800000</v>
      </c>
      <c r="AG109" s="36">
        <f t="shared" si="103"/>
        <v>58850000</v>
      </c>
      <c r="AH109" s="36">
        <f t="shared" si="103"/>
        <v>58850000</v>
      </c>
      <c r="AI109" s="36">
        <f t="shared" si="103"/>
        <v>58750000</v>
      </c>
      <c r="AJ109" s="36">
        <f t="shared" si="103"/>
        <v>58750000</v>
      </c>
      <c r="AK109" s="36">
        <f t="shared" si="103"/>
        <v>58750000</v>
      </c>
      <c r="AL109" s="36">
        <f t="shared" si="103"/>
        <v>58750000</v>
      </c>
      <c r="AM109" s="36">
        <f t="shared" si="103"/>
        <v>58750000</v>
      </c>
      <c r="AN109" s="36">
        <f t="shared" si="103"/>
        <v>58750000</v>
      </c>
      <c r="AO109" s="36">
        <f t="shared" si="103"/>
        <v>58750000</v>
      </c>
      <c r="AP109" s="36">
        <f t="shared" si="103"/>
        <v>58800000</v>
      </c>
      <c r="AQ109" s="36"/>
      <c r="AR109" s="35"/>
    </row>
    <row r="110" spans="1:44" x14ac:dyDescent="0.2">
      <c r="A110" s="32" t="s">
        <v>96</v>
      </c>
      <c r="C110" s="35">
        <f t="shared" si="104"/>
        <v>4482442</v>
      </c>
      <c r="D110" s="35">
        <f t="shared" si="104"/>
        <v>4226644</v>
      </c>
      <c r="E110" s="35">
        <f t="shared" si="104"/>
        <v>26508045</v>
      </c>
      <c r="F110" s="35">
        <f t="shared" si="104"/>
        <v>20757948</v>
      </c>
      <c r="G110" s="35">
        <f t="shared" si="104"/>
        <v>35425955</v>
      </c>
      <c r="H110" s="35">
        <f t="shared" si="104"/>
        <v>53450453</v>
      </c>
      <c r="I110" s="35">
        <f t="shared" si="104"/>
        <v>43756532</v>
      </c>
      <c r="J110" s="35">
        <f t="shared" si="104"/>
        <v>57231365</v>
      </c>
      <c r="K110" s="35">
        <f t="shared" si="104"/>
        <v>55445419</v>
      </c>
      <c r="L110" s="35">
        <f t="shared" si="104"/>
        <v>81113099</v>
      </c>
      <c r="M110" s="35">
        <f>M63</f>
        <v>72876457</v>
      </c>
      <c r="N110" s="35">
        <f t="shared" si="103"/>
        <v>51900000</v>
      </c>
      <c r="O110" s="36">
        <f t="shared" si="103"/>
        <v>57950000</v>
      </c>
      <c r="P110" s="36">
        <f t="shared" si="103"/>
        <v>59800000</v>
      </c>
      <c r="Q110" s="36">
        <f t="shared" si="103"/>
        <v>58800000</v>
      </c>
      <c r="R110" s="36">
        <f t="shared" si="103"/>
        <v>62700000</v>
      </c>
      <c r="S110" s="36">
        <f t="shared" si="103"/>
        <v>62850000</v>
      </c>
      <c r="T110" s="36">
        <f t="shared" si="103"/>
        <v>66400000</v>
      </c>
      <c r="U110" s="36">
        <f t="shared" si="103"/>
        <v>63150000</v>
      </c>
      <c r="V110" s="36">
        <f t="shared" si="103"/>
        <v>61350000</v>
      </c>
      <c r="W110" s="36">
        <f t="shared" si="103"/>
        <v>63150000</v>
      </c>
      <c r="X110" s="36">
        <f t="shared" si="103"/>
        <v>62800000</v>
      </c>
      <c r="Y110" s="36">
        <f t="shared" si="103"/>
        <v>63950000</v>
      </c>
      <c r="Z110" s="36">
        <f t="shared" si="103"/>
        <v>64600000</v>
      </c>
      <c r="AA110" s="36">
        <f t="shared" si="103"/>
        <v>65700000</v>
      </c>
      <c r="AB110" s="36">
        <f t="shared" si="103"/>
        <v>69150000</v>
      </c>
      <c r="AC110" s="36">
        <f t="shared" si="103"/>
        <v>72150000</v>
      </c>
      <c r="AD110" s="36">
        <f t="shared" si="103"/>
        <v>72850000</v>
      </c>
      <c r="AE110" s="36">
        <f t="shared" si="103"/>
        <v>75000000</v>
      </c>
      <c r="AF110" s="36">
        <f t="shared" si="103"/>
        <v>78850000</v>
      </c>
      <c r="AG110" s="36">
        <f t="shared" si="103"/>
        <v>78350000</v>
      </c>
      <c r="AH110" s="36">
        <f t="shared" si="103"/>
        <v>78400000</v>
      </c>
      <c r="AI110" s="36">
        <f t="shared" si="103"/>
        <v>79450000</v>
      </c>
      <c r="AJ110" s="36">
        <f t="shared" si="103"/>
        <v>79400000</v>
      </c>
      <c r="AK110" s="36">
        <f t="shared" si="103"/>
        <v>79400000</v>
      </c>
      <c r="AL110" s="36">
        <f t="shared" si="103"/>
        <v>79400000</v>
      </c>
      <c r="AM110" s="36">
        <f t="shared" si="103"/>
        <v>79400000</v>
      </c>
      <c r="AN110" s="36">
        <f t="shared" si="103"/>
        <v>79300000</v>
      </c>
      <c r="AO110" s="36">
        <f t="shared" si="103"/>
        <v>79200000</v>
      </c>
      <c r="AP110" s="36">
        <f t="shared" si="103"/>
        <v>79100000</v>
      </c>
      <c r="AQ110" s="36"/>
      <c r="AR110" s="35"/>
    </row>
    <row r="111" spans="1:44" x14ac:dyDescent="0.2">
      <c r="A111" s="32" t="s">
        <v>58</v>
      </c>
      <c r="C111" s="35">
        <f>SUM(C107:C110)</f>
        <v>12537592</v>
      </c>
      <c r="D111" s="35">
        <f t="shared" ref="D111:L111" si="105">SUM(D107:D110)</f>
        <v>19975945</v>
      </c>
      <c r="E111" s="35">
        <f t="shared" si="105"/>
        <v>59901129</v>
      </c>
      <c r="F111" s="35">
        <f t="shared" si="105"/>
        <v>66798096</v>
      </c>
      <c r="G111" s="35">
        <f t="shared" si="105"/>
        <v>126450435</v>
      </c>
      <c r="H111" s="35">
        <f t="shared" si="105"/>
        <v>163348743</v>
      </c>
      <c r="I111" s="35">
        <f t="shared" si="105"/>
        <v>169766587</v>
      </c>
      <c r="J111" s="35">
        <f t="shared" si="105"/>
        <v>184425087</v>
      </c>
      <c r="K111" s="35">
        <f t="shared" si="105"/>
        <v>211566522</v>
      </c>
      <c r="L111" s="35">
        <f t="shared" si="105"/>
        <v>266444617</v>
      </c>
      <c r="M111" s="35">
        <f>M64</f>
        <v>290071680</v>
      </c>
      <c r="N111" s="35">
        <f t="shared" ref="N111:AD111" si="106">SUM(N107:N110)</f>
        <v>213478960</v>
      </c>
      <c r="O111" s="36">
        <f t="shared" si="106"/>
        <v>233441019</v>
      </c>
      <c r="P111" s="36">
        <f t="shared" si="106"/>
        <v>240050000</v>
      </c>
      <c r="Q111" s="36">
        <f t="shared" si="106"/>
        <v>204150000</v>
      </c>
      <c r="R111" s="36">
        <f t="shared" si="106"/>
        <v>232250000</v>
      </c>
      <c r="S111" s="36">
        <f t="shared" si="106"/>
        <v>231850000</v>
      </c>
      <c r="T111" s="36">
        <f t="shared" si="106"/>
        <v>232650000</v>
      </c>
      <c r="U111" s="36">
        <f t="shared" si="106"/>
        <v>232350000</v>
      </c>
      <c r="V111" s="36">
        <f t="shared" si="106"/>
        <v>224300000</v>
      </c>
      <c r="W111" s="36">
        <f t="shared" si="106"/>
        <v>229850000</v>
      </c>
      <c r="X111" s="36">
        <f t="shared" si="106"/>
        <v>229050000</v>
      </c>
      <c r="Y111" s="36">
        <f t="shared" si="106"/>
        <v>232600000</v>
      </c>
      <c r="Z111" s="36">
        <f t="shared" si="106"/>
        <v>232050000</v>
      </c>
      <c r="AA111" s="36">
        <f t="shared" si="106"/>
        <v>232900000</v>
      </c>
      <c r="AB111" s="36">
        <f t="shared" si="106"/>
        <v>235950000</v>
      </c>
      <c r="AC111" s="36">
        <f t="shared" si="106"/>
        <v>238950000</v>
      </c>
      <c r="AD111" s="36">
        <f t="shared" si="106"/>
        <v>239950000</v>
      </c>
      <c r="AE111" s="36">
        <f>SUM(AE107:AE110)</f>
        <v>241650000</v>
      </c>
      <c r="AF111" s="36">
        <f>SUM(AF107:AF110)</f>
        <v>245100000</v>
      </c>
      <c r="AG111" s="36">
        <f t="shared" ref="AG111:AP111" si="107">SUM(AG107:AG110)</f>
        <v>244650000</v>
      </c>
      <c r="AH111" s="36">
        <f t="shared" si="107"/>
        <v>244700000</v>
      </c>
      <c r="AI111" s="36">
        <f t="shared" si="107"/>
        <v>245650000</v>
      </c>
      <c r="AJ111" s="36">
        <f t="shared" si="107"/>
        <v>245600000</v>
      </c>
      <c r="AK111" s="36">
        <f t="shared" si="107"/>
        <v>245600000</v>
      </c>
      <c r="AL111" s="36">
        <f t="shared" si="107"/>
        <v>245600000</v>
      </c>
      <c r="AM111" s="36">
        <f t="shared" si="107"/>
        <v>245600000</v>
      </c>
      <c r="AN111" s="36">
        <f t="shared" si="107"/>
        <v>245500000</v>
      </c>
      <c r="AO111" s="36">
        <f t="shared" si="107"/>
        <v>245350000</v>
      </c>
      <c r="AP111" s="36">
        <f t="shared" si="107"/>
        <v>245300000</v>
      </c>
      <c r="AQ111" s="36"/>
      <c r="AR111" s="35"/>
    </row>
    <row r="113" spans="1:51" x14ac:dyDescent="0.2">
      <c r="C113" s="70">
        <f>C107/C98</f>
        <v>1.3353196572142803E-2</v>
      </c>
      <c r="D113" s="70">
        <f t="shared" ref="D113:L113" si="108">D107/D98</f>
        <v>2.1001953279042019E-2</v>
      </c>
      <c r="E113" s="70">
        <f t="shared" si="108"/>
        <v>2.1073035631929016E-2</v>
      </c>
      <c r="F113" s="70">
        <f t="shared" si="108"/>
        <v>6.7891564612534094E-2</v>
      </c>
      <c r="G113" s="70">
        <f t="shared" si="108"/>
        <v>8.4159711163731332E-2</v>
      </c>
      <c r="H113" s="70">
        <f t="shared" si="108"/>
        <v>8.1195356799451446E-2</v>
      </c>
      <c r="I113" s="70">
        <f t="shared" si="108"/>
        <v>0.10988765317109757</v>
      </c>
      <c r="J113" s="70">
        <f t="shared" si="108"/>
        <v>8.9443097417652231E-2</v>
      </c>
      <c r="K113" s="70">
        <f t="shared" si="108"/>
        <v>0.10264668493538327</v>
      </c>
      <c r="L113" s="70">
        <f t="shared" si="108"/>
        <v>0.12797741286554781</v>
      </c>
      <c r="M113" s="71">
        <f>M107/M98</f>
        <v>0.15399110158351081</v>
      </c>
    </row>
    <row r="114" spans="1:51" x14ac:dyDescent="0.2">
      <c r="C114" s="70">
        <f t="shared" ref="C114:L116" si="109">C108/C99</f>
        <v>1.120318866401155E-2</v>
      </c>
      <c r="D114" s="70">
        <f t="shared" si="109"/>
        <v>2.0150045543493891E-2</v>
      </c>
      <c r="E114" s="70">
        <f t="shared" si="109"/>
        <v>3.7075438605883582E-2</v>
      </c>
      <c r="F114" s="70">
        <f t="shared" si="109"/>
        <v>4.7056872443839576E-2</v>
      </c>
      <c r="G114" s="70">
        <f t="shared" si="109"/>
        <v>7.08877724904204E-2</v>
      </c>
      <c r="H114" s="70">
        <f t="shared" si="109"/>
        <v>6.8303181630519544E-2</v>
      </c>
      <c r="I114" s="70">
        <f t="shared" si="109"/>
        <v>6.7091714599460908E-2</v>
      </c>
      <c r="J114" s="70">
        <f t="shared" si="109"/>
        <v>7.8917495162966117E-2</v>
      </c>
      <c r="K114" s="70">
        <f t="shared" si="109"/>
        <v>0.10923155478014272</v>
      </c>
      <c r="L114" s="71">
        <f t="shared" si="109"/>
        <v>0.11573519433746385</v>
      </c>
      <c r="M114" s="71">
        <f>M108/M99</f>
        <v>0.1570588605134732</v>
      </c>
    </row>
    <row r="115" spans="1:51" x14ac:dyDescent="0.2">
      <c r="C115" s="70">
        <f t="shared" si="109"/>
        <v>1.1139211076559352E-2</v>
      </c>
      <c r="D115" s="70">
        <f t="shared" si="109"/>
        <v>1.4880183764292952E-2</v>
      </c>
      <c r="E115" s="70">
        <f t="shared" si="109"/>
        <v>3.3234971870136333E-2</v>
      </c>
      <c r="F115" s="70">
        <f t="shared" si="109"/>
        <v>3.3210152110869626E-2</v>
      </c>
      <c r="G115" s="70">
        <f t="shared" si="109"/>
        <v>9.2796177100979121E-2</v>
      </c>
      <c r="H115" s="70">
        <f t="shared" si="109"/>
        <v>7.4426196694643273E-2</v>
      </c>
      <c r="I115" s="70">
        <f t="shared" si="109"/>
        <v>8.5077009343664287E-2</v>
      </c>
      <c r="J115" s="70">
        <f t="shared" si="109"/>
        <v>9.2833649544673824E-2</v>
      </c>
      <c r="K115" s="70">
        <f t="shared" si="109"/>
        <v>0.11225175898859081</v>
      </c>
      <c r="L115" s="71">
        <f t="shared" si="109"/>
        <v>0.12617291664986419</v>
      </c>
      <c r="M115" s="71">
        <f>M109/M100</f>
        <v>0.16183220498366813</v>
      </c>
    </row>
    <row r="116" spans="1:51" x14ac:dyDescent="0.2">
      <c r="C116" s="70">
        <f t="shared" si="109"/>
        <v>1.1598766449728329E-2</v>
      </c>
      <c r="D116" s="70">
        <f t="shared" si="109"/>
        <v>2.0041723108207593E-2</v>
      </c>
      <c r="E116" s="70">
        <f t="shared" si="109"/>
        <v>5.5396275627860168E-2</v>
      </c>
      <c r="F116" s="70">
        <f t="shared" si="109"/>
        <v>4.7173815068200578E-2</v>
      </c>
      <c r="G116" s="70">
        <f t="shared" si="109"/>
        <v>8.4756555720124124E-2</v>
      </c>
      <c r="H116" s="70">
        <f t="shared" si="109"/>
        <v>7.5563255323969375E-2</v>
      </c>
      <c r="I116" s="70">
        <f t="shared" si="109"/>
        <v>7.9275155461461869E-2</v>
      </c>
      <c r="J116" s="70">
        <f t="shared" si="109"/>
        <v>0.10077761218395974</v>
      </c>
      <c r="K116" s="70">
        <f t="shared" si="109"/>
        <v>0.12087641626460564</v>
      </c>
      <c r="L116" s="71">
        <f t="shared" si="109"/>
        <v>0.15320800932333431</v>
      </c>
      <c r="M116" s="71">
        <f>M110/M101</f>
        <v>0.13571653129411193</v>
      </c>
    </row>
    <row r="117" spans="1:51" x14ac:dyDescent="0.2">
      <c r="A117" s="32" t="s">
        <v>108</v>
      </c>
    </row>
    <row r="118" spans="1:51" s="61" customFormat="1" x14ac:dyDescent="0.2">
      <c r="B118" s="61">
        <v>2010</v>
      </c>
      <c r="C118" s="61">
        <f t="shared" ref="C118:N118" si="110">C2</f>
        <v>2011</v>
      </c>
      <c r="D118" s="61">
        <f t="shared" si="110"/>
        <v>2012</v>
      </c>
      <c r="E118" s="61">
        <f t="shared" si="110"/>
        <v>2013</v>
      </c>
      <c r="F118" s="61">
        <f t="shared" si="110"/>
        <v>2014</v>
      </c>
      <c r="G118" s="61">
        <f t="shared" si="110"/>
        <v>2015</v>
      </c>
      <c r="H118" s="61">
        <f t="shared" si="110"/>
        <v>2016</v>
      </c>
      <c r="I118" s="61">
        <f t="shared" si="110"/>
        <v>2017</v>
      </c>
      <c r="J118" s="61">
        <f t="shared" si="110"/>
        <v>2018</v>
      </c>
      <c r="K118" s="61">
        <f t="shared" si="110"/>
        <v>2019</v>
      </c>
      <c r="L118" s="61">
        <f t="shared" si="110"/>
        <v>2020</v>
      </c>
      <c r="M118" s="61">
        <f t="shared" si="110"/>
        <v>2021</v>
      </c>
      <c r="N118" s="61">
        <f t="shared" si="110"/>
        <v>2022</v>
      </c>
      <c r="O118" s="61">
        <f>O2</f>
        <v>2023</v>
      </c>
      <c r="P118" s="61">
        <f>P2</f>
        <v>2024</v>
      </c>
      <c r="Q118" s="61">
        <f t="shared" ref="Q118:AO118" si="111">Q2</f>
        <v>2025</v>
      </c>
      <c r="R118" s="32">
        <f t="shared" si="111"/>
        <v>2026</v>
      </c>
      <c r="S118" s="32">
        <f t="shared" si="111"/>
        <v>2027</v>
      </c>
      <c r="T118" s="32">
        <f t="shared" si="111"/>
        <v>2028</v>
      </c>
      <c r="U118" s="32">
        <f t="shared" si="111"/>
        <v>2029</v>
      </c>
      <c r="V118" s="32">
        <f t="shared" si="111"/>
        <v>2030</v>
      </c>
      <c r="W118" s="32">
        <f t="shared" si="111"/>
        <v>2031</v>
      </c>
      <c r="X118" s="32">
        <f t="shared" si="111"/>
        <v>2032</v>
      </c>
      <c r="Y118" s="32">
        <f t="shared" si="111"/>
        <v>2033</v>
      </c>
      <c r="Z118" s="32">
        <f t="shared" si="111"/>
        <v>2034</v>
      </c>
      <c r="AA118" s="32">
        <f t="shared" si="111"/>
        <v>2035</v>
      </c>
      <c r="AB118" s="32">
        <f t="shared" si="111"/>
        <v>2036</v>
      </c>
      <c r="AC118" s="32">
        <f t="shared" si="111"/>
        <v>2037</v>
      </c>
      <c r="AD118" s="32">
        <f t="shared" si="111"/>
        <v>2038</v>
      </c>
      <c r="AE118" s="32">
        <f t="shared" si="111"/>
        <v>2039</v>
      </c>
      <c r="AF118" s="32">
        <f t="shared" si="111"/>
        <v>2040</v>
      </c>
      <c r="AG118" s="32">
        <f t="shared" si="111"/>
        <v>2041</v>
      </c>
      <c r="AH118" s="32">
        <f t="shared" si="111"/>
        <v>2042</v>
      </c>
      <c r="AI118" s="32">
        <f t="shared" si="111"/>
        <v>2043</v>
      </c>
      <c r="AJ118" s="32">
        <f t="shared" si="111"/>
        <v>2044</v>
      </c>
      <c r="AK118" s="32">
        <f t="shared" si="111"/>
        <v>2045</v>
      </c>
      <c r="AL118" s="32">
        <f t="shared" si="111"/>
        <v>2046</v>
      </c>
      <c r="AM118" s="32">
        <f t="shared" si="111"/>
        <v>2047</v>
      </c>
      <c r="AN118" s="32">
        <f t="shared" si="111"/>
        <v>2048</v>
      </c>
      <c r="AO118" s="32">
        <f t="shared" si="111"/>
        <v>2049</v>
      </c>
      <c r="AP118" s="32">
        <f>AP2</f>
        <v>2050</v>
      </c>
      <c r="AR118" s="93" t="s">
        <v>109</v>
      </c>
      <c r="AS118" s="93" t="s">
        <v>110</v>
      </c>
      <c r="AT118" s="93" t="s">
        <v>111</v>
      </c>
      <c r="AU118" s="93" t="s">
        <v>112</v>
      </c>
      <c r="AV118" s="93" t="s">
        <v>111</v>
      </c>
      <c r="AX118" s="61" t="s">
        <v>113</v>
      </c>
      <c r="AY118" s="93" t="s">
        <v>114</v>
      </c>
    </row>
    <row r="119" spans="1:51" x14ac:dyDescent="0.2">
      <c r="A119" s="32" t="s">
        <v>70</v>
      </c>
      <c r="B119" s="35">
        <f>B81-B3</f>
        <v>0</v>
      </c>
      <c r="C119" s="35">
        <f>C81-C3</f>
        <v>2636424</v>
      </c>
      <c r="D119" s="35">
        <f t="shared" ref="D119:AP125" si="112">D81-D3</f>
        <v>1038381</v>
      </c>
      <c r="E119" s="35">
        <f t="shared" si="112"/>
        <v>975984</v>
      </c>
      <c r="F119" s="35">
        <f t="shared" si="112"/>
        <v>1981954</v>
      </c>
      <c r="G119" s="35">
        <f t="shared" si="112"/>
        <v>8626445</v>
      </c>
      <c r="H119" s="35">
        <f t="shared" si="112"/>
        <v>20718362</v>
      </c>
      <c r="I119" s="35">
        <f t="shared" si="112"/>
        <v>21190089</v>
      </c>
      <c r="J119" s="35">
        <f t="shared" si="112"/>
        <v>10696089</v>
      </c>
      <c r="K119" s="35">
        <f t="shared" si="112"/>
        <v>11809234</v>
      </c>
      <c r="L119" s="35">
        <f t="shared" si="112"/>
        <v>13737888</v>
      </c>
      <c r="M119" s="35">
        <f t="shared" si="112"/>
        <v>8536219</v>
      </c>
      <c r="N119" s="35">
        <f t="shared" si="112"/>
        <v>12701046</v>
      </c>
      <c r="O119" s="35">
        <f t="shared" si="112"/>
        <v>24582474</v>
      </c>
      <c r="P119" s="35">
        <f t="shared" si="112"/>
        <v>40314733</v>
      </c>
      <c r="Q119" s="36">
        <f t="shared" si="112"/>
        <v>3135355</v>
      </c>
      <c r="R119" s="36">
        <f t="shared" si="112"/>
        <v>10025806.092925757</v>
      </c>
      <c r="S119" s="36">
        <f t="shared" si="112"/>
        <v>10847888.627231508</v>
      </c>
      <c r="T119" s="36">
        <f t="shared" si="112"/>
        <v>11977678.325456977</v>
      </c>
      <c r="U119" s="36">
        <f t="shared" si="112"/>
        <v>12452286.649546623</v>
      </c>
      <c r="V119" s="36">
        <f>V81-V3</f>
        <v>9522199.4699888825</v>
      </c>
      <c r="W119" s="36">
        <f t="shared" si="112"/>
        <v>10861726.815737218</v>
      </c>
      <c r="X119" s="36">
        <f t="shared" si="112"/>
        <v>9792350.1654746532</v>
      </c>
      <c r="Y119" s="36">
        <f t="shared" si="112"/>
        <v>9186096.688520357</v>
      </c>
      <c r="Z119" s="36">
        <f t="shared" si="112"/>
        <v>8803461.6146814078</v>
      </c>
      <c r="AA119" s="36">
        <f t="shared" si="112"/>
        <v>7823891.9398014247</v>
      </c>
      <c r="AB119" s="36">
        <f t="shared" si="112"/>
        <v>6601943.7586316466</v>
      </c>
      <c r="AC119" s="36">
        <f t="shared" si="112"/>
        <v>5560301.6268048435</v>
      </c>
      <c r="AD119" s="36">
        <f>AD81-AD3</f>
        <v>4526904.114648439</v>
      </c>
      <c r="AE119" s="36">
        <f t="shared" si="112"/>
        <v>3757500.3445001245</v>
      </c>
      <c r="AF119" s="36">
        <f t="shared" si="112"/>
        <v>3752726.7855380289</v>
      </c>
      <c r="AG119" s="36">
        <f t="shared" si="112"/>
        <v>3781152.5984567292</v>
      </c>
      <c r="AH119" s="36">
        <f t="shared" si="112"/>
        <v>3772691.553520266</v>
      </c>
      <c r="AI119" s="36">
        <f t="shared" si="112"/>
        <v>3767495.2685891539</v>
      </c>
      <c r="AJ119" s="36">
        <f t="shared" si="112"/>
        <v>3766313.310120862</v>
      </c>
      <c r="AK119" s="36">
        <f t="shared" si="112"/>
        <v>3768075.9032450095</v>
      </c>
      <c r="AL119" s="36">
        <f t="shared" si="112"/>
        <v>3771145.7267864048</v>
      </c>
      <c r="AM119" s="36">
        <f t="shared" si="112"/>
        <v>3769144.3524523377</v>
      </c>
      <c r="AN119" s="36">
        <f t="shared" si="112"/>
        <v>3768434.9122387543</v>
      </c>
      <c r="AO119" s="36">
        <f t="shared" si="112"/>
        <v>3768622.8409686722</v>
      </c>
      <c r="AP119" s="36">
        <f t="shared" si="112"/>
        <v>3769084.7471382357</v>
      </c>
      <c r="AR119" s="35">
        <f>P119-O130</f>
        <v>-24279050</v>
      </c>
      <c r="AS119" s="35">
        <f>P119-O119</f>
        <v>15732259</v>
      </c>
      <c r="AT119" s="70">
        <f>P119/O119-1</f>
        <v>0.63997866935606229</v>
      </c>
      <c r="AU119" s="35">
        <f>SUM(O$119:O119)-SUM(N$119:N119)</f>
        <v>11881428</v>
      </c>
      <c r="AV119" s="70">
        <f>AU119/SUM(M$119:M119)</f>
        <v>1.3918841585484159</v>
      </c>
      <c r="AX119" s="35">
        <f>AVERAGE(J119:O119)</f>
        <v>13677158.333333334</v>
      </c>
      <c r="AY119" s="35">
        <f>P119-AX119</f>
        <v>26637574.666666664</v>
      </c>
    </row>
    <row r="120" spans="1:51" x14ac:dyDescent="0.2">
      <c r="A120" s="32" t="s">
        <v>71</v>
      </c>
      <c r="B120" s="35">
        <f>B82-B4</f>
        <v>0</v>
      </c>
      <c r="C120" s="35">
        <f t="shared" ref="B120:N130" si="113">C82-C4</f>
        <v>1336045</v>
      </c>
      <c r="D120" s="35">
        <f t="shared" si="112"/>
        <v>4108814</v>
      </c>
      <c r="E120" s="35">
        <f t="shared" si="112"/>
        <v>3073611</v>
      </c>
      <c r="F120" s="35">
        <f t="shared" si="112"/>
        <v>3782463</v>
      </c>
      <c r="G120" s="35">
        <f t="shared" si="112"/>
        <v>5025091</v>
      </c>
      <c r="H120" s="35">
        <f t="shared" si="112"/>
        <v>13775403</v>
      </c>
      <c r="I120" s="35">
        <f t="shared" si="112"/>
        <v>29772126</v>
      </c>
      <c r="J120" s="35">
        <f t="shared" si="112"/>
        <v>11584681</v>
      </c>
      <c r="K120" s="35">
        <f t="shared" si="112"/>
        <v>10968228</v>
      </c>
      <c r="L120" s="35">
        <f t="shared" si="112"/>
        <v>11466902</v>
      </c>
      <c r="M120" s="35">
        <f t="shared" si="112"/>
        <v>7661613</v>
      </c>
      <c r="N120" s="35">
        <f t="shared" si="112"/>
        <v>6743825</v>
      </c>
      <c r="O120" s="35">
        <f t="shared" si="112"/>
        <v>40796313</v>
      </c>
      <c r="P120" s="35">
        <f t="shared" si="112"/>
        <v>51955632</v>
      </c>
      <c r="Q120" s="36">
        <f t="shared" si="112"/>
        <v>6409113</v>
      </c>
      <c r="R120" s="36">
        <f t="shared" si="112"/>
        <v>12754540.988961801</v>
      </c>
      <c r="S120" s="36">
        <f t="shared" si="112"/>
        <v>14182597.242042273</v>
      </c>
      <c r="T120" s="36">
        <f t="shared" si="112"/>
        <v>16988271.552466348</v>
      </c>
      <c r="U120" s="36">
        <f t="shared" si="112"/>
        <v>16693603.390226051</v>
      </c>
      <c r="V120" s="36">
        <f t="shared" si="112"/>
        <v>13176469.247820675</v>
      </c>
      <c r="W120" s="36">
        <f t="shared" si="112"/>
        <v>14619859.725017548</v>
      </c>
      <c r="X120" s="36">
        <f t="shared" si="112"/>
        <v>13310696.499943376</v>
      </c>
      <c r="Y120" s="36">
        <f t="shared" si="112"/>
        <v>12581310.35026665</v>
      </c>
      <c r="Z120" s="36">
        <f t="shared" si="112"/>
        <v>11958096.468274757</v>
      </c>
      <c r="AA120" s="36">
        <f t="shared" si="112"/>
        <v>10663379.864580393</v>
      </c>
      <c r="AB120" s="36">
        <f t="shared" si="112"/>
        <v>8969764.5661756843</v>
      </c>
      <c r="AC120" s="36">
        <f t="shared" si="112"/>
        <v>7572643.4160676599</v>
      </c>
      <c r="AD120" s="36">
        <f t="shared" si="112"/>
        <v>6168301.3508382291</v>
      </c>
      <c r="AE120" s="36">
        <f t="shared" si="112"/>
        <v>5112652.5187146664</v>
      </c>
      <c r="AF120" s="36">
        <f t="shared" si="112"/>
        <v>5108859.5198730044</v>
      </c>
      <c r="AG120" s="36">
        <f t="shared" si="112"/>
        <v>5145659.5893233232</v>
      </c>
      <c r="AH120" s="36">
        <f t="shared" si="112"/>
        <v>5136726.4226147421</v>
      </c>
      <c r="AI120" s="36">
        <f t="shared" si="112"/>
        <v>5129269.1156469174</v>
      </c>
      <c r="AJ120" s="36">
        <f t="shared" si="112"/>
        <v>5126633.4332345314</v>
      </c>
      <c r="AK120" s="36">
        <f t="shared" si="112"/>
        <v>5129429.616138503</v>
      </c>
      <c r="AL120" s="36">
        <f t="shared" si="112"/>
        <v>5133543.6353916004</v>
      </c>
      <c r="AM120" s="36">
        <f t="shared" si="112"/>
        <v>5131120.4446052611</v>
      </c>
      <c r="AN120" s="36">
        <f t="shared" si="112"/>
        <v>5129999.2490033619</v>
      </c>
      <c r="AO120" s="36">
        <f t="shared" si="112"/>
        <v>5130145.2756746523</v>
      </c>
      <c r="AP120" s="36">
        <f t="shared" si="112"/>
        <v>5130847.6441626772</v>
      </c>
      <c r="AR120" s="35">
        <f t="shared" ref="AR120:AR130" si="114">P120-P119</f>
        <v>11640899</v>
      </c>
      <c r="AS120" s="35">
        <f t="shared" ref="AS120:AS130" si="115">P120-O120</f>
        <v>11159319</v>
      </c>
      <c r="AT120" s="70">
        <f t="shared" ref="AT120:AT130" si="116">P120/O120-1</f>
        <v>0.27353743952302745</v>
      </c>
      <c r="AU120" s="35">
        <f>SUM(O$119:O120)-SUM(N$119:N120)</f>
        <v>45933916</v>
      </c>
      <c r="AV120" s="70">
        <f>AU120/SUM(M$119:M120)</f>
        <v>2.8358064215013465</v>
      </c>
      <c r="AX120" s="35">
        <f t="shared" ref="AX120:AX130" si="117">AVERAGE(I120:N120)</f>
        <v>13032895.833333334</v>
      </c>
      <c r="AY120" s="35">
        <f t="shared" ref="AY120:AY130" si="118">P120-AX120</f>
        <v>38922736.166666664</v>
      </c>
    </row>
    <row r="121" spans="1:51" x14ac:dyDescent="0.2">
      <c r="A121" s="32" t="s">
        <v>72</v>
      </c>
      <c r="B121" s="35">
        <f>B83-B5</f>
        <v>0</v>
      </c>
      <c r="C121" s="35">
        <f t="shared" si="113"/>
        <v>4627645</v>
      </c>
      <c r="D121" s="35">
        <f t="shared" si="112"/>
        <v>5439261</v>
      </c>
      <c r="E121" s="35">
        <f t="shared" si="112"/>
        <v>9369422</v>
      </c>
      <c r="F121" s="35">
        <f t="shared" si="112"/>
        <v>13088434</v>
      </c>
      <c r="G121" s="35">
        <f t="shared" si="112"/>
        <v>8540515</v>
      </c>
      <c r="H121" s="35">
        <f t="shared" si="112"/>
        <v>8682557</v>
      </c>
      <c r="I121" s="35">
        <f t="shared" si="112"/>
        <v>40549915</v>
      </c>
      <c r="J121" s="35">
        <f t="shared" si="112"/>
        <v>15643523</v>
      </c>
      <c r="K121" s="35">
        <f t="shared" si="112"/>
        <v>12055979</v>
      </c>
      <c r="L121" s="35">
        <f t="shared" si="112"/>
        <v>18577254</v>
      </c>
      <c r="M121" s="35">
        <f t="shared" si="112"/>
        <v>15146974</v>
      </c>
      <c r="N121" s="35">
        <f t="shared" si="112"/>
        <v>22680677</v>
      </c>
      <c r="O121" s="35">
        <f t="shared" si="112"/>
        <v>44788401</v>
      </c>
      <c r="P121" s="35">
        <f t="shared" si="112"/>
        <v>29890832</v>
      </c>
      <c r="Q121" s="36">
        <f t="shared" si="112"/>
        <v>3901575</v>
      </c>
      <c r="R121" s="36">
        <f t="shared" si="112"/>
        <v>13073719.046305522</v>
      </c>
      <c r="S121" s="36">
        <f t="shared" si="112"/>
        <v>13665751.063533872</v>
      </c>
      <c r="T121" s="36">
        <f t="shared" si="112"/>
        <v>14189017.27375631</v>
      </c>
      <c r="U121" s="36">
        <f t="shared" si="112"/>
        <v>12194340.486072689</v>
      </c>
      <c r="V121" s="36">
        <f t="shared" si="112"/>
        <v>11209925.35044764</v>
      </c>
      <c r="W121" s="36">
        <f t="shared" si="112"/>
        <v>12745168.09077771</v>
      </c>
      <c r="X121" s="36">
        <f t="shared" si="112"/>
        <v>11259998.54654792</v>
      </c>
      <c r="Y121" s="36">
        <f t="shared" si="112"/>
        <v>10362356.032306924</v>
      </c>
      <c r="Z121" s="36">
        <f t="shared" si="112"/>
        <v>9815595.134540543</v>
      </c>
      <c r="AA121" s="36">
        <f t="shared" si="112"/>
        <v>8997854.7256236672</v>
      </c>
      <c r="AB121" s="36">
        <f t="shared" si="112"/>
        <v>7555766.5889328718</v>
      </c>
      <c r="AC121" s="36">
        <f t="shared" si="112"/>
        <v>6322242.8899098411</v>
      </c>
      <c r="AD121" s="36">
        <f t="shared" si="112"/>
        <v>5132242.891944699</v>
      </c>
      <c r="AE121" s="36">
        <f t="shared" si="112"/>
        <v>4265831.0786787495</v>
      </c>
      <c r="AF121" s="36">
        <f t="shared" si="112"/>
        <v>4284151.0851889178</v>
      </c>
      <c r="AG121" s="36">
        <f t="shared" si="112"/>
        <v>4306286.646039851</v>
      </c>
      <c r="AH121" s="36">
        <f t="shared" si="112"/>
        <v>4292175.1632521302</v>
      </c>
      <c r="AI121" s="36">
        <f t="shared" si="112"/>
        <v>4286397.7817508355</v>
      </c>
      <c r="AJ121" s="36">
        <f t="shared" si="112"/>
        <v>4288195.350982096</v>
      </c>
      <c r="AK121" s="36">
        <f t="shared" si="112"/>
        <v>4292260.4054427668</v>
      </c>
      <c r="AL121" s="36">
        <f t="shared" si="112"/>
        <v>4293474.2694935352</v>
      </c>
      <c r="AM121" s="36">
        <f t="shared" si="112"/>
        <v>4290503.594184272</v>
      </c>
      <c r="AN121" s="36">
        <f t="shared" si="112"/>
        <v>4290169.2803707011</v>
      </c>
      <c r="AO121" s="36">
        <f t="shared" si="112"/>
        <v>4290923.5800946727</v>
      </c>
      <c r="AP121" s="36">
        <f t="shared" si="112"/>
        <v>4291469.2259171903</v>
      </c>
      <c r="AR121" s="35">
        <f t="shared" si="114"/>
        <v>-22064800</v>
      </c>
      <c r="AS121" s="35">
        <f t="shared" si="115"/>
        <v>-14897569</v>
      </c>
      <c r="AT121" s="70">
        <f t="shared" si="116"/>
        <v>-0.33262114001346021</v>
      </c>
      <c r="AU121" s="35">
        <f>SUM(O$119:O121)-SUM(N$119:N121)</f>
        <v>68041640</v>
      </c>
      <c r="AV121" s="70">
        <f>AU121/SUM(M$119:M121)</f>
        <v>2.1707468854648519</v>
      </c>
      <c r="AX121" s="35">
        <f t="shared" si="117"/>
        <v>20775720.333333332</v>
      </c>
      <c r="AY121" s="35">
        <f t="shared" si="118"/>
        <v>9115111.6666666679</v>
      </c>
    </row>
    <row r="122" spans="1:51" x14ac:dyDescent="0.2">
      <c r="A122" s="32" t="s">
        <v>73</v>
      </c>
      <c r="B122" s="35">
        <f>B84-B6</f>
        <v>0</v>
      </c>
      <c r="C122" s="35">
        <f t="shared" si="113"/>
        <v>2211755</v>
      </c>
      <c r="D122" s="35">
        <f t="shared" si="112"/>
        <v>2657742</v>
      </c>
      <c r="E122" s="35">
        <f t="shared" si="112"/>
        <v>4789267</v>
      </c>
      <c r="F122" s="35">
        <f t="shared" si="112"/>
        <v>5759471</v>
      </c>
      <c r="G122" s="35">
        <f t="shared" si="112"/>
        <v>12071285</v>
      </c>
      <c r="H122" s="35">
        <f t="shared" si="112"/>
        <v>29184344</v>
      </c>
      <c r="I122" s="35">
        <f t="shared" si="112"/>
        <v>20854252</v>
      </c>
      <c r="J122" s="35">
        <f t="shared" si="112"/>
        <v>15936188</v>
      </c>
      <c r="K122" s="35">
        <f t="shared" si="112"/>
        <v>21520142</v>
      </c>
      <c r="L122" s="35">
        <f t="shared" si="112"/>
        <v>18683140</v>
      </c>
      <c r="M122" s="35">
        <f t="shared" si="112"/>
        <v>17336621</v>
      </c>
      <c r="N122" s="35">
        <f t="shared" si="112"/>
        <v>29873220</v>
      </c>
      <c r="O122" s="35">
        <f t="shared" si="112"/>
        <v>34964458</v>
      </c>
      <c r="P122" s="35">
        <f t="shared" si="112"/>
        <v>48290339</v>
      </c>
      <c r="Q122" s="36">
        <f t="shared" si="112"/>
        <v>32480444.956097618</v>
      </c>
      <c r="R122" s="36">
        <f t="shared" si="112"/>
        <v>18300201.31565322</v>
      </c>
      <c r="S122" s="36">
        <f t="shared" si="112"/>
        <v>19590947.583573446</v>
      </c>
      <c r="T122" s="36">
        <f t="shared" si="112"/>
        <v>20696940.348730326</v>
      </c>
      <c r="U122" s="36">
        <f t="shared" si="112"/>
        <v>22743163.925226793</v>
      </c>
      <c r="V122" s="36">
        <f t="shared" si="112"/>
        <v>22373239.803192064</v>
      </c>
      <c r="W122" s="36">
        <f t="shared" si="112"/>
        <v>20545229.740602762</v>
      </c>
      <c r="X122" s="36">
        <f t="shared" si="112"/>
        <v>18639267.653936878</v>
      </c>
      <c r="Y122" s="36">
        <f t="shared" si="112"/>
        <v>17663188.284957007</v>
      </c>
      <c r="Z122" s="36">
        <f t="shared" si="112"/>
        <v>17323995.77318953</v>
      </c>
      <c r="AA122" s="36">
        <f t="shared" si="112"/>
        <v>15682423.757300019</v>
      </c>
      <c r="AB122" s="36">
        <f t="shared" si="112"/>
        <v>12766157.024369627</v>
      </c>
      <c r="AC122" s="36">
        <f t="shared" si="112"/>
        <v>10812279.729715973</v>
      </c>
      <c r="AD122" s="36">
        <f t="shared" si="112"/>
        <v>8850760.2798117846</v>
      </c>
      <c r="AE122" s="36">
        <f t="shared" si="112"/>
        <v>7379956.7553819865</v>
      </c>
      <c r="AF122" s="36">
        <f t="shared" si="112"/>
        <v>7366138.6123777926</v>
      </c>
      <c r="AG122" s="36">
        <f t="shared" si="112"/>
        <v>7371139.43775893</v>
      </c>
      <c r="AH122" s="36">
        <f t="shared" si="112"/>
        <v>8386873.5477652401</v>
      </c>
      <c r="AI122" s="36">
        <f t="shared" si="112"/>
        <v>8467975.7210926078</v>
      </c>
      <c r="AJ122" s="36">
        <f t="shared" si="112"/>
        <v>8494746.7627690025</v>
      </c>
      <c r="AK122" s="36">
        <f t="shared" si="112"/>
        <v>8491149.2228438929</v>
      </c>
      <c r="AL122" s="36">
        <f t="shared" si="112"/>
        <v>8487112.5052488931</v>
      </c>
      <c r="AM122" s="36">
        <f t="shared" si="112"/>
        <v>8468234.1323450506</v>
      </c>
      <c r="AN122" s="36">
        <f t="shared" si="112"/>
        <v>8510065.8193112649</v>
      </c>
      <c r="AO122" s="36">
        <f t="shared" si="112"/>
        <v>8550953.9045268521</v>
      </c>
      <c r="AP122" s="36">
        <f t="shared" si="112"/>
        <v>8561421.543185994</v>
      </c>
      <c r="AR122" s="35">
        <f t="shared" si="114"/>
        <v>18399507</v>
      </c>
      <c r="AS122" s="35">
        <f t="shared" si="115"/>
        <v>13325881</v>
      </c>
      <c r="AT122" s="70">
        <f t="shared" si="116"/>
        <v>0.38112648564436502</v>
      </c>
      <c r="AU122" s="35">
        <f>SUM(O$119:O122)-SUM(N$119:N122)</f>
        <v>73132878</v>
      </c>
      <c r="AV122" s="70">
        <f>AU122/SUM(M$119:M122)</f>
        <v>1.5022747381665702</v>
      </c>
      <c r="AX122" s="35">
        <f t="shared" si="117"/>
        <v>20700593.833333332</v>
      </c>
      <c r="AY122" s="35">
        <f t="shared" si="118"/>
        <v>27589745.166666668</v>
      </c>
    </row>
    <row r="123" spans="1:51" x14ac:dyDescent="0.2">
      <c r="A123" s="32" t="s">
        <v>10</v>
      </c>
      <c r="B123" s="35">
        <f>B85-B7</f>
        <v>0</v>
      </c>
      <c r="C123" s="35">
        <f t="shared" si="113"/>
        <v>2249922</v>
      </c>
      <c r="D123" s="35">
        <f t="shared" si="112"/>
        <v>6996524</v>
      </c>
      <c r="E123" s="35">
        <f t="shared" si="112"/>
        <v>10033114</v>
      </c>
      <c r="F123" s="35">
        <f t="shared" si="112"/>
        <v>4860083</v>
      </c>
      <c r="G123" s="35">
        <f t="shared" si="112"/>
        <v>14419954</v>
      </c>
      <c r="H123" s="35">
        <f t="shared" si="112"/>
        <v>33741590</v>
      </c>
      <c r="I123" s="35">
        <f t="shared" si="112"/>
        <v>39031612</v>
      </c>
      <c r="J123" s="35">
        <f t="shared" si="112"/>
        <v>16056827</v>
      </c>
      <c r="K123" s="35">
        <f t="shared" si="112"/>
        <v>15655745</v>
      </c>
      <c r="L123" s="35">
        <f t="shared" si="112"/>
        <v>18646666</v>
      </c>
      <c r="M123" s="35">
        <f t="shared" si="112"/>
        <v>13326443</v>
      </c>
      <c r="N123" s="35">
        <f t="shared" si="112"/>
        <v>11776660</v>
      </c>
      <c r="O123" s="35">
        <f t="shared" si="112"/>
        <v>39419838</v>
      </c>
      <c r="P123" s="35">
        <f t="shared" si="112"/>
        <v>35451412</v>
      </c>
      <c r="Q123" s="36">
        <f t="shared" si="112"/>
        <v>25832523.487314105</v>
      </c>
      <c r="R123" s="36">
        <f t="shared" si="112"/>
        <v>14129246.030895442</v>
      </c>
      <c r="S123" s="36">
        <f t="shared" si="112"/>
        <v>15132840.116583154</v>
      </c>
      <c r="T123" s="36">
        <f t="shared" si="112"/>
        <v>17509333.059616938</v>
      </c>
      <c r="U123" s="36">
        <f t="shared" si="112"/>
        <v>17634475.568807781</v>
      </c>
      <c r="V123" s="36">
        <f t="shared" si="112"/>
        <v>17739176.239777803</v>
      </c>
      <c r="W123" s="36">
        <f t="shared" si="112"/>
        <v>16274023.503106654</v>
      </c>
      <c r="X123" s="36">
        <f t="shared" si="112"/>
        <v>14828769.641388461</v>
      </c>
      <c r="Y123" s="36">
        <f t="shared" si="112"/>
        <v>14128448.637650073</v>
      </c>
      <c r="Z123" s="36">
        <f t="shared" si="112"/>
        <v>13695006.192599878</v>
      </c>
      <c r="AA123" s="36">
        <f t="shared" si="112"/>
        <v>12453266.877485946</v>
      </c>
      <c r="AB123" s="36">
        <f t="shared" si="112"/>
        <v>10141351.836928993</v>
      </c>
      <c r="AC123" s="36">
        <f t="shared" si="112"/>
        <v>8595392.5155279785</v>
      </c>
      <c r="AD123" s="36">
        <f t="shared" si="112"/>
        <v>7034717.8084998131</v>
      </c>
      <c r="AE123" s="36">
        <f t="shared" si="112"/>
        <v>5855609.2365837395</v>
      </c>
      <c r="AF123" s="36">
        <f t="shared" si="112"/>
        <v>5851372.3373928964</v>
      </c>
      <c r="AG123" s="36">
        <f t="shared" si="112"/>
        <v>5856006.8335833549</v>
      </c>
      <c r="AH123" s="36">
        <f t="shared" si="112"/>
        <v>6940104.7019735798</v>
      </c>
      <c r="AI123" s="36">
        <f t="shared" si="112"/>
        <v>7025585.2503523156</v>
      </c>
      <c r="AJ123" s="36">
        <f t="shared" si="112"/>
        <v>7053460.8481543511</v>
      </c>
      <c r="AK123" s="36">
        <f t="shared" si="112"/>
        <v>7051143.3537063934</v>
      </c>
      <c r="AL123" s="36">
        <f t="shared" si="112"/>
        <v>7046558.3832947984</v>
      </c>
      <c r="AM123" s="36">
        <f t="shared" si="112"/>
        <v>7026213.2795432433</v>
      </c>
      <c r="AN123" s="36">
        <f t="shared" si="112"/>
        <v>7070724.3235748485</v>
      </c>
      <c r="AO123" s="36">
        <f t="shared" si="112"/>
        <v>7114419.6339807734</v>
      </c>
      <c r="AP123" s="36">
        <f t="shared" si="112"/>
        <v>7125785.2347952724</v>
      </c>
      <c r="AR123" s="35">
        <f t="shared" si="114"/>
        <v>-12838927</v>
      </c>
      <c r="AS123" s="35">
        <f t="shared" si="115"/>
        <v>-3968426</v>
      </c>
      <c r="AT123" s="70">
        <f t="shared" si="116"/>
        <v>-0.10067078408592145</v>
      </c>
      <c r="AU123" s="36">
        <f>SUM(O$119:O123)-SUM(N$119:N123)</f>
        <v>100776056</v>
      </c>
      <c r="AV123" s="71">
        <f>AU123/SUM(M$119:M123)</f>
        <v>1.6252139607440153</v>
      </c>
      <c r="AX123" s="35">
        <f t="shared" si="117"/>
        <v>19082325.5</v>
      </c>
      <c r="AY123" s="35">
        <f t="shared" si="118"/>
        <v>16369086.5</v>
      </c>
    </row>
    <row r="124" spans="1:51" x14ac:dyDescent="0.2">
      <c r="A124" s="32" t="s">
        <v>74</v>
      </c>
      <c r="B124" s="35">
        <f>B86-B8</f>
        <v>0</v>
      </c>
      <c r="C124" s="35">
        <f t="shared" si="113"/>
        <v>3510101</v>
      </c>
      <c r="D124" s="35">
        <f t="shared" si="112"/>
        <v>5877535</v>
      </c>
      <c r="E124" s="35">
        <f t="shared" si="112"/>
        <v>14747164</v>
      </c>
      <c r="F124" s="35">
        <f t="shared" si="112"/>
        <v>5538706</v>
      </c>
      <c r="G124" s="35">
        <f t="shared" si="112"/>
        <v>16633771</v>
      </c>
      <c r="H124" s="35">
        <f t="shared" si="112"/>
        <v>56793626</v>
      </c>
      <c r="I124" s="35">
        <f t="shared" si="112"/>
        <v>83762771</v>
      </c>
      <c r="J124" s="35">
        <f t="shared" si="112"/>
        <v>12234295</v>
      </c>
      <c r="K124" s="35">
        <f t="shared" si="112"/>
        <v>19389140</v>
      </c>
      <c r="L124" s="35">
        <f t="shared" si="112"/>
        <v>16749201</v>
      </c>
      <c r="M124" s="35">
        <f t="shared" si="112"/>
        <v>17588416</v>
      </c>
      <c r="N124" s="35">
        <f t="shared" si="112"/>
        <v>19314836</v>
      </c>
      <c r="O124" s="35">
        <f t="shared" si="112"/>
        <v>41179873</v>
      </c>
      <c r="P124" s="35">
        <f t="shared" si="112"/>
        <v>37513575</v>
      </c>
      <c r="Q124" s="36">
        <f t="shared" si="112"/>
        <v>28821440.11958158</v>
      </c>
      <c r="R124" s="36">
        <f t="shared" si="112"/>
        <v>16219458.665915295</v>
      </c>
      <c r="S124" s="36">
        <f t="shared" si="112"/>
        <v>17097748.135358512</v>
      </c>
      <c r="T124" s="36">
        <f t="shared" si="112"/>
        <v>18973260.072930053</v>
      </c>
      <c r="U124" s="36">
        <f t="shared" si="112"/>
        <v>19359504.857242242</v>
      </c>
      <c r="V124" s="36">
        <f t="shared" si="112"/>
        <v>19750790.363877222</v>
      </c>
      <c r="W124" s="36">
        <f t="shared" si="112"/>
        <v>18107698.150960252</v>
      </c>
      <c r="X124" s="36">
        <f t="shared" si="112"/>
        <v>16411953.981731459</v>
      </c>
      <c r="Y124" s="36">
        <f t="shared" si="112"/>
        <v>15578109.660573289</v>
      </c>
      <c r="Z124" s="36">
        <f t="shared" si="112"/>
        <v>15156708.716036201</v>
      </c>
      <c r="AA124" s="36">
        <f t="shared" si="112"/>
        <v>13807961.157064527</v>
      </c>
      <c r="AB124" s="36">
        <f t="shared" si="112"/>
        <v>11232913.788663983</v>
      </c>
      <c r="AC124" s="36">
        <f t="shared" si="112"/>
        <v>9509749.9442486763</v>
      </c>
      <c r="AD124" s="36">
        <f t="shared" si="112"/>
        <v>7782370.7205202729</v>
      </c>
      <c r="AE124" s="36">
        <f t="shared" si="112"/>
        <v>6483801.2398346215</v>
      </c>
      <c r="AF124" s="36">
        <f t="shared" si="112"/>
        <v>6480105.7765927538</v>
      </c>
      <c r="AG124" s="36">
        <f t="shared" si="112"/>
        <v>6482647.1046656743</v>
      </c>
      <c r="AH124" s="36">
        <f t="shared" si="112"/>
        <v>7816471.1055783629</v>
      </c>
      <c r="AI124" s="36">
        <f t="shared" si="112"/>
        <v>7922573.9391996153</v>
      </c>
      <c r="AJ124" s="36">
        <f t="shared" si="112"/>
        <v>7957997.2536768541</v>
      </c>
      <c r="AK124" s="36">
        <f t="shared" si="112"/>
        <v>7954934.1845307611</v>
      </c>
      <c r="AL124" s="36">
        <f t="shared" si="112"/>
        <v>7948732.2571629584</v>
      </c>
      <c r="AM124" s="36">
        <f t="shared" si="112"/>
        <v>7923642.8265985213</v>
      </c>
      <c r="AN124" s="36">
        <f t="shared" si="112"/>
        <v>7978685.944792334</v>
      </c>
      <c r="AO124" s="36">
        <f t="shared" si="112"/>
        <v>8032603.8643836901</v>
      </c>
      <c r="AP124" s="36">
        <f t="shared" si="112"/>
        <v>8046507.7154628485</v>
      </c>
      <c r="AR124" s="35">
        <f t="shared" si="114"/>
        <v>2062163</v>
      </c>
      <c r="AS124" s="35">
        <f t="shared" si="115"/>
        <v>-3666298</v>
      </c>
      <c r="AT124" s="70">
        <f t="shared" si="116"/>
        <v>-8.9031309057218344E-2</v>
      </c>
      <c r="AU124" s="36">
        <f>SUM(O$119:O124)-SUM(N$119:N124)</f>
        <v>122641093</v>
      </c>
      <c r="AV124" s="71">
        <f>AU124/SUM(M$119:M124)</f>
        <v>1.5407891393324558</v>
      </c>
      <c r="AX124" s="35">
        <f t="shared" si="117"/>
        <v>28173109.833333332</v>
      </c>
      <c r="AY124" s="35">
        <f t="shared" si="118"/>
        <v>9340465.1666666679</v>
      </c>
    </row>
    <row r="125" spans="1:51" x14ac:dyDescent="0.2">
      <c r="A125" s="32" t="s">
        <v>75</v>
      </c>
      <c r="B125" s="35">
        <f t="shared" si="113"/>
        <v>1377408</v>
      </c>
      <c r="C125" s="35">
        <f t="shared" si="113"/>
        <v>2521122</v>
      </c>
      <c r="D125" s="35">
        <f t="shared" si="112"/>
        <v>2650483</v>
      </c>
      <c r="E125" s="35">
        <f t="shared" si="112"/>
        <v>6520032</v>
      </c>
      <c r="F125" s="35">
        <f t="shared" si="112"/>
        <v>16821335</v>
      </c>
      <c r="G125" s="35">
        <f t="shared" si="112"/>
        <v>37059083</v>
      </c>
      <c r="H125" s="35">
        <f t="shared" si="112"/>
        <v>26661866</v>
      </c>
      <c r="I125" s="35">
        <f t="shared" si="112"/>
        <v>54630838</v>
      </c>
      <c r="J125" s="35">
        <f t="shared" si="112"/>
        <v>5311333</v>
      </c>
      <c r="K125" s="35">
        <f t="shared" si="112"/>
        <v>16326425</v>
      </c>
      <c r="L125" s="35">
        <f t="shared" si="112"/>
        <v>19995093</v>
      </c>
      <c r="M125" s="35">
        <f t="shared" si="112"/>
        <v>15382342</v>
      </c>
      <c r="N125" s="35">
        <f t="shared" si="112"/>
        <v>8715707</v>
      </c>
      <c r="O125" s="35">
        <f t="shared" si="112"/>
        <v>30319251</v>
      </c>
      <c r="P125" s="35">
        <f>P87-P9</f>
        <v>22459889</v>
      </c>
      <c r="Q125" s="36">
        <f t="shared" si="112"/>
        <v>23596223.259005338</v>
      </c>
      <c r="R125" s="36">
        <f t="shared" si="112"/>
        <v>11284069.686876133</v>
      </c>
      <c r="S125" s="36">
        <f t="shared" si="112"/>
        <v>11519100.19489935</v>
      </c>
      <c r="T125" s="36">
        <f t="shared" si="112"/>
        <v>13361585.681085303</v>
      </c>
      <c r="U125" s="36">
        <f t="shared" si="112"/>
        <v>13418325.162611172</v>
      </c>
      <c r="V125" s="36">
        <f t="shared" si="112"/>
        <v>14385675.142247692</v>
      </c>
      <c r="W125" s="36">
        <f t="shared" si="112"/>
        <v>12673055.407755777</v>
      </c>
      <c r="X125" s="36">
        <f t="shared" si="112"/>
        <v>11498121.205401719</v>
      </c>
      <c r="Y125" s="36">
        <f t="shared" si="112"/>
        <v>10991231.091437668</v>
      </c>
      <c r="Z125" s="36">
        <f t="shared" si="112"/>
        <v>10698176.118111119</v>
      </c>
      <c r="AA125" s="36">
        <f t="shared" si="112"/>
        <v>9786194.3496371955</v>
      </c>
      <c r="AB125" s="36">
        <f t="shared" ref="AB125:AP130" si="119">AB87-AB9</f>
        <v>7906099.6310433447</v>
      </c>
      <c r="AC125" s="36">
        <f t="shared" si="119"/>
        <v>6702731.0940352231</v>
      </c>
      <c r="AD125" s="36">
        <f t="shared" si="119"/>
        <v>5493508.4842169732</v>
      </c>
      <c r="AE125" s="36">
        <f t="shared" si="119"/>
        <v>4577448.4598169774</v>
      </c>
      <c r="AF125" s="36">
        <f t="shared" si="119"/>
        <v>4575130.3564712033</v>
      </c>
      <c r="AG125" s="36">
        <f t="shared" si="119"/>
        <v>4571080.9414974526</v>
      </c>
      <c r="AH125" s="36">
        <f t="shared" si="119"/>
        <v>5940699.914302066</v>
      </c>
      <c r="AI125" s="36">
        <f t="shared" si="119"/>
        <v>6050787.5367345475</v>
      </c>
      <c r="AJ125" s="36">
        <f t="shared" si="119"/>
        <v>6086994.4784740508</v>
      </c>
      <c r="AK125" s="36">
        <f t="shared" si="119"/>
        <v>6083532.6059006639</v>
      </c>
      <c r="AL125" s="36">
        <f t="shared" si="119"/>
        <v>6076494.7761178538</v>
      </c>
      <c r="AM125" s="36">
        <f t="shared" si="119"/>
        <v>6051290.7175499275</v>
      </c>
      <c r="AN125" s="36">
        <f t="shared" si="119"/>
        <v>6107860.2686524354</v>
      </c>
      <c r="AO125" s="36">
        <f t="shared" si="119"/>
        <v>6163040.766687341</v>
      </c>
      <c r="AP125" s="36">
        <f t="shared" si="119"/>
        <v>6177207.0439210981</v>
      </c>
      <c r="AR125" s="35">
        <f t="shared" si="114"/>
        <v>-15053686</v>
      </c>
      <c r="AS125" s="35">
        <f t="shared" si="115"/>
        <v>-7859362</v>
      </c>
      <c r="AT125" s="70">
        <f t="shared" si="116"/>
        <v>-0.25922018983912232</v>
      </c>
      <c r="AU125" s="36">
        <f>SUM(O$119:O125)-SUM(N$119:N125)</f>
        <v>144244637</v>
      </c>
      <c r="AV125" s="71">
        <f>AU125/SUM(M$119:M125)</f>
        <v>1.5187062609495685</v>
      </c>
      <c r="AX125" s="35">
        <f t="shared" si="117"/>
        <v>20060289.666666668</v>
      </c>
      <c r="AY125" s="35">
        <f t="shared" si="118"/>
        <v>2399599.3333333321</v>
      </c>
    </row>
    <row r="126" spans="1:51" x14ac:dyDescent="0.2">
      <c r="A126" s="32" t="s">
        <v>76</v>
      </c>
      <c r="B126" s="35">
        <f t="shared" si="113"/>
        <v>2315495</v>
      </c>
      <c r="C126" s="35">
        <f t="shared" si="113"/>
        <v>2583842</v>
      </c>
      <c r="D126" s="35">
        <f t="shared" si="113"/>
        <v>3399417</v>
      </c>
      <c r="E126" s="35">
        <f t="shared" si="113"/>
        <v>16171020</v>
      </c>
      <c r="F126" s="35">
        <f t="shared" si="113"/>
        <v>7814992</v>
      </c>
      <c r="G126" s="35">
        <f t="shared" si="113"/>
        <v>30674729</v>
      </c>
      <c r="H126" s="35">
        <f t="shared" si="113"/>
        <v>61457420</v>
      </c>
      <c r="I126" s="35">
        <f t="shared" si="113"/>
        <v>52041080</v>
      </c>
      <c r="J126" s="35">
        <f t="shared" si="113"/>
        <v>13020993</v>
      </c>
      <c r="K126" s="35">
        <f t="shared" si="113"/>
        <v>8822166</v>
      </c>
      <c r="L126" s="35">
        <f t="shared" si="113"/>
        <v>16351622</v>
      </c>
      <c r="M126" s="35">
        <f t="shared" si="113"/>
        <v>11048139</v>
      </c>
      <c r="N126" s="35">
        <f t="shared" si="113"/>
        <v>15269993</v>
      </c>
      <c r="O126" s="35">
        <f>O88-O10</f>
        <v>44239929</v>
      </c>
      <c r="P126" s="35">
        <f>P88-P10</f>
        <v>24497122</v>
      </c>
      <c r="Q126" s="36">
        <f t="shared" ref="Q126:AF126" si="120">Q88-Q10</f>
        <v>25261458.307057053</v>
      </c>
      <c r="R126" s="36">
        <f t="shared" si="120"/>
        <v>13512643.140852675</v>
      </c>
      <c r="S126" s="36">
        <f t="shared" si="120"/>
        <v>14675240.080099374</v>
      </c>
      <c r="T126" s="36">
        <f t="shared" si="120"/>
        <v>16461263.351296827</v>
      </c>
      <c r="U126" s="36">
        <f t="shared" si="120"/>
        <v>15407202.705206871</v>
      </c>
      <c r="V126" s="36">
        <f t="shared" si="120"/>
        <v>16771876.704647824</v>
      </c>
      <c r="W126" s="36">
        <f t="shared" si="120"/>
        <v>15220686.279473349</v>
      </c>
      <c r="X126" s="36">
        <f t="shared" si="120"/>
        <v>13816565.863831118</v>
      </c>
      <c r="Y126" s="36">
        <f t="shared" si="120"/>
        <v>13067258.955889791</v>
      </c>
      <c r="Z126" s="36">
        <f t="shared" si="120"/>
        <v>12620998.38745977</v>
      </c>
      <c r="AA126" s="36">
        <f t="shared" si="120"/>
        <v>11613788.619906902</v>
      </c>
      <c r="AB126" s="36">
        <f t="shared" si="120"/>
        <v>9425255.4686917216</v>
      </c>
      <c r="AC126" s="36">
        <f t="shared" si="120"/>
        <v>7975838.8054320067</v>
      </c>
      <c r="AD126" s="36">
        <f t="shared" si="120"/>
        <v>6520904.1342572421</v>
      </c>
      <c r="AE126" s="36">
        <f t="shared" si="120"/>
        <v>5431216.4002722949</v>
      </c>
      <c r="AF126" s="36">
        <f t="shared" si="120"/>
        <v>5438097.8002513498</v>
      </c>
      <c r="AG126" s="36">
        <f t="shared" si="119"/>
        <v>5436142.5951413438</v>
      </c>
      <c r="AH126" s="36">
        <f t="shared" si="119"/>
        <v>6855293.5496659875</v>
      </c>
      <c r="AI126" s="36">
        <f t="shared" si="119"/>
        <v>6967789.1802962162</v>
      </c>
      <c r="AJ126" s="36">
        <f t="shared" si="119"/>
        <v>7006289.895945143</v>
      </c>
      <c r="AK126" s="36">
        <f t="shared" si="119"/>
        <v>7004087.996692244</v>
      </c>
      <c r="AL126" s="36">
        <f t="shared" si="119"/>
        <v>6996592.3942591324</v>
      </c>
      <c r="AM126" s="36">
        <f t="shared" si="119"/>
        <v>6969738.6724030636</v>
      </c>
      <c r="AN126" s="36">
        <f t="shared" si="119"/>
        <v>7028415.476924412</v>
      </c>
      <c r="AO126" s="36">
        <f t="shared" si="119"/>
        <v>7086004.3946816996</v>
      </c>
      <c r="AP126" s="36">
        <f t="shared" si="119"/>
        <v>7100863.8562019914</v>
      </c>
      <c r="AR126" s="35">
        <f t="shared" si="114"/>
        <v>2037233</v>
      </c>
      <c r="AS126" s="35">
        <f t="shared" si="115"/>
        <v>-19742807</v>
      </c>
      <c r="AT126" s="70">
        <f t="shared" si="116"/>
        <v>-0.44626669721825274</v>
      </c>
      <c r="AU126" s="36">
        <f>SUM(O$119:O126)-SUM(N$119:N126)</f>
        <v>173214573</v>
      </c>
      <c r="AV126" s="71">
        <f>AU126/SUM(M$119:M126)</f>
        <v>1.6336872084386012</v>
      </c>
      <c r="AX126" s="35">
        <f t="shared" si="117"/>
        <v>19425665.5</v>
      </c>
      <c r="AY126" s="35">
        <f t="shared" si="118"/>
        <v>5071456.5</v>
      </c>
    </row>
    <row r="127" spans="1:51" x14ac:dyDescent="0.2">
      <c r="A127" s="32" t="s">
        <v>77</v>
      </c>
      <c r="B127" s="35">
        <f t="shared" si="113"/>
        <v>1242409</v>
      </c>
      <c r="C127" s="35">
        <f t="shared" si="113"/>
        <v>4644979</v>
      </c>
      <c r="D127" s="35">
        <f t="shared" si="113"/>
        <v>4003665</v>
      </c>
      <c r="E127" s="35">
        <f t="shared" si="113"/>
        <v>10683171</v>
      </c>
      <c r="F127" s="35">
        <f t="shared" si="113"/>
        <v>12406590</v>
      </c>
      <c r="G127" s="35">
        <f t="shared" si="113"/>
        <v>21838343</v>
      </c>
      <c r="H127" s="35">
        <f t="shared" si="113"/>
        <v>73263294</v>
      </c>
      <c r="I127" s="35">
        <f t="shared" si="113"/>
        <v>27897293</v>
      </c>
      <c r="J127" s="35">
        <f t="shared" si="113"/>
        <v>11814679</v>
      </c>
      <c r="K127" s="35">
        <f t="shared" si="113"/>
        <v>14859020</v>
      </c>
      <c r="L127" s="35">
        <f t="shared" si="113"/>
        <v>14054214</v>
      </c>
      <c r="M127" s="35">
        <f t="shared" si="113"/>
        <v>11792295</v>
      </c>
      <c r="N127" s="35">
        <f t="shared" si="113"/>
        <v>19091391</v>
      </c>
      <c r="O127" s="35">
        <f>O89-O11</f>
        <v>40464493</v>
      </c>
      <c r="P127" s="36">
        <f t="shared" ref="P127:AF130" si="121">P89-P11</f>
        <v>26648068</v>
      </c>
      <c r="Q127" s="36">
        <f t="shared" si="121"/>
        <v>26401629.575841635</v>
      </c>
      <c r="R127" s="36">
        <f t="shared" si="121"/>
        <v>13971002.642596155</v>
      </c>
      <c r="S127" s="36">
        <f t="shared" si="121"/>
        <v>15128884.448407099</v>
      </c>
      <c r="T127" s="36">
        <f t="shared" si="121"/>
        <v>16518882.187209338</v>
      </c>
      <c r="U127" s="36">
        <f t="shared" si="121"/>
        <v>16102549.226461962</v>
      </c>
      <c r="V127" s="36">
        <f t="shared" si="121"/>
        <v>17323314.579930529</v>
      </c>
      <c r="W127" s="36">
        <f t="shared" si="121"/>
        <v>15659785.79978025</v>
      </c>
      <c r="X127" s="36">
        <f t="shared" si="121"/>
        <v>14203101.005499929</v>
      </c>
      <c r="Y127" s="36">
        <f t="shared" si="121"/>
        <v>13425583.087662399</v>
      </c>
      <c r="Z127" s="36">
        <f t="shared" si="121"/>
        <v>13033988.735323921</v>
      </c>
      <c r="AA127" s="36">
        <f t="shared" si="121"/>
        <v>11962765.191179216</v>
      </c>
      <c r="AB127" s="36">
        <f t="shared" si="121"/>
        <v>9701725.7885551304</v>
      </c>
      <c r="AC127" s="36">
        <f t="shared" si="121"/>
        <v>8210764.0944961309</v>
      </c>
      <c r="AD127" s="36">
        <f t="shared" si="121"/>
        <v>6715409.8288072944</v>
      </c>
      <c r="AE127" s="36">
        <f t="shared" si="121"/>
        <v>5596765.4479355291</v>
      </c>
      <c r="AF127" s="36">
        <f t="shared" si="121"/>
        <v>5600101.3740230054</v>
      </c>
      <c r="AG127" s="36">
        <f t="shared" si="119"/>
        <v>5597619.770908922</v>
      </c>
      <c r="AH127" s="36">
        <f t="shared" si="119"/>
        <v>7015049.2179485708</v>
      </c>
      <c r="AI127" s="36">
        <f t="shared" si="119"/>
        <v>7127896.7532868274</v>
      </c>
      <c r="AJ127" s="36">
        <f t="shared" si="119"/>
        <v>7166462.0873944387</v>
      </c>
      <c r="AK127" s="36">
        <f t="shared" si="119"/>
        <v>7163704.4898091964</v>
      </c>
      <c r="AL127" s="36">
        <f t="shared" si="119"/>
        <v>7156256.840343114</v>
      </c>
      <c r="AM127" s="36">
        <f t="shared" si="119"/>
        <v>7129595.8393630646</v>
      </c>
      <c r="AN127" s="36">
        <f t="shared" si="119"/>
        <v>7188234.3150995933</v>
      </c>
      <c r="AO127" s="36">
        <f t="shared" si="119"/>
        <v>7245691.0060846768</v>
      </c>
      <c r="AP127" s="36">
        <f t="shared" si="119"/>
        <v>7260455.1265138499</v>
      </c>
      <c r="AR127" s="35">
        <f t="shared" si="114"/>
        <v>2150946</v>
      </c>
      <c r="AS127" s="35">
        <f t="shared" si="115"/>
        <v>-13816425</v>
      </c>
      <c r="AT127" s="70">
        <f t="shared" si="116"/>
        <v>-0.34144564717516668</v>
      </c>
      <c r="AU127" s="36">
        <f>SUM(O$119:O127)-SUM(N$119:N127)</f>
        <v>194587675</v>
      </c>
      <c r="AV127" s="71">
        <f>AU127/SUM(M$119:M127)</f>
        <v>1.6515805820962994</v>
      </c>
      <c r="AX127" s="35">
        <f t="shared" si="117"/>
        <v>16584815.333333334</v>
      </c>
      <c r="AY127" s="35">
        <f t="shared" si="118"/>
        <v>10063252.666666666</v>
      </c>
    </row>
    <row r="128" spans="1:51" x14ac:dyDescent="0.2">
      <c r="A128" s="32" t="s">
        <v>78</v>
      </c>
      <c r="B128" s="35">
        <f t="shared" si="113"/>
        <v>3599083</v>
      </c>
      <c r="C128" s="35">
        <f t="shared" si="113"/>
        <v>4553366</v>
      </c>
      <c r="D128" s="35">
        <f t="shared" si="113"/>
        <v>2515021</v>
      </c>
      <c r="E128" s="35">
        <f t="shared" si="113"/>
        <v>17222306</v>
      </c>
      <c r="F128" s="35">
        <f t="shared" si="113"/>
        <v>15251830</v>
      </c>
      <c r="G128" s="35">
        <f t="shared" si="113"/>
        <v>41794902</v>
      </c>
      <c r="H128" s="35">
        <f t="shared" si="113"/>
        <v>50535806</v>
      </c>
      <c r="I128" s="35">
        <f t="shared" si="113"/>
        <v>36685627</v>
      </c>
      <c r="J128" s="35">
        <f t="shared" si="113"/>
        <v>20321432</v>
      </c>
      <c r="K128" s="35">
        <f t="shared" si="113"/>
        <v>13781446</v>
      </c>
      <c r="L128" s="35">
        <f t="shared" si="113"/>
        <v>15282502</v>
      </c>
      <c r="M128" s="35">
        <f t="shared" si="113"/>
        <v>17888148</v>
      </c>
      <c r="N128" s="35">
        <f t="shared" si="113"/>
        <v>17330959</v>
      </c>
      <c r="O128" s="35">
        <f>O90-O12</f>
        <v>57044013</v>
      </c>
      <c r="P128" s="36">
        <f t="shared" si="121"/>
        <v>26663796</v>
      </c>
      <c r="Q128" s="36">
        <f t="shared" si="121"/>
        <v>28227264.880465716</v>
      </c>
      <c r="R128" s="36">
        <f t="shared" si="121"/>
        <v>16526740.701209962</v>
      </c>
      <c r="S128" s="36">
        <f t="shared" si="121"/>
        <v>17425671.885121524</v>
      </c>
      <c r="T128" s="36">
        <f t="shared" si="121"/>
        <v>19654335.35357222</v>
      </c>
      <c r="U128" s="36">
        <f t="shared" si="121"/>
        <v>17706683.433902696</v>
      </c>
      <c r="V128" s="36">
        <f t="shared" si="121"/>
        <v>19567829.178190246</v>
      </c>
      <c r="W128" s="36">
        <f t="shared" si="121"/>
        <v>18004778.033886135</v>
      </c>
      <c r="X128" s="36">
        <f t="shared" si="121"/>
        <v>16248394.998229459</v>
      </c>
      <c r="Y128" s="36">
        <f t="shared" si="121"/>
        <v>15339031.569720119</v>
      </c>
      <c r="Z128" s="36">
        <f t="shared" si="121"/>
        <v>14758908.264502436</v>
      </c>
      <c r="AA128" s="36">
        <f t="shared" si="121"/>
        <v>13631503.276268572</v>
      </c>
      <c r="AB128" s="36">
        <f t="shared" si="121"/>
        <v>11079497.375452325</v>
      </c>
      <c r="AC128" s="36">
        <f t="shared" si="121"/>
        <v>9360846.5907293707</v>
      </c>
      <c r="AD128" s="36">
        <f t="shared" si="121"/>
        <v>7649378.5919212699</v>
      </c>
      <c r="AE128" s="36">
        <f t="shared" si="121"/>
        <v>6369939.9359632283</v>
      </c>
      <c r="AF128" s="36">
        <f t="shared" si="121"/>
        <v>6383783.0668585971</v>
      </c>
      <c r="AG128" s="36">
        <f t="shared" si="119"/>
        <v>6381788.3688944951</v>
      </c>
      <c r="AH128" s="36">
        <f t="shared" si="119"/>
        <v>7794602.0917400047</v>
      </c>
      <c r="AI128" s="36">
        <f t="shared" si="119"/>
        <v>7906425.5156375878</v>
      </c>
      <c r="AJ128" s="36">
        <f t="shared" si="119"/>
        <v>7945355.7775308564</v>
      </c>
      <c r="AK128" s="36">
        <f t="shared" si="119"/>
        <v>7944042.095073048</v>
      </c>
      <c r="AL128" s="36">
        <f t="shared" si="119"/>
        <v>7936228.9919476248</v>
      </c>
      <c r="AM128" s="36">
        <f t="shared" si="119"/>
        <v>7909049.3293824978</v>
      </c>
      <c r="AN128" s="36">
        <f t="shared" si="119"/>
        <v>7967634.0745007396</v>
      </c>
      <c r="AO128" s="36">
        <f t="shared" si="119"/>
        <v>8025221.9580230266</v>
      </c>
      <c r="AP128" s="36">
        <f t="shared" si="119"/>
        <v>8040114.5557034835</v>
      </c>
      <c r="AR128" s="35">
        <f t="shared" si="114"/>
        <v>15728</v>
      </c>
      <c r="AS128" s="35">
        <f t="shared" si="115"/>
        <v>-30380217</v>
      </c>
      <c r="AT128" s="70">
        <f t="shared" si="116"/>
        <v>-0.53257503114305793</v>
      </c>
      <c r="AU128" s="36">
        <f>SUM(O$119:O128)-SUM(N$119:N128)</f>
        <v>234300729</v>
      </c>
      <c r="AV128" s="71">
        <f>AU128/SUM(M$119:M128)</f>
        <v>1.7265164393255155</v>
      </c>
      <c r="AX128" s="35">
        <f t="shared" si="117"/>
        <v>20215019</v>
      </c>
      <c r="AY128" s="35">
        <f t="shared" si="118"/>
        <v>6448777</v>
      </c>
    </row>
    <row r="129" spans="1:51" x14ac:dyDescent="0.2">
      <c r="A129" s="32" t="s">
        <v>79</v>
      </c>
      <c r="B129" s="35">
        <f t="shared" si="113"/>
        <v>1990621</v>
      </c>
      <c r="C129" s="35">
        <f t="shared" si="113"/>
        <v>3194691</v>
      </c>
      <c r="D129" s="35">
        <f t="shared" si="113"/>
        <v>809682</v>
      </c>
      <c r="E129" s="35">
        <f t="shared" si="113"/>
        <v>29387693</v>
      </c>
      <c r="F129" s="35">
        <f t="shared" si="113"/>
        <v>25962646</v>
      </c>
      <c r="G129" s="35">
        <f t="shared" si="113"/>
        <v>26419166</v>
      </c>
      <c r="H129" s="35">
        <f t="shared" si="113"/>
        <v>65730799</v>
      </c>
      <c r="I129" s="35">
        <f t="shared" si="113"/>
        <v>24382225</v>
      </c>
      <c r="J129" s="35">
        <f t="shared" si="113"/>
        <v>12920360</v>
      </c>
      <c r="K129" s="35">
        <f t="shared" si="113"/>
        <v>15235613</v>
      </c>
      <c r="L129" s="35">
        <f t="shared" si="113"/>
        <v>21944490</v>
      </c>
      <c r="M129" s="35">
        <f t="shared" si="113"/>
        <v>21482583</v>
      </c>
      <c r="N129" s="35">
        <f t="shared" si="113"/>
        <v>33817396</v>
      </c>
      <c r="O129" s="35">
        <f>O91-O13</f>
        <v>42541477</v>
      </c>
      <c r="P129" s="36">
        <f t="shared" si="121"/>
        <v>22975700</v>
      </c>
      <c r="Q129" s="36">
        <f t="shared" si="121"/>
        <v>29089714.154138431</v>
      </c>
      <c r="R129" s="36">
        <f t="shared" si="121"/>
        <v>16835892.51453118</v>
      </c>
      <c r="S129" s="36">
        <f t="shared" si="121"/>
        <v>17362014.362543017</v>
      </c>
      <c r="T129" s="36">
        <f t="shared" si="121"/>
        <v>17352911.870414302</v>
      </c>
      <c r="U129" s="36">
        <f t="shared" si="121"/>
        <v>16910017.396205619</v>
      </c>
      <c r="V129" s="36">
        <f t="shared" si="121"/>
        <v>19176603.904702127</v>
      </c>
      <c r="W129" s="36">
        <f t="shared" si="121"/>
        <v>17362134.349210575</v>
      </c>
      <c r="X129" s="36">
        <f t="shared" si="121"/>
        <v>15510277.368318856</v>
      </c>
      <c r="Y129" s="36">
        <f t="shared" si="121"/>
        <v>14519766.429900244</v>
      </c>
      <c r="Z129" s="36">
        <f t="shared" si="121"/>
        <v>14183291.168406844</v>
      </c>
      <c r="AA129" s="36">
        <f t="shared" si="121"/>
        <v>13117088.035823539</v>
      </c>
      <c r="AB129" s="36">
        <f t="shared" si="121"/>
        <v>10612057.32865116</v>
      </c>
      <c r="AC129" s="36">
        <f t="shared" si="121"/>
        <v>8950506.3909234405</v>
      </c>
      <c r="AD129" s="36">
        <f t="shared" si="121"/>
        <v>7317144.161368832</v>
      </c>
      <c r="AE129" s="36">
        <f t="shared" si="121"/>
        <v>6110536.1374256164</v>
      </c>
      <c r="AF129" s="36">
        <f t="shared" si="121"/>
        <v>6120442.3080786616</v>
      </c>
      <c r="AG129" s="36">
        <f t="shared" si="119"/>
        <v>6111044.7385074571</v>
      </c>
      <c r="AH129" s="36">
        <f t="shared" si="119"/>
        <v>7569472.067387417</v>
      </c>
      <c r="AI129" s="36">
        <f t="shared" si="119"/>
        <v>7687413.7226018161</v>
      </c>
      <c r="AJ129" s="36">
        <f t="shared" si="119"/>
        <v>7729562.2834381759</v>
      </c>
      <c r="AK129" s="36">
        <f t="shared" si="119"/>
        <v>7726705.2501041181</v>
      </c>
      <c r="AL129" s="36">
        <f t="shared" si="119"/>
        <v>7717714.9977553003</v>
      </c>
      <c r="AM129" s="36">
        <f t="shared" si="119"/>
        <v>7690012.7428896129</v>
      </c>
      <c r="AN129" s="36">
        <f t="shared" si="119"/>
        <v>7750974.3000268377</v>
      </c>
      <c r="AO129" s="36">
        <f t="shared" si="119"/>
        <v>7810503.8317566589</v>
      </c>
      <c r="AP129" s="36">
        <f t="shared" si="119"/>
        <v>7825576.4419760033</v>
      </c>
      <c r="AR129" s="35">
        <f t="shared" si="114"/>
        <v>-3688096</v>
      </c>
      <c r="AS129" s="35">
        <f t="shared" si="115"/>
        <v>-19565777</v>
      </c>
      <c r="AT129" s="70">
        <f t="shared" si="116"/>
        <v>-0.45992237175968287</v>
      </c>
      <c r="AU129" s="36">
        <f>SUM(O$119:O129)-SUM(N$119:N129)</f>
        <v>243024810</v>
      </c>
      <c r="AV129" s="71">
        <f>AU129/SUM(M$119:M129)</f>
        <v>1.5460597368430913</v>
      </c>
      <c r="AX129" s="35">
        <f t="shared" si="117"/>
        <v>21630444.5</v>
      </c>
      <c r="AY129" s="35">
        <f t="shared" si="118"/>
        <v>1345255.5</v>
      </c>
    </row>
    <row r="130" spans="1:51" x14ac:dyDescent="0.2">
      <c r="A130" s="32" t="s">
        <v>80</v>
      </c>
      <c r="B130" s="35">
        <f t="shared" si="113"/>
        <v>1962490</v>
      </c>
      <c r="C130" s="35">
        <f t="shared" si="113"/>
        <v>10389680</v>
      </c>
      <c r="D130" s="35">
        <f t="shared" si="113"/>
        <v>732245</v>
      </c>
      <c r="E130" s="35">
        <f t="shared" si="113"/>
        <v>32842933</v>
      </c>
      <c r="F130" s="35">
        <f t="shared" si="113"/>
        <v>16360522</v>
      </c>
      <c r="G130" s="35">
        <f t="shared" si="113"/>
        <v>38152911</v>
      </c>
      <c r="H130" s="35">
        <f t="shared" si="113"/>
        <v>121095251</v>
      </c>
      <c r="I130" s="35">
        <f t="shared" si="113"/>
        <v>31116816</v>
      </c>
      <c r="J130" s="35">
        <f t="shared" si="113"/>
        <v>29600921</v>
      </c>
      <c r="K130" s="35">
        <f t="shared" si="113"/>
        <v>24318415</v>
      </c>
      <c r="L130" s="35">
        <f t="shared" si="113"/>
        <v>24004702</v>
      </c>
      <c r="M130" s="35">
        <f t="shared" si="113"/>
        <v>51260934</v>
      </c>
      <c r="N130" s="35">
        <f t="shared" si="113"/>
        <v>43008881</v>
      </c>
      <c r="O130" s="35">
        <f>O92-O14</f>
        <v>64593783</v>
      </c>
      <c r="P130" s="36">
        <f t="shared" si="121"/>
        <v>31390220</v>
      </c>
      <c r="Q130" s="36">
        <f t="shared" si="121"/>
        <v>106843258.26049855</v>
      </c>
      <c r="R130" s="36">
        <f t="shared" si="121"/>
        <v>33366679.173276901</v>
      </c>
      <c r="S130" s="36">
        <f t="shared" si="121"/>
        <v>33371316.260606855</v>
      </c>
      <c r="T130" s="36">
        <f t="shared" si="121"/>
        <v>36316520.923465088</v>
      </c>
      <c r="U130" s="36">
        <f t="shared" si="121"/>
        <v>39377847.198489517</v>
      </c>
      <c r="V130" s="36">
        <f t="shared" si="121"/>
        <v>49002900.015177369</v>
      </c>
      <c r="W130" s="36">
        <f t="shared" si="121"/>
        <v>37925854.103691757</v>
      </c>
      <c r="X130" s="36">
        <f t="shared" si="121"/>
        <v>34480503.069696128</v>
      </c>
      <c r="Y130" s="36">
        <f t="shared" si="121"/>
        <v>33157619.211115479</v>
      </c>
      <c r="Z130" s="36">
        <f t="shared" si="121"/>
        <v>32951773.426873595</v>
      </c>
      <c r="AA130" s="36">
        <f t="shared" si="121"/>
        <v>30459882.205328584</v>
      </c>
      <c r="AB130" s="36">
        <f t="shared" si="121"/>
        <v>24007466.843903512</v>
      </c>
      <c r="AC130" s="36">
        <f t="shared" si="121"/>
        <v>20426702.902108863</v>
      </c>
      <c r="AD130" s="36">
        <f t="shared" si="121"/>
        <v>16808357.633165181</v>
      </c>
      <c r="AE130" s="36">
        <f t="shared" si="121"/>
        <v>14058742.444892451</v>
      </c>
      <c r="AF130" s="36">
        <f t="shared" si="121"/>
        <v>14039090.977353789</v>
      </c>
      <c r="AG130" s="36">
        <f t="shared" si="119"/>
        <v>13959431.375222467</v>
      </c>
      <c r="AH130" s="36">
        <f t="shared" si="119"/>
        <v>15367622.586015575</v>
      </c>
      <c r="AI130" s="36">
        <f t="shared" si="119"/>
        <v>15495689.36893329</v>
      </c>
      <c r="AJ130" s="36">
        <f t="shared" si="119"/>
        <v>15533785.387185894</v>
      </c>
      <c r="AK130" s="36">
        <f t="shared" si="119"/>
        <v>15521577.341590963</v>
      </c>
      <c r="AL130" s="36">
        <f t="shared" si="119"/>
        <v>15507490.547675051</v>
      </c>
      <c r="AM130" s="36">
        <f t="shared" si="119"/>
        <v>15488843.591330901</v>
      </c>
      <c r="AN130" s="36">
        <f t="shared" si="119"/>
        <v>15547747.395200796</v>
      </c>
      <c r="AO130" s="36">
        <f t="shared" si="119"/>
        <v>15602189.458463542</v>
      </c>
      <c r="AP130" s="36">
        <f t="shared" si="119"/>
        <v>15614820.988895319</v>
      </c>
      <c r="AR130" s="35">
        <f t="shared" si="114"/>
        <v>8414520</v>
      </c>
      <c r="AS130" s="35">
        <f t="shared" si="115"/>
        <v>-33203563</v>
      </c>
      <c r="AT130" s="70">
        <f t="shared" si="116"/>
        <v>-0.51403651339015088</v>
      </c>
      <c r="AU130" s="36">
        <f>SUM(O$119:O130)-SUM(N$119:N130)</f>
        <v>264609712</v>
      </c>
      <c r="AV130" s="71">
        <f>AU130/SUM(M$119:M130)</f>
        <v>1.2694113175244526</v>
      </c>
      <c r="AX130" s="35">
        <f t="shared" si="117"/>
        <v>33885111.5</v>
      </c>
      <c r="AY130" s="35">
        <f t="shared" si="118"/>
        <v>-2494891.5</v>
      </c>
    </row>
    <row r="131" spans="1:51" x14ac:dyDescent="0.2">
      <c r="A131" s="32" t="s">
        <v>58</v>
      </c>
      <c r="B131" s="35">
        <f>SUM(B119:B130)</f>
        <v>12487506</v>
      </c>
      <c r="C131" s="35">
        <f t="shared" ref="C131:M131" si="122">SUM(C119:C130)</f>
        <v>44459572</v>
      </c>
      <c r="D131" s="35">
        <f t="shared" si="122"/>
        <v>40228770</v>
      </c>
      <c r="E131" s="35">
        <f t="shared" si="122"/>
        <v>155815717</v>
      </c>
      <c r="F131" s="35">
        <f t="shared" si="122"/>
        <v>129629026</v>
      </c>
      <c r="G131" s="35">
        <f t="shared" si="122"/>
        <v>261256195</v>
      </c>
      <c r="H131" s="35">
        <f t="shared" si="122"/>
        <v>561640318</v>
      </c>
      <c r="I131" s="35">
        <f t="shared" si="122"/>
        <v>461914644</v>
      </c>
      <c r="J131" s="35">
        <f t="shared" si="122"/>
        <v>175141321</v>
      </c>
      <c r="K131" s="35">
        <f t="shared" si="122"/>
        <v>184741553</v>
      </c>
      <c r="L131" s="35">
        <f t="shared" si="122"/>
        <v>209493674</v>
      </c>
      <c r="M131" s="35">
        <f t="shared" si="122"/>
        <v>208450727</v>
      </c>
      <c r="N131" s="35">
        <f>SUM(N119:N130)</f>
        <v>240324591</v>
      </c>
      <c r="O131" s="35">
        <f>SUM(O119:O130)</f>
        <v>504934303</v>
      </c>
      <c r="P131" s="36">
        <f t="shared" ref="P131:AO131" si="123">SUM(P119:P130)</f>
        <v>398051318</v>
      </c>
      <c r="Q131" s="36">
        <f t="shared" si="123"/>
        <v>340000000</v>
      </c>
      <c r="R131" s="36">
        <f t="shared" si="123"/>
        <v>190000000.00000006</v>
      </c>
      <c r="S131" s="36">
        <f t="shared" si="123"/>
        <v>200000000</v>
      </c>
      <c r="T131" s="36">
        <f t="shared" si="123"/>
        <v>220000000</v>
      </c>
      <c r="U131" s="36">
        <f t="shared" si="123"/>
        <v>219999999.99999997</v>
      </c>
      <c r="V131" s="36">
        <f t="shared" si="123"/>
        <v>230000000.00000006</v>
      </c>
      <c r="W131" s="36">
        <f t="shared" si="123"/>
        <v>210000000</v>
      </c>
      <c r="X131" s="36">
        <f t="shared" si="123"/>
        <v>189999999.99999994</v>
      </c>
      <c r="Y131" s="36">
        <f t="shared" si="123"/>
        <v>180000000</v>
      </c>
      <c r="Z131" s="36">
        <f t="shared" si="123"/>
        <v>175000000</v>
      </c>
      <c r="AA131" s="36">
        <f t="shared" si="123"/>
        <v>160000000</v>
      </c>
      <c r="AB131" s="36">
        <f t="shared" si="123"/>
        <v>130000000</v>
      </c>
      <c r="AC131" s="36">
        <f t="shared" si="123"/>
        <v>110000000</v>
      </c>
      <c r="AD131" s="36">
        <f t="shared" si="123"/>
        <v>90000000.00000003</v>
      </c>
      <c r="AE131" s="36">
        <f t="shared" si="123"/>
        <v>74999999.999999985</v>
      </c>
      <c r="AF131" s="36">
        <f t="shared" si="123"/>
        <v>75000000</v>
      </c>
      <c r="AG131" s="36">
        <f t="shared" si="123"/>
        <v>75000000</v>
      </c>
      <c r="AH131" s="36">
        <f t="shared" si="123"/>
        <v>86887781.921763957</v>
      </c>
      <c r="AI131" s="36">
        <f t="shared" si="123"/>
        <v>87835299.154121727</v>
      </c>
      <c r="AJ131" s="36">
        <f t="shared" si="123"/>
        <v>88155796.86890626</v>
      </c>
      <c r="AK131" s="36">
        <f t="shared" si="123"/>
        <v>88130642.465077549</v>
      </c>
      <c r="AL131" s="36">
        <f t="shared" si="123"/>
        <v>88071345.325476259</v>
      </c>
      <c r="AM131" s="36">
        <f t="shared" si="123"/>
        <v>87847389.522647753</v>
      </c>
      <c r="AN131" s="36">
        <f t="shared" si="123"/>
        <v>88338945.35969606</v>
      </c>
      <c r="AO131" s="36">
        <f t="shared" si="123"/>
        <v>88820320.515326262</v>
      </c>
      <c r="AP131" s="36">
        <f>SUM(AP119:AP130)</f>
        <v>88944154.123873979</v>
      </c>
      <c r="AQ131" s="35"/>
    </row>
    <row r="133" spans="1:51" x14ac:dyDescent="0.2">
      <c r="O133" s="35"/>
    </row>
    <row r="134" spans="1:51" x14ac:dyDescent="0.2">
      <c r="A134" s="32" t="s">
        <v>115</v>
      </c>
    </row>
    <row r="135" spans="1:51" s="61" customFormat="1" x14ac:dyDescent="0.2">
      <c r="B135" s="61">
        <f>B2</f>
        <v>2010</v>
      </c>
      <c r="C135" s="61">
        <f t="shared" ref="C135:P135" si="124">C2</f>
        <v>2011</v>
      </c>
      <c r="D135" s="61">
        <f t="shared" si="124"/>
        <v>2012</v>
      </c>
      <c r="E135" s="61">
        <f t="shared" si="124"/>
        <v>2013</v>
      </c>
      <c r="F135" s="61">
        <f t="shared" si="124"/>
        <v>2014</v>
      </c>
      <c r="G135" s="61">
        <f t="shared" si="124"/>
        <v>2015</v>
      </c>
      <c r="H135" s="61">
        <f t="shared" si="124"/>
        <v>2016</v>
      </c>
      <c r="I135" s="61">
        <f t="shared" si="124"/>
        <v>2017</v>
      </c>
      <c r="J135" s="61">
        <f t="shared" si="124"/>
        <v>2018</v>
      </c>
      <c r="K135" s="61">
        <f t="shared" si="124"/>
        <v>2019</v>
      </c>
      <c r="L135" s="61">
        <f t="shared" si="124"/>
        <v>2020</v>
      </c>
      <c r="M135" s="61">
        <f t="shared" si="124"/>
        <v>2021</v>
      </c>
      <c r="N135" s="61">
        <f t="shared" si="124"/>
        <v>2022</v>
      </c>
      <c r="O135" s="61">
        <f t="shared" si="124"/>
        <v>2023</v>
      </c>
      <c r="P135" s="61">
        <f t="shared" si="124"/>
        <v>2024</v>
      </c>
      <c r="Q135" s="61">
        <f>Q2</f>
        <v>2025</v>
      </c>
      <c r="R135" s="61">
        <f>R2</f>
        <v>2026</v>
      </c>
      <c r="S135" s="61">
        <f t="shared" ref="S135:AC135" si="125">S2</f>
        <v>2027</v>
      </c>
      <c r="T135" s="61">
        <f t="shared" si="125"/>
        <v>2028</v>
      </c>
      <c r="U135" s="61">
        <f t="shared" si="125"/>
        <v>2029</v>
      </c>
      <c r="V135" s="61">
        <f t="shared" si="125"/>
        <v>2030</v>
      </c>
      <c r="W135" s="61">
        <f t="shared" si="125"/>
        <v>2031</v>
      </c>
      <c r="X135" s="61">
        <f t="shared" si="125"/>
        <v>2032</v>
      </c>
      <c r="Y135" s="61">
        <f t="shared" si="125"/>
        <v>2033</v>
      </c>
      <c r="Z135" s="61">
        <f t="shared" si="125"/>
        <v>2034</v>
      </c>
      <c r="AA135" s="61">
        <f t="shared" si="125"/>
        <v>2035</v>
      </c>
      <c r="AB135" s="61">
        <f t="shared" si="125"/>
        <v>2036</v>
      </c>
      <c r="AC135" s="61">
        <f t="shared" si="125"/>
        <v>2037</v>
      </c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</row>
    <row r="136" spans="1:51" x14ac:dyDescent="0.2">
      <c r="A136" s="32" t="s">
        <v>70</v>
      </c>
      <c r="B136" s="85">
        <f>B3/SUM(B3,'Renewable Diesel'!B49)</f>
        <v>1</v>
      </c>
      <c r="C136" s="85">
        <f>C3/SUM(C3,'Renewable Diesel'!C49)</f>
        <v>0.88130819486530154</v>
      </c>
      <c r="D136" s="85">
        <f>D3/SUM(D3,'Renewable Diesel'!D49)</f>
        <v>0.93444691321971174</v>
      </c>
      <c r="E136" s="85">
        <f>E3/SUM(E3,'Renewable Diesel'!E49)</f>
        <v>0.98234658096630012</v>
      </c>
      <c r="F136" s="85">
        <f>F3/SUM(F3,'Renewable Diesel'!F49)</f>
        <v>0.84589588596718479</v>
      </c>
      <c r="G136" s="85">
        <f>G3/SUM(G3,'Renewable Diesel'!G49)</f>
        <v>0.76146636732656414</v>
      </c>
      <c r="H136" s="85">
        <f>H3/SUM(H3,'Renewable Diesel'!H49)</f>
        <v>0.87917838402605308</v>
      </c>
      <c r="I136" s="85">
        <f>I3/SUM(I3,'Renewable Diesel'!I49)</f>
        <v>0.78034014578792477</v>
      </c>
      <c r="J136" s="85">
        <f>J3/SUM(J3,'Renewable Diesel'!J49)</f>
        <v>0.88982916184249305</v>
      </c>
      <c r="K136" s="85">
        <f>K3/SUM(K3,'Renewable Diesel'!K49)</f>
        <v>0.74689210642487458</v>
      </c>
      <c r="L136" s="85">
        <f>L3/SUM(L3,'Renewable Diesel'!L49)</f>
        <v>0.73881723379658659</v>
      </c>
      <c r="M136" s="85">
        <f>M3/SUM(M3,'Renewable Diesel'!M49)</f>
        <v>0.68052054952898555</v>
      </c>
      <c r="N136" s="85">
        <f>N3/SUM(N3,'Renewable Diesel'!N49)</f>
        <v>0.51042274750602556</v>
      </c>
      <c r="O136" s="85">
        <f>O3/SUM(O3,'Renewable Diesel'!O49)</f>
        <v>0.44636444440315737</v>
      </c>
      <c r="P136" s="85">
        <f>P3/SUM(P3,'Renewable Diesel'!P49)</f>
        <v>0.34399187867379516</v>
      </c>
      <c r="Q136" s="86">
        <f>Q3/SUM(Q3,'Renewable Diesel'!Q49)</f>
        <v>0.23192612900315204</v>
      </c>
      <c r="R136" s="86">
        <f>R3/SUM(R3,'Renewable Diesel'!R49)</f>
        <v>0.36125923018021028</v>
      </c>
      <c r="S136" s="86">
        <f>S3/SUM(S3,'Renewable Diesel'!S49)</f>
        <v>0.32276436300582545</v>
      </c>
      <c r="T136" s="86">
        <f>T3/SUM(T3,'Renewable Diesel'!T49)</f>
        <v>0.27485411373819019</v>
      </c>
      <c r="U136" s="86">
        <f>U3/SUM(U3,'Renewable Diesel'!U49)</f>
        <v>0.29550177332797145</v>
      </c>
      <c r="V136" s="86">
        <f>V3/SUM(V3,'Renewable Diesel'!V49)</f>
        <v>0.2790962046004164</v>
      </c>
      <c r="W136" s="86">
        <f>W3/SUM(W3,'Renewable Diesel'!W49)</f>
        <v>0.27502787706279075</v>
      </c>
      <c r="X136" s="86">
        <f>X3/SUM(X3,'Renewable Diesel'!X49)</f>
        <v>0.24972706612587137</v>
      </c>
      <c r="Y136" s="86">
        <f>Y3/SUM(Y3,'Renewable Diesel'!Y49)</f>
        <v>0.28020685606760698</v>
      </c>
      <c r="Z136" s="86">
        <f>Z3/SUM(Z3,'Renewable Diesel'!Z49)</f>
        <v>0.26207136893074723</v>
      </c>
      <c r="AA136" s="86">
        <f>AA3/SUM(AA3,'Renewable Diesel'!AA49)</f>
        <v>0.2460640793061368</v>
      </c>
      <c r="AB136" s="86">
        <f>AB3/SUM(AB3,'Renewable Diesel'!AB49)</f>
        <v>0.19621178103326042</v>
      </c>
      <c r="AC136" s="86">
        <f>AC3/SUM(AC3,'Renewable Diesel'!AC49)</f>
        <v>0.14999337890341763</v>
      </c>
    </row>
    <row r="137" spans="1:51" x14ac:dyDescent="0.2">
      <c r="A137" s="32" t="s">
        <v>71</v>
      </c>
      <c r="B137" s="85">
        <f>B4/SUM(B4,'Renewable Diesel'!B50)</f>
        <v>1</v>
      </c>
      <c r="C137" s="85">
        <f>C4/SUM(C4,'Renewable Diesel'!C50)</f>
        <v>0.97735881466533514</v>
      </c>
      <c r="D137" s="85">
        <f>D4/SUM(D4,'Renewable Diesel'!D50)</f>
        <v>0.95786693522760769</v>
      </c>
      <c r="E137" s="85">
        <f>E4/SUM(E4,'Renewable Diesel'!E50)</f>
        <v>0.98294698508160316</v>
      </c>
      <c r="F137" s="85">
        <f>F4/SUM(F4,'Renewable Diesel'!F50)</f>
        <v>0.8503610206408192</v>
      </c>
      <c r="G137" s="85">
        <f>G4/SUM(G4,'Renewable Diesel'!G50)</f>
        <v>0.82335307112749834</v>
      </c>
      <c r="H137" s="85">
        <f>H4/SUM(H4,'Renewable Diesel'!H50)</f>
        <v>0.93174349377668586</v>
      </c>
      <c r="I137" s="85">
        <f>I4/SUM(I4,'Renewable Diesel'!I50)</f>
        <v>0.78855645705505417</v>
      </c>
      <c r="J137" s="85">
        <f>J4/SUM(J4,'Renewable Diesel'!J50)</f>
        <v>0.84246287567626343</v>
      </c>
      <c r="K137" s="85">
        <f>K4/SUM(K4,'Renewable Diesel'!K50)</f>
        <v>0.74493560814234527</v>
      </c>
      <c r="L137" s="85">
        <f>L4/SUM(L4,'Renewable Diesel'!L50)</f>
        <v>0.77439159110416889</v>
      </c>
      <c r="M137" s="85">
        <f>M4/SUM(M4,'Renewable Diesel'!M50)</f>
        <v>0.68225046871674311</v>
      </c>
      <c r="N137" s="85">
        <f>N4/SUM(N4,'Renewable Diesel'!N50)</f>
        <v>0.52135148149982347</v>
      </c>
      <c r="O137" s="85">
        <f>O4/SUM(O4,'Renewable Diesel'!O50)</f>
        <v>0.44854101335895541</v>
      </c>
      <c r="P137" s="85">
        <f>P4/SUM(P4,'Renewable Diesel'!P50)</f>
        <v>0.35349485206598785</v>
      </c>
      <c r="Q137" s="86">
        <f>Q4/SUM(Q4,'Renewable Diesel'!Q50)</f>
        <v>0.28373707120548913</v>
      </c>
      <c r="R137" s="86">
        <f>R4/SUM(R4,'Renewable Diesel'!R50)</f>
        <v>0.35500331295641352</v>
      </c>
      <c r="S137" s="86">
        <f>S4/SUM(S4,'Renewable Diesel'!S50)</f>
        <v>0.31783894040910027</v>
      </c>
      <c r="T137" s="86">
        <f>T4/SUM(T4,'Renewable Diesel'!T50)</f>
        <v>0.26576589483047885</v>
      </c>
      <c r="U137" s="86">
        <f>U4/SUM(U4,'Renewable Diesel'!U50)</f>
        <v>0.29034715788629817</v>
      </c>
      <c r="V137" s="86">
        <f>V4/SUM(V4,'Renewable Diesel'!V50)</f>
        <v>0.27529527930008746</v>
      </c>
      <c r="W137" s="86">
        <f>W4/SUM(W4,'Renewable Diesel'!W50)</f>
        <v>0.26966359935705964</v>
      </c>
      <c r="X137" s="86">
        <f>X4/SUM(X4,'Renewable Diesel'!X50)</f>
        <v>0.2445609846352895</v>
      </c>
      <c r="Y137" s="86">
        <f>Y4/SUM(Y4,'Renewable Diesel'!Y50)</f>
        <v>0.23333158088486206</v>
      </c>
      <c r="Z137" s="86">
        <f>Z4/SUM(Z4,'Renewable Diesel'!Z50)</f>
        <v>0.23376439812452296</v>
      </c>
      <c r="AA137" s="86">
        <f>AA4/SUM(AA4,'Renewable Diesel'!AA50)</f>
        <v>0.21640886395494296</v>
      </c>
      <c r="AB137" s="86">
        <f>AB4/SUM(AB4,'Renewable Diesel'!AB50)</f>
        <v>0.17714377666748152</v>
      </c>
      <c r="AC137" s="86">
        <f>AC4/SUM(AC4,'Renewable Diesel'!AC50)</f>
        <v>0.13229406178837499</v>
      </c>
    </row>
    <row r="138" spans="1:51" x14ac:dyDescent="0.2">
      <c r="A138" s="32" t="s">
        <v>72</v>
      </c>
      <c r="B138" s="85">
        <f>B5/SUM(B5,'Renewable Diesel'!B51)</f>
        <v>1</v>
      </c>
      <c r="C138" s="85">
        <f>C5/SUM(C5,'Renewable Diesel'!C51)</f>
        <v>0.95260789353071396</v>
      </c>
      <c r="D138" s="85">
        <f>D5/SUM(D5,'Renewable Diesel'!D51)</f>
        <v>0.94672776685672477</v>
      </c>
      <c r="E138" s="85">
        <f>E5/SUM(E5,'Renewable Diesel'!E51)</f>
        <v>0.98178456146758308</v>
      </c>
      <c r="F138" s="85">
        <f>F5/SUM(F5,'Renewable Diesel'!F51)</f>
        <v>0.8586195831198129</v>
      </c>
      <c r="G138" s="85">
        <f>G5/SUM(G5,'Renewable Diesel'!G51)</f>
        <v>0.85149812641556788</v>
      </c>
      <c r="H138" s="85">
        <f>H5/SUM(H5,'Renewable Diesel'!H51)</f>
        <v>0.8759529263517063</v>
      </c>
      <c r="I138" s="85">
        <f>I5/SUM(I5,'Renewable Diesel'!I51)</f>
        <v>0.87549141441212375</v>
      </c>
      <c r="J138" s="85">
        <f>J5/SUM(J5,'Renewable Diesel'!J51)</f>
        <v>0.85277057172809323</v>
      </c>
      <c r="K138" s="85">
        <f>K5/SUM(K5,'Renewable Diesel'!K51)</f>
        <v>0.80512511264859998</v>
      </c>
      <c r="L138" s="85">
        <f>L5/SUM(L5,'Renewable Diesel'!L51)</f>
        <v>0.7684471157899917</v>
      </c>
      <c r="M138" s="85">
        <f>M5/SUM(M5,'Renewable Diesel'!M51)</f>
        <v>0.71739950098721628</v>
      </c>
      <c r="N138" s="85">
        <f>N5/SUM(N5,'Renewable Diesel'!N51)</f>
        <v>0.55248233674702574</v>
      </c>
      <c r="O138" s="85">
        <f>O5/SUM(O5,'Renewable Diesel'!O51)</f>
        <v>0.41543574278979983</v>
      </c>
      <c r="P138" s="85">
        <f>P5/SUM(P5,'Renewable Diesel'!P51)</f>
        <v>0.38278459202083082</v>
      </c>
      <c r="Q138" s="86">
        <f>Q5/SUM(Q5,'Renewable Diesel'!Q51)</f>
        <v>0.29466429655136356</v>
      </c>
      <c r="R138" s="86">
        <f>R5/SUM(R5,'Renewable Diesel'!R51)</f>
        <v>0.36241819963270488</v>
      </c>
      <c r="S138" s="86">
        <f>S5/SUM(S5,'Renewable Diesel'!S51)</f>
        <v>0.33487031850274596</v>
      </c>
      <c r="T138" s="86">
        <f>T5/SUM(T5,'Renewable Diesel'!T51)</f>
        <v>0.27758152837067979</v>
      </c>
      <c r="U138" s="86">
        <f>U5/SUM(U5,'Renewable Diesel'!U51)</f>
        <v>0.30354222306241058</v>
      </c>
      <c r="V138" s="86">
        <f>V5/SUM(V5,'Renewable Diesel'!V51)</f>
        <v>0.29174840590215317</v>
      </c>
      <c r="W138" s="86">
        <f>W5/SUM(W5,'Renewable Diesel'!W51)</f>
        <v>0.28189993913932282</v>
      </c>
      <c r="X138" s="86">
        <f>X5/SUM(X5,'Renewable Diesel'!X51)</f>
        <v>0.25760402865860027</v>
      </c>
      <c r="Y138" s="86">
        <f>Y5/SUM(Y5,'Renewable Diesel'!Y51)</f>
        <v>0.24556070058356</v>
      </c>
      <c r="Z138" s="86">
        <f>Z5/SUM(Z5,'Renewable Diesel'!Z51)</f>
        <v>0.24604567446138506</v>
      </c>
      <c r="AA138" s="86">
        <f>AA5/SUM(AA5,'Renewable Diesel'!AA51)</f>
        <v>0.22822093646264197</v>
      </c>
      <c r="AB138" s="86">
        <f>AB5/SUM(AB5,'Renewable Diesel'!AB51)</f>
        <v>0.18718927210752223</v>
      </c>
      <c r="AC138" s="86">
        <f>AC5/SUM(AC5,'Renewable Diesel'!AC51)</f>
        <v>0.14046386221978041</v>
      </c>
    </row>
    <row r="139" spans="1:51" x14ac:dyDescent="0.2">
      <c r="A139" s="32" t="s">
        <v>73</v>
      </c>
      <c r="B139" s="85">
        <f>B6/SUM(B6,'Renewable Diesel'!B52)</f>
        <v>1</v>
      </c>
      <c r="C139" s="85">
        <f>C6/SUM(C6,'Renewable Diesel'!C52)</f>
        <v>0.97283026379303994</v>
      </c>
      <c r="D139" s="85">
        <f>D6/SUM(D6,'Renewable Diesel'!D52)</f>
        <v>0.96304793352550067</v>
      </c>
      <c r="E139" s="85">
        <f>E6/SUM(E6,'Renewable Diesel'!E52)</f>
        <v>0.98513933889042926</v>
      </c>
      <c r="F139" s="85">
        <f>F6/SUM(F6,'Renewable Diesel'!F52)</f>
        <v>0.88313507775026678</v>
      </c>
      <c r="G139" s="85">
        <f>G6/SUM(G6,'Renewable Diesel'!G52)</f>
        <v>0.87128157996270594</v>
      </c>
      <c r="H139" s="85">
        <f>H6/SUM(H6,'Renewable Diesel'!H52)</f>
        <v>0.85593332961819479</v>
      </c>
      <c r="I139" s="85">
        <f>I6/SUM(I6,'Renewable Diesel'!I52)</f>
        <v>0.85902319261445004</v>
      </c>
      <c r="J139" s="85">
        <f>J6/SUM(J6,'Renewable Diesel'!J52)</f>
        <v>0.84886914156498106</v>
      </c>
      <c r="K139" s="85">
        <f>K6/SUM(K6,'Renewable Diesel'!K52)</f>
        <v>0.80668815071113409</v>
      </c>
      <c r="L139" s="85">
        <f>L6/SUM(L6,'Renewable Diesel'!L52)</f>
        <v>0.79446868427583883</v>
      </c>
      <c r="M139" s="85">
        <f>M6/SUM(M6,'Renewable Diesel'!M52)</f>
        <v>0.74037741716727834</v>
      </c>
      <c r="N139" s="85">
        <f>N6/SUM(N6,'Renewable Diesel'!N52)</f>
        <v>0.57538016040098161</v>
      </c>
      <c r="O139" s="85">
        <f>O6/SUM(O6,'Renewable Diesel'!O52)</f>
        <v>0.43418826688263479</v>
      </c>
      <c r="P139" s="85">
        <f>P6/SUM(P6,'Renewable Diesel'!P52)</f>
        <v>0.32474553738832468</v>
      </c>
      <c r="Q139" s="86">
        <f>Q6/SUM(Q6,'Renewable Diesel'!Q52)</f>
        <v>0.39562519146458641</v>
      </c>
      <c r="R139" s="86">
        <f>R6/SUM(R6,'Renewable Diesel'!R52)</f>
        <v>0.38742503572349341</v>
      </c>
      <c r="S139" s="86">
        <f>S6/SUM(S6,'Renewable Diesel'!S52)</f>
        <v>0.36518319959077539</v>
      </c>
      <c r="T139" s="86">
        <f>T6/SUM(T6,'Renewable Diesel'!T52)</f>
        <v>0.30747075442691574</v>
      </c>
      <c r="U139" s="86">
        <f>U6/SUM(U6,'Renewable Diesel'!U52)</f>
        <v>0.33825230957628721</v>
      </c>
      <c r="V139" s="86">
        <f>V6/SUM(V6,'Renewable Diesel'!V52)</f>
        <v>0.33149041902883214</v>
      </c>
      <c r="W139" s="86">
        <f>W6/SUM(W6,'Renewable Diesel'!W52)</f>
        <v>0.31244336984038584</v>
      </c>
      <c r="X139" s="86">
        <f>X6/SUM(X6,'Renewable Diesel'!X52)</f>
        <v>0.28813788917209587</v>
      </c>
      <c r="Y139" s="86">
        <f>Y6/SUM(Y6,'Renewable Diesel'!Y52)</f>
        <v>0.27620611118136229</v>
      </c>
      <c r="Z139" s="86">
        <f>Z6/SUM(Z6,'Renewable Diesel'!Z52)</f>
        <v>0.2774794916190168</v>
      </c>
      <c r="AA139" s="86">
        <f>AA6/SUM(AA6,'Renewable Diesel'!AA52)</f>
        <v>0.25832410517044402</v>
      </c>
      <c r="AB139" s="86">
        <f>AB6/SUM(AB6,'Renewable Diesel'!AB52)</f>
        <v>0.21253179742609885</v>
      </c>
      <c r="AC139" s="86">
        <f>AC6/SUM(AC6,'Renewable Diesel'!AC52)</f>
        <v>0.16129646022410948</v>
      </c>
    </row>
    <row r="140" spans="1:51" x14ac:dyDescent="0.2">
      <c r="A140" s="32" t="s">
        <v>10</v>
      </c>
      <c r="B140" s="85">
        <f>B7/SUM(B7,'Renewable Diesel'!B53)</f>
        <v>1</v>
      </c>
      <c r="C140" s="85">
        <f>C7/SUM(C7,'Renewable Diesel'!C53)</f>
        <v>0.91178702046305315</v>
      </c>
      <c r="D140" s="85">
        <f>D7/SUM(D7,'Renewable Diesel'!D53)</f>
        <v>0.96629406580592125</v>
      </c>
      <c r="E140" s="85">
        <f>E7/SUM(E7,'Renewable Diesel'!E53)</f>
        <v>0.97706002995728503</v>
      </c>
      <c r="F140" s="85">
        <f>F7/SUM(F7,'Renewable Diesel'!F53)</f>
        <v>0.87135504708217371</v>
      </c>
      <c r="G140" s="85">
        <f>G7/SUM(G7,'Renewable Diesel'!G53)</f>
        <v>0.88533815394229864</v>
      </c>
      <c r="H140" s="85">
        <f>H7/SUM(H7,'Renewable Diesel'!H53)</f>
        <v>0.86047110270166682</v>
      </c>
      <c r="I140" s="85">
        <f>I7/SUM(I7,'Renewable Diesel'!I53)</f>
        <v>0.85774067879375604</v>
      </c>
      <c r="J140" s="85">
        <f>J7/SUM(J7,'Renewable Diesel'!J53)</f>
        <v>0.88543824478833488</v>
      </c>
      <c r="K140" s="85">
        <f>K7/SUM(K7,'Renewable Diesel'!K53)</f>
        <v>0.80245665884853745</v>
      </c>
      <c r="L140" s="85">
        <f>L7/SUM(L7,'Renewable Diesel'!L53)</f>
        <v>0.75515665217056904</v>
      </c>
      <c r="M140" s="85">
        <f>M7/SUM(M7,'Renewable Diesel'!M53)</f>
        <v>0.71479234860277974</v>
      </c>
      <c r="N140" s="85">
        <f>N7/SUM(N7,'Renewable Diesel'!N53)</f>
        <v>0.50688441332321488</v>
      </c>
      <c r="O140" s="85">
        <f>O7/SUM(O7,'Renewable Diesel'!O53)</f>
        <v>0.41641807463645719</v>
      </c>
      <c r="P140" s="85">
        <f>P7/SUM(P7,'Renewable Diesel'!P53)</f>
        <v>0.39304978755766956</v>
      </c>
      <c r="Q140" s="86">
        <f>Q7/SUM(Q7,'Renewable Diesel'!Q53)</f>
        <v>0.41016289492750779</v>
      </c>
      <c r="R140" s="86">
        <f>R7/SUM(R7,'Renewable Diesel'!R53)</f>
        <v>0.37594086694020185</v>
      </c>
      <c r="S140" s="86">
        <f>S7/SUM(S7,'Renewable Diesel'!S53)</f>
        <v>0.35468311843824135</v>
      </c>
      <c r="T140" s="86">
        <f>T7/SUM(T7,'Renewable Diesel'!T53)</f>
        <v>0.30269844102992466</v>
      </c>
      <c r="U140" s="86">
        <f>U7/SUM(U7,'Renewable Diesel'!U53)</f>
        <v>0.32777637284251465</v>
      </c>
      <c r="V140" s="86">
        <f>V7/SUM(V7,'Renewable Diesel'!V53)</f>
        <v>0.32108504742367128</v>
      </c>
      <c r="W140" s="86">
        <f>W7/SUM(W7,'Renewable Diesel'!W53)</f>
        <v>0.3033114999660948</v>
      </c>
      <c r="X140" s="86">
        <f>X7/SUM(X7,'Renewable Diesel'!X53)</f>
        <v>0.27967489508842952</v>
      </c>
      <c r="Y140" s="86">
        <f>Y7/SUM(Y7,'Renewable Diesel'!Y53)</f>
        <v>0.26811439078881472</v>
      </c>
      <c r="Z140" s="86">
        <f>Z7/SUM(Z7,'Renewable Diesel'!Z53)</f>
        <v>0.26875636332588737</v>
      </c>
      <c r="AA140" s="86">
        <f>AA7/SUM(AA7,'Renewable Diesel'!AA53)</f>
        <v>0.25012123773321693</v>
      </c>
      <c r="AB140" s="86">
        <f>AB7/SUM(AB7,'Renewable Diesel'!AB53)</f>
        <v>0.205506217455038</v>
      </c>
      <c r="AC140" s="86">
        <f>AC7/SUM(AC7,'Renewable Diesel'!AC53)</f>
        <v>0.15563504632457131</v>
      </c>
    </row>
    <row r="141" spans="1:51" x14ac:dyDescent="0.2">
      <c r="A141" s="32" t="s">
        <v>74</v>
      </c>
      <c r="B141" s="85">
        <f>B8/SUM(B8,'Renewable Diesel'!B54)</f>
        <v>1</v>
      </c>
      <c r="C141" s="85">
        <f>C8/SUM(C8,'Renewable Diesel'!C54)</f>
        <v>0.94469916381321395</v>
      </c>
      <c r="D141" s="85">
        <f>D8/SUM(D8,'Renewable Diesel'!D54)</f>
        <v>0.9674008753331208</v>
      </c>
      <c r="E141" s="85">
        <f>E8/SUM(E8,'Renewable Diesel'!E54)</f>
        <v>0.94182587418770913</v>
      </c>
      <c r="F141" s="85">
        <f>F8/SUM(F8,'Renewable Diesel'!F54)</f>
        <v>0.87848666730000258</v>
      </c>
      <c r="G141" s="85">
        <f>G8/SUM(G8,'Renewable Diesel'!G54)</f>
        <v>0.90078416654342652</v>
      </c>
      <c r="H141" s="85">
        <f>H8/SUM(H8,'Renewable Diesel'!H54)</f>
        <v>0.86347438782423536</v>
      </c>
      <c r="I141" s="85">
        <f>I8/SUM(I8,'Renewable Diesel'!I54)</f>
        <v>0.89095956105812202</v>
      </c>
      <c r="J141" s="85">
        <f>J8/SUM(J8,'Renewable Diesel'!J54)</f>
        <v>0.92838799504878933</v>
      </c>
      <c r="K141" s="85">
        <f>K8/SUM(K8,'Renewable Diesel'!K54)</f>
        <v>0.78374857485658822</v>
      </c>
      <c r="L141" s="85">
        <f>L8/SUM(L8,'Renewable Diesel'!L54)</f>
        <v>0.75673843973343502</v>
      </c>
      <c r="M141" s="85">
        <f>M8/SUM(M8,'Renewable Diesel'!M54)</f>
        <v>0.69165066289746591</v>
      </c>
      <c r="N141" s="85">
        <f>N8/SUM(N8,'Renewable Diesel'!N54)</f>
        <v>0.55133360428289468</v>
      </c>
      <c r="O141" s="85">
        <f>O8/SUM(O8,'Renewable Diesel'!O54)</f>
        <v>0.43040073042018712</v>
      </c>
      <c r="P141" s="85">
        <f>P8/SUM(P8,'Renewable Diesel'!P54)</f>
        <v>0.32134509777261461</v>
      </c>
      <c r="Q141" s="86">
        <f>Q8/SUM(Q8,'Renewable Diesel'!Q54)</f>
        <v>0.41646720271550414</v>
      </c>
      <c r="R141" s="86">
        <f>R8/SUM(R8,'Renewable Diesel'!R54)</f>
        <v>0.37299027723500916</v>
      </c>
      <c r="S141" s="86">
        <f>S8/SUM(S8,'Renewable Diesel'!S54)</f>
        <v>0.34989393869703705</v>
      </c>
      <c r="T141" s="86">
        <f>T8/SUM(T8,'Renewable Diesel'!T54)</f>
        <v>0.29523735015427027</v>
      </c>
      <c r="U141" s="86">
        <f>U8/SUM(U8,'Renewable Diesel'!U54)</f>
        <v>0.3217220476483913</v>
      </c>
      <c r="V141" s="86">
        <f>V8/SUM(V8,'Renewable Diesel'!V54)</f>
        <v>0.31766500396953834</v>
      </c>
      <c r="W141" s="86">
        <f>W8/SUM(W8,'Renewable Diesel'!W54)</f>
        <v>0.29861958188273979</v>
      </c>
      <c r="X141" s="86">
        <f>X8/SUM(X8,'Renewable Diesel'!X54)</f>
        <v>0.27494312798787829</v>
      </c>
      <c r="Y141" s="86">
        <f>Y8/SUM(Y8,'Renewable Diesel'!Y54)</f>
        <v>0.26338023218337026</v>
      </c>
      <c r="Z141" s="86">
        <f>Z8/SUM(Z8,'Renewable Diesel'!Z54)</f>
        <v>0.26426174813469527</v>
      </c>
      <c r="AA141" s="86">
        <f>AA8/SUM(AA8,'Renewable Diesel'!AA54)</f>
        <v>0.24602237818946274</v>
      </c>
      <c r="AB141" s="86">
        <f>AB8/SUM(AB8,'Renewable Diesel'!AB54)</f>
        <v>0.20194339675456885</v>
      </c>
      <c r="AC141" s="86">
        <f>AC8/SUM(AC8,'Renewable Diesel'!AC54)</f>
        <v>0.15290598842351497</v>
      </c>
    </row>
    <row r="142" spans="1:51" x14ac:dyDescent="0.2">
      <c r="A142" s="32" t="s">
        <v>75</v>
      </c>
      <c r="B142" s="85">
        <f>B9/SUM(B9,'Renewable Diesel'!B55)</f>
        <v>0.990835223580108</v>
      </c>
      <c r="C142" s="85">
        <f>C9/SUM(C9,'Renewable Diesel'!C55)</f>
        <v>0.93072503015717145</v>
      </c>
      <c r="D142" s="85">
        <f>D9/SUM(D9,'Renewable Diesel'!D55)</f>
        <v>0.93940703050152496</v>
      </c>
      <c r="E142" s="85">
        <f>E9/SUM(E9,'Renewable Diesel'!E55)</f>
        <v>0.89094729902407477</v>
      </c>
      <c r="F142" s="85">
        <f>F9/SUM(F9,'Renewable Diesel'!F55)</f>
        <v>0.90146362828583093</v>
      </c>
      <c r="G142" s="85">
        <f>G9/SUM(G9,'Renewable Diesel'!G55)</f>
        <v>0.89273917803455238</v>
      </c>
      <c r="H142" s="85">
        <f>H9/SUM(H9,'Renewable Diesel'!H55)</f>
        <v>0.87605734722601214</v>
      </c>
      <c r="I142" s="85">
        <f>I9/SUM(I9,'Renewable Diesel'!I55)</f>
        <v>0.88436178817132105</v>
      </c>
      <c r="J142" s="85">
        <f>J9/SUM(J9,'Renewable Diesel'!J55)</f>
        <v>0.94147775766244146</v>
      </c>
      <c r="K142" s="85">
        <f>K9/SUM(K9,'Renewable Diesel'!K55)</f>
        <v>0.78546687824978689</v>
      </c>
      <c r="L142" s="85">
        <f>L9/SUM(L9,'Renewable Diesel'!L55)</f>
        <v>0.77708048351442993</v>
      </c>
      <c r="M142" s="85">
        <f>M9/SUM(M9,'Renewable Diesel'!M55)</f>
        <v>0.67881935207528199</v>
      </c>
      <c r="N142" s="85">
        <f>N9/SUM(N9,'Renewable Diesel'!N55)</f>
        <v>0.55794695214375789</v>
      </c>
      <c r="O142" s="85">
        <f>O9/SUM(O9,'Renewable Diesel'!O55)</f>
        <v>0.43822253275282669</v>
      </c>
      <c r="P142" s="85">
        <f>P9/SUM(P9,'Renewable Diesel'!P55)</f>
        <v>0.33278190221228127</v>
      </c>
      <c r="Q142" s="86">
        <f>Q9/SUM(Q9,'Renewable Diesel'!Q55)</f>
        <v>0.41704459114807529</v>
      </c>
      <c r="R142" s="86">
        <f>R9/SUM(R9,'Renewable Diesel'!R55)</f>
        <v>0.37420729966437488</v>
      </c>
      <c r="S142" s="86">
        <f>S9/SUM(S9,'Renewable Diesel'!S55)</f>
        <v>0.35313467084643507</v>
      </c>
      <c r="T142" s="86">
        <f>T9/SUM(T9,'Renewable Diesel'!T55)</f>
        <v>0.29966330811193043</v>
      </c>
      <c r="U142" s="86">
        <f>U9/SUM(U9,'Renewable Diesel'!U55)</f>
        <v>0.32879209264156262</v>
      </c>
      <c r="V142" s="86">
        <f>V9/SUM(V9,'Renewable Diesel'!V55)</f>
        <v>0.32108479868500045</v>
      </c>
      <c r="W142" s="86">
        <f>W9/SUM(W9,'Renewable Diesel'!W55)</f>
        <v>0.30233298919412344</v>
      </c>
      <c r="X142" s="86">
        <f>X9/SUM(X9,'Renewable Diesel'!X55)</f>
        <v>0.27892728738014766</v>
      </c>
      <c r="Y142" s="86">
        <f>Y9/SUM(Y9,'Renewable Diesel'!Y55)</f>
        <v>0.26753748279385392</v>
      </c>
      <c r="Z142" s="86">
        <f>Z9/SUM(Z9,'Renewable Diesel'!Z55)</f>
        <v>0.26851155823162826</v>
      </c>
      <c r="AA142" s="86">
        <f>AA9/SUM(AA9,'Renewable Diesel'!AA55)</f>
        <v>0.24968155624347124</v>
      </c>
      <c r="AB142" s="86">
        <f>AB9/SUM(AB9,'Renewable Diesel'!AB55)</f>
        <v>0.20516218496151523</v>
      </c>
      <c r="AC142" s="86">
        <f>AC9/SUM(AC9,'Renewable Diesel'!AC55)</f>
        <v>0.15553751363449009</v>
      </c>
    </row>
    <row r="143" spans="1:51" x14ac:dyDescent="0.2">
      <c r="A143" s="32" t="s">
        <v>76</v>
      </c>
      <c r="B143" s="85">
        <f>B10/SUM(B10,'Renewable Diesel'!B56)</f>
        <v>0.97529069034888249</v>
      </c>
      <c r="C143" s="85">
        <f>C10/SUM(C10,'Renewable Diesel'!C56)</f>
        <v>0.92288042375868706</v>
      </c>
      <c r="D143" s="85">
        <f>D10/SUM(D10,'Renewable Diesel'!D56)</f>
        <v>0.94612398189496405</v>
      </c>
      <c r="E143" s="85">
        <f>E10/SUM(E10,'Renewable Diesel'!E56)</f>
        <v>0.8949254786232379</v>
      </c>
      <c r="F143" s="85">
        <f>F10/SUM(F10,'Renewable Diesel'!F56)</f>
        <v>0.98427643401848652</v>
      </c>
      <c r="G143" s="85">
        <f>G10/SUM(G10,'Renewable Diesel'!G56)</f>
        <v>0.8926775524271805</v>
      </c>
      <c r="H143" s="85">
        <f>H10/SUM(H10,'Renewable Diesel'!H56)</f>
        <v>0.86699457913631572</v>
      </c>
      <c r="I143" s="85">
        <f>I10/SUM(I10,'Renewable Diesel'!I56)</f>
        <v>0.86459296695453525</v>
      </c>
      <c r="J143" s="85">
        <f>J10/SUM(J10,'Renewable Diesel'!J56)</f>
        <v>0.91851451615247259</v>
      </c>
      <c r="K143" s="85">
        <f>K10/SUM(K10,'Renewable Diesel'!K56)</f>
        <v>0.83577794743415978</v>
      </c>
      <c r="L143" s="85">
        <f>L10/SUM(L10,'Renewable Diesel'!L56)</f>
        <v>0.79599239351468021</v>
      </c>
      <c r="M143" s="85">
        <f>M10/SUM(M10,'Renewable Diesel'!M56)</f>
        <v>0.65231521592605024</v>
      </c>
      <c r="N143" s="85">
        <f>N10/SUM(N10,'Renewable Diesel'!N56)</f>
        <v>0.55396953508144819</v>
      </c>
      <c r="O143" s="85">
        <f>O10/SUM(O10,'Renewable Diesel'!O56)</f>
        <v>0.39181314741040363</v>
      </c>
      <c r="P143" s="86">
        <f>P10/SUM(P10,'Renewable Diesel'!P56)</f>
        <v>0.34912320269565006</v>
      </c>
      <c r="Q143" s="86">
        <f>Q10/SUM(Q10,'Renewable Diesel'!Q56)</f>
        <v>0.42214318440389614</v>
      </c>
      <c r="R143" s="86">
        <f>R10/SUM(R10,'Renewable Diesel'!R56)</f>
        <v>0.37808247547472751</v>
      </c>
      <c r="S143" s="86">
        <f>S10/SUM(S10,'Renewable Diesel'!S56)</f>
        <v>0.35630117265254735</v>
      </c>
      <c r="T143" s="86">
        <f>T10/SUM(T10,'Renewable Diesel'!T56)</f>
        <v>0.29991372908466751</v>
      </c>
      <c r="U143" s="86">
        <f>U10/SUM(U10,'Renewable Diesel'!U56)</f>
        <v>0.32723543158888907</v>
      </c>
      <c r="V143" s="86">
        <f>V10/SUM(V10,'Renewable Diesel'!V56)</f>
        <v>0.32279654455083895</v>
      </c>
      <c r="W143" s="86">
        <f>W10/SUM(W10,'Renewable Diesel'!W56)</f>
        <v>0.30367694985028348</v>
      </c>
      <c r="X143" s="86">
        <f>X10/SUM(X10,'Renewable Diesel'!X56)</f>
        <v>0.27997957369380089</v>
      </c>
      <c r="Y143" s="86">
        <f>Y10/SUM(Y10,'Renewable Diesel'!Y56)</f>
        <v>0.26811829087838174</v>
      </c>
      <c r="Z143" s="86">
        <f>Z10/SUM(Z10,'Renewable Diesel'!Z56)</f>
        <v>0.26895098339119455</v>
      </c>
      <c r="AA143" s="86">
        <f>AA10/SUM(AA10,'Renewable Diesel'!AA56)</f>
        <v>0.25046624957848712</v>
      </c>
      <c r="AB143" s="86">
        <f>AB10/SUM(AB10,'Renewable Diesel'!AB56)</f>
        <v>0.20597036942895633</v>
      </c>
      <c r="AC143" s="86">
        <f>AC10/SUM(AC10,'Renewable Diesel'!AC56)</f>
        <v>0.15622608091582635</v>
      </c>
    </row>
    <row r="144" spans="1:51" x14ac:dyDescent="0.2">
      <c r="A144" s="32" t="s">
        <v>77</v>
      </c>
      <c r="B144" s="85">
        <f>B11/SUM(B11,'Renewable Diesel'!B57)</f>
        <v>0.97343201694940273</v>
      </c>
      <c r="C144" s="85">
        <f>C11/SUM(C11,'Renewable Diesel'!C57)</f>
        <v>0.95100571393337441</v>
      </c>
      <c r="D144" s="85">
        <f>D11/SUM(D11,'Renewable Diesel'!D57)</f>
        <v>0.95605308082911145</v>
      </c>
      <c r="E144" s="85">
        <f>E11/SUM(E11,'Renewable Diesel'!E57)</f>
        <v>0.87857883359510114</v>
      </c>
      <c r="F144" s="85">
        <f>F11/SUM(F11,'Renewable Diesel'!F57)</f>
        <v>0.9545526174523129</v>
      </c>
      <c r="G144" s="85">
        <f>G11/SUM(G11,'Renewable Diesel'!G57)</f>
        <v>0.89484555480376582</v>
      </c>
      <c r="H144" s="85">
        <f>H11/SUM(H11,'Renewable Diesel'!H57)</f>
        <v>0.88414540542172348</v>
      </c>
      <c r="I144" s="85">
        <f>I11/SUM(I11,'Renewable Diesel'!I57)</f>
        <v>0.87100995087775945</v>
      </c>
      <c r="J144" s="85">
        <f>J11/SUM(J11,'Renewable Diesel'!J57)</f>
        <v>0.82960297992317367</v>
      </c>
      <c r="K144" s="85">
        <f>K11/SUM(K11,'Renewable Diesel'!K57)</f>
        <v>0.77926825941547939</v>
      </c>
      <c r="L144" s="85">
        <f>L11/SUM(L11,'Renewable Diesel'!L57)</f>
        <v>0.77723299026905468</v>
      </c>
      <c r="M144" s="85">
        <f>M11/SUM(M11,'Renewable Diesel'!M57)</f>
        <v>0.7151121399444037</v>
      </c>
      <c r="N144" s="85">
        <f>N11/SUM(N11,'Renewable Diesel'!N57)</f>
        <v>0.52643585266563597</v>
      </c>
      <c r="O144" s="85">
        <f>O11/SUM(O11,'Renewable Diesel'!O57)</f>
        <v>0.38073230532370506</v>
      </c>
      <c r="P144" s="86">
        <f>P11/SUM(P11,'Renewable Diesel'!P57)</f>
        <v>0.34280153190001855</v>
      </c>
      <c r="Q144" s="86">
        <f>Q11/SUM(Q11,'Renewable Diesel'!Q57)</f>
        <v>0.40484584032083754</v>
      </c>
      <c r="R144" s="86">
        <f>R11/SUM(R11,'Renewable Diesel'!R57)</f>
        <v>0.35962450860116113</v>
      </c>
      <c r="S144" s="86">
        <f>S11/SUM(S11,'Renewable Diesel'!S57)</f>
        <v>0.33972121279964879</v>
      </c>
      <c r="T144" s="86">
        <f>T11/SUM(T11,'Renewable Diesel'!T57)</f>
        <v>0.2857070615449594</v>
      </c>
      <c r="U144" s="86">
        <f>U11/SUM(U11,'Renewable Diesel'!U57)</f>
        <v>0.31247316541563269</v>
      </c>
      <c r="V144" s="86">
        <f>V11/SUM(V11,'Renewable Diesel'!V57)</f>
        <v>0.30739822508484205</v>
      </c>
      <c r="W144" s="86">
        <f>W11/SUM(W11,'Renewable Diesel'!W57)</f>
        <v>0.28868169058159965</v>
      </c>
      <c r="X144" s="86">
        <f>X11/SUM(X11,'Renewable Diesel'!X57)</f>
        <v>0.26594019514297729</v>
      </c>
      <c r="Y144" s="86">
        <f>Y11/SUM(Y11,'Renewable Diesel'!Y57)</f>
        <v>0.25457467949424017</v>
      </c>
      <c r="Z144" s="86">
        <f>Z11/SUM(Z11,'Renewable Diesel'!Z57)</f>
        <v>0.25540934779384256</v>
      </c>
      <c r="AA144" s="86">
        <f>AA11/SUM(AA11,'Renewable Diesel'!AA57)</f>
        <v>0.23747703406271295</v>
      </c>
      <c r="AB144" s="86">
        <f>AB11/SUM(AB11,'Renewable Diesel'!AB57)</f>
        <v>0.1946381192827836</v>
      </c>
      <c r="AC144" s="86">
        <f>AC11/SUM(AC11,'Renewable Diesel'!AC57)</f>
        <v>0.14714674745475828</v>
      </c>
    </row>
    <row r="145" spans="1:43" x14ac:dyDescent="0.2">
      <c r="A145" s="32" t="s">
        <v>78</v>
      </c>
      <c r="B145" s="85">
        <f>B12/SUM(B12,'Renewable Diesel'!B58)</f>
        <v>0.96430861893276032</v>
      </c>
      <c r="C145" s="85">
        <f>C12/SUM(C12,'Renewable Diesel'!C58)</f>
        <v>0.94179995440761177</v>
      </c>
      <c r="D145" s="85">
        <f>D12/SUM(D12,'Renewable Diesel'!D58)</f>
        <v>0.95436757510326087</v>
      </c>
      <c r="E145" s="85">
        <f>E12/SUM(E12,'Renewable Diesel'!E58)</f>
        <v>0.87313876950323288</v>
      </c>
      <c r="F145" s="85">
        <f>F12/SUM(F12,'Renewable Diesel'!F58)</f>
        <v>0.89197187504363795</v>
      </c>
      <c r="G145" s="85">
        <f>G12/SUM(G12,'Renewable Diesel'!G58)</f>
        <v>0.88673722135034616</v>
      </c>
      <c r="H145" s="85">
        <f>H12/SUM(H12,'Renewable Diesel'!H58)</f>
        <v>0.87392033282088044</v>
      </c>
      <c r="I145" s="85">
        <f>I12/SUM(I12,'Renewable Diesel'!I58)</f>
        <v>0.85490790235275826</v>
      </c>
      <c r="J145" s="85">
        <f>J12/SUM(J12,'Renewable Diesel'!J58)</f>
        <v>0.81421631045343701</v>
      </c>
      <c r="K145" s="85">
        <f>K12/SUM(K12,'Renewable Diesel'!K58)</f>
        <v>0.75116643049983356</v>
      </c>
      <c r="L145" s="85">
        <f>L12/SUM(L12,'Renewable Diesel'!L58)</f>
        <v>0.85556062300892544</v>
      </c>
      <c r="M145" s="85">
        <f>M12/SUM(M12,'Renewable Diesel'!M58)</f>
        <v>0.64377486265304473</v>
      </c>
      <c r="N145" s="85">
        <f>N12/SUM(N12,'Renewable Diesel'!N58)</f>
        <v>0.54838817823728636</v>
      </c>
      <c r="O145" s="85">
        <f>O12/SUM(O12,'Renewable Diesel'!O58)</f>
        <v>0.4023453299691187</v>
      </c>
      <c r="P145" s="86">
        <f>P12/SUM(P12,'Renewable Diesel'!P58)</f>
        <v>0.33838935313837026</v>
      </c>
      <c r="Q145" s="86">
        <f>Q12/SUM(Q12,'Renewable Diesel'!Q58)</f>
        <v>0.3829842680469549</v>
      </c>
      <c r="R145" s="86">
        <f>R12/SUM(R12,'Renewable Diesel'!R58)</f>
        <v>0.34366497558823711</v>
      </c>
      <c r="S145" s="86">
        <f>S12/SUM(S12,'Renewable Diesel'!S58)</f>
        <v>0.32523531394767957</v>
      </c>
      <c r="T145" s="86">
        <f>T12/SUM(T12,'Renewable Diesel'!T58)</f>
        <v>0.27419464163754897</v>
      </c>
      <c r="U145" s="86">
        <f>U12/SUM(U12,'Renewable Diesel'!U58)</f>
        <v>0.3018918096942767</v>
      </c>
      <c r="V145" s="86">
        <f>V12/SUM(V12,'Renewable Diesel'!V58)</f>
        <v>0.29322804274208891</v>
      </c>
      <c r="W145" s="86">
        <f>W12/SUM(W12,'Renewable Diesel'!W58)</f>
        <v>0.27614188008199375</v>
      </c>
      <c r="X145" s="86">
        <f>X12/SUM(X12,'Renewable Diesel'!X58)</f>
        <v>0.2542120723348239</v>
      </c>
      <c r="Y145" s="86">
        <f>Y12/SUM(Y12,'Renewable Diesel'!Y58)</f>
        <v>0.24341503627859662</v>
      </c>
      <c r="Z145" s="86">
        <f>Z12/SUM(Z12,'Renewable Diesel'!Z58)</f>
        <v>0.24428931776662619</v>
      </c>
      <c r="AA145" s="86">
        <f>AA12/SUM(AA12,'Renewable Diesel'!AA58)</f>
        <v>0.22655200999265787</v>
      </c>
      <c r="AB145" s="86">
        <f>AB12/SUM(AB12,'Renewable Diesel'!AB58)</f>
        <v>0.18521378137032543</v>
      </c>
      <c r="AC145" s="86">
        <f>AC12/SUM(AC12,'Renewable Diesel'!AC58)</f>
        <v>0.13957843669961886</v>
      </c>
    </row>
    <row r="146" spans="1:43" x14ac:dyDescent="0.2">
      <c r="A146" s="32" t="s">
        <v>79</v>
      </c>
      <c r="B146" s="85">
        <f>B13/SUM(B13,'Renewable Diesel'!B59)</f>
        <v>0.93875709956999553</v>
      </c>
      <c r="C146" s="85">
        <f>C13/SUM(C13,'Renewable Diesel'!C59)</f>
        <v>0.95272724093463701</v>
      </c>
      <c r="D146" s="85">
        <f>D13/SUM(D13,'Renewable Diesel'!D59)</f>
        <v>0.92423664130428052</v>
      </c>
      <c r="E146" s="85">
        <f>E13/SUM(E13,'Renewable Diesel'!E59)</f>
        <v>0.87557485402468171</v>
      </c>
      <c r="F146" s="85">
        <f>F13/SUM(F13,'Renewable Diesel'!F59)</f>
        <v>0.85542244623772068</v>
      </c>
      <c r="G146" s="85">
        <f>G13/SUM(G13,'Renewable Diesel'!G59)</f>
        <v>0.88404501223533827</v>
      </c>
      <c r="H146" s="85">
        <f>H13/SUM(H13,'Renewable Diesel'!H59)</f>
        <v>0.8362369243091422</v>
      </c>
      <c r="I146" s="85">
        <f>I13/SUM(I13,'Renewable Diesel'!I59)</f>
        <v>0.86446861001793118</v>
      </c>
      <c r="J146" s="85">
        <f>J13/SUM(J13,'Renewable Diesel'!J59)</f>
        <v>0.7889892945713215</v>
      </c>
      <c r="K146" s="85">
        <f>K13/SUM(K13,'Renewable Diesel'!K59)</f>
        <v>0.73700295275210015</v>
      </c>
      <c r="L146" s="85">
        <f>L13/SUM(L13,'Renewable Diesel'!L59)</f>
        <v>0.74433021430564472</v>
      </c>
      <c r="M146" s="85">
        <f>M13/SUM(M13,'Renewable Diesel'!M59)</f>
        <v>0.58033127816778984</v>
      </c>
      <c r="N146" s="85">
        <f>N13/SUM(N13,'Renewable Diesel'!N59)</f>
        <v>0.45130359371623402</v>
      </c>
      <c r="O146" s="85">
        <f>O13/SUM(O13,'Renewable Diesel'!O59)</f>
        <v>0.39647172521319118</v>
      </c>
      <c r="P146" s="86">
        <f>P13/SUM(P13,'Renewable Diesel'!P59)</f>
        <v>0.33799505743115277</v>
      </c>
      <c r="Q146" s="86">
        <f>Q13/SUM(Q13,'Renewable Diesel'!Q59)</f>
        <v>0.35658972664917493</v>
      </c>
      <c r="R146" s="86">
        <f>R13/SUM(R13,'Renewable Diesel'!R59)</f>
        <v>0.29533209980110126</v>
      </c>
      <c r="S146" s="86">
        <f>S13/SUM(S13,'Renewable Diesel'!S59)</f>
        <v>0.27614621670033179</v>
      </c>
      <c r="T146" s="86">
        <f>T13/SUM(T13,'Renewable Diesel'!T59)</f>
        <v>0.22804706123677698</v>
      </c>
      <c r="U146" s="86">
        <f>U13/SUM(U13,'Renewable Diesel'!U59)</f>
        <v>0.25269901064860933</v>
      </c>
      <c r="V146" s="86">
        <f>V13/SUM(V13,'Renewable Diesel'!V59)</f>
        <v>0.24729255878771575</v>
      </c>
      <c r="W146" s="86">
        <f>W13/SUM(W13,'Renewable Diesel'!W59)</f>
        <v>0.23161374468040744</v>
      </c>
      <c r="X146" s="86">
        <f>X13/SUM(X13,'Renewable Diesel'!X59)</f>
        <v>0.21166241899134763</v>
      </c>
      <c r="Y146" s="86">
        <f>Y13/SUM(Y13,'Renewable Diesel'!Y59)</f>
        <v>0.20202928841365342</v>
      </c>
      <c r="Z146" s="86">
        <f>Z13/SUM(Z13,'Renewable Diesel'!Z59)</f>
        <v>0.20303374227361243</v>
      </c>
      <c r="AA146" s="86">
        <f>AA13/SUM(AA13,'Renewable Diesel'!AA59)</f>
        <v>0.18777922931867794</v>
      </c>
      <c r="AB146" s="86">
        <f>AB13/SUM(AB13,'Renewable Diesel'!AB59)</f>
        <v>0.15198013599914609</v>
      </c>
      <c r="AC146" s="86">
        <f>AC13/SUM(AC13,'Renewable Diesel'!AC59)</f>
        <v>0.11335153218200809</v>
      </c>
    </row>
    <row r="147" spans="1:43" x14ac:dyDescent="0.2">
      <c r="A147" s="32" t="s">
        <v>80</v>
      </c>
      <c r="B147" s="85">
        <f>B14/SUM(B14,'Renewable Diesel'!B60)</f>
        <v>0.92566358964851436</v>
      </c>
      <c r="C147" s="85">
        <f>C14/SUM(C14,'Renewable Diesel'!C60)</f>
        <v>0.9588178043412332</v>
      </c>
      <c r="D147" s="85">
        <f>D14/SUM(D14,'Renewable Diesel'!D60)</f>
        <v>0.93873465520596633</v>
      </c>
      <c r="E147" s="85">
        <f>E14/SUM(E14,'Renewable Diesel'!E60)</f>
        <v>0.91935595716273788</v>
      </c>
      <c r="F147" s="85">
        <f>F14/SUM(F14,'Renewable Diesel'!F60)</f>
        <v>0.87746677948190854</v>
      </c>
      <c r="G147" s="85">
        <f>G14/SUM(G14,'Renewable Diesel'!G60)</f>
        <v>0.89207205105261278</v>
      </c>
      <c r="H147" s="85">
        <f>H14/SUM(H14,'Renewable Diesel'!H60)</f>
        <v>0.87331973875454472</v>
      </c>
      <c r="I147" s="85">
        <f>I14/SUM(I14,'Renewable Diesel'!I60)</f>
        <v>0.86431844382159806</v>
      </c>
      <c r="J147" s="85">
        <f>J14/SUM(J14,'Renewable Diesel'!J60)</f>
        <v>0.79480416547123733</v>
      </c>
      <c r="K147" s="85">
        <f>K14/SUM(K14,'Renewable Diesel'!K60)</f>
        <v>0.72558846208074756</v>
      </c>
      <c r="L147" s="85">
        <f>L14/SUM(L14,'Renewable Diesel'!L60)</f>
        <v>0.7526287531294823</v>
      </c>
      <c r="M147" s="85">
        <f>M14/SUM(M14,'Renewable Diesel'!M60)</f>
        <v>0.58352347846142349</v>
      </c>
      <c r="N147" s="85">
        <f>N14/SUM(N14,'Renewable Diesel'!N60)</f>
        <v>0.48635753517094626</v>
      </c>
      <c r="O147" s="85">
        <f>O14/SUM(O14,'Renewable Diesel'!O60)</f>
        <v>0.33223803753419667</v>
      </c>
      <c r="P147" s="86">
        <f>P14/SUM(P14,'Renewable Diesel'!P60)</f>
        <v>0.35768891534906622</v>
      </c>
      <c r="Q147" s="86">
        <f>Q14/SUM(Q14,'Renewable Diesel'!Q60)</f>
        <v>0.47617435345578701</v>
      </c>
      <c r="R147" s="86">
        <f>R14/SUM(R14,'Renewable Diesel'!R60)</f>
        <v>0.29563370236480369</v>
      </c>
      <c r="S147" s="86">
        <f>S14/SUM(S14,'Renewable Diesel'!S60)</f>
        <v>0.30298378328052278</v>
      </c>
      <c r="T147" s="86">
        <f>T14/SUM(T14,'Renewable Diesel'!T60)</f>
        <v>0.26015126722422527</v>
      </c>
      <c r="U147" s="86">
        <f>U14/SUM(U14,'Renewable Diesel'!U60)</f>
        <v>0.29851115590472621</v>
      </c>
      <c r="V147" s="86">
        <f>V14/SUM(V14,'Renewable Diesel'!V60)</f>
        <v>0.2961612133100891</v>
      </c>
      <c r="W147" s="86">
        <f>W14/SUM(W14,'Renewable Diesel'!W60)</f>
        <v>0.26070121576256589</v>
      </c>
      <c r="X147" s="86">
        <f>X14/SUM(X14,'Renewable Diesel'!X60)</f>
        <v>0.24466763964562249</v>
      </c>
      <c r="Y147" s="86">
        <f>Y14/SUM(Y14,'Renewable Diesel'!Y60)</f>
        <v>0.21189114077986179</v>
      </c>
      <c r="Z147" s="86">
        <f>Z14/SUM(Z14,'Renewable Diesel'!Z60)</f>
        <v>0.22479590779322373</v>
      </c>
      <c r="AA147" s="86">
        <f>AA14/SUM(AA14,'Renewable Diesel'!AA60)</f>
        <v>0.20581026052260676</v>
      </c>
      <c r="AB147" s="86">
        <f>AB14/SUM(AB14,'Renewable Diesel'!AB60)</f>
        <v>0.16958625275585351</v>
      </c>
      <c r="AC147" s="86">
        <f>AC14/SUM(AC14,'Renewable Diesel'!AC60)</f>
        <v>0.12642424513539788</v>
      </c>
    </row>
    <row r="148" spans="1:43" x14ac:dyDescent="0.2">
      <c r="A148" s="32" t="s">
        <v>24</v>
      </c>
      <c r="B148" s="90">
        <f>AVERAGE(B136:B147)</f>
        <v>0.98069060325247204</v>
      </c>
      <c r="C148" s="90">
        <f t="shared" ref="C148:P148" si="126">AVERAGE(C136:C147)</f>
        <v>0.94154562655528107</v>
      </c>
      <c r="D148" s="90">
        <f t="shared" si="126"/>
        <v>0.94955895456730799</v>
      </c>
      <c r="E148" s="90">
        <f t="shared" si="126"/>
        <v>0.93196871354033151</v>
      </c>
      <c r="F148" s="90">
        <f t="shared" si="126"/>
        <v>0.88775058853167976</v>
      </c>
      <c r="G148" s="90">
        <f t="shared" si="126"/>
        <v>0.86973650293515481</v>
      </c>
      <c r="H148" s="90">
        <f t="shared" si="126"/>
        <v>0.87311899599726328</v>
      </c>
      <c r="I148" s="90">
        <f t="shared" si="126"/>
        <v>0.85464759265977774</v>
      </c>
      <c r="J148" s="90">
        <f t="shared" si="126"/>
        <v>0.8612802512402532</v>
      </c>
      <c r="K148" s="90">
        <f t="shared" si="126"/>
        <v>0.77534309517201561</v>
      </c>
      <c r="L148" s="90">
        <f t="shared" si="126"/>
        <v>0.77423709788440076</v>
      </c>
      <c r="M148" s="90">
        <f t="shared" si="126"/>
        <v>0.67340560626070511</v>
      </c>
      <c r="N148" s="90">
        <f t="shared" si="126"/>
        <v>0.52852136589793952</v>
      </c>
      <c r="O148" s="90">
        <f t="shared" si="126"/>
        <v>0.41109761255788618</v>
      </c>
      <c r="P148" s="91">
        <f t="shared" si="126"/>
        <v>0.34818264235048013</v>
      </c>
      <c r="Q148" s="91">
        <f>AVERAGE(Q136:Q147)</f>
        <v>0.37436372915769406</v>
      </c>
      <c r="R148" s="91">
        <f>AVERAGE(R136:R147)</f>
        <v>0.3551318320135366</v>
      </c>
      <c r="S148" s="91">
        <f t="shared" ref="S148:AC148" si="127">AVERAGE(S136:S147)</f>
        <v>0.33322968740590758</v>
      </c>
      <c r="T148" s="91">
        <f t="shared" si="127"/>
        <v>0.28094042928254731</v>
      </c>
      <c r="U148" s="91">
        <f t="shared" si="127"/>
        <v>0.3082287125197975</v>
      </c>
      <c r="V148" s="91">
        <f t="shared" si="127"/>
        <v>0.30036181194877287</v>
      </c>
      <c r="W148" s="91">
        <f t="shared" si="127"/>
        <v>0.28367619478328066</v>
      </c>
      <c r="X148" s="91">
        <f t="shared" si="127"/>
        <v>0.26083643157140707</v>
      </c>
      <c r="Y148" s="91">
        <f t="shared" si="127"/>
        <v>0.25119714919401365</v>
      </c>
      <c r="Z148" s="91">
        <f t="shared" si="127"/>
        <v>0.25144749182053183</v>
      </c>
      <c r="AA148" s="91">
        <f t="shared" si="127"/>
        <v>0.23357732837795489</v>
      </c>
      <c r="AB148" s="91">
        <f t="shared" si="127"/>
        <v>0.19108975710354581</v>
      </c>
      <c r="AC148" s="91">
        <f t="shared" si="127"/>
        <v>0.14423777949215569</v>
      </c>
    </row>
    <row r="151" spans="1:43" x14ac:dyDescent="0.2">
      <c r="A151" s="32" t="s">
        <v>116</v>
      </c>
      <c r="Q151" s="32">
        <f t="shared" ref="Q151:AO151" si="128">Q2</f>
        <v>2025</v>
      </c>
      <c r="R151" s="32">
        <f t="shared" si="128"/>
        <v>2026</v>
      </c>
      <c r="S151" s="32">
        <f t="shared" si="128"/>
        <v>2027</v>
      </c>
      <c r="T151" s="32">
        <f t="shared" si="128"/>
        <v>2028</v>
      </c>
      <c r="U151" s="32">
        <f t="shared" si="128"/>
        <v>2029</v>
      </c>
      <c r="V151" s="32">
        <f t="shared" si="128"/>
        <v>2030</v>
      </c>
      <c r="W151" s="32">
        <f t="shared" si="128"/>
        <v>2031</v>
      </c>
      <c r="X151" s="32">
        <f t="shared" si="128"/>
        <v>2032</v>
      </c>
      <c r="Y151" s="32">
        <f t="shared" si="128"/>
        <v>2033</v>
      </c>
      <c r="Z151" s="32">
        <f t="shared" si="128"/>
        <v>2034</v>
      </c>
      <c r="AA151" s="32">
        <f t="shared" si="128"/>
        <v>2035</v>
      </c>
      <c r="AB151" s="32">
        <f t="shared" si="128"/>
        <v>2036</v>
      </c>
      <c r="AC151" s="32">
        <f t="shared" si="128"/>
        <v>2037</v>
      </c>
      <c r="AD151" s="32">
        <f t="shared" si="128"/>
        <v>2038</v>
      </c>
      <c r="AE151" s="32">
        <f t="shared" si="128"/>
        <v>2039</v>
      </c>
      <c r="AF151" s="32">
        <f t="shared" si="128"/>
        <v>2040</v>
      </c>
      <c r="AG151" s="32">
        <f t="shared" si="128"/>
        <v>2041</v>
      </c>
      <c r="AH151" s="32">
        <f t="shared" si="128"/>
        <v>2042</v>
      </c>
      <c r="AI151" s="32">
        <f t="shared" si="128"/>
        <v>2043</v>
      </c>
      <c r="AJ151" s="32">
        <f t="shared" si="128"/>
        <v>2044</v>
      </c>
      <c r="AK151" s="32">
        <f t="shared" si="128"/>
        <v>2045</v>
      </c>
      <c r="AL151" s="32">
        <f t="shared" si="128"/>
        <v>2046</v>
      </c>
      <c r="AM151" s="32">
        <f t="shared" si="128"/>
        <v>2047</v>
      </c>
      <c r="AN151" s="32">
        <f t="shared" si="128"/>
        <v>2048</v>
      </c>
      <c r="AO151" s="32">
        <f t="shared" si="128"/>
        <v>2049</v>
      </c>
      <c r="AP151" s="32">
        <f>AP2</f>
        <v>2050</v>
      </c>
    </row>
    <row r="152" spans="1:43" s="61" customFormat="1" x14ac:dyDescent="0.2">
      <c r="B152" s="61">
        <f t="shared" ref="B152:P152" si="129">B2</f>
        <v>2010</v>
      </c>
      <c r="C152" s="61">
        <f t="shared" si="129"/>
        <v>2011</v>
      </c>
      <c r="D152" s="61">
        <f t="shared" si="129"/>
        <v>2012</v>
      </c>
      <c r="E152" s="61">
        <f t="shared" si="129"/>
        <v>2013</v>
      </c>
      <c r="F152" s="61">
        <f t="shared" si="129"/>
        <v>2014</v>
      </c>
      <c r="G152" s="61">
        <f t="shared" si="129"/>
        <v>2015</v>
      </c>
      <c r="H152" s="61">
        <f t="shared" si="129"/>
        <v>2016</v>
      </c>
      <c r="I152" s="61">
        <f t="shared" si="129"/>
        <v>2017</v>
      </c>
      <c r="J152" s="61">
        <f t="shared" si="129"/>
        <v>2018</v>
      </c>
      <c r="K152" s="61">
        <f t="shared" si="129"/>
        <v>2019</v>
      </c>
      <c r="L152" s="61">
        <f t="shared" si="129"/>
        <v>2020</v>
      </c>
      <c r="M152" s="61">
        <f t="shared" si="129"/>
        <v>2021</v>
      </c>
      <c r="N152" s="61">
        <f t="shared" si="129"/>
        <v>2022</v>
      </c>
      <c r="O152" s="61">
        <f t="shared" si="129"/>
        <v>2023</v>
      </c>
      <c r="P152" s="61">
        <f t="shared" si="129"/>
        <v>2024</v>
      </c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</row>
    <row r="153" spans="1:43" x14ac:dyDescent="0.2">
      <c r="A153" s="32" t="s">
        <v>70</v>
      </c>
      <c r="B153" s="35">
        <f>B119+'Renewable Diesel'!B83</f>
        <v>0</v>
      </c>
      <c r="C153" s="35">
        <f>C119+'Renewable Diesel'!C83</f>
        <v>2636424</v>
      </c>
      <c r="D153" s="35">
        <f>D119+'Renewable Diesel'!D83</f>
        <v>1038381</v>
      </c>
      <c r="E153" s="35">
        <f>E119+'Renewable Diesel'!E83</f>
        <v>7985699</v>
      </c>
      <c r="F153" s="35">
        <f>F119+'Renewable Diesel'!F83</f>
        <v>15392468</v>
      </c>
      <c r="G153" s="35">
        <f>G119+'Renewable Diesel'!G83</f>
        <v>18525955</v>
      </c>
      <c r="H153" s="35">
        <f>H119+'Renewable Diesel'!H83</f>
        <v>28722519</v>
      </c>
      <c r="I153" s="35">
        <f>I119+'Renewable Diesel'!I83</f>
        <v>41630752</v>
      </c>
      <c r="J153" s="35">
        <f>J119+'Renewable Diesel'!J83</f>
        <v>26393383</v>
      </c>
      <c r="K153" s="35">
        <f>K119+'Renewable Diesel'!K83</f>
        <v>28103039</v>
      </c>
      <c r="L153" s="35">
        <f>L119+'Renewable Diesel'!L83</f>
        <v>35993805</v>
      </c>
      <c r="M153" s="35">
        <f>M119+'Renewable Diesel'!M83</f>
        <v>38302796</v>
      </c>
      <c r="N153" s="35">
        <f>N119+'Renewable Diesel'!N83</f>
        <v>47383199</v>
      </c>
      <c r="O153" s="35">
        <f>O119+'Renewable Diesel'!O83</f>
        <v>62481611</v>
      </c>
      <c r="P153" s="35">
        <f>P119+'Renewable Diesel'!P83</f>
        <v>64547693</v>
      </c>
      <c r="Q153" s="36">
        <f>Q119+'Renewable Diesel'!Q83</f>
        <v>3135355</v>
      </c>
      <c r="R153" s="36">
        <f>R119+'Renewable Diesel'!R83</f>
        <v>29906265.33379823</v>
      </c>
      <c r="S153" s="36">
        <f>S119+'Renewable Diesel'!S83</f>
        <v>28731092.839088686</v>
      </c>
      <c r="T153" s="36">
        <f>T119+'Renewable Diesel'!T83</f>
        <v>27334900.448734082</v>
      </c>
      <c r="U153" s="36">
        <f>U119+'Renewable Diesel'!U83</f>
        <v>25181004.252578974</v>
      </c>
      <c r="V153" s="36">
        <f>V119+'Renewable Diesel'!V83</f>
        <v>20105171.409477308</v>
      </c>
      <c r="W153" s="36">
        <f>W119+'Renewable Diesel'!W83</f>
        <v>23368875.471496269</v>
      </c>
      <c r="X153" s="36">
        <f>X119+'Renewable Diesel'!X83</f>
        <v>20625175.97463765</v>
      </c>
      <c r="Y153" s="36">
        <f>Y119+'Renewable Diesel'!Y83</f>
        <v>19213065.509658046</v>
      </c>
      <c r="Z153" s="36">
        <f>Z119+'Renewable Diesel'!Z83</f>
        <v>18163235.843254335</v>
      </c>
      <c r="AA153" s="36">
        <f>AA119+'Renewable Diesel'!AA83</f>
        <v>17231484.196411029</v>
      </c>
      <c r="AB153" s="36">
        <f>AB119+'Renewable Diesel'!AB83</f>
        <v>10612275.279496435</v>
      </c>
      <c r="AC153" s="36">
        <f>AC119+'Renewable Diesel'!AC83</f>
        <v>8268508.0790955927</v>
      </c>
      <c r="AD153" s="36">
        <f>AD119+'Renewable Diesel'!AD83</f>
        <v>7165580.1202109903</v>
      </c>
      <c r="AE153" s="36">
        <f>AE119+'Renewable Diesel'!AE83</f>
        <v>6357437.6302148271</v>
      </c>
      <c r="AF153" s="36">
        <f>AF119+'Renewable Diesel'!AF83</f>
        <v>6365946.8568184748</v>
      </c>
      <c r="AG153" s="36">
        <f>AG119+'Renewable Diesel'!AG83</f>
        <v>6454706.9456999227</v>
      </c>
      <c r="AH153" s="36">
        <f>AH119+'Renewable Diesel'!AH83</f>
        <v>6417388.0769352969</v>
      </c>
      <c r="AI153" s="36">
        <f>AI119+'Renewable Diesel'!AS83</f>
        <v>3767495.2685891539</v>
      </c>
      <c r="AJ153" s="36">
        <f>AJ119+'Renewable Diesel'!AT83</f>
        <v>3766313.310120862</v>
      </c>
      <c r="AK153" s="36">
        <f>AK119+'Renewable Diesel'!AU83</f>
        <v>3768075.9032450095</v>
      </c>
      <c r="AL153" s="36">
        <f>AL119+'Renewable Diesel'!AV83</f>
        <v>3771145.7267864048</v>
      </c>
      <c r="AM153" s="36">
        <f>AM119+'Renewable Diesel'!AW83</f>
        <v>3769144.3524523377</v>
      </c>
      <c r="AN153" s="36">
        <f>AN119+'Renewable Diesel'!AX83</f>
        <v>3768434.9122387543</v>
      </c>
      <c r="AO153" s="36">
        <f>AO119+'Renewable Diesel'!AY83</f>
        <v>41667759.840968668</v>
      </c>
      <c r="AP153" s="36" t="e">
        <f>AP119+'Renewable Diesel'!AZ83</f>
        <v>#VALUE!</v>
      </c>
      <c r="AQ153" s="36">
        <f>AR119+'Renewable Diesel'!AG83</f>
        <v>-21605495.652756806</v>
      </c>
    </row>
    <row r="154" spans="1:43" x14ac:dyDescent="0.2">
      <c r="A154" s="32" t="s">
        <v>71</v>
      </c>
      <c r="B154" s="35">
        <f>B120+'Renewable Diesel'!B84</f>
        <v>0</v>
      </c>
      <c r="C154" s="35">
        <f>C120+'Renewable Diesel'!C84</f>
        <v>1336045</v>
      </c>
      <c r="D154" s="35">
        <f>D120+'Renewable Diesel'!D84</f>
        <v>4108814</v>
      </c>
      <c r="E154" s="35">
        <f>E120+'Renewable Diesel'!E84</f>
        <v>3073611</v>
      </c>
      <c r="F154" s="35">
        <f>F120+'Renewable Diesel'!F84</f>
        <v>22711158</v>
      </c>
      <c r="G154" s="35">
        <f>G120+'Renewable Diesel'!G84</f>
        <v>13284833</v>
      </c>
      <c r="H154" s="35">
        <f>H120+'Renewable Diesel'!H84</f>
        <v>26311550</v>
      </c>
      <c r="I154" s="35">
        <f>I120+'Renewable Diesel'!I84</f>
        <v>39676867</v>
      </c>
      <c r="J154" s="35">
        <f>J120+'Renewable Diesel'!J84</f>
        <v>23914725</v>
      </c>
      <c r="K154" s="35">
        <f>K120+'Renewable Diesel'!K84</f>
        <v>32141464</v>
      </c>
      <c r="L154" s="35">
        <f>L120+'Renewable Diesel'!L84</f>
        <v>39838649</v>
      </c>
      <c r="M154" s="35">
        <f>M120+'Renewable Diesel'!M84</f>
        <v>37341276</v>
      </c>
      <c r="N154" s="35">
        <f>N120+'Renewable Diesel'!N84</f>
        <v>37018779</v>
      </c>
      <c r="O154" s="35">
        <f>O120+'Renewable Diesel'!O84</f>
        <v>68283897</v>
      </c>
      <c r="P154" s="35">
        <f>P120+'Renewable Diesel'!P84</f>
        <v>108169455</v>
      </c>
      <c r="Q154" s="36">
        <f>Q120+'Renewable Diesel'!Q84</f>
        <v>6409113</v>
      </c>
      <c r="R154" s="36">
        <f>R120+'Renewable Diesel'!R84</f>
        <v>36223280.268030904</v>
      </c>
      <c r="S154" s="36">
        <f>S120+'Renewable Diesel'!S84</f>
        <v>36552712.437171504</v>
      </c>
      <c r="T154" s="36">
        <f>T120+'Renewable Diesel'!T84</f>
        <v>37719336.757042468</v>
      </c>
      <c r="U154" s="36">
        <f>U120+'Renewable Diesel'!U84</f>
        <v>36897894.142207451</v>
      </c>
      <c r="V154" s="36">
        <f>V120+'Renewable Diesel'!V84</f>
        <v>27122324.495620724</v>
      </c>
      <c r="W154" s="36">
        <f>W120+'Renewable Diesel'!W84</f>
        <v>31101325.017872151</v>
      </c>
      <c r="X154" s="36">
        <f>X120+'Renewable Diesel'!X84</f>
        <v>28013879.510506734</v>
      </c>
      <c r="Y154" s="36">
        <f>Y120+'Renewable Diesel'!Y84</f>
        <v>26498342.951523975</v>
      </c>
      <c r="Z154" s="36">
        <f>Z120+'Renewable Diesel'!Z84</f>
        <v>25045554.122221738</v>
      </c>
      <c r="AA154" s="36">
        <f>AA120+'Renewable Diesel'!AA84</f>
        <v>23393084.653949037</v>
      </c>
      <c r="AB154" s="36">
        <f>AB120+'Renewable Diesel'!AB84</f>
        <v>14425060.20832883</v>
      </c>
      <c r="AC154" s="36">
        <f>AC120+'Renewable Diesel'!AC84</f>
        <v>11248439.1687085</v>
      </c>
      <c r="AD154" s="36">
        <f>AD120+'Renewable Diesel'!AD84</f>
        <v>9830678.3511691038</v>
      </c>
      <c r="AE154" s="36">
        <f>AE120+'Renewable Diesel'!AE84</f>
        <v>8748057.422588829</v>
      </c>
      <c r="AF154" s="36">
        <f>AF120+'Renewable Diesel'!AF84</f>
        <v>8644888.6280309614</v>
      </c>
      <c r="AG154" s="36">
        <f>AG120+'Renewable Diesel'!AG84</f>
        <v>8782523.3507587556</v>
      </c>
      <c r="AH154" s="36">
        <f>AH120+'Renewable Diesel'!AH84</f>
        <v>8766585.4345716797</v>
      </c>
      <c r="AI154" s="36">
        <f>AI120+'Renewable Diesel'!AS84</f>
        <v>5129269.1156469174</v>
      </c>
      <c r="AJ154" s="36">
        <f>AJ120+'Renewable Diesel'!AT84</f>
        <v>5126633.3411660185</v>
      </c>
      <c r="AK154" s="36">
        <f>AK120+'Renewable Diesel'!AU84</f>
        <v>2342059.616138503</v>
      </c>
      <c r="AL154" s="36">
        <f>AL120+'Renewable Diesel'!AV84</f>
        <v>-5278009.3646083996</v>
      </c>
      <c r="AM154" s="36">
        <f>AM120+'Renewable Diesel'!AW84</f>
        <v>5131120.1698878445</v>
      </c>
      <c r="AN154" s="36">
        <f>AN120+'Renewable Diesel'!AX84</f>
        <v>5129999.2490033619</v>
      </c>
      <c r="AO154" s="36">
        <f>AO120+'Renewable Diesel'!AY84</f>
        <v>32617729.275674652</v>
      </c>
      <c r="AP154" s="36" t="e">
        <f>AP120+'Renewable Diesel'!AZ84</f>
        <v>#VALUE!</v>
      </c>
      <c r="AQ154" s="36">
        <f>AR120+'Renewable Diesel'!AG84</f>
        <v>15277762.761435432</v>
      </c>
    </row>
    <row r="155" spans="1:43" x14ac:dyDescent="0.2">
      <c r="A155" s="32" t="s">
        <v>72</v>
      </c>
      <c r="B155" s="35">
        <f>B121+'Renewable Diesel'!B85</f>
        <v>2010</v>
      </c>
      <c r="C155" s="35">
        <f>C121+'Renewable Diesel'!C85</f>
        <v>4629656</v>
      </c>
      <c r="D155" s="35">
        <f>D121+'Renewable Diesel'!D85</f>
        <v>8559701</v>
      </c>
      <c r="E155" s="35">
        <f>E121+'Renewable Diesel'!E85</f>
        <v>22091753</v>
      </c>
      <c r="F155" s="35">
        <f>F121+'Renewable Diesel'!F85</f>
        <v>35769713</v>
      </c>
      <c r="G155" s="35">
        <f>G121+'Renewable Diesel'!G85</f>
        <v>16822775</v>
      </c>
      <c r="H155" s="35">
        <f>H121+'Renewable Diesel'!H85</f>
        <v>20830334</v>
      </c>
      <c r="I155" s="35">
        <f>I121+'Renewable Diesel'!I85</f>
        <v>57168791</v>
      </c>
      <c r="J155" s="35">
        <f>J121+'Renewable Diesel'!J85</f>
        <v>32987713</v>
      </c>
      <c r="K155" s="35">
        <f>K121+'Renewable Diesel'!K85</f>
        <v>31307927</v>
      </c>
      <c r="L155" s="35">
        <f>L121+'Renewable Diesel'!L85</f>
        <v>46580764</v>
      </c>
      <c r="M155" s="35">
        <f>M121+'Renewable Diesel'!M85</f>
        <v>53471960</v>
      </c>
      <c r="N155" s="35">
        <f>N121+'Renewable Diesel'!N85</f>
        <v>63162601</v>
      </c>
      <c r="O155" s="35">
        <f>O121+'Renewable Diesel'!O85</f>
        <v>80454233</v>
      </c>
      <c r="P155" s="35">
        <f>P121+'Renewable Diesel'!P85</f>
        <v>56526370</v>
      </c>
      <c r="Q155" s="36">
        <f>Q121+'Renewable Diesel'!Q85</f>
        <v>11338218</v>
      </c>
      <c r="R155" s="36">
        <f>R121+'Renewable Diesel'!R85</f>
        <v>36942097.804193407</v>
      </c>
      <c r="S155" s="36">
        <f>S121+'Renewable Diesel'!S85</f>
        <v>34711440.897046477</v>
      </c>
      <c r="T155" s="36">
        <f>T121+'Renewable Diesel'!T85</f>
        <v>32188384.033975046</v>
      </c>
      <c r="U155" s="36">
        <f>U121+'Renewable Diesel'!U85</f>
        <v>28153864.178092901</v>
      </c>
      <c r="V155" s="36">
        <f>V121+'Renewable Diesel'!V85</f>
        <v>25081512.553889692</v>
      </c>
      <c r="W155" s="36">
        <f>W121+'Renewable Diesel'!W85</f>
        <v>27921920.113027409</v>
      </c>
      <c r="X155" s="36">
        <f>X121+'Renewable Diesel'!X85</f>
        <v>24445210.862068441</v>
      </c>
      <c r="Y155" s="36">
        <f>Y121+'Renewable Diesel'!Y85</f>
        <v>22683227.737630952</v>
      </c>
      <c r="Z155" s="36">
        <f>Z121+'Renewable Diesel'!Z85</f>
        <v>21460457.161091156</v>
      </c>
      <c r="AA155" s="36">
        <f>AA121+'Renewable Diesel'!AA85</f>
        <v>20680323.59734489</v>
      </c>
      <c r="AB155" s="36">
        <f>AB121+'Renewable Diesel'!AB85</f>
        <v>12480879.661345648</v>
      </c>
      <c r="AC155" s="36">
        <f>AC121+'Renewable Diesel'!AC85</f>
        <v>9620074.9687899724</v>
      </c>
      <c r="AD155" s="36">
        <f>AD121+'Renewable Diesel'!AD85</f>
        <v>8376080.5512404963</v>
      </c>
      <c r="AE155" s="36">
        <f>AE121+'Renewable Diesel'!AE85</f>
        <v>7501988.9749428099</v>
      </c>
      <c r="AF155" s="36">
        <f>AF121+'Renewable Diesel'!AF85</f>
        <v>7530756.0495559238</v>
      </c>
      <c r="AG155" s="36">
        <f>AG121+'Renewable Diesel'!AG85</f>
        <v>7590379.0276483689</v>
      </c>
      <c r="AH155" s="36">
        <f>AH121+'Renewable Diesel'!AH85</f>
        <v>7551693.4051629882</v>
      </c>
      <c r="AI155" s="36">
        <f>AI121+'Renewable Diesel'!AS85</f>
        <v>4286397.7817508355</v>
      </c>
      <c r="AJ155" s="36">
        <f>AJ121+'Renewable Diesel'!AT85</f>
        <v>4288195.2320131455</v>
      </c>
      <c r="AK155" s="36">
        <f>AK121+'Renewable Diesel'!AU85</f>
        <v>-523831.59455723315</v>
      </c>
      <c r="AL155" s="36">
        <f>AL121+'Renewable Diesel'!AV85</f>
        <v>12471722.269493535</v>
      </c>
      <c r="AM155" s="36">
        <f>AM121+'Renewable Diesel'!AW85</f>
        <v>4290503.8917094385</v>
      </c>
      <c r="AN155" s="36">
        <f>AN121+'Renewable Diesel'!AX85</f>
        <v>4290169.2803707011</v>
      </c>
      <c r="AO155" s="36">
        <f>AO121+'Renewable Diesel'!AY85</f>
        <v>39956755.580094673</v>
      </c>
      <c r="AP155" s="36" t="e">
        <f>AP121+'Renewable Diesel'!AZ85</f>
        <v>#VALUE!</v>
      </c>
      <c r="AQ155" s="36">
        <f>AR121+'Renewable Diesel'!AG85</f>
        <v>-18780707.618391484</v>
      </c>
    </row>
    <row r="156" spans="1:43" x14ac:dyDescent="0.2">
      <c r="A156" s="32" t="s">
        <v>73</v>
      </c>
      <c r="B156" s="35">
        <f>B122+'Renewable Diesel'!B86</f>
        <v>0</v>
      </c>
      <c r="C156" s="35">
        <f>C122+'Renewable Diesel'!C86</f>
        <v>2211755</v>
      </c>
      <c r="D156" s="35">
        <f>D122+'Renewable Diesel'!D86</f>
        <v>3306623</v>
      </c>
      <c r="E156" s="35">
        <f>E122+'Renewable Diesel'!E86</f>
        <v>13377996</v>
      </c>
      <c r="F156" s="35">
        <f>F122+'Renewable Diesel'!F86</f>
        <v>42416158</v>
      </c>
      <c r="G156" s="35">
        <f>G122+'Renewable Diesel'!G86</f>
        <v>43118806</v>
      </c>
      <c r="H156" s="35">
        <f>H122+'Renewable Diesel'!H86</f>
        <v>65588873</v>
      </c>
      <c r="I156" s="35">
        <f>I122+'Renewable Diesel'!I86</f>
        <v>48565253</v>
      </c>
      <c r="J156" s="35">
        <f>J122+'Renewable Diesel'!J86</f>
        <v>50482901</v>
      </c>
      <c r="K156" s="35">
        <f>K122+'Renewable Diesel'!K86</f>
        <v>57289549</v>
      </c>
      <c r="L156" s="35">
        <f>L122+'Renewable Diesel'!L86</f>
        <v>52974857</v>
      </c>
      <c r="M156" s="35">
        <f>M122+'Renewable Diesel'!M86</f>
        <v>57566859</v>
      </c>
      <c r="N156" s="35">
        <f>N122+'Renewable Diesel'!N86</f>
        <v>71313108</v>
      </c>
      <c r="O156" s="35">
        <f>O122+'Renewable Diesel'!O86</f>
        <v>80027736</v>
      </c>
      <c r="P156" s="35">
        <f>P122+'Renewable Diesel'!P86</f>
        <v>75918003</v>
      </c>
      <c r="Q156" s="36">
        <f>Q122+'Renewable Diesel'!Q86</f>
        <v>51264341.786235437</v>
      </c>
      <c r="R156" s="36">
        <f>R122+'Renewable Diesel'!R86</f>
        <v>43936232.313364461</v>
      </c>
      <c r="S156" s="36">
        <f>S122+'Renewable Diesel'!S86</f>
        <v>43242861.112782285</v>
      </c>
      <c r="T156" s="36">
        <f>T122+'Renewable Diesel'!T86</f>
        <v>41532306.311542436</v>
      </c>
      <c r="U156" s="36">
        <f>U122+'Renewable Diesel'!U86</f>
        <v>41919191.398596965</v>
      </c>
      <c r="V156" s="36">
        <f>V122+'Renewable Diesel'!V86</f>
        <v>39743759.680677094</v>
      </c>
      <c r="W156" s="36">
        <f>W122+'Renewable Diesel'!W86</f>
        <v>38000297.387244336</v>
      </c>
      <c r="X156" s="36">
        <f>X122+'Renewable Diesel'!X86</f>
        <v>34088506.00523378</v>
      </c>
      <c r="Y156" s="36">
        <f>Y122+'Renewable Diesel'!Y86</f>
        <v>32262662.045982625</v>
      </c>
      <c r="Z156" s="36">
        <f>Z122+'Renewable Diesel'!Z86</f>
        <v>31203866.305086296</v>
      </c>
      <c r="AA156" s="36">
        <f>AA122+'Renewable Diesel'!AA86</f>
        <v>29580218.49289047</v>
      </c>
      <c r="AB156" s="36">
        <f>AB122+'Renewable Diesel'!AB86</f>
        <v>18557037.411019728</v>
      </c>
      <c r="AC156" s="36">
        <f>AC122+'Renewable Diesel'!AC86</f>
        <v>14674589.317540199</v>
      </c>
      <c r="AD156" s="36">
        <f>AD122+'Renewable Diesel'!AD86</f>
        <v>12692727.059029054</v>
      </c>
      <c r="AE156" s="36">
        <f>AE122+'Renewable Diesel'!AE86</f>
        <v>11235476.347575534</v>
      </c>
      <c r="AF156" s="36">
        <f>AF122+'Renewable Diesel'!AF86</f>
        <v>11226637.150041807</v>
      </c>
      <c r="AG156" s="36">
        <f>AG122+'Renewable Diesel'!AG86</f>
        <v>11231726.362192331</v>
      </c>
      <c r="AH156" s="36">
        <f>AH122+'Renewable Diesel'!AH86</f>
        <v>12242464.927550687</v>
      </c>
      <c r="AI156" s="36">
        <f>AI122+'Renewable Diesel'!AS86</f>
        <v>8467975.7210926078</v>
      </c>
      <c r="AJ156" s="36">
        <f>AJ122+'Renewable Diesel'!AT86</f>
        <v>8494746.8502062559</v>
      </c>
      <c r="AK156" s="36">
        <f>AK122+'Renewable Diesel'!AU86</f>
        <v>12114539.222843893</v>
      </c>
      <c r="AL156" s="36">
        <f>AL122+'Renewable Diesel'!AV86</f>
        <v>17884558.505248893</v>
      </c>
      <c r="AM156" s="36">
        <f>AM122+'Renewable Diesel'!AW86</f>
        <v>8468234.3958310112</v>
      </c>
      <c r="AN156" s="36">
        <f>AN122+'Renewable Diesel'!AX86</f>
        <v>17167925.866992526</v>
      </c>
      <c r="AO156" s="36">
        <f>AO122+'Renewable Diesel'!AY86</f>
        <v>44956371.856845587</v>
      </c>
      <c r="AP156" s="36" t="e">
        <f>AP122+'Renewable Diesel'!AZ86</f>
        <v>#VALUE!</v>
      </c>
      <c r="AQ156" s="36">
        <f>AR122+'Renewable Diesel'!AG86</f>
        <v>22260093.924433403</v>
      </c>
    </row>
    <row r="157" spans="1:43" x14ac:dyDescent="0.2">
      <c r="A157" s="32" t="s">
        <v>10</v>
      </c>
      <c r="B157" s="35">
        <f>B123+'Renewable Diesel'!B87</f>
        <v>0</v>
      </c>
      <c r="C157" s="35">
        <f>C123+'Renewable Diesel'!C87</f>
        <v>2249922</v>
      </c>
      <c r="D157" s="35">
        <f>D123+'Renewable Diesel'!D87</f>
        <v>10434158</v>
      </c>
      <c r="E157" s="35">
        <f>E123+'Renewable Diesel'!E87</f>
        <v>20322361</v>
      </c>
      <c r="F157" s="35">
        <f>F123+'Renewable Diesel'!F87</f>
        <v>41131113</v>
      </c>
      <c r="G157" s="35">
        <f>G123+'Renewable Diesel'!G87</f>
        <v>50426040</v>
      </c>
      <c r="H157" s="35">
        <f>H123+'Renewable Diesel'!H87</f>
        <v>60756157</v>
      </c>
      <c r="I157" s="35">
        <f>I123+'Renewable Diesel'!I87</f>
        <v>74221243</v>
      </c>
      <c r="J157" s="35">
        <f>J123+'Renewable Diesel'!J87</f>
        <v>56153065</v>
      </c>
      <c r="K157" s="35">
        <f>K123+'Renewable Diesel'!K87</f>
        <v>57415288</v>
      </c>
      <c r="L157" s="35">
        <f>L123+'Renewable Diesel'!L87</f>
        <v>63378504</v>
      </c>
      <c r="M157" s="35">
        <f>M123+'Renewable Diesel'!M87</f>
        <v>51646230</v>
      </c>
      <c r="N157" s="35">
        <f>N123+'Renewable Diesel'!N87</f>
        <v>56570406</v>
      </c>
      <c r="O157" s="35">
        <f>O123+'Renewable Diesel'!O87</f>
        <v>88098236</v>
      </c>
      <c r="P157" s="35">
        <f>P123+'Renewable Diesel'!P87</f>
        <v>65132126</v>
      </c>
      <c r="Q157" s="36">
        <f>Q123+'Renewable Diesel'!Q87</f>
        <v>46342905.731383905</v>
      </c>
      <c r="R157" s="36">
        <f>R123+'Renewable Diesel'!R87</f>
        <v>41183695.17986685</v>
      </c>
      <c r="S157" s="36">
        <f>S123+'Renewable Diesel'!S87</f>
        <v>41087548.440825865</v>
      </c>
      <c r="T157" s="36">
        <f>T123+'Renewable Diesel'!T87</f>
        <v>40883918.228448227</v>
      </c>
      <c r="U157" s="36">
        <f>U123+'Renewable Diesel'!U87</f>
        <v>38462598.176462755</v>
      </c>
      <c r="V157" s="36">
        <f>V123+'Renewable Diesel'!V87</f>
        <v>36658823.158419445</v>
      </c>
      <c r="W157" s="36">
        <f>W123+'Renewable Diesel'!W87</f>
        <v>35277361.857926257</v>
      </c>
      <c r="X157" s="36">
        <f>X123+'Renewable Diesel'!X87</f>
        <v>31782558.092241831</v>
      </c>
      <c r="Y157" s="36">
        <f>Y123+'Renewable Diesel'!Y87</f>
        <v>30149811.603737023</v>
      </c>
      <c r="Z157" s="36">
        <f>Z123+'Renewable Diesel'!Z87</f>
        <v>28842461.856499124</v>
      </c>
      <c r="AA157" s="36">
        <f>AA123+'Renewable Diesel'!AA87</f>
        <v>27637783.175303735</v>
      </c>
      <c r="AB157" s="36">
        <f>AB123+'Renewable Diesel'!AB87</f>
        <v>16472925.81642722</v>
      </c>
      <c r="AC157" s="36">
        <f>AC123+'Renewable Diesel'!AC87</f>
        <v>12833839.628241321</v>
      </c>
      <c r="AD157" s="36">
        <f>AD123+'Renewable Diesel'!AD87</f>
        <v>11250865.957470063</v>
      </c>
      <c r="AE157" s="36">
        <f>AE123+'Renewable Diesel'!AE87</f>
        <v>10063235.809889086</v>
      </c>
      <c r="AF157" s="36">
        <f>AF123+'Renewable Diesel'!AF87</f>
        <v>10069293.531231172</v>
      </c>
      <c r="AG157" s="36">
        <f>AG123+'Renewable Diesel'!AG87</f>
        <v>10077056.153248841</v>
      </c>
      <c r="AH157" s="36">
        <f>AH123+'Renewable Diesel'!AH87</f>
        <v>11160631.81458907</v>
      </c>
      <c r="AI157" s="36">
        <f>AI123+'Renewable Diesel'!AS87</f>
        <v>7025585.2503523156</v>
      </c>
      <c r="AJ157" s="36">
        <f>AJ123+'Renewable Diesel'!AT87</f>
        <v>7053460.9348774394</v>
      </c>
      <c r="AK157" s="36">
        <f>AK123+'Renewable Diesel'!AU87</f>
        <v>10935795.353706393</v>
      </c>
      <c r="AL157" s="36">
        <f>AL123+'Renewable Diesel'!AV87</f>
        <v>10661678.383294798</v>
      </c>
      <c r="AM157" s="36">
        <f>AM123+'Renewable Diesel'!AW87</f>
        <v>7026213.3597664349</v>
      </c>
      <c r="AN157" s="36">
        <f>AN123+'Renewable Diesel'!AX87</f>
        <v>20313401.386649311</v>
      </c>
      <c r="AO157" s="36">
        <f>AO123+'Renewable Diesel'!AY87</f>
        <v>42550140.570906311</v>
      </c>
      <c r="AP157" s="36" t="e">
        <f>AP123+'Renewable Diesel'!AZ87</f>
        <v>#VALUE!</v>
      </c>
      <c r="AQ157" s="36">
        <f>AR123+'Renewable Diesel'!AG87</f>
        <v>-8617877.680334514</v>
      </c>
    </row>
    <row r="158" spans="1:43" x14ac:dyDescent="0.2">
      <c r="A158" s="32" t="s">
        <v>74</v>
      </c>
      <c r="B158" s="35">
        <f>B124+'Renewable Diesel'!B88</f>
        <v>0</v>
      </c>
      <c r="C158" s="35">
        <f>C124+'Renewable Diesel'!C88</f>
        <v>3510101</v>
      </c>
      <c r="D158" s="35">
        <f>D124+'Renewable Diesel'!D88</f>
        <v>8567735</v>
      </c>
      <c r="E158" s="35">
        <f>E124+'Renewable Diesel'!E88</f>
        <v>27376743</v>
      </c>
      <c r="F158" s="35">
        <f>F124+'Renewable Diesel'!F88</f>
        <v>38893736</v>
      </c>
      <c r="G158" s="35">
        <f>G124+'Renewable Diesel'!G88</f>
        <v>49682270</v>
      </c>
      <c r="H158" s="35">
        <f>H124+'Renewable Diesel'!H88</f>
        <v>91953668</v>
      </c>
      <c r="I158" s="35">
        <f>I124+'Renewable Diesel'!I88</f>
        <v>114622978</v>
      </c>
      <c r="J158" s="35">
        <f>J124+'Renewable Diesel'!J88</f>
        <v>46452516</v>
      </c>
      <c r="K158" s="35">
        <f>K124+'Renewable Diesel'!K88</f>
        <v>61790729</v>
      </c>
      <c r="L158" s="35">
        <f>L124+'Renewable Diesel'!L88</f>
        <v>49452454</v>
      </c>
      <c r="M158" s="35">
        <f>M124+'Renewable Diesel'!M88</f>
        <v>61382632</v>
      </c>
      <c r="N158" s="35">
        <f>N124+'Renewable Diesel'!N88</f>
        <v>57188083</v>
      </c>
      <c r="O158" s="35">
        <f>O124+'Renewable Diesel'!O88</f>
        <v>85403132</v>
      </c>
      <c r="P158" s="35">
        <f>P124+'Renewable Diesel'!P88</f>
        <v>93984744</v>
      </c>
      <c r="Q158" s="36">
        <f>Q124+'Renewable Diesel'!Q88</f>
        <v>49115080.867356084</v>
      </c>
      <c r="R158" s="36">
        <f>R124+'Renewable Diesel'!R88</f>
        <v>45512404.262342259</v>
      </c>
      <c r="S158" s="36">
        <f>S124+'Renewable Diesel'!S88</f>
        <v>44812705.788910523</v>
      </c>
      <c r="T158" s="36">
        <f>T124+'Renewable Diesel'!T88</f>
        <v>45510219.273678631</v>
      </c>
      <c r="U158" s="36">
        <f>U124+'Renewable Diesel'!U88</f>
        <v>45738756.350878939</v>
      </c>
      <c r="V158" s="36">
        <f>V124+'Renewable Diesel'!V88</f>
        <v>40678643.796542376</v>
      </c>
      <c r="W158" s="36">
        <f>W124+'Renewable Diesel'!W88</f>
        <v>39519838.267201424</v>
      </c>
      <c r="X158" s="36">
        <f>X124+'Renewable Diesel'!X88</f>
        <v>35701548.004765756</v>
      </c>
      <c r="Y158" s="36">
        <f>Y124+'Renewable Diesel'!Y88</f>
        <v>34100408.954702586</v>
      </c>
      <c r="Z158" s="36">
        <f>Z124+'Renewable Diesel'!Z88</f>
        <v>32749006.793785919</v>
      </c>
      <c r="AA158" s="36">
        <f>AA124+'Renewable Diesel'!AA88</f>
        <v>31056934.97067976</v>
      </c>
      <c r="AB158" s="36">
        <f>AB124+'Renewable Diesel'!AB88</f>
        <v>18468706.50595396</v>
      </c>
      <c r="AC158" s="36">
        <f>AC124+'Renewable Diesel'!AC88</f>
        <v>14332148.450007251</v>
      </c>
      <c r="AD158" s="36">
        <f>AD124+'Renewable Diesel'!AD88</f>
        <v>12656660.008449035</v>
      </c>
      <c r="AE158" s="36">
        <f>AE124+'Renewable Diesel'!AE88</f>
        <v>11370550.705876211</v>
      </c>
      <c r="AF158" s="36">
        <f>AF124+'Renewable Diesel'!AF88</f>
        <v>11271487.391485874</v>
      </c>
      <c r="AG158" s="36">
        <f>AG124+'Renewable Diesel'!AG88</f>
        <v>11306508.916192327</v>
      </c>
      <c r="AH158" s="36">
        <f>AH124+'Renewable Diesel'!AH88</f>
        <v>12658226.131385546</v>
      </c>
      <c r="AI158" s="36">
        <f>AI124+'Renewable Diesel'!AS88</f>
        <v>7922573.9391996153</v>
      </c>
      <c r="AJ158" s="36">
        <f>AJ124+'Renewable Diesel'!AT88</f>
        <v>7957997.4213416968</v>
      </c>
      <c r="AK158" s="36">
        <f>AK124+'Renewable Diesel'!AU88</f>
        <v>14304946.184530761</v>
      </c>
      <c r="AL158" s="36">
        <f>AL124+'Renewable Diesel'!AV88</f>
        <v>3493593.2571629584</v>
      </c>
      <c r="AM158" s="36">
        <f>AM124+'Renewable Diesel'!AW88</f>
        <v>7923642.7350766314</v>
      </c>
      <c r="AN158" s="36">
        <f>AN124+'Renewable Diesel'!AX88</f>
        <v>14027035.642990205</v>
      </c>
      <c r="AO158" s="36">
        <f>AO124+'Renewable Diesel'!AY88</f>
        <v>46207513.166185819</v>
      </c>
      <c r="AP158" s="36" t="e">
        <f>AP124+'Renewable Diesel'!AZ88</f>
        <v>#VALUE!</v>
      </c>
      <c r="AQ158" s="36">
        <f>AR124+'Renewable Diesel'!AG88</f>
        <v>6886024.8115266534</v>
      </c>
    </row>
    <row r="159" spans="1:43" x14ac:dyDescent="0.2">
      <c r="A159" s="32" t="s">
        <v>75</v>
      </c>
      <c r="B159" s="35">
        <f>B125+'Renewable Diesel'!B89</f>
        <v>1377408</v>
      </c>
      <c r="C159" s="35">
        <f>C125+'Renewable Diesel'!C89</f>
        <v>2521122</v>
      </c>
      <c r="D159" s="35">
        <f>D125+'Renewable Diesel'!D89</f>
        <v>5735757</v>
      </c>
      <c r="E159" s="35">
        <f>E125+'Renewable Diesel'!E89</f>
        <v>23044195</v>
      </c>
      <c r="F159" s="35">
        <f>F125+'Renewable Diesel'!F89</f>
        <v>58252003</v>
      </c>
      <c r="G159" s="35">
        <f>G125+'Renewable Diesel'!G89</f>
        <v>65265658</v>
      </c>
      <c r="H159" s="35">
        <f>H125+'Renewable Diesel'!H89</f>
        <v>62971346</v>
      </c>
      <c r="I159" s="35">
        <f>I125+'Renewable Diesel'!I89</f>
        <v>84434265</v>
      </c>
      <c r="J159" s="35">
        <f>J125+'Renewable Diesel'!J89</f>
        <v>38635383</v>
      </c>
      <c r="K159" s="35">
        <f>K125+'Renewable Diesel'!K89</f>
        <v>55857058</v>
      </c>
      <c r="L159" s="35">
        <f>L125+'Renewable Diesel'!L89</f>
        <v>51000950</v>
      </c>
      <c r="M159" s="35">
        <f>M125+'Renewable Diesel'!M89</f>
        <v>26310497</v>
      </c>
      <c r="N159" s="35">
        <f>N125+'Renewable Diesel'!N89</f>
        <v>27799068</v>
      </c>
      <c r="O159" s="35">
        <f>O125+'Renewable Diesel'!O89</f>
        <v>84077139</v>
      </c>
      <c r="P159" s="35">
        <f>P125+'Renewable Diesel'!P89</f>
        <v>44505564</v>
      </c>
      <c r="Q159" s="36">
        <f>Q125+'Renewable Diesel'!Q89</f>
        <v>38209633.865764827</v>
      </c>
      <c r="R159" s="36">
        <f>R125+'Renewable Diesel'!R89</f>
        <v>26591185.841018863</v>
      </c>
      <c r="S159" s="36">
        <f>S125+'Renewable Diesel'!S89</f>
        <v>28803481.146168876</v>
      </c>
      <c r="T159" s="36">
        <f>T125+'Renewable Diesel'!T89</f>
        <v>31202093.095335327</v>
      </c>
      <c r="U159" s="36">
        <f>U125+'Renewable Diesel'!U89</f>
        <v>27749324.270731904</v>
      </c>
      <c r="V159" s="36">
        <f>V125+'Renewable Diesel'!V89</f>
        <v>27142598.858513452</v>
      </c>
      <c r="W159" s="36">
        <f>W125+'Renewable Diesel'!W89</f>
        <v>25358134.427691028</v>
      </c>
      <c r="X159" s="36">
        <f>X125+'Renewable Diesel'!X89</f>
        <v>23246809.865768984</v>
      </c>
      <c r="Y159" s="36">
        <f>Y125+'Renewable Diesel'!Y89</f>
        <v>22207246.074074615</v>
      </c>
      <c r="Z159" s="36">
        <f>Z125+'Renewable Diesel'!Z89</f>
        <v>21058531.152715404</v>
      </c>
      <c r="AA159" s="36">
        <f>AA125+'Renewable Diesel'!AA89</f>
        <v>20156852.246191815</v>
      </c>
      <c r="AB159" s="36">
        <f>AB125+'Renewable Diesel'!AB89</f>
        <v>12243083.907512449</v>
      </c>
      <c r="AC159" s="36">
        <f>AC125+'Renewable Diesel'!AC89</f>
        <v>9639903.2591270395</v>
      </c>
      <c r="AD159" s="36">
        <f>AD125+'Renewable Diesel'!AD89</f>
        <v>8445091.3743845914</v>
      </c>
      <c r="AE159" s="36">
        <f>AE125+'Renewable Diesel'!AE89</f>
        <v>7455324.8583181687</v>
      </c>
      <c r="AF159" s="36">
        <f>AF125+'Renewable Diesel'!AF89</f>
        <v>7455868.6610697098</v>
      </c>
      <c r="AG159" s="36">
        <f>AG125+'Renewable Diesel'!AG89</f>
        <v>7462403.7924768561</v>
      </c>
      <c r="AH159" s="36">
        <f>AH125+'Renewable Diesel'!AH89</f>
        <v>8851772.6931282617</v>
      </c>
      <c r="AI159" s="36">
        <f>AI125+'Renewable Diesel'!AS89</f>
        <v>6050787.5367345475</v>
      </c>
      <c r="AJ159" s="36">
        <f>AJ125+'Renewable Diesel'!AT89</f>
        <v>6086996.2954771984</v>
      </c>
      <c r="AK159" s="36">
        <f>AK125+'Renewable Diesel'!AU89</f>
        <v>40758059.60590066</v>
      </c>
      <c r="AL159" s="36">
        <f>AL125+'Renewable Diesel'!AV89</f>
        <v>15611123.776117854</v>
      </c>
      <c r="AM159" s="36">
        <f>AM125+'Renewable Diesel'!AW89</f>
        <v>6051290.933152061</v>
      </c>
      <c r="AN159" s="36">
        <f>AN125+'Renewable Diesel'!AX89</f>
        <v>11743217.752308916</v>
      </c>
      <c r="AO159" s="36">
        <f>AO125+'Renewable Diesel'!AY89</f>
        <v>54285571.28303086</v>
      </c>
      <c r="AP159" s="36" t="e">
        <f>AP125+'Renewable Diesel'!AZ89</f>
        <v>#VALUE!</v>
      </c>
      <c r="AQ159" s="36">
        <f>AR125+'Renewable Diesel'!AG89</f>
        <v>-12162363.149020597</v>
      </c>
    </row>
    <row r="160" spans="1:43" x14ac:dyDescent="0.2">
      <c r="A160" s="32" t="s">
        <v>76</v>
      </c>
      <c r="B160" s="35">
        <f>B126+'Renewable Diesel'!B90</f>
        <v>2315495</v>
      </c>
      <c r="C160" s="35">
        <f>C126+'Renewable Diesel'!C90</f>
        <v>2583842</v>
      </c>
      <c r="D160" s="35">
        <f>D126+'Renewable Diesel'!D90</f>
        <v>4430238</v>
      </c>
      <c r="E160" s="35">
        <f>E126+'Renewable Diesel'!E90</f>
        <v>51706197</v>
      </c>
      <c r="F160" s="35">
        <f>F126+'Renewable Diesel'!F90</f>
        <v>26251559</v>
      </c>
      <c r="G160" s="35">
        <f>G126+'Renewable Diesel'!G90</f>
        <v>56808633</v>
      </c>
      <c r="H160" s="35">
        <f>H126+'Renewable Diesel'!H90</f>
        <v>92867883</v>
      </c>
      <c r="I160" s="35">
        <f>I126+'Renewable Diesel'!I90</f>
        <v>76611307</v>
      </c>
      <c r="J160" s="35">
        <f>J126+'Renewable Diesel'!J90</f>
        <v>41975893</v>
      </c>
      <c r="K160" s="35">
        <f>K126+'Renewable Diesel'!K90</f>
        <v>41111625</v>
      </c>
      <c r="L160" s="35">
        <f>L126+'Renewable Diesel'!L90</f>
        <v>43242205</v>
      </c>
      <c r="M160" s="35">
        <f>M126+'Renewable Diesel'!M90</f>
        <v>45406087</v>
      </c>
      <c r="N160" s="35">
        <f>N126+'Renewable Diesel'!N90</f>
        <v>36361323</v>
      </c>
      <c r="O160" s="35">
        <f>O126+'Renewable Diesel'!O90</f>
        <v>69712455</v>
      </c>
      <c r="P160" s="35">
        <f>P126+'Renewable Diesel'!P90</f>
        <v>47473959</v>
      </c>
      <c r="Q160" s="36">
        <f>Q126+'Renewable Diesel'!Q90</f>
        <v>39150531.298118986</v>
      </c>
      <c r="R160" s="36">
        <f>R126+'Renewable Diesel'!R90</f>
        <v>27322062.231820278</v>
      </c>
      <c r="S160" s="36">
        <f>S126+'Renewable Diesel'!S90</f>
        <v>26349233.77899833</v>
      </c>
      <c r="T160" s="36">
        <f>T126+'Renewable Diesel'!T90</f>
        <v>27929362.790869124</v>
      </c>
      <c r="U160" s="36">
        <f>U126+'Renewable Diesel'!U90</f>
        <v>27553995.338875245</v>
      </c>
      <c r="V160" s="36">
        <f>V126+'Renewable Diesel'!V90</f>
        <v>26894848.145496443</v>
      </c>
      <c r="W160" s="36">
        <f>W126+'Renewable Diesel'!W90</f>
        <v>24911440.583757035</v>
      </c>
      <c r="X160" s="36">
        <f>X126+'Renewable Diesel'!X90</f>
        <v>22460112.76850123</v>
      </c>
      <c r="Y160" s="36">
        <f>Y126+'Renewable Diesel'!Y90</f>
        <v>21487438.783445694</v>
      </c>
      <c r="Z160" s="36">
        <f>Z126+'Renewable Diesel'!Z90</f>
        <v>20716745.286528397</v>
      </c>
      <c r="AA160" s="36">
        <f>AA126+'Renewable Diesel'!AA90</f>
        <v>19550235.568688124</v>
      </c>
      <c r="AB160" s="36">
        <f>AB126+'Renewable Diesel'!AB90</f>
        <v>12716538.152103994</v>
      </c>
      <c r="AC160" s="36">
        <f>AC126+'Renewable Diesel'!AC90</f>
        <v>10136725.531599535</v>
      </c>
      <c r="AD160" s="36">
        <f>AD126+'Renewable Diesel'!AD90</f>
        <v>8736740.9309824798</v>
      </c>
      <c r="AE160" s="36">
        <f>AE126+'Renewable Diesel'!AE90</f>
        <v>7680034.9833469139</v>
      </c>
      <c r="AF160" s="36">
        <f>AF126+'Renewable Diesel'!AF90</f>
        <v>7642666.397135023</v>
      </c>
      <c r="AG160" s="36">
        <f>AG126+'Renewable Diesel'!AG90</f>
        <v>7630331.0507495264</v>
      </c>
      <c r="AH160" s="36">
        <f>AH126+'Renewable Diesel'!AH90</f>
        <v>9060578.5959379971</v>
      </c>
      <c r="AI160" s="36">
        <f>AI126+'Renewable Diesel'!AS90</f>
        <v>6967789.1802962162</v>
      </c>
      <c r="AJ160" s="36">
        <f>AJ126+'Renewable Diesel'!AT90</f>
        <v>7006290.1036701184</v>
      </c>
      <c r="AK160" s="36">
        <f>AK126+'Renewable Diesel'!AU90</f>
        <v>11385283.996692244</v>
      </c>
      <c r="AL160" s="36">
        <f>AL126+'Renewable Diesel'!AV90</f>
        <v>-21288769.605740868</v>
      </c>
      <c r="AM160" s="36">
        <f>AM126+'Renewable Diesel'!AW90</f>
        <v>6969738.1462409869</v>
      </c>
      <c r="AN160" s="36">
        <f>AN126+'Renewable Diesel'!AX90</f>
        <v>16817758.115519896</v>
      </c>
      <c r="AO160" s="36">
        <f>AO126+'Renewable Diesel'!AY90</f>
        <v>22769187.756086215</v>
      </c>
      <c r="AP160" s="36" t="e">
        <f>AP126+'Renewable Diesel'!AZ90</f>
        <v>#VALUE!</v>
      </c>
      <c r="AQ160" s="36">
        <f>AR126+'Renewable Diesel'!AG90</f>
        <v>4231421.4556081826</v>
      </c>
    </row>
    <row r="161" spans="1:43" x14ac:dyDescent="0.2">
      <c r="A161" s="32" t="s">
        <v>77</v>
      </c>
      <c r="B161" s="35">
        <f>B127+'Renewable Diesel'!B91</f>
        <v>1242409</v>
      </c>
      <c r="C161" s="35">
        <f>C127+'Renewable Diesel'!C91</f>
        <v>4644979</v>
      </c>
      <c r="D161" s="35">
        <f>D127+'Renewable Diesel'!D91</f>
        <v>12817601</v>
      </c>
      <c r="E161" s="35">
        <f>E127+'Renewable Diesel'!E91</f>
        <v>41052950</v>
      </c>
      <c r="F161" s="35">
        <f>F127+'Renewable Diesel'!F91</f>
        <v>24215602</v>
      </c>
      <c r="G161" s="35">
        <f>G127+'Renewable Diesel'!G91</f>
        <v>42871654</v>
      </c>
      <c r="H161" s="35">
        <f>H127+'Renewable Diesel'!H91</f>
        <v>100922881</v>
      </c>
      <c r="I161" s="35">
        <f>I127+'Renewable Diesel'!I91</f>
        <v>55883898</v>
      </c>
      <c r="J161" s="35">
        <f>J127+'Renewable Diesel'!J91</f>
        <v>34045977</v>
      </c>
      <c r="K161" s="35">
        <f>K127+'Renewable Diesel'!K91</f>
        <v>44995129</v>
      </c>
      <c r="L161" s="35">
        <f>L127+'Renewable Diesel'!L91</f>
        <v>71343883</v>
      </c>
      <c r="M161" s="35">
        <f>M127+'Renewable Diesel'!M91</f>
        <v>63680341</v>
      </c>
      <c r="N161" s="35">
        <f>N127+'Renewable Diesel'!N91</f>
        <v>56679819</v>
      </c>
      <c r="O161" s="35">
        <f>O127+'Renewable Diesel'!O91</f>
        <v>55382169</v>
      </c>
      <c r="P161" s="36">
        <f>P127+'Renewable Diesel'!P91</f>
        <v>44898378</v>
      </c>
      <c r="Q161" s="36">
        <f>Q127+'Renewable Diesel'!Q91</f>
        <v>44443904.111976691</v>
      </c>
      <c r="R161" s="36">
        <f>R127+'Renewable Diesel'!R91</f>
        <v>33764065.491347112</v>
      </c>
      <c r="S161" s="36">
        <f>S127+'Renewable Diesel'!S91</f>
        <v>31151658.685121261</v>
      </c>
      <c r="T161" s="36">
        <f>T127+'Renewable Diesel'!T91</f>
        <v>29256653.228971176</v>
      </c>
      <c r="U161" s="36">
        <f>U127+'Renewable Diesel'!U91</f>
        <v>30064146.326934941</v>
      </c>
      <c r="V161" s="36">
        <f>V127+'Renewable Diesel'!V91</f>
        <v>30270052.399118297</v>
      </c>
      <c r="W161" s="36">
        <f>W127+'Renewable Diesel'!W91</f>
        <v>28008103.752907328</v>
      </c>
      <c r="X161" s="36">
        <f>X127+'Renewable Diesel'!X91</f>
        <v>24872465.421384454</v>
      </c>
      <c r="Y161" s="36">
        <f>Y127+'Renewable Diesel'!Y91</f>
        <v>23558450.98790282</v>
      </c>
      <c r="Z161" s="36">
        <f>Z127+'Renewable Diesel'!Z91</f>
        <v>22951969.77569484</v>
      </c>
      <c r="AA161" s="36">
        <f>AA127+'Renewable Diesel'!AA91</f>
        <v>21847812.684498753</v>
      </c>
      <c r="AB161" s="36">
        <f>AB127+'Renewable Diesel'!AB91</f>
        <v>13775078.004166091</v>
      </c>
      <c r="AC161" s="36">
        <f>AC127+'Renewable Diesel'!AC91</f>
        <v>10878105.198467262</v>
      </c>
      <c r="AD161" s="36">
        <f>AD127+'Renewable Diesel'!AD91</f>
        <v>9381954.0130810887</v>
      </c>
      <c r="AE161" s="36">
        <f>AE127+'Renewable Diesel'!AE91</f>
        <v>8351760.1813718956</v>
      </c>
      <c r="AF161" s="36">
        <f>AF127+'Renewable Diesel'!AF91</f>
        <v>8345947.8999450989</v>
      </c>
      <c r="AG161" s="36">
        <f>AG127+'Renewable Diesel'!AG91</f>
        <v>8313187.9146495629</v>
      </c>
      <c r="AH161" s="36">
        <f>AH127+'Renewable Diesel'!AH91</f>
        <v>9722843.9491865318</v>
      </c>
      <c r="AI161" s="36">
        <f>AI127+'Renewable Diesel'!AS91</f>
        <v>7127896.7532868274</v>
      </c>
      <c r="AJ161" s="36">
        <f>AJ127+'Renewable Diesel'!AT91</f>
        <v>7166461.4842632832</v>
      </c>
      <c r="AK161" s="36">
        <f>AK127+'Renewable Diesel'!AU91</f>
        <v>-15507047.510190804</v>
      </c>
      <c r="AL161" s="36">
        <f>AL127+'Renewable Diesel'!AV91</f>
        <v>-3398593.159656886</v>
      </c>
      <c r="AM161" s="36">
        <f>AM127+'Renewable Diesel'!AW91</f>
        <v>7129595.4250009395</v>
      </c>
      <c r="AN161" s="36">
        <f>AN127+'Renewable Diesel'!AX91</f>
        <v>16213732.562897278</v>
      </c>
      <c r="AO161" s="36">
        <f>AO127+'Renewable Diesel'!AY91</f>
        <v>13137868.758286992</v>
      </c>
      <c r="AP161" s="36" t="e">
        <f>AP127+'Renewable Diesel'!AZ91</f>
        <v>#VALUE!</v>
      </c>
      <c r="AQ161" s="36">
        <f>AR127+'Renewable Diesel'!AG91</f>
        <v>4866514.143740641</v>
      </c>
    </row>
    <row r="162" spans="1:43" x14ac:dyDescent="0.2">
      <c r="A162" s="32" t="s">
        <v>78</v>
      </c>
      <c r="B162" s="35">
        <f>B128+'Renewable Diesel'!B92</f>
        <v>3599083</v>
      </c>
      <c r="C162" s="35">
        <f>C128+'Renewable Diesel'!C92</f>
        <v>4553366</v>
      </c>
      <c r="D162" s="35">
        <f>D128+'Renewable Diesel'!D92</f>
        <v>15233036</v>
      </c>
      <c r="E162" s="35">
        <f>E128+'Renewable Diesel'!E92</f>
        <v>54309652</v>
      </c>
      <c r="F162" s="35">
        <f>F128+'Renewable Diesel'!F92</f>
        <v>28948864</v>
      </c>
      <c r="G162" s="35">
        <f>G128+'Renewable Diesel'!G92</f>
        <v>69460149</v>
      </c>
      <c r="H162" s="35">
        <f>H128+'Renewable Diesel'!H92</f>
        <v>72083147</v>
      </c>
      <c r="I162" s="35">
        <f>I128+'Renewable Diesel'!I92</f>
        <v>65187932</v>
      </c>
      <c r="J162" s="35">
        <f>J128+'Renewable Diesel'!J92</f>
        <v>29985002</v>
      </c>
      <c r="K162" s="35">
        <f>K128+'Renewable Diesel'!K92</f>
        <v>55344707</v>
      </c>
      <c r="L162" s="35">
        <f>L128+'Renewable Diesel'!L92</f>
        <v>45031793</v>
      </c>
      <c r="M162" s="35">
        <f>M128+'Renewable Diesel'!M92</f>
        <v>60522779</v>
      </c>
      <c r="N162" s="35">
        <f>N128+'Renewable Diesel'!N92</f>
        <v>55149956</v>
      </c>
      <c r="O162" s="35">
        <f>O128+'Renewable Diesel'!O92</f>
        <v>110618886</v>
      </c>
      <c r="P162" s="36">
        <f>P128+'Renewable Diesel'!P92</f>
        <v>44193071</v>
      </c>
      <c r="Q162" s="36">
        <f>Q128+'Renewable Diesel'!Q92</f>
        <v>46905132.137491137</v>
      </c>
      <c r="R162" s="36">
        <f>R128+'Renewable Diesel'!R92</f>
        <v>41210642.57298775</v>
      </c>
      <c r="S162" s="36">
        <f>S128+'Renewable Diesel'!S92</f>
        <v>39730170.705784589</v>
      </c>
      <c r="T162" s="36">
        <f>T128+'Renewable Diesel'!T92</f>
        <v>39944589.77233842</v>
      </c>
      <c r="U162" s="36">
        <f>U128+'Renewable Diesel'!U92</f>
        <v>34387263.506166875</v>
      </c>
      <c r="V162" s="36">
        <f>V128+'Renewable Diesel'!V92</f>
        <v>36063077.784698635</v>
      </c>
      <c r="W162" s="36">
        <f>W128+'Renewable Diesel'!W92</f>
        <v>34442784.472246438</v>
      </c>
      <c r="X162" s="36">
        <f>X128+'Renewable Diesel'!X92</f>
        <v>30712487.2894549</v>
      </c>
      <c r="Y162" s="36">
        <f>Y128+'Renewable Diesel'!Y92</f>
        <v>28981546.077935997</v>
      </c>
      <c r="Z162" s="36">
        <f>Z128+'Renewable Diesel'!Z92</f>
        <v>27593476.654395424</v>
      </c>
      <c r="AA162" s="36">
        <f>AA128+'Renewable Diesel'!AA92</f>
        <v>26668167.43524557</v>
      </c>
      <c r="AB162" s="36">
        <f>AB128+'Renewable Diesel'!AB92</f>
        <v>16496100.897503987</v>
      </c>
      <c r="AC162" s="36">
        <f>AC128+'Renewable Diesel'!AC92</f>
        <v>12976869.663535731</v>
      </c>
      <c r="AD162" s="36">
        <f>AD128+'Renewable Diesel'!AD92</f>
        <v>11239513.988820186</v>
      </c>
      <c r="AE162" s="36">
        <f>AE128+'Renewable Diesel'!AE92</f>
        <v>9935097.8220446147</v>
      </c>
      <c r="AF162" s="36">
        <f>AF128+'Renewable Diesel'!AF92</f>
        <v>10005078.66657443</v>
      </c>
      <c r="AG162" s="36">
        <f>AG128+'Renewable Diesel'!AG92</f>
        <v>9992857.3835956044</v>
      </c>
      <c r="AH162" s="36">
        <f>AH128+'Renewable Diesel'!AH92</f>
        <v>11394265.296004428</v>
      </c>
      <c r="AI162" s="36">
        <f>AI128+'Renewable Diesel'!AS92</f>
        <v>7906425.5156375878</v>
      </c>
      <c r="AJ162" s="36">
        <f>AJ128+'Renewable Diesel'!AT92</f>
        <v>7945356.194143597</v>
      </c>
      <c r="AK162" s="36">
        <f>AK128+'Renewable Diesel'!AU92</f>
        <v>23699918.095073048</v>
      </c>
      <c r="AL162" s="36">
        <f>AL128+'Renewable Diesel'!AV92</f>
        <v>46593425.991947621</v>
      </c>
      <c r="AM162" s="36">
        <f>AM128+'Renewable Diesel'!AW92</f>
        <v>7909051.9207510864</v>
      </c>
      <c r="AN162" s="36">
        <f>AN128+'Renewable Diesel'!AX92</f>
        <v>17935324.292162575</v>
      </c>
      <c r="AO162" s="36">
        <f>AO128+'Renewable Diesel'!AY92</f>
        <v>51632404.740361191</v>
      </c>
      <c r="AP162" s="36" t="e">
        <f>AP128+'Renewable Diesel'!AZ92</f>
        <v>#VALUE!</v>
      </c>
      <c r="AQ162" s="36">
        <f>AR128+'Renewable Diesel'!AG92</f>
        <v>3626797.0147011089</v>
      </c>
    </row>
    <row r="163" spans="1:43" x14ac:dyDescent="0.2">
      <c r="A163" s="32" t="s">
        <v>79</v>
      </c>
      <c r="B163" s="35">
        <f>B129+'Renewable Diesel'!B93</f>
        <v>1990621</v>
      </c>
      <c r="C163" s="35">
        <f>C129+'Renewable Diesel'!C93</f>
        <v>3194691</v>
      </c>
      <c r="D163" s="35">
        <f>D129+'Renewable Diesel'!D93</f>
        <v>11117955</v>
      </c>
      <c r="E163" s="35">
        <f>E129+'Renewable Diesel'!E93</f>
        <v>64545750</v>
      </c>
      <c r="F163" s="35">
        <f>F129+'Renewable Diesel'!F93</f>
        <v>55327962</v>
      </c>
      <c r="G163" s="35">
        <f>G129+'Renewable Diesel'!G93</f>
        <v>54446702</v>
      </c>
      <c r="H163" s="35">
        <f>H129+'Renewable Diesel'!H93</f>
        <v>96287662</v>
      </c>
      <c r="I163" s="35">
        <f>I129+'Renewable Diesel'!I93</f>
        <v>52792333</v>
      </c>
      <c r="J163" s="35">
        <f>J129+'Renewable Diesel'!J93</f>
        <v>32035256</v>
      </c>
      <c r="K163" s="35">
        <f>K129+'Renewable Diesel'!K93</f>
        <v>46385823</v>
      </c>
      <c r="L163" s="35">
        <f>L129+'Renewable Diesel'!L93</f>
        <v>63329665</v>
      </c>
      <c r="M163" s="35">
        <f>M129+'Renewable Diesel'!M93</f>
        <v>52778272</v>
      </c>
      <c r="N163" s="35">
        <f>N129+'Renewable Diesel'!N93</f>
        <v>60829780</v>
      </c>
      <c r="O163" s="35">
        <f>O129+'Renewable Diesel'!O93</f>
        <v>87931765</v>
      </c>
      <c r="P163" s="36">
        <f>P129+'Renewable Diesel'!P93</f>
        <v>31059229</v>
      </c>
      <c r="Q163" s="36">
        <f>Q129+'Renewable Diesel'!Q93</f>
        <v>45948738.470441997</v>
      </c>
      <c r="R163" s="36">
        <f>R129+'Renewable Diesel'!R93</f>
        <v>36722241.083038434</v>
      </c>
      <c r="S163" s="36">
        <f>S129+'Renewable Diesel'!S93</f>
        <v>35437219.902093008</v>
      </c>
      <c r="T163" s="36">
        <f>T129+'Renewable Diesel'!T93</f>
        <v>34253222.151009053</v>
      </c>
      <c r="U163" s="36">
        <f>U129+'Renewable Diesel'!U93</f>
        <v>29907430.403207004</v>
      </c>
      <c r="V163" s="36">
        <f>V129+'Renewable Diesel'!V93</f>
        <v>32792045.251266636</v>
      </c>
      <c r="W163" s="36">
        <f>W129+'Renewable Diesel'!W93</f>
        <v>30694361.052482598</v>
      </c>
      <c r="X163" s="36">
        <f>X129+'Renewable Diesel'!X93</f>
        <v>27262527.858825941</v>
      </c>
      <c r="Y163" s="36">
        <f>Y129+'Renewable Diesel'!Y93</f>
        <v>25612151.065907523</v>
      </c>
      <c r="Z163" s="36">
        <f>Z129+'Renewable Diesel'!Z93</f>
        <v>24552235.125290707</v>
      </c>
      <c r="AA163" s="36">
        <f>AA129+'Renewable Diesel'!AA93</f>
        <v>23733778.706394378</v>
      </c>
      <c r="AB163" s="36">
        <f>AB129+'Renewable Diesel'!AB93</f>
        <v>15009172.440746628</v>
      </c>
      <c r="AC163" s="36">
        <f>AC129+'Renewable Diesel'!AC93</f>
        <v>11888569.013550211</v>
      </c>
      <c r="AD163" s="36">
        <f>AD129+'Renewable Diesel'!AD93</f>
        <v>10236192.749791801</v>
      </c>
      <c r="AE163" s="36">
        <f>AE129+'Renewable Diesel'!AE93</f>
        <v>8990798.3476711344</v>
      </c>
      <c r="AF163" s="36">
        <f>AF129+'Renewable Diesel'!AF93</f>
        <v>9069523.0499038957</v>
      </c>
      <c r="AG163" s="36">
        <f>AG129+'Renewable Diesel'!AG93</f>
        <v>9042454.8132377695</v>
      </c>
      <c r="AH163" s="36">
        <f>AH129+'Renewable Diesel'!AH93</f>
        <v>10492343.877451934</v>
      </c>
      <c r="AI163" s="36">
        <f>AI129+'Renewable Diesel'!AS93</f>
        <v>7687413.7226018161</v>
      </c>
      <c r="AJ163" s="36">
        <f>AJ129+'Renewable Diesel'!AT93</f>
        <v>7729562.963789233</v>
      </c>
      <c r="AK163" s="36">
        <f>AK129+'Renewable Diesel'!AU93</f>
        <v>26104609.250104118</v>
      </c>
      <c r="AL163" s="36">
        <f>AL129+'Renewable Diesel'!AV93</f>
        <v>-466870.00224469975</v>
      </c>
      <c r="AM163" s="36">
        <f>AM129+'Renewable Diesel'!AW93</f>
        <v>7690012.5901205158</v>
      </c>
      <c r="AN163" s="36">
        <f>AN129+'Renewable Diesel'!AX93</f>
        <v>12720904.199201172</v>
      </c>
      <c r="AO163" s="36">
        <f>AO129+'Renewable Diesel'!AY93</f>
        <v>48230861.932582326</v>
      </c>
      <c r="AP163" s="36" t="e">
        <f>AP129+'Renewable Diesel'!AZ93</f>
        <v>#VALUE!</v>
      </c>
      <c r="AQ163" s="36">
        <f>AR129+'Renewable Diesel'!AG93</f>
        <v>-756685.92526968755</v>
      </c>
    </row>
    <row r="164" spans="1:43" x14ac:dyDescent="0.2">
      <c r="A164" s="32" t="s">
        <v>80</v>
      </c>
      <c r="B164" s="35">
        <f>B130+'Renewable Diesel'!B94</f>
        <v>1962490</v>
      </c>
      <c r="C164" s="35">
        <f>C130+'Renewable Diesel'!C94</f>
        <v>10389680</v>
      </c>
      <c r="D164" s="35">
        <f>D130+'Renewable Diesel'!D94</f>
        <v>5153705</v>
      </c>
      <c r="E164" s="35">
        <f>E130+'Renewable Diesel'!E94</f>
        <v>65581159</v>
      </c>
      <c r="F164" s="35">
        <f>F130+'Renewable Diesel'!F94</f>
        <v>27988676</v>
      </c>
      <c r="G164" s="35">
        <f>G130+'Renewable Diesel'!G94</f>
        <v>65563147</v>
      </c>
      <c r="H164" s="35">
        <f>H130+'Renewable Diesel'!H94</f>
        <v>147490457</v>
      </c>
      <c r="I164" s="35">
        <f>I130+'Renewable Diesel'!I94</f>
        <v>62560458</v>
      </c>
      <c r="J164" s="35">
        <f>J130+'Renewable Diesel'!J94</f>
        <v>59139528</v>
      </c>
      <c r="K164" s="35">
        <f>K130+'Renewable Diesel'!K94</f>
        <v>59723425</v>
      </c>
      <c r="L164" s="35">
        <f>L130+'Renewable Diesel'!L94</f>
        <v>63604043</v>
      </c>
      <c r="M164" s="35">
        <f>M130+'Renewable Diesel'!M94</f>
        <v>103425180</v>
      </c>
      <c r="N164" s="35">
        <f>N130+'Renewable Diesel'!N94</f>
        <v>83407341</v>
      </c>
      <c r="O164" s="35">
        <f>O130+'Renewable Diesel'!O94</f>
        <v>113216993</v>
      </c>
      <c r="P164" s="36">
        <f>P130+'Renewable Diesel'!P94</f>
        <v>35626855</v>
      </c>
      <c r="Q164" s="36">
        <f>Q130+'Renewable Diesel'!Q94</f>
        <v>168317776.98123094</v>
      </c>
      <c r="R164" s="36">
        <f>R130+'Renewable Diesel'!R94</f>
        <v>64440171.743191481</v>
      </c>
      <c r="S164" s="36">
        <f>S130+'Renewable Diesel'!S94</f>
        <v>62086348.766008556</v>
      </c>
      <c r="T164" s="36">
        <f>T130+'Renewable Diesel'!T94</f>
        <v>63883618.783056065</v>
      </c>
      <c r="U164" s="36">
        <f>U130+'Renewable Diesel'!U94</f>
        <v>64565266.905266047</v>
      </c>
      <c r="V164" s="36">
        <f>V130+'Renewable Diesel'!V94</f>
        <v>76970008.091279984</v>
      </c>
      <c r="W164" s="36">
        <f>W130+'Renewable Diesel'!W94</f>
        <v>60918424.221147746</v>
      </c>
      <c r="X164" s="36">
        <f>X130+'Renewable Diesel'!X94</f>
        <v>55253715.346610278</v>
      </c>
      <c r="Y164" s="36">
        <f>Y130+'Renewable Diesel'!Y94</f>
        <v>53287497.957498133</v>
      </c>
      <c r="Z164" s="36">
        <f>Z130+'Renewable Diesel'!Z94</f>
        <v>52281162.423436686</v>
      </c>
      <c r="AA164" s="36">
        <f>AA130+'Renewable Diesel'!AA94</f>
        <v>50082027.772402421</v>
      </c>
      <c r="AB164" s="36">
        <f>AB130+'Renewable Diesel'!AB94</f>
        <v>31918789.590395018</v>
      </c>
      <c r="AC164" s="36">
        <f>AC130+'Renewable Diesel'!AC94</f>
        <v>25620005.9713374</v>
      </c>
      <c r="AD164" s="36">
        <f>AD130+'Renewable Diesel'!AD94</f>
        <v>22105694.145371147</v>
      </c>
      <c r="AE164" s="36">
        <f>AE130+'Renewable Diesel'!AE94</f>
        <v>19428017.166159973</v>
      </c>
      <c r="AF164" s="36">
        <f>AF130+'Renewable Diesel'!AF94</f>
        <v>19489686.968207635</v>
      </c>
      <c r="AG164" s="36">
        <f>AG130+'Renewable Diesel'!AG94</f>
        <v>19233646.539550148</v>
      </c>
      <c r="AH164" s="36">
        <f>AH130+'Renewable Diesel'!AH94</f>
        <v>20686770.969859526</v>
      </c>
      <c r="AI164" s="36">
        <f>AI130+'Renewable Diesel'!AS94</f>
        <v>15495689.36893329</v>
      </c>
      <c r="AJ164" s="36">
        <f>AJ130+'Renewable Diesel'!AT94</f>
        <v>15533785.590776576</v>
      </c>
      <c r="AK164" s="36">
        <f>AK130+'Renewable Diesel'!AU94</f>
        <v>23746327.341590963</v>
      </c>
      <c r="AL164" s="36">
        <f>AL130+'Renewable Diesel'!AV94</f>
        <v>18740412.547675051</v>
      </c>
      <c r="AM164" s="36">
        <f>AM130+'Renewable Diesel'!AW94</f>
        <v>15488843.662555873</v>
      </c>
      <c r="AN164" s="36">
        <f>AN130+'Renewable Diesel'!AX94</f>
        <v>22316888.000748489</v>
      </c>
      <c r="AO164" s="36">
        <f>AO130+'Renewable Diesel'!AY94</f>
        <v>57456258.852915853</v>
      </c>
      <c r="AP164" s="36" t="e">
        <f>AP130+'Renewable Diesel'!AZ94</f>
        <v>#VALUE!</v>
      </c>
      <c r="AQ164" s="36">
        <f>AR130+'Renewable Diesel'!AG94</f>
        <v>13688735.164327681</v>
      </c>
    </row>
    <row r="165" spans="1:43" x14ac:dyDescent="0.2">
      <c r="A165" s="32" t="s">
        <v>58</v>
      </c>
      <c r="B165" s="35">
        <f>SUM(B153:B164)</f>
        <v>12489516</v>
      </c>
      <c r="C165" s="35">
        <f t="shared" ref="C165:AQ165" si="130">SUM(C153:C164)</f>
        <v>44461583</v>
      </c>
      <c r="D165" s="35">
        <f t="shared" si="130"/>
        <v>90503704</v>
      </c>
      <c r="E165" s="35">
        <f t="shared" si="130"/>
        <v>394468066</v>
      </c>
      <c r="F165" s="35">
        <f t="shared" si="130"/>
        <v>417299012</v>
      </c>
      <c r="G165" s="35">
        <f t="shared" si="130"/>
        <v>546276622</v>
      </c>
      <c r="H165" s="35">
        <f t="shared" si="130"/>
        <v>866786477</v>
      </c>
      <c r="I165" s="35">
        <f t="shared" si="130"/>
        <v>773356077</v>
      </c>
      <c r="J165" s="35">
        <f t="shared" si="130"/>
        <v>472201342</v>
      </c>
      <c r="K165" s="35">
        <f t="shared" si="130"/>
        <v>571465763</v>
      </c>
      <c r="L165" s="35">
        <f t="shared" si="130"/>
        <v>625771572</v>
      </c>
      <c r="M165" s="35">
        <f t="shared" si="130"/>
        <v>651834909</v>
      </c>
      <c r="N165" s="35">
        <f t="shared" si="130"/>
        <v>652863463</v>
      </c>
      <c r="O165" s="35">
        <f t="shared" si="130"/>
        <v>985688252</v>
      </c>
      <c r="P165" s="36">
        <f t="shared" si="130"/>
        <v>712035447</v>
      </c>
      <c r="Q165" s="36">
        <f t="shared" si="130"/>
        <v>550580731.25</v>
      </c>
      <c r="R165" s="36">
        <f t="shared" si="130"/>
        <v>463754344.12500006</v>
      </c>
      <c r="S165" s="36">
        <f t="shared" si="130"/>
        <v>452696474.49999988</v>
      </c>
      <c r="T165" s="36">
        <f t="shared" si="130"/>
        <v>451638604.87500006</v>
      </c>
      <c r="U165" s="36">
        <f t="shared" si="130"/>
        <v>430580735.25</v>
      </c>
      <c r="V165" s="36">
        <f t="shared" si="130"/>
        <v>419522865.62500006</v>
      </c>
      <c r="W165" s="36">
        <f t="shared" si="130"/>
        <v>399522866.62500012</v>
      </c>
      <c r="X165" s="36">
        <f t="shared" si="130"/>
        <v>358464996.99999988</v>
      </c>
      <c r="Y165" s="36">
        <f t="shared" si="130"/>
        <v>340041849.75</v>
      </c>
      <c r="Z165" s="36">
        <f t="shared" si="130"/>
        <v>326618702.50000006</v>
      </c>
      <c r="AA165" s="36">
        <f t="shared" si="130"/>
        <v>311618703.49999994</v>
      </c>
      <c r="AB165" s="36">
        <f t="shared" si="130"/>
        <v>193175647.875</v>
      </c>
      <c r="AC165" s="36">
        <f t="shared" si="130"/>
        <v>152117778.25</v>
      </c>
      <c r="AD165" s="36">
        <f t="shared" si="130"/>
        <v>132117779.25000003</v>
      </c>
      <c r="AE165" s="36">
        <f t="shared" si="130"/>
        <v>117117780.24999999</v>
      </c>
      <c r="AF165" s="36">
        <f t="shared" si="130"/>
        <v>117117781.25</v>
      </c>
      <c r="AG165" s="36">
        <f t="shared" si="130"/>
        <v>117117782.25</v>
      </c>
      <c r="AH165" s="36">
        <f t="shared" si="130"/>
        <v>129005565.17176394</v>
      </c>
      <c r="AI165" s="36">
        <f t="shared" si="130"/>
        <v>87835299.154121727</v>
      </c>
      <c r="AJ165" s="36">
        <f t="shared" si="130"/>
        <v>88155799.721845433</v>
      </c>
      <c r="AK165" s="36">
        <f t="shared" si="130"/>
        <v>153128735.46507755</v>
      </c>
      <c r="AL165" s="36">
        <f t="shared" si="130"/>
        <v>98795418.325476259</v>
      </c>
      <c r="AM165" s="36">
        <f t="shared" si="130"/>
        <v>87847391.582545161</v>
      </c>
      <c r="AN165" s="36">
        <f t="shared" si="130"/>
        <v>162444791.26108319</v>
      </c>
      <c r="AO165" s="36">
        <f t="shared" si="130"/>
        <v>495468423.61393917</v>
      </c>
      <c r="AP165" s="36" t="e">
        <f>SUM(AP153:AP164)</f>
        <v>#VALUE!</v>
      </c>
      <c r="AQ165" s="36">
        <f t="shared" si="130"/>
        <v>8914219.2500000112</v>
      </c>
    </row>
    <row r="167" spans="1:43" x14ac:dyDescent="0.2">
      <c r="A167" s="32" t="s">
        <v>117</v>
      </c>
    </row>
    <row r="168" spans="1:43" s="61" customFormat="1" x14ac:dyDescent="0.2">
      <c r="B168" s="61">
        <f>B2</f>
        <v>2010</v>
      </c>
      <c r="C168" s="61">
        <f t="shared" ref="C168:AO168" si="131">C2</f>
        <v>2011</v>
      </c>
      <c r="D168" s="61">
        <f t="shared" si="131"/>
        <v>2012</v>
      </c>
      <c r="E168" s="61">
        <f t="shared" si="131"/>
        <v>2013</v>
      </c>
      <c r="F168" s="61">
        <f t="shared" si="131"/>
        <v>2014</v>
      </c>
      <c r="G168" s="61">
        <f t="shared" si="131"/>
        <v>2015</v>
      </c>
      <c r="H168" s="61">
        <f t="shared" si="131"/>
        <v>2016</v>
      </c>
      <c r="I168" s="61">
        <f t="shared" si="131"/>
        <v>2017</v>
      </c>
      <c r="J168" s="61">
        <f t="shared" si="131"/>
        <v>2018</v>
      </c>
      <c r="K168" s="61">
        <f t="shared" si="131"/>
        <v>2019</v>
      </c>
      <c r="L168" s="61">
        <f t="shared" si="131"/>
        <v>2020</v>
      </c>
      <c r="M168" s="61">
        <f t="shared" si="131"/>
        <v>2021</v>
      </c>
      <c r="N168" s="61">
        <f t="shared" si="131"/>
        <v>2022</v>
      </c>
      <c r="O168" s="61">
        <f t="shared" si="131"/>
        <v>2023</v>
      </c>
      <c r="P168" s="61">
        <f t="shared" si="131"/>
        <v>2024</v>
      </c>
      <c r="Q168" s="61">
        <f t="shared" si="131"/>
        <v>2025</v>
      </c>
      <c r="R168" s="32">
        <f t="shared" si="131"/>
        <v>2026</v>
      </c>
      <c r="S168" s="32">
        <f t="shared" si="131"/>
        <v>2027</v>
      </c>
      <c r="T168" s="32">
        <f t="shared" si="131"/>
        <v>2028</v>
      </c>
      <c r="U168" s="32">
        <f t="shared" si="131"/>
        <v>2029</v>
      </c>
      <c r="V168" s="32">
        <f t="shared" si="131"/>
        <v>2030</v>
      </c>
      <c r="W168" s="32">
        <f t="shared" si="131"/>
        <v>2031</v>
      </c>
      <c r="X168" s="32">
        <f t="shared" si="131"/>
        <v>2032</v>
      </c>
      <c r="Y168" s="32">
        <f t="shared" si="131"/>
        <v>2033</v>
      </c>
      <c r="Z168" s="32">
        <f t="shared" si="131"/>
        <v>2034</v>
      </c>
      <c r="AA168" s="32">
        <f t="shared" si="131"/>
        <v>2035</v>
      </c>
      <c r="AB168" s="32">
        <f t="shared" si="131"/>
        <v>2036</v>
      </c>
      <c r="AC168" s="32">
        <f t="shared" si="131"/>
        <v>2037</v>
      </c>
      <c r="AD168" s="32">
        <f t="shared" si="131"/>
        <v>2038</v>
      </c>
      <c r="AE168" s="32">
        <f t="shared" si="131"/>
        <v>2039</v>
      </c>
      <c r="AF168" s="32">
        <f t="shared" si="131"/>
        <v>2040</v>
      </c>
      <c r="AG168" s="32">
        <f t="shared" si="131"/>
        <v>2041</v>
      </c>
      <c r="AH168" s="32">
        <f t="shared" si="131"/>
        <v>2042</v>
      </c>
      <c r="AI168" s="32">
        <f t="shared" si="131"/>
        <v>2043</v>
      </c>
      <c r="AJ168" s="32">
        <f t="shared" si="131"/>
        <v>2044</v>
      </c>
      <c r="AK168" s="32">
        <f t="shared" si="131"/>
        <v>2045</v>
      </c>
      <c r="AL168" s="32">
        <f t="shared" si="131"/>
        <v>2046</v>
      </c>
      <c r="AM168" s="32">
        <f t="shared" si="131"/>
        <v>2047</v>
      </c>
      <c r="AN168" s="32">
        <f t="shared" si="131"/>
        <v>2048</v>
      </c>
      <c r="AO168" s="32">
        <f t="shared" si="131"/>
        <v>2049</v>
      </c>
      <c r="AP168" s="32">
        <f>AP2</f>
        <v>2050</v>
      </c>
    </row>
    <row r="169" spans="1:43" x14ac:dyDescent="0.2">
      <c r="A169" s="32" t="s">
        <v>58</v>
      </c>
      <c r="B169" s="35">
        <f>B15+'Renewable Diesel'!B61</f>
        <v>222568405</v>
      </c>
      <c r="C169" s="35">
        <f>C15+'Renewable Diesel'!C61</f>
        <v>1096740548</v>
      </c>
      <c r="D169" s="35">
        <f>D15+'Renewable Diesel'!D61</f>
        <v>1069121623</v>
      </c>
      <c r="E169" s="35">
        <f>E15+'Renewable Diesel'!E61</f>
        <v>1492375035</v>
      </c>
      <c r="F169" s="35">
        <f>F15+'Renewable Diesel'!F61</f>
        <v>1466334270</v>
      </c>
      <c r="G169" s="35">
        <f>G15+'Renewable Diesel'!G61</f>
        <v>1431110939</v>
      </c>
      <c r="H169" s="35">
        <f>H15+'Renewable Diesel'!H61</f>
        <v>1874571420</v>
      </c>
      <c r="I169" s="35">
        <f>I15+'Renewable Diesel'!I61</f>
        <v>1846593882</v>
      </c>
      <c r="J169" s="35">
        <f>J15+'Renewable Diesel'!J61</f>
        <v>2160607288</v>
      </c>
      <c r="K169" s="35">
        <f>K15+'Renewable Diesel'!K61</f>
        <v>2205912785</v>
      </c>
      <c r="L169" s="35">
        <f>L15+'Renewable Diesel'!L61</f>
        <v>2358384005</v>
      </c>
      <c r="M169" s="35">
        <f>M15+'Renewable Diesel'!M61</f>
        <v>2550064262</v>
      </c>
      <c r="N169" s="35">
        <f>N15+'Renewable Diesel'!N61</f>
        <v>3075547791</v>
      </c>
      <c r="O169" s="35">
        <f>O15+'Renewable Diesel'!O61</f>
        <v>4097567341</v>
      </c>
      <c r="P169" s="35">
        <f>P15+'Renewable Diesel'!P61</f>
        <v>4806716228</v>
      </c>
      <c r="Q169" s="35">
        <f>Q15+'Renewable Diesel'!Q61</f>
        <v>4134838813.6789246</v>
      </c>
      <c r="R169" s="35">
        <f>R15+'Renewable Diesel'!R61</f>
        <v>4149885828.4091358</v>
      </c>
      <c r="S169" s="35">
        <f>S15+'Renewable Diesel'!S61</f>
        <v>4436504825.539032</v>
      </c>
      <c r="T169" s="35">
        <f>T15+'Renewable Diesel'!T61</f>
        <v>4195224321.0358438</v>
      </c>
      <c r="U169" s="35">
        <f>U15+'Renewable Diesel'!U61</f>
        <v>4398430866.9634418</v>
      </c>
      <c r="V169" s="35">
        <f>V15+'Renewable Diesel'!V61</f>
        <v>4560704474.3960896</v>
      </c>
      <c r="W169" s="35">
        <f>W15+'Renewable Diesel'!W61</f>
        <v>4821481218.4639292</v>
      </c>
      <c r="X169" s="35">
        <f>X15+'Renewable Diesel'!X61</f>
        <v>5544368270.9511833</v>
      </c>
      <c r="Y169" s="35">
        <f>Y15+'Renewable Diesel'!Y61</f>
        <v>5436229608.0161152</v>
      </c>
      <c r="Z169" s="35">
        <f>Z15+'Renewable Diesel'!Z61</f>
        <v>5292219646.5989771</v>
      </c>
      <c r="AA169" s="35">
        <f>AA15+'Renewable Diesel'!AA61</f>
        <v>5476026745.2581501</v>
      </c>
      <c r="AB169" s="35">
        <f>AB15+'Renewable Diesel'!AB61</f>
        <v>5608825886.163991</v>
      </c>
      <c r="AC169" s="35">
        <f>AC15+'Renewable Diesel'!AC61</f>
        <v>6035121453.7344971</v>
      </c>
      <c r="AD169" s="35">
        <f>AD15+'Renewable Diesel'!AD61</f>
        <v>6552217121.9880123</v>
      </c>
      <c r="AE169" s="35">
        <f>AE15+'Renewable Diesel'!AE61</f>
        <v>6428980432.1220226</v>
      </c>
      <c r="AF169" s="35">
        <f>AF15+'Renewable Diesel'!AF61</f>
        <v>5457493968.8489733</v>
      </c>
      <c r="AG169" s="35">
        <f>AG15+'Renewable Diesel'!AG61</f>
        <v>5793770750.1324711</v>
      </c>
      <c r="AH169" s="35">
        <f>AH15+'Renewable Diesel'!AH61</f>
        <v>6078591401.658617</v>
      </c>
      <c r="AI169" s="35">
        <f>AI15+'Renewable Diesel'!AS61</f>
        <v>369022083.29888958</v>
      </c>
      <c r="AJ169" s="35">
        <f>AJ15+'Renewable Diesel'!AT61</f>
        <v>372888666.20494199</v>
      </c>
      <c r="AK169" s="35">
        <f>AK15+'Renewable Diesel'!AU61</f>
        <v>1346254512.6733203</v>
      </c>
      <c r="AL169" s="35">
        <f>AL15+'Renewable Diesel'!AV61</f>
        <v>373167204.47525615</v>
      </c>
      <c r="AM169" s="35">
        <f>AM15+'Renewable Diesel'!AW61</f>
        <v>373395520.93563485</v>
      </c>
      <c r="AN169" s="35">
        <f>AN15+'Renewable Diesel'!AX61</f>
        <v>453490439.17844331</v>
      </c>
      <c r="AO169" s="35">
        <f>AO15+'Renewable Diesel'!AY61</f>
        <v>2739281999.0804114</v>
      </c>
      <c r="AP169" s="35">
        <f>AP15+'Renewable Diesel'!AZ61</f>
        <v>394494911.41562796</v>
      </c>
      <c r="AQ169" s="35">
        <f>AQ15+'Renewable Diesel'!AG61</f>
        <v>5326224514.5088329</v>
      </c>
    </row>
    <row r="170" spans="1:43" x14ac:dyDescent="0.2">
      <c r="A170" s="32" t="s">
        <v>118</v>
      </c>
      <c r="B170" s="70">
        <f>B165/B169</f>
        <v>5.6115404160801713E-2</v>
      </c>
      <c r="C170" s="70">
        <f t="shared" ref="C170:AQ170" si="132">C165/C169</f>
        <v>4.0539745777685973E-2</v>
      </c>
      <c r="D170" s="70">
        <f t="shared" si="132"/>
        <v>8.4652393191751954E-2</v>
      </c>
      <c r="E170" s="70">
        <f t="shared" si="132"/>
        <v>0.26432234307645064</v>
      </c>
      <c r="F170" s="70">
        <f t="shared" si="132"/>
        <v>0.28458655065055527</v>
      </c>
      <c r="G170" s="70">
        <f t="shared" si="132"/>
        <v>0.38171507680719363</v>
      </c>
      <c r="H170" s="70">
        <f t="shared" si="132"/>
        <v>0.46239181273765501</v>
      </c>
      <c r="I170" s="70">
        <f t="shared" si="132"/>
        <v>0.41880138591296384</v>
      </c>
      <c r="J170" s="70">
        <f t="shared" si="132"/>
        <v>0.21855028658960998</v>
      </c>
      <c r="K170" s="70">
        <f t="shared" si="132"/>
        <v>0.25906090525695918</v>
      </c>
      <c r="L170" s="70">
        <f t="shared" si="132"/>
        <v>0.26533913504895906</v>
      </c>
      <c r="M170" s="70">
        <f t="shared" si="132"/>
        <v>0.25561509124039478</v>
      </c>
      <c r="N170" s="70">
        <f t="shared" si="132"/>
        <v>0.21227550581736351</v>
      </c>
      <c r="O170" s="70">
        <f t="shared" si="132"/>
        <v>0.24055449733242101</v>
      </c>
      <c r="P170" s="70">
        <f t="shared" si="132"/>
        <v>0.14813344770641201</v>
      </c>
      <c r="Q170" s="70">
        <f t="shared" si="132"/>
        <v>0.13315651614485238</v>
      </c>
      <c r="R170" s="70">
        <f t="shared" si="132"/>
        <v>0.11175110913901477</v>
      </c>
      <c r="S170" s="70">
        <f t="shared" si="132"/>
        <v>0.1020389906698676</v>
      </c>
      <c r="T170" s="70">
        <f t="shared" si="132"/>
        <v>0.10765541251522061</v>
      </c>
      <c r="U170" s="70">
        <f t="shared" si="132"/>
        <v>9.7894169142019802E-2</v>
      </c>
      <c r="V170" s="70">
        <f t="shared" si="132"/>
        <v>9.1986417444982913E-2</v>
      </c>
      <c r="W170" s="70">
        <f t="shared" si="132"/>
        <v>8.2863097152597376E-2</v>
      </c>
      <c r="X170" s="70">
        <f t="shared" si="132"/>
        <v>6.4653893731792492E-2</v>
      </c>
      <c r="Y170" s="70">
        <f t="shared" si="132"/>
        <v>6.2551046270853533E-2</v>
      </c>
      <c r="Z170" s="70">
        <f t="shared" si="132"/>
        <v>6.1716769958688356E-2</v>
      </c>
      <c r="AA170" s="70">
        <f t="shared" si="132"/>
        <v>5.6905986401516319E-2</v>
      </c>
      <c r="AB170" s="70">
        <f t="shared" si="132"/>
        <v>3.4441370047077251E-2</v>
      </c>
      <c r="AC170" s="70">
        <f t="shared" si="132"/>
        <v>2.5205421202562615E-2</v>
      </c>
      <c r="AD170" s="70">
        <f t="shared" si="132"/>
        <v>2.0163828028017805E-2</v>
      </c>
      <c r="AE170" s="70">
        <f t="shared" si="132"/>
        <v>1.8217162345809591E-2</v>
      </c>
      <c r="AF170" s="70">
        <f t="shared" si="132"/>
        <v>2.1459992794953291E-2</v>
      </c>
      <c r="AG170" s="70">
        <f t="shared" si="132"/>
        <v>2.0214431550872491E-2</v>
      </c>
      <c r="AH170" s="70">
        <f t="shared" si="132"/>
        <v>2.1222937461557824E-2</v>
      </c>
      <c r="AI170" s="70">
        <f t="shared" si="132"/>
        <v>0.23802179633509762</v>
      </c>
      <c r="AJ170" s="70">
        <f t="shared" si="132"/>
        <v>0.23641319168814437</v>
      </c>
      <c r="AK170" s="70">
        <f t="shared" si="132"/>
        <v>0.11374426902458636</v>
      </c>
      <c r="AL170" s="70">
        <f t="shared" si="132"/>
        <v>0.26474839466239097</v>
      </c>
      <c r="AM170" s="70">
        <f t="shared" si="132"/>
        <v>0.23526632393024369</v>
      </c>
      <c r="AN170" s="70">
        <f t="shared" si="132"/>
        <v>0.35820995819751561</v>
      </c>
      <c r="AO170" s="70">
        <f t="shared" si="132"/>
        <v>0.18087528913790912</v>
      </c>
      <c r="AP170" s="70" t="e">
        <f>AP165/AP169</f>
        <v>#VALUE!</v>
      </c>
      <c r="AQ170" s="70">
        <f t="shared" si="132"/>
        <v>1.673646919260979E-3</v>
      </c>
    </row>
    <row r="173" spans="1:43" x14ac:dyDescent="0.2">
      <c r="A173" s="32" t="s">
        <v>119</v>
      </c>
    </row>
    <row r="174" spans="1:43" s="61" customFormat="1" x14ac:dyDescent="0.2">
      <c r="A174" s="32" t="s">
        <v>120</v>
      </c>
      <c r="B174" s="61">
        <f>B168</f>
        <v>2010</v>
      </c>
      <c r="C174" s="61">
        <f t="shared" ref="C174:AO174" si="133">C168</f>
        <v>2011</v>
      </c>
      <c r="D174" s="61">
        <f t="shared" si="133"/>
        <v>2012</v>
      </c>
      <c r="E174" s="61">
        <f t="shared" si="133"/>
        <v>2013</v>
      </c>
      <c r="F174" s="61">
        <f t="shared" si="133"/>
        <v>2014</v>
      </c>
      <c r="G174" s="61">
        <f t="shared" si="133"/>
        <v>2015</v>
      </c>
      <c r="H174" s="61">
        <f t="shared" si="133"/>
        <v>2016</v>
      </c>
      <c r="I174" s="61">
        <f t="shared" si="133"/>
        <v>2017</v>
      </c>
      <c r="J174" s="61">
        <f t="shared" si="133"/>
        <v>2018</v>
      </c>
      <c r="K174" s="61">
        <f t="shared" si="133"/>
        <v>2019</v>
      </c>
      <c r="L174" s="61">
        <f t="shared" si="133"/>
        <v>2020</v>
      </c>
      <c r="M174" s="61">
        <f t="shared" si="133"/>
        <v>2021</v>
      </c>
      <c r="N174" s="61">
        <f t="shared" si="133"/>
        <v>2022</v>
      </c>
      <c r="O174" s="61">
        <f t="shared" si="133"/>
        <v>2023</v>
      </c>
      <c r="P174" s="61">
        <f t="shared" si="133"/>
        <v>2024</v>
      </c>
      <c r="Q174" s="61">
        <f t="shared" si="133"/>
        <v>2025</v>
      </c>
      <c r="R174" s="32">
        <f t="shared" si="133"/>
        <v>2026</v>
      </c>
      <c r="S174" s="32">
        <f t="shared" si="133"/>
        <v>2027</v>
      </c>
      <c r="T174" s="32">
        <f t="shared" si="133"/>
        <v>2028</v>
      </c>
      <c r="U174" s="32">
        <f t="shared" si="133"/>
        <v>2029</v>
      </c>
      <c r="V174" s="32">
        <f t="shared" si="133"/>
        <v>2030</v>
      </c>
      <c r="W174" s="32">
        <f t="shared" si="133"/>
        <v>2031</v>
      </c>
      <c r="X174" s="32">
        <f t="shared" si="133"/>
        <v>2032</v>
      </c>
      <c r="Y174" s="32">
        <f t="shared" si="133"/>
        <v>2033</v>
      </c>
      <c r="Z174" s="32">
        <f t="shared" si="133"/>
        <v>2034</v>
      </c>
      <c r="AA174" s="32">
        <f t="shared" si="133"/>
        <v>2035</v>
      </c>
      <c r="AB174" s="32">
        <f t="shared" si="133"/>
        <v>2036</v>
      </c>
      <c r="AC174" s="32">
        <f t="shared" si="133"/>
        <v>2037</v>
      </c>
      <c r="AD174" s="32">
        <f t="shared" si="133"/>
        <v>2038</v>
      </c>
      <c r="AE174" s="32">
        <f t="shared" si="133"/>
        <v>2039</v>
      </c>
      <c r="AF174" s="32">
        <f t="shared" si="133"/>
        <v>2040</v>
      </c>
      <c r="AG174" s="32">
        <f t="shared" si="133"/>
        <v>2041</v>
      </c>
      <c r="AH174" s="32">
        <f t="shared" si="133"/>
        <v>2042</v>
      </c>
      <c r="AI174" s="32">
        <f t="shared" si="133"/>
        <v>2043</v>
      </c>
      <c r="AJ174" s="32">
        <f t="shared" si="133"/>
        <v>2044</v>
      </c>
      <c r="AK174" s="32">
        <f t="shared" si="133"/>
        <v>2045</v>
      </c>
      <c r="AL174" s="32">
        <f t="shared" si="133"/>
        <v>2046</v>
      </c>
      <c r="AM174" s="32">
        <f t="shared" si="133"/>
        <v>2047</v>
      </c>
      <c r="AN174" s="32">
        <f t="shared" si="133"/>
        <v>2048</v>
      </c>
      <c r="AO174" s="32">
        <f t="shared" si="133"/>
        <v>2049</v>
      </c>
      <c r="AP174" s="32">
        <f>AP168</f>
        <v>2050</v>
      </c>
    </row>
    <row r="175" spans="1:43" x14ac:dyDescent="0.2">
      <c r="A175" s="32" t="s">
        <v>70</v>
      </c>
      <c r="B175" s="35">
        <f>B35+'Renewable Diesel'!B3</f>
        <v>485714</v>
      </c>
      <c r="C175" s="35">
        <f>C35+'Renewable Diesel'!C3</f>
        <v>39941906</v>
      </c>
      <c r="D175" s="35">
        <f>D35+'Renewable Diesel'!D3</f>
        <v>65373475</v>
      </c>
      <c r="E175" s="35">
        <f>E35+'Renewable Diesel'!E3</f>
        <v>80422262</v>
      </c>
      <c r="F175" s="35">
        <f>F35+'Renewable Diesel'!F3</f>
        <v>88029224</v>
      </c>
      <c r="G175" s="35">
        <f>G35+'Renewable Diesel'!G3</f>
        <v>91910487</v>
      </c>
      <c r="H175" s="35">
        <f>H35+'Renewable Diesel'!H3</f>
        <v>126040734</v>
      </c>
      <c r="I175" s="35">
        <f>I35+'Renewable Diesel'!I3</f>
        <v>126127462</v>
      </c>
      <c r="J175" s="35">
        <f>J35+'Renewable Diesel'!J3</f>
        <v>150570091</v>
      </c>
      <c r="K175" s="35">
        <f>K35+'Renewable Diesel'!K3</f>
        <v>172259037</v>
      </c>
      <c r="L175" s="35">
        <f>L35+'Renewable Diesel'!L3</f>
        <v>196255114</v>
      </c>
      <c r="M175" s="35">
        <f>M35+'Renewable Diesel'!M3</f>
        <v>198839917</v>
      </c>
      <c r="N175" s="35">
        <f>N35+'Renewable Diesel'!N3</f>
        <v>225108458</v>
      </c>
      <c r="O175" s="35">
        <f>O35+'Renewable Diesel'!O3</f>
        <v>330308295</v>
      </c>
      <c r="P175" s="35">
        <f>P35+'Renewable Diesel'!P3</f>
        <v>415473629</v>
      </c>
      <c r="Q175" s="36">
        <f>Q35+'Renewable Diesel'!Q3</f>
        <v>286138440</v>
      </c>
      <c r="R175" s="36">
        <f>R35+'Renewable Diesel'!R3</f>
        <v>301222968.61704189</v>
      </c>
      <c r="S175" s="36">
        <f>S35+'Renewable Diesel'!S3</f>
        <v>309767288.84081566</v>
      </c>
      <c r="T175" s="36">
        <f>T35+'Renewable Diesel'!T3</f>
        <v>295298622.13071114</v>
      </c>
      <c r="U175" s="36">
        <f>U35+'Renewable Diesel'!U3</f>
        <v>303840872.7388196</v>
      </c>
      <c r="V175" s="36">
        <f>V35+'Renewable Diesel'!V3</f>
        <v>305452027.68558836</v>
      </c>
      <c r="W175" s="36">
        <f>W35+'Renewable Diesel'!W3</f>
        <v>330666613.86812091</v>
      </c>
      <c r="X175" s="36">
        <f>X35+'Renewable Diesel'!X3</f>
        <v>372575781.22731483</v>
      </c>
      <c r="Y175" s="36">
        <f>Y35+'Renewable Diesel'!Y3</f>
        <v>384443313.7506634</v>
      </c>
      <c r="Z175" s="36">
        <f>Z35+'Renewable Diesel'!Z3</f>
        <v>364778237.19249594</v>
      </c>
      <c r="AA175" s="36">
        <f>AA35+'Renewable Diesel'!AA3</f>
        <v>376610155.40009034</v>
      </c>
      <c r="AB175" s="36">
        <f>AB35+'Renewable Diesel'!AB3</f>
        <v>374574071.84983879</v>
      </c>
      <c r="AC175" s="36">
        <f>AC35+'Renewable Diesel'!AC3</f>
        <v>399796072.57793838</v>
      </c>
      <c r="AD175" s="36">
        <f>AD35+'Renewable Diesel'!AD3</f>
        <v>433376501.34425163</v>
      </c>
      <c r="AE175" s="36">
        <f>AE35+'Renewable Diesel'!AE3</f>
        <v>422870092.04495454</v>
      </c>
      <c r="AF175" s="36">
        <f>AF35+'Renewable Diesel'!AF3</f>
        <v>359189703.74304152</v>
      </c>
      <c r="AG175" s="36">
        <f>AG35+'Renewable Diesel'!AG3</f>
        <v>380926115.64450622</v>
      </c>
      <c r="AH175" s="36">
        <f>AH35+'Renewable Diesel'!AH3</f>
        <v>400106677.07041132</v>
      </c>
      <c r="AI175" s="36">
        <f>AI35+'Renewable Diesel'!AS3</f>
        <v>29516971.664250392</v>
      </c>
      <c r="AJ175" s="36">
        <f>AJ35+'Renewable Diesel'!AT3</f>
        <v>29658142.921112671</v>
      </c>
      <c r="AK175" s="36">
        <f>AK35+'Renewable Diesel'!AU3</f>
        <v>98034450.572978973</v>
      </c>
      <c r="AL175" s="36">
        <f>AL35+'Renewable Diesel'!AV3</f>
        <v>-39302817.074966289</v>
      </c>
      <c r="AM175" s="36">
        <f>AM35+'Renewable Diesel'!AW3</f>
        <v>29736330.466199499</v>
      </c>
      <c r="AN175" s="36">
        <f>AN35+'Renewable Diesel'!AX3</f>
        <v>35360003.118238717</v>
      </c>
      <c r="AO175" s="36">
        <f>AO35+'Renewable Diesel'!AY3</f>
        <v>279832923.18106061</v>
      </c>
      <c r="AP175" s="36">
        <f>AP35+'Renewable Diesel'!AZ3</f>
        <v>31185608.081723712</v>
      </c>
      <c r="AQ175" s="36">
        <f>AQ35+'Renewable Diesel'!AG3</f>
        <v>345602230.92098677</v>
      </c>
    </row>
    <row r="176" spans="1:43" x14ac:dyDescent="0.2">
      <c r="A176" s="32" t="s">
        <v>71</v>
      </c>
      <c r="B176" s="35">
        <f>B36+'Renewable Diesel'!B4</f>
        <v>538632</v>
      </c>
      <c r="C176" s="35">
        <f>C36+'Renewable Diesel'!C4</f>
        <v>43834085</v>
      </c>
      <c r="D176" s="35">
        <f>D36+'Renewable Diesel'!D4</f>
        <v>79809075</v>
      </c>
      <c r="E176" s="35">
        <f>E36+'Renewable Diesel'!E4</f>
        <v>81283694</v>
      </c>
      <c r="F176" s="35">
        <f>F36+'Renewable Diesel'!F4</f>
        <v>104863663</v>
      </c>
      <c r="G176" s="35">
        <f>G36+'Renewable Diesel'!G4</f>
        <v>89601365</v>
      </c>
      <c r="H176" s="35">
        <f>H36+'Renewable Diesel'!H4</f>
        <v>134066113</v>
      </c>
      <c r="I176" s="35">
        <f>I36+'Renewable Diesel'!I4</f>
        <v>139195749</v>
      </c>
      <c r="J176" s="35">
        <f>J36+'Renewable Diesel'!J4</f>
        <v>161055809</v>
      </c>
      <c r="K176" s="35">
        <f>K36+'Renewable Diesel'!K4</f>
        <v>189645617</v>
      </c>
      <c r="L176" s="35">
        <f>L36+'Renewable Diesel'!L4</f>
        <v>205172318</v>
      </c>
      <c r="M176" s="35">
        <f>M36+'Renewable Diesel'!M4</f>
        <v>198398036</v>
      </c>
      <c r="N176" s="35">
        <f>N36+'Renewable Diesel'!N4</f>
        <v>248857920</v>
      </c>
      <c r="O176" s="35">
        <f>O36+'Renewable Diesel'!O4</f>
        <v>324096863</v>
      </c>
      <c r="P176" s="35">
        <f>P36+'Renewable Diesel'!P4</f>
        <v>464042315</v>
      </c>
      <c r="Q176" s="36">
        <f>Q36+'Renewable Diesel'!Q4</f>
        <v>266233801</v>
      </c>
      <c r="R176" s="36">
        <f>R36+'Renewable Diesel'!R4</f>
        <v>329125370.5852614</v>
      </c>
      <c r="S176" s="36">
        <f>S36+'Renewable Diesel'!S4</f>
        <v>341594250.38716805</v>
      </c>
      <c r="T176" s="36">
        <f>T36+'Renewable Diesel'!T4</f>
        <v>326374216.46005285</v>
      </c>
      <c r="U176" s="36">
        <f>U36+'Renewable Diesel'!U4</f>
        <v>338482556.36577833</v>
      </c>
      <c r="V176" s="36">
        <f>V36+'Renewable Diesel'!V4</f>
        <v>336557306.7520892</v>
      </c>
      <c r="W176" s="36">
        <f>W36+'Renewable Diesel'!W4</f>
        <v>363744868.29082012</v>
      </c>
      <c r="X176" s="36">
        <f>X36+'Renewable Diesel'!X4</f>
        <v>409496379.0204435</v>
      </c>
      <c r="Y176" s="36">
        <f>Y36+'Renewable Diesel'!Y4</f>
        <v>400506715.95240706</v>
      </c>
      <c r="Z176" s="36">
        <f>Z36+'Renewable Diesel'!Z4</f>
        <v>388849394.06380022</v>
      </c>
      <c r="AA176" s="36">
        <f>AA36+'Renewable Diesel'!AA4</f>
        <v>400248188.94668627</v>
      </c>
      <c r="AB176" s="36">
        <f>AB36+'Renewable Diesel'!AB4</f>
        <v>402335669.53629977</v>
      </c>
      <c r="AC176" s="36">
        <f>AC36+'Renewable Diesel'!AC4</f>
        <v>429953038.73341632</v>
      </c>
      <c r="AD176" s="36">
        <f>AD36+'Renewable Diesel'!AD4</f>
        <v>464845289.00818074</v>
      </c>
      <c r="AE176" s="36">
        <f>AE36+'Renewable Diesel'!AE4</f>
        <v>455617128.65051031</v>
      </c>
      <c r="AF176" s="36">
        <f>AF36+'Renewable Diesel'!AF4</f>
        <v>388526785.32274151</v>
      </c>
      <c r="AG176" s="36">
        <f>AG36+'Renewable Diesel'!AG4</f>
        <v>412162288.35361016</v>
      </c>
      <c r="AH176" s="36">
        <f>AH36+'Renewable Diesel'!AH4</f>
        <v>432953441.00101918</v>
      </c>
      <c r="AI176" s="36">
        <f>AI36+'Renewable Diesel'!AS4</f>
        <v>29103766.904609133</v>
      </c>
      <c r="AJ176" s="36">
        <f>AJ36+'Renewable Diesel'!AT4</f>
        <v>29355008.711784333</v>
      </c>
      <c r="AK176" s="36">
        <f>AK36+'Renewable Diesel'!AU4</f>
        <v>147186147.01326182</v>
      </c>
      <c r="AL176" s="36">
        <f>AL36+'Renewable Diesel'!AV4</f>
        <v>61229552.33173418</v>
      </c>
      <c r="AM176" s="36">
        <f>AM36+'Renewable Diesel'!AW4</f>
        <v>29393683.996214602</v>
      </c>
      <c r="AN176" s="36">
        <f>AN36+'Renewable Diesel'!AX4</f>
        <v>33726810.991660282</v>
      </c>
      <c r="AO176" s="36">
        <f>AO36+'Renewable Diesel'!AY4</f>
        <v>312564922.2743758</v>
      </c>
      <c r="AP176" s="36">
        <f>AP36+'Renewable Diesel'!AZ4</f>
        <v>30766220.221087627</v>
      </c>
      <c r="AQ176" s="36">
        <f>AQ36+'Renewable Diesel'!AG4</f>
        <v>377345571.57696867</v>
      </c>
    </row>
    <row r="177" spans="1:43" x14ac:dyDescent="0.2">
      <c r="A177" s="32" t="s">
        <v>72</v>
      </c>
      <c r="B177" s="35">
        <f>B37+'Renewable Diesel'!B5</f>
        <v>818835</v>
      </c>
      <c r="C177" s="35">
        <f>C37+'Renewable Diesel'!C5</f>
        <v>71131636</v>
      </c>
      <c r="D177" s="35">
        <f>D37+'Renewable Diesel'!D5</f>
        <v>109073444</v>
      </c>
      <c r="E177" s="35">
        <f>E37+'Renewable Diesel'!E5</f>
        <v>129943504</v>
      </c>
      <c r="F177" s="35">
        <f>F37+'Renewable Diesel'!F5</f>
        <v>141542355</v>
      </c>
      <c r="G177" s="35">
        <f>G37+'Renewable Diesel'!G5</f>
        <v>125311788</v>
      </c>
      <c r="H177" s="35">
        <f>H37+'Renewable Diesel'!H5</f>
        <v>165338630</v>
      </c>
      <c r="I177" s="35">
        <f>I37+'Renewable Diesel'!I5</f>
        <v>184528148</v>
      </c>
      <c r="J177" s="35">
        <f>J37+'Renewable Diesel'!J5</f>
        <v>203258498</v>
      </c>
      <c r="K177" s="35">
        <f>K37+'Renewable Diesel'!K5</f>
        <v>214715065</v>
      </c>
      <c r="L177" s="35">
        <f>L37+'Renewable Diesel'!L5</f>
        <v>241906287</v>
      </c>
      <c r="M177" s="35">
        <f>M37+'Renewable Diesel'!M5</f>
        <v>263038987</v>
      </c>
      <c r="N177" s="35">
        <f>N37+'Renewable Diesel'!N5</f>
        <v>309094064</v>
      </c>
      <c r="O177" s="35">
        <f>O37+'Renewable Diesel'!O5</f>
        <v>395523389</v>
      </c>
      <c r="P177" s="35">
        <f>P37+'Renewable Diesel'!P5</f>
        <v>405256850</v>
      </c>
      <c r="Q177" s="36">
        <f>Q37+'Renewable Diesel'!Q5</f>
        <v>349255605</v>
      </c>
      <c r="R177" s="36">
        <f>R37+'Renewable Diesel'!R5</f>
        <v>352337133.92027736</v>
      </c>
      <c r="S177" s="36">
        <f>S37+'Renewable Diesel'!S5</f>
        <v>368983353.55151904</v>
      </c>
      <c r="T177" s="36">
        <f>T37+'Renewable Diesel'!T5</f>
        <v>346784212.90836781</v>
      </c>
      <c r="U177" s="36">
        <f>U37+'Renewable Diesel'!U5</f>
        <v>356362016.45791936</v>
      </c>
      <c r="V177" s="36">
        <f>V37+'Renewable Diesel'!V5</f>
        <v>363693306.73440212</v>
      </c>
      <c r="W177" s="36">
        <f>W37+'Renewable Diesel'!W5</f>
        <v>389634054.00664681</v>
      </c>
      <c r="X177" s="36">
        <f>X37+'Renewable Diesel'!X5</f>
        <v>439363134.14685208</v>
      </c>
      <c r="Y177" s="36">
        <f>Y37+'Renewable Diesel'!Y5</f>
        <v>429120553.25502962</v>
      </c>
      <c r="Z177" s="36">
        <f>Z37+'Renewable Diesel'!Z5</f>
        <v>417081368.55454159</v>
      </c>
      <c r="AA177" s="36">
        <f>AA37+'Renewable Diesel'!AA5</f>
        <v>430186223.90488172</v>
      </c>
      <c r="AB177" s="36">
        <f>AB37+'Renewable Diesel'!AB5</f>
        <v>432170291.70119226</v>
      </c>
      <c r="AC177" s="36">
        <f>AC37+'Renewable Diesel'!AC5</f>
        <v>461032080.49249017</v>
      </c>
      <c r="AD177" s="36">
        <f>AD37+'Renewable Diesel'!AD5</f>
        <v>498445113.14850551</v>
      </c>
      <c r="AE177" s="36">
        <f>AE37+'Renewable Diesel'!AE5</f>
        <v>488672974.97697359</v>
      </c>
      <c r="AF177" s="36">
        <f>AF37+'Renewable Diesel'!AF5</f>
        <v>416495908.07760215</v>
      </c>
      <c r="AG177" s="36">
        <f>AG37+'Renewable Diesel'!AG5</f>
        <v>441590032.74609375</v>
      </c>
      <c r="AH177" s="36">
        <f>AH37+'Renewable Diesel'!AH5</f>
        <v>463750724.34701908</v>
      </c>
      <c r="AI177" s="36">
        <f>AI37+'Renewable Diesel'!AS5</f>
        <v>31726496.809763901</v>
      </c>
      <c r="AJ177" s="36">
        <f>AJ37+'Renewable Diesel'!AT5</f>
        <v>32019368.27225481</v>
      </c>
      <c r="AK177" s="36">
        <f>AK37+'Renewable Diesel'!AU5</f>
        <v>54168832.526573427</v>
      </c>
      <c r="AL177" s="36">
        <f>AL37+'Renewable Diesel'!AV5</f>
        <v>-12360907.70783215</v>
      </c>
      <c r="AM177" s="36">
        <f>AM37+'Renewable Diesel'!AW5</f>
        <v>32060299.383967206</v>
      </c>
      <c r="AN177" s="36">
        <f>AN37+'Renewable Diesel'!AX5</f>
        <v>37801381.335717149</v>
      </c>
      <c r="AO177" s="36">
        <f>AO37+'Renewable Diesel'!AY5</f>
        <v>269590770.36641127</v>
      </c>
      <c r="AP177" s="36">
        <f>AP37+'Renewable Diesel'!AZ5</f>
        <v>33631940.378426209</v>
      </c>
      <c r="AQ177" s="36">
        <f>AQ37+'Renewable Diesel'!AG5</f>
        <v>403330136.45739669</v>
      </c>
    </row>
    <row r="178" spans="1:43" x14ac:dyDescent="0.2">
      <c r="A178" s="32" t="s">
        <v>73</v>
      </c>
      <c r="B178" s="35">
        <f>B38+'Renewable Diesel'!B6</f>
        <v>522149</v>
      </c>
      <c r="C178" s="35">
        <f>C38+'Renewable Diesel'!C6</f>
        <v>74605060</v>
      </c>
      <c r="D178" s="35">
        <f>D38+'Renewable Diesel'!D6</f>
        <v>99440570</v>
      </c>
      <c r="E178" s="35">
        <f>E38+'Renewable Diesel'!E6</f>
        <v>126012487</v>
      </c>
      <c r="F178" s="35">
        <f>F38+'Renewable Diesel'!F6</f>
        <v>159442959</v>
      </c>
      <c r="G178" s="35">
        <f>G38+'Renewable Diesel'!G6</f>
        <v>165344172</v>
      </c>
      <c r="H178" s="35">
        <f>H38+'Renewable Diesel'!H6</f>
        <v>213111412</v>
      </c>
      <c r="I178" s="35">
        <f>I38+'Renewable Diesel'!I6</f>
        <v>193292619</v>
      </c>
      <c r="J178" s="35">
        <f>J38+'Renewable Diesel'!J6</f>
        <v>220871558</v>
      </c>
      <c r="K178" s="35">
        <f>K38+'Renewable Diesel'!K6</f>
        <v>256746717</v>
      </c>
      <c r="L178" s="35">
        <f>L38+'Renewable Diesel'!L6</f>
        <v>240969839</v>
      </c>
      <c r="M178" s="35">
        <f>M38+'Renewable Diesel'!M6</f>
        <v>252597786</v>
      </c>
      <c r="N178" s="35">
        <f>N38+'Renewable Diesel'!N6</f>
        <v>322080152</v>
      </c>
      <c r="O178" s="35">
        <f>O38+'Renewable Diesel'!O6</f>
        <v>388270796</v>
      </c>
      <c r="P178" s="35">
        <f>P38+'Renewable Diesel'!P6</f>
        <v>495081743</v>
      </c>
      <c r="Q178" s="36">
        <f>Q38+'Renewable Diesel'!Q6</f>
        <v>384387684.51693928</v>
      </c>
      <c r="R178" s="36">
        <f>R38+'Renewable Diesel'!R6</f>
        <v>359561606.79803133</v>
      </c>
      <c r="S178" s="36">
        <f>S38+'Renewable Diesel'!S6</f>
        <v>379397889.78108078</v>
      </c>
      <c r="T178" s="36">
        <f>T38+'Renewable Diesel'!T6</f>
        <v>355412866.07704228</v>
      </c>
      <c r="U178" s="36">
        <f>U38+'Renewable Diesel'!U6</f>
        <v>372793547.76370507</v>
      </c>
      <c r="V178" s="36">
        <f>V38+'Renewable Diesel'!V6</f>
        <v>382988321.4353497</v>
      </c>
      <c r="W178" s="36">
        <f>W38+'Renewable Diesel'!W6</f>
        <v>399899862.38840115</v>
      </c>
      <c r="X178" s="36">
        <f>X38+'Renewable Diesel'!X6</f>
        <v>448740897.80676013</v>
      </c>
      <c r="Y178" s="36">
        <f>Y38+'Renewable Diesel'!Y6</f>
        <v>437962685.24836612</v>
      </c>
      <c r="Z178" s="36">
        <f>Z38+'Renewable Diesel'!Z6</f>
        <v>426239382.99393106</v>
      </c>
      <c r="AA178" s="36">
        <f>AA38+'Renewable Diesel'!AA6</f>
        <v>437302123.22717512</v>
      </c>
      <c r="AB178" s="36">
        <f>AB38+'Renewable Diesel'!AB6</f>
        <v>433635948.12973219</v>
      </c>
      <c r="AC178" s="36">
        <f>AC38+'Renewable Diesel'!AC6</f>
        <v>458223509.39600337</v>
      </c>
      <c r="AD178" s="36">
        <f>AD38+'Renewable Diesel'!AD6</f>
        <v>493237645.63943553</v>
      </c>
      <c r="AE178" s="36">
        <f>AE38+'Renewable Diesel'!AE6</f>
        <v>481210856.11780298</v>
      </c>
      <c r="AF178" s="36">
        <f>AF38+'Renewable Diesel'!AF6</f>
        <v>408034789.41465825</v>
      </c>
      <c r="AG178" s="36">
        <f>AG38+'Renewable Diesel'!AG6</f>
        <v>432795079.3533181</v>
      </c>
      <c r="AH178" s="36">
        <f>AH38+'Renewable Diesel'!AH6</f>
        <v>454044157.98314357</v>
      </c>
      <c r="AI178" s="36">
        <f>AI38+'Renewable Diesel'!AS6</f>
        <v>39103574.11569266</v>
      </c>
      <c r="AJ178" s="36">
        <f>AJ38+'Renewable Diesel'!AT6</f>
        <v>39453010.260670833</v>
      </c>
      <c r="AK178" s="36">
        <f>AK38+'Renewable Diesel'!AU6</f>
        <v>130768760.91319051</v>
      </c>
      <c r="AL178" s="36">
        <f>AL38+'Renewable Diesel'!AV6</f>
        <v>108260274.26061484</v>
      </c>
      <c r="AM178" s="36">
        <f>AM38+'Renewable Diesel'!AW6</f>
        <v>39467348.492603973</v>
      </c>
      <c r="AN178" s="36">
        <f>AN38+'Renewable Diesel'!AX6</f>
        <v>43940876.372026742</v>
      </c>
      <c r="AO178" s="36">
        <f>AO38+'Renewable Diesel'!AY6</f>
        <v>347344355.9788267</v>
      </c>
      <c r="AP178" s="36">
        <f>AP38+'Renewable Diesel'!AZ6</f>
        <v>41312508.625971839</v>
      </c>
      <c r="AQ178" s="36">
        <f>AQ38+'Renewable Diesel'!AG6</f>
        <v>386582557.02300364</v>
      </c>
    </row>
    <row r="179" spans="1:43" x14ac:dyDescent="0.2">
      <c r="A179" s="32" t="s">
        <v>10</v>
      </c>
      <c r="B179" s="35">
        <f>B39+'Renewable Diesel'!B7</f>
        <v>485714</v>
      </c>
      <c r="C179" s="35">
        <f>C39+'Renewable Diesel'!C7</f>
        <v>87562118</v>
      </c>
      <c r="D179" s="35">
        <f>D39+'Renewable Diesel'!D7</f>
        <v>122172583</v>
      </c>
      <c r="E179" s="35">
        <f>E39+'Renewable Diesel'!E7</f>
        <v>142051683</v>
      </c>
      <c r="F179" s="35">
        <f>F39+'Renewable Diesel'!F7</f>
        <v>167318212</v>
      </c>
      <c r="G179" s="35">
        <f>G39+'Renewable Diesel'!G7</f>
        <v>187709387</v>
      </c>
      <c r="H179" s="35">
        <f>H39+'Renewable Diesel'!H7</f>
        <v>217952963</v>
      </c>
      <c r="I179" s="35">
        <f>I39+'Renewable Diesel'!I7</f>
        <v>245688053</v>
      </c>
      <c r="J179" s="35">
        <f>J39+'Renewable Diesel'!J7</f>
        <v>243896758</v>
      </c>
      <c r="K179" s="35">
        <f>K39+'Renewable Diesel'!K7</f>
        <v>261840579</v>
      </c>
      <c r="L179" s="35">
        <f>L39+'Renewable Diesel'!L7</f>
        <v>252973898</v>
      </c>
      <c r="M179" s="35">
        <f>M39+'Renewable Diesel'!M7</f>
        <v>262199617</v>
      </c>
      <c r="N179" s="35">
        <f>N39+'Renewable Diesel'!N7</f>
        <v>332521371</v>
      </c>
      <c r="O179" s="35">
        <f>O39+'Renewable Diesel'!O7</f>
        <v>480957103</v>
      </c>
      <c r="P179" s="35">
        <f>P39+'Renewable Diesel'!P7</f>
        <v>429792809</v>
      </c>
      <c r="Q179" s="36">
        <f>Q39+'Renewable Diesel'!Q7</f>
        <v>382600130.83843458</v>
      </c>
      <c r="R179" s="36">
        <f>R39+'Renewable Diesel'!R7</f>
        <v>387464472.32742953</v>
      </c>
      <c r="S179" s="36">
        <f>S39+'Renewable Diesel'!S7</f>
        <v>411220721.66568446</v>
      </c>
      <c r="T179" s="36">
        <f>T39+'Renewable Diesel'!T7</f>
        <v>388942962.63133717</v>
      </c>
      <c r="U179" s="36">
        <f>U39+'Renewable Diesel'!U7</f>
        <v>401437102.09488904</v>
      </c>
      <c r="V179" s="36">
        <f>V39+'Renewable Diesel'!V7</f>
        <v>414249113.63153195</v>
      </c>
      <c r="W179" s="36">
        <f>W39+'Renewable Diesel'!W7</f>
        <v>434216134.05623525</v>
      </c>
      <c r="X179" s="36">
        <f>X39+'Renewable Diesel'!X7</f>
        <v>489457754.49354362</v>
      </c>
      <c r="Y179" s="36">
        <f>Y39+'Renewable Diesel'!Y7</f>
        <v>478085988.06120509</v>
      </c>
      <c r="Z179" s="36">
        <f>Z39+'Renewable Diesel'!Z7</f>
        <v>464594578.70306629</v>
      </c>
      <c r="AA179" s="36">
        <f>AA39+'Renewable Diesel'!AA7</f>
        <v>477974549.11630726</v>
      </c>
      <c r="AB179" s="36">
        <f>AB39+'Renewable Diesel'!AB7</f>
        <v>475893551.17660564</v>
      </c>
      <c r="AC179" s="36">
        <f>AC39+'Renewable Diesel'!AC7</f>
        <v>504813459.31057078</v>
      </c>
      <c r="AD179" s="36">
        <f>AD39+'Renewable Diesel'!AD7</f>
        <v>544572013.53059137</v>
      </c>
      <c r="AE179" s="36">
        <f>AE39+'Renewable Diesel'!AE7</f>
        <v>532100968.44235653</v>
      </c>
      <c r="AF179" s="36">
        <f>AF39+'Renewable Diesel'!AF7</f>
        <v>451503752.32025176</v>
      </c>
      <c r="AG179" s="36">
        <f>AG39+'Renewable Diesel'!AG7</f>
        <v>478986125.40535975</v>
      </c>
      <c r="AH179" s="36">
        <f>AH39+'Renewable Diesel'!AH7</f>
        <v>502739871.61565131</v>
      </c>
      <c r="AI179" s="36">
        <f>AI39+'Renewable Diesel'!AS7</f>
        <v>39802520.60520529</v>
      </c>
      <c r="AJ179" s="36">
        <f>AJ39+'Renewable Diesel'!AT7</f>
        <v>40174246.784228504</v>
      </c>
      <c r="AK179" s="36">
        <f>AK39+'Renewable Diesel'!AU7</f>
        <v>12443243.970325723</v>
      </c>
      <c r="AL179" s="36">
        <f>AL39+'Renewable Diesel'!AV7</f>
        <v>-20392478.039885722</v>
      </c>
      <c r="AM179" s="36">
        <f>AM39+'Renewable Diesel'!AW7</f>
        <v>40193078.492228702</v>
      </c>
      <c r="AN179" s="36">
        <f>AN39+'Renewable Diesel'!AX7</f>
        <v>42210158.458643466</v>
      </c>
      <c r="AO179" s="36">
        <f>AO39+'Renewable Diesel'!AY7</f>
        <v>290056359.29763937</v>
      </c>
      <c r="AP179" s="36">
        <f>AP39+'Renewable Diesel'!AZ7</f>
        <v>42167236.390531518</v>
      </c>
      <c r="AQ179" s="36">
        <f>AQ39+'Renewable Diesel'!AG7</f>
        <v>431570037.23122191</v>
      </c>
    </row>
    <row r="180" spans="1:43" x14ac:dyDescent="0.2">
      <c r="A180" s="32" t="s">
        <v>74</v>
      </c>
      <c r="B180" s="35">
        <f>B40+'Renewable Diesel'!B8</f>
        <v>637838</v>
      </c>
      <c r="C180" s="35">
        <f>C40+'Renewable Diesel'!C8</f>
        <v>86035562</v>
      </c>
      <c r="D180" s="35">
        <f>D40+'Renewable Diesel'!D8</f>
        <v>118774007</v>
      </c>
      <c r="E180" s="35">
        <f>E40+'Renewable Diesel'!E8</f>
        <v>156850034</v>
      </c>
      <c r="F180" s="35">
        <f>F40+'Renewable Diesel'!F8</f>
        <v>167808997</v>
      </c>
      <c r="G180" s="35">
        <f>G40+'Renewable Diesel'!G8</f>
        <v>199921826</v>
      </c>
      <c r="H180" s="35">
        <f>H40+'Renewable Diesel'!H8</f>
        <v>258398895</v>
      </c>
      <c r="I180" s="35">
        <f>I40+'Renewable Diesel'!I8</f>
        <v>277381292</v>
      </c>
      <c r="J180" s="35">
        <f>J40+'Renewable Diesel'!J8</f>
        <v>219384764</v>
      </c>
      <c r="K180" s="35">
        <f>K40+'Renewable Diesel'!K8</f>
        <v>245653804</v>
      </c>
      <c r="L180" s="35">
        <f>L40+'Renewable Diesel'!L8</f>
        <v>268179720</v>
      </c>
      <c r="M180" s="35">
        <f>M40+'Renewable Diesel'!M8</f>
        <v>284699295</v>
      </c>
      <c r="N180" s="35">
        <f>N40+'Renewable Diesel'!N8</f>
        <v>316296579</v>
      </c>
      <c r="O180" s="35">
        <f>O40+'Renewable Diesel'!O8</f>
        <v>440900426</v>
      </c>
      <c r="P180" s="35">
        <f>P40+'Renewable Diesel'!P8</f>
        <v>510381300</v>
      </c>
      <c r="Q180" s="36">
        <f>Q40+'Renewable Diesel'!Q8</f>
        <v>384306712.49164563</v>
      </c>
      <c r="R180" s="36">
        <f>R40+'Renewable Diesel'!R8</f>
        <v>389562776.57340324</v>
      </c>
      <c r="S180" s="36">
        <f>S40+'Renewable Diesel'!S8</f>
        <v>411469817.4101553</v>
      </c>
      <c r="T180" s="36">
        <f>T40+'Renewable Diesel'!T8</f>
        <v>391167984.99395007</v>
      </c>
      <c r="U180" s="36">
        <f>U40+'Renewable Diesel'!U8</f>
        <v>406904148.24353594</v>
      </c>
      <c r="V180" s="36">
        <f>V40+'Renewable Diesel'!V8</f>
        <v>416899187.28176045</v>
      </c>
      <c r="W180" s="36">
        <f>W40+'Renewable Diesel'!W8</f>
        <v>436369358.66882259</v>
      </c>
      <c r="X180" s="36">
        <f>X40+'Renewable Diesel'!X8</f>
        <v>490997613.43473065</v>
      </c>
      <c r="Y180" s="36">
        <f>Y40+'Renewable Diesel'!Y8</f>
        <v>480133522.67579395</v>
      </c>
      <c r="Z180" s="36">
        <f>Z40+'Renewable Diesel'!Z8</f>
        <v>466998589.32828903</v>
      </c>
      <c r="AA180" s="36">
        <f>AA40+'Renewable Diesel'!AA8</f>
        <v>480014698.10484737</v>
      </c>
      <c r="AB180" s="36">
        <f>AB40+'Renewable Diesel'!AB8</f>
        <v>476526167.56603301</v>
      </c>
      <c r="AC180" s="36">
        <f>AC40+'Renewable Diesel'!AC8</f>
        <v>505258644.89897931</v>
      </c>
      <c r="AD180" s="36">
        <f>AD40+'Renewable Diesel'!AD8</f>
        <v>545056055.98061216</v>
      </c>
      <c r="AE180" s="36">
        <f>AE40+'Renewable Diesel'!AE8</f>
        <v>533160562.08867103</v>
      </c>
      <c r="AF180" s="36">
        <f>AF40+'Renewable Diesel'!AF8</f>
        <v>453445366.10977471</v>
      </c>
      <c r="AG180" s="36">
        <f>AG40+'Renewable Diesel'!AG8</f>
        <v>480694530.63918906</v>
      </c>
      <c r="AH180" s="36">
        <f>AH40+'Renewable Diesel'!AH8</f>
        <v>504533845.26883662</v>
      </c>
      <c r="AI180" s="36">
        <f>AI40+'Renewable Diesel'!AS8</f>
        <v>39974443.113760136</v>
      </c>
      <c r="AJ180" s="36">
        <f>AJ40+'Renewable Diesel'!AT8</f>
        <v>40347355.284979261</v>
      </c>
      <c r="AK180" s="36">
        <f>AK40+'Renewable Diesel'!AU8</f>
        <v>132817837.87063406</v>
      </c>
      <c r="AL180" s="36">
        <f>AL40+'Renewable Diesel'!AV8</f>
        <v>129338779.06750637</v>
      </c>
      <c r="AM180" s="36">
        <f>AM40+'Renewable Diesel'!AW8</f>
        <v>40356113.253306463</v>
      </c>
      <c r="AN180" s="36">
        <f>AN40+'Renewable Diesel'!AX8</f>
        <v>47134258.35882774</v>
      </c>
      <c r="AO180" s="36">
        <f>AO40+'Renewable Diesel'!AY8</f>
        <v>374430962.19877088</v>
      </c>
      <c r="AP180" s="36">
        <f>AP40+'Renewable Diesel'!AZ8</f>
        <v>42312182.984750412</v>
      </c>
      <c r="AQ180" s="36">
        <f>AQ40+'Renewable Diesel'!AG8</f>
        <v>433314735.74472976</v>
      </c>
    </row>
    <row r="181" spans="1:43" x14ac:dyDescent="0.2">
      <c r="A181" s="32" t="s">
        <v>75</v>
      </c>
      <c r="B181" s="35">
        <f>B41+'Renewable Diesel'!B9</f>
        <v>35747259</v>
      </c>
      <c r="C181" s="35">
        <f>C41+'Renewable Diesel'!C9</f>
        <v>95864591</v>
      </c>
      <c r="D181" s="35">
        <f>D41+'Renewable Diesel'!D9</f>
        <v>109356871</v>
      </c>
      <c r="E181" s="35">
        <f>E41+'Renewable Diesel'!E9</f>
        <v>174361406</v>
      </c>
      <c r="F181" s="35">
        <f>F41+'Renewable Diesel'!F9</f>
        <v>200306787</v>
      </c>
      <c r="G181" s="35">
        <f>G41+'Renewable Diesel'!G9</f>
        <v>217701628</v>
      </c>
      <c r="H181" s="35">
        <f>H41+'Renewable Diesel'!H9</f>
        <v>225338944</v>
      </c>
      <c r="I181" s="35">
        <f>I41+'Renewable Diesel'!I9</f>
        <v>254376438</v>
      </c>
      <c r="J181" s="35">
        <f>J41+'Renewable Diesel'!J9</f>
        <v>218968767</v>
      </c>
      <c r="K181" s="35">
        <f>K41+'Renewable Diesel'!K9</f>
        <v>271591974</v>
      </c>
      <c r="L181" s="35">
        <f>L41+'Renewable Diesel'!L9</f>
        <v>260423614</v>
      </c>
      <c r="M181" s="35">
        <f>M41+'Renewable Diesel'!M9</f>
        <v>242701408</v>
      </c>
      <c r="N181" s="35">
        <f>N41+'Renewable Diesel'!N9</f>
        <v>274320472</v>
      </c>
      <c r="O181" s="35">
        <f>O41+'Renewable Diesel'!O9</f>
        <v>409467146</v>
      </c>
      <c r="P181" s="35">
        <f>P41+'Renewable Diesel'!P9</f>
        <v>510697620</v>
      </c>
      <c r="Q181" s="36">
        <f>Q41+'Renewable Diesel'!Q9</f>
        <v>367694869.44310081</v>
      </c>
      <c r="R181" s="36">
        <f>R41+'Renewable Diesel'!R9</f>
        <v>362995461.54005623</v>
      </c>
      <c r="S181" s="36">
        <f>S41+'Renewable Diesel'!S9</f>
        <v>387583095.86388063</v>
      </c>
      <c r="T181" s="36">
        <f>T41+'Renewable Diesel'!T9</f>
        <v>369287366.70427167</v>
      </c>
      <c r="U181" s="36">
        <f>U41+'Renewable Diesel'!U9</f>
        <v>383759597.13666177</v>
      </c>
      <c r="V181" s="36">
        <f>V41+'Renewable Diesel'!V9</f>
        <v>395426017.22514838</v>
      </c>
      <c r="W181" s="36">
        <f>W41+'Renewable Diesel'!W9</f>
        <v>413932671.32665288</v>
      </c>
      <c r="X181" s="36">
        <f>X41+'Renewable Diesel'!X9</f>
        <v>469164160.62840033</v>
      </c>
      <c r="Y181" s="36">
        <f>Y41+'Renewable Diesel'!Y9</f>
        <v>459080697.15809584</v>
      </c>
      <c r="Z181" s="36">
        <f>Z41+'Renewable Diesel'!Z9</f>
        <v>446428434.54929614</v>
      </c>
      <c r="AA181" s="36">
        <f>AA41+'Renewable Diesel'!AA9</f>
        <v>459421924.86015308</v>
      </c>
      <c r="AB181" s="36">
        <f>AB41+'Renewable Diesel'!AB9</f>
        <v>460277658.28685379</v>
      </c>
      <c r="AC181" s="36">
        <f>AC41+'Renewable Diesel'!AC9</f>
        <v>489506782.93171608</v>
      </c>
      <c r="AD181" s="36">
        <f>AD41+'Renewable Diesel'!AD9</f>
        <v>528725260.302104</v>
      </c>
      <c r="AE181" s="36">
        <f>AE41+'Renewable Diesel'!AE9</f>
        <v>516958236.99998367</v>
      </c>
      <c r="AF181" s="36">
        <f>AF41+'Renewable Diesel'!AF9</f>
        <v>438603514.19219542</v>
      </c>
      <c r="AG181" s="36">
        <f>AG41+'Renewable Diesel'!AG9</f>
        <v>465320132.76981139</v>
      </c>
      <c r="AH181" s="36">
        <f>AH41+'Renewable Diesel'!AH9</f>
        <v>488546834.17013013</v>
      </c>
      <c r="AI181" s="36">
        <f>AI41+'Renewable Diesel'!AS9</f>
        <v>37903379.302126274</v>
      </c>
      <c r="AJ181" s="36">
        <f>AJ41+'Renewable Diesel'!AT9</f>
        <v>38272766.826502688</v>
      </c>
      <c r="AK181" s="36">
        <f>AK41+'Renewable Diesel'!AU9</f>
        <v>141696983.96829212</v>
      </c>
      <c r="AL181" s="36">
        <f>AL41+'Renewable Diesel'!AV9</f>
        <v>39082472.10294126</v>
      </c>
      <c r="AM181" s="36">
        <f>AM41+'Renewable Diesel'!AW9</f>
        <v>38280934.609636135</v>
      </c>
      <c r="AN181" s="36">
        <f>AN41+'Renewable Diesel'!AX9</f>
        <v>45800895.816012718</v>
      </c>
      <c r="AO181" s="36">
        <f>AO41+'Renewable Diesel'!AY9</f>
        <v>372403140.95439267</v>
      </c>
      <c r="AP181" s="36">
        <f>AP41+'Renewable Diesel'!AZ9</f>
        <v>40227876.351753928</v>
      </c>
      <c r="AQ181" s="36">
        <f>AQ41+'Renewable Diesel'!AG9</f>
        <v>420069904.47767448</v>
      </c>
    </row>
    <row r="182" spans="1:43" x14ac:dyDescent="0.2">
      <c r="A182" s="32" t="s">
        <v>76</v>
      </c>
      <c r="B182" s="35">
        <f>B42+'Renewable Diesel'!B10</f>
        <v>31879170</v>
      </c>
      <c r="C182" s="35">
        <f>C42+'Renewable Diesel'!C10</f>
        <v>112093715</v>
      </c>
      <c r="D182" s="35">
        <f>D42+'Renewable Diesel'!D10</f>
        <v>106165689</v>
      </c>
      <c r="E182" s="35">
        <f>E42+'Renewable Diesel'!E10</f>
        <v>199176951</v>
      </c>
      <c r="F182" s="35">
        <f>F42+'Renewable Diesel'!F10</f>
        <v>159127294</v>
      </c>
      <c r="G182" s="35">
        <f>G42+'Renewable Diesel'!G10</f>
        <v>201953874</v>
      </c>
      <c r="H182" s="35">
        <f>H42+'Renewable Diesel'!H10</f>
        <v>293169200</v>
      </c>
      <c r="I182" s="35">
        <f>I42+'Renewable Diesel'!I10</f>
        <v>258820395</v>
      </c>
      <c r="J182" s="35">
        <f>J42+'Renewable Diesel'!J10</f>
        <v>238631791</v>
      </c>
      <c r="K182" s="35">
        <f>K42+'Renewable Diesel'!K10</f>
        <v>224890938</v>
      </c>
      <c r="L182" s="35">
        <f>L42+'Renewable Diesel'!L10</f>
        <v>258688358</v>
      </c>
      <c r="M182" s="35">
        <f>M42+'Renewable Diesel'!M10</f>
        <v>282380852</v>
      </c>
      <c r="N182" s="35">
        <f>N42+'Renewable Diesel'!N10</f>
        <v>310443395</v>
      </c>
      <c r="O182" s="35">
        <f>O42+'Renewable Diesel'!O10</f>
        <v>458534211</v>
      </c>
      <c r="P182" s="35">
        <f>P42+'Renewable Diesel'!P10</f>
        <v>447688522</v>
      </c>
      <c r="Q182" s="36">
        <f>Q42+'Renewable Diesel'!Q10</f>
        <v>379648032.38705546</v>
      </c>
      <c r="R182" s="36">
        <f>R42+'Renewable Diesel'!R10</f>
        <v>375023235.99789357</v>
      </c>
      <c r="S182" s="36">
        <f>S42+'Renewable Diesel'!S10</f>
        <v>397076796.1859113</v>
      </c>
      <c r="T182" s="36">
        <f>T42+'Renewable Diesel'!T10</f>
        <v>375924428.98279768</v>
      </c>
      <c r="U182" s="36">
        <f>U42+'Renewable Diesel'!U10</f>
        <v>392988124.2410934</v>
      </c>
      <c r="V182" s="36">
        <f>V42+'Renewable Diesel'!V10</f>
        <v>407005259.92030478</v>
      </c>
      <c r="W182" s="36">
        <f>W42+'Renewable Diesel'!W10</f>
        <v>425557431.97787571</v>
      </c>
      <c r="X182" s="36">
        <f>X42+'Renewable Diesel'!X10</f>
        <v>481707755.29279304</v>
      </c>
      <c r="Y182" s="36">
        <f>Y42+'Renewable Diesel'!Y10</f>
        <v>471302357.0768429</v>
      </c>
      <c r="Z182" s="36">
        <f>Z42+'Renewable Diesel'!Z10</f>
        <v>459043997.26630956</v>
      </c>
      <c r="AA182" s="36">
        <f>AA42+'Renewable Diesel'!AA10</f>
        <v>472429148.19455928</v>
      </c>
      <c r="AB182" s="36">
        <f>AB42+'Renewable Diesel'!AB10</f>
        <v>473966703.36590898</v>
      </c>
      <c r="AC182" s="36">
        <f>AC42+'Renewable Diesel'!AC10</f>
        <v>503715093.82106841</v>
      </c>
      <c r="AD182" s="36">
        <f>AD42+'Renewable Diesel'!AD10</f>
        <v>543824537.49732912</v>
      </c>
      <c r="AE182" s="36">
        <f>AE42+'Renewable Diesel'!AE10</f>
        <v>532176837.86925638</v>
      </c>
      <c r="AF182" s="36">
        <f>AF42+'Renewable Diesel'!AF10</f>
        <v>452217173.30273527</v>
      </c>
      <c r="AG182" s="36">
        <f>AG42+'Renewable Diesel'!AG10</f>
        <v>479386322.64733124</v>
      </c>
      <c r="AH182" s="36">
        <f>AH42+'Renewable Diesel'!AH10</f>
        <v>503250116.94980061</v>
      </c>
      <c r="AI182" s="36">
        <f>AI42+'Renewable Diesel'!AS10</f>
        <v>39874869.033161454</v>
      </c>
      <c r="AJ182" s="36">
        <f>AJ42+'Renewable Diesel'!AT10</f>
        <v>40260214.273315892</v>
      </c>
      <c r="AK182" s="36">
        <f>AK42+'Renewable Diesel'!AU10</f>
        <v>61906441.104947247</v>
      </c>
      <c r="AL182" s="36">
        <f>AL42+'Renewable Diesel'!AV10</f>
        <v>-16115515.822544031</v>
      </c>
      <c r="AM182" s="36">
        <f>AM42+'Renewable Diesel'!AW10</f>
        <v>40267661.926912248</v>
      </c>
      <c r="AN182" s="36">
        <f>AN42+'Renewable Diesel'!AX10</f>
        <v>49738086.532915995</v>
      </c>
      <c r="AO182" s="36">
        <f>AO42+'Renewable Diesel'!AY10</f>
        <v>316111095.0047493</v>
      </c>
      <c r="AP182" s="36">
        <f>AP42+'Renewable Diesel'!AZ10</f>
        <v>42280864.171454713</v>
      </c>
      <c r="AQ182" s="36">
        <f>AQ42+'Renewable Diesel'!AG10</f>
        <v>431913604.1018517</v>
      </c>
    </row>
    <row r="183" spans="1:43" x14ac:dyDescent="0.2">
      <c r="A183" s="32" t="s">
        <v>77</v>
      </c>
      <c r="B183" s="35">
        <f>B43+'Renewable Diesel'!B11</f>
        <v>37893140</v>
      </c>
      <c r="C183" s="35">
        <f>C43+'Renewable Diesel'!C11</f>
        <v>125048203</v>
      </c>
      <c r="D183" s="35">
        <f>D43+'Renewable Diesel'!D11</f>
        <v>97895624</v>
      </c>
      <c r="E183" s="35">
        <f>E43+'Renewable Diesel'!E11</f>
        <v>186341383</v>
      </c>
      <c r="F183" s="35">
        <f>F43+'Renewable Diesel'!F11</f>
        <v>159657831</v>
      </c>
      <c r="G183" s="35">
        <f>G43+'Renewable Diesel'!G11</f>
        <v>183425206</v>
      </c>
      <c r="H183" s="35">
        <f>H43+'Renewable Diesel'!H11</f>
        <v>283589209</v>
      </c>
      <c r="I183" s="35">
        <f>I43+'Renewable Diesel'!I11</f>
        <v>226941406</v>
      </c>
      <c r="J183" s="35">
        <f>J43+'Renewable Diesel'!J11</f>
        <v>223300789</v>
      </c>
      <c r="K183" s="35">
        <f>K43+'Renewable Diesel'!K11</f>
        <v>229347320</v>
      </c>
      <c r="L183" s="35">
        <f>L43+'Renewable Diesel'!L11</f>
        <v>287321873</v>
      </c>
      <c r="M183" s="35">
        <f>M43+'Renewable Diesel'!M11</f>
        <v>259362621</v>
      </c>
      <c r="N183" s="35">
        <f>N43+'Renewable Diesel'!N11</f>
        <v>326154142</v>
      </c>
      <c r="O183" s="35">
        <f>O43+'Renewable Diesel'!O11</f>
        <v>433261574</v>
      </c>
      <c r="P183" s="36">
        <f>P43+'Renewable Diesel'!P11</f>
        <v>464195857</v>
      </c>
      <c r="Q183" s="36">
        <f>Q43+'Renewable Diesel'!Q11</f>
        <v>379764581.93053353</v>
      </c>
      <c r="R183" s="36">
        <f>R43+'Renewable Diesel'!R11</f>
        <v>376108060.98935866</v>
      </c>
      <c r="S183" s="36">
        <f>S43+'Renewable Diesel'!S11</f>
        <v>397900917.05077976</v>
      </c>
      <c r="T183" s="36">
        <f>T43+'Renewable Diesel'!T11</f>
        <v>374535361.66183656</v>
      </c>
      <c r="U183" s="36">
        <f>U43+'Renewable Diesel'!U11</f>
        <v>391822144.30263644</v>
      </c>
      <c r="V183" s="36">
        <f>V43+'Renewable Diesel'!V11</f>
        <v>406634050.39922059</v>
      </c>
      <c r="W183" s="36">
        <f>W43+'Renewable Diesel'!W11</f>
        <v>425241795.89695728</v>
      </c>
      <c r="X183" s="36">
        <f>X43+'Renewable Diesel'!X11</f>
        <v>481207951.70345014</v>
      </c>
      <c r="Y183" s="36">
        <f>Y43+'Renewable Diesel'!Y11</f>
        <v>470762188.78206158</v>
      </c>
      <c r="Z183" s="36">
        <f>Z43+'Renewable Diesel'!Z11</f>
        <v>458572618.6271919</v>
      </c>
      <c r="AA183" s="36">
        <f>AA43+'Renewable Diesel'!AA11</f>
        <v>472518469.2765826</v>
      </c>
      <c r="AB183" s="36">
        <f>AB43+'Renewable Diesel'!AB11</f>
        <v>474396739.42676997</v>
      </c>
      <c r="AC183" s="36">
        <f>AC43+'Renewable Diesel'!AC11</f>
        <v>505613203.85623038</v>
      </c>
      <c r="AD183" s="36">
        <f>AD43+'Renewable Diesel'!AD11</f>
        <v>546265685.00408304</v>
      </c>
      <c r="AE183" s="36">
        <f>AE43+'Renewable Diesel'!AE11</f>
        <v>535194724.55634922</v>
      </c>
      <c r="AF183" s="36">
        <f>AF43+'Renewable Diesel'!AF11</f>
        <v>455692249.4725039</v>
      </c>
      <c r="AG183" s="36">
        <f>AG43+'Renewable Diesel'!AG11</f>
        <v>483023354.16913825</v>
      </c>
      <c r="AH183" s="36">
        <f>AH43+'Renewable Diesel'!AH11</f>
        <v>507222725.12837136</v>
      </c>
      <c r="AI183" s="36">
        <f>AI43+'Renewable Diesel'!AS11</f>
        <v>38166138.914446726</v>
      </c>
      <c r="AJ183" s="36">
        <f>AJ43+'Renewable Diesel'!AT11</f>
        <v>38531291.395833261</v>
      </c>
      <c r="AK183" s="36">
        <f>AK43+'Renewable Diesel'!AU11</f>
        <v>90458619.745393306</v>
      </c>
      <c r="AL183" s="36">
        <f>AL43+'Renewable Diesel'!AV11</f>
        <v>55810200.290196933</v>
      </c>
      <c r="AM183" s="36">
        <f>AM43+'Renewable Diesel'!AW11</f>
        <v>38536403.085630052</v>
      </c>
      <c r="AN183" s="36">
        <f>AN43+'Renewable Diesel'!AX11</f>
        <v>45399302.527057961</v>
      </c>
      <c r="AO183" s="36">
        <f>AO43+'Renewable Diesel'!AY11</f>
        <v>334158140.72047824</v>
      </c>
      <c r="AP183" s="36">
        <f>AP43+'Renewable Diesel'!AZ11</f>
        <v>40442264.86818397</v>
      </c>
      <c r="AQ183" s="36">
        <f>AQ43+'Renewable Diesel'!AG11</f>
        <v>437702526.67352605</v>
      </c>
    </row>
    <row r="184" spans="1:43" x14ac:dyDescent="0.2">
      <c r="A184" s="32" t="s">
        <v>78</v>
      </c>
      <c r="B184" s="35">
        <f>B44+'Renewable Diesel'!B12</f>
        <v>44333175</v>
      </c>
      <c r="C184" s="35">
        <f>C44+'Renewable Diesel'!C12</f>
        <v>123419699</v>
      </c>
      <c r="D184" s="35">
        <f>D44+'Renewable Diesel'!D12</f>
        <v>99687325</v>
      </c>
      <c r="E184" s="35">
        <f>E44+'Renewable Diesel'!E12</f>
        <v>203541706</v>
      </c>
      <c r="F184" s="35">
        <f>F44+'Renewable Diesel'!F12</f>
        <v>173093121</v>
      </c>
      <c r="G184" s="35">
        <f>G44+'Renewable Diesel'!G12</f>
        <v>201243813</v>
      </c>
      <c r="H184" s="35">
        <f>H44+'Renewable Diesel'!H12</f>
        <v>250288198</v>
      </c>
      <c r="I184" s="35">
        <f>I44+'Renewable Diesel'!I12</f>
        <v>239882677</v>
      </c>
      <c r="J184" s="35">
        <f>J44+'Renewable Diesel'!J12</f>
        <v>239935327</v>
      </c>
      <c r="K184" s="35">
        <f>K44+'Renewable Diesel'!K12</f>
        <v>250532290</v>
      </c>
      <c r="L184" s="35">
        <f>L44+'Renewable Diesel'!L12</f>
        <v>219759049</v>
      </c>
      <c r="M184" s="35">
        <f>M44+'Renewable Diesel'!M12</f>
        <v>277646631</v>
      </c>
      <c r="N184" s="35">
        <f>N44+'Renewable Diesel'!N12</f>
        <v>306869879</v>
      </c>
      <c r="O184" s="35">
        <f>O44+'Renewable Diesel'!O12</f>
        <v>468737535</v>
      </c>
      <c r="P184" s="36">
        <f>P44+'Renewable Diesel'!P12</f>
        <v>481848200</v>
      </c>
      <c r="Q184" s="36">
        <f>Q44+'Renewable Diesel'!Q12</f>
        <v>398026718.21064234</v>
      </c>
      <c r="R184" s="36">
        <f>R44+'Renewable Diesel'!R12</f>
        <v>404719046.75116324</v>
      </c>
      <c r="S184" s="36">
        <f>S44+'Renewable Diesel'!S12</f>
        <v>429693870.18189406</v>
      </c>
      <c r="T184" s="36">
        <f>T44+'Renewable Diesel'!T12</f>
        <v>409635731.39123195</v>
      </c>
      <c r="U184" s="36">
        <f>U44+'Renewable Diesel'!U12</f>
        <v>421445359.08877891</v>
      </c>
      <c r="V184" s="36">
        <f>V44+'Renewable Diesel'!V12</f>
        <v>436767353.71455544</v>
      </c>
      <c r="W184" s="36">
        <f>W44+'Renewable Diesel'!W12</f>
        <v>458643552.09176892</v>
      </c>
      <c r="X184" s="36">
        <f>X44+'Renewable Diesel'!X12</f>
        <v>519070356.96955442</v>
      </c>
      <c r="Y184" s="36">
        <f>Y44+'Renewable Diesel'!Y12</f>
        <v>507950909.27227181</v>
      </c>
      <c r="Z184" s="36">
        <f>Z44+'Renewable Diesel'!Z12</f>
        <v>493737583.58153957</v>
      </c>
      <c r="AA184" s="36">
        <f>AA44+'Renewable Diesel'!AA12</f>
        <v>509214061.71811044</v>
      </c>
      <c r="AB184" s="36">
        <f>AB44+'Renewable Diesel'!AB12</f>
        <v>511514725.70836425</v>
      </c>
      <c r="AC184" s="36">
        <f>AC44+'Renewable Diesel'!AC12</f>
        <v>546434334.19609511</v>
      </c>
      <c r="AD184" s="36">
        <f>AD44+'Renewable Diesel'!AD12</f>
        <v>590640037.96317303</v>
      </c>
      <c r="AE184" s="36">
        <f>AE44+'Renewable Diesel'!AE12</f>
        <v>578707090.4009577</v>
      </c>
      <c r="AF184" s="36">
        <f>AF44+'Renewable Diesel'!AF12</f>
        <v>493209409.49158025</v>
      </c>
      <c r="AG184" s="36">
        <f>AG44+'Renewable Diesel'!AG12</f>
        <v>522968212.3584224</v>
      </c>
      <c r="AH184" s="36">
        <f>AH44+'Renewable Diesel'!AH12</f>
        <v>549313122.84210932</v>
      </c>
      <c r="AI184" s="36">
        <f>AI44+'Renewable Diesel'!AS12</f>
        <v>39658257.407292791</v>
      </c>
      <c r="AJ184" s="36">
        <f>AJ44+'Renewable Diesel'!AT12</f>
        <v>40029154.241639934</v>
      </c>
      <c r="AK184" s="36">
        <f>AK44+'Renewable Diesel'!AU12</f>
        <v>79633986.426920965</v>
      </c>
      <c r="AL184" s="36">
        <f>AL44+'Renewable Diesel'!AV12</f>
        <v>46398125.610000342</v>
      </c>
      <c r="AM184" s="36">
        <f>AM44+'Renewable Diesel'!AW12</f>
        <v>40037386.39836549</v>
      </c>
      <c r="AN184" s="36">
        <f>AN44+'Renewable Diesel'!AX12</f>
        <v>46931659.274623238</v>
      </c>
      <c r="AO184" s="36">
        <f>AO44+'Renewable Diesel'!AY12</f>
        <v>342015866.29066962</v>
      </c>
      <c r="AP184" s="36">
        <f>AP44+'Renewable Diesel'!AZ12</f>
        <v>41983739.742161736</v>
      </c>
      <c r="AQ184" s="36">
        <f>AQ44+'Renewable Diesel'!AG12</f>
        <v>475981700.00042826</v>
      </c>
    </row>
    <row r="185" spans="1:43" x14ac:dyDescent="0.2">
      <c r="A185" s="32" t="s">
        <v>79</v>
      </c>
      <c r="B185" s="35">
        <f>B45+'Renewable Diesel'!B13</f>
        <v>38464661</v>
      </c>
      <c r="C185" s="35">
        <f>C45+'Renewable Diesel'!C13</f>
        <v>113912155</v>
      </c>
      <c r="D185" s="35">
        <f>D45+'Renewable Diesel'!D13</f>
        <v>84777691</v>
      </c>
      <c r="E185" s="35">
        <f>E45+'Renewable Diesel'!E13</f>
        <v>193320554</v>
      </c>
      <c r="F185" s="35">
        <f>F45+'Renewable Diesel'!F13</f>
        <v>175210850</v>
      </c>
      <c r="G185" s="35">
        <f>G45+'Renewable Diesel'!G13</f>
        <v>180569633</v>
      </c>
      <c r="H185" s="35">
        <f>H45+'Renewable Diesel'!H13</f>
        <v>266426299</v>
      </c>
      <c r="I185" s="35">
        <f>I45+'Renewable Diesel'!I13</f>
        <v>223799057</v>
      </c>
      <c r="J185" s="35">
        <f>J45+'Renewable Diesel'!J13</f>
        <v>223141195</v>
      </c>
      <c r="K185" s="35">
        <f>K45+'Renewable Diesel'!K13</f>
        <v>208040098</v>
      </c>
      <c r="L185" s="35">
        <f>L45+'Renewable Diesel'!L13</f>
        <v>255218311</v>
      </c>
      <c r="M185" s="35">
        <f>M45+'Renewable Diesel'!M13</f>
        <v>295496108</v>
      </c>
      <c r="N185" s="35">
        <f>N45+'Renewable Diesel'!N13</f>
        <v>373912986</v>
      </c>
      <c r="O185" s="35">
        <f>O45+'Renewable Diesel'!O13</f>
        <v>428627508</v>
      </c>
      <c r="P185" s="36">
        <f>P45+'Renewable Diesel'!P13</f>
        <v>455443187</v>
      </c>
      <c r="Q185" s="36">
        <f>Q45+'Renewable Diesel'!Q13</f>
        <v>409606179.80377585</v>
      </c>
      <c r="R185" s="36">
        <f>R45+'Renewable Diesel'!R13</f>
        <v>445433783.65823877</v>
      </c>
      <c r="S185" s="36">
        <f>S45+'Renewable Diesel'!S13</f>
        <v>475357232.12327278</v>
      </c>
      <c r="T185" s="36">
        <f>T45+'Renewable Diesel'!T13</f>
        <v>454104961.90277779</v>
      </c>
      <c r="U185" s="36">
        <f>U45+'Renewable Diesel'!U13</f>
        <v>467369660.7077902</v>
      </c>
      <c r="V185" s="36">
        <f>V45+'Renewable Diesel'!V13</f>
        <v>487321740.92253548</v>
      </c>
      <c r="W185" s="36">
        <f>W45+'Renewable Diesel'!W13</f>
        <v>513605481.30320811</v>
      </c>
      <c r="X185" s="36">
        <f>X45+'Renewable Diesel'!X13</f>
        <v>585860002.2569176</v>
      </c>
      <c r="Y185" s="36">
        <f>Y45+'Renewable Diesel'!Y13</f>
        <v>574532338.29685688</v>
      </c>
      <c r="Z185" s="36">
        <f>Z45+'Renewable Diesel'!Z13</f>
        <v>558694027.34965956</v>
      </c>
      <c r="AA185" s="36">
        <f>AA45+'Renewable Diesel'!AA13</f>
        <v>578925483.7737726</v>
      </c>
      <c r="AB185" s="36">
        <f>AB45+'Renewable Diesel'!AB13</f>
        <v>589990547.42086434</v>
      </c>
      <c r="AC185" s="36">
        <f>AC45+'Renewable Diesel'!AC13</f>
        <v>637890942.57499814</v>
      </c>
      <c r="AD185" s="36">
        <f>AD45+'Renewable Diesel'!AD13</f>
        <v>692153394.28525329</v>
      </c>
      <c r="AE185" s="36">
        <f>AE45+'Renewable Diesel'!AE13</f>
        <v>680978330.81703866</v>
      </c>
      <c r="AF185" s="36">
        <f>AF45+'Renewable Diesel'!AF13</f>
        <v>583435247.43550968</v>
      </c>
      <c r="AG185" s="36">
        <f>AG45+'Renewable Diesel'!AG13</f>
        <v>618540736.3237406</v>
      </c>
      <c r="AH185" s="36">
        <f>AH45+'Renewable Diesel'!AH13</f>
        <v>650551962.19075143</v>
      </c>
      <c r="AI185" s="36">
        <f>AI45+'Renewable Diesel'!AS13</f>
        <v>37914380.697224021</v>
      </c>
      <c r="AJ185" s="36">
        <f>AJ45+'Renewable Diesel'!AT13</f>
        <v>38274816.708942644</v>
      </c>
      <c r="AK185" s="36">
        <f>AK45+'Renewable Diesel'!AU13</f>
        <v>86495274.956401318</v>
      </c>
      <c r="AL185" s="36">
        <f>AL45+'Renewable Diesel'!AV13</f>
        <v>30312498.779092848</v>
      </c>
      <c r="AM185" s="36">
        <f>AM45+'Renewable Diesel'!AW13</f>
        <v>38275951.976172656</v>
      </c>
      <c r="AN185" s="36">
        <f>AN45+'Renewable Diesel'!AX13</f>
        <v>43612919.031760618</v>
      </c>
      <c r="AO185" s="36">
        <f>AO45+'Renewable Diesel'!AY13</f>
        <v>333769621.24776518</v>
      </c>
      <c r="AP185" s="36">
        <f>AP45+'Renewable Diesel'!AZ13</f>
        <v>40140177.756584972</v>
      </c>
      <c r="AQ185" s="36">
        <f>AQ45+'Renewable Diesel'!AG13</f>
        <v>573665629.22901607</v>
      </c>
    </row>
    <row r="186" spans="1:43" x14ac:dyDescent="0.2">
      <c r="A186" s="32" t="s">
        <v>80</v>
      </c>
      <c r="B186" s="35">
        <f>B46+'Renewable Diesel'!B14</f>
        <v>43257664</v>
      </c>
      <c r="C186" s="35">
        <f>C46+'Renewable Diesel'!C14</f>
        <v>167759434</v>
      </c>
      <c r="D186" s="35">
        <f>D46+'Renewable Diesel'!D14</f>
        <v>67105009</v>
      </c>
      <c r="E186" s="35">
        <f>E46+'Renewable Diesel'!E14</f>
        <v>247458701</v>
      </c>
      <c r="F186" s="35">
        <f>F46+'Renewable Diesel'!F14</f>
        <v>223608196</v>
      </c>
      <c r="G186" s="35">
        <f>G46+'Renewable Diesel'!G14</f>
        <v>192135890</v>
      </c>
      <c r="H186" s="35">
        <f>H46+'Renewable Diesel'!H14</f>
        <v>378775328</v>
      </c>
      <c r="I186" s="35">
        <f>I46+'Renewable Diesel'!I14</f>
        <v>250679969</v>
      </c>
      <c r="J186" s="35">
        <f>J46+'Renewable Diesel'!J14</f>
        <v>289799337</v>
      </c>
      <c r="K186" s="35">
        <f>K46+'Renewable Diesel'!K14</f>
        <v>252121166</v>
      </c>
      <c r="L186" s="35">
        <f>L46+'Renewable Diesel'!L14</f>
        <v>297293256</v>
      </c>
      <c r="M186" s="35">
        <f>M46+'Renewable Diesel'!M14</f>
        <v>387403882</v>
      </c>
      <c r="N186" s="35">
        <f>N46+'Renewable Diesel'!N14</f>
        <v>382757902</v>
      </c>
      <c r="O186" s="35">
        <f>O46+'Renewable Diesel'!O14</f>
        <v>526915477</v>
      </c>
      <c r="P186" s="36">
        <f>P46+'Renewable Diesel'!P14</f>
        <v>557562827</v>
      </c>
      <c r="Q186" s="36">
        <f>Q46+'Renewable Diesel'!Q14</f>
        <v>710438241.30679667</v>
      </c>
      <c r="R186" s="36">
        <f>R46+'Renewable Diesel'!R14</f>
        <v>530090306.77598083</v>
      </c>
      <c r="S186" s="36">
        <f>S46+'Renewable Diesel'!S14</f>
        <v>579160120.99687076</v>
      </c>
      <c r="T186" s="36">
        <f>T46+'Renewable Diesel'!T14</f>
        <v>559398266.06646776</v>
      </c>
      <c r="U186" s="36">
        <f>U46+'Renewable Diesel'!U14</f>
        <v>591810531.07183313</v>
      </c>
      <c r="V186" s="36">
        <f>V46+'Renewable Diesel'!V14</f>
        <v>627237714.31860375</v>
      </c>
      <c r="W186" s="36">
        <f>W46+'Renewable Diesel'!W14</f>
        <v>629496323.21341896</v>
      </c>
      <c r="X186" s="36">
        <f>X46+'Renewable Diesel'!X14</f>
        <v>715195544.97042251</v>
      </c>
      <c r="Y186" s="36">
        <f>Y46+'Renewable Diesel'!Y14</f>
        <v>682394254.23652124</v>
      </c>
      <c r="Z186" s="36">
        <f>Z46+'Renewable Diesel'!Z14</f>
        <v>673824204.88885593</v>
      </c>
      <c r="AA186" s="36">
        <f>AA46+'Renewable Diesel'!AA14</f>
        <v>692804492.23498416</v>
      </c>
      <c r="AB186" s="36">
        <f>AB46+'Renewable Diesel'!AB14</f>
        <v>696723531.87052834</v>
      </c>
      <c r="AC186" s="36">
        <f>AC46+'Renewable Diesel'!AC14</f>
        <v>745006143.19499087</v>
      </c>
      <c r="AD186" s="36">
        <f>AD46+'Renewable Diesel'!AD14</f>
        <v>803197443.53449333</v>
      </c>
      <c r="AE186" s="36">
        <f>AE46+'Renewable Diesel'!AE14</f>
        <v>788454487.40716791</v>
      </c>
      <c r="AF186" s="36">
        <f>AF46+'Renewable Diesel'!AF14</f>
        <v>674261931.21637893</v>
      </c>
      <c r="AG186" s="36">
        <f>AG46+'Renewable Diesel'!AG14</f>
        <v>714499683.97195053</v>
      </c>
      <c r="AH186" s="36">
        <f>AH46+'Renewable Diesel'!AH14</f>
        <v>750587581.2631377</v>
      </c>
      <c r="AI186" s="36">
        <f>AI46+'Renewable Diesel'!AS14</f>
        <v>54114644.885478511</v>
      </c>
      <c r="AJ186" s="36">
        <f>AJ46+'Renewable Diesel'!AT14</f>
        <v>54671160.731836826</v>
      </c>
      <c r="AK186" s="36">
        <f>AK46+'Renewable Diesel'!AU14</f>
        <v>82604253.069478363</v>
      </c>
      <c r="AL186" s="36">
        <f>AL46+'Renewable Diesel'!AV14</f>
        <v>106791591.0038738</v>
      </c>
      <c r="AM186" s="36">
        <f>AM46+'Renewable Diesel'!AW14</f>
        <v>54639819.645741165</v>
      </c>
      <c r="AN186" s="36">
        <f>AN46+'Renewable Diesel'!AX14</f>
        <v>61681066.533069149</v>
      </c>
      <c r="AO186" s="36">
        <f>AO46+'Renewable Diesel'!AY14</f>
        <v>401004418.26818401</v>
      </c>
      <c r="AP186" s="36">
        <f>AP46+'Renewable Diesel'!AZ14</f>
        <v>56990576.966871284</v>
      </c>
      <c r="AQ186" s="36">
        <f>AQ46+'Renewable Diesel'!AG14</f>
        <v>651265704.32202935</v>
      </c>
    </row>
    <row r="187" spans="1:43" x14ac:dyDescent="0.2">
      <c r="A187" s="32" t="s">
        <v>18</v>
      </c>
      <c r="B187" s="35">
        <f>SUM(B175:B186)</f>
        <v>235063951</v>
      </c>
      <c r="C187" s="35">
        <f t="shared" ref="C187:AQ187" si="134">SUM(C175:C186)</f>
        <v>1141208164</v>
      </c>
      <c r="D187" s="35">
        <f t="shared" si="134"/>
        <v>1159631363</v>
      </c>
      <c r="E187" s="35">
        <f t="shared" si="134"/>
        <v>1920764365</v>
      </c>
      <c r="F187" s="35">
        <f t="shared" si="134"/>
        <v>1920009489</v>
      </c>
      <c r="G187" s="35">
        <f t="shared" si="134"/>
        <v>2036829069</v>
      </c>
      <c r="H187" s="35">
        <f t="shared" si="134"/>
        <v>2812495925</v>
      </c>
      <c r="I187" s="35">
        <f t="shared" si="134"/>
        <v>2620713265</v>
      </c>
      <c r="J187" s="35">
        <f t="shared" si="134"/>
        <v>2632814684</v>
      </c>
      <c r="K187" s="35">
        <f t="shared" si="134"/>
        <v>2777384605</v>
      </c>
      <c r="L187" s="35">
        <f t="shared" si="134"/>
        <v>2984161637</v>
      </c>
      <c r="M187" s="35">
        <f t="shared" si="134"/>
        <v>3204765140</v>
      </c>
      <c r="N187" s="35">
        <f t="shared" si="134"/>
        <v>3728417320</v>
      </c>
      <c r="O187" s="35">
        <f t="shared" si="134"/>
        <v>5085600323</v>
      </c>
      <c r="P187" s="36">
        <f t="shared" si="134"/>
        <v>5637464859</v>
      </c>
      <c r="Q187" s="36">
        <f t="shared" si="134"/>
        <v>4698100996.9289236</v>
      </c>
      <c r="R187" s="36">
        <f t="shared" si="134"/>
        <v>4613644224.5341358</v>
      </c>
      <c r="S187" s="36">
        <f t="shared" si="134"/>
        <v>4889205354.0390329</v>
      </c>
      <c r="T187" s="36">
        <f t="shared" si="134"/>
        <v>4646866981.9108448</v>
      </c>
      <c r="U187" s="36">
        <f t="shared" si="134"/>
        <v>4829015660.2134418</v>
      </c>
      <c r="V187" s="36">
        <f t="shared" si="134"/>
        <v>4980231400.0210896</v>
      </c>
      <c r="W187" s="36">
        <f t="shared" si="134"/>
        <v>5221008147.0889292</v>
      </c>
      <c r="X187" s="36">
        <f t="shared" si="134"/>
        <v>5902837331.9511833</v>
      </c>
      <c r="Y187" s="36">
        <f t="shared" si="134"/>
        <v>5776275523.7661152</v>
      </c>
      <c r="Z187" s="36">
        <f t="shared" si="134"/>
        <v>5618842417.098978</v>
      </c>
      <c r="AA187" s="36">
        <f t="shared" si="134"/>
        <v>5787649518.7581501</v>
      </c>
      <c r="AB187" s="36">
        <f t="shared" si="134"/>
        <v>5802005606.038991</v>
      </c>
      <c r="AC187" s="36">
        <f t="shared" si="134"/>
        <v>6187243305.9844971</v>
      </c>
      <c r="AD187" s="36">
        <f t="shared" si="134"/>
        <v>6684338977.2380133</v>
      </c>
      <c r="AE187" s="36">
        <f t="shared" si="134"/>
        <v>6546102290.3720226</v>
      </c>
      <c r="AF187" s="36">
        <f t="shared" si="134"/>
        <v>5574615830.0989733</v>
      </c>
      <c r="AG187" s="36">
        <f>SUM(AG175:AG186)</f>
        <v>5910892614.382473</v>
      </c>
      <c r="AH187" s="36">
        <f>SUM(AH175:AH186)</f>
        <v>6207601059.8303814</v>
      </c>
      <c r="AI187" s="36">
        <f t="shared" ref="AI187:AP187" si="135">SUM(AI175:AI186)</f>
        <v>456859443.45301127</v>
      </c>
      <c r="AJ187" s="36">
        <f t="shared" si="135"/>
        <v>461046536.41310167</v>
      </c>
      <c r="AK187" s="36">
        <f t="shared" si="135"/>
        <v>1118214832.1383979</v>
      </c>
      <c r="AL187" s="36">
        <f t="shared" si="135"/>
        <v>489051774.80073237</v>
      </c>
      <c r="AM187" s="36">
        <f t="shared" si="135"/>
        <v>461245011.72697824</v>
      </c>
      <c r="AN187" s="36">
        <f t="shared" si="135"/>
        <v>533337418.35055375</v>
      </c>
      <c r="AO187" s="36">
        <f t="shared" si="135"/>
        <v>3973282575.7833233</v>
      </c>
      <c r="AP187" s="36">
        <f t="shared" si="135"/>
        <v>483441196.53950191</v>
      </c>
      <c r="AQ187" s="36">
        <f t="shared" si="134"/>
        <v>5368344337.7588329</v>
      </c>
    </row>
    <row r="190" spans="1:43" x14ac:dyDescent="0.2">
      <c r="A190" s="61" t="s">
        <v>121</v>
      </c>
    </row>
    <row r="191" spans="1:43" x14ac:dyDescent="0.2">
      <c r="A191" s="32" t="s">
        <v>122</v>
      </c>
      <c r="B191" s="94">
        <f>B2</f>
        <v>2010</v>
      </c>
      <c r="C191" s="94">
        <f t="shared" ref="C191:AQ191" si="136">C2</f>
        <v>2011</v>
      </c>
      <c r="D191" s="94">
        <f t="shared" si="136"/>
        <v>2012</v>
      </c>
      <c r="E191" s="94">
        <f t="shared" si="136"/>
        <v>2013</v>
      </c>
      <c r="F191" s="94">
        <f t="shared" si="136"/>
        <v>2014</v>
      </c>
      <c r="G191" s="94">
        <f t="shared" si="136"/>
        <v>2015</v>
      </c>
      <c r="H191" s="94">
        <f t="shared" si="136"/>
        <v>2016</v>
      </c>
      <c r="I191" s="94">
        <f t="shared" si="136"/>
        <v>2017</v>
      </c>
      <c r="J191" s="94">
        <f t="shared" si="136"/>
        <v>2018</v>
      </c>
      <c r="K191" s="94">
        <f t="shared" si="136"/>
        <v>2019</v>
      </c>
      <c r="L191" s="94">
        <f t="shared" si="136"/>
        <v>2020</v>
      </c>
      <c r="M191" s="94">
        <f t="shared" si="136"/>
        <v>2021</v>
      </c>
      <c r="N191" s="94">
        <f t="shared" si="136"/>
        <v>2022</v>
      </c>
      <c r="O191" s="94">
        <f t="shared" si="136"/>
        <v>2023</v>
      </c>
      <c r="P191" s="94">
        <f t="shared" si="136"/>
        <v>2024</v>
      </c>
      <c r="Q191" s="94">
        <f t="shared" si="136"/>
        <v>2025</v>
      </c>
      <c r="R191" s="94">
        <f t="shared" si="136"/>
        <v>2026</v>
      </c>
      <c r="S191" s="94">
        <f t="shared" si="136"/>
        <v>2027</v>
      </c>
      <c r="T191" s="94">
        <f t="shared" si="136"/>
        <v>2028</v>
      </c>
      <c r="U191" s="94">
        <f t="shared" si="136"/>
        <v>2029</v>
      </c>
      <c r="V191" s="94">
        <f t="shared" si="136"/>
        <v>2030</v>
      </c>
      <c r="W191" s="94">
        <f t="shared" si="136"/>
        <v>2031</v>
      </c>
      <c r="X191" s="94">
        <f t="shared" si="136"/>
        <v>2032</v>
      </c>
      <c r="Y191" s="94">
        <f t="shared" si="136"/>
        <v>2033</v>
      </c>
      <c r="Z191" s="94">
        <f t="shared" si="136"/>
        <v>2034</v>
      </c>
      <c r="AA191" s="94">
        <f t="shared" si="136"/>
        <v>2035</v>
      </c>
      <c r="AB191" s="94">
        <f t="shared" si="136"/>
        <v>2036</v>
      </c>
      <c r="AC191" s="94">
        <f t="shared" si="136"/>
        <v>2037</v>
      </c>
      <c r="AD191" s="94">
        <f t="shared" si="136"/>
        <v>2038</v>
      </c>
      <c r="AE191" s="94">
        <f t="shared" si="136"/>
        <v>2039</v>
      </c>
      <c r="AF191" s="94">
        <f t="shared" si="136"/>
        <v>2040</v>
      </c>
      <c r="AG191" s="94">
        <f t="shared" si="136"/>
        <v>2041</v>
      </c>
      <c r="AH191" s="94">
        <f t="shared" si="136"/>
        <v>2042</v>
      </c>
      <c r="AI191" s="94">
        <f t="shared" si="136"/>
        <v>2043</v>
      </c>
      <c r="AJ191" s="94">
        <f t="shared" si="136"/>
        <v>2044</v>
      </c>
      <c r="AK191" s="94">
        <f t="shared" si="136"/>
        <v>2045</v>
      </c>
      <c r="AL191" s="94">
        <f t="shared" si="136"/>
        <v>2046</v>
      </c>
      <c r="AM191" s="94">
        <f t="shared" si="136"/>
        <v>2047</v>
      </c>
      <c r="AN191" s="94">
        <f t="shared" si="136"/>
        <v>2048</v>
      </c>
      <c r="AO191" s="94">
        <f t="shared" si="136"/>
        <v>2049</v>
      </c>
      <c r="AP191" s="94">
        <f>AP2</f>
        <v>2050</v>
      </c>
      <c r="AQ191" s="94">
        <f t="shared" si="136"/>
        <v>2041</v>
      </c>
    </row>
    <row r="192" spans="1:43" x14ac:dyDescent="0.2">
      <c r="A192" s="32" t="s">
        <v>70</v>
      </c>
      <c r="B192" s="95">
        <f t="shared" ref="B192:AQ192" si="137">B175/31</f>
        <v>15668.193548387097</v>
      </c>
      <c r="C192" s="95">
        <f t="shared" si="137"/>
        <v>1288448.5806451612</v>
      </c>
      <c r="D192" s="95">
        <f t="shared" si="137"/>
        <v>2108821.7741935486</v>
      </c>
      <c r="E192" s="95">
        <f t="shared" si="137"/>
        <v>2594266.5161290322</v>
      </c>
      <c r="F192" s="95">
        <f t="shared" si="137"/>
        <v>2839652.3870967743</v>
      </c>
      <c r="G192" s="95">
        <f t="shared" si="137"/>
        <v>2964854.4193548388</v>
      </c>
      <c r="H192" s="95">
        <f t="shared" si="137"/>
        <v>4065830.1290322579</v>
      </c>
      <c r="I192" s="95">
        <f t="shared" si="137"/>
        <v>4068627.8064516131</v>
      </c>
      <c r="J192" s="95">
        <f t="shared" si="137"/>
        <v>4857099.7096774196</v>
      </c>
      <c r="K192" s="95">
        <f t="shared" si="137"/>
        <v>5556743.1290322579</v>
      </c>
      <c r="L192" s="95">
        <f t="shared" si="137"/>
        <v>6330810.1290322579</v>
      </c>
      <c r="M192" s="95">
        <f t="shared" si="137"/>
        <v>6414190.8709677421</v>
      </c>
      <c r="N192" s="95">
        <f t="shared" si="137"/>
        <v>7261563.1612903224</v>
      </c>
      <c r="O192" s="95">
        <f t="shared" si="137"/>
        <v>10655106.290322581</v>
      </c>
      <c r="P192" s="95">
        <f t="shared" si="137"/>
        <v>13402375.129032258</v>
      </c>
      <c r="Q192" s="96">
        <f t="shared" si="137"/>
        <v>9230272.2580645159</v>
      </c>
      <c r="R192" s="96">
        <f t="shared" si="137"/>
        <v>9716869.9553884473</v>
      </c>
      <c r="S192" s="96">
        <f t="shared" si="137"/>
        <v>9992493.1884134077</v>
      </c>
      <c r="T192" s="96">
        <f t="shared" si="137"/>
        <v>9525762.0042164885</v>
      </c>
      <c r="U192" s="96">
        <f t="shared" si="137"/>
        <v>9801318.4754457939</v>
      </c>
      <c r="V192" s="96">
        <f t="shared" si="137"/>
        <v>9853291.2156641409</v>
      </c>
      <c r="W192" s="96">
        <f t="shared" si="137"/>
        <v>10666664.96348777</v>
      </c>
      <c r="X192" s="96">
        <f t="shared" si="137"/>
        <v>12018573.587977897</v>
      </c>
      <c r="Y192" s="96">
        <f t="shared" si="137"/>
        <v>12401397.217763336</v>
      </c>
      <c r="Z192" s="96">
        <f t="shared" si="137"/>
        <v>11767039.909435352</v>
      </c>
      <c r="AA192" s="96">
        <f t="shared" si="137"/>
        <v>12148714.690325495</v>
      </c>
      <c r="AB192" s="96">
        <f t="shared" si="137"/>
        <v>12083034.575801251</v>
      </c>
      <c r="AC192" s="96">
        <f t="shared" si="137"/>
        <v>12896647.502514141</v>
      </c>
      <c r="AD192" s="96">
        <f t="shared" si="137"/>
        <v>13979887.140137149</v>
      </c>
      <c r="AE192" s="96">
        <f t="shared" si="137"/>
        <v>13640970.711127566</v>
      </c>
      <c r="AF192" s="96">
        <f t="shared" si="137"/>
        <v>11586764.636872306</v>
      </c>
      <c r="AG192" s="96">
        <f t="shared" si="137"/>
        <v>12287939.21433891</v>
      </c>
      <c r="AH192" s="96">
        <f t="shared" si="137"/>
        <v>12906667.002271334</v>
      </c>
      <c r="AI192" s="96">
        <f t="shared" si="137"/>
        <v>952160.37626614165</v>
      </c>
      <c r="AJ192" s="96">
        <f t="shared" si="137"/>
        <v>956714.28777782817</v>
      </c>
      <c r="AK192" s="96">
        <f t="shared" si="137"/>
        <v>3162401.6313864184</v>
      </c>
      <c r="AL192" s="96">
        <f t="shared" si="137"/>
        <v>-1267832.8088698804</v>
      </c>
      <c r="AM192" s="96">
        <f t="shared" si="137"/>
        <v>959236.46665159671</v>
      </c>
      <c r="AN192" s="96">
        <f t="shared" si="137"/>
        <v>1140645.2618786683</v>
      </c>
      <c r="AO192" s="96">
        <f t="shared" si="137"/>
        <v>9026868.489711633</v>
      </c>
      <c r="AP192" s="96">
        <f>AP175/31</f>
        <v>1005987.3574749584</v>
      </c>
      <c r="AQ192" s="96">
        <f t="shared" si="137"/>
        <v>11148459.061967315</v>
      </c>
    </row>
    <row r="193" spans="1:43" x14ac:dyDescent="0.2">
      <c r="A193" s="32" t="s">
        <v>71</v>
      </c>
      <c r="B193" s="95">
        <f>B176/28</f>
        <v>19236.857142857141</v>
      </c>
      <c r="C193" s="95">
        <f>C176/28</f>
        <v>1565503.0357142857</v>
      </c>
      <c r="D193" s="95">
        <f>D176/29</f>
        <v>2752037.0689655175</v>
      </c>
      <c r="E193" s="95">
        <f>E176/28</f>
        <v>2902989.0714285714</v>
      </c>
      <c r="F193" s="95">
        <f>F176/28</f>
        <v>3745130.8214285714</v>
      </c>
      <c r="G193" s="95">
        <f>G176/28</f>
        <v>3200048.75</v>
      </c>
      <c r="H193" s="95">
        <f>H176/29</f>
        <v>4622969.4137931038</v>
      </c>
      <c r="I193" s="95">
        <f>I176/28</f>
        <v>4971276.75</v>
      </c>
      <c r="J193" s="95">
        <f>J176/28</f>
        <v>5751993.1785714282</v>
      </c>
      <c r="K193" s="95">
        <f>K176/28</f>
        <v>6773057.75</v>
      </c>
      <c r="L193" s="95">
        <f>L176/29</f>
        <v>7074907.5172413792</v>
      </c>
      <c r="M193" s="95">
        <f>M176/28</f>
        <v>7085644.1428571427</v>
      </c>
      <c r="N193" s="95">
        <f>N176/28</f>
        <v>8887782.8571428563</v>
      </c>
      <c r="O193" s="95">
        <f>O176/28</f>
        <v>11574887.964285715</v>
      </c>
      <c r="P193" s="95">
        <f>P176/29</f>
        <v>16001459.137931034</v>
      </c>
      <c r="Q193" s="96">
        <f>Q176/28</f>
        <v>9508350.0357142854</v>
      </c>
      <c r="R193" s="96">
        <f>R176/28</f>
        <v>11754477.520902192</v>
      </c>
      <c r="S193" s="96">
        <f>S176/28</f>
        <v>12199794.656684574</v>
      </c>
      <c r="T193" s="96">
        <f>T176/29</f>
        <v>11254283.326208718</v>
      </c>
      <c r="U193" s="96">
        <f>U176/28</f>
        <v>12088662.727349225</v>
      </c>
      <c r="V193" s="96">
        <f>V176/28</f>
        <v>12019903.812574614</v>
      </c>
      <c r="W193" s="96">
        <f>W176/28</f>
        <v>12990888.153243575</v>
      </c>
      <c r="X193" s="96">
        <f>X176/29</f>
        <v>14120564.793808397</v>
      </c>
      <c r="Y193" s="96">
        <f>Y176/28</f>
        <v>14303811.284014538</v>
      </c>
      <c r="Z193" s="96">
        <f>Z176/28</f>
        <v>13887478.359421436</v>
      </c>
      <c r="AA193" s="96">
        <f>AA176/28</f>
        <v>14294578.176667366</v>
      </c>
      <c r="AB193" s="96">
        <f>AB176/29</f>
        <v>13873643.777113784</v>
      </c>
      <c r="AC193" s="96">
        <f>AC176/28</f>
        <v>15355465.669050584</v>
      </c>
      <c r="AD193" s="96">
        <f>AD176/28</f>
        <v>16601617.464577883</v>
      </c>
      <c r="AE193" s="96">
        <f>AE176/28</f>
        <v>16272040.308946798</v>
      </c>
      <c r="AF193" s="96">
        <f>AF176/29</f>
        <v>13397475.355956603</v>
      </c>
      <c r="AG193" s="96">
        <f t="shared" ref="AG193:AO193" si="138">AG176/29</f>
        <v>14212492.701848626</v>
      </c>
      <c r="AH193" s="96">
        <f t="shared" si="138"/>
        <v>14929429.000035144</v>
      </c>
      <c r="AI193" s="96">
        <f t="shared" si="138"/>
        <v>1003578.1691244529</v>
      </c>
      <c r="AJ193" s="96">
        <f t="shared" si="138"/>
        <v>1012241.6797167012</v>
      </c>
      <c r="AK193" s="96">
        <f t="shared" si="138"/>
        <v>5075384.3797676489</v>
      </c>
      <c r="AL193" s="96">
        <f t="shared" si="138"/>
        <v>2111363.8735080753</v>
      </c>
      <c r="AM193" s="96">
        <f t="shared" si="138"/>
        <v>1013575.3102142967</v>
      </c>
      <c r="AN193" s="96">
        <f t="shared" si="138"/>
        <v>1162993.4824710442</v>
      </c>
      <c r="AO193" s="96">
        <f t="shared" si="138"/>
        <v>10778100.768081924</v>
      </c>
      <c r="AP193" s="96">
        <f>AP176/29</f>
        <v>1060904.1455547458</v>
      </c>
      <c r="AQ193" s="96">
        <f>AQ176/28</f>
        <v>13476627.55632031</v>
      </c>
    </row>
    <row r="194" spans="1:43" x14ac:dyDescent="0.2">
      <c r="A194" s="32" t="s">
        <v>72</v>
      </c>
      <c r="B194" s="95">
        <f t="shared" ref="B194:AQ203" si="139">B177/31</f>
        <v>26414.032258064515</v>
      </c>
      <c r="C194" s="95">
        <f t="shared" si="139"/>
        <v>2294568.9032258065</v>
      </c>
      <c r="D194" s="95">
        <f t="shared" si="139"/>
        <v>3518498.1935483869</v>
      </c>
      <c r="E194" s="95">
        <f t="shared" si="139"/>
        <v>4191725.935483871</v>
      </c>
      <c r="F194" s="95">
        <f t="shared" si="139"/>
        <v>4565882.4193548383</v>
      </c>
      <c r="G194" s="95">
        <f t="shared" si="139"/>
        <v>4042315.7419354836</v>
      </c>
      <c r="H194" s="95">
        <f t="shared" si="139"/>
        <v>5333504.1935483869</v>
      </c>
      <c r="I194" s="95">
        <f t="shared" si="139"/>
        <v>5952520.9032258065</v>
      </c>
      <c r="J194" s="95">
        <f t="shared" si="139"/>
        <v>6556725.7419354841</v>
      </c>
      <c r="K194" s="95">
        <f t="shared" si="139"/>
        <v>6926292.4193548383</v>
      </c>
      <c r="L194" s="95">
        <f t="shared" si="139"/>
        <v>7803428.6129032262</v>
      </c>
      <c r="M194" s="95">
        <f t="shared" si="139"/>
        <v>8485128.6129032262</v>
      </c>
      <c r="N194" s="95">
        <f t="shared" si="139"/>
        <v>9970776.2580645159</v>
      </c>
      <c r="O194" s="95">
        <f t="shared" si="139"/>
        <v>12758819</v>
      </c>
      <c r="P194" s="95">
        <f t="shared" si="139"/>
        <v>13072801.612903226</v>
      </c>
      <c r="Q194" s="96">
        <f t="shared" si="139"/>
        <v>11266309.838709677</v>
      </c>
      <c r="R194" s="96">
        <f t="shared" si="139"/>
        <v>11365713.997428302</v>
      </c>
      <c r="S194" s="96">
        <f t="shared" si="139"/>
        <v>11902688.824242549</v>
      </c>
      <c r="T194" s="96">
        <f t="shared" si="139"/>
        <v>11186587.513173155</v>
      </c>
      <c r="U194" s="96">
        <f t="shared" si="139"/>
        <v>11495548.917997399</v>
      </c>
      <c r="V194" s="96">
        <f t="shared" si="139"/>
        <v>11732042.152722649</v>
      </c>
      <c r="W194" s="96">
        <f t="shared" si="139"/>
        <v>12568840.451827316</v>
      </c>
      <c r="X194" s="96">
        <f t="shared" si="139"/>
        <v>14173004.32731781</v>
      </c>
      <c r="Y194" s="96">
        <f t="shared" si="139"/>
        <v>13842598.49209773</v>
      </c>
      <c r="Z194" s="96">
        <f t="shared" si="139"/>
        <v>13454237.695307793</v>
      </c>
      <c r="AA194" s="96">
        <f t="shared" si="139"/>
        <v>13876974.964673603</v>
      </c>
      <c r="AB194" s="96">
        <f t="shared" si="139"/>
        <v>13940977.151651364</v>
      </c>
      <c r="AC194" s="96">
        <f t="shared" si="139"/>
        <v>14872002.596531941</v>
      </c>
      <c r="AD194" s="96">
        <f t="shared" si="139"/>
        <v>16078874.617693726</v>
      </c>
      <c r="AE194" s="96">
        <f t="shared" si="139"/>
        <v>15763644.354095923</v>
      </c>
      <c r="AF194" s="96">
        <f t="shared" si="139"/>
        <v>13435351.873471037</v>
      </c>
      <c r="AG194" s="96">
        <f t="shared" si="139"/>
        <v>14244839.766003024</v>
      </c>
      <c r="AH194" s="96">
        <f t="shared" si="139"/>
        <v>14959700.785387712</v>
      </c>
      <c r="AI194" s="96">
        <f t="shared" si="139"/>
        <v>1023435.3809601258</v>
      </c>
      <c r="AJ194" s="96">
        <f t="shared" si="139"/>
        <v>1032882.8474920907</v>
      </c>
      <c r="AK194" s="96">
        <f t="shared" si="139"/>
        <v>1747381.6944055944</v>
      </c>
      <c r="AL194" s="96">
        <f t="shared" si="139"/>
        <v>-398738.95831716614</v>
      </c>
      <c r="AM194" s="96">
        <f t="shared" si="139"/>
        <v>1034203.205934426</v>
      </c>
      <c r="AN194" s="96">
        <f t="shared" si="139"/>
        <v>1219399.3979263597</v>
      </c>
      <c r="AO194" s="96">
        <f t="shared" si="139"/>
        <v>8696476.4634326212</v>
      </c>
      <c r="AP194" s="96">
        <f>AP177/31</f>
        <v>1084901.3025298778</v>
      </c>
      <c r="AQ194" s="96">
        <f t="shared" si="139"/>
        <v>13010649.563141828</v>
      </c>
    </row>
    <row r="195" spans="1:43" x14ac:dyDescent="0.2">
      <c r="A195" s="32" t="s">
        <v>73</v>
      </c>
      <c r="B195" s="95">
        <f t="shared" ref="B195:AQ195" si="140">B178/30</f>
        <v>17404.966666666667</v>
      </c>
      <c r="C195" s="95">
        <f t="shared" si="140"/>
        <v>2486835.3333333335</v>
      </c>
      <c r="D195" s="95">
        <f t="shared" si="140"/>
        <v>3314685.6666666665</v>
      </c>
      <c r="E195" s="95">
        <f t="shared" si="140"/>
        <v>4200416.2333333334</v>
      </c>
      <c r="F195" s="95">
        <f t="shared" si="140"/>
        <v>5314765.3</v>
      </c>
      <c r="G195" s="95">
        <f t="shared" si="140"/>
        <v>5511472.4000000004</v>
      </c>
      <c r="H195" s="95">
        <f t="shared" si="140"/>
        <v>7103713.7333333334</v>
      </c>
      <c r="I195" s="95">
        <f t="shared" si="140"/>
        <v>6443087.2999999998</v>
      </c>
      <c r="J195" s="95">
        <f t="shared" si="140"/>
        <v>7362385.2666666666</v>
      </c>
      <c r="K195" s="95">
        <f t="shared" si="140"/>
        <v>8558223.9000000004</v>
      </c>
      <c r="L195" s="95">
        <f t="shared" si="140"/>
        <v>8032327.9666666668</v>
      </c>
      <c r="M195" s="95">
        <f t="shared" si="140"/>
        <v>8419926.1999999993</v>
      </c>
      <c r="N195" s="95">
        <f t="shared" si="140"/>
        <v>10736005.066666666</v>
      </c>
      <c r="O195" s="95">
        <f t="shared" si="140"/>
        <v>12942359.866666667</v>
      </c>
      <c r="P195" s="95">
        <f t="shared" si="140"/>
        <v>16502724.766666668</v>
      </c>
      <c r="Q195" s="96">
        <f t="shared" si="140"/>
        <v>12812922.817231309</v>
      </c>
      <c r="R195" s="96">
        <f t="shared" si="140"/>
        <v>11985386.893267712</v>
      </c>
      <c r="S195" s="96">
        <f t="shared" si="140"/>
        <v>12646596.326036027</v>
      </c>
      <c r="T195" s="96">
        <f t="shared" si="140"/>
        <v>11847095.535901409</v>
      </c>
      <c r="U195" s="96">
        <f t="shared" si="140"/>
        <v>12426451.592123503</v>
      </c>
      <c r="V195" s="96">
        <f t="shared" si="140"/>
        <v>12766277.381178323</v>
      </c>
      <c r="W195" s="96">
        <f t="shared" si="140"/>
        <v>13329995.412946705</v>
      </c>
      <c r="X195" s="96">
        <f t="shared" si="140"/>
        <v>14958029.926892005</v>
      </c>
      <c r="Y195" s="96">
        <f t="shared" si="140"/>
        <v>14598756.174945537</v>
      </c>
      <c r="Z195" s="96">
        <f t="shared" si="140"/>
        <v>14207979.433131035</v>
      </c>
      <c r="AA195" s="96">
        <f t="shared" si="140"/>
        <v>14576737.440905837</v>
      </c>
      <c r="AB195" s="96">
        <f t="shared" si="140"/>
        <v>14454531.604324406</v>
      </c>
      <c r="AC195" s="96">
        <f t="shared" si="140"/>
        <v>15274116.979866778</v>
      </c>
      <c r="AD195" s="96">
        <f t="shared" si="140"/>
        <v>16441254.854647851</v>
      </c>
      <c r="AE195" s="96">
        <f t="shared" si="140"/>
        <v>16040361.870593432</v>
      </c>
      <c r="AF195" s="96">
        <f t="shared" si="140"/>
        <v>13601159.647155276</v>
      </c>
      <c r="AG195" s="96">
        <f t="shared" si="140"/>
        <v>14426502.645110603</v>
      </c>
      <c r="AH195" s="96">
        <f t="shared" si="140"/>
        <v>15134805.266104786</v>
      </c>
      <c r="AI195" s="96">
        <f t="shared" si="140"/>
        <v>1303452.4705230887</v>
      </c>
      <c r="AJ195" s="96">
        <f t="shared" si="140"/>
        <v>1315100.342022361</v>
      </c>
      <c r="AK195" s="96">
        <f t="shared" si="140"/>
        <v>4358958.6971063502</v>
      </c>
      <c r="AL195" s="96">
        <f t="shared" si="140"/>
        <v>3608675.8086871612</v>
      </c>
      <c r="AM195" s="96">
        <f t="shared" si="140"/>
        <v>1315578.2830867991</v>
      </c>
      <c r="AN195" s="96">
        <f t="shared" si="140"/>
        <v>1464695.8790675581</v>
      </c>
      <c r="AO195" s="96">
        <f t="shared" si="140"/>
        <v>11578145.199294223</v>
      </c>
      <c r="AP195" s="96">
        <f>AP178/30</f>
        <v>1377083.620865728</v>
      </c>
      <c r="AQ195" s="96">
        <f t="shared" si="140"/>
        <v>12886085.234100122</v>
      </c>
    </row>
    <row r="196" spans="1:43" x14ac:dyDescent="0.2">
      <c r="A196" s="32" t="s">
        <v>10</v>
      </c>
      <c r="B196" s="95">
        <f t="shared" si="139"/>
        <v>15668.193548387097</v>
      </c>
      <c r="C196" s="95">
        <f t="shared" si="139"/>
        <v>2824584.4516129033</v>
      </c>
      <c r="D196" s="95">
        <f t="shared" si="139"/>
        <v>3941051.064516129</v>
      </c>
      <c r="E196" s="95">
        <f t="shared" si="139"/>
        <v>4582312.3548387093</v>
      </c>
      <c r="F196" s="95">
        <f t="shared" si="139"/>
        <v>5397361.6774193551</v>
      </c>
      <c r="G196" s="95">
        <f t="shared" si="139"/>
        <v>6055141.5161290327</v>
      </c>
      <c r="H196" s="95">
        <f t="shared" si="139"/>
        <v>7030740.7419354841</v>
      </c>
      <c r="I196" s="95">
        <f t="shared" si="139"/>
        <v>7925421.064516129</v>
      </c>
      <c r="J196" s="95">
        <f t="shared" si="139"/>
        <v>7867637.3548387093</v>
      </c>
      <c r="K196" s="95">
        <f t="shared" si="139"/>
        <v>8446470.2903225813</v>
      </c>
      <c r="L196" s="95">
        <f t="shared" si="139"/>
        <v>8160448.3225806449</v>
      </c>
      <c r="M196" s="95">
        <f t="shared" si="139"/>
        <v>8458052.1612903234</v>
      </c>
      <c r="N196" s="95">
        <f t="shared" si="139"/>
        <v>10726495.838709677</v>
      </c>
      <c r="O196" s="95">
        <f t="shared" si="139"/>
        <v>15514745.258064516</v>
      </c>
      <c r="P196" s="95">
        <f t="shared" si="139"/>
        <v>13864284.161290323</v>
      </c>
      <c r="Q196" s="96">
        <f t="shared" si="139"/>
        <v>12341939.704465631</v>
      </c>
      <c r="R196" s="96">
        <f t="shared" si="139"/>
        <v>12498853.946046114</v>
      </c>
      <c r="S196" s="96">
        <f t="shared" si="139"/>
        <v>13265184.56986079</v>
      </c>
      <c r="T196" s="96">
        <f t="shared" si="139"/>
        <v>12546547.181656038</v>
      </c>
      <c r="U196" s="96">
        <f t="shared" si="139"/>
        <v>12949583.938544808</v>
      </c>
      <c r="V196" s="96">
        <f t="shared" si="139"/>
        <v>13362874.633275224</v>
      </c>
      <c r="W196" s="96">
        <f t="shared" si="139"/>
        <v>14006972.06633017</v>
      </c>
      <c r="X196" s="96">
        <f t="shared" si="139"/>
        <v>15788959.822372375</v>
      </c>
      <c r="Y196" s="96">
        <f t="shared" si="139"/>
        <v>15422128.647135649</v>
      </c>
      <c r="Z196" s="96">
        <f t="shared" si="139"/>
        <v>14986921.8936473</v>
      </c>
      <c r="AA196" s="96">
        <f t="shared" si="139"/>
        <v>15418533.842461525</v>
      </c>
      <c r="AB196" s="96">
        <f t="shared" si="139"/>
        <v>15351404.876664698</v>
      </c>
      <c r="AC196" s="96">
        <f t="shared" si="139"/>
        <v>16284305.13905067</v>
      </c>
      <c r="AD196" s="96">
        <f t="shared" si="139"/>
        <v>17566839.146148108</v>
      </c>
      <c r="AE196" s="96">
        <f t="shared" si="139"/>
        <v>17164547.369108275</v>
      </c>
      <c r="AF196" s="96">
        <f t="shared" si="139"/>
        <v>14564637.171621025</v>
      </c>
      <c r="AG196" s="96">
        <f t="shared" si="139"/>
        <v>15451165.335656766</v>
      </c>
      <c r="AH196" s="96">
        <f t="shared" si="139"/>
        <v>16217415.213408107</v>
      </c>
      <c r="AI196" s="96">
        <f t="shared" si="139"/>
        <v>1283952.2775872673</v>
      </c>
      <c r="AJ196" s="96">
        <f t="shared" si="139"/>
        <v>1295943.4446525325</v>
      </c>
      <c r="AK196" s="96">
        <f t="shared" si="139"/>
        <v>401394.96678470075</v>
      </c>
      <c r="AL196" s="96">
        <f t="shared" si="139"/>
        <v>-657821.87225437816</v>
      </c>
      <c r="AM196" s="96">
        <f t="shared" si="139"/>
        <v>1296550.9191041517</v>
      </c>
      <c r="AN196" s="96">
        <f t="shared" si="139"/>
        <v>1361618.0147949506</v>
      </c>
      <c r="AO196" s="96">
        <f t="shared" si="139"/>
        <v>9356656.751536753</v>
      </c>
      <c r="AP196" s="96">
        <f>AP179/31</f>
        <v>1360233.4319526297</v>
      </c>
      <c r="AQ196" s="96">
        <f t="shared" si="139"/>
        <v>13921614.104232965</v>
      </c>
    </row>
    <row r="197" spans="1:43" x14ac:dyDescent="0.2">
      <c r="A197" s="32" t="s">
        <v>74</v>
      </c>
      <c r="B197" s="95">
        <f t="shared" ref="B197:AO197" si="141">B180/30</f>
        <v>21261.266666666666</v>
      </c>
      <c r="C197" s="95">
        <f t="shared" si="141"/>
        <v>2867852.0666666669</v>
      </c>
      <c r="D197" s="95">
        <f t="shared" si="141"/>
        <v>3959133.5666666669</v>
      </c>
      <c r="E197" s="95">
        <f t="shared" si="141"/>
        <v>5228334.4666666668</v>
      </c>
      <c r="F197" s="95">
        <f t="shared" si="141"/>
        <v>5593633.2333333334</v>
      </c>
      <c r="G197" s="95">
        <f t="shared" si="141"/>
        <v>6664060.8666666662</v>
      </c>
      <c r="H197" s="95">
        <f t="shared" si="141"/>
        <v>8613296.5</v>
      </c>
      <c r="I197" s="95">
        <f t="shared" si="141"/>
        <v>9246043.0666666664</v>
      </c>
      <c r="J197" s="95">
        <f t="shared" si="141"/>
        <v>7312825.4666666668</v>
      </c>
      <c r="K197" s="95">
        <f t="shared" si="141"/>
        <v>8188460.1333333338</v>
      </c>
      <c r="L197" s="95">
        <f t="shared" si="141"/>
        <v>8939324</v>
      </c>
      <c r="M197" s="95">
        <f t="shared" si="141"/>
        <v>9489976.5</v>
      </c>
      <c r="N197" s="95">
        <f t="shared" si="141"/>
        <v>10543219.300000001</v>
      </c>
      <c r="O197" s="95">
        <f t="shared" si="141"/>
        <v>14696680.866666667</v>
      </c>
      <c r="P197" s="95">
        <f t="shared" si="141"/>
        <v>17012710</v>
      </c>
      <c r="Q197" s="96">
        <f t="shared" si="141"/>
        <v>12810223.749721522</v>
      </c>
      <c r="R197" s="96">
        <f t="shared" si="141"/>
        <v>12985425.885780107</v>
      </c>
      <c r="S197" s="96">
        <f t="shared" si="141"/>
        <v>13715660.58033851</v>
      </c>
      <c r="T197" s="96">
        <f t="shared" si="141"/>
        <v>13038932.833131669</v>
      </c>
      <c r="U197" s="96">
        <f t="shared" si="141"/>
        <v>13563471.608117865</v>
      </c>
      <c r="V197" s="96">
        <f t="shared" si="141"/>
        <v>13896639.576058682</v>
      </c>
      <c r="W197" s="96">
        <f t="shared" si="141"/>
        <v>14545645.288960753</v>
      </c>
      <c r="X197" s="96">
        <f t="shared" si="141"/>
        <v>16366587.114491021</v>
      </c>
      <c r="Y197" s="96">
        <f t="shared" si="141"/>
        <v>16004450.755859798</v>
      </c>
      <c r="Z197" s="96">
        <f t="shared" si="141"/>
        <v>15566619.6442763</v>
      </c>
      <c r="AA197" s="96">
        <f t="shared" si="141"/>
        <v>16000489.936828246</v>
      </c>
      <c r="AB197" s="96">
        <f t="shared" si="141"/>
        <v>15884205.585534433</v>
      </c>
      <c r="AC197" s="96">
        <f t="shared" si="141"/>
        <v>16841954.829965975</v>
      </c>
      <c r="AD197" s="96">
        <f t="shared" si="141"/>
        <v>18168535.19935374</v>
      </c>
      <c r="AE197" s="96">
        <f t="shared" si="141"/>
        <v>17772018.736289036</v>
      </c>
      <c r="AF197" s="96">
        <f t="shared" si="141"/>
        <v>15114845.53699249</v>
      </c>
      <c r="AG197" s="96">
        <f t="shared" si="141"/>
        <v>16023151.021306302</v>
      </c>
      <c r="AH197" s="96">
        <f t="shared" si="141"/>
        <v>16817794.842294555</v>
      </c>
      <c r="AI197" s="96">
        <f t="shared" si="141"/>
        <v>1332481.4371253378</v>
      </c>
      <c r="AJ197" s="96">
        <f t="shared" si="141"/>
        <v>1344911.8428326421</v>
      </c>
      <c r="AK197" s="96">
        <f t="shared" si="141"/>
        <v>4427261.2623544689</v>
      </c>
      <c r="AL197" s="96">
        <f t="shared" si="141"/>
        <v>4311292.635583546</v>
      </c>
      <c r="AM197" s="96">
        <f t="shared" si="141"/>
        <v>1345203.7751102154</v>
      </c>
      <c r="AN197" s="96">
        <f t="shared" si="141"/>
        <v>1571141.945294258</v>
      </c>
      <c r="AO197" s="96">
        <f t="shared" si="141"/>
        <v>12481032.073292363</v>
      </c>
      <c r="AP197" s="96">
        <f>AP180/30</f>
        <v>1410406.0994916805</v>
      </c>
      <c r="AQ197" s="96">
        <f>AQ180/30</f>
        <v>14443824.524824325</v>
      </c>
    </row>
    <row r="198" spans="1:43" x14ac:dyDescent="0.2">
      <c r="A198" s="32" t="s">
        <v>75</v>
      </c>
      <c r="B198" s="95">
        <f t="shared" si="139"/>
        <v>1153137.3870967743</v>
      </c>
      <c r="C198" s="95">
        <f t="shared" si="139"/>
        <v>3092406.1612903224</v>
      </c>
      <c r="D198" s="95">
        <f t="shared" si="139"/>
        <v>3527641</v>
      </c>
      <c r="E198" s="95">
        <f t="shared" si="139"/>
        <v>5624561.4838709673</v>
      </c>
      <c r="F198" s="95">
        <f t="shared" si="139"/>
        <v>6461509.2580645159</v>
      </c>
      <c r="G198" s="95">
        <f t="shared" si="139"/>
        <v>7022633.1612903224</v>
      </c>
      <c r="H198" s="95">
        <f t="shared" si="139"/>
        <v>7268998.1935483869</v>
      </c>
      <c r="I198" s="95">
        <f t="shared" si="139"/>
        <v>8205691.5483870972</v>
      </c>
      <c r="J198" s="95">
        <f t="shared" si="139"/>
        <v>7063508.6129032262</v>
      </c>
      <c r="K198" s="95">
        <f t="shared" si="139"/>
        <v>8761031.4193548393</v>
      </c>
      <c r="L198" s="95">
        <f t="shared" si="139"/>
        <v>8400761.7419354841</v>
      </c>
      <c r="M198" s="95">
        <f t="shared" si="139"/>
        <v>7829077.6774193551</v>
      </c>
      <c r="N198" s="95">
        <f t="shared" si="139"/>
        <v>8849047.4838709682</v>
      </c>
      <c r="O198" s="95">
        <f t="shared" si="139"/>
        <v>13208617.612903226</v>
      </c>
      <c r="P198" s="95">
        <f>P181/30</f>
        <v>17023254</v>
      </c>
      <c r="Q198" s="96">
        <f t="shared" si="139"/>
        <v>11861124.820745187</v>
      </c>
      <c r="R198" s="96">
        <f t="shared" si="139"/>
        <v>11709531.017421169</v>
      </c>
      <c r="S198" s="96">
        <f t="shared" si="139"/>
        <v>12502680.511738084</v>
      </c>
      <c r="T198" s="96">
        <f t="shared" si="139"/>
        <v>11912495.700137796</v>
      </c>
      <c r="U198" s="96">
        <f t="shared" si="139"/>
        <v>12379341.843118122</v>
      </c>
      <c r="V198" s="96">
        <f t="shared" si="139"/>
        <v>12755677.975004787</v>
      </c>
      <c r="W198" s="96">
        <f t="shared" si="139"/>
        <v>13352666.816988803</v>
      </c>
      <c r="X198" s="96">
        <f t="shared" si="139"/>
        <v>15134327.762206461</v>
      </c>
      <c r="Y198" s="96">
        <f t="shared" si="139"/>
        <v>14809054.747035349</v>
      </c>
      <c r="Z198" s="96">
        <f t="shared" si="139"/>
        <v>14400917.243525682</v>
      </c>
      <c r="AA198" s="96">
        <f t="shared" si="139"/>
        <v>14820062.092263002</v>
      </c>
      <c r="AB198" s="96">
        <f t="shared" si="139"/>
        <v>14847666.396350123</v>
      </c>
      <c r="AC198" s="96">
        <f t="shared" si="139"/>
        <v>15790541.384894067</v>
      </c>
      <c r="AD198" s="96">
        <f t="shared" si="139"/>
        <v>17055653.558132388</v>
      </c>
      <c r="AE198" s="96">
        <f t="shared" si="139"/>
        <v>16676072.161289796</v>
      </c>
      <c r="AF198" s="96">
        <f t="shared" si="139"/>
        <v>14148500.457812754</v>
      </c>
      <c r="AG198" s="96">
        <f t="shared" si="139"/>
        <v>15010326.863542303</v>
      </c>
      <c r="AH198" s="96">
        <f t="shared" si="139"/>
        <v>15759575.295810649</v>
      </c>
      <c r="AI198" s="96">
        <f t="shared" si="139"/>
        <v>1222689.6549072992</v>
      </c>
      <c r="AJ198" s="96">
        <f t="shared" si="139"/>
        <v>1234605.3815000867</v>
      </c>
      <c r="AK198" s="96">
        <f t="shared" si="139"/>
        <v>4570870.4505900685</v>
      </c>
      <c r="AL198" s="96">
        <f t="shared" si="139"/>
        <v>1260724.9065464924</v>
      </c>
      <c r="AM198" s="96">
        <f t="shared" si="139"/>
        <v>1234868.8583753591</v>
      </c>
      <c r="AN198" s="96">
        <f t="shared" si="139"/>
        <v>1477448.2521294425</v>
      </c>
      <c r="AO198" s="96">
        <f t="shared" si="139"/>
        <v>12013004.546915893</v>
      </c>
      <c r="AP198" s="96">
        <f>AP181/31</f>
        <v>1297673.4307017396</v>
      </c>
      <c r="AQ198" s="96">
        <f t="shared" si="139"/>
        <v>13550642.079924984</v>
      </c>
    </row>
    <row r="199" spans="1:43" x14ac:dyDescent="0.2">
      <c r="A199" s="32" t="s">
        <v>76</v>
      </c>
      <c r="B199" s="95">
        <f t="shared" si="139"/>
        <v>1028360.3225806452</v>
      </c>
      <c r="C199" s="95">
        <f t="shared" si="139"/>
        <v>3615926.2903225808</v>
      </c>
      <c r="D199" s="95">
        <f t="shared" si="139"/>
        <v>3424699.6451612902</v>
      </c>
      <c r="E199" s="95">
        <f t="shared" si="139"/>
        <v>6425062.935483871</v>
      </c>
      <c r="F199" s="95">
        <f t="shared" si="139"/>
        <v>5133138.5161290327</v>
      </c>
      <c r="G199" s="95">
        <f t="shared" si="139"/>
        <v>6514641.0967741935</v>
      </c>
      <c r="H199" s="95">
        <f t="shared" si="139"/>
        <v>9457070.9677419346</v>
      </c>
      <c r="I199" s="95">
        <f t="shared" si="139"/>
        <v>8349045</v>
      </c>
      <c r="J199" s="95">
        <f t="shared" si="139"/>
        <v>7697799.7096774196</v>
      </c>
      <c r="K199" s="95">
        <f t="shared" si="139"/>
        <v>7254546.3870967738</v>
      </c>
      <c r="L199" s="95">
        <f t="shared" si="139"/>
        <v>8344785.7419354841</v>
      </c>
      <c r="M199" s="95">
        <f t="shared" si="139"/>
        <v>9109059.7419354841</v>
      </c>
      <c r="N199" s="95">
        <f t="shared" si="139"/>
        <v>10014303.064516129</v>
      </c>
      <c r="O199" s="95">
        <f t="shared" si="139"/>
        <v>14791426.161290323</v>
      </c>
      <c r="P199" s="95">
        <f>P182/31</f>
        <v>14441565.225806452</v>
      </c>
      <c r="Q199" s="96">
        <f t="shared" si="139"/>
        <v>12246710.722163079</v>
      </c>
      <c r="R199" s="96">
        <f t="shared" si="139"/>
        <v>12097523.741867535</v>
      </c>
      <c r="S199" s="96">
        <f t="shared" si="139"/>
        <v>12808928.909222946</v>
      </c>
      <c r="T199" s="96">
        <f t="shared" si="139"/>
        <v>12126594.483316055</v>
      </c>
      <c r="U199" s="96">
        <f t="shared" si="139"/>
        <v>12677036.265841722</v>
      </c>
      <c r="V199" s="96">
        <f t="shared" si="139"/>
        <v>13129201.932913058</v>
      </c>
      <c r="W199" s="96">
        <f t="shared" si="139"/>
        <v>13727659.096060507</v>
      </c>
      <c r="X199" s="96">
        <f t="shared" si="139"/>
        <v>15538959.848154614</v>
      </c>
      <c r="Y199" s="96">
        <f t="shared" si="139"/>
        <v>15203301.841188481</v>
      </c>
      <c r="Z199" s="96">
        <f t="shared" si="139"/>
        <v>14807870.879558373</v>
      </c>
      <c r="AA199" s="96">
        <f t="shared" si="139"/>
        <v>15239649.941759977</v>
      </c>
      <c r="AB199" s="96">
        <f t="shared" si="139"/>
        <v>15289248.495674483</v>
      </c>
      <c r="AC199" s="96">
        <f t="shared" si="139"/>
        <v>16248873.994228013</v>
      </c>
      <c r="AD199" s="96">
        <f t="shared" si="139"/>
        <v>17542727.016042873</v>
      </c>
      <c r="AE199" s="96">
        <f t="shared" si="139"/>
        <v>17166994.769976012</v>
      </c>
      <c r="AF199" s="96">
        <f t="shared" si="139"/>
        <v>14587650.751701137</v>
      </c>
      <c r="AG199" s="96">
        <f t="shared" si="139"/>
        <v>15464074.924107458</v>
      </c>
      <c r="AH199" s="96">
        <f t="shared" si="139"/>
        <v>16233874.740316149</v>
      </c>
      <c r="AI199" s="96">
        <f t="shared" si="139"/>
        <v>1286286.0978439178</v>
      </c>
      <c r="AJ199" s="96">
        <f t="shared" si="139"/>
        <v>1298716.589461803</v>
      </c>
      <c r="AK199" s="96">
        <f t="shared" si="139"/>
        <v>1996981.9711273306</v>
      </c>
      <c r="AL199" s="96">
        <f t="shared" si="139"/>
        <v>-519855.34911432356</v>
      </c>
      <c r="AM199" s="96">
        <f t="shared" si="139"/>
        <v>1298956.8363520079</v>
      </c>
      <c r="AN199" s="96">
        <f t="shared" si="139"/>
        <v>1604454.4042876128</v>
      </c>
      <c r="AO199" s="96">
        <f t="shared" si="139"/>
        <v>10197132.096927397</v>
      </c>
      <c r="AP199" s="96">
        <f>AP182/31</f>
        <v>1363898.8442404745</v>
      </c>
      <c r="AQ199" s="96">
        <f t="shared" si="139"/>
        <v>13932696.906511346</v>
      </c>
    </row>
    <row r="200" spans="1:43" x14ac:dyDescent="0.2">
      <c r="A200" s="32" t="s">
        <v>77</v>
      </c>
      <c r="B200" s="95">
        <f t="shared" ref="B200:AQ200" si="142">B183/30</f>
        <v>1263104.6666666667</v>
      </c>
      <c r="C200" s="95">
        <f t="shared" si="142"/>
        <v>4168273.4333333331</v>
      </c>
      <c r="D200" s="95">
        <f t="shared" si="142"/>
        <v>3263187.4666666668</v>
      </c>
      <c r="E200" s="95">
        <f t="shared" si="142"/>
        <v>6211379.4333333336</v>
      </c>
      <c r="F200" s="95">
        <f t="shared" si="142"/>
        <v>5321927.7</v>
      </c>
      <c r="G200" s="95">
        <f t="shared" si="142"/>
        <v>6114173.5333333332</v>
      </c>
      <c r="H200" s="95">
        <f t="shared" si="142"/>
        <v>9452973.6333333328</v>
      </c>
      <c r="I200" s="95">
        <f t="shared" si="142"/>
        <v>7564713.5333333332</v>
      </c>
      <c r="J200" s="95">
        <f t="shared" si="142"/>
        <v>7443359.6333333338</v>
      </c>
      <c r="K200" s="95">
        <f t="shared" si="142"/>
        <v>7644910.666666667</v>
      </c>
      <c r="L200" s="95">
        <f t="shared" si="142"/>
        <v>9577395.7666666675</v>
      </c>
      <c r="M200" s="95">
        <f t="shared" si="142"/>
        <v>8645420.6999999993</v>
      </c>
      <c r="N200" s="95">
        <f t="shared" si="142"/>
        <v>10871804.733333332</v>
      </c>
      <c r="O200" s="95">
        <f t="shared" si="142"/>
        <v>14442052.466666667</v>
      </c>
      <c r="P200" s="96">
        <f t="shared" si="142"/>
        <v>15473195.233333332</v>
      </c>
      <c r="Q200" s="96">
        <f t="shared" si="142"/>
        <v>12658819.397684451</v>
      </c>
      <c r="R200" s="96">
        <f t="shared" si="142"/>
        <v>12536935.366311956</v>
      </c>
      <c r="S200" s="96">
        <f t="shared" si="142"/>
        <v>13263363.901692659</v>
      </c>
      <c r="T200" s="96">
        <f t="shared" si="142"/>
        <v>12484512.055394553</v>
      </c>
      <c r="U200" s="96">
        <f t="shared" si="142"/>
        <v>13060738.143421214</v>
      </c>
      <c r="V200" s="96">
        <f t="shared" si="142"/>
        <v>13554468.346640686</v>
      </c>
      <c r="W200" s="96">
        <f t="shared" si="142"/>
        <v>14174726.529898576</v>
      </c>
      <c r="X200" s="96">
        <f t="shared" si="142"/>
        <v>16040265.056781672</v>
      </c>
      <c r="Y200" s="96">
        <f t="shared" si="142"/>
        <v>15692072.959402053</v>
      </c>
      <c r="Z200" s="96">
        <f t="shared" si="142"/>
        <v>15285753.95423973</v>
      </c>
      <c r="AA200" s="96">
        <f t="shared" si="142"/>
        <v>15750615.642552754</v>
      </c>
      <c r="AB200" s="96">
        <f t="shared" si="142"/>
        <v>15813224.647558998</v>
      </c>
      <c r="AC200" s="96">
        <f t="shared" si="142"/>
        <v>16853773.461874347</v>
      </c>
      <c r="AD200" s="96">
        <f t="shared" si="142"/>
        <v>18208856.166802768</v>
      </c>
      <c r="AE200" s="96">
        <f t="shared" si="142"/>
        <v>17839824.151878309</v>
      </c>
      <c r="AF200" s="96">
        <f t="shared" si="142"/>
        <v>15189741.649083463</v>
      </c>
      <c r="AG200" s="96">
        <f t="shared" si="142"/>
        <v>16100778.472304609</v>
      </c>
      <c r="AH200" s="96">
        <f t="shared" si="142"/>
        <v>16907424.170945711</v>
      </c>
      <c r="AI200" s="96">
        <f t="shared" si="142"/>
        <v>1272204.6304815575</v>
      </c>
      <c r="AJ200" s="96">
        <f t="shared" si="142"/>
        <v>1284376.3798611087</v>
      </c>
      <c r="AK200" s="96">
        <f t="shared" si="142"/>
        <v>3015287.3248464437</v>
      </c>
      <c r="AL200" s="96">
        <f t="shared" si="142"/>
        <v>1860340.009673231</v>
      </c>
      <c r="AM200" s="96">
        <f t="shared" si="142"/>
        <v>1284546.7695210017</v>
      </c>
      <c r="AN200" s="96">
        <f t="shared" si="142"/>
        <v>1513310.0842352654</v>
      </c>
      <c r="AO200" s="96">
        <f t="shared" si="142"/>
        <v>11138604.690682609</v>
      </c>
      <c r="AP200" s="96">
        <f>AP183/30</f>
        <v>1348075.4956061323</v>
      </c>
      <c r="AQ200" s="96">
        <f t="shared" si="142"/>
        <v>14590084.222450869</v>
      </c>
    </row>
    <row r="201" spans="1:43" x14ac:dyDescent="0.2">
      <c r="A201" s="32" t="s">
        <v>78</v>
      </c>
      <c r="B201" s="95">
        <f t="shared" si="139"/>
        <v>1430102.4193548388</v>
      </c>
      <c r="C201" s="95">
        <f t="shared" si="139"/>
        <v>3981280.6129032257</v>
      </c>
      <c r="D201" s="95">
        <f t="shared" si="139"/>
        <v>3215720.1612903224</v>
      </c>
      <c r="E201" s="95">
        <f t="shared" si="139"/>
        <v>6565861.4838709673</v>
      </c>
      <c r="F201" s="95">
        <f t="shared" si="139"/>
        <v>5583649.064516129</v>
      </c>
      <c r="G201" s="95">
        <f t="shared" si="139"/>
        <v>6491735.9032258065</v>
      </c>
      <c r="H201" s="95">
        <f t="shared" si="139"/>
        <v>8073812.8387096776</v>
      </c>
      <c r="I201" s="95">
        <f t="shared" si="139"/>
        <v>7738150.8709677421</v>
      </c>
      <c r="J201" s="95">
        <f t="shared" si="139"/>
        <v>7739849.2580645159</v>
      </c>
      <c r="K201" s="95">
        <f t="shared" si="139"/>
        <v>8081686.7741935486</v>
      </c>
      <c r="L201" s="95">
        <f t="shared" si="139"/>
        <v>7089001.5806451617</v>
      </c>
      <c r="M201" s="95">
        <f t="shared" si="139"/>
        <v>8956342.935483871</v>
      </c>
      <c r="N201" s="95">
        <f t="shared" si="139"/>
        <v>9899028.3548387103</v>
      </c>
      <c r="O201" s="95">
        <f t="shared" si="139"/>
        <v>15120565.64516129</v>
      </c>
      <c r="P201" s="96">
        <f t="shared" si="139"/>
        <v>15543490.322580645</v>
      </c>
      <c r="Q201" s="96">
        <f t="shared" si="139"/>
        <v>12839571.555182012</v>
      </c>
      <c r="R201" s="96">
        <f t="shared" si="139"/>
        <v>13055453.121005265</v>
      </c>
      <c r="S201" s="96">
        <f t="shared" si="139"/>
        <v>13861092.586512711</v>
      </c>
      <c r="T201" s="96">
        <f t="shared" si="139"/>
        <v>13214055.851330062</v>
      </c>
      <c r="U201" s="96">
        <f t="shared" si="139"/>
        <v>13595011.583508996</v>
      </c>
      <c r="V201" s="96">
        <f t="shared" si="139"/>
        <v>14089269.474663079</v>
      </c>
      <c r="W201" s="96">
        <f t="shared" si="139"/>
        <v>14794953.293282868</v>
      </c>
      <c r="X201" s="96">
        <f t="shared" si="139"/>
        <v>16744205.063534014</v>
      </c>
      <c r="Y201" s="96">
        <f t="shared" si="139"/>
        <v>16385513.202331349</v>
      </c>
      <c r="Z201" s="96">
        <f t="shared" si="139"/>
        <v>15927018.825210953</v>
      </c>
      <c r="AA201" s="96">
        <f t="shared" si="139"/>
        <v>16426260.055422917</v>
      </c>
      <c r="AB201" s="96">
        <f t="shared" si="139"/>
        <v>16500475.022850459</v>
      </c>
      <c r="AC201" s="96">
        <f t="shared" si="139"/>
        <v>17626914.006325647</v>
      </c>
      <c r="AD201" s="96">
        <f t="shared" si="139"/>
        <v>19052904.450424936</v>
      </c>
      <c r="AE201" s="96">
        <f t="shared" si="139"/>
        <v>18667970.658095408</v>
      </c>
      <c r="AF201" s="96">
        <f t="shared" si="139"/>
        <v>15909980.951341297</v>
      </c>
      <c r="AG201" s="96">
        <f t="shared" si="139"/>
        <v>16869942.334142659</v>
      </c>
      <c r="AH201" s="96">
        <f t="shared" si="139"/>
        <v>17719778.156197075</v>
      </c>
      <c r="AI201" s="96">
        <f t="shared" si="139"/>
        <v>1279298.6260417029</v>
      </c>
      <c r="AJ201" s="96">
        <f t="shared" si="139"/>
        <v>1291263.040052901</v>
      </c>
      <c r="AK201" s="96">
        <f t="shared" si="139"/>
        <v>2568838.2718361602</v>
      </c>
      <c r="AL201" s="96">
        <f t="shared" si="139"/>
        <v>1496713.7293548498</v>
      </c>
      <c r="AM201" s="96">
        <f t="shared" si="139"/>
        <v>1291528.5934956609</v>
      </c>
      <c r="AN201" s="96">
        <f t="shared" si="139"/>
        <v>1513924.4927297819</v>
      </c>
      <c r="AO201" s="96">
        <f t="shared" si="139"/>
        <v>11032769.88034418</v>
      </c>
      <c r="AP201" s="96">
        <f>AP184/31</f>
        <v>1354314.1852310237</v>
      </c>
      <c r="AQ201" s="96">
        <f t="shared" si="139"/>
        <v>15354248.387110589</v>
      </c>
    </row>
    <row r="202" spans="1:43" x14ac:dyDescent="0.2">
      <c r="A202" s="32" t="s">
        <v>79</v>
      </c>
      <c r="B202" s="95">
        <f t="shared" ref="B202:AQ202" si="143">B185/30</f>
        <v>1282155.3666666667</v>
      </c>
      <c r="C202" s="95">
        <f t="shared" si="143"/>
        <v>3797071.8333333335</v>
      </c>
      <c r="D202" s="95">
        <f t="shared" si="143"/>
        <v>2825923.0333333332</v>
      </c>
      <c r="E202" s="95">
        <f t="shared" si="143"/>
        <v>6444018.4666666668</v>
      </c>
      <c r="F202" s="95">
        <f t="shared" si="143"/>
        <v>5840361.666666667</v>
      </c>
      <c r="G202" s="95">
        <f t="shared" si="143"/>
        <v>6018987.7666666666</v>
      </c>
      <c r="H202" s="95">
        <f t="shared" si="143"/>
        <v>8880876.6333333328</v>
      </c>
      <c r="I202" s="95">
        <f t="shared" si="143"/>
        <v>7459968.5666666664</v>
      </c>
      <c r="J202" s="95">
        <f t="shared" si="143"/>
        <v>7438039.833333333</v>
      </c>
      <c r="K202" s="95">
        <f t="shared" si="143"/>
        <v>6934669.9333333336</v>
      </c>
      <c r="L202" s="95">
        <f t="shared" si="143"/>
        <v>8507277.0333333332</v>
      </c>
      <c r="M202" s="95">
        <f t="shared" si="143"/>
        <v>9849870.2666666675</v>
      </c>
      <c r="N202" s="95">
        <f t="shared" si="143"/>
        <v>12463766.199999999</v>
      </c>
      <c r="O202" s="95">
        <f t="shared" si="143"/>
        <v>14287583.6</v>
      </c>
      <c r="P202" s="96">
        <f t="shared" si="143"/>
        <v>15181439.566666666</v>
      </c>
      <c r="Q202" s="96">
        <f t="shared" si="143"/>
        <v>13653539.326792529</v>
      </c>
      <c r="R202" s="96">
        <f t="shared" si="143"/>
        <v>14847792.788607959</v>
      </c>
      <c r="S202" s="96">
        <f t="shared" si="143"/>
        <v>15845241.070775758</v>
      </c>
      <c r="T202" s="96">
        <f t="shared" si="143"/>
        <v>15136832.063425926</v>
      </c>
      <c r="U202" s="96">
        <f t="shared" si="143"/>
        <v>15578988.690259673</v>
      </c>
      <c r="V202" s="96">
        <f t="shared" si="143"/>
        <v>16244058.030751182</v>
      </c>
      <c r="W202" s="96">
        <f t="shared" si="143"/>
        <v>17120182.710106935</v>
      </c>
      <c r="X202" s="96">
        <f t="shared" si="143"/>
        <v>19528666.741897251</v>
      </c>
      <c r="Y202" s="96">
        <f t="shared" si="143"/>
        <v>19151077.943228561</v>
      </c>
      <c r="Z202" s="96">
        <f t="shared" si="143"/>
        <v>18623134.244988654</v>
      </c>
      <c r="AA202" s="96">
        <f t="shared" si="143"/>
        <v>19297516.125792421</v>
      </c>
      <c r="AB202" s="96">
        <f t="shared" si="143"/>
        <v>19666351.580695476</v>
      </c>
      <c r="AC202" s="96">
        <f t="shared" si="143"/>
        <v>21263031.419166606</v>
      </c>
      <c r="AD202" s="96">
        <f t="shared" si="143"/>
        <v>23071779.809508443</v>
      </c>
      <c r="AE202" s="96">
        <f t="shared" si="143"/>
        <v>22699277.693901289</v>
      </c>
      <c r="AF202" s="96">
        <f t="shared" si="143"/>
        <v>19447841.581183657</v>
      </c>
      <c r="AG202" s="96">
        <f t="shared" si="143"/>
        <v>20618024.544124685</v>
      </c>
      <c r="AH202" s="96">
        <f t="shared" si="143"/>
        <v>21685065.40635838</v>
      </c>
      <c r="AI202" s="96">
        <f t="shared" si="143"/>
        <v>1263812.6899074675</v>
      </c>
      <c r="AJ202" s="96">
        <f t="shared" si="143"/>
        <v>1275827.2236314216</v>
      </c>
      <c r="AK202" s="96">
        <f t="shared" si="143"/>
        <v>2883175.8318800437</v>
      </c>
      <c r="AL202" s="96">
        <f t="shared" si="143"/>
        <v>1010416.6259697616</v>
      </c>
      <c r="AM202" s="96">
        <f t="shared" si="143"/>
        <v>1275865.065872422</v>
      </c>
      <c r="AN202" s="96">
        <f t="shared" si="143"/>
        <v>1453763.967725354</v>
      </c>
      <c r="AO202" s="96">
        <f t="shared" si="143"/>
        <v>11125654.041592173</v>
      </c>
      <c r="AP202" s="96">
        <f>AP185/30</f>
        <v>1338005.925219499</v>
      </c>
      <c r="AQ202" s="96">
        <f t="shared" si="143"/>
        <v>19122187.640967201</v>
      </c>
    </row>
    <row r="203" spans="1:43" x14ac:dyDescent="0.2">
      <c r="A203" s="32" t="s">
        <v>80</v>
      </c>
      <c r="B203" s="95">
        <f t="shared" si="139"/>
        <v>1395408.5161290322</v>
      </c>
      <c r="C203" s="95">
        <f t="shared" si="139"/>
        <v>5411594.6451612907</v>
      </c>
      <c r="D203" s="95">
        <f t="shared" si="139"/>
        <v>2164677.7096774192</v>
      </c>
      <c r="E203" s="95">
        <f t="shared" si="139"/>
        <v>7982538.7419354841</v>
      </c>
      <c r="F203" s="95">
        <f t="shared" si="139"/>
        <v>7213167.6129032262</v>
      </c>
      <c r="G203" s="95">
        <f t="shared" si="139"/>
        <v>6197931.935483871</v>
      </c>
      <c r="H203" s="95">
        <f t="shared" si="139"/>
        <v>12218558.967741935</v>
      </c>
      <c r="I203" s="95">
        <f t="shared" si="139"/>
        <v>8086450.6129032262</v>
      </c>
      <c r="J203" s="95">
        <f t="shared" si="139"/>
        <v>9348365.7096774187</v>
      </c>
      <c r="K203" s="95">
        <f t="shared" si="139"/>
        <v>8132940.8387096776</v>
      </c>
      <c r="L203" s="95">
        <f t="shared" si="139"/>
        <v>9590105.0322580654</v>
      </c>
      <c r="M203" s="95">
        <f t="shared" si="139"/>
        <v>12496899.419354839</v>
      </c>
      <c r="N203" s="95">
        <f t="shared" si="139"/>
        <v>12347029.096774194</v>
      </c>
      <c r="O203" s="95">
        <f t="shared" si="139"/>
        <v>16997273.451612905</v>
      </c>
      <c r="P203" s="96">
        <f t="shared" si="139"/>
        <v>17985897.64516129</v>
      </c>
      <c r="Q203" s="96">
        <f t="shared" si="139"/>
        <v>22917362.622799892</v>
      </c>
      <c r="R203" s="96">
        <f t="shared" si="139"/>
        <v>17099687.315354221</v>
      </c>
      <c r="S203" s="96">
        <f t="shared" si="139"/>
        <v>18682584.548286155</v>
      </c>
      <c r="T203" s="96">
        <f t="shared" si="139"/>
        <v>18045105.356982831</v>
      </c>
      <c r="U203" s="96">
        <f t="shared" si="139"/>
        <v>19090662.292639777</v>
      </c>
      <c r="V203" s="96">
        <f t="shared" si="139"/>
        <v>20233474.655438829</v>
      </c>
      <c r="W203" s="96">
        <f t="shared" si="139"/>
        <v>20306333.006884482</v>
      </c>
      <c r="X203" s="96">
        <f t="shared" si="139"/>
        <v>23070824.031303953</v>
      </c>
      <c r="Y203" s="96">
        <f t="shared" si="139"/>
        <v>22012717.878597461</v>
      </c>
      <c r="Z203" s="96">
        <f t="shared" si="139"/>
        <v>21736264.673834063</v>
      </c>
      <c r="AA203" s="96">
        <f t="shared" si="139"/>
        <v>22348532.007580135</v>
      </c>
      <c r="AB203" s="96">
        <f t="shared" si="139"/>
        <v>22474952.640984785</v>
      </c>
      <c r="AC203" s="96">
        <f t="shared" si="139"/>
        <v>24032456.232096478</v>
      </c>
      <c r="AD203" s="96">
        <f t="shared" si="139"/>
        <v>25909594.952725593</v>
      </c>
      <c r="AE203" s="96">
        <f t="shared" si="139"/>
        <v>25434015.722811867</v>
      </c>
      <c r="AF203" s="96">
        <f t="shared" si="139"/>
        <v>21750384.877947707</v>
      </c>
      <c r="AG203" s="96">
        <f t="shared" si="139"/>
        <v>23048376.902320985</v>
      </c>
      <c r="AH203" s="96">
        <f t="shared" si="139"/>
        <v>24212502.621391539</v>
      </c>
      <c r="AI203" s="96">
        <f t="shared" si="139"/>
        <v>1745633.7059831778</v>
      </c>
      <c r="AJ203" s="96">
        <f t="shared" si="139"/>
        <v>1763585.8300592524</v>
      </c>
      <c r="AK203" s="96">
        <f t="shared" si="139"/>
        <v>2664653.3248218829</v>
      </c>
      <c r="AL203" s="96">
        <f t="shared" si="139"/>
        <v>3444890.0323830256</v>
      </c>
      <c r="AM203" s="96">
        <f t="shared" si="139"/>
        <v>1762574.8272819731</v>
      </c>
      <c r="AN203" s="96">
        <f t="shared" si="139"/>
        <v>1989711.823647392</v>
      </c>
      <c r="AO203" s="96">
        <f t="shared" si="139"/>
        <v>12935626.395747872</v>
      </c>
      <c r="AP203" s="96">
        <f>AP186/31</f>
        <v>1838405.7086087512</v>
      </c>
      <c r="AQ203" s="96">
        <f t="shared" si="139"/>
        <v>21008571.107162237</v>
      </c>
    </row>
    <row r="204" spans="1:43" x14ac:dyDescent="0.2">
      <c r="A204" s="32" t="s">
        <v>24</v>
      </c>
      <c r="B204" s="97">
        <f t="shared" ref="B204:AQ204" si="144">AVERAGE(B192:B203)</f>
        <v>638993.51569380437</v>
      </c>
      <c r="C204" s="97">
        <f t="shared" si="144"/>
        <v>3116195.4456285201</v>
      </c>
      <c r="D204" s="97">
        <f t="shared" si="144"/>
        <v>3168006.3625571621</v>
      </c>
      <c r="E204" s="97">
        <f t="shared" si="144"/>
        <v>5246122.2602534574</v>
      </c>
      <c r="F204" s="97">
        <f t="shared" si="144"/>
        <v>5250848.3047427041</v>
      </c>
      <c r="G204" s="97">
        <f t="shared" si="144"/>
        <v>5566499.7575716851</v>
      </c>
      <c r="H204" s="97">
        <f t="shared" si="144"/>
        <v>7676862.1621709317</v>
      </c>
      <c r="I204" s="97">
        <f t="shared" si="144"/>
        <v>7167583.0852598557</v>
      </c>
      <c r="J204" s="97">
        <f t="shared" si="144"/>
        <v>7203299.1229454679</v>
      </c>
      <c r="K204" s="97">
        <f t="shared" si="144"/>
        <v>7604919.4701164886</v>
      </c>
      <c r="L204" s="97">
        <f t="shared" si="144"/>
        <v>8154214.4537665313</v>
      </c>
      <c r="M204" s="97">
        <f t="shared" si="144"/>
        <v>8769965.76907322</v>
      </c>
      <c r="N204" s="97">
        <f t="shared" si="144"/>
        <v>10214235.117933948</v>
      </c>
      <c r="O204" s="97">
        <f t="shared" si="144"/>
        <v>13915843.181970045</v>
      </c>
      <c r="P204" s="98">
        <f t="shared" si="144"/>
        <v>15458766.400114322</v>
      </c>
      <c r="Q204" s="98">
        <f t="shared" si="144"/>
        <v>12845595.570772842</v>
      </c>
      <c r="R204" s="98">
        <f t="shared" si="144"/>
        <v>12637804.295781748</v>
      </c>
      <c r="S204" s="98">
        <f t="shared" si="144"/>
        <v>13390525.806150347</v>
      </c>
      <c r="T204" s="98">
        <f t="shared" si="144"/>
        <v>12693233.658739557</v>
      </c>
      <c r="U204" s="98">
        <f t="shared" si="144"/>
        <v>13225568.006530678</v>
      </c>
      <c r="V204" s="98">
        <f t="shared" si="144"/>
        <v>13636431.598907106</v>
      </c>
      <c r="W204" s="98">
        <f t="shared" si="144"/>
        <v>14298793.982501538</v>
      </c>
      <c r="X204" s="98">
        <f t="shared" si="144"/>
        <v>16123580.673061455</v>
      </c>
      <c r="Y204" s="98">
        <f t="shared" si="144"/>
        <v>15818906.761966655</v>
      </c>
      <c r="Z204" s="98">
        <f t="shared" si="144"/>
        <v>15387603.063048055</v>
      </c>
      <c r="AA204" s="98">
        <f t="shared" si="144"/>
        <v>15849888.743102768</v>
      </c>
      <c r="AB204" s="98">
        <f t="shared" si="144"/>
        <v>15848309.696267024</v>
      </c>
      <c r="AC204" s="98">
        <f t="shared" si="144"/>
        <v>16945006.934630435</v>
      </c>
      <c r="AD204" s="98">
        <f t="shared" si="144"/>
        <v>18306543.69801629</v>
      </c>
      <c r="AE204" s="98">
        <f t="shared" si="144"/>
        <v>17928144.875676144</v>
      </c>
      <c r="AF204" s="98">
        <f t="shared" si="144"/>
        <v>15227861.207594894</v>
      </c>
      <c r="AG204" s="98">
        <f t="shared" si="144"/>
        <v>16146467.893733911</v>
      </c>
      <c r="AH204" s="98">
        <f t="shared" si="144"/>
        <v>16957002.708376762</v>
      </c>
      <c r="AI204" s="98">
        <f t="shared" si="144"/>
        <v>1247415.4597292945</v>
      </c>
      <c r="AJ204" s="98">
        <f t="shared" si="144"/>
        <v>1258847.4074217274</v>
      </c>
      <c r="AK204" s="98">
        <f t="shared" si="144"/>
        <v>3072715.8172422592</v>
      </c>
      <c r="AL204" s="98">
        <f t="shared" si="144"/>
        <v>1355014.0527625328</v>
      </c>
      <c r="AM204" s="98">
        <f t="shared" si="144"/>
        <v>1259390.7425833258</v>
      </c>
      <c r="AN204" s="98">
        <f t="shared" si="144"/>
        <v>1456092.2505156405</v>
      </c>
      <c r="AO204" s="98">
        <f t="shared" si="144"/>
        <v>10863339.283129968</v>
      </c>
      <c r="AP204" s="98">
        <f>AVERAGE(AP192:AP203)</f>
        <v>1319990.7956231034</v>
      </c>
      <c r="AQ204" s="98">
        <f t="shared" si="144"/>
        <v>14703807.532392839</v>
      </c>
    </row>
    <row r="207" spans="1:43" x14ac:dyDescent="0.2">
      <c r="A207" s="61" t="s">
        <v>123</v>
      </c>
    </row>
    <row r="208" spans="1:43" s="61" customFormat="1" x14ac:dyDescent="0.2">
      <c r="A208" s="61" t="s">
        <v>122</v>
      </c>
      <c r="B208" s="61">
        <f>B2</f>
        <v>2010</v>
      </c>
      <c r="C208" s="61">
        <f>C2</f>
        <v>2011</v>
      </c>
      <c r="D208" s="61">
        <f t="shared" ref="D208:AQ208" si="145">D2</f>
        <v>2012</v>
      </c>
      <c r="E208" s="61">
        <f t="shared" si="145"/>
        <v>2013</v>
      </c>
      <c r="F208" s="61">
        <f t="shared" si="145"/>
        <v>2014</v>
      </c>
      <c r="G208" s="61">
        <f t="shared" si="145"/>
        <v>2015</v>
      </c>
      <c r="H208" s="61">
        <f t="shared" si="145"/>
        <v>2016</v>
      </c>
      <c r="I208" s="61">
        <f t="shared" si="145"/>
        <v>2017</v>
      </c>
      <c r="J208" s="61">
        <f t="shared" si="145"/>
        <v>2018</v>
      </c>
      <c r="K208" s="61">
        <f t="shared" si="145"/>
        <v>2019</v>
      </c>
      <c r="L208" s="61">
        <f t="shared" si="145"/>
        <v>2020</v>
      </c>
      <c r="M208" s="61">
        <f t="shared" si="145"/>
        <v>2021</v>
      </c>
      <c r="N208" s="61">
        <f t="shared" si="145"/>
        <v>2022</v>
      </c>
      <c r="O208" s="61">
        <f t="shared" si="145"/>
        <v>2023</v>
      </c>
      <c r="P208" s="61">
        <f t="shared" si="145"/>
        <v>2024</v>
      </c>
      <c r="Q208" s="61">
        <f t="shared" si="145"/>
        <v>2025</v>
      </c>
      <c r="R208" s="32">
        <f t="shared" si="145"/>
        <v>2026</v>
      </c>
      <c r="S208" s="32">
        <f t="shared" si="145"/>
        <v>2027</v>
      </c>
      <c r="T208" s="32">
        <f t="shared" si="145"/>
        <v>2028</v>
      </c>
      <c r="U208" s="32">
        <f t="shared" si="145"/>
        <v>2029</v>
      </c>
      <c r="V208" s="32">
        <f t="shared" si="145"/>
        <v>2030</v>
      </c>
      <c r="W208" s="32">
        <f t="shared" si="145"/>
        <v>2031</v>
      </c>
      <c r="X208" s="32">
        <f t="shared" si="145"/>
        <v>2032</v>
      </c>
      <c r="Y208" s="32">
        <f t="shared" si="145"/>
        <v>2033</v>
      </c>
      <c r="Z208" s="32">
        <f t="shared" si="145"/>
        <v>2034</v>
      </c>
      <c r="AA208" s="32">
        <f t="shared" si="145"/>
        <v>2035</v>
      </c>
      <c r="AB208" s="32">
        <f t="shared" si="145"/>
        <v>2036</v>
      </c>
      <c r="AC208" s="32">
        <f t="shared" si="145"/>
        <v>2037</v>
      </c>
      <c r="AD208" s="32">
        <f t="shared" si="145"/>
        <v>2038</v>
      </c>
      <c r="AE208" s="32">
        <f t="shared" si="145"/>
        <v>2039</v>
      </c>
      <c r="AF208" s="32">
        <f t="shared" si="145"/>
        <v>2040</v>
      </c>
      <c r="AG208" s="32">
        <f t="shared" si="145"/>
        <v>2041</v>
      </c>
      <c r="AH208" s="32">
        <f t="shared" si="145"/>
        <v>2042</v>
      </c>
      <c r="AI208" s="32">
        <f t="shared" si="145"/>
        <v>2043</v>
      </c>
      <c r="AJ208" s="32">
        <f t="shared" si="145"/>
        <v>2044</v>
      </c>
      <c r="AK208" s="32">
        <f t="shared" si="145"/>
        <v>2045</v>
      </c>
      <c r="AL208" s="32">
        <f t="shared" si="145"/>
        <v>2046</v>
      </c>
      <c r="AM208" s="32">
        <f t="shared" si="145"/>
        <v>2047</v>
      </c>
      <c r="AN208" s="32">
        <f t="shared" si="145"/>
        <v>2048</v>
      </c>
      <c r="AO208" s="32">
        <f t="shared" si="145"/>
        <v>2049</v>
      </c>
      <c r="AP208" s="32">
        <f>AP2</f>
        <v>2050</v>
      </c>
      <c r="AQ208" s="61">
        <f t="shared" si="145"/>
        <v>2041</v>
      </c>
    </row>
    <row r="209" spans="1:43" x14ac:dyDescent="0.2">
      <c r="A209" s="32" t="s">
        <v>70</v>
      </c>
      <c r="C209" s="35">
        <f>C192-B203</f>
        <v>-106959.93548387103</v>
      </c>
      <c r="D209" s="35">
        <f t="shared" ref="D209:M209" si="146">D192-C203</f>
        <v>-3302772.8709677421</v>
      </c>
      <c r="E209" s="35">
        <f t="shared" si="146"/>
        <v>429588.80645161308</v>
      </c>
      <c r="F209" s="35">
        <f t="shared" si="146"/>
        <v>-5142886.3548387103</v>
      </c>
      <c r="G209" s="35">
        <f t="shared" si="146"/>
        <v>-4248313.1935483869</v>
      </c>
      <c r="H209" s="35">
        <f t="shared" si="146"/>
        <v>-2132101.8064516131</v>
      </c>
      <c r="I209" s="35">
        <f t="shared" si="146"/>
        <v>-8149931.1612903215</v>
      </c>
      <c r="J209" s="35">
        <f t="shared" si="146"/>
        <v>-3229350.9032258065</v>
      </c>
      <c r="K209" s="35">
        <f t="shared" si="146"/>
        <v>-3791622.5806451607</v>
      </c>
      <c r="L209" s="35">
        <f t="shared" si="146"/>
        <v>-1802130.7096774196</v>
      </c>
      <c r="M209" s="35">
        <f t="shared" si="146"/>
        <v>-3175914.1612903234</v>
      </c>
      <c r="N209" s="35">
        <f>N192-M203</f>
        <v>-5235336.2580645168</v>
      </c>
      <c r="O209" s="35">
        <f>O192-N203</f>
        <v>-1691922.8064516131</v>
      </c>
      <c r="P209" s="35">
        <f t="shared" ref="P209:AP209" si="147">P192-O203</f>
        <v>-3594898.3225806467</v>
      </c>
      <c r="Q209" s="36">
        <f t="shared" si="147"/>
        <v>-8755625.3870967738</v>
      </c>
      <c r="R209" s="36">
        <f t="shared" si="147"/>
        <v>-13200492.667411445</v>
      </c>
      <c r="S209" s="36">
        <f t="shared" si="147"/>
        <v>-7107194.1269408129</v>
      </c>
      <c r="T209" s="36">
        <f t="shared" si="147"/>
        <v>-9156822.5440696664</v>
      </c>
      <c r="U209" s="36">
        <f t="shared" si="147"/>
        <v>-8243786.881537037</v>
      </c>
      <c r="V209" s="36">
        <f t="shared" si="147"/>
        <v>-9237371.0769756362</v>
      </c>
      <c r="W209" s="36">
        <f t="shared" si="147"/>
        <v>-9566809.6919510588</v>
      </c>
      <c r="X209" s="36">
        <f t="shared" si="147"/>
        <v>-8287759.4189065844</v>
      </c>
      <c r="Y209" s="36">
        <f t="shared" si="147"/>
        <v>-10669426.813540617</v>
      </c>
      <c r="Z209" s="36">
        <f t="shared" si="147"/>
        <v>-10245677.969162108</v>
      </c>
      <c r="AA209" s="36">
        <f t="shared" si="147"/>
        <v>-9587549.9835085683</v>
      </c>
      <c r="AB209" s="36">
        <f t="shared" si="147"/>
        <v>-10265497.431778884</v>
      </c>
      <c r="AC209" s="36">
        <f t="shared" si="147"/>
        <v>-9578305.1384706441</v>
      </c>
      <c r="AD209" s="36">
        <f t="shared" si="147"/>
        <v>-10052569.091959329</v>
      </c>
      <c r="AE209" s="36">
        <f t="shared" si="147"/>
        <v>-12268624.241598027</v>
      </c>
      <c r="AF209" s="36">
        <f t="shared" si="147"/>
        <v>-13847251.08593956</v>
      </c>
      <c r="AG209" s="36">
        <f t="shared" si="147"/>
        <v>-9462445.6636087969</v>
      </c>
      <c r="AH209" s="36">
        <f t="shared" si="147"/>
        <v>-10141709.900049651</v>
      </c>
      <c r="AI209" s="36">
        <f t="shared" si="147"/>
        <v>-23260342.245125398</v>
      </c>
      <c r="AJ209" s="36">
        <f t="shared" si="147"/>
        <v>-788919.41820534959</v>
      </c>
      <c r="AK209" s="36">
        <f t="shared" si="147"/>
        <v>1398815.8013271659</v>
      </c>
      <c r="AL209" s="36">
        <f t="shared" si="147"/>
        <v>-3932486.1336917635</v>
      </c>
      <c r="AM209" s="36">
        <f t="shared" si="147"/>
        <v>-2485653.565731429</v>
      </c>
      <c r="AN209" s="36">
        <f t="shared" si="147"/>
        <v>-621929.56540330476</v>
      </c>
      <c r="AO209" s="36">
        <f t="shared" si="147"/>
        <v>7037156.666064241</v>
      </c>
      <c r="AP209" s="36">
        <f t="shared" si="147"/>
        <v>-11929639.038272914</v>
      </c>
      <c r="AQ209" s="36">
        <f>AQ192-AF203</f>
        <v>-10601925.815980392</v>
      </c>
    </row>
    <row r="210" spans="1:43" x14ac:dyDescent="0.2">
      <c r="A210" s="32" t="s">
        <v>71</v>
      </c>
      <c r="B210" s="35">
        <f t="shared" ref="B210:AQ216" si="148">B193-B192</f>
        <v>3568.6635944700447</v>
      </c>
      <c r="C210" s="35">
        <f t="shared" si="148"/>
        <v>277054.45506912447</v>
      </c>
      <c r="D210" s="35">
        <f t="shared" si="148"/>
        <v>643215.29477196885</v>
      </c>
      <c r="E210" s="35">
        <f t="shared" si="148"/>
        <v>308722.55529953912</v>
      </c>
      <c r="F210" s="35">
        <f t="shared" si="148"/>
        <v>905478.43433179706</v>
      </c>
      <c r="G210" s="35">
        <f t="shared" si="148"/>
        <v>235194.33064516122</v>
      </c>
      <c r="H210" s="35">
        <f t="shared" si="148"/>
        <v>557139.28476084583</v>
      </c>
      <c r="I210" s="35">
        <f t="shared" si="148"/>
        <v>902648.94354838692</v>
      </c>
      <c r="J210" s="35">
        <f t="shared" si="148"/>
        <v>894893.46889400855</v>
      </c>
      <c r="K210" s="35">
        <f t="shared" si="148"/>
        <v>1216314.6209677421</v>
      </c>
      <c r="L210" s="35">
        <f t="shared" si="148"/>
        <v>744097.3882091213</v>
      </c>
      <c r="M210" s="35">
        <f t="shared" si="148"/>
        <v>671453.27188940067</v>
      </c>
      <c r="N210" s="35">
        <f t="shared" si="148"/>
        <v>1626219.6958525339</v>
      </c>
      <c r="O210" s="35">
        <f t="shared" si="148"/>
        <v>919781.67396313325</v>
      </c>
      <c r="P210" s="35">
        <f t="shared" si="148"/>
        <v>2599084.008898776</v>
      </c>
      <c r="Q210" s="36">
        <f t="shared" si="148"/>
        <v>278077.77764976956</v>
      </c>
      <c r="R210" s="36">
        <f t="shared" si="148"/>
        <v>2037607.565513745</v>
      </c>
      <c r="S210" s="36">
        <f t="shared" si="148"/>
        <v>2207301.4682711661</v>
      </c>
      <c r="T210" s="36">
        <f t="shared" si="148"/>
        <v>1728521.3219922297</v>
      </c>
      <c r="U210" s="36">
        <f t="shared" si="148"/>
        <v>2287344.2519034315</v>
      </c>
      <c r="V210" s="36">
        <f t="shared" si="148"/>
        <v>2166612.596910473</v>
      </c>
      <c r="W210" s="36">
        <f t="shared" si="148"/>
        <v>2324223.1897558048</v>
      </c>
      <c r="X210" s="36">
        <f t="shared" si="148"/>
        <v>2101991.2058304995</v>
      </c>
      <c r="Y210" s="36">
        <f t="shared" si="148"/>
        <v>1902414.0662512016</v>
      </c>
      <c r="Z210" s="36">
        <f t="shared" si="148"/>
        <v>2120438.4499860834</v>
      </c>
      <c r="AA210" s="36">
        <f t="shared" si="148"/>
        <v>2145863.4863418713</v>
      </c>
      <c r="AB210" s="36">
        <f t="shared" si="148"/>
        <v>1790609.2013125326</v>
      </c>
      <c r="AC210" s="36">
        <f t="shared" si="148"/>
        <v>2458818.1665364429</v>
      </c>
      <c r="AD210" s="36">
        <f t="shared" si="148"/>
        <v>2621730.3244407345</v>
      </c>
      <c r="AE210" s="36">
        <f t="shared" si="148"/>
        <v>2631069.5978192315</v>
      </c>
      <c r="AF210" s="36">
        <f t="shared" si="148"/>
        <v>1810710.7190842964</v>
      </c>
      <c r="AG210" s="36">
        <f t="shared" si="148"/>
        <v>1924553.4875097163</v>
      </c>
      <c r="AH210" s="36">
        <f t="shared" si="148"/>
        <v>2022761.9977638107</v>
      </c>
      <c r="AI210" s="36">
        <f t="shared" si="148"/>
        <v>51417.792858311208</v>
      </c>
      <c r="AJ210" s="36">
        <f t="shared" si="148"/>
        <v>55527.391938872985</v>
      </c>
      <c r="AK210" s="36">
        <f t="shared" si="148"/>
        <v>1912982.7483812305</v>
      </c>
      <c r="AL210" s="36">
        <f t="shared" si="148"/>
        <v>3379196.6823779559</v>
      </c>
      <c r="AM210" s="36">
        <f t="shared" si="148"/>
        <v>54338.843562699971</v>
      </c>
      <c r="AN210" s="36">
        <f t="shared" si="148"/>
        <v>22348.220592375845</v>
      </c>
      <c r="AO210" s="36">
        <f t="shared" si="148"/>
        <v>1751232.278370291</v>
      </c>
      <c r="AP210" s="36">
        <f t="shared" si="148"/>
        <v>54916.788079787395</v>
      </c>
      <c r="AQ210" s="36">
        <f t="shared" si="148"/>
        <v>2328168.4943529945</v>
      </c>
    </row>
    <row r="211" spans="1:43" x14ac:dyDescent="0.2">
      <c r="A211" s="32" t="s">
        <v>72</v>
      </c>
      <c r="B211" s="35">
        <f t="shared" si="148"/>
        <v>7177.1751152073739</v>
      </c>
      <c r="C211" s="35">
        <f t="shared" si="148"/>
        <v>729065.86751152086</v>
      </c>
      <c r="D211" s="35">
        <f t="shared" si="148"/>
        <v>766461.12458286947</v>
      </c>
      <c r="E211" s="35">
        <f t="shared" si="148"/>
        <v>1288736.8640552997</v>
      </c>
      <c r="F211" s="35">
        <f t="shared" si="148"/>
        <v>820751.59792626696</v>
      </c>
      <c r="G211" s="35">
        <f t="shared" si="148"/>
        <v>842266.99193548365</v>
      </c>
      <c r="H211" s="35">
        <f t="shared" si="148"/>
        <v>710534.77975528315</v>
      </c>
      <c r="I211" s="35">
        <f t="shared" si="148"/>
        <v>981244.15322580654</v>
      </c>
      <c r="J211" s="35">
        <f t="shared" si="148"/>
        <v>804732.56336405594</v>
      </c>
      <c r="K211" s="35">
        <f t="shared" si="148"/>
        <v>153234.66935483832</v>
      </c>
      <c r="L211" s="35">
        <f t="shared" si="148"/>
        <v>728521.09566184692</v>
      </c>
      <c r="M211" s="35">
        <f t="shared" si="148"/>
        <v>1399484.4700460834</v>
      </c>
      <c r="N211" s="35">
        <f t="shared" si="148"/>
        <v>1082993.4009216595</v>
      </c>
      <c r="O211" s="35">
        <f t="shared" si="148"/>
        <v>1183931.0357142854</v>
      </c>
      <c r="P211" s="35">
        <f t="shared" si="148"/>
        <v>-2928657.5250278078</v>
      </c>
      <c r="Q211" s="36">
        <f t="shared" si="148"/>
        <v>1757959.8029953912</v>
      </c>
      <c r="R211" s="36">
        <f t="shared" si="148"/>
        <v>-388763.5234738905</v>
      </c>
      <c r="S211" s="36">
        <f t="shared" si="148"/>
        <v>-297105.83244202472</v>
      </c>
      <c r="T211" s="36">
        <f t="shared" si="148"/>
        <v>-67695.813035562634</v>
      </c>
      <c r="U211" s="36">
        <f t="shared" si="148"/>
        <v>-593113.80935182609</v>
      </c>
      <c r="V211" s="36">
        <f t="shared" si="148"/>
        <v>-287861.65985196456</v>
      </c>
      <c r="W211" s="36">
        <f t="shared" si="148"/>
        <v>-422047.70141625963</v>
      </c>
      <c r="X211" s="36">
        <f t="shared" si="148"/>
        <v>52439.53350941278</v>
      </c>
      <c r="Y211" s="36">
        <f t="shared" si="148"/>
        <v>-461212.79191680811</v>
      </c>
      <c r="Z211" s="36">
        <f t="shared" si="148"/>
        <v>-433240.66411364265</v>
      </c>
      <c r="AA211" s="36">
        <f t="shared" si="148"/>
        <v>-417603.21199376322</v>
      </c>
      <c r="AB211" s="36">
        <f t="shared" si="148"/>
        <v>67333.374537579715</v>
      </c>
      <c r="AC211" s="36">
        <f t="shared" si="148"/>
        <v>-483463.07251864299</v>
      </c>
      <c r="AD211" s="36">
        <f t="shared" si="148"/>
        <v>-522742.84688415751</v>
      </c>
      <c r="AE211" s="36">
        <f t="shared" si="148"/>
        <v>-508395.95485087484</v>
      </c>
      <c r="AF211" s="36">
        <f t="shared" si="148"/>
        <v>37876.517514433712</v>
      </c>
      <c r="AG211" s="36">
        <f t="shared" si="148"/>
        <v>32347.064154397696</v>
      </c>
      <c r="AH211" s="36">
        <f t="shared" si="148"/>
        <v>30271.785352567211</v>
      </c>
      <c r="AI211" s="36">
        <f t="shared" si="148"/>
        <v>19857.211835672962</v>
      </c>
      <c r="AJ211" s="36">
        <f t="shared" si="148"/>
        <v>20641.167775389506</v>
      </c>
      <c r="AK211" s="36">
        <f t="shared" si="148"/>
        <v>-3328002.6853620545</v>
      </c>
      <c r="AL211" s="36">
        <f t="shared" si="148"/>
        <v>-2510102.8318252414</v>
      </c>
      <c r="AM211" s="36">
        <f t="shared" si="148"/>
        <v>20627.895720129367</v>
      </c>
      <c r="AN211" s="36">
        <f t="shared" si="148"/>
        <v>56405.915455315495</v>
      </c>
      <c r="AO211" s="36">
        <f t="shared" si="148"/>
        <v>-2081624.3046493027</v>
      </c>
      <c r="AP211" s="36">
        <f t="shared" si="148"/>
        <v>23997.156975131948</v>
      </c>
      <c r="AQ211" s="36">
        <f t="shared" si="148"/>
        <v>-465977.99317848124</v>
      </c>
    </row>
    <row r="212" spans="1:43" x14ac:dyDescent="0.2">
      <c r="A212" s="32" t="s">
        <v>73</v>
      </c>
      <c r="B212" s="35">
        <f t="shared" si="148"/>
        <v>-9009.065591397848</v>
      </c>
      <c r="C212" s="35">
        <f t="shared" si="148"/>
        <v>192266.43010752695</v>
      </c>
      <c r="D212" s="35">
        <f t="shared" si="148"/>
        <v>-203812.52688172041</v>
      </c>
      <c r="E212" s="35">
        <f t="shared" si="148"/>
        <v>8690.2978494623676</v>
      </c>
      <c r="F212" s="35">
        <f t="shared" si="148"/>
        <v>748882.88064516149</v>
      </c>
      <c r="G212" s="35">
        <f t="shared" si="148"/>
        <v>1469156.6580645167</v>
      </c>
      <c r="H212" s="35">
        <f t="shared" si="148"/>
        <v>1770209.5397849465</v>
      </c>
      <c r="I212" s="35">
        <f t="shared" si="148"/>
        <v>490566.39677419327</v>
      </c>
      <c r="J212" s="35">
        <f t="shared" si="148"/>
        <v>805659.52473118249</v>
      </c>
      <c r="K212" s="35">
        <f t="shared" si="148"/>
        <v>1631931.4806451621</v>
      </c>
      <c r="L212" s="35">
        <f t="shared" si="148"/>
        <v>228899.35376344062</v>
      </c>
      <c r="M212" s="35">
        <f t="shared" si="148"/>
        <v>-65202.412903226912</v>
      </c>
      <c r="N212" s="35">
        <f t="shared" si="148"/>
        <v>765228.80860215053</v>
      </c>
      <c r="O212" s="35">
        <f t="shared" si="148"/>
        <v>183540.86666666716</v>
      </c>
      <c r="P212" s="35">
        <f t="shared" si="148"/>
        <v>3429923.1537634414</v>
      </c>
      <c r="Q212" s="36">
        <f t="shared" si="148"/>
        <v>1546612.978521632</v>
      </c>
      <c r="R212" s="36">
        <f t="shared" si="148"/>
        <v>619672.8958394099</v>
      </c>
      <c r="S212" s="36">
        <f t="shared" si="148"/>
        <v>743907.50179347768</v>
      </c>
      <c r="T212" s="36">
        <f t="shared" si="148"/>
        <v>660508.02272825316</v>
      </c>
      <c r="U212" s="36">
        <f t="shared" si="148"/>
        <v>930902.67412610352</v>
      </c>
      <c r="V212" s="36">
        <f t="shared" si="148"/>
        <v>1034235.2284556739</v>
      </c>
      <c r="W212" s="36">
        <f t="shared" si="148"/>
        <v>761154.96111938916</v>
      </c>
      <c r="X212" s="36">
        <f t="shared" si="148"/>
        <v>785025.59957419522</v>
      </c>
      <c r="Y212" s="36">
        <f t="shared" si="148"/>
        <v>756157.68284780718</v>
      </c>
      <c r="Z212" s="36">
        <f t="shared" si="148"/>
        <v>753741.73782324232</v>
      </c>
      <c r="AA212" s="36">
        <f t="shared" si="148"/>
        <v>699762.47623223439</v>
      </c>
      <c r="AB212" s="36">
        <f t="shared" si="148"/>
        <v>513554.45267304219</v>
      </c>
      <c r="AC212" s="36">
        <f t="shared" si="148"/>
        <v>402114.38333483785</v>
      </c>
      <c r="AD212" s="36">
        <f t="shared" si="148"/>
        <v>362380.23695412464</v>
      </c>
      <c r="AE212" s="36">
        <f t="shared" si="148"/>
        <v>276717.51649750955</v>
      </c>
      <c r="AF212" s="36">
        <f t="shared" si="148"/>
        <v>165807.77368423901</v>
      </c>
      <c r="AG212" s="36">
        <f t="shared" si="148"/>
        <v>181662.87910757959</v>
      </c>
      <c r="AH212" s="36">
        <f t="shared" si="148"/>
        <v>175104.48071707413</v>
      </c>
      <c r="AI212" s="36">
        <f t="shared" si="148"/>
        <v>280017.08956296288</v>
      </c>
      <c r="AJ212" s="36">
        <f t="shared" si="148"/>
        <v>282217.49453027034</v>
      </c>
      <c r="AK212" s="36">
        <f t="shared" si="148"/>
        <v>2611577.0027007558</v>
      </c>
      <c r="AL212" s="36">
        <f t="shared" si="148"/>
        <v>4007414.7670043274</v>
      </c>
      <c r="AM212" s="36">
        <f t="shared" si="148"/>
        <v>281375.07715237304</v>
      </c>
      <c r="AN212" s="36">
        <f t="shared" si="148"/>
        <v>245296.48114119843</v>
      </c>
      <c r="AO212" s="36">
        <f t="shared" si="148"/>
        <v>2881668.7358616013</v>
      </c>
      <c r="AP212" s="36">
        <f t="shared" si="148"/>
        <v>292182.31833585026</v>
      </c>
      <c r="AQ212" s="36">
        <f t="shared" si="148"/>
        <v>-124564.3290417064</v>
      </c>
    </row>
    <row r="213" spans="1:43" x14ac:dyDescent="0.2">
      <c r="A213" s="32" t="s">
        <v>10</v>
      </c>
      <c r="B213" s="35">
        <f t="shared" si="148"/>
        <v>-1736.7731182795706</v>
      </c>
      <c r="C213" s="35">
        <f t="shared" si="148"/>
        <v>337749.11827956978</v>
      </c>
      <c r="D213" s="35">
        <f t="shared" si="148"/>
        <v>626365.39784946246</v>
      </c>
      <c r="E213" s="35">
        <f t="shared" si="148"/>
        <v>381896.12150537595</v>
      </c>
      <c r="F213" s="35">
        <f t="shared" si="148"/>
        <v>82596.377419355325</v>
      </c>
      <c r="G213" s="35">
        <f t="shared" si="148"/>
        <v>543669.11612903234</v>
      </c>
      <c r="H213" s="35">
        <f t="shared" si="148"/>
        <v>-72972.991397849284</v>
      </c>
      <c r="I213" s="35">
        <f t="shared" si="148"/>
        <v>1482333.7645161292</v>
      </c>
      <c r="J213" s="35">
        <f t="shared" si="148"/>
        <v>505252.08817204274</v>
      </c>
      <c r="K213" s="35">
        <f t="shared" si="148"/>
        <v>-111753.60967741907</v>
      </c>
      <c r="L213" s="35">
        <f t="shared" si="148"/>
        <v>128120.35591397807</v>
      </c>
      <c r="M213" s="35">
        <f t="shared" si="148"/>
        <v>38125.961290324107</v>
      </c>
      <c r="N213" s="35">
        <f t="shared" si="148"/>
        <v>-9509.2279569897801</v>
      </c>
      <c r="O213" s="35">
        <f t="shared" si="148"/>
        <v>2572385.3913978487</v>
      </c>
      <c r="P213" s="35">
        <f t="shared" si="148"/>
        <v>-2638440.6053763442</v>
      </c>
      <c r="Q213" s="36">
        <f t="shared" si="148"/>
        <v>-470983.11276567727</v>
      </c>
      <c r="R213" s="36">
        <f t="shared" si="148"/>
        <v>513467.05277840234</v>
      </c>
      <c r="S213" s="36">
        <f t="shared" si="148"/>
        <v>618588.24382476322</v>
      </c>
      <c r="T213" s="36">
        <f t="shared" si="148"/>
        <v>699451.64575462975</v>
      </c>
      <c r="U213" s="36">
        <f t="shared" si="148"/>
        <v>523132.34642130509</v>
      </c>
      <c r="V213" s="36">
        <f t="shared" si="148"/>
        <v>596597.25209690072</v>
      </c>
      <c r="W213" s="36">
        <f t="shared" si="148"/>
        <v>676976.65338346548</v>
      </c>
      <c r="X213" s="36">
        <f t="shared" si="148"/>
        <v>830929.89548037015</v>
      </c>
      <c r="Y213" s="36">
        <f t="shared" si="148"/>
        <v>823372.47219011188</v>
      </c>
      <c r="Z213" s="36">
        <f t="shared" si="148"/>
        <v>778942.46051626466</v>
      </c>
      <c r="AA213" s="36">
        <f t="shared" si="148"/>
        <v>841796.40155568719</v>
      </c>
      <c r="AB213" s="36">
        <f t="shared" si="148"/>
        <v>896873.27234029211</v>
      </c>
      <c r="AC213" s="36">
        <f t="shared" si="148"/>
        <v>1010188.1591838915</v>
      </c>
      <c r="AD213" s="36">
        <f t="shared" si="148"/>
        <v>1125584.2915002573</v>
      </c>
      <c r="AE213" s="36">
        <f t="shared" si="148"/>
        <v>1124185.4985148422</v>
      </c>
      <c r="AF213" s="36">
        <f t="shared" si="148"/>
        <v>963477.52446574904</v>
      </c>
      <c r="AG213" s="36">
        <f t="shared" si="148"/>
        <v>1024662.6905461624</v>
      </c>
      <c r="AH213" s="36">
        <f t="shared" si="148"/>
        <v>1082609.9473033212</v>
      </c>
      <c r="AI213" s="36">
        <f t="shared" si="148"/>
        <v>-19500.192935821367</v>
      </c>
      <c r="AJ213" s="36">
        <f t="shared" si="148"/>
        <v>-19156.897369828541</v>
      </c>
      <c r="AK213" s="36">
        <f t="shared" si="148"/>
        <v>-3957563.7303216495</v>
      </c>
      <c r="AL213" s="36">
        <f t="shared" si="148"/>
        <v>-4266497.6809415389</v>
      </c>
      <c r="AM213" s="36">
        <f t="shared" si="148"/>
        <v>-19027.363982647425</v>
      </c>
      <c r="AN213" s="36">
        <f t="shared" si="148"/>
        <v>-103077.86427260749</v>
      </c>
      <c r="AO213" s="36">
        <f t="shared" si="148"/>
        <v>-2221488.4477574695</v>
      </c>
      <c r="AP213" s="36">
        <f t="shared" si="148"/>
        <v>-16850.188913098304</v>
      </c>
      <c r="AQ213" s="36">
        <f t="shared" si="148"/>
        <v>1035528.870132843</v>
      </c>
    </row>
    <row r="214" spans="1:43" x14ac:dyDescent="0.2">
      <c r="A214" s="32" t="s">
        <v>74</v>
      </c>
      <c r="B214" s="35">
        <f t="shared" si="148"/>
        <v>5593.0731182795698</v>
      </c>
      <c r="C214" s="35">
        <f t="shared" si="148"/>
        <v>43267.615053763613</v>
      </c>
      <c r="D214" s="35">
        <f t="shared" si="148"/>
        <v>18082.502150537912</v>
      </c>
      <c r="E214" s="35">
        <f t="shared" si="148"/>
        <v>646022.11182795744</v>
      </c>
      <c r="F214" s="35">
        <f t="shared" si="148"/>
        <v>196271.55591397826</v>
      </c>
      <c r="G214" s="35">
        <f t="shared" si="148"/>
        <v>608919.35053763352</v>
      </c>
      <c r="H214" s="35">
        <f t="shared" si="148"/>
        <v>1582555.7580645159</v>
      </c>
      <c r="I214" s="35">
        <f t="shared" si="148"/>
        <v>1320622.0021505374</v>
      </c>
      <c r="J214" s="35">
        <f t="shared" si="148"/>
        <v>-554811.88817204256</v>
      </c>
      <c r="K214" s="35">
        <f t="shared" si="148"/>
        <v>-258010.15698924754</v>
      </c>
      <c r="L214" s="35">
        <f t="shared" si="148"/>
        <v>778875.67741935514</v>
      </c>
      <c r="M214" s="35">
        <f t="shared" si="148"/>
        <v>1031924.3387096766</v>
      </c>
      <c r="N214" s="35">
        <f t="shared" si="148"/>
        <v>-183276.53870967589</v>
      </c>
      <c r="O214" s="35">
        <f t="shared" si="148"/>
        <v>-818064.39139784873</v>
      </c>
      <c r="P214" s="35">
        <f t="shared" si="148"/>
        <v>3148425.8387096766</v>
      </c>
      <c r="Q214" s="36">
        <f t="shared" si="148"/>
        <v>468284.04525589012</v>
      </c>
      <c r="R214" s="36">
        <f t="shared" si="148"/>
        <v>486571.93973399326</v>
      </c>
      <c r="S214" s="36">
        <f t="shared" si="148"/>
        <v>450476.01047771983</v>
      </c>
      <c r="T214" s="36">
        <f t="shared" si="148"/>
        <v>492385.6514756307</v>
      </c>
      <c r="U214" s="36">
        <f t="shared" si="148"/>
        <v>613887.66957305744</v>
      </c>
      <c r="V214" s="36">
        <f t="shared" si="148"/>
        <v>533764.94278345816</v>
      </c>
      <c r="W214" s="36">
        <f t="shared" si="148"/>
        <v>538673.22263058275</v>
      </c>
      <c r="X214" s="36">
        <f t="shared" si="148"/>
        <v>577627.2921186462</v>
      </c>
      <c r="Y214" s="36">
        <f t="shared" si="148"/>
        <v>582322.10872414894</v>
      </c>
      <c r="Z214" s="36">
        <f t="shared" si="148"/>
        <v>579697.75062900037</v>
      </c>
      <c r="AA214" s="36">
        <f t="shared" si="148"/>
        <v>581956.09436672181</v>
      </c>
      <c r="AB214" s="36">
        <f t="shared" si="148"/>
        <v>532800.70886973478</v>
      </c>
      <c r="AC214" s="36">
        <f t="shared" si="148"/>
        <v>557649.69091530517</v>
      </c>
      <c r="AD214" s="36">
        <f t="shared" si="148"/>
        <v>601696.05320563167</v>
      </c>
      <c r="AE214" s="36">
        <f t="shared" si="148"/>
        <v>607471.36718076095</v>
      </c>
      <c r="AF214" s="36">
        <f t="shared" si="148"/>
        <v>550208.36537146568</v>
      </c>
      <c r="AG214" s="36">
        <f t="shared" si="148"/>
        <v>571985.68564953655</v>
      </c>
      <c r="AH214" s="36">
        <f t="shared" si="148"/>
        <v>600379.62888644822</v>
      </c>
      <c r="AI214" s="36">
        <f t="shared" si="148"/>
        <v>48529.159538070438</v>
      </c>
      <c r="AJ214" s="36">
        <f t="shared" si="148"/>
        <v>48968.398180109682</v>
      </c>
      <c r="AK214" s="36">
        <f t="shared" si="148"/>
        <v>4025866.2955697682</v>
      </c>
      <c r="AL214" s="36">
        <f t="shared" si="148"/>
        <v>4969114.5078379242</v>
      </c>
      <c r="AM214" s="36">
        <f t="shared" si="148"/>
        <v>48652.856006063754</v>
      </c>
      <c r="AN214" s="36">
        <f t="shared" si="148"/>
        <v>209523.93049930735</v>
      </c>
      <c r="AO214" s="36">
        <f t="shared" si="148"/>
        <v>3124375.3217556104</v>
      </c>
      <c r="AP214" s="36">
        <f t="shared" si="148"/>
        <v>50172.667539050803</v>
      </c>
      <c r="AQ214" s="36">
        <f>AQ197-AQ196</f>
        <v>522210.42059135996</v>
      </c>
    </row>
    <row r="215" spans="1:43" x14ac:dyDescent="0.2">
      <c r="A215" s="32" t="s">
        <v>75</v>
      </c>
      <c r="B215" s="35">
        <f t="shared" si="148"/>
        <v>1131876.1204301077</v>
      </c>
      <c r="C215" s="35">
        <f t="shared" si="148"/>
        <v>224554.09462365555</v>
      </c>
      <c r="D215" s="35">
        <f t="shared" si="148"/>
        <v>-431492.56666666688</v>
      </c>
      <c r="E215" s="35">
        <f t="shared" si="148"/>
        <v>396227.0172043005</v>
      </c>
      <c r="F215" s="35">
        <f t="shared" si="148"/>
        <v>867876.02473118249</v>
      </c>
      <c r="G215" s="35">
        <f t="shared" si="148"/>
        <v>358572.2946236562</v>
      </c>
      <c r="H215" s="35">
        <f t="shared" si="148"/>
        <v>-1344298.3064516131</v>
      </c>
      <c r="I215" s="35">
        <f t="shared" si="148"/>
        <v>-1040351.5182795692</v>
      </c>
      <c r="J215" s="35">
        <f t="shared" si="148"/>
        <v>-249316.85376344062</v>
      </c>
      <c r="K215" s="35">
        <f t="shared" si="148"/>
        <v>572571.28602150548</v>
      </c>
      <c r="L215" s="35">
        <f t="shared" si="148"/>
        <v>-538562.25806451589</v>
      </c>
      <c r="M215" s="35">
        <f t="shared" si="148"/>
        <v>-1660898.8225806449</v>
      </c>
      <c r="N215" s="35">
        <f t="shared" si="148"/>
        <v>-1694171.8161290325</v>
      </c>
      <c r="O215" s="35">
        <f t="shared" si="148"/>
        <v>-1488063.253763441</v>
      </c>
      <c r="P215" s="35">
        <f>P198-P197</f>
        <v>10544</v>
      </c>
      <c r="Q215" s="36">
        <f t="shared" si="148"/>
        <v>-949098.92897633463</v>
      </c>
      <c r="R215" s="36">
        <f t="shared" si="148"/>
        <v>-1275894.868358938</v>
      </c>
      <c r="S215" s="36">
        <f t="shared" si="148"/>
        <v>-1212980.0686004255</v>
      </c>
      <c r="T215" s="36">
        <f t="shared" si="148"/>
        <v>-1126437.1329938732</v>
      </c>
      <c r="U215" s="36">
        <f t="shared" si="148"/>
        <v>-1184129.7649997436</v>
      </c>
      <c r="V215" s="36">
        <f t="shared" si="148"/>
        <v>-1140961.6010538954</v>
      </c>
      <c r="W215" s="36">
        <f t="shared" si="148"/>
        <v>-1192978.4719719496</v>
      </c>
      <c r="X215" s="36">
        <f t="shared" si="148"/>
        <v>-1232259.35228456</v>
      </c>
      <c r="Y215" s="36">
        <f t="shared" si="148"/>
        <v>-1195396.008824449</v>
      </c>
      <c r="Z215" s="36">
        <f t="shared" si="148"/>
        <v>-1165702.4007506184</v>
      </c>
      <c r="AA215" s="36">
        <f t="shared" si="148"/>
        <v>-1180427.8445652444</v>
      </c>
      <c r="AB215" s="36">
        <f t="shared" si="148"/>
        <v>-1036539.1891843099</v>
      </c>
      <c r="AC215" s="36">
        <f t="shared" si="148"/>
        <v>-1051413.4450719077</v>
      </c>
      <c r="AD215" s="36">
        <f t="shared" si="148"/>
        <v>-1112881.6412213519</v>
      </c>
      <c r="AE215" s="36">
        <f t="shared" si="148"/>
        <v>-1095946.5749992393</v>
      </c>
      <c r="AF215" s="36">
        <f t="shared" si="148"/>
        <v>-966345.07917973585</v>
      </c>
      <c r="AG215" s="36">
        <f t="shared" si="148"/>
        <v>-1012824.157763999</v>
      </c>
      <c r="AH215" s="36">
        <f t="shared" si="148"/>
        <v>-1058219.546483906</v>
      </c>
      <c r="AI215" s="36">
        <f t="shared" si="148"/>
        <v>-109791.78221803857</v>
      </c>
      <c r="AJ215" s="36">
        <f t="shared" si="148"/>
        <v>-110306.46133255539</v>
      </c>
      <c r="AK215" s="36">
        <f t="shared" si="148"/>
        <v>143609.18823559955</v>
      </c>
      <c r="AL215" s="36">
        <f t="shared" si="148"/>
        <v>-3050567.7290370539</v>
      </c>
      <c r="AM215" s="36">
        <f t="shared" si="148"/>
        <v>-110334.91673485632</v>
      </c>
      <c r="AN215" s="36">
        <f t="shared" si="148"/>
        <v>-93693.693164815428</v>
      </c>
      <c r="AO215" s="36">
        <f t="shared" si="148"/>
        <v>-468027.52637647092</v>
      </c>
      <c r="AP215" s="36">
        <f t="shared" si="148"/>
        <v>-112732.66878994089</v>
      </c>
      <c r="AQ215" s="36">
        <f t="shared" si="148"/>
        <v>-893182.44489934109</v>
      </c>
    </row>
    <row r="216" spans="1:43" x14ac:dyDescent="0.2">
      <c r="A216" s="32" t="s">
        <v>76</v>
      </c>
      <c r="B216" s="35">
        <f t="shared" si="148"/>
        <v>-124777.06451612909</v>
      </c>
      <c r="C216" s="35">
        <f t="shared" si="148"/>
        <v>523520.12903225841</v>
      </c>
      <c r="D216" s="35">
        <f t="shared" si="148"/>
        <v>-102941.35483870981</v>
      </c>
      <c r="E216" s="35">
        <f t="shared" si="148"/>
        <v>800501.45161290374</v>
      </c>
      <c r="F216" s="35">
        <f t="shared" si="148"/>
        <v>-1328370.7419354832</v>
      </c>
      <c r="G216" s="35">
        <f t="shared" ref="G216:V220" si="149">G199-G198</f>
        <v>-507992.06451612897</v>
      </c>
      <c r="H216" s="35">
        <f t="shared" si="149"/>
        <v>2188072.7741935477</v>
      </c>
      <c r="I216" s="35">
        <f t="shared" si="149"/>
        <v>143353.45161290281</v>
      </c>
      <c r="J216" s="35">
        <f t="shared" si="149"/>
        <v>634291.09677419346</v>
      </c>
      <c r="K216" s="35">
        <f t="shared" si="149"/>
        <v>-1506485.0322580654</v>
      </c>
      <c r="L216" s="35">
        <f t="shared" si="149"/>
        <v>-55976</v>
      </c>
      <c r="M216" s="35">
        <f t="shared" si="149"/>
        <v>1279982.064516129</v>
      </c>
      <c r="N216" s="35">
        <f t="shared" si="149"/>
        <v>1165255.5806451607</v>
      </c>
      <c r="O216" s="35">
        <f t="shared" si="149"/>
        <v>1582808.5483870972</v>
      </c>
      <c r="P216" s="35">
        <f>P199-P198</f>
        <v>-2581688.7741935477</v>
      </c>
      <c r="Q216" s="36">
        <f t="shared" ref="Q216:AQ220" si="150">Q199-Q198</f>
        <v>385585.90141789243</v>
      </c>
      <c r="R216" s="36">
        <f t="shared" si="150"/>
        <v>387992.72444636561</v>
      </c>
      <c r="S216" s="36">
        <f t="shared" si="150"/>
        <v>306248.39748486131</v>
      </c>
      <c r="T216" s="36">
        <f t="shared" si="150"/>
        <v>214098.78317825869</v>
      </c>
      <c r="U216" s="36">
        <f t="shared" si="150"/>
        <v>297694.42272360064</v>
      </c>
      <c r="V216" s="36">
        <f t="shared" si="150"/>
        <v>373523.95790827088</v>
      </c>
      <c r="W216" s="36">
        <f t="shared" si="150"/>
        <v>374992.27907170355</v>
      </c>
      <c r="X216" s="36">
        <f t="shared" si="150"/>
        <v>404632.08594815247</v>
      </c>
      <c r="Y216" s="36">
        <f t="shared" si="150"/>
        <v>394247.09415313229</v>
      </c>
      <c r="Z216" s="36">
        <f t="shared" si="150"/>
        <v>406953.63603269123</v>
      </c>
      <c r="AA216" s="36">
        <f t="shared" si="150"/>
        <v>419587.84949697554</v>
      </c>
      <c r="AB216" s="36">
        <f t="shared" si="150"/>
        <v>441582.09932436049</v>
      </c>
      <c r="AC216" s="36">
        <f t="shared" si="150"/>
        <v>458332.60933394544</v>
      </c>
      <c r="AD216" s="36">
        <f t="shared" si="150"/>
        <v>487073.45791048557</v>
      </c>
      <c r="AE216" s="36">
        <f t="shared" si="150"/>
        <v>490922.60868621618</v>
      </c>
      <c r="AF216" s="36">
        <f t="shared" si="150"/>
        <v>439150.29388838261</v>
      </c>
      <c r="AG216" s="36">
        <f t="shared" si="150"/>
        <v>453748.060565155</v>
      </c>
      <c r="AH216" s="36">
        <f t="shared" si="150"/>
        <v>474299.44450549968</v>
      </c>
      <c r="AI216" s="36">
        <f t="shared" si="150"/>
        <v>63596.44293661858</v>
      </c>
      <c r="AJ216" s="36">
        <f t="shared" si="150"/>
        <v>64111.207961716224</v>
      </c>
      <c r="AK216" s="36">
        <f t="shared" si="150"/>
        <v>-2573888.4794627381</v>
      </c>
      <c r="AL216" s="36">
        <f t="shared" si="150"/>
        <v>-1780580.2556608159</v>
      </c>
      <c r="AM216" s="36">
        <f t="shared" si="150"/>
        <v>64087.977976648835</v>
      </c>
      <c r="AN216" s="36">
        <f t="shared" si="150"/>
        <v>127006.15215817024</v>
      </c>
      <c r="AO216" s="36">
        <f t="shared" si="150"/>
        <v>-1815872.4499884956</v>
      </c>
      <c r="AP216" s="36">
        <f t="shared" si="150"/>
        <v>66225.413538734894</v>
      </c>
      <c r="AQ216" s="36">
        <f t="shared" si="150"/>
        <v>382054.82658636197</v>
      </c>
    </row>
    <row r="217" spans="1:43" x14ac:dyDescent="0.2">
      <c r="A217" s="32" t="s">
        <v>77</v>
      </c>
      <c r="B217" s="35">
        <f t="shared" ref="B217:M220" si="151">B200-B199</f>
        <v>234744.34408602153</v>
      </c>
      <c r="C217" s="35">
        <f t="shared" si="151"/>
        <v>552347.14301075228</v>
      </c>
      <c r="D217" s="35">
        <f t="shared" si="151"/>
        <v>-161512.1784946234</v>
      </c>
      <c r="E217" s="35">
        <f t="shared" si="151"/>
        <v>-213683.50215053745</v>
      </c>
      <c r="F217" s="35">
        <f t="shared" si="151"/>
        <v>188789.18387096748</v>
      </c>
      <c r="G217" s="35">
        <f t="shared" si="151"/>
        <v>-400467.56344086025</v>
      </c>
      <c r="H217" s="35">
        <f t="shared" si="151"/>
        <v>-4097.334408601746</v>
      </c>
      <c r="I217" s="35">
        <f t="shared" si="151"/>
        <v>-784331.46666666679</v>
      </c>
      <c r="J217" s="35">
        <f t="shared" si="151"/>
        <v>-254440.07634408586</v>
      </c>
      <c r="K217" s="35">
        <f t="shared" si="151"/>
        <v>390364.27956989314</v>
      </c>
      <c r="L217" s="35">
        <f t="shared" si="151"/>
        <v>1232610.0247311834</v>
      </c>
      <c r="M217" s="35">
        <f t="shared" si="151"/>
        <v>-463639.04193548486</v>
      </c>
      <c r="N217" s="35">
        <f t="shared" si="149"/>
        <v>857501.66881720349</v>
      </c>
      <c r="O217" s="35">
        <f t="shared" si="149"/>
        <v>-349373.69462365657</v>
      </c>
      <c r="P217" s="36">
        <f t="shared" si="149"/>
        <v>1031630.0075268801</v>
      </c>
      <c r="Q217" s="36">
        <f t="shared" si="149"/>
        <v>412108.67552137189</v>
      </c>
      <c r="R217" s="36">
        <f t="shared" si="149"/>
        <v>439411.62444442138</v>
      </c>
      <c r="S217" s="36">
        <f t="shared" si="149"/>
        <v>454434.99246971309</v>
      </c>
      <c r="T217" s="36">
        <f t="shared" si="149"/>
        <v>357917.57207849808</v>
      </c>
      <c r="U217" s="36">
        <f t="shared" si="149"/>
        <v>383701.87757949159</v>
      </c>
      <c r="V217" s="36">
        <f t="shared" si="149"/>
        <v>425266.41372762807</v>
      </c>
      <c r="W217" s="36">
        <f t="shared" si="150"/>
        <v>447067.43383806944</v>
      </c>
      <c r="X217" s="36">
        <f t="shared" si="150"/>
        <v>501305.20862705819</v>
      </c>
      <c r="Y217" s="36">
        <f t="shared" si="150"/>
        <v>488771.11821357161</v>
      </c>
      <c r="Z217" s="36">
        <f t="shared" si="150"/>
        <v>477883.07468135655</v>
      </c>
      <c r="AA217" s="36">
        <f t="shared" si="150"/>
        <v>510965.70079277642</v>
      </c>
      <c r="AB217" s="36">
        <f t="shared" si="150"/>
        <v>523976.15188451484</v>
      </c>
      <c r="AC217" s="36">
        <f t="shared" si="150"/>
        <v>604899.46764633432</v>
      </c>
      <c r="AD217" s="36">
        <f t="shared" si="150"/>
        <v>666129.1507598944</v>
      </c>
      <c r="AE217" s="36">
        <f t="shared" si="150"/>
        <v>672829.3819022961</v>
      </c>
      <c r="AF217" s="36">
        <f t="shared" si="150"/>
        <v>602090.89738232642</v>
      </c>
      <c r="AG217" s="36">
        <f t="shared" si="150"/>
        <v>636703.54819715023</v>
      </c>
      <c r="AH217" s="36">
        <f t="shared" si="150"/>
        <v>673549.43062956259</v>
      </c>
      <c r="AI217" s="36">
        <f t="shared" si="150"/>
        <v>-14081.46736236033</v>
      </c>
      <c r="AJ217" s="36">
        <f t="shared" si="150"/>
        <v>-14340.209600694245</v>
      </c>
      <c r="AK217" s="36">
        <f t="shared" si="150"/>
        <v>1018305.3537191132</v>
      </c>
      <c r="AL217" s="36">
        <f t="shared" si="150"/>
        <v>2380195.3587875548</v>
      </c>
      <c r="AM217" s="36">
        <f t="shared" si="150"/>
        <v>-14410.066831006203</v>
      </c>
      <c r="AN217" s="36">
        <f t="shared" si="150"/>
        <v>-91144.320052347379</v>
      </c>
      <c r="AO217" s="36">
        <f t="shared" si="150"/>
        <v>941472.59375521168</v>
      </c>
      <c r="AP217" s="36">
        <f t="shared" si="150"/>
        <v>-15823.348634342197</v>
      </c>
      <c r="AQ217" s="36">
        <f t="shared" si="150"/>
        <v>657387.31593952328</v>
      </c>
    </row>
    <row r="218" spans="1:43" x14ac:dyDescent="0.2">
      <c r="A218" s="32" t="s">
        <v>78</v>
      </c>
      <c r="B218" s="35">
        <f t="shared" si="151"/>
        <v>166997.75268817204</v>
      </c>
      <c r="C218" s="35">
        <f t="shared" si="151"/>
        <v>-186992.82043010741</v>
      </c>
      <c r="D218" s="35">
        <f t="shared" si="151"/>
        <v>-47467.30537634436</v>
      </c>
      <c r="E218" s="35">
        <f t="shared" si="151"/>
        <v>354482.05053763371</v>
      </c>
      <c r="F218" s="35">
        <f t="shared" si="151"/>
        <v>261721.36451612879</v>
      </c>
      <c r="G218" s="35">
        <f t="shared" si="151"/>
        <v>377562.36989247333</v>
      </c>
      <c r="H218" s="35">
        <f t="shared" si="151"/>
        <v>-1379160.7946236553</v>
      </c>
      <c r="I218" s="35">
        <f t="shared" si="151"/>
        <v>173437.33763440885</v>
      </c>
      <c r="J218" s="35">
        <f t="shared" si="151"/>
        <v>296489.62473118212</v>
      </c>
      <c r="K218" s="35">
        <f t="shared" si="151"/>
        <v>436776.10752688162</v>
      </c>
      <c r="L218" s="35">
        <f t="shared" si="151"/>
        <v>-2488394.1860215059</v>
      </c>
      <c r="M218" s="35">
        <f t="shared" si="151"/>
        <v>310922.23548387177</v>
      </c>
      <c r="N218" s="35">
        <f t="shared" si="149"/>
        <v>-972776.37849462219</v>
      </c>
      <c r="O218" s="35">
        <f t="shared" si="149"/>
        <v>678513.17849462293</v>
      </c>
      <c r="P218" s="36">
        <f t="shared" si="149"/>
        <v>70295.089247312397</v>
      </c>
      <c r="Q218" s="36">
        <f t="shared" si="149"/>
        <v>180752.15749756061</v>
      </c>
      <c r="R218" s="36">
        <f t="shared" si="149"/>
        <v>518517.75469330885</v>
      </c>
      <c r="S218" s="36">
        <f t="shared" si="149"/>
        <v>597728.68482005224</v>
      </c>
      <c r="T218" s="36">
        <f t="shared" si="149"/>
        <v>729543.79593550973</v>
      </c>
      <c r="U218" s="36">
        <f t="shared" si="149"/>
        <v>534273.44008778222</v>
      </c>
      <c r="V218" s="36">
        <f t="shared" si="149"/>
        <v>534801.12802239321</v>
      </c>
      <c r="W218" s="36">
        <f t="shared" si="150"/>
        <v>620226.7633842919</v>
      </c>
      <c r="X218" s="36">
        <f t="shared" si="150"/>
        <v>703940.00675234199</v>
      </c>
      <c r="Y218" s="36">
        <f t="shared" si="150"/>
        <v>693440.24292929657</v>
      </c>
      <c r="Z218" s="36">
        <f t="shared" si="150"/>
        <v>641264.87097122334</v>
      </c>
      <c r="AA218" s="36">
        <f t="shared" si="150"/>
        <v>675644.4128701631</v>
      </c>
      <c r="AB218" s="36">
        <f t="shared" si="150"/>
        <v>687250.37529146113</v>
      </c>
      <c r="AC218" s="36">
        <f t="shared" si="150"/>
        <v>773140.54445130005</v>
      </c>
      <c r="AD218" s="36">
        <f t="shared" si="150"/>
        <v>844048.283622168</v>
      </c>
      <c r="AE218" s="36">
        <f t="shared" si="150"/>
        <v>828146.50621709973</v>
      </c>
      <c r="AF218" s="36">
        <f t="shared" si="150"/>
        <v>720239.302257834</v>
      </c>
      <c r="AG218" s="36">
        <f t="shared" si="150"/>
        <v>769163.86183805019</v>
      </c>
      <c r="AH218" s="36">
        <f t="shared" si="150"/>
        <v>812353.98525136337</v>
      </c>
      <c r="AI218" s="36">
        <f t="shared" si="150"/>
        <v>7093.9955601454712</v>
      </c>
      <c r="AJ218" s="36">
        <f t="shared" si="150"/>
        <v>6886.6601917922962</v>
      </c>
      <c r="AK218" s="36">
        <f t="shared" si="150"/>
        <v>-446449.0530102835</v>
      </c>
      <c r="AL218" s="36">
        <f t="shared" si="150"/>
        <v>-363626.28031838126</v>
      </c>
      <c r="AM218" s="36">
        <f t="shared" si="150"/>
        <v>6981.8239746592008</v>
      </c>
      <c r="AN218" s="36">
        <f t="shared" si="150"/>
        <v>614.40849451650865</v>
      </c>
      <c r="AO218" s="36">
        <f t="shared" si="150"/>
        <v>-105834.81033842824</v>
      </c>
      <c r="AP218" s="36">
        <f t="shared" si="150"/>
        <v>6238.6896248913836</v>
      </c>
      <c r="AQ218" s="36">
        <f t="shared" si="150"/>
        <v>764164.16465971991</v>
      </c>
    </row>
    <row r="219" spans="1:43" x14ac:dyDescent="0.2">
      <c r="A219" s="32" t="s">
        <v>79</v>
      </c>
      <c r="B219" s="35">
        <f t="shared" si="151"/>
        <v>-147947.05268817209</v>
      </c>
      <c r="C219" s="35">
        <f t="shared" si="151"/>
        <v>-184208.77956989221</v>
      </c>
      <c r="D219" s="35">
        <f t="shared" si="151"/>
        <v>-389797.12795698922</v>
      </c>
      <c r="E219" s="35">
        <f t="shared" si="151"/>
        <v>-121843.0172043005</v>
      </c>
      <c r="F219" s="35">
        <f t="shared" si="151"/>
        <v>256712.602150538</v>
      </c>
      <c r="G219" s="35">
        <f t="shared" si="151"/>
        <v>-472748.13655913994</v>
      </c>
      <c r="H219" s="35">
        <f t="shared" si="151"/>
        <v>807063.79462365527</v>
      </c>
      <c r="I219" s="35">
        <f t="shared" si="151"/>
        <v>-278182.30430107564</v>
      </c>
      <c r="J219" s="35">
        <f t="shared" si="151"/>
        <v>-301809.42473118287</v>
      </c>
      <c r="K219" s="35">
        <f t="shared" si="151"/>
        <v>-1147016.840860215</v>
      </c>
      <c r="L219" s="35">
        <f t="shared" si="151"/>
        <v>1418275.4526881715</v>
      </c>
      <c r="M219" s="35">
        <f t="shared" si="151"/>
        <v>893527.33118279651</v>
      </c>
      <c r="N219" s="35">
        <f t="shared" si="149"/>
        <v>2564737.845161289</v>
      </c>
      <c r="O219" s="35">
        <f t="shared" si="149"/>
        <v>-832982.04516129009</v>
      </c>
      <c r="P219" s="36">
        <f t="shared" si="149"/>
        <v>-362050.75591397844</v>
      </c>
      <c r="Q219" s="36">
        <f t="shared" si="149"/>
        <v>813967.77161051705</v>
      </c>
      <c r="R219" s="36">
        <f t="shared" si="149"/>
        <v>1792339.6676026937</v>
      </c>
      <c r="S219" s="36">
        <f t="shared" si="149"/>
        <v>1984148.4842630476</v>
      </c>
      <c r="T219" s="36">
        <f t="shared" si="149"/>
        <v>1922776.2120958641</v>
      </c>
      <c r="U219" s="36">
        <f t="shared" si="149"/>
        <v>1983977.1067506764</v>
      </c>
      <c r="V219" s="36">
        <f t="shared" si="149"/>
        <v>2154788.556088103</v>
      </c>
      <c r="W219" s="36">
        <f t="shared" si="150"/>
        <v>2325229.416824067</v>
      </c>
      <c r="X219" s="36">
        <f t="shared" si="150"/>
        <v>2784461.6783632375</v>
      </c>
      <c r="Y219" s="36">
        <f t="shared" si="150"/>
        <v>2765564.7408972122</v>
      </c>
      <c r="Z219" s="36">
        <f t="shared" si="150"/>
        <v>2696115.4197777007</v>
      </c>
      <c r="AA219" s="36">
        <f t="shared" si="150"/>
        <v>2871256.0703695044</v>
      </c>
      <c r="AB219" s="36">
        <f t="shared" si="150"/>
        <v>3165876.5578450169</v>
      </c>
      <c r="AC219" s="36">
        <f t="shared" si="150"/>
        <v>3636117.4128409587</v>
      </c>
      <c r="AD219" s="36">
        <f t="shared" si="150"/>
        <v>4018875.3590835072</v>
      </c>
      <c r="AE219" s="36">
        <f t="shared" si="150"/>
        <v>4031307.035805881</v>
      </c>
      <c r="AF219" s="36">
        <f t="shared" si="150"/>
        <v>3537860.6298423596</v>
      </c>
      <c r="AG219" s="36">
        <f t="shared" si="150"/>
        <v>3748082.2099820264</v>
      </c>
      <c r="AH219" s="36">
        <f t="shared" si="150"/>
        <v>3965287.2501613051</v>
      </c>
      <c r="AI219" s="36">
        <f t="shared" si="150"/>
        <v>-15485.936134235468</v>
      </c>
      <c r="AJ219" s="36">
        <f t="shared" si="150"/>
        <v>-15435.816421479452</v>
      </c>
      <c r="AK219" s="36">
        <f t="shared" si="150"/>
        <v>314337.56004388351</v>
      </c>
      <c r="AL219" s="36">
        <f t="shared" si="150"/>
        <v>-486297.10338508815</v>
      </c>
      <c r="AM219" s="36">
        <f t="shared" si="150"/>
        <v>-15663.527623238973</v>
      </c>
      <c r="AN219" s="36">
        <f t="shared" si="150"/>
        <v>-60160.52500442788</v>
      </c>
      <c r="AO219" s="36">
        <f t="shared" si="150"/>
        <v>92884.161247992888</v>
      </c>
      <c r="AP219" s="36">
        <f t="shared" si="150"/>
        <v>-16308.260011524661</v>
      </c>
      <c r="AQ219" s="36">
        <f t="shared" si="150"/>
        <v>3767939.2538566124</v>
      </c>
    </row>
    <row r="220" spans="1:43" x14ac:dyDescent="0.2">
      <c r="A220" s="32" t="s">
        <v>80</v>
      </c>
      <c r="B220" s="35">
        <f t="shared" si="151"/>
        <v>113253.14946236555</v>
      </c>
      <c r="C220" s="35">
        <f t="shared" si="151"/>
        <v>1614522.8118279572</v>
      </c>
      <c r="D220" s="35">
        <f t="shared" si="151"/>
        <v>-661245.32365591405</v>
      </c>
      <c r="E220" s="35">
        <f t="shared" si="151"/>
        <v>1538520.2752688173</v>
      </c>
      <c r="F220" s="35">
        <f t="shared" si="151"/>
        <v>1372805.9462365592</v>
      </c>
      <c r="G220" s="35">
        <f t="shared" si="151"/>
        <v>178944.16881720442</v>
      </c>
      <c r="H220" s="35">
        <f t="shared" si="151"/>
        <v>3337682.3344086017</v>
      </c>
      <c r="I220" s="35">
        <f t="shared" si="151"/>
        <v>626482.04623655975</v>
      </c>
      <c r="J220" s="35">
        <f t="shared" si="151"/>
        <v>1910325.8763440857</v>
      </c>
      <c r="K220" s="35">
        <f t="shared" si="151"/>
        <v>1198270.905376344</v>
      </c>
      <c r="L220" s="35">
        <f t="shared" si="151"/>
        <v>1082827.9989247322</v>
      </c>
      <c r="M220" s="35">
        <f t="shared" si="151"/>
        <v>2647029.1526881717</v>
      </c>
      <c r="N220" s="35">
        <f t="shared" si="149"/>
        <v>-116737.10322580487</v>
      </c>
      <c r="O220" s="35">
        <f t="shared" si="149"/>
        <v>2709689.851612905</v>
      </c>
      <c r="P220" s="36">
        <f t="shared" si="149"/>
        <v>2804458.0784946233</v>
      </c>
      <c r="Q220" s="36">
        <f t="shared" si="149"/>
        <v>9263823.2960073631</v>
      </c>
      <c r="R220" s="36">
        <f t="shared" si="149"/>
        <v>2251894.5267462619</v>
      </c>
      <c r="S220" s="36">
        <f t="shared" si="149"/>
        <v>2837343.4775103964</v>
      </c>
      <c r="T220" s="36">
        <f t="shared" si="149"/>
        <v>2908273.2935569044</v>
      </c>
      <c r="U220" s="36">
        <f t="shared" si="149"/>
        <v>3511673.6023801044</v>
      </c>
      <c r="V220" s="36">
        <f t="shared" si="149"/>
        <v>3989416.6246876474</v>
      </c>
      <c r="W220" s="36">
        <f t="shared" si="150"/>
        <v>3186150.2967775464</v>
      </c>
      <c r="X220" s="36">
        <f t="shared" si="150"/>
        <v>3542157.2894067019</v>
      </c>
      <c r="Y220" s="36">
        <f t="shared" si="150"/>
        <v>2861639.9353688993</v>
      </c>
      <c r="Z220" s="36">
        <f t="shared" si="150"/>
        <v>3113130.4288454093</v>
      </c>
      <c r="AA220" s="36">
        <f t="shared" si="150"/>
        <v>3051015.8817877136</v>
      </c>
      <c r="AB220" s="36">
        <f t="shared" si="150"/>
        <v>2808601.0602893084</v>
      </c>
      <c r="AC220" s="36">
        <f t="shared" si="150"/>
        <v>2769424.8129298724</v>
      </c>
      <c r="AD220" s="36">
        <f t="shared" si="150"/>
        <v>2837815.1432171501</v>
      </c>
      <c r="AE220" s="36">
        <f t="shared" si="150"/>
        <v>2734738.0289105773</v>
      </c>
      <c r="AF220" s="36">
        <f t="shared" si="150"/>
        <v>2302543.2967640497</v>
      </c>
      <c r="AG220" s="36">
        <f t="shared" si="150"/>
        <v>2430352.3581962995</v>
      </c>
      <c r="AH220" s="36">
        <f t="shared" si="150"/>
        <v>2527437.2150331587</v>
      </c>
      <c r="AI220" s="36">
        <f t="shared" si="150"/>
        <v>481821.0160757103</v>
      </c>
      <c r="AJ220" s="36">
        <f t="shared" si="150"/>
        <v>487758.60642783088</v>
      </c>
      <c r="AK220" s="36">
        <f t="shared" si="150"/>
        <v>-218522.50705816085</v>
      </c>
      <c r="AL220" s="36">
        <f t="shared" si="150"/>
        <v>2434473.4064132641</v>
      </c>
      <c r="AM220" s="36">
        <f t="shared" si="150"/>
        <v>486709.76140955114</v>
      </c>
      <c r="AN220" s="36">
        <f t="shared" si="150"/>
        <v>535947.85592203797</v>
      </c>
      <c r="AO220" s="36">
        <f t="shared" si="150"/>
        <v>1809972.3541556988</v>
      </c>
      <c r="AP220" s="36">
        <f t="shared" si="150"/>
        <v>500399.78338925214</v>
      </c>
      <c r="AQ220" s="36">
        <f t="shared" si="150"/>
        <v>1886383.4661950357</v>
      </c>
    </row>
    <row r="221" spans="1:43" x14ac:dyDescent="0.2">
      <c r="A221" s="32" t="s">
        <v>24</v>
      </c>
      <c r="B221" s="35">
        <f>AVERAGE(B209:B220)</f>
        <v>125430.93841642229</v>
      </c>
      <c r="C221" s="35">
        <f>AVERAGE(C209:C220)</f>
        <v>334682.17741935485</v>
      </c>
      <c r="D221" s="35">
        <f t="shared" ref="D221:AQ221" si="152">AVERAGE(D209:D220)</f>
        <v>-270576.41129032261</v>
      </c>
      <c r="E221" s="35">
        <f t="shared" si="152"/>
        <v>484821.7526881721</v>
      </c>
      <c r="F221" s="35">
        <f t="shared" si="152"/>
        <v>-64114.260752688198</v>
      </c>
      <c r="G221" s="35">
        <f t="shared" si="152"/>
        <v>-84602.973118279551</v>
      </c>
      <c r="H221" s="35">
        <f t="shared" si="152"/>
        <v>501718.91935483861</v>
      </c>
      <c r="I221" s="35">
        <f t="shared" si="152"/>
        <v>-344342.3629032257</v>
      </c>
      <c r="J221" s="35">
        <f t="shared" si="152"/>
        <v>105159.59139784938</v>
      </c>
      <c r="K221" s="35">
        <f t="shared" si="152"/>
        <v>-101285.40591397842</v>
      </c>
      <c r="L221" s="35">
        <f t="shared" si="152"/>
        <v>121430.34946236566</v>
      </c>
      <c r="M221" s="35">
        <f t="shared" si="152"/>
        <v>242232.86559139783</v>
      </c>
      <c r="N221" s="35">
        <f t="shared" si="152"/>
        <v>-12489.193548387071</v>
      </c>
      <c r="O221" s="35">
        <f t="shared" si="152"/>
        <v>387520.36290322588</v>
      </c>
      <c r="P221" s="36">
        <f t="shared" si="152"/>
        <v>82385.349462365426</v>
      </c>
      <c r="Q221" s="36">
        <f t="shared" si="152"/>
        <v>410955.41480321687</v>
      </c>
      <c r="R221" s="36">
        <f t="shared" si="152"/>
        <v>-484806.27562047262</v>
      </c>
      <c r="S221" s="36">
        <f t="shared" si="152"/>
        <v>131908.10274432786</v>
      </c>
      <c r="T221" s="36">
        <f t="shared" si="152"/>
        <v>-53123.26594194366</v>
      </c>
      <c r="U221" s="36">
        <f t="shared" si="152"/>
        <v>87129.744638078846</v>
      </c>
      <c r="V221" s="36">
        <f t="shared" si="152"/>
        <v>95234.363566587679</v>
      </c>
      <c r="W221" s="36">
        <f t="shared" si="152"/>
        <v>6071.5292871377123</v>
      </c>
      <c r="X221" s="36">
        <f t="shared" si="152"/>
        <v>230374.25203495598</v>
      </c>
      <c r="Y221" s="36">
        <f t="shared" si="152"/>
        <v>-88175.512725541063</v>
      </c>
      <c r="Z221" s="36">
        <f t="shared" si="152"/>
        <v>-23037.767063616466</v>
      </c>
      <c r="AA221" s="36">
        <f t="shared" si="152"/>
        <v>51022.277812172659</v>
      </c>
      <c r="AB221" s="36">
        <f t="shared" si="152"/>
        <v>10535.052783720816</v>
      </c>
      <c r="AC221" s="36">
        <f t="shared" si="152"/>
        <v>129791.96592597447</v>
      </c>
      <c r="AD221" s="36">
        <f t="shared" si="152"/>
        <v>156428.2267190929</v>
      </c>
      <c r="AE221" s="36">
        <f t="shared" si="152"/>
        <v>-39631.60249281054</v>
      </c>
      <c r="AF221" s="36">
        <f t="shared" si="152"/>
        <v>-306969.23707201332</v>
      </c>
      <c r="AG221" s="36">
        <f t="shared" si="152"/>
        <v>108166.0020311065</v>
      </c>
      <c r="AH221" s="36">
        <f t="shared" si="152"/>
        <v>97010.47658921282</v>
      </c>
      <c r="AI221" s="36">
        <f t="shared" si="152"/>
        <v>-1872239.0762840298</v>
      </c>
      <c r="AJ221" s="36">
        <f t="shared" si="152"/>
        <v>1496.0103396728907</v>
      </c>
      <c r="AK221" s="36">
        <f t="shared" si="152"/>
        <v>75088.957896885826</v>
      </c>
      <c r="AL221" s="36">
        <f t="shared" si="152"/>
        <v>65019.725630095309</v>
      </c>
      <c r="AM221" s="36">
        <f t="shared" si="152"/>
        <v>-140192.93375842107</v>
      </c>
      <c r="AN221" s="36">
        <f t="shared" si="152"/>
        <v>18928.083030451573</v>
      </c>
      <c r="AO221" s="36">
        <f t="shared" si="152"/>
        <v>912159.54767503997</v>
      </c>
      <c r="AP221" s="36">
        <f>AVERAGE(AP209:AP220)</f>
        <v>-924768.39059492678</v>
      </c>
      <c r="AQ221" s="36">
        <f t="shared" si="152"/>
        <v>-61817.814232122466</v>
      </c>
    </row>
    <row r="223" spans="1:43" x14ac:dyDescent="0.2">
      <c r="A223" s="32" t="s">
        <v>124</v>
      </c>
    </row>
    <row r="224" spans="1:43" x14ac:dyDescent="0.2">
      <c r="A224" s="32" t="s">
        <v>70</v>
      </c>
      <c r="B224" s="35">
        <f>B3+'Renewable Diesel'!B67</f>
        <v>485714</v>
      </c>
      <c r="C224" s="35">
        <f>C3+'Renewable Diesel'!C67</f>
        <v>37089842</v>
      </c>
      <c r="D224" s="35">
        <f>D3+'Renewable Diesel'!D67</f>
        <v>64316431</v>
      </c>
      <c r="E224" s="35">
        <f>E3+'Renewable Diesel'!E67</f>
        <v>71823259</v>
      </c>
      <c r="F224" s="35">
        <f>F3+'Renewable Diesel'!F67</f>
        <v>66393496</v>
      </c>
      <c r="G224" s="35">
        <f>G3+'Renewable Diesel'!G67</f>
        <v>73070784</v>
      </c>
      <c r="H224" s="35">
        <f>H3+'Renewable Diesel'!H67</f>
        <v>97318215</v>
      </c>
      <c r="I224" s="35">
        <f>I3+'Renewable Diesel'!I67</f>
        <v>84496710</v>
      </c>
      <c r="J224" s="35">
        <f>J3+'Renewable Diesel'!J67</f>
        <v>124176708</v>
      </c>
      <c r="K224" s="35">
        <f>K3+'Renewable Diesel'!K67</f>
        <v>144155998</v>
      </c>
      <c r="L224" s="35">
        <f>L3+'Renewable Diesel'!L67</f>
        <v>160261309</v>
      </c>
      <c r="M224" s="35">
        <f>M3+'Renewable Diesel'!M67</f>
        <v>157677215</v>
      </c>
      <c r="N224" s="35">
        <f>N3+'Renewable Diesel'!N67</f>
        <v>177725259</v>
      </c>
      <c r="O224" s="35">
        <f>O3+'Renewable Diesel'!O67</f>
        <v>238386188</v>
      </c>
      <c r="P224" s="35">
        <f>P3+'Renewable Diesel'!P67</f>
        <v>302547509</v>
      </c>
      <c r="Q224" s="36">
        <f>Q3+'Renewable Diesel'!Q67</f>
        <v>246934713</v>
      </c>
      <c r="R224" s="36">
        <f>R3+'Renewable Diesel'!R67</f>
        <v>271316703.28324366</v>
      </c>
      <c r="S224" s="36">
        <f>S3+'Renewable Diesel'!S67</f>
        <v>281036196.00172698</v>
      </c>
      <c r="T224" s="36">
        <f>T3+'Renewable Diesel'!T67</f>
        <v>267963721.68197706</v>
      </c>
      <c r="U224" s="36">
        <f>U3+'Renewable Diesel'!U67</f>
        <v>278659868.48624063</v>
      </c>
      <c r="V224" s="36">
        <f>V3+'Renewable Diesel'!V67</f>
        <v>285346856.27611101</v>
      </c>
      <c r="W224" s="36">
        <f>W3+'Renewable Diesel'!W67</f>
        <v>307297738.39662468</v>
      </c>
      <c r="X224" s="36">
        <f>X3+'Renewable Diesel'!X67</f>
        <v>351950605.25267714</v>
      </c>
      <c r="Y224" s="36">
        <f>Y3+'Renewable Diesel'!Y67</f>
        <v>365230248.24100536</v>
      </c>
      <c r="Z224" s="36">
        <f>Z3+'Renewable Diesel'!Z67</f>
        <v>346615001.34924155</v>
      </c>
      <c r="AA224" s="36">
        <f>AA3+'Renewable Diesel'!AA67</f>
        <v>359378671.20367926</v>
      </c>
      <c r="AB224" s="36">
        <f>AB3+'Renewable Diesel'!AB67</f>
        <v>363961796.57034236</v>
      </c>
      <c r="AC224" s="36">
        <f>AC3+'Renewable Diesel'!AC67</f>
        <v>391527564.49884278</v>
      </c>
      <c r="AD224" s="36">
        <f>AD3+'Renewable Diesel'!AD67</f>
        <v>426210921.22404063</v>
      </c>
      <c r="AE224" s="36">
        <f>AE3+'Renewable Diesel'!AE67</f>
        <v>416512654.41473973</v>
      </c>
      <c r="AF224" s="36">
        <f>AF3+'Renewable Diesel'!AF67</f>
        <v>352823756.88622308</v>
      </c>
      <c r="AG224" s="36">
        <f>AG3+'Renewable Diesel'!AG67</f>
        <v>374471408.69880635</v>
      </c>
      <c r="AH224" s="36">
        <f>AH3+'Renewable Diesel'!AH67</f>
        <v>393689288.99347603</v>
      </c>
      <c r="AI224" s="36">
        <f>AI3+'Renewable Diesel'!AS67</f>
        <v>25749476.395661239</v>
      </c>
      <c r="AJ224" s="36">
        <f>AJ3+'Renewable Diesel'!AT67</f>
        <v>25891829.610113602</v>
      </c>
      <c r="AK224" s="36">
        <f>AK3+'Renewable Diesel'!AU67</f>
        <v>57828297.669733964</v>
      </c>
      <c r="AL224" s="36">
        <f>AL3+'Renewable Diesel'!AV67</f>
        <v>13954471.198247306</v>
      </c>
      <c r="AM224" s="36">
        <f>AM3+'Renewable Diesel'!AW67</f>
        <v>25967186.235573776</v>
      </c>
      <c r="AN224" s="36">
        <f>AN3+'Renewable Diesel'!AX67</f>
        <v>26390790.205999963</v>
      </c>
      <c r="AO224" s="36">
        <f>AO3+'Renewable Diesel'!AY67</f>
        <v>26821854.340091936</v>
      </c>
      <c r="AP224" s="36">
        <f>AP3+'Renewable Diesel'!AZ67</f>
        <v>27416523.334585477</v>
      </c>
      <c r="AQ224" s="36">
        <f>AQ3+'Renewable Diesel'!AG67</f>
        <v>342928676.57374358</v>
      </c>
    </row>
    <row r="225" spans="1:43" x14ac:dyDescent="0.2">
      <c r="A225" s="32" t="s">
        <v>71</v>
      </c>
      <c r="B225" s="35">
        <f>B4+'Renewable Diesel'!B68</f>
        <v>538632</v>
      </c>
      <c r="C225" s="35">
        <f>C4+'Renewable Diesel'!C68</f>
        <v>42261385</v>
      </c>
      <c r="D225" s="35">
        <f>D4+'Renewable Diesel'!D68</f>
        <v>75690556</v>
      </c>
      <c r="E225" s="35">
        <f>E4+'Renewable Diesel'!E68</f>
        <v>75375977</v>
      </c>
      <c r="F225" s="35">
        <f>F4+'Renewable Diesel'!F68</f>
        <v>81261597</v>
      </c>
      <c r="G225" s="35">
        <f>G4+'Renewable Diesel'!G68</f>
        <v>75958920</v>
      </c>
      <c r="H225" s="35">
        <f>H4+'Renewable Diesel'!H68</f>
        <v>107754563</v>
      </c>
      <c r="I225" s="35">
        <f>I4+'Renewable Diesel'!I68</f>
        <v>99518882</v>
      </c>
      <c r="J225" s="35">
        <f>J4+'Renewable Diesel'!J68</f>
        <v>137141084</v>
      </c>
      <c r="K225" s="35">
        <f>K4+'Renewable Diesel'!K68</f>
        <v>157504153</v>
      </c>
      <c r="L225" s="35">
        <f>L4+'Renewable Diesel'!L68</f>
        <v>165333669</v>
      </c>
      <c r="M225" s="35">
        <f>M4+'Renewable Diesel'!M68</f>
        <v>161056760</v>
      </c>
      <c r="N225" s="35">
        <f>N4+'Renewable Diesel'!N68</f>
        <v>211470072</v>
      </c>
      <c r="O225" s="35">
        <f>O4+'Renewable Diesel'!O68</f>
        <v>228187667</v>
      </c>
      <c r="P225" s="35">
        <f>P4+'Renewable Diesel'!P68</f>
        <v>310407460</v>
      </c>
      <c r="Q225" s="36">
        <f>Q4+'Renewable Diesel'!Q68</f>
        <v>222261210</v>
      </c>
      <c r="R225" s="36">
        <f>R4+'Renewable Diesel'!R68</f>
        <v>292902090.31723052</v>
      </c>
      <c r="S225" s="36">
        <f>S4+'Renewable Diesel'!S68</f>
        <v>305041537.94999653</v>
      </c>
      <c r="T225" s="36">
        <f>T4+'Renewable Diesel'!T68</f>
        <v>288654879.70301038</v>
      </c>
      <c r="U225" s="36">
        <f>U4+'Renewable Diesel'!U68</f>
        <v>301584662.22357082</v>
      </c>
      <c r="V225" s="36">
        <f>V4+'Renewable Diesel'!V68</f>
        <v>309434982.25646847</v>
      </c>
      <c r="W225" s="36">
        <f>W4+'Renewable Diesel'!W68</f>
        <v>332643543.27294797</v>
      </c>
      <c r="X225" s="36">
        <f>X4+'Renewable Diesel'!X68</f>
        <v>381482499.50993675</v>
      </c>
      <c r="Y225" s="36">
        <f>Y4+'Renewable Diesel'!Y68</f>
        <v>374008373.0008831</v>
      </c>
      <c r="Z225" s="36">
        <f>Z4+'Renewable Diesel'!Z68</f>
        <v>363803839.94157845</v>
      </c>
      <c r="AA225" s="36">
        <f>AA4+'Renewable Diesel'!AA68</f>
        <v>376855104.29273725</v>
      </c>
      <c r="AB225" s="36">
        <f>AB4+'Renewable Diesel'!AB68</f>
        <v>387910609.32797098</v>
      </c>
      <c r="AC225" s="36">
        <f>AC4+'Renewable Diesel'!AC68</f>
        <v>418704599.56470782</v>
      </c>
      <c r="AD225" s="36">
        <f>AD4+'Renewable Diesel'!AD68</f>
        <v>455014610.65701169</v>
      </c>
      <c r="AE225" s="36">
        <f>AE4+'Renewable Diesel'!AE68</f>
        <v>446869071.22792149</v>
      </c>
      <c r="AF225" s="36">
        <f>AF4+'Renewable Diesel'!AF68</f>
        <v>379881896.69471055</v>
      </c>
      <c r="AG225" s="36">
        <f>AG4+'Renewable Diesel'!AG68</f>
        <v>403379765.00285137</v>
      </c>
      <c r="AH225" s="36">
        <f>AH4+'Renewable Diesel'!AH68</f>
        <v>424186855.5664475</v>
      </c>
      <c r="AI225" s="36">
        <f>AI4+'Renewable Diesel'!AS68</f>
        <v>23974497.788962215</v>
      </c>
      <c r="AJ225" s="36">
        <f>AJ4+'Renewable Diesel'!AT68</f>
        <v>24228374.703012031</v>
      </c>
      <c r="AK225" s="36">
        <f>AK4+'Renewable Diesel'!AU68</f>
        <v>36744839.397123329</v>
      </c>
      <c r="AL225" s="36">
        <f>AL4+'Renewable Diesel'!AV68</f>
        <v>18858954.69634258</v>
      </c>
      <c r="AM225" s="36">
        <f>AM4+'Renewable Diesel'!AW68</f>
        <v>24262563.381077096</v>
      </c>
      <c r="AN225" s="36">
        <f>AN4+'Renewable Diesel'!AX68</f>
        <v>24661607.74265692</v>
      </c>
      <c r="AO225" s="36">
        <f>AO4+'Renewable Diesel'!AY68</f>
        <v>25082521.998701155</v>
      </c>
      <c r="AP225" s="36">
        <f>AP4+'Renewable Diesel'!AZ68</f>
        <v>25635372.57692495</v>
      </c>
      <c r="AQ225" s="36">
        <f>AQ4+'Renewable Diesel'!AG68</f>
        <v>373708707.81553322</v>
      </c>
    </row>
    <row r="226" spans="1:43" x14ac:dyDescent="0.2">
      <c r="A226" s="32" t="s">
        <v>72</v>
      </c>
      <c r="B226" s="35">
        <f>B5+'Renewable Diesel'!B69</f>
        <v>810795</v>
      </c>
      <c r="C226" s="35">
        <f>C5+'Renewable Diesel'!C69</f>
        <v>65740922</v>
      </c>
      <c r="D226" s="35">
        <f>D5+'Renewable Diesel'!D69</f>
        <v>99500859</v>
      </c>
      <c r="E226" s="35">
        <f>E5+'Renewable Diesel'!E69</f>
        <v>102314172</v>
      </c>
      <c r="F226" s="35">
        <f>F5+'Renewable Diesel'!F69</f>
        <v>104612953</v>
      </c>
      <c r="G226" s="35">
        <f>G5+'Renewable Diesel'!G69</f>
        <v>107899186</v>
      </c>
      <c r="H226" s="35">
        <f>H5+'Renewable Diesel'!H69</f>
        <v>144502248</v>
      </c>
      <c r="I226" s="35">
        <f>I5+'Renewable Diesel'!I69</f>
        <v>127353306</v>
      </c>
      <c r="J226" s="35">
        <f>J5+'Renewable Diesel'!J69</f>
        <v>170264731</v>
      </c>
      <c r="K226" s="35">
        <f>K5+'Renewable Diesel'!K69</f>
        <v>183401081</v>
      </c>
      <c r="L226" s="35">
        <f>L5+'Renewable Diesel'!L69</f>
        <v>195241730</v>
      </c>
      <c r="M226" s="35">
        <f>M5+'Renewable Diesel'!M69</f>
        <v>209560964</v>
      </c>
      <c r="N226" s="35">
        <f>N5+'Renewable Diesel'!N69</f>
        <v>245678353</v>
      </c>
      <c r="O226" s="35">
        <f>O5+'Renewable Diesel'!O69</f>
        <v>279137570</v>
      </c>
      <c r="P226" s="35">
        <f>P5+'Renewable Diesel'!P69</f>
        <v>303654049</v>
      </c>
      <c r="Q226" s="36">
        <f>Q5+'Renewable Diesel'!Q69</f>
        <v>288739995</v>
      </c>
      <c r="R226" s="36">
        <f>R5+'Renewable Diesel'!R69</f>
        <v>315390984.11608392</v>
      </c>
      <c r="S226" s="36">
        <f>S5+'Renewable Diesel'!S69</f>
        <v>334267858.65447259</v>
      </c>
      <c r="T226" s="36">
        <f>T5+'Renewable Diesel'!T69</f>
        <v>314591772.87439275</v>
      </c>
      <c r="U226" s="36">
        <f>U5+'Renewable Diesel'!U69</f>
        <v>328204094.27982646</v>
      </c>
      <c r="V226" s="36">
        <f>V5+'Renewable Diesel'!V69</f>
        <v>338607734.18051243</v>
      </c>
      <c r="W226" s="36">
        <f>W5+'Renewable Diesel'!W69</f>
        <v>361708071.89361942</v>
      </c>
      <c r="X226" s="36">
        <f>X5+'Renewable Diesel'!X69</f>
        <v>414913859.28478366</v>
      </c>
      <c r="Y226" s="36">
        <f>Y5+'Renewable Diesel'!Y69</f>
        <v>406433259.51739866</v>
      </c>
      <c r="Z226" s="36">
        <f>Z5+'Renewable Diesel'!Z69</f>
        <v>395616843.39345044</v>
      </c>
      <c r="AA226" s="36">
        <f>AA5+'Renewable Diesel'!AA69</f>
        <v>409501830.30753684</v>
      </c>
      <c r="AB226" s="36">
        <f>AB5+'Renewable Diesel'!AB69</f>
        <v>419685340.0398466</v>
      </c>
      <c r="AC226" s="36">
        <f>AC5+'Renewable Diesel'!AC69</f>
        <v>451407931.52370018</v>
      </c>
      <c r="AD226" s="36">
        <f>AD5+'Renewable Diesel'!AD69</f>
        <v>490064956.59726501</v>
      </c>
      <c r="AE226" s="36">
        <f>AE5+'Renewable Diesel'!AE69</f>
        <v>481166908.00203079</v>
      </c>
      <c r="AF226" s="36">
        <f>AF5+'Renewable Diesel'!AF69</f>
        <v>408961072.02804619</v>
      </c>
      <c r="AG226" s="36">
        <f>AG5+'Renewable Diesel'!AG69</f>
        <v>433995571.71844536</v>
      </c>
      <c r="AH226" s="36">
        <f>AH5+'Renewable Diesel'!AH69</f>
        <v>456194946.94185603</v>
      </c>
      <c r="AI226" s="36">
        <f>AI5+'Renewable Diesel'!AS69</f>
        <v>27438056.028013065</v>
      </c>
      <c r="AJ226" s="36">
        <f>AJ5+'Renewable Diesel'!AT69</f>
        <v>27729129.171107139</v>
      </c>
      <c r="AK226" s="36">
        <f>AK5+'Renewable Diesel'!AU69</f>
        <v>66280642.12113066</v>
      </c>
      <c r="AL226" s="36">
        <f>AL5+'Renewable Diesel'!AV69</f>
        <v>62557344.022674315</v>
      </c>
      <c r="AM226" s="36">
        <f>AM5+'Renewable Diesel'!AW69</f>
        <v>27767749.251693372</v>
      </c>
      <c r="AN226" s="36">
        <f>AN5+'Renewable Diesel'!AX69</f>
        <v>28224200.055346448</v>
      </c>
      <c r="AO226" s="36">
        <f>AO5+'Renewable Diesel'!AY69</f>
        <v>28705872.786316611</v>
      </c>
      <c r="AP226" s="36">
        <f>AP5+'Renewable Diesel'!AZ69</f>
        <v>29338421.152509019</v>
      </c>
      <c r="AQ226" s="36">
        <f>AQ5+'Renewable Diesel'!AG69</f>
        <v>400044003.07578814</v>
      </c>
    </row>
    <row r="227" spans="1:43" x14ac:dyDescent="0.2">
      <c r="A227" s="32" t="s">
        <v>73</v>
      </c>
      <c r="B227" s="35">
        <f>B6+'Renewable Diesel'!B70</f>
        <v>522149</v>
      </c>
      <c r="C227" s="35">
        <f>C6+'Renewable Diesel'!C70</f>
        <v>72001921</v>
      </c>
      <c r="D227" s="35">
        <f>D6+'Renewable Diesel'!D70</f>
        <v>94270819</v>
      </c>
      <c r="E227" s="35">
        <f>E6+'Renewable Diesel'!E70</f>
        <v>111948265</v>
      </c>
      <c r="F227" s="35">
        <f>F6+'Renewable Diesel'!F70</f>
        <v>116081647</v>
      </c>
      <c r="G227" s="35">
        <f>G6+'Renewable Diesel'!G70</f>
        <v>121603560</v>
      </c>
      <c r="H227" s="35">
        <f>H6+'Renewable Diesel'!H70</f>
        <v>147522539</v>
      </c>
      <c r="I227" s="35">
        <f>I6+'Renewable Diesel'!I70</f>
        <v>144727366</v>
      </c>
      <c r="J227" s="35">
        <f>J6+'Renewable Diesel'!J70</f>
        <v>170388657</v>
      </c>
      <c r="K227" s="35">
        <f>K6+'Renewable Diesel'!K70</f>
        <v>199457168</v>
      </c>
      <c r="L227" s="35">
        <f>L6+'Renewable Diesel'!L70</f>
        <v>187437210</v>
      </c>
      <c r="M227" s="35">
        <f>M6+'Renewable Diesel'!M70</f>
        <v>195030927</v>
      </c>
      <c r="N227" s="35">
        <f>N6+'Renewable Diesel'!N70</f>
        <v>250767044</v>
      </c>
      <c r="O227" s="35">
        <f>O6+'Renewable Diesel'!O70</f>
        <v>274268393</v>
      </c>
      <c r="P227" s="35">
        <f>P6+'Renewable Diesel'!P70</f>
        <v>366688454</v>
      </c>
      <c r="Q227" s="36">
        <f>Q6+'Renewable Diesel'!Q70</f>
        <v>333123342.73070389</v>
      </c>
      <c r="R227" s="36">
        <f>R6+'Renewable Diesel'!R70</f>
        <v>315625374.48466688</v>
      </c>
      <c r="S227" s="36">
        <f>S6+'Renewable Diesel'!S70</f>
        <v>336155028.66829848</v>
      </c>
      <c r="T227" s="36">
        <f>T6+'Renewable Diesel'!T70</f>
        <v>313880559.76549983</v>
      </c>
      <c r="U227" s="36">
        <f>U6+'Renewable Diesel'!U70</f>
        <v>330874356.36510813</v>
      </c>
      <c r="V227" s="36">
        <f>V6+'Renewable Diesel'!V70</f>
        <v>343244561.75467259</v>
      </c>
      <c r="W227" s="36">
        <f>W6+'Renewable Diesel'!W70</f>
        <v>361899565.00115681</v>
      </c>
      <c r="X227" s="36">
        <f>X6+'Renewable Diesel'!X70</f>
        <v>414652391.80152637</v>
      </c>
      <c r="Y227" s="36">
        <f>Y6+'Renewable Diesel'!Y70</f>
        <v>405700023.20238352</v>
      </c>
      <c r="Z227" s="36">
        <f>Z6+'Renewable Diesel'!Z70</f>
        <v>395035516.68884474</v>
      </c>
      <c r="AA227" s="36">
        <f>AA6+'Renewable Diesel'!AA70</f>
        <v>407721904.73428464</v>
      </c>
      <c r="AB227" s="36">
        <f>AB6+'Renewable Diesel'!AB70</f>
        <v>415078910.71871245</v>
      </c>
      <c r="AC227" s="36">
        <f>AC6+'Renewable Diesel'!AC70</f>
        <v>443548920.0784632</v>
      </c>
      <c r="AD227" s="36">
        <f>AD6+'Renewable Diesel'!AD70</f>
        <v>480544918.58040649</v>
      </c>
      <c r="AE227" s="36">
        <f>AE6+'Renewable Diesel'!AE70</f>
        <v>469975379.77022743</v>
      </c>
      <c r="AF227" s="36">
        <f>AF6+'Renewable Diesel'!AF70</f>
        <v>396808152.26461649</v>
      </c>
      <c r="AG227" s="36">
        <f>AG6+'Renewable Diesel'!AG70</f>
        <v>421563352.99112576</v>
      </c>
      <c r="AH227" s="36">
        <f>AH6+'Renewable Diesel'!AH70</f>
        <v>441801692.05559289</v>
      </c>
      <c r="AI227" s="36">
        <f>AI6+'Renewable Diesel'!AS70</f>
        <v>30635596.394600052</v>
      </c>
      <c r="AJ227" s="36">
        <f>AJ6+'Renewable Diesel'!AT70</f>
        <v>30958260.401219249</v>
      </c>
      <c r="AK227" s="36">
        <f>AK6+'Renewable Diesel'!AU70</f>
        <v>65030786.690346614</v>
      </c>
      <c r="AL227" s="36">
        <f>AL6+'Renewable Diesel'!AV70</f>
        <v>23164806.755365957</v>
      </c>
      <c r="AM227" s="36">
        <f>AM6+'Renewable Diesel'!AW70</f>
        <v>30999108.023127548</v>
      </c>
      <c r="AN227" s="36">
        <f>AN6+'Renewable Diesel'!AX70</f>
        <v>31508769.552715477</v>
      </c>
      <c r="AO227" s="36">
        <f>AO6+'Renewable Diesel'!AY70</f>
        <v>32045578.07429985</v>
      </c>
      <c r="AP227" s="36">
        <f>AP6+'Renewable Diesel'!AZ70</f>
        <v>32751078.082785845</v>
      </c>
      <c r="AQ227" s="36">
        <f>AQ6+'Renewable Diesel'!AG70</f>
        <v>382721970.09857023</v>
      </c>
    </row>
    <row r="228" spans="1:43" x14ac:dyDescent="0.2">
      <c r="A228" s="32" t="s">
        <v>10</v>
      </c>
      <c r="B228" s="35">
        <f>B7+'Renewable Diesel'!B71</f>
        <v>485714</v>
      </c>
      <c r="C228" s="35">
        <f>C7+'Renewable Diesel'!C71</f>
        <v>84490063</v>
      </c>
      <c r="D228" s="35">
        <f>D7+'Renewable Diesel'!D71</f>
        <v>109285252</v>
      </c>
      <c r="E228" s="35">
        <f>E7+'Renewable Diesel'!E71</f>
        <v>121023960</v>
      </c>
      <c r="F228" s="35">
        <f>F7+'Renewable Diesel'!F71</f>
        <v>125256386</v>
      </c>
      <c r="G228" s="35">
        <f>G7+'Renewable Diesel'!G71</f>
        <v>136705726</v>
      </c>
      <c r="H228" s="35">
        <f>H7+'Renewable Diesel'!H71</f>
        <v>157196806</v>
      </c>
      <c r="I228" s="35">
        <f>I7+'Renewable Diesel'!I71</f>
        <v>171466810</v>
      </c>
      <c r="J228" s="35">
        <f>J7+'Renewable Diesel'!J71</f>
        <v>187743693</v>
      </c>
      <c r="K228" s="35">
        <f>K7+'Renewable Diesel'!K71</f>
        <v>204425291</v>
      </c>
      <c r="L228" s="35">
        <f>L7+'Renewable Diesel'!L71</f>
        <v>189595394</v>
      </c>
      <c r="M228" s="35">
        <f>M7+'Renewable Diesel'!M71</f>
        <v>210553387</v>
      </c>
      <c r="N228" s="35">
        <f>N7+'Renewable Diesel'!N71</f>
        <v>275950965</v>
      </c>
      <c r="O228" s="35">
        <f>O7+'Renewable Diesel'!O71</f>
        <v>338443125</v>
      </c>
      <c r="P228" s="35">
        <f>P7+'Renewable Diesel'!P71</f>
        <v>361121161</v>
      </c>
      <c r="Q228" s="36">
        <f>Q7+'Renewable Diesel'!Q71</f>
        <v>336257225.10705066</v>
      </c>
      <c r="R228" s="36">
        <f>R7+'Renewable Diesel'!R71</f>
        <v>346280777.14756262</v>
      </c>
      <c r="S228" s="36">
        <f>S7+'Renewable Diesel'!S71</f>
        <v>370133173.22485858</v>
      </c>
      <c r="T228" s="36">
        <f>T7+'Renewable Diesel'!T71</f>
        <v>348059044.40288889</v>
      </c>
      <c r="U228" s="36">
        <f>U7+'Renewable Diesel'!U71</f>
        <v>362974503.91842628</v>
      </c>
      <c r="V228" s="36">
        <f>V7+'Renewable Diesel'!V71</f>
        <v>377590290.47311252</v>
      </c>
      <c r="W228" s="36">
        <f>W7+'Renewable Diesel'!W71</f>
        <v>398938772.198309</v>
      </c>
      <c r="X228" s="36">
        <f>X7+'Renewable Diesel'!X71</f>
        <v>457675196.4013018</v>
      </c>
      <c r="Y228" s="36">
        <f>Y7+'Renewable Diesel'!Y71</f>
        <v>447936176.45746809</v>
      </c>
      <c r="Z228" s="36">
        <f>Z7+'Renewable Diesel'!Z71</f>
        <v>435752116.84656715</v>
      </c>
      <c r="AA228" s="36">
        <f>AA7+'Renewable Diesel'!AA71</f>
        <v>450336765.94100356</v>
      </c>
      <c r="AB228" s="36">
        <f>AB7+'Renewable Diesel'!AB71</f>
        <v>459420625.36017847</v>
      </c>
      <c r="AC228" s="36">
        <f>AC7+'Renewable Diesel'!AC71</f>
        <v>491979619.68232948</v>
      </c>
      <c r="AD228" s="36">
        <f>AD7+'Renewable Diesel'!AD71</f>
        <v>533321147.57312125</v>
      </c>
      <c r="AE228" s="36">
        <f>AE7+'Renewable Diesel'!AE71</f>
        <v>522037732.63246739</v>
      </c>
      <c r="AF228" s="36">
        <f>AF7+'Renewable Diesel'!AF71</f>
        <v>441434458.78902054</v>
      </c>
      <c r="AG228" s="36">
        <f>AG7+'Renewable Diesel'!AG71</f>
        <v>468909069.25211096</v>
      </c>
      <c r="AH228" s="36">
        <f>AH7+'Renewable Diesel'!AH71</f>
        <v>491579238.80106229</v>
      </c>
      <c r="AI228" s="36">
        <f>AI7+'Renewable Diesel'!AS71</f>
        <v>32776933.354852974</v>
      </c>
      <c r="AJ228" s="36">
        <f>AJ7+'Renewable Diesel'!AT71</f>
        <v>33120783.321254618</v>
      </c>
      <c r="AK228" s="36">
        <f>AK7+'Renewable Diesel'!AU71</f>
        <v>72026249.616619334</v>
      </c>
      <c r="AL228" s="36">
        <f>AL7+'Renewable Diesel'!AV71</f>
        <v>67564078.576819479</v>
      </c>
      <c r="AM228" s="36">
        <f>AM7+'Renewable Diesel'!AW71</f>
        <v>33166859.652780008</v>
      </c>
      <c r="AN228" s="36">
        <f>AN7+'Renewable Diesel'!AX71</f>
        <v>33711726.135068618</v>
      </c>
      <c r="AO228" s="36">
        <f>AO7+'Renewable Diesel'!AY71</f>
        <v>34286183.663658626</v>
      </c>
      <c r="AP228" s="36">
        <f>AP7+'Renewable Diesel'!AZ71</f>
        <v>35041442.155736245</v>
      </c>
      <c r="AQ228" s="36">
        <f>AQ7+'Renewable Diesel'!AG71</f>
        <v>427348987.91155642</v>
      </c>
    </row>
    <row r="229" spans="1:43" x14ac:dyDescent="0.2">
      <c r="A229" s="32" t="s">
        <v>74</v>
      </c>
      <c r="B229" s="35">
        <f>B8+'Renewable Diesel'!B72</f>
        <v>637838</v>
      </c>
      <c r="C229" s="35">
        <f>C8+'Renewable Diesel'!C72</f>
        <v>80985763</v>
      </c>
      <c r="D229" s="35">
        <f>D8+'Renewable Diesel'!D72</f>
        <v>109299772</v>
      </c>
      <c r="E229" s="35">
        <f>E8+'Renewable Diesel'!E72</f>
        <v>123634649</v>
      </c>
      <c r="F229" s="35">
        <f>F8+'Renewable Diesel'!F72</f>
        <v>128185522</v>
      </c>
      <c r="G229" s="35">
        <f>G8+'Renewable Diesel'!G72</f>
        <v>144839364</v>
      </c>
      <c r="H229" s="35">
        <f>H8+'Renewable Diesel'!H72</f>
        <v>165312000</v>
      </c>
      <c r="I229" s="35">
        <f>I8+'Renewable Diesel'!I72</f>
        <v>162758314</v>
      </c>
      <c r="J229" s="35">
        <f>J8+'Renewable Diesel'!J72</f>
        <v>172932248</v>
      </c>
      <c r="K229" s="35">
        <f>K8+'Renewable Diesel'!K72</f>
        <v>183863075</v>
      </c>
      <c r="L229" s="35">
        <f>L8+'Renewable Diesel'!L72</f>
        <v>218621606</v>
      </c>
      <c r="M229" s="35">
        <f>M8+'Renewable Diesel'!M72</f>
        <v>223316663</v>
      </c>
      <c r="N229" s="35">
        <f>N8+'Renewable Diesel'!N72</f>
        <v>258676190</v>
      </c>
      <c r="O229" s="35">
        <f>O8+'Renewable Diesel'!O72</f>
        <v>313954144</v>
      </c>
      <c r="P229" s="35">
        <f>P8+'Renewable Diesel'!P72</f>
        <v>372485346</v>
      </c>
      <c r="Q229" s="36">
        <f>Q8+'Renewable Diesel'!Q72</f>
        <v>335191631.62428951</v>
      </c>
      <c r="R229" s="36">
        <f>R8+'Renewable Diesel'!R72</f>
        <v>344050372.31106097</v>
      </c>
      <c r="S229" s="36">
        <f>S8+'Renewable Diesel'!S72</f>
        <v>366657111.62124479</v>
      </c>
      <c r="T229" s="36">
        <f>T8+'Renewable Diesel'!T72</f>
        <v>345657765.72027141</v>
      </c>
      <c r="U229" s="36">
        <f>U8+'Renewable Diesel'!U72</f>
        <v>361165391.89265698</v>
      </c>
      <c r="V229" s="36">
        <f>V8+'Renewable Diesel'!V72</f>
        <v>376220543.48521811</v>
      </c>
      <c r="W229" s="36">
        <f>W8+'Renewable Diesel'!W72</f>
        <v>396849520.40162116</v>
      </c>
      <c r="X229" s="36">
        <f>X8+'Renewable Diesel'!X72</f>
        <v>455296065.4299649</v>
      </c>
      <c r="Y229" s="36">
        <f>Y8+'Renewable Diesel'!Y72</f>
        <v>446033113.72109133</v>
      </c>
      <c r="Z229" s="36">
        <f>Z8+'Renewable Diesel'!Z72</f>
        <v>434249582.5345031</v>
      </c>
      <c r="AA229" s="36">
        <f>AA8+'Renewable Diesel'!AA72</f>
        <v>448957763.13416761</v>
      </c>
      <c r="AB229" s="36">
        <f>AB8+'Renewable Diesel'!AB72</f>
        <v>458057461.06007904</v>
      </c>
      <c r="AC229" s="36">
        <f>AC8+'Renewable Diesel'!AC72</f>
        <v>490926496.44897205</v>
      </c>
      <c r="AD229" s="36">
        <f>AD8+'Renewable Diesel'!AD72</f>
        <v>532399395.97216314</v>
      </c>
      <c r="AE229" s="36">
        <f>AE8+'Renewable Diesel'!AE72</f>
        <v>521790011.38279486</v>
      </c>
      <c r="AF229" s="36">
        <f>AF8+'Renewable Diesel'!AF72</f>
        <v>442173878.71828878</v>
      </c>
      <c r="AG229" s="36">
        <f>AG8+'Renewable Diesel'!AG72</f>
        <v>469388021.72299677</v>
      </c>
      <c r="AH229" s="36">
        <f>AH8+'Renewable Diesel'!AH72</f>
        <v>491875618.13745105</v>
      </c>
      <c r="AI229" s="36">
        <f>AI8+'Renewable Diesel'!AS72</f>
        <v>32051867.174560521</v>
      </c>
      <c r="AJ229" s="36">
        <f>AJ8+'Renewable Diesel'!AT72</f>
        <v>32389355.046623189</v>
      </c>
      <c r="AK229" s="36">
        <f>AK8+'Renewable Diesel'!AU72</f>
        <v>77643304.686103299</v>
      </c>
      <c r="AL229" s="36">
        <f>AL8+'Renewable Diesel'!AV72</f>
        <v>18511014.810343415</v>
      </c>
      <c r="AM229" s="36">
        <f>AM8+'Renewable Diesel'!AW72</f>
        <v>32432463.991410699</v>
      </c>
      <c r="AN229" s="36">
        <f>AN8+'Renewable Diesel'!AX72</f>
        <v>32965742.414035406</v>
      </c>
      <c r="AO229" s="36">
        <f>AO8+'Renewable Diesel'!AY72</f>
        <v>33527440.334387213</v>
      </c>
      <c r="AP229" s="36">
        <f>AP8+'Renewable Diesel'!AZ72</f>
        <v>34265666.269287564</v>
      </c>
      <c r="AQ229" s="36">
        <f>AQ8+'Renewable Diesel'!AG72</f>
        <v>428490873.9332031</v>
      </c>
    </row>
    <row r="230" spans="1:43" x14ac:dyDescent="0.2">
      <c r="A230" s="32" t="s">
        <v>75</v>
      </c>
      <c r="B230" s="35">
        <f>B9+'Renewable Diesel'!B73</f>
        <v>34369851</v>
      </c>
      <c r="C230" s="35">
        <f>C9+'Renewable Diesel'!C73</f>
        <v>91885158</v>
      </c>
      <c r="D230" s="35">
        <f>D9+'Renewable Diesel'!D73</f>
        <v>102863443</v>
      </c>
      <c r="E230" s="35">
        <f>E9+'Renewable Diesel'!E73</f>
        <v>133107858</v>
      </c>
      <c r="F230" s="35">
        <f>F9+'Renewable Diesel'!F73</f>
        <v>141710062</v>
      </c>
      <c r="G230" s="35">
        <f>G9+'Renewable Diesel'!G73</f>
        <v>144230796</v>
      </c>
      <c r="H230" s="35">
        <f>H9+'Renewable Diesel'!H73</f>
        <v>157492256</v>
      </c>
      <c r="I230" s="35">
        <f>I9+'Renewable Diesel'!I73</f>
        <v>169942173</v>
      </c>
      <c r="J230" s="35">
        <f>J9+'Renewable Diesel'!J73</f>
        <v>180333384</v>
      </c>
      <c r="K230" s="35">
        <f>K9+'Renewable Diesel'!K73</f>
        <v>215734916</v>
      </c>
      <c r="L230" s="35">
        <f>L9+'Renewable Diesel'!L73</f>
        <v>208977640</v>
      </c>
      <c r="M230" s="35">
        <f>M9+'Renewable Diesel'!M73</f>
        <v>215952405</v>
      </c>
      <c r="N230" s="35">
        <f>N9+'Renewable Diesel'!N73</f>
        <v>246154885</v>
      </c>
      <c r="O230" s="35">
        <f>O9+'Renewable Diesel'!O73</f>
        <v>284997656</v>
      </c>
      <c r="P230" s="35">
        <f>P9+'Renewable Diesel'!P73</f>
        <v>384909641</v>
      </c>
      <c r="Q230" s="36">
        <f>Q9+'Renewable Diesel'!Q73</f>
        <v>329485235.57733601</v>
      </c>
      <c r="R230" s="36">
        <f>R9+'Renewable Diesel'!R73</f>
        <v>336404275.69903731</v>
      </c>
      <c r="S230" s="36">
        <f>S9+'Renewable Diesel'!S73</f>
        <v>358779614.71771175</v>
      </c>
      <c r="T230" s="36">
        <f>T9+'Renewable Diesel'!T73</f>
        <v>338085273.60893637</v>
      </c>
      <c r="U230" s="36">
        <f>U9+'Renewable Diesel'!U73</f>
        <v>356010272.86592984</v>
      </c>
      <c r="V230" s="36">
        <f>V9+'Renewable Diesel'!V73</f>
        <v>368283418.36663491</v>
      </c>
      <c r="W230" s="36">
        <f>W9+'Renewable Diesel'!W73</f>
        <v>388574536.89896184</v>
      </c>
      <c r="X230" s="36">
        <f>X9+'Renewable Diesel'!X73</f>
        <v>445917350.7626313</v>
      </c>
      <c r="Y230" s="36">
        <f>Y9+'Renewable Diesel'!Y73</f>
        <v>436873451.08402127</v>
      </c>
      <c r="Z230" s="36">
        <f>Z9+'Renewable Diesel'!Z73</f>
        <v>425369903.3965807</v>
      </c>
      <c r="AA230" s="36">
        <f>AA9+'Renewable Diesel'!AA73</f>
        <v>439265072.61396128</v>
      </c>
      <c r="AB230" s="36">
        <f>AB9+'Renewable Diesel'!AB73</f>
        <v>448034574.3793413</v>
      </c>
      <c r="AC230" s="36">
        <f>AC9+'Renewable Diesel'!AC73</f>
        <v>479866879.67258906</v>
      </c>
      <c r="AD230" s="36">
        <f>AD9+'Renewable Diesel'!AD73</f>
        <v>520280168.92771941</v>
      </c>
      <c r="AE230" s="36">
        <f>AE9+'Renewable Diesel'!AE73</f>
        <v>509502912.14166546</v>
      </c>
      <c r="AF230" s="36">
        <f>AF9+'Renewable Diesel'!AF73</f>
        <v>431147645.53112566</v>
      </c>
      <c r="AG230" s="36">
        <f>AG9+'Renewable Diesel'!AG73</f>
        <v>457857728.9773345</v>
      </c>
      <c r="AH230" s="36">
        <f>AH9+'Renewable Diesel'!AH73</f>
        <v>479695060.47700185</v>
      </c>
      <c r="AI230" s="36">
        <f>AI9+'Renewable Diesel'!AS73</f>
        <v>31852589.765391726</v>
      </c>
      <c r="AJ230" s="36">
        <f>AJ9+'Renewable Diesel'!AT73</f>
        <v>32185769.222499106</v>
      </c>
      <c r="AK230" s="36">
        <f>AK9+'Renewable Diesel'!AU73</f>
        <v>66106553.362391442</v>
      </c>
      <c r="AL230" s="36">
        <f>AL9+'Renewable Diesel'!AV73</f>
        <v>13666319.326823406</v>
      </c>
      <c r="AM230" s="36">
        <f>AM9+'Renewable Diesel'!AW73</f>
        <v>32229637.774523996</v>
      </c>
      <c r="AN230" s="36">
        <f>AN9+'Renewable Diesel'!AX73</f>
        <v>32759154.547360282</v>
      </c>
      <c r="AO230" s="36">
        <f>AO9+'Renewable Diesel'!AY73</f>
        <v>33317006.187705301</v>
      </c>
      <c r="AP230" s="36">
        <f>AP9+'Renewable Diesel'!AZ73</f>
        <v>34050660.30783283</v>
      </c>
      <c r="AQ230" s="36">
        <f>AQ9+'Renewable Diesel'!AG73</f>
        <v>417178581.6266951</v>
      </c>
    </row>
    <row r="231" spans="1:43" x14ac:dyDescent="0.2">
      <c r="A231" s="32" t="s">
        <v>76</v>
      </c>
      <c r="B231" s="35">
        <f>B10+'Renewable Diesel'!B74</f>
        <v>29563675</v>
      </c>
      <c r="C231" s="35">
        <f>C10+'Renewable Diesel'!C74</f>
        <v>107733070</v>
      </c>
      <c r="D231" s="35">
        <f>D10+'Renewable Diesel'!D74</f>
        <v>101377201</v>
      </c>
      <c r="E231" s="35">
        <f>E10+'Renewable Diesel'!E74</f>
        <v>137965008</v>
      </c>
      <c r="F231" s="35">
        <f>F10+'Renewable Diesel'!F74</f>
        <v>129465361</v>
      </c>
      <c r="G231" s="35">
        <f>G10+'Renewable Diesel'!G74</f>
        <v>140368076</v>
      </c>
      <c r="H231" s="35">
        <f>H10+'Renewable Diesel'!H74</f>
        <v>186458295</v>
      </c>
      <c r="I231" s="35">
        <f>I10+'Renewable Diesel'!I74</f>
        <v>182209088</v>
      </c>
      <c r="J231" s="35">
        <f>J10+'Renewable Diesel'!J74</f>
        <v>196655898</v>
      </c>
      <c r="K231" s="35">
        <f>K10+'Renewable Diesel'!K74</f>
        <v>183779313</v>
      </c>
      <c r="L231" s="35">
        <f>L10+'Renewable Diesel'!L74</f>
        <v>215446153</v>
      </c>
      <c r="M231" s="35">
        <f>M10+'Renewable Diesel'!M74</f>
        <v>236700159</v>
      </c>
      <c r="N231" s="35">
        <f>N10+'Renewable Diesel'!N74</f>
        <v>274082072</v>
      </c>
      <c r="O231" s="35">
        <f>O10+'Renewable Diesel'!O74</f>
        <v>334819137</v>
      </c>
      <c r="P231" s="35">
        <f>P10+'Renewable Diesel'!P74</f>
        <v>352052426</v>
      </c>
      <c r="Q231" s="36">
        <f>Q10+'Renewable Diesel'!Q74</f>
        <v>340497501.08893645</v>
      </c>
      <c r="R231" s="36">
        <f>R10+'Renewable Diesel'!R74</f>
        <v>347701173.76607329</v>
      </c>
      <c r="S231" s="36">
        <f>S10+'Renewable Diesel'!S74</f>
        <v>370727562.40691298</v>
      </c>
      <c r="T231" s="36">
        <f>T10+'Renewable Diesel'!T74</f>
        <v>347995066.19192857</v>
      </c>
      <c r="U231" s="36">
        <f>U10+'Renewable Diesel'!U74</f>
        <v>365434128.9022181</v>
      </c>
      <c r="V231" s="36">
        <f>V10+'Renewable Diesel'!V74</f>
        <v>380110411.77480835</v>
      </c>
      <c r="W231" s="36">
        <f>W10+'Renewable Diesel'!W74</f>
        <v>400645991.39411873</v>
      </c>
      <c r="X231" s="36">
        <f>X10+'Renewable Diesel'!X74</f>
        <v>459247642.52429181</v>
      </c>
      <c r="Y231" s="36">
        <f>Y10+'Renewable Diesel'!Y74</f>
        <v>449814918.29339725</v>
      </c>
      <c r="Z231" s="36">
        <f>Z10+'Renewable Diesel'!Z74</f>
        <v>438327251.97978115</v>
      </c>
      <c r="AA231" s="36">
        <f>AA10+'Renewable Diesel'!AA74</f>
        <v>452878912.62587112</v>
      </c>
      <c r="AB231" s="36">
        <f>AB10+'Renewable Diesel'!AB74</f>
        <v>461250165.21380502</v>
      </c>
      <c r="AC231" s="36">
        <f>AC10+'Renewable Diesel'!AC74</f>
        <v>493578368.28946894</v>
      </c>
      <c r="AD231" s="36">
        <f>AD10+'Renewable Diesel'!AD74</f>
        <v>535087796.56634665</v>
      </c>
      <c r="AE231" s="36">
        <f>AE10+'Renewable Diesel'!AE74</f>
        <v>524496802.88590944</v>
      </c>
      <c r="AF231" s="36">
        <f>AF10+'Renewable Diesel'!AF74</f>
        <v>444574506.90560025</v>
      </c>
      <c r="AG231" s="36">
        <f>AG10+'Renewable Diesel'!AG74</f>
        <v>471755991.5965817</v>
      </c>
      <c r="AH231" s="36">
        <f>AH10+'Renewable Diesel'!AH74</f>
        <v>494189537.35386264</v>
      </c>
      <c r="AI231" s="36">
        <f>AI10+'Renewable Diesel'!AS74</f>
        <v>32907077.852865238</v>
      </c>
      <c r="AJ231" s="36">
        <f>AJ10+'Renewable Diesel'!AT74</f>
        <v>33253921.787863236</v>
      </c>
      <c r="AK231" s="36">
        <f>AK10+'Renewable Diesel'!AU74</f>
        <v>93608652.108254999</v>
      </c>
      <c r="AL231" s="36">
        <f>AL10+'Renewable Diesel'!AV74</f>
        <v>73346874.783196837</v>
      </c>
      <c r="AM231" s="36">
        <f>AM10+'Renewable Diesel'!AW74</f>
        <v>33297917.701807551</v>
      </c>
      <c r="AN231" s="36">
        <f>AN10+'Renewable Diesel'!AX74</f>
        <v>33845417.055991583</v>
      </c>
      <c r="AO231" s="36">
        <f>AO10+'Renewable Diesel'!AY74</f>
        <v>34422119.610067606</v>
      </c>
      <c r="AP231" s="36">
        <f>AP10+'Renewable Diesel'!AZ74</f>
        <v>35179991.315252721</v>
      </c>
      <c r="AQ231" s="36">
        <f>AQ10+'Renewable Diesel'!AG74</f>
        <v>429719415.64624351</v>
      </c>
    </row>
    <row r="232" spans="1:43" x14ac:dyDescent="0.2">
      <c r="A232" s="32" t="s">
        <v>77</v>
      </c>
      <c r="B232" s="35">
        <f>B11+'Renewable Diesel'!B75</f>
        <v>36650731</v>
      </c>
      <c r="C232" s="35">
        <f>C11+'Renewable Diesel'!C75</f>
        <v>118465260</v>
      </c>
      <c r="D232" s="35">
        <f>D11+'Renewable Diesel'!D75</f>
        <v>84772060</v>
      </c>
      <c r="E232" s="35">
        <f>E11+'Renewable Diesel'!E75</f>
        <v>143316937</v>
      </c>
      <c r="F232" s="35">
        <f>F11+'Renewable Diesel'!F75</f>
        <v>130539174</v>
      </c>
      <c r="G232" s="35">
        <f>G11+'Renewable Diesel'!G75</f>
        <v>131338897</v>
      </c>
      <c r="H232" s="35">
        <f>H11+'Renewable Diesel'!H75</f>
        <v>165857997</v>
      </c>
      <c r="I232" s="35">
        <f>I11+'Renewable Diesel'!I75</f>
        <v>170300253</v>
      </c>
      <c r="J232" s="35">
        <f>J11+'Renewable Diesel'!J75</f>
        <v>189254812</v>
      </c>
      <c r="K232" s="35">
        <f>K11+'Renewable Diesel'!K75</f>
        <v>184352191</v>
      </c>
      <c r="L232" s="35">
        <f>L11+'Renewable Diesel'!L75</f>
        <v>215977990</v>
      </c>
      <c r="M232" s="35">
        <f>M11+'Renewable Diesel'!M75</f>
        <v>195682280</v>
      </c>
      <c r="N232" s="35">
        <f>N11+'Renewable Diesel'!N75</f>
        <v>269474323</v>
      </c>
      <c r="O232" s="35">
        <f>O11+'Renewable Diesel'!O75</f>
        <v>332097171</v>
      </c>
      <c r="P232" s="36">
        <f>P11+'Renewable Diesel'!P75</f>
        <v>357868440</v>
      </c>
      <c r="Q232" s="36">
        <f>Q11+'Renewable Diesel'!Q75</f>
        <v>335320677.81855679</v>
      </c>
      <c r="R232" s="36">
        <f>R11+'Renewable Diesel'!R75</f>
        <v>342343995.49801153</v>
      </c>
      <c r="S232" s="36">
        <f>S11+'Renewable Diesel'!S75</f>
        <v>366749258.36565852</v>
      </c>
      <c r="T232" s="36">
        <f>T11+'Renewable Diesel'!T75</f>
        <v>345278708.43286538</v>
      </c>
      <c r="U232" s="36">
        <f>U11+'Renewable Diesel'!U75</f>
        <v>361757997.97570151</v>
      </c>
      <c r="V232" s="36">
        <f>V11+'Renewable Diesel'!V75</f>
        <v>376363998.00010222</v>
      </c>
      <c r="W232" s="36">
        <f>W11+'Renewable Diesel'!W75</f>
        <v>397233692.14404994</v>
      </c>
      <c r="X232" s="36">
        <f>X11+'Renewable Diesel'!X75</f>
        <v>456335486.28206575</v>
      </c>
      <c r="Y232" s="36">
        <f>Y11+'Renewable Diesel'!Y75</f>
        <v>447203737.79415876</v>
      </c>
      <c r="Z232" s="36">
        <f>Z11+'Renewable Diesel'!Z75</f>
        <v>435620648.85149705</v>
      </c>
      <c r="AA232" s="36">
        <f>AA11+'Renewable Diesel'!AA75</f>
        <v>450670656.59208381</v>
      </c>
      <c r="AB232" s="36">
        <f>AB11+'Renewable Diesel'!AB75</f>
        <v>460621661.42260385</v>
      </c>
      <c r="AC232" s="36">
        <f>AC11+'Renewable Diesel'!AC75</f>
        <v>494735098.65776312</v>
      </c>
      <c r="AD232" s="36">
        <f>AD11+'Renewable Diesel'!AD75</f>
        <v>536883730.99100196</v>
      </c>
      <c r="AE232" s="36">
        <f>AE11+'Renewable Diesel'!AE75</f>
        <v>526842964.37497735</v>
      </c>
      <c r="AF232" s="36">
        <f>AF11+'Renewable Diesel'!AF75</f>
        <v>447346301.57255876</v>
      </c>
      <c r="AG232" s="36">
        <f>AG11+'Renewable Diesel'!AG75</f>
        <v>474710166.25448871</v>
      </c>
      <c r="AH232" s="36">
        <f>AH11+'Renewable Diesel'!AH75</f>
        <v>497499880.17918479</v>
      </c>
      <c r="AI232" s="36">
        <f>AI11+'Renewable Diesel'!AS75</f>
        <v>31038240.161159899</v>
      </c>
      <c r="AJ232" s="36">
        <f>AJ11+'Renewable Diesel'!AT75</f>
        <v>31364826.575288314</v>
      </c>
      <c r="AK232" s="36">
        <f>AK11+'Renewable Diesel'!AU75</f>
        <v>92100441.255584106</v>
      </c>
      <c r="AL232" s="36">
        <f>AL11+'Renewable Diesel'!AV75</f>
        <v>37140211.449853823</v>
      </c>
      <c r="AM232" s="36">
        <f>AM11+'Renewable Diesel'!AW75</f>
        <v>31406801.216881458</v>
      </c>
      <c r="AN232" s="36">
        <f>AN11+'Renewable Diesel'!AX75</f>
        <v>31923029.354396719</v>
      </c>
      <c r="AO232" s="36">
        <f>AO11+'Renewable Diesel'!AY75</f>
        <v>32466923.571955193</v>
      </c>
      <c r="AP232" s="36">
        <f>AP11+'Renewable Diesel'!AZ75</f>
        <v>33181800.741670121</v>
      </c>
      <c r="AQ232" s="36">
        <f>AQ11+'Renewable Diesel'!AG75</f>
        <v>434986958.52978539</v>
      </c>
    </row>
    <row r="233" spans="1:43" x14ac:dyDescent="0.2">
      <c r="A233" s="32" t="s">
        <v>78</v>
      </c>
      <c r="B233" s="35">
        <f>B12+'Renewable Diesel'!B76</f>
        <v>40734092</v>
      </c>
      <c r="C233" s="35">
        <f>C12+'Renewable Diesel'!C76</f>
        <v>116455453</v>
      </c>
      <c r="D233" s="35">
        <f>D12+'Renewable Diesel'!D76</f>
        <v>83883996</v>
      </c>
      <c r="E233" s="35">
        <f>E12+'Renewable Diesel'!E76</f>
        <v>147215983</v>
      </c>
      <c r="F233" s="35">
        <f>F12+'Renewable Diesel'!F76</f>
        <v>135865908</v>
      </c>
      <c r="G233" s="35">
        <f>G12+'Renewable Diesel'!G76</f>
        <v>118386489</v>
      </c>
      <c r="H233" s="35">
        <f>H12+'Renewable Diesel'!H76</f>
        <v>163704152</v>
      </c>
      <c r="I233" s="35">
        <f>I12+'Renewable Diesel'!I76</f>
        <v>174694745</v>
      </c>
      <c r="J233" s="35">
        <f>J12+'Renewable Diesel'!J76</f>
        <v>209950325</v>
      </c>
      <c r="K233" s="35">
        <f>K12+'Renewable Diesel'!K76</f>
        <v>195187583</v>
      </c>
      <c r="L233" s="35">
        <f>L12+'Renewable Diesel'!L76</f>
        <v>174727256</v>
      </c>
      <c r="M233" s="35">
        <f>M12+'Renewable Diesel'!M76</f>
        <v>217123852</v>
      </c>
      <c r="N233" s="35">
        <f>N12+'Renewable Diesel'!N76</f>
        <v>251050746</v>
      </c>
      <c r="O233" s="35">
        <f>O12+'Renewable Diesel'!O76</f>
        <v>301836895</v>
      </c>
      <c r="P233" s="36">
        <f>P12+'Renewable Diesel'!P76</f>
        <v>382371006</v>
      </c>
      <c r="Q233" s="36">
        <f>Q12+'Renewable Diesel'!Q76</f>
        <v>351121586.07315123</v>
      </c>
      <c r="R233" s="36">
        <f>R12+'Renewable Diesel'!R76</f>
        <v>363508404.17817545</v>
      </c>
      <c r="S233" s="36">
        <f>S12+'Renewable Diesel'!S76</f>
        <v>389963699.4761095</v>
      </c>
      <c r="T233" s="36">
        <f>T12+'Renewable Diesel'!T76</f>
        <v>369691141.6188935</v>
      </c>
      <c r="U233" s="36">
        <f>U12+'Renewable Diesel'!U76</f>
        <v>387058095.58261204</v>
      </c>
      <c r="V233" s="36">
        <f>V12+'Renewable Diesel'!V76</f>
        <v>400704275.92985684</v>
      </c>
      <c r="W233" s="36">
        <f>W12+'Renewable Diesel'!W76</f>
        <v>424200767.61952251</v>
      </c>
      <c r="X233" s="36">
        <f>X12+'Renewable Diesel'!X76</f>
        <v>488357869.68009955</v>
      </c>
      <c r="Y233" s="36">
        <f>Y12+'Renewable Diesel'!Y76</f>
        <v>478969363.19433582</v>
      </c>
      <c r="Z233" s="36">
        <f>Z12+'Renewable Diesel'!Z76</f>
        <v>466144106.92714417</v>
      </c>
      <c r="AA233" s="36">
        <f>AA12+'Renewable Diesel'!AA76</f>
        <v>482545894.28286487</v>
      </c>
      <c r="AB233" s="36">
        <f>AB12+'Renewable Diesel'!AB76</f>
        <v>495018624.81086028</v>
      </c>
      <c r="AC233" s="36">
        <f>AC12+'Renewable Diesel'!AC76</f>
        <v>533457464.53255939</v>
      </c>
      <c r="AD233" s="36">
        <f>AD12+'Renewable Diesel'!AD76</f>
        <v>579400523.97435284</v>
      </c>
      <c r="AE233" s="36">
        <f>AE12+'Renewable Diesel'!AE76</f>
        <v>568771992.57891309</v>
      </c>
      <c r="AF233" s="36">
        <f>AF12+'Renewable Diesel'!AF76</f>
        <v>483204330.82500577</v>
      </c>
      <c r="AG233" s="36">
        <f>AG12+'Renewable Diesel'!AG76</f>
        <v>512975354.97482681</v>
      </c>
      <c r="AH233" s="36">
        <f>AH12+'Renewable Diesel'!AH76</f>
        <v>537918856.54610491</v>
      </c>
      <c r="AI233" s="36">
        <f>AI12+'Renewable Diesel'!AS76</f>
        <v>31751829.891655203</v>
      </c>
      <c r="AJ233" s="36">
        <f>AJ12+'Renewable Diesel'!AT76</f>
        <v>32083795.712460928</v>
      </c>
      <c r="AK233" s="36">
        <f>AK12+'Renewable Diesel'!AU76</f>
        <v>76948541.331847921</v>
      </c>
      <c r="AL233" s="36">
        <f>AL12+'Renewable Diesel'!AV76</f>
        <v>1632128.6180527173</v>
      </c>
      <c r="AM233" s="36">
        <f>AM12+'Renewable Diesel'!AW76</f>
        <v>32128330.885942455</v>
      </c>
      <c r="AN233" s="36">
        <f>AN12+'Renewable Diesel'!AX76</f>
        <v>32655953.421717301</v>
      </c>
      <c r="AO233" s="36">
        <f>AO12+'Renewable Diesel'!AY76</f>
        <v>33212133.111051768</v>
      </c>
      <c r="AP233" s="36">
        <f>AP12+'Renewable Diesel'!AZ76</f>
        <v>33943616.186458252</v>
      </c>
      <c r="AQ233" s="36">
        <f>AQ12+'Renewable Diesel'!AG76</f>
        <v>472370630.98572713</v>
      </c>
    </row>
    <row r="234" spans="1:43" x14ac:dyDescent="0.2">
      <c r="A234" s="32" t="s">
        <v>79</v>
      </c>
      <c r="B234" s="35">
        <f>B13+'Renewable Diesel'!B77</f>
        <v>36474040</v>
      </c>
      <c r="C234" s="35">
        <f>C13+'Renewable Diesel'!C77</f>
        <v>108530608</v>
      </c>
      <c r="D234" s="35">
        <f>D13+'Renewable Diesel'!D77</f>
        <v>73090897</v>
      </c>
      <c r="E234" s="35">
        <f>E13+'Renewable Diesel'!E77</f>
        <v>124759280</v>
      </c>
      <c r="F234" s="35">
        <f>F13+'Renewable Diesel'!F77</f>
        <v>113502800</v>
      </c>
      <c r="G234" s="35">
        <f>G13+'Renewable Diesel'!G77</f>
        <v>109061130</v>
      </c>
      <c r="H234" s="35">
        <f>H13+'Renewable Diesel'!H77</f>
        <v>167078170</v>
      </c>
      <c r="I234" s="35">
        <f>I13+'Renewable Diesel'!I77</f>
        <v>171006724</v>
      </c>
      <c r="J234" s="35">
        <f>J13+'Renewable Diesel'!J77</f>
        <v>191105939</v>
      </c>
      <c r="K234" s="35">
        <f>K13+'Renewable Diesel'!K77</f>
        <v>161654275</v>
      </c>
      <c r="L234" s="35">
        <f>L13+'Renewable Diesel'!L77</f>
        <v>191883994</v>
      </c>
      <c r="M234" s="35">
        <f>M13+'Renewable Diesel'!M77</f>
        <v>242717836</v>
      </c>
      <c r="N234" s="35">
        <f>N13+'Renewable Diesel'!N77</f>
        <v>298973895</v>
      </c>
      <c r="O234" s="35">
        <f>O13+'Renewable Diesel'!O77</f>
        <v>290892654</v>
      </c>
      <c r="P234" s="36">
        <f>P13+'Renewable Diesel'!P77</f>
        <v>355008124</v>
      </c>
      <c r="Q234" s="36">
        <f>Q13+'Renewable Diesel'!Q77</f>
        <v>363657441.33333385</v>
      </c>
      <c r="R234" s="36">
        <f>R13+'Renewable Diesel'!R77</f>
        <v>408711542.57520038</v>
      </c>
      <c r="S234" s="36">
        <f>S13+'Renewable Diesel'!S77</f>
        <v>439920012.22117978</v>
      </c>
      <c r="T234" s="36">
        <f>T13+'Renewable Diesel'!T77</f>
        <v>419851739.75176871</v>
      </c>
      <c r="U234" s="36">
        <f>U13+'Renewable Diesel'!U77</f>
        <v>437462230.30458319</v>
      </c>
      <c r="V234" s="36">
        <f>V13+'Renewable Diesel'!V77</f>
        <v>454529695.67126882</v>
      </c>
      <c r="W234" s="36">
        <f>W13+'Renewable Diesel'!W77</f>
        <v>482911120.25072545</v>
      </c>
      <c r="X234" s="36">
        <f>X13+'Renewable Diesel'!X77</f>
        <v>558597474.39809167</v>
      </c>
      <c r="Y234" s="36">
        <f>Y13+'Renewable Diesel'!Y77</f>
        <v>548920187.23094928</v>
      </c>
      <c r="Z234" s="36">
        <f>Z13+'Renewable Diesel'!Z77</f>
        <v>534141792.22436887</v>
      </c>
      <c r="AA234" s="36">
        <f>AA13+'Renewable Diesel'!AA77</f>
        <v>555191705.06737816</v>
      </c>
      <c r="AB234" s="36">
        <f>AB13+'Renewable Diesel'!AB77</f>
        <v>574981374.98011768</v>
      </c>
      <c r="AC234" s="36">
        <f>AC13+'Renewable Diesel'!AC77</f>
        <v>626002373.56144798</v>
      </c>
      <c r="AD234" s="36">
        <f>AD13+'Renewable Diesel'!AD77</f>
        <v>681917201.53546143</v>
      </c>
      <c r="AE234" s="36">
        <f>AE13+'Renewable Diesel'!AE77</f>
        <v>671987532.46936762</v>
      </c>
      <c r="AF234" s="36">
        <f>AF13+'Renewable Diesel'!AF77</f>
        <v>574365724.38560581</v>
      </c>
      <c r="AG234" s="36">
        <f>AG13+'Renewable Diesel'!AG77</f>
        <v>609498281.51050282</v>
      </c>
      <c r="AH234" s="36">
        <f>AH13+'Renewable Diesel'!AH77</f>
        <v>640059617.31329942</v>
      </c>
      <c r="AI234" s="36">
        <f>AI13+'Renewable Diesel'!AS77</f>
        <v>30226964.974622205</v>
      </c>
      <c r="AJ234" s="36">
        <f>AJ13+'Renewable Diesel'!AT77</f>
        <v>30545251.222053982</v>
      </c>
      <c r="AK234" s="36">
        <f>AK13+'Renewable Diesel'!AU77</f>
        <v>28802574.706297193</v>
      </c>
      <c r="AL234" s="36">
        <f>AL13+'Renewable Diesel'!AV77</f>
        <v>28634343.781337548</v>
      </c>
      <c r="AM234" s="36">
        <f>AM13+'Renewable Diesel'!AW77</f>
        <v>30585933.246991068</v>
      </c>
      <c r="AN234" s="36">
        <f>AN13+'Renewable Diesel'!AX77</f>
        <v>31088724.560799327</v>
      </c>
      <c r="AO234" s="36">
        <f>AO13+'Renewable Diesel'!AY77</f>
        <v>31618423.586942941</v>
      </c>
      <c r="AP234" s="36">
        <f>AP13+'Renewable Diesel'!AZ77</f>
        <v>32314592.314608969</v>
      </c>
      <c r="AQ234" s="36">
        <f>AQ13+'Renewable Diesel'!AG77</f>
        <v>570734219.15428579</v>
      </c>
    </row>
    <row r="235" spans="1:43" x14ac:dyDescent="0.2">
      <c r="A235" s="32" t="s">
        <v>80</v>
      </c>
      <c r="B235" s="35">
        <f>B14+'Renewable Diesel'!B78</f>
        <v>41054698</v>
      </c>
      <c r="C235" s="35">
        <f>C14+'Renewable Diesel'!C78</f>
        <v>156209015</v>
      </c>
      <c r="D235" s="35">
        <f>D14+'Renewable Diesel'!D78</f>
        <v>61398400</v>
      </c>
      <c r="E235" s="35">
        <f>E14+'Renewable Diesel'!E78</f>
        <v>170977428</v>
      </c>
      <c r="F235" s="35">
        <f>F14+'Renewable Diesel'!F78</f>
        <v>186003033</v>
      </c>
      <c r="G235" s="35">
        <f>G14+'Renewable Diesel'!G78</f>
        <v>123349418</v>
      </c>
      <c r="H235" s="35">
        <f>H14+'Renewable Diesel'!H78</f>
        <v>214374179</v>
      </c>
      <c r="I235" s="35">
        <f>I14+'Renewable Diesel'!I78</f>
        <v>188119511</v>
      </c>
      <c r="J235" s="35">
        <f>J14+'Renewable Diesel'!J78</f>
        <v>230659809</v>
      </c>
      <c r="K235" s="35">
        <f>K14+'Renewable Diesel'!K78</f>
        <v>192397741</v>
      </c>
      <c r="L235" s="35">
        <f>L14+'Renewable Diesel'!L78</f>
        <v>233689213</v>
      </c>
      <c r="M235" s="35">
        <f>M14+'Renewable Diesel'!M78</f>
        <v>283978702</v>
      </c>
      <c r="N235" s="35">
        <f>N14+'Renewable Diesel'!N78</f>
        <v>276397260</v>
      </c>
      <c r="O235" s="35">
        <f>O14+'Renewable Diesel'!O78</f>
        <v>354149119</v>
      </c>
      <c r="P235" s="36">
        <f>P14+'Renewable Diesel'!P78</f>
        <v>435625906</v>
      </c>
      <c r="Q235" s="36">
        <f>Q14+'Renewable Diesel'!Q78</f>
        <v>542120464.3255657</v>
      </c>
      <c r="R235" s="36">
        <f>R14+'Renewable Diesel'!R78</f>
        <v>465650135.03278935</v>
      </c>
      <c r="S235" s="36">
        <f>S14+'Renewable Diesel'!S78</f>
        <v>517073772.2308622</v>
      </c>
      <c r="T235" s="36">
        <f>T14+'Renewable Diesel'!T78</f>
        <v>495514647.2834118</v>
      </c>
      <c r="U235" s="36">
        <f>U14+'Renewable Diesel'!U78</f>
        <v>527245264.16656715</v>
      </c>
      <c r="V235" s="36">
        <f>V14+'Renewable Diesel'!V78</f>
        <v>550267706.22732377</v>
      </c>
      <c r="W235" s="36">
        <f>W14+'Renewable Diesel'!W78</f>
        <v>568577898.99227118</v>
      </c>
      <c r="X235" s="36">
        <f>X14+'Renewable Diesel'!X78</f>
        <v>659941829.6238122</v>
      </c>
      <c r="Y235" s="36">
        <f>Y14+'Renewable Diesel'!Y78</f>
        <v>629106756.27902317</v>
      </c>
      <c r="Z235" s="36">
        <f>Z14+'Renewable Diesel'!Z78</f>
        <v>621543042.46541917</v>
      </c>
      <c r="AA235" s="36">
        <f>AA14+'Renewable Diesel'!AA78</f>
        <v>642722464.46258163</v>
      </c>
      <c r="AB235" s="36">
        <f>AB14+'Renewable Diesel'!AB78</f>
        <v>664804742.28013325</v>
      </c>
      <c r="AC235" s="36">
        <f>AC14+'Renewable Diesel'!AC78</f>
        <v>719386137.22365344</v>
      </c>
      <c r="AD235" s="36">
        <f>AD14+'Renewable Diesel'!AD78</f>
        <v>781091749.38912225</v>
      </c>
      <c r="AE235" s="36">
        <f>AE14+'Renewable Diesel'!AE78</f>
        <v>769026470.24100792</v>
      </c>
      <c r="AF235" s="36">
        <f>AF14+'Renewable Diesel'!AF78</f>
        <v>654772244.24817133</v>
      </c>
      <c r="AG235" s="36">
        <f>AG14+'Renewable Diesel'!AG78</f>
        <v>695266037.43240047</v>
      </c>
      <c r="AH235" s="36">
        <f>AH14+'Renewable Diesel'!AH78</f>
        <v>729900809.29327822</v>
      </c>
      <c r="AI235" s="36">
        <f>AI14+'Renewable Diesel'!AS78</f>
        <v>38618953.516545221</v>
      </c>
      <c r="AJ235" s="36">
        <f>AJ14+'Renewable Diesel'!AT78</f>
        <v>39137372.920800835</v>
      </c>
      <c r="AK235" s="36">
        <f>AK14+'Renewable Diesel'!AU78</f>
        <v>125882734.72788739</v>
      </c>
      <c r="AL235" s="36">
        <f>AL14+'Renewable Diesel'!AV78</f>
        <v>100747853.45619875</v>
      </c>
      <c r="AM235" s="36">
        <f>AM14+'Renewable Diesel'!AW78</f>
        <v>39150970.275446914</v>
      </c>
      <c r="AN235" s="36">
        <f>AN14+'Renewable Diesel'!AX78</f>
        <v>39795762.014315486</v>
      </c>
      <c r="AO235" s="36">
        <f>AO14+'Renewable Diesel'!AY78</f>
        <v>40488998.933273315</v>
      </c>
      <c r="AP235" s="36">
        <f>AP14+'Renewable Diesel'!AZ78</f>
        <v>41375746.977975965</v>
      </c>
      <c r="AQ235" s="36">
        <f>AQ14+'Renewable Diesel'!AG78</f>
        <v>645991489.15770173</v>
      </c>
    </row>
    <row r="236" spans="1:43" x14ac:dyDescent="0.2">
      <c r="A236" s="32" t="s">
        <v>18</v>
      </c>
      <c r="B236" s="35">
        <f>SUM(B224:B235)</f>
        <v>222327929</v>
      </c>
      <c r="C236" s="35">
        <f t="shared" ref="C236:AQ236" si="153">SUM(C224:C235)</f>
        <v>1081848460</v>
      </c>
      <c r="D236" s="35">
        <f t="shared" si="153"/>
        <v>1059749686</v>
      </c>
      <c r="E236" s="35">
        <f t="shared" si="153"/>
        <v>1463462776</v>
      </c>
      <c r="F236" s="35">
        <f t="shared" si="153"/>
        <v>1458877939</v>
      </c>
      <c r="G236" s="35">
        <f t="shared" si="153"/>
        <v>1426812346</v>
      </c>
      <c r="H236" s="35">
        <f t="shared" si="153"/>
        <v>1874571420</v>
      </c>
      <c r="I236" s="35">
        <f t="shared" si="153"/>
        <v>1846593882</v>
      </c>
      <c r="J236" s="35">
        <f t="shared" si="153"/>
        <v>2160607288</v>
      </c>
      <c r="K236" s="35">
        <f t="shared" si="153"/>
        <v>2205912785</v>
      </c>
      <c r="L236" s="35">
        <f t="shared" si="153"/>
        <v>2357193164</v>
      </c>
      <c r="M236" s="35">
        <f t="shared" si="153"/>
        <v>2549351150</v>
      </c>
      <c r="N236" s="35">
        <f t="shared" si="153"/>
        <v>3036401064</v>
      </c>
      <c r="O236" s="35">
        <f t="shared" si="153"/>
        <v>3571169719</v>
      </c>
      <c r="P236" s="36">
        <f t="shared" si="153"/>
        <v>4284739522</v>
      </c>
      <c r="Q236" s="36">
        <f t="shared" si="153"/>
        <v>4024711023.6789241</v>
      </c>
      <c r="R236" s="36">
        <f t="shared" si="153"/>
        <v>4149885828.4091358</v>
      </c>
      <c r="S236" s="36">
        <f t="shared" si="153"/>
        <v>4436504825.5390329</v>
      </c>
      <c r="T236" s="36">
        <f t="shared" si="153"/>
        <v>4195224321.0358443</v>
      </c>
      <c r="U236" s="36">
        <f t="shared" si="153"/>
        <v>4398430866.9634409</v>
      </c>
      <c r="V236" s="36">
        <f t="shared" si="153"/>
        <v>4560704474.3960896</v>
      </c>
      <c r="W236" s="36">
        <f t="shared" si="153"/>
        <v>4821481218.4639292</v>
      </c>
      <c r="X236" s="36">
        <f t="shared" si="153"/>
        <v>5544368270.9511833</v>
      </c>
      <c r="Y236" s="36">
        <f t="shared" si="153"/>
        <v>5436229608.0161161</v>
      </c>
      <c r="Z236" s="36">
        <f t="shared" si="153"/>
        <v>5292219646.5989761</v>
      </c>
      <c r="AA236" s="36">
        <f t="shared" si="153"/>
        <v>5476026745.2581501</v>
      </c>
      <c r="AB236" s="36">
        <f t="shared" si="153"/>
        <v>5608825886.1639919</v>
      </c>
      <c r="AC236" s="36">
        <f t="shared" si="153"/>
        <v>6035121453.734498</v>
      </c>
      <c r="AD236" s="36">
        <f t="shared" si="153"/>
        <v>6552217121.9880123</v>
      </c>
      <c r="AE236" s="36">
        <f t="shared" si="153"/>
        <v>6428980432.1220226</v>
      </c>
      <c r="AF236" s="36">
        <f t="shared" si="153"/>
        <v>5457493968.8489723</v>
      </c>
      <c r="AG236" s="36">
        <f t="shared" si="153"/>
        <v>5793770750.132472</v>
      </c>
      <c r="AH236" s="36">
        <f t="shared" si="153"/>
        <v>6078591401.658617</v>
      </c>
      <c r="AI236" s="36">
        <f t="shared" si="153"/>
        <v>369022083.29888958</v>
      </c>
      <c r="AJ236" s="36">
        <f t="shared" si="153"/>
        <v>372888669.69429624</v>
      </c>
      <c r="AK236" s="36">
        <f t="shared" si="153"/>
        <v>859003617.67332029</v>
      </c>
      <c r="AL236" s="36">
        <f t="shared" si="153"/>
        <v>459778401.47525615</v>
      </c>
      <c r="AM236" s="36">
        <f t="shared" si="153"/>
        <v>373395521.63725591</v>
      </c>
      <c r="AN236" s="36">
        <f t="shared" si="153"/>
        <v>379530877.06040347</v>
      </c>
      <c r="AO236" s="36">
        <f t="shared" si="153"/>
        <v>385995056.19845152</v>
      </c>
      <c r="AP236" s="36">
        <f>SUM(AP224:AP235)</f>
        <v>394494911.41562796</v>
      </c>
      <c r="AQ236" s="36">
        <f t="shared" si="153"/>
        <v>5326224514.5088329</v>
      </c>
    </row>
    <row r="238" spans="1:43" x14ac:dyDescent="0.2">
      <c r="O238" s="85"/>
    </row>
    <row r="239" spans="1:43" x14ac:dyDescent="0.2">
      <c r="O239" s="85"/>
    </row>
  </sheetData>
  <autoFilter ref="AW2:AX77" xr:uid="{E817AAF6-7E5F-4676-BBA9-17EAEA883AB2}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D325-876A-4DB0-9E30-164DDE419C29}">
  <dimension ref="A1:BK112"/>
  <sheetViews>
    <sheetView zoomScale="115" zoomScaleNormal="115" workbookViewId="0">
      <pane xSplit="1" ySplit="2" topLeftCell="AE3" activePane="bottomRight" state="frozen"/>
      <selection activeCell="P67" sqref="P67"/>
      <selection pane="topRight" activeCell="P67" sqref="P67"/>
      <selection pane="bottomLeft" activeCell="P67" sqref="P67"/>
      <selection pane="bottomRight" activeCell="AK9" sqref="AK9"/>
    </sheetView>
  </sheetViews>
  <sheetFormatPr defaultColWidth="9.140625" defaultRowHeight="13.5" x14ac:dyDescent="0.25"/>
  <cols>
    <col min="1" max="1" width="9.140625" style="20"/>
    <col min="2" max="18" width="13.5703125" style="20" customWidth="1"/>
    <col min="19" max="22" width="12.7109375" style="20" customWidth="1"/>
    <col min="23" max="33" width="14.7109375" style="20" customWidth="1"/>
    <col min="34" max="47" width="11.42578125" style="20" customWidth="1"/>
    <col min="48" max="48" width="10.5703125" style="20" customWidth="1"/>
    <col min="49" max="50" width="11.42578125" style="20" customWidth="1"/>
    <col min="51" max="51" width="12.85546875" style="20" bestFit="1" customWidth="1"/>
    <col min="52" max="52" width="11.42578125" style="20" customWidth="1"/>
    <col min="53" max="53" width="11.7109375" style="20" bestFit="1" customWidth="1"/>
    <col min="54" max="54" width="11.28515625" style="20" bestFit="1" customWidth="1"/>
    <col min="55" max="58" width="12.140625" style="20" customWidth="1"/>
    <col min="59" max="60" width="11.7109375" style="20" bestFit="1" customWidth="1"/>
    <col min="61" max="61" width="10.7109375" style="20" bestFit="1" customWidth="1"/>
    <col min="62" max="62" width="11.7109375" style="20" bestFit="1" customWidth="1"/>
    <col min="63" max="63" width="11.28515625" style="20" bestFit="1" customWidth="1"/>
    <col min="64" max="16384" width="9.140625" style="20"/>
  </cols>
  <sheetData>
    <row r="1" spans="1:55" x14ac:dyDescent="0.25">
      <c r="A1" s="20" t="s">
        <v>125</v>
      </c>
    </row>
    <row r="2" spans="1:55" x14ac:dyDescent="0.25">
      <c r="B2" s="20">
        <v>2010</v>
      </c>
      <c r="C2" s="20">
        <v>2011</v>
      </c>
      <c r="D2" s="20">
        <v>2012</v>
      </c>
      <c r="E2" s="20">
        <v>2013</v>
      </c>
      <c r="F2" s="20">
        <v>2014</v>
      </c>
      <c r="G2" s="20">
        <v>2015</v>
      </c>
      <c r="H2" s="20">
        <v>2016</v>
      </c>
      <c r="I2" s="20">
        <v>2017</v>
      </c>
      <c r="J2" s="20">
        <v>2018</v>
      </c>
      <c r="K2" s="20">
        <v>2019</v>
      </c>
      <c r="L2" s="20">
        <v>2020</v>
      </c>
      <c r="M2" s="20">
        <v>2021</v>
      </c>
      <c r="N2" s="20">
        <v>2022</v>
      </c>
      <c r="O2" s="20">
        <v>2023</v>
      </c>
      <c r="P2" s="20">
        <v>2024</v>
      </c>
      <c r="Q2" s="20">
        <v>2025</v>
      </c>
      <c r="R2" s="20">
        <v>2026</v>
      </c>
      <c r="S2" s="20">
        <v>2027</v>
      </c>
      <c r="T2" s="20">
        <v>2028</v>
      </c>
      <c r="U2" s="20">
        <v>2029</v>
      </c>
      <c r="V2" s="20">
        <v>2030</v>
      </c>
      <c r="W2" s="20">
        <v>2031</v>
      </c>
      <c r="X2" s="20">
        <v>2032</v>
      </c>
      <c r="Y2" s="20">
        <v>2033</v>
      </c>
      <c r="Z2" s="20">
        <v>2034</v>
      </c>
      <c r="AA2" s="20">
        <v>2035</v>
      </c>
      <c r="AB2" s="20">
        <v>2036</v>
      </c>
      <c r="AC2" s="20">
        <v>2037</v>
      </c>
      <c r="AD2" s="20">
        <v>2038</v>
      </c>
      <c r="AE2" s="20">
        <v>2039</v>
      </c>
      <c r="AF2" s="20">
        <v>2040</v>
      </c>
      <c r="AG2" s="20">
        <v>2041</v>
      </c>
      <c r="AH2" s="20">
        <v>2042</v>
      </c>
      <c r="AI2" s="20">
        <v>2043</v>
      </c>
      <c r="AJ2" s="20">
        <v>2044</v>
      </c>
      <c r="AK2" s="20">
        <v>2045</v>
      </c>
      <c r="AL2" s="20">
        <v>2046</v>
      </c>
      <c r="AM2" s="20">
        <v>2047</v>
      </c>
      <c r="AN2" s="20">
        <v>2048</v>
      </c>
      <c r="AO2" s="20">
        <v>2049</v>
      </c>
      <c r="AP2" s="20">
        <v>2050</v>
      </c>
      <c r="AT2" s="102" t="s">
        <v>126</v>
      </c>
      <c r="AU2" s="102"/>
      <c r="AV2" s="102" t="s">
        <v>127</v>
      </c>
      <c r="AW2" s="102"/>
      <c r="AX2" s="102" t="s">
        <v>128</v>
      </c>
      <c r="AY2" s="102"/>
      <c r="BA2" s="20" t="s">
        <v>129</v>
      </c>
      <c r="BB2" s="20" t="s">
        <v>130</v>
      </c>
      <c r="BC2" s="20" t="s">
        <v>131</v>
      </c>
    </row>
    <row r="3" spans="1:55" x14ac:dyDescent="0.25">
      <c r="A3" s="20" t="s">
        <v>70</v>
      </c>
      <c r="B3" s="21">
        <f>'[4]D4 Gallon Forecast'!B133+'[4]D5 Gallon Forecast'!B120+'[4]D6 Gallon Forecast'!B206+'[4]D4 Gallon Forecast'!B197+'[4]D4 Gallon Forecast'!B261+'[4]D5 Gallon Forecast'!B168+'[4]D6 Gallon Forecast'!B222+'[4]D6 Gallon Forecast'!B238</f>
        <v>0</v>
      </c>
      <c r="C3" s="21">
        <f>'[4]D4 Gallon Forecast'!C133+'[4]D5 Gallon Forecast'!C120+'[4]D6 Gallon Forecast'!C206+'[4]D4 Gallon Forecast'!C197+'[4]D4 Gallon Forecast'!C261+'[4]D5 Gallon Forecast'!C168+'[4]D6 Gallon Forecast'!C222+'[4]D6 Gallon Forecast'!C238</f>
        <v>4427855</v>
      </c>
      <c r="D3" s="21">
        <f>'[4]D4 Gallon Forecast'!D133+'[4]D5 Gallon Forecast'!D120+'[4]D6 Gallon Forecast'!D206+'[4]D4 Gallon Forecast'!D197+'[4]D4 Gallon Forecast'!D261+'[4]D5 Gallon Forecast'!D168+'[4]D6 Gallon Forecast'!D222+'[4]D6 Gallon Forecast'!D238</f>
        <v>4217364</v>
      </c>
      <c r="E3" s="21">
        <f>'[4]D4 Gallon Forecast'!E133+'[4]D5 Gallon Forecast'!E120+'[4]D6 Gallon Forecast'!E206+'[4]D4 Gallon Forecast'!E197+'[4]D4 Gallon Forecast'!E261+'[4]D5 Gallon Forecast'!E168+'[4]D6 Gallon Forecast'!E222+'[4]D6 Gallon Forecast'!E238</f>
        <v>8288468</v>
      </c>
      <c r="F3" s="21">
        <f>'[4]D4 Gallon Forecast'!F133+'[4]D5 Gallon Forecast'!F120+'[4]D6 Gallon Forecast'!F206+'[4]D4 Gallon Forecast'!F197+'[4]D4 Gallon Forecast'!F261+'[4]D5 Gallon Forecast'!F168+'[4]D6 Gallon Forecast'!F222+'[4]D6 Gallon Forecast'!F238</f>
        <v>29351643</v>
      </c>
      <c r="G3" s="21">
        <f>'[4]D4 Gallon Forecast'!G133+'[4]D5 Gallon Forecast'!G120+'[4]D6 Gallon Forecast'!G206+'[4]D4 Gallon Forecast'!G197+'[4]D4 Gallon Forecast'!G261+'[4]D5 Gallon Forecast'!G168+'[4]D6 Gallon Forecast'!G222+'[4]D6 Gallon Forecast'!G238</f>
        <v>27404189</v>
      </c>
      <c r="H3" s="21">
        <f>'[4]D4 Gallon Forecast'!H133+'[4]D5 Gallon Forecast'!H120+'[4]D6 Gallon Forecast'!H206+'[4]D4 Gallon Forecast'!H197+'[4]D4 Gallon Forecast'!H261+'[4]D5 Gallon Forecast'!H168+'[4]D6 Gallon Forecast'!H222+'[4]D6 Gallon Forecast'!H238</f>
        <v>19762301</v>
      </c>
      <c r="I3" s="21">
        <f>'[4]D4 Gallon Forecast'!I133+'[4]D5 Gallon Forecast'!I120+'[4]D6 Gallon Forecast'!I206+'[4]D4 Gallon Forecast'!I197+'[4]D4 Gallon Forecast'!I261+'[4]D5 Gallon Forecast'!I168+'[4]D6 Gallon Forecast'!I222+'[4]D6 Gallon Forecast'!I238</f>
        <v>39001198</v>
      </c>
      <c r="J3" s="21">
        <f>'[4]D4 Gallon Forecast'!J133+'[4]D5 Gallon Forecast'!J120+'[4]D6 Gallon Forecast'!J206+'[4]D4 Gallon Forecast'!J197+'[4]D4 Gallon Forecast'!J261+'[4]D5 Gallon Forecast'!J168+'[4]D6 Gallon Forecast'!J222+'[4]D6 Gallon Forecast'!J238</f>
        <v>29377946</v>
      </c>
      <c r="K3" s="21">
        <f>'[4]D4 Gallon Forecast'!K133+'[4]D5 Gallon Forecast'!K120+'[4]D6 Gallon Forecast'!K206+'[4]D4 Gallon Forecast'!K197+'[4]D4 Gallon Forecast'!K261+'[4]D5 Gallon Forecast'!K168+'[4]D6 Gallon Forecast'!K222+'[4]D6 Gallon Forecast'!K238</f>
        <v>52780826</v>
      </c>
      <c r="L3" s="21">
        <f>'[4]D4 Gallon Forecast'!L133+'[4]D5 Gallon Forecast'!L120+'[4]D6 Gallon Forecast'!L206+'[4]D4 Gallon Forecast'!L197+'[4]D4 Gallon Forecast'!L261+'[4]D5 Gallon Forecast'!L168+'[4]D6 Gallon Forecast'!L222+'[4]D6 Gallon Forecast'!L238</f>
        <v>64113409</v>
      </c>
      <c r="M3" s="21">
        <f>'[4]D4 Gallon Forecast'!M133+'[4]D5 Gallon Forecast'!M120+'[4]D6 Gallon Forecast'!M206+'[4]D4 Gallon Forecast'!M197+'[4]D4 Gallon Forecast'!M261+'[4]D5 Gallon Forecast'!M168+'[4]D6 Gallon Forecast'!M222+'[4]D6 Gallon Forecast'!M238</f>
        <v>83001113</v>
      </c>
      <c r="N3" s="21">
        <f>'[4]D4 Gallon Forecast'!N133+'[4]D5 Gallon Forecast'!N120+'[4]D6 Gallon Forecast'!N206+'[4]D4 Gallon Forecast'!N197+'[4]D4 Gallon Forecast'!N261+'[4]D5 Gallon Forecast'!N168+'[4]D6 Gallon Forecast'!N222+'[4]D6 Gallon Forecast'!N238</f>
        <v>121692397</v>
      </c>
      <c r="O3" s="21">
        <f>'[4]D4 Gallon Forecast'!O133+'[4]D5 Gallon Forecast'!O120+'[4]D6 Gallon Forecast'!O206+'[4]D4 Gallon Forecast'!O197+'[4]D4 Gallon Forecast'!O261+'[4]D5 Gallon Forecast'!O168+'[4]D6 Gallon Forecast'!O222+'[4]D6 Gallon Forecast'!O238</f>
        <v>186177512</v>
      </c>
      <c r="P3" s="21">
        <f>'[4]D4 Gallon Forecast'!P133+'[4]D5 Gallon Forecast'!P120+'[4]D6 Gallon Forecast'!P206+'[4]D4 Gallon Forecast'!P197+'[4]D4 Gallon Forecast'!P261+'[4]D5 Gallon Forecast'!P168+'[4]D6 Gallon Forecast'!P222+'[4]D6 Gallon Forecast'!P238</f>
        <v>254443224</v>
      </c>
      <c r="Q3" s="22">
        <f>'[4]D4 Gallon Forecast'!Q133+'[4]D5 Gallon Forecast'!Q120+'[4]D6 Gallon Forecast'!Q206+'[4]D4 Gallon Forecast'!Q197+'[4]D4 Gallon Forecast'!Q261+'[4]D5 Gallon Forecast'!Q168+'[4]D6 Gallon Forecast'!Q222+'[4]D6 Gallon Forecast'!Q238</f>
        <v>217367275</v>
      </c>
      <c r="R3" s="22">
        <f>'[4]D4 Gallon Forecast'!R133+'[4]D5 Gallon Forecast'!R120+'[4]D6 Gallon Forecast'!R206+'[4]D4 Gallon Forecast'!R197+'[4]D4 Gallon Forecast'!R261+'[4]D5 Gallon Forecast'!R168+'[4]D6 Gallon Forecast'!R222+'[4]D6 Gallon Forecast'!R238</f>
        <v>193181499.16097897</v>
      </c>
      <c r="S3" s="22">
        <f>'[4]D4 Gallon Forecast'!S133+'[4]D5 Gallon Forecast'!S120+'[4]D6 Gallon Forecast'!S206+'[4]D4 Gallon Forecast'!S197+'[4]D4 Gallon Forecast'!S261+'[4]D5 Gallon Forecast'!S168+'[4]D6 Gallon Forecast'!S222+'[4]D6 Gallon Forecast'!S238</f>
        <v>208210931.42950642</v>
      </c>
      <c r="T3" s="22">
        <f>'[4]D4 Gallon Forecast'!T133+'[4]D5 Gallon Forecast'!T120+'[4]D6 Gallon Forecast'!T206+'[4]D4 Gallon Forecast'!T197+'[4]D4 Gallon Forecast'!T261+'[4]D5 Gallon Forecast'!T168+'[4]D6 Gallon Forecast'!T222+'[4]D6 Gallon Forecast'!T238</f>
        <v>209670012.5683673</v>
      </c>
      <c r="U3" s="22">
        <f>'[4]D4 Gallon Forecast'!U133+'[4]D5 Gallon Forecast'!U120+'[4]D6 Gallon Forecast'!U206+'[4]D4 Gallon Forecast'!U197+'[4]D4 Gallon Forecast'!U261+'[4]D5 Gallon Forecast'!U168+'[4]D6 Gallon Forecast'!U222+'[4]D6 Gallon Forecast'!U238</f>
        <v>209044100.79624954</v>
      </c>
      <c r="V3" s="22">
        <f>'[4]D4 Gallon Forecast'!V133+'[4]D5 Gallon Forecast'!V120+'[4]D6 Gallon Forecast'!V206+'[4]D4 Gallon Forecast'!V197+'[4]D4 Gallon Forecast'!V261+'[4]D5 Gallon Forecast'!V168+'[4]D6 Gallon Forecast'!V222+'[4]D6 Gallon Forecast'!V238</f>
        <v>216290603.63427636</v>
      </c>
      <c r="W3" s="22">
        <f>'[4]D4 Gallon Forecast'!W133+'[4]D5 Gallon Forecast'!W120+'[4]D6 Gallon Forecast'!W206+'[4]D4 Gallon Forecast'!W197+'[4]D4 Gallon Forecast'!W261+'[4]D5 Gallon Forecast'!W168+'[4]D6 Gallon Forecast'!W222+'[4]D6 Gallon Forecast'!W238</f>
        <v>235289442.43496317</v>
      </c>
      <c r="X3" s="22">
        <f>'[4]D4 Gallon Forecast'!X133+'[4]D5 Gallon Forecast'!X120+'[4]D6 Gallon Forecast'!X206+'[4]D4 Gallon Forecast'!X197+'[4]D4 Gallon Forecast'!X261+'[4]D5 Gallon Forecast'!X168+'[4]D6 Gallon Forecast'!X222+'[4]D6 Gallon Forecast'!X238</f>
        <v>274891838.9908644</v>
      </c>
      <c r="Y3" s="22">
        <f>'[4]D4 Gallon Forecast'!Y133+'[4]D5 Gallon Forecast'!Y120+'[4]D6 Gallon Forecast'!Y206+'[4]D4 Gallon Forecast'!Y197+'[4]D4 Gallon Forecast'!Y261+'[4]D5 Gallon Forecast'!Y168+'[4]D6 Gallon Forecast'!Y222+'[4]D6 Gallon Forecast'!Y238</f>
        <v>272917197.4617393</v>
      </c>
      <c r="Z3" s="22">
        <f>'[4]D4 Gallon Forecast'!Z133+'[4]D5 Gallon Forecast'!Z120+'[4]D6 Gallon Forecast'!Z206+'[4]D4 Gallon Forecast'!Z197+'[4]D4 Gallon Forecast'!Z261+'[4]D5 Gallon Forecast'!Z168+'[4]D6 Gallon Forecast'!Z222+'[4]D6 Gallon Forecast'!Z238</f>
        <v>265136907.68228596</v>
      </c>
      <c r="AA3" s="22">
        <f>'[4]D4 Gallon Forecast'!AA133+'[4]D5 Gallon Forecast'!AA120+'[4]D6 Gallon Forecast'!AA206+'[4]D4 Gallon Forecast'!AA197+'[4]D4 Gallon Forecast'!AA261+'[4]D5 Gallon Forecast'!AA168+'[4]D6 Gallon Forecast'!AA222+'[4]D6 Gallon Forecast'!AA238</f>
        <v>280356081.6082927</v>
      </c>
      <c r="AB3" s="22">
        <f>'[4]D4 Gallon Forecast'!AB133+'[4]D5 Gallon Forecast'!AB120+'[4]D6 Gallon Forecast'!AB206+'[4]D4 Gallon Forecast'!AB197+'[4]D4 Gallon Forecast'!AB261+'[4]D5 Gallon Forecast'!AB168+'[4]D6 Gallon Forecast'!AB222+'[4]D6 Gallon Forecast'!AB238</f>
        <v>296558535.75807506</v>
      </c>
      <c r="AC3" s="22">
        <f>'[4]D4 Gallon Forecast'!AC133+'[4]D5 Gallon Forecast'!AC120+'[4]D6 Gallon Forecast'!AC206+'[4]D4 Gallon Forecast'!AC197+'[4]D4 Gallon Forecast'!AC261+'[4]D5 Gallon Forecast'!AC168+'[4]D6 Gallon Forecast'!AC222+'[4]D6 Gallon Forecast'!AC238</f>
        <v>335509228.61812633</v>
      </c>
      <c r="AD3" s="22">
        <f>'[4]D4 Gallon Forecast'!AD133+'[4]D5 Gallon Forecast'!AD120+'[4]D6 Gallon Forecast'!AD206+'[4]D4 Gallon Forecast'!AD197+'[4]D4 Gallon Forecast'!AD261+'[4]D5 Gallon Forecast'!AD168+'[4]D6 Gallon Forecast'!AD222+'[4]D6 Gallon Forecast'!AD238</f>
        <v>369777581.78066599</v>
      </c>
      <c r="AE3" s="22">
        <f>'[4]D4 Gallon Forecast'!AE133+'[4]D5 Gallon Forecast'!AE120+'[4]D6 Gallon Forecast'!AE206+'[4]D4 Gallon Forecast'!AE197+'[4]D4 Gallon Forecast'!AE261+'[4]D5 Gallon Forecast'!AE168+'[4]D6 Gallon Forecast'!AE222+'[4]D6 Gallon Forecast'!AE238</f>
        <v>371137844.56716853</v>
      </c>
      <c r="AF3" s="22">
        <f>'[4]D4 Gallon Forecast'!AF133+'[4]D5 Gallon Forecast'!AF120+'[4]D6 Gallon Forecast'!AF206+'[4]D4 Gallon Forecast'!AF197+'[4]D4 Gallon Forecast'!AF261+'[4]D5 Gallon Forecast'!AF168+'[4]D6 Gallon Forecast'!AF222+'[4]D6 Gallon Forecast'!AF238</f>
        <v>326905621.87677574</v>
      </c>
      <c r="AG3" s="22">
        <f>'[4]D4 Gallon Forecast'!AG133+'[4]D5 Gallon Forecast'!AG120+'[4]D6 Gallon Forecast'!AG206+'[4]D4 Gallon Forecast'!AG197+'[4]D4 Gallon Forecast'!AG261+'[4]D5 Gallon Forecast'!AG168+'[4]D6 Gallon Forecast'!AG222+'[4]D6 Gallon Forecast'!AG238</f>
        <v>345602230.92098677</v>
      </c>
      <c r="AH3" s="22">
        <f>'[4]D4 Gallon Forecast'!AH133+'[4]D5 Gallon Forecast'!AH120+'[4]D6 Gallon Forecast'!AH206+'[4]D4 Gallon Forecast'!AH197+'[4]D4 Gallon Forecast'!AH261+'[4]D5 Gallon Forecast'!AH168+'[4]D6 Gallon Forecast'!AH222+'[4]D6 Gallon Forecast'!AH238</f>
        <v>365119325.38409156</v>
      </c>
      <c r="AI3" s="22">
        <f>'[4]D4 Gallon Forecast'!AI133+'[4]D5 Gallon Forecast'!AI120+'[4]D6 Gallon Forecast'!AI206+'[4]D4 Gallon Forecast'!AI197+'[4]D4 Gallon Forecast'!AI261+'[4]D5 Gallon Forecast'!AI168+'[4]D6 Gallon Forecast'!AI222+'[4]D6 Gallon Forecast'!AI238</f>
        <v>396505620.14536232</v>
      </c>
      <c r="AJ3" s="22">
        <f>'[4]D4 Gallon Forecast'!AJ133+'[4]D5 Gallon Forecast'!AJ120+'[4]D6 Gallon Forecast'!AJ206+'[4]D4 Gallon Forecast'!AJ197+'[4]D4 Gallon Forecast'!AJ261+'[4]D5 Gallon Forecast'!AJ168+'[4]D6 Gallon Forecast'!AJ222+'[4]D6 Gallon Forecast'!AJ238</f>
        <v>404362644.04760289</v>
      </c>
      <c r="AK3" s="22">
        <f>'[4]D4 Gallon Forecast'!AK133+'[4]D5 Gallon Forecast'!AK120+'[4]D6 Gallon Forecast'!AK206+'[4]D4 Gallon Forecast'!AK197+'[4]D4 Gallon Forecast'!AK261+'[4]D5 Gallon Forecast'!AK168+'[4]D6 Gallon Forecast'!AK222+'[4]D6 Gallon Forecast'!AK238</f>
        <v>402094776.1240021</v>
      </c>
      <c r="AL3" s="22">
        <f>'[4]D4 Gallon Forecast'!AL133+'[4]D5 Gallon Forecast'!AL120+'[4]D6 Gallon Forecast'!AL206+'[4]D4 Gallon Forecast'!AL197+'[4]D4 Gallon Forecast'!AL261+'[4]D5 Gallon Forecast'!AL168+'[4]D6 Gallon Forecast'!AL222+'[4]D6 Gallon Forecast'!AL238</f>
        <v>383424184.34319645</v>
      </c>
      <c r="AM3" s="22">
        <f>'[4]D4 Gallon Forecast'!AM133+'[4]D5 Gallon Forecast'!AM120+'[4]D6 Gallon Forecast'!AM206+'[4]D4 Gallon Forecast'!AM197+'[4]D4 Gallon Forecast'!AM261+'[4]D5 Gallon Forecast'!AM168+'[4]D6 Gallon Forecast'!AM222+'[4]D6 Gallon Forecast'!AM238</f>
        <v>398904530.92206305</v>
      </c>
      <c r="AN3" s="22">
        <f>'[4]D4 Gallon Forecast'!AN133+'[4]D5 Gallon Forecast'!AN120+'[4]D6 Gallon Forecast'!AN206+'[4]D4 Gallon Forecast'!AN197+'[4]D4 Gallon Forecast'!AN261+'[4]D5 Gallon Forecast'!AN168+'[4]D6 Gallon Forecast'!AN222+'[4]D6 Gallon Forecast'!AN238</f>
        <v>413119435.08007497</v>
      </c>
      <c r="AO3" s="22">
        <f>'[4]D4 Gallon Forecast'!AO133+'[4]D5 Gallon Forecast'!AO120+'[4]D6 Gallon Forecast'!AO206+'[4]D4 Gallon Forecast'!AO197+'[4]D4 Gallon Forecast'!AO261+'[4]D5 Gallon Forecast'!AO168+'[4]D6 Gallon Forecast'!AO222+'[4]D6 Gallon Forecast'!AO238</f>
        <v>427960397.08454251</v>
      </c>
      <c r="AP3" s="22">
        <f>'[4]D4 Gallon Forecast'!AP133+'[4]D5 Gallon Forecast'!AP120+'[4]D6 Gallon Forecast'!AP206+'[4]D4 Gallon Forecast'!AP197+'[4]D4 Gallon Forecast'!AP261+'[4]D5 Gallon Forecast'!AP168+'[4]D6 Gallon Forecast'!AP222+'[4]D6 Gallon Forecast'!AP238</f>
        <v>446261062.14483416</v>
      </c>
      <c r="AQ3" s="22"/>
      <c r="AR3" s="22"/>
      <c r="AS3" s="22"/>
      <c r="AT3" s="11">
        <f>P3/O3-1</f>
        <v>0.36667001973901114</v>
      </c>
      <c r="AU3" s="21">
        <f>P3-O3</f>
        <v>68265712</v>
      </c>
      <c r="AV3" s="21">
        <f>P3-O14</f>
        <v>-68996414</v>
      </c>
      <c r="AW3" s="11">
        <f>AV3/O14</f>
        <v>-0.2133208360813216</v>
      </c>
      <c r="AX3" s="21">
        <f>'[4]D4 Gallon Forecast'!$DM117+'[4]D5 Gallon Forecast'!$AZ104+'[4]D6 Gallon Forecast'!$BM190</f>
        <v>5200778</v>
      </c>
      <c r="AY3" s="21">
        <f t="shared" ref="AY3:AY15" si="0">P3-AX3</f>
        <v>249242446</v>
      </c>
      <c r="BA3" s="23">
        <f>O3/31/1000000</f>
        <v>6.0057261935483872</v>
      </c>
      <c r="BB3" s="23">
        <f>AVERAGE(K3:O3)/31/1000000</f>
        <v>3.2759048838709681</v>
      </c>
      <c r="BC3" s="11">
        <f>BA3/BB3-1</f>
        <v>0.8333029823661211</v>
      </c>
    </row>
    <row r="4" spans="1:55" x14ac:dyDescent="0.25">
      <c r="A4" s="20" t="s">
        <v>71</v>
      </c>
      <c r="B4" s="21">
        <f>'[4]D4 Gallon Forecast'!B134+'[4]D5 Gallon Forecast'!B121+'[4]D6 Gallon Forecast'!B207+'[4]D4 Gallon Forecast'!B198+'[4]D4 Gallon Forecast'!B262+'[4]D5 Gallon Forecast'!B169+'[4]D6 Gallon Forecast'!B223+'[4]D6 Gallon Forecast'!B239</f>
        <v>0</v>
      </c>
      <c r="C4" s="21">
        <f>'[4]D4 Gallon Forecast'!C134+'[4]D5 Gallon Forecast'!C121+'[4]D6 Gallon Forecast'!C207+'[4]D4 Gallon Forecast'!C198+'[4]D4 Gallon Forecast'!C262+'[4]D5 Gallon Forecast'!C169+'[4]D6 Gallon Forecast'!C223+'[4]D6 Gallon Forecast'!C239</f>
        <v>962206</v>
      </c>
      <c r="D4" s="21">
        <f>'[4]D4 Gallon Forecast'!D134+'[4]D5 Gallon Forecast'!D121+'[4]D6 Gallon Forecast'!D207+'[4]D4 Gallon Forecast'!D198+'[4]D4 Gallon Forecast'!D262+'[4]D5 Gallon Forecast'!D169+'[4]D6 Gallon Forecast'!D223+'[4]D6 Gallon Forecast'!D239</f>
        <v>3189484</v>
      </c>
      <c r="E4" s="21">
        <f>'[4]D4 Gallon Forecast'!E134+'[4]D5 Gallon Forecast'!E121+'[4]D6 Gallon Forecast'!E207+'[4]D4 Gallon Forecast'!E198+'[4]D4 Gallon Forecast'!E262+'[4]D5 Gallon Forecast'!E169+'[4]D6 Gallon Forecast'!E223+'[4]D6 Gallon Forecast'!E239</f>
        <v>3698582</v>
      </c>
      <c r="F4" s="21">
        <f>'[4]D4 Gallon Forecast'!F134+'[4]D5 Gallon Forecast'!F121+'[4]D6 Gallon Forecast'!F207+'[4]D4 Gallon Forecast'!F198+'[4]D4 Gallon Forecast'!F262+'[4]D5 Gallon Forecast'!F169+'[4]D6 Gallon Forecast'!F223+'[4]D6 Gallon Forecast'!F239</f>
        <v>31221912</v>
      </c>
      <c r="G4" s="21">
        <f>'[4]D4 Gallon Forecast'!G134+'[4]D5 Gallon Forecast'!G121+'[4]D6 Gallon Forecast'!G207+'[4]D4 Gallon Forecast'!G198+'[4]D4 Gallon Forecast'!G262+'[4]D5 Gallon Forecast'!G169+'[4]D6 Gallon Forecast'!G223+'[4]D6 Gallon Forecast'!G239</f>
        <v>21740823</v>
      </c>
      <c r="H4" s="21">
        <f>'[4]D4 Gallon Forecast'!H134+'[4]D5 Gallon Forecast'!H121+'[4]D6 Gallon Forecast'!H207+'[4]D4 Gallon Forecast'!H198+'[4]D4 Gallon Forecast'!H262+'[4]D5 Gallon Forecast'!H169+'[4]D6 Gallon Forecast'!H223+'[4]D6 Gallon Forecast'!H239</f>
        <v>19891097</v>
      </c>
      <c r="I4" s="21">
        <f>'[4]D4 Gallon Forecast'!I134+'[4]D5 Gallon Forecast'!I121+'[4]D6 Gallon Forecast'!I207+'[4]D4 Gallon Forecast'!I198+'[4]D4 Gallon Forecast'!I262+'[4]D5 Gallon Forecast'!I169+'[4]D6 Gallon Forecast'!I223+'[4]D6 Gallon Forecast'!I239</f>
        <v>30947366</v>
      </c>
      <c r="J4" s="21">
        <f>'[4]D4 Gallon Forecast'!J134+'[4]D5 Gallon Forecast'!J121+'[4]D6 Gallon Forecast'!J207+'[4]D4 Gallon Forecast'!J198+'[4]D4 Gallon Forecast'!J262+'[4]D5 Gallon Forecast'!J169+'[4]D6 Gallon Forecast'!J223+'[4]D6 Gallon Forecast'!J239</f>
        <v>33934856</v>
      </c>
      <c r="K4" s="21">
        <f>'[4]D4 Gallon Forecast'!K134+'[4]D5 Gallon Forecast'!K121+'[4]D6 Gallon Forecast'!K207+'[4]D4 Gallon Forecast'!K198+'[4]D4 Gallon Forecast'!K262+'[4]D5 Gallon Forecast'!K169+'[4]D6 Gallon Forecast'!K223+'[4]D6 Gallon Forecast'!K239</f>
        <v>61346937</v>
      </c>
      <c r="L4" s="21">
        <f>'[4]D4 Gallon Forecast'!L134+'[4]D5 Gallon Forecast'!L121+'[4]D6 Gallon Forecast'!L207+'[4]D4 Gallon Forecast'!L198+'[4]D4 Gallon Forecast'!L262+'[4]D5 Gallon Forecast'!L169+'[4]D6 Gallon Forecast'!L223+'[4]D6 Gallon Forecast'!L239</f>
        <v>65672413</v>
      </c>
      <c r="M4" s="21">
        <f>'[4]D4 Gallon Forecast'!M134+'[4]D5 Gallon Forecast'!M121+'[4]D6 Gallon Forecast'!M207+'[4]D4 Gallon Forecast'!M198+'[4]D4 Gallon Forecast'!M262+'[4]D5 Gallon Forecast'!M169+'[4]D6 Gallon Forecast'!M223+'[4]D6 Gallon Forecast'!M239</f>
        <v>80855373</v>
      </c>
      <c r="N4" s="21">
        <f>'[4]D4 Gallon Forecast'!N134+'[4]D5 Gallon Forecast'!N121+'[4]D6 Gallon Forecast'!N207+'[4]D4 Gallon Forecast'!N198+'[4]D4 Gallon Forecast'!N262+'[4]D5 Gallon Forecast'!N169+'[4]D6 Gallon Forecast'!N223+'[4]D6 Gallon Forecast'!N239</f>
        <v>131671445</v>
      </c>
      <c r="O4" s="21">
        <f>'[4]D4 Gallon Forecast'!O134+'[4]D5 Gallon Forecast'!O121+'[4]D6 Gallon Forecast'!O207+'[4]D4 Gallon Forecast'!O198+'[4]D4 Gallon Forecast'!O262+'[4]D5 Gallon Forecast'!O169+'[4]D6 Gallon Forecast'!O223+'[4]D6 Gallon Forecast'!O239</f>
        <v>168557943</v>
      </c>
      <c r="P4" s="21">
        <f>'[4]D4 Gallon Forecast'!P134+'[4]D5 Gallon Forecast'!P121+'[4]D6 Gallon Forecast'!P207+'[4]D4 Gallon Forecast'!P198+'[4]D4 Gallon Forecast'!P262+'[4]D5 Gallon Forecast'!P169+'[4]D6 Gallon Forecast'!P223+'[4]D6 Gallon Forecast'!P239</f>
        <v>286287459</v>
      </c>
      <c r="Q4" s="22">
        <f>'[4]D4 Gallon Forecast'!Q134+'[4]D5 Gallon Forecast'!Q121+'[4]D6 Gallon Forecast'!Q207+'[4]D4 Gallon Forecast'!Q198+'[4]D4 Gallon Forecast'!Q262+'[4]D5 Gallon Forecast'!Q169+'[4]D6 Gallon Forecast'!Q223+'[4]D6 Gallon Forecast'!Q239</f>
        <v>186102792</v>
      </c>
      <c r="R4" s="22">
        <f>'[4]D4 Gallon Forecast'!R134+'[4]D5 Gallon Forecast'!R121+'[4]D6 Gallon Forecast'!R207+'[4]D4 Gallon Forecast'!R198+'[4]D4 Gallon Forecast'!R262+'[4]D5 Gallon Forecast'!R169+'[4]D6 Gallon Forecast'!R223+'[4]D6 Gallon Forecast'!R239</f>
        <v>212389617.16182414</v>
      </c>
      <c r="S4" s="22">
        <f>'[4]D4 Gallon Forecast'!S134+'[4]D5 Gallon Forecast'!S121+'[4]D6 Gallon Forecast'!S207+'[4]D4 Gallon Forecast'!S198+'[4]D4 Gallon Forecast'!S262+'[4]D5 Gallon Forecast'!S169+'[4]D6 Gallon Forecast'!S223+'[4]D6 Gallon Forecast'!S239</f>
        <v>230457573.9423365</v>
      </c>
      <c r="T4" s="22">
        <f>'[4]D4 Gallon Forecast'!T134+'[4]D5 Gallon Forecast'!T121+'[4]D6 Gallon Forecast'!T207+'[4]D4 Gallon Forecast'!T198+'[4]D4 Gallon Forecast'!T262+'[4]D5 Gallon Forecast'!T169+'[4]D6 Gallon Forecast'!T223+'[4]D6 Gallon Forecast'!T239</f>
        <v>232671322.50613174</v>
      </c>
      <c r="U4" s="22">
        <f>'[4]D4 Gallon Forecast'!U134+'[4]D5 Gallon Forecast'!U121+'[4]D6 Gallon Forecast'!U207+'[4]D4 Gallon Forecast'!U198+'[4]D4 Gallon Forecast'!U262+'[4]D5 Gallon Forecast'!U169+'[4]D6 Gallon Forecast'!U223+'[4]D6 Gallon Forecast'!U239</f>
        <v>234224703.43683922</v>
      </c>
      <c r="V4" s="22">
        <f>'[4]D4 Gallon Forecast'!V134+'[4]D5 Gallon Forecast'!V121+'[4]D6 Gallon Forecast'!V207+'[4]D4 Gallon Forecast'!V198+'[4]D4 Gallon Forecast'!V262+'[4]D5 Gallon Forecast'!V169+'[4]D6 Gallon Forecast'!V223+'[4]D6 Gallon Forecast'!V239</f>
        <v>238194847.63875645</v>
      </c>
      <c r="W4" s="22">
        <f>'[4]D4 Gallon Forecast'!W134+'[4]D5 Gallon Forecast'!W121+'[4]D6 Gallon Forecast'!W207+'[4]D4 Gallon Forecast'!W198+'[4]D4 Gallon Forecast'!W262+'[4]D5 Gallon Forecast'!W169+'[4]D6 Gallon Forecast'!W223+'[4]D6 Gallon Forecast'!W239</f>
        <v>259423153.3839336</v>
      </c>
      <c r="X4" s="22">
        <f>'[4]D4 Gallon Forecast'!X134+'[4]D5 Gallon Forecast'!X121+'[4]D6 Gallon Forecast'!X207+'[4]D4 Gallon Forecast'!X198+'[4]D4 Gallon Forecast'!X262+'[4]D5 Gallon Forecast'!X169+'[4]D6 Gallon Forecast'!X223+'[4]D6 Gallon Forecast'!X239</f>
        <v>302889946.81921864</v>
      </c>
      <c r="Y4" s="22">
        <f>'[4]D4 Gallon Forecast'!Y134+'[4]D5 Gallon Forecast'!Y121+'[4]D6 Gallon Forecast'!Y207+'[4]D4 Gallon Forecast'!Y198+'[4]D4 Gallon Forecast'!Y262+'[4]D5 Gallon Forecast'!Y169+'[4]D6 Gallon Forecast'!Y223+'[4]D6 Gallon Forecast'!Y239</f>
        <v>300657440.6656692</v>
      </c>
      <c r="Z4" s="22">
        <f>'[4]D4 Gallon Forecast'!Z134+'[4]D5 Gallon Forecast'!Z121+'[4]D6 Gallon Forecast'!Z207+'[4]D4 Gallon Forecast'!Z198+'[4]D4 Gallon Forecast'!Z262+'[4]D5 Gallon Forecast'!Z169+'[4]D6 Gallon Forecast'!Z223+'[4]D6 Gallon Forecast'!Z239</f>
        <v>291846911.91619205</v>
      </c>
      <c r="AA4" s="22">
        <f>'[4]D4 Gallon Forecast'!AA134+'[4]D5 Gallon Forecast'!AA121+'[4]D6 Gallon Forecast'!AA207+'[4]D4 Gallon Forecast'!AA198+'[4]D4 Gallon Forecast'!AA262+'[4]D5 Gallon Forecast'!AA169+'[4]D6 Gallon Forecast'!AA223+'[4]D6 Gallon Forecast'!AA239</f>
        <v>308030024.08649307</v>
      </c>
      <c r="AB4" s="22">
        <f>'[4]D4 Gallon Forecast'!AB134+'[4]D5 Gallon Forecast'!AB121+'[4]D6 Gallon Forecast'!AB207+'[4]D4 Gallon Forecast'!AB198+'[4]D4 Gallon Forecast'!AB262+'[4]D5 Gallon Forecast'!AB169+'[4]D6 Gallon Forecast'!AB223+'[4]D6 Gallon Forecast'!AB239</f>
        <v>324649954.62438333</v>
      </c>
      <c r="AC4" s="22">
        <f>'[4]D4 Gallon Forecast'!AC134+'[4]D5 Gallon Forecast'!AC121+'[4]D6 Gallon Forecast'!AC207+'[4]D4 Gallon Forecast'!AC198+'[4]D4 Gallon Forecast'!AC262+'[4]D5 Gallon Forecast'!AC169+'[4]D6 Gallon Forecast'!AC223+'[4]D6 Gallon Forecast'!AC239</f>
        <v>366988263.15145838</v>
      </c>
      <c r="AD4" s="22">
        <f>'[4]D4 Gallon Forecast'!AD134+'[4]D5 Gallon Forecast'!AD121+'[4]D6 Gallon Forecast'!AD207+'[4]D4 Gallon Forecast'!AD198+'[4]D4 Gallon Forecast'!AD262+'[4]D5 Gallon Forecast'!AD169+'[4]D6 Gallon Forecast'!AD223+'[4]D6 Gallon Forecast'!AD239</f>
        <v>404450259.5098719</v>
      </c>
      <c r="AE4" s="22">
        <f>'[4]D4 Gallon Forecast'!AE134+'[4]D5 Gallon Forecast'!AE121+'[4]D6 Gallon Forecast'!AE207+'[4]D4 Gallon Forecast'!AE198+'[4]D4 Gallon Forecast'!AE262+'[4]D5 Gallon Forecast'!AE169+'[4]D6 Gallon Forecast'!AE223+'[4]D6 Gallon Forecast'!AE239</f>
        <v>405595358.79428613</v>
      </c>
      <c r="AF4" s="22">
        <f>'[4]D4 Gallon Forecast'!AF134+'[4]D5 Gallon Forecast'!AF121+'[4]D6 Gallon Forecast'!AF207+'[4]D4 Gallon Forecast'!AF198+'[4]D4 Gallon Forecast'!AF262+'[4]D5 Gallon Forecast'!AF169+'[4]D6 Gallon Forecast'!AF223+'[4]D6 Gallon Forecast'!AF239</f>
        <v>356710726.2525351</v>
      </c>
      <c r="AG4" s="22">
        <f>'[4]D4 Gallon Forecast'!AG134+'[4]D5 Gallon Forecast'!AG121+'[4]D6 Gallon Forecast'!AG207+'[4]D4 Gallon Forecast'!AG198+'[4]D4 Gallon Forecast'!AG262+'[4]D5 Gallon Forecast'!AG169+'[4]D6 Gallon Forecast'!AG223+'[4]D6 Gallon Forecast'!AG239</f>
        <v>377345571.57696867</v>
      </c>
      <c r="AH4" s="22">
        <f>'[4]D4 Gallon Forecast'!AH134+'[4]D5 Gallon Forecast'!AH121+'[4]D6 Gallon Forecast'!AH207+'[4]D4 Gallon Forecast'!AH198+'[4]D4 Gallon Forecast'!AH262+'[4]D5 Gallon Forecast'!AH169+'[4]D6 Gallon Forecast'!AH223+'[4]D6 Gallon Forecast'!AH239</f>
        <v>398667091.17784488</v>
      </c>
      <c r="AI4" s="22">
        <f>'[4]D4 Gallon Forecast'!AI134+'[4]D5 Gallon Forecast'!AI121+'[4]D6 Gallon Forecast'!AI207+'[4]D4 Gallon Forecast'!AI198+'[4]D4 Gallon Forecast'!AI262+'[4]D5 Gallon Forecast'!AI169+'[4]D6 Gallon Forecast'!AI223+'[4]D6 Gallon Forecast'!AI239</f>
        <v>432908814.62386805</v>
      </c>
      <c r="AJ4" s="22">
        <f>'[4]D4 Gallon Forecast'!AJ134+'[4]D5 Gallon Forecast'!AJ121+'[4]D6 Gallon Forecast'!AJ207+'[4]D4 Gallon Forecast'!AJ198+'[4]D4 Gallon Forecast'!AJ262+'[4]D5 Gallon Forecast'!AJ169+'[4]D6 Gallon Forecast'!AJ223+'[4]D6 Gallon Forecast'!AJ239</f>
        <v>441438979.52728498</v>
      </c>
      <c r="AK4" s="22">
        <f>'[4]D4 Gallon Forecast'!AK134+'[4]D5 Gallon Forecast'!AK121+'[4]D6 Gallon Forecast'!AK207+'[4]D4 Gallon Forecast'!AK198+'[4]D4 Gallon Forecast'!AK262+'[4]D5 Gallon Forecast'!AK169+'[4]D6 Gallon Forecast'!AK223+'[4]D6 Gallon Forecast'!AK239</f>
        <v>438929522.1031791</v>
      </c>
      <c r="AL4" s="22">
        <f>'[4]D4 Gallon Forecast'!AL134+'[4]D5 Gallon Forecast'!AL121+'[4]D6 Gallon Forecast'!AL207+'[4]D4 Gallon Forecast'!AL198+'[4]D4 Gallon Forecast'!AL262+'[4]D5 Gallon Forecast'!AL169+'[4]D6 Gallon Forecast'!AL223+'[4]D6 Gallon Forecast'!AL239</f>
        <v>418382059.38274944</v>
      </c>
      <c r="AM4" s="22">
        <f>'[4]D4 Gallon Forecast'!AM134+'[4]D5 Gallon Forecast'!AM121+'[4]D6 Gallon Forecast'!AM207+'[4]D4 Gallon Forecast'!AM198+'[4]D4 Gallon Forecast'!AM262+'[4]D5 Gallon Forecast'!AM169+'[4]D6 Gallon Forecast'!AM223+'[4]D6 Gallon Forecast'!AM239</f>
        <v>435542066.72198981</v>
      </c>
      <c r="AN4" s="22">
        <f>'[4]D4 Gallon Forecast'!AN134+'[4]D5 Gallon Forecast'!AN121+'[4]D6 Gallon Forecast'!AN207+'[4]D4 Gallon Forecast'!AN198+'[4]D4 Gallon Forecast'!AN262+'[4]D5 Gallon Forecast'!AN169+'[4]D6 Gallon Forecast'!AN223+'[4]D6 Gallon Forecast'!AN239</f>
        <v>451028638.40074748</v>
      </c>
      <c r="AO4" s="22">
        <f>'[4]D4 Gallon Forecast'!AO134+'[4]D5 Gallon Forecast'!AO121+'[4]D6 Gallon Forecast'!AO207+'[4]D4 Gallon Forecast'!AO198+'[4]D4 Gallon Forecast'!AO262+'[4]D5 Gallon Forecast'!AO169+'[4]D6 Gallon Forecast'!AO223+'[4]D6 Gallon Forecast'!AO239</f>
        <v>467198259.344284</v>
      </c>
      <c r="AP4" s="22">
        <f>'[4]D4 Gallon Forecast'!AP134+'[4]D5 Gallon Forecast'!AP121+'[4]D6 Gallon Forecast'!AP207+'[4]D4 Gallon Forecast'!AP198+'[4]D4 Gallon Forecast'!AP262+'[4]D5 Gallon Forecast'!AP169+'[4]D6 Gallon Forecast'!AP223+'[4]D6 Gallon Forecast'!AP239</f>
        <v>487318162.01700509</v>
      </c>
      <c r="AQ4" s="22"/>
      <c r="AR4" s="22"/>
      <c r="AS4" s="22"/>
      <c r="AT4" s="11">
        <f t="shared" ref="AT4:AT14" si="1">P4/O4-1</f>
        <v>0.69845130941115019</v>
      </c>
      <c r="AU4" s="21">
        <f t="shared" ref="AU4:AU14" si="2">P4-O4</f>
        <v>117729516</v>
      </c>
      <c r="AV4" s="21">
        <f>P4-P3</f>
        <v>31844235</v>
      </c>
      <c r="AW4" s="11">
        <f>AV4/P3</f>
        <v>0.1251526155791832</v>
      </c>
      <c r="AX4" s="21">
        <f>'[4]D4 Gallon Forecast'!$DM118+'[4]D5 Gallon Forecast'!$AZ105+'[4]D6 Gallon Forecast'!$BM191</f>
        <v>3935204</v>
      </c>
      <c r="AY4" s="21">
        <f t="shared" si="0"/>
        <v>282352255</v>
      </c>
      <c r="BA4" s="23">
        <f>O4/29/1000000</f>
        <v>5.8123428620689648</v>
      </c>
      <c r="BB4" s="23">
        <f>SUM(K4:O4)/(28*3+29)/1000000</f>
        <v>4.4964965575221241</v>
      </c>
      <c r="BC4" s="11">
        <f t="shared" ref="BC4:BC14" si="3">BA4/BB4-1</f>
        <v>0.29263812119361687</v>
      </c>
    </row>
    <row r="5" spans="1:55" x14ac:dyDescent="0.25">
      <c r="A5" s="20" t="s">
        <v>72</v>
      </c>
      <c r="B5" s="21">
        <f>'[4]D4 Gallon Forecast'!B135+'[4]D5 Gallon Forecast'!B122+'[4]D6 Gallon Forecast'!B208+'[4]D4 Gallon Forecast'!B199+'[4]D4 Gallon Forecast'!B263+'[4]D5 Gallon Forecast'!B170+'[4]D6 Gallon Forecast'!B224+'[4]D6 Gallon Forecast'!B240</f>
        <v>6030</v>
      </c>
      <c r="C5" s="21">
        <f>'[4]D4 Gallon Forecast'!C135+'[4]D5 Gallon Forecast'!C122+'[4]D6 Gallon Forecast'!C208+'[4]D4 Gallon Forecast'!C199+'[4]D4 Gallon Forecast'!C263+'[4]D5 Gallon Forecast'!C170+'[4]D6 Gallon Forecast'!C224+'[4]D6 Gallon Forecast'!C240</f>
        <v>3157416</v>
      </c>
      <c r="D5" s="21">
        <f>'[4]D4 Gallon Forecast'!D135+'[4]D5 Gallon Forecast'!D122+'[4]D6 Gallon Forecast'!D208+'[4]D4 Gallon Forecast'!D199+'[4]D4 Gallon Forecast'!D263+'[4]D5 Gallon Forecast'!D170+'[4]D6 Gallon Forecast'!D224+'[4]D6 Gallon Forecast'!D240</f>
        <v>8478734</v>
      </c>
      <c r="E5" s="21">
        <f>'[4]D4 Gallon Forecast'!E135+'[4]D5 Gallon Forecast'!E122+'[4]D6 Gallon Forecast'!E208+'[4]D4 Gallon Forecast'!E199+'[4]D4 Gallon Forecast'!E263+'[4]D5 Gallon Forecast'!E170+'[4]D6 Gallon Forecast'!E224+'[4]D6 Gallon Forecast'!E240</f>
        <v>19539734</v>
      </c>
      <c r="F5" s="21">
        <f>'[4]D4 Gallon Forecast'!F135+'[4]D5 Gallon Forecast'!F122+'[4]D6 Gallon Forecast'!F208+'[4]D4 Gallon Forecast'!F199+'[4]D4 Gallon Forecast'!F263+'[4]D5 Gallon Forecast'!F170+'[4]D6 Gallon Forecast'!F224+'[4]D6 Gallon Forecast'!F240</f>
        <v>37638633</v>
      </c>
      <c r="G5" s="21">
        <f>'[4]D4 Gallon Forecast'!G135+'[4]D5 Gallon Forecast'!G122+'[4]D6 Gallon Forecast'!G208+'[4]D4 Gallon Forecast'!G199+'[4]D4 Gallon Forecast'!G263+'[4]D5 Gallon Forecast'!G170+'[4]D6 Gallon Forecast'!G224+'[4]D6 Gallon Forecast'!G240</f>
        <v>24396214</v>
      </c>
      <c r="H5" s="21">
        <f>'[4]D4 Gallon Forecast'!H135+'[4]D5 Gallon Forecast'!H122+'[4]D6 Gallon Forecast'!H208+'[4]D4 Gallon Forecast'!H199+'[4]D4 Gallon Forecast'!H263+'[4]D5 Gallon Forecast'!H170+'[4]D6 Gallon Forecast'!H224+'[4]D6 Gallon Forecast'!H240</f>
        <v>30076890</v>
      </c>
      <c r="I5" s="21">
        <f>'[4]D4 Gallon Forecast'!I135+'[4]D5 Gallon Forecast'!I122+'[4]D6 Gallon Forecast'!I208+'[4]D4 Gallon Forecast'!I199+'[4]D4 Gallon Forecast'!I263+'[4]D5 Gallon Forecast'!I170+'[4]D6 Gallon Forecast'!I224+'[4]D6 Gallon Forecast'!I240</f>
        <v>32479490</v>
      </c>
      <c r="J5" s="21">
        <f>'[4]D4 Gallon Forecast'!J135+'[4]D5 Gallon Forecast'!J122+'[4]D6 Gallon Forecast'!J208+'[4]D4 Gallon Forecast'!J199+'[4]D4 Gallon Forecast'!J263+'[4]D5 Gallon Forecast'!J170+'[4]D6 Gallon Forecast'!J224+'[4]D6 Gallon Forecast'!J240</f>
        <v>42416205</v>
      </c>
      <c r="K5" s="21">
        <f>'[4]D4 Gallon Forecast'!K135+'[4]D5 Gallon Forecast'!K122+'[4]D6 Gallon Forecast'!K208+'[4]D4 Gallon Forecast'!K199+'[4]D4 Gallon Forecast'!K263+'[4]D5 Gallon Forecast'!K170+'[4]D6 Gallon Forecast'!K224+'[4]D6 Gallon Forecast'!K240</f>
        <v>54996251</v>
      </c>
      <c r="L5" s="21">
        <f>'[4]D4 Gallon Forecast'!L135+'[4]D5 Gallon Forecast'!L122+'[4]D6 Gallon Forecast'!L208+'[4]D4 Gallon Forecast'!L199+'[4]D4 Gallon Forecast'!L263+'[4]D5 Gallon Forecast'!L170+'[4]D6 Gallon Forecast'!L224+'[4]D6 Gallon Forecast'!L240</f>
        <v>73234335</v>
      </c>
      <c r="M5" s="21">
        <f>'[4]D4 Gallon Forecast'!M135+'[4]D5 Gallon Forecast'!M122+'[4]D6 Gallon Forecast'!M208+'[4]D4 Gallon Forecast'!M199+'[4]D4 Gallon Forecast'!M263+'[4]D5 Gallon Forecast'!M170+'[4]D6 Gallon Forecast'!M224+'[4]D6 Gallon Forecast'!M240</f>
        <v>97551061</v>
      </c>
      <c r="N5" s="21">
        <f>'[4]D4 Gallon Forecast'!N135+'[4]D5 Gallon Forecast'!N122+'[4]D6 Gallon Forecast'!N208+'[4]D4 Gallon Forecast'!N199+'[4]D4 Gallon Forecast'!N263+'[4]D5 Gallon Forecast'!N170+'[4]D6 Gallon Forecast'!N224+'[4]D6 Gallon Forecast'!N240</f>
        <v>150541927</v>
      </c>
      <c r="O5" s="21">
        <f>'[4]D4 Gallon Forecast'!O135+'[4]D5 Gallon Forecast'!O122+'[4]D6 Gallon Forecast'!O208+'[4]D4 Gallon Forecast'!O199+'[4]D4 Gallon Forecast'!O263+'[4]D5 Gallon Forecast'!O170+'[4]D6 Gallon Forecast'!O224+'[4]D6 Gallon Forecast'!O240</f>
        <v>219843657</v>
      </c>
      <c r="P5" s="21">
        <f>'[4]D4 Gallon Forecast'!P135+'[4]D5 Gallon Forecast'!P122+'[4]D6 Gallon Forecast'!P208+'[4]D4 Gallon Forecast'!P199+'[4]D4 Gallon Forecast'!P263+'[4]D5 Gallon Forecast'!P170+'[4]D6 Gallon Forecast'!P224+'[4]D6 Gallon Forecast'!P240</f>
        <v>241876889</v>
      </c>
      <c r="Q5" s="22">
        <f>'[4]D4 Gallon Forecast'!Q135+'[4]D5 Gallon Forecast'!Q122+'[4]D6 Gallon Forecast'!Q208+'[4]D4 Gallon Forecast'!Q199+'[4]D4 Gallon Forecast'!Q263+'[4]D5 Gallon Forecast'!Q170+'[4]D6 Gallon Forecast'!Q224+'[4]D6 Gallon Forecast'!Q240</f>
        <v>249516587</v>
      </c>
      <c r="R5" s="22">
        <f>'[4]D4 Gallon Forecast'!R135+'[4]D5 Gallon Forecast'!R122+'[4]D6 Gallon Forecast'!R208+'[4]D4 Gallon Forecast'!R199+'[4]D4 Gallon Forecast'!R263+'[4]D5 Gallon Forecast'!R170+'[4]D6 Gallon Forecast'!R224+'[4]D6 Gallon Forecast'!R240</f>
        <v>224957956.23023364</v>
      </c>
      <c r="S5" s="22">
        <f>'[4]D4 Gallon Forecast'!S135+'[4]D5 Gallon Forecast'!S122+'[4]D6 Gallon Forecast'!S208+'[4]D4 Gallon Forecast'!S199+'[4]D4 Gallon Forecast'!S263+'[4]D5 Gallon Forecast'!S170+'[4]D6 Gallon Forecast'!S224+'[4]D6 Gallon Forecast'!S240</f>
        <v>243379191.19513106</v>
      </c>
      <c r="T5" s="22">
        <f>'[4]D4 Gallon Forecast'!T135+'[4]D5 Gallon Forecast'!T122+'[4]D6 Gallon Forecast'!T208+'[4]D4 Gallon Forecast'!T199+'[4]D4 Gallon Forecast'!T263+'[4]D5 Gallon Forecast'!T170+'[4]D6 Gallon Forecast'!T224+'[4]D6 Gallon Forecast'!T240</f>
        <v>245268302.50729582</v>
      </c>
      <c r="U5" s="22">
        <f>'[4]D4 Gallon Forecast'!U135+'[4]D5 Gallon Forecast'!U122+'[4]D6 Gallon Forecast'!U208+'[4]D4 Gallon Forecast'!U199+'[4]D4 Gallon Forecast'!U263+'[4]D5 Gallon Forecast'!U170+'[4]D6 Gallon Forecast'!U224+'[4]D6 Gallon Forecast'!U240</f>
        <v>244541846.57596314</v>
      </c>
      <c r="V5" s="22">
        <f>'[4]D4 Gallon Forecast'!V135+'[4]D5 Gallon Forecast'!V122+'[4]D6 Gallon Forecast'!V208+'[4]D4 Gallon Forecast'!V199+'[4]D4 Gallon Forecast'!V263+'[4]D5 Gallon Forecast'!V170+'[4]D6 Gallon Forecast'!V224+'[4]D6 Gallon Forecast'!V240</f>
        <v>253693084.71064997</v>
      </c>
      <c r="W5" s="22">
        <f>'[4]D4 Gallon Forecast'!W135+'[4]D5 Gallon Forecast'!W122+'[4]D6 Gallon Forecast'!W208+'[4]D4 Gallon Forecast'!W199+'[4]D4 Gallon Forecast'!W263+'[4]D5 Gallon Forecast'!W170+'[4]D6 Gallon Forecast'!W224+'[4]D6 Gallon Forecast'!W240</f>
        <v>274921371.46285599</v>
      </c>
      <c r="X5" s="22">
        <f>'[4]D4 Gallon Forecast'!X135+'[4]D5 Gallon Forecast'!X122+'[4]D6 Gallon Forecast'!X208+'[4]D4 Gallon Forecast'!X199+'[4]D4 Gallon Forecast'!X263+'[4]D5 Gallon Forecast'!X170+'[4]D6 Gallon Forecast'!X224+'[4]D6 Gallon Forecast'!X240</f>
        <v>321217621.90225631</v>
      </c>
      <c r="Y5" s="22">
        <f>'[4]D4 Gallon Forecast'!Y135+'[4]D5 Gallon Forecast'!Y122+'[4]D6 Gallon Forecast'!Y208+'[4]D4 Gallon Forecast'!Y199+'[4]D4 Gallon Forecast'!Y263+'[4]D5 Gallon Forecast'!Y170+'[4]D6 Gallon Forecast'!Y224+'[4]D6 Gallon Forecast'!Y240</f>
        <v>318952128.27517045</v>
      </c>
      <c r="Z5" s="22">
        <f>'[4]D4 Gallon Forecast'!Z135+'[4]D5 Gallon Forecast'!Z122+'[4]D6 Gallon Forecast'!Z208+'[4]D4 Gallon Forecast'!Z199+'[4]D4 Gallon Forecast'!Z263+'[4]D5 Gallon Forecast'!Z170+'[4]D6 Gallon Forecast'!Z224+'[4]D6 Gallon Forecast'!Z240</f>
        <v>309923926.35897535</v>
      </c>
      <c r="AA5" s="22">
        <f>'[4]D4 Gallon Forecast'!AA135+'[4]D5 Gallon Forecast'!AA122+'[4]D6 Gallon Forecast'!AA208+'[4]D4 Gallon Forecast'!AA199+'[4]D4 Gallon Forecast'!AA263+'[4]D5 Gallon Forecast'!AA170+'[4]D6 Gallon Forecast'!AA224+'[4]D6 Gallon Forecast'!AA240</f>
        <v>327729442.98330611</v>
      </c>
      <c r="AB5" s="22">
        <f>'[4]D4 Gallon Forecast'!AB135+'[4]D5 Gallon Forecast'!AB122+'[4]D6 Gallon Forecast'!AB208+'[4]D4 Gallon Forecast'!AB199+'[4]D4 Gallon Forecast'!AB263+'[4]D5 Gallon Forecast'!AB170+'[4]D6 Gallon Forecast'!AB224+'[4]D6 Gallon Forecast'!AB240</f>
        <v>346051895.79600257</v>
      </c>
      <c r="AC5" s="22">
        <f>'[4]D4 Gallon Forecast'!AC135+'[4]D5 Gallon Forecast'!AC122+'[4]D6 Gallon Forecast'!AC208+'[4]D4 Gallon Forecast'!AC199+'[4]D4 Gallon Forecast'!AC263+'[4]D5 Gallon Forecast'!AC170+'[4]D6 Gallon Forecast'!AC224+'[4]D6 Gallon Forecast'!AC240</f>
        <v>391301299.10411924</v>
      </c>
      <c r="AD5" s="22">
        <f>'[4]D4 Gallon Forecast'!AD135+'[4]D5 Gallon Forecast'!AD122+'[4]D6 Gallon Forecast'!AD208+'[4]D4 Gallon Forecast'!AD199+'[4]D4 Gallon Forecast'!AD263+'[4]D5 Gallon Forecast'!AD170+'[4]D6 Gallon Forecast'!AD224+'[4]D6 Gallon Forecast'!AD240</f>
        <v>431251321.93218821</v>
      </c>
      <c r="AE5" s="22">
        <f>'[4]D4 Gallon Forecast'!AE135+'[4]D5 Gallon Forecast'!AE122+'[4]D6 Gallon Forecast'!AE208+'[4]D4 Gallon Forecast'!AE199+'[4]D4 Gallon Forecast'!AE263+'[4]D5 Gallon Forecast'!AE170+'[4]D6 Gallon Forecast'!AE224+'[4]D6 Gallon Forecast'!AE240</f>
        <v>432999869.59428614</v>
      </c>
      <c r="AF5" s="22">
        <f>'[4]D4 Gallon Forecast'!AF135+'[4]D5 Gallon Forecast'!AF122+'[4]D6 Gallon Forecast'!AF208+'[4]D4 Gallon Forecast'!AF199+'[4]D4 Gallon Forecast'!AF263+'[4]D5 Gallon Forecast'!AF170+'[4]D6 Gallon Forecast'!AF224+'[4]D6 Gallon Forecast'!AF240</f>
        <v>381638095.93201959</v>
      </c>
      <c r="AG5" s="22">
        <f>'[4]D4 Gallon Forecast'!AG135+'[4]D5 Gallon Forecast'!AG122+'[4]D6 Gallon Forecast'!AG208+'[4]D4 Gallon Forecast'!AG199+'[4]D4 Gallon Forecast'!AG263+'[4]D5 Gallon Forecast'!AG170+'[4]D6 Gallon Forecast'!AG224+'[4]D6 Gallon Forecast'!AG240</f>
        <v>403330136.45739669</v>
      </c>
      <c r="AH5" s="22">
        <f>'[4]D4 Gallon Forecast'!AH135+'[4]D5 Gallon Forecast'!AH122+'[4]D6 Gallon Forecast'!AH208+'[4]D4 Gallon Forecast'!AH199+'[4]D4 Gallon Forecast'!AH263+'[4]D5 Gallon Forecast'!AH170+'[4]D6 Gallon Forecast'!AH224+'[4]D6 Gallon Forecast'!AH240</f>
        <v>426094478.96031904</v>
      </c>
      <c r="AI5" s="22">
        <f>'[4]D4 Gallon Forecast'!AI135+'[4]D5 Gallon Forecast'!AI122+'[4]D6 Gallon Forecast'!AI208+'[4]D4 Gallon Forecast'!AI199+'[4]D4 Gallon Forecast'!AI263+'[4]D5 Gallon Forecast'!AI170+'[4]D6 Gallon Forecast'!AI224+'[4]D6 Gallon Forecast'!AI240</f>
        <v>462696877.35818815</v>
      </c>
      <c r="AJ5" s="22">
        <f>'[4]D4 Gallon Forecast'!AJ135+'[4]D5 Gallon Forecast'!AJ122+'[4]D6 Gallon Forecast'!AJ208+'[4]D4 Gallon Forecast'!AJ199+'[4]D4 Gallon Forecast'!AJ263+'[4]D5 Gallon Forecast'!AJ170+'[4]D6 Gallon Forecast'!AJ224+'[4]D6 Gallon Forecast'!AJ240</f>
        <v>471875813.14400589</v>
      </c>
      <c r="AK5" s="22">
        <f>'[4]D4 Gallon Forecast'!AK135+'[4]D5 Gallon Forecast'!AK122+'[4]D6 Gallon Forecast'!AK208+'[4]D4 Gallon Forecast'!AK199+'[4]D4 Gallon Forecast'!AK263+'[4]D5 Gallon Forecast'!AK170+'[4]D6 Gallon Forecast'!AK224+'[4]D6 Gallon Forecast'!AK240</f>
        <v>469235793.43789721</v>
      </c>
      <c r="AL5" s="22">
        <f>'[4]D4 Gallon Forecast'!AL135+'[4]D5 Gallon Forecast'!AL122+'[4]D6 Gallon Forecast'!AL208+'[4]D4 Gallon Forecast'!AL199+'[4]D4 Gallon Forecast'!AL263+'[4]D5 Gallon Forecast'!AL170+'[4]D6 Gallon Forecast'!AL224+'[4]D6 Gallon Forecast'!AL240</f>
        <v>447534132.51406085</v>
      </c>
      <c r="AM5" s="22">
        <f>'[4]D4 Gallon Forecast'!AM135+'[4]D5 Gallon Forecast'!AM122+'[4]D6 Gallon Forecast'!AM208+'[4]D4 Gallon Forecast'!AM199+'[4]D4 Gallon Forecast'!AM263+'[4]D5 Gallon Forecast'!AM170+'[4]D6 Gallon Forecast'!AM224+'[4]D6 Gallon Forecast'!AM240</f>
        <v>465478923.95512861</v>
      </c>
      <c r="AN5" s="22">
        <f>'[4]D4 Gallon Forecast'!AN135+'[4]D5 Gallon Forecast'!AN122+'[4]D6 Gallon Forecast'!AN208+'[4]D4 Gallon Forecast'!AN199+'[4]D4 Gallon Forecast'!AN263+'[4]D5 Gallon Forecast'!AN170+'[4]D6 Gallon Forecast'!AN224+'[4]D6 Gallon Forecast'!AN240</f>
        <v>482071062.62518591</v>
      </c>
      <c r="AO5" s="22">
        <f>'[4]D4 Gallon Forecast'!AO135+'[4]D5 Gallon Forecast'!AO122+'[4]D6 Gallon Forecast'!AO208+'[4]D4 Gallon Forecast'!AO199+'[4]D4 Gallon Forecast'!AO263+'[4]D5 Gallon Forecast'!AO170+'[4]D6 Gallon Forecast'!AO224+'[4]D6 Gallon Forecast'!AO240</f>
        <v>499385873.63337648</v>
      </c>
      <c r="AP5" s="22">
        <f>'[4]D4 Gallon Forecast'!AP135+'[4]D5 Gallon Forecast'!AP122+'[4]D6 Gallon Forecast'!AP208+'[4]D4 Gallon Forecast'!AP199+'[4]D4 Gallon Forecast'!AP263+'[4]D5 Gallon Forecast'!AP170+'[4]D6 Gallon Forecast'!AP224+'[4]D6 Gallon Forecast'!AP240</f>
        <v>520657129.47626299</v>
      </c>
      <c r="AQ5" s="22"/>
      <c r="AR5" s="22"/>
      <c r="AS5" s="22"/>
      <c r="AT5" s="11">
        <f t="shared" si="1"/>
        <v>0.10022227750696477</v>
      </c>
      <c r="AU5" s="21">
        <f t="shared" si="2"/>
        <v>22033232</v>
      </c>
      <c r="AV5" s="21">
        <f t="shared" ref="AV5:AV14" si="4">P5-P4</f>
        <v>-44410570</v>
      </c>
      <c r="AW5" s="11">
        <f t="shared" ref="AW5:AW14" si="5">AV5/P4</f>
        <v>-0.15512579613206179</v>
      </c>
      <c r="AX5" s="21">
        <f>'[4]D4 Gallon Forecast'!$DM119+'[4]D5 Gallon Forecast'!$AZ106+'[4]D6 Gallon Forecast'!$BM192</f>
        <v>5284964</v>
      </c>
      <c r="AY5" s="21">
        <f t="shared" si="0"/>
        <v>236591925</v>
      </c>
      <c r="BA5" s="23">
        <f t="shared" ref="BA5:BA14" si="6">O5/31/1000000</f>
        <v>7.0917308709677425</v>
      </c>
      <c r="BB5" s="23">
        <f t="shared" ref="BB5:BB14" si="7">AVERAGE(K5:O5)/31/1000000</f>
        <v>3.8462402</v>
      </c>
      <c r="BC5" s="11">
        <f t="shared" si="3"/>
        <v>0.84380862926026889</v>
      </c>
    </row>
    <row r="6" spans="1:55" x14ac:dyDescent="0.25">
      <c r="A6" s="20" t="s">
        <v>73</v>
      </c>
      <c r="B6" s="21">
        <f>'[4]D4 Gallon Forecast'!B136+'[4]D5 Gallon Forecast'!B123+'[4]D6 Gallon Forecast'!B209+'[4]D4 Gallon Forecast'!B200+'[4]D4 Gallon Forecast'!B264+'[4]D5 Gallon Forecast'!B171+'[4]D6 Gallon Forecast'!B225+'[4]D6 Gallon Forecast'!B241</f>
        <v>0</v>
      </c>
      <c r="C6" s="21">
        <f>'[4]D4 Gallon Forecast'!C136+'[4]D5 Gallon Forecast'!C123+'[4]D6 Gallon Forecast'!C209+'[4]D4 Gallon Forecast'!C200+'[4]D4 Gallon Forecast'!C264+'[4]D5 Gallon Forecast'!C171+'[4]D6 Gallon Forecast'!C225+'[4]D6 Gallon Forecast'!C241</f>
        <v>1966907</v>
      </c>
      <c r="D6" s="21">
        <f>'[4]D4 Gallon Forecast'!D136+'[4]D5 Gallon Forecast'!D123+'[4]D6 Gallon Forecast'!D209+'[4]D4 Gallon Forecast'!D200+'[4]D4 Gallon Forecast'!D264+'[4]D5 Gallon Forecast'!D171+'[4]D6 Gallon Forecast'!D225+'[4]D6 Gallon Forecast'!D241</f>
        <v>4201229</v>
      </c>
      <c r="E6" s="21">
        <f>'[4]D4 Gallon Forecast'!E136+'[4]D5 Gallon Forecast'!E123+'[4]D6 Gallon Forecast'!E209+'[4]D4 Gallon Forecast'!E200+'[4]D4 Gallon Forecast'!E264+'[4]D5 Gallon Forecast'!E171+'[4]D6 Gallon Forecast'!E225+'[4]D6 Gallon Forecast'!E241</f>
        <v>10262552</v>
      </c>
      <c r="F6" s="21">
        <f>'[4]D4 Gallon Forecast'!F136+'[4]D5 Gallon Forecast'!F123+'[4]D6 Gallon Forecast'!F209+'[4]D4 Gallon Forecast'!F200+'[4]D4 Gallon Forecast'!F264+'[4]D5 Gallon Forecast'!F171+'[4]D6 Gallon Forecast'!F225+'[4]D6 Gallon Forecast'!F241</f>
        <v>50333015</v>
      </c>
      <c r="G6" s="21">
        <f>'[4]D4 Gallon Forecast'!G136+'[4]D5 Gallon Forecast'!G123+'[4]D6 Gallon Forecast'!G209+'[4]D4 Gallon Forecast'!G200+'[4]D4 Gallon Forecast'!G264+'[4]D5 Gallon Forecast'!G171+'[4]D6 Gallon Forecast'!G225+'[4]D6 Gallon Forecast'!G241</f>
        <v>46780177</v>
      </c>
      <c r="H6" s="21">
        <f>'[4]D4 Gallon Forecast'!H136+'[4]D5 Gallon Forecast'!H123+'[4]D6 Gallon Forecast'!H209+'[4]D4 Gallon Forecast'!H200+'[4]D4 Gallon Forecast'!H264+'[4]D5 Gallon Forecast'!H171+'[4]D6 Gallon Forecast'!H225+'[4]D6 Gallon Forecast'!H241</f>
        <v>57657610</v>
      </c>
      <c r="I6" s="21">
        <f>'[4]D4 Gallon Forecast'!I136+'[4]D5 Gallon Forecast'!I123+'[4]D6 Gallon Forecast'!I209+'[4]D4 Gallon Forecast'!I200+'[4]D4 Gallon Forecast'!I264+'[4]D5 Gallon Forecast'!I171+'[4]D6 Gallon Forecast'!I225+'[4]D6 Gallon Forecast'!I241</f>
        <v>48114203</v>
      </c>
      <c r="J6" s="21">
        <f>'[4]D4 Gallon Forecast'!J136+'[4]D5 Gallon Forecast'!J123+'[4]D6 Gallon Forecast'!J209+'[4]D4 Gallon Forecast'!J200+'[4]D4 Gallon Forecast'!J264+'[4]D5 Gallon Forecast'!J171+'[4]D6 Gallon Forecast'!J225+'[4]D6 Gallon Forecast'!J241</f>
        <v>60297697</v>
      </c>
      <c r="K6" s="21">
        <f>'[4]D4 Gallon Forecast'!K136+'[4]D5 Gallon Forecast'!K123+'[4]D6 Gallon Forecast'!K209+'[4]D4 Gallon Forecast'!K200+'[4]D4 Gallon Forecast'!K264+'[4]D5 Gallon Forecast'!K171+'[4]D6 Gallon Forecast'!K225+'[4]D6 Gallon Forecast'!K241</f>
        <v>74326841</v>
      </c>
      <c r="L6" s="21">
        <f>'[4]D4 Gallon Forecast'!L136+'[4]D5 Gallon Forecast'!L123+'[4]D6 Gallon Forecast'!L209+'[4]D4 Gallon Forecast'!L200+'[4]D4 Gallon Forecast'!L264+'[4]D5 Gallon Forecast'!L171+'[4]D6 Gallon Forecast'!L225+'[4]D6 Gallon Forecast'!L241</f>
        <v>72930573</v>
      </c>
      <c r="M6" s="21">
        <f>'[4]D4 Gallon Forecast'!M136+'[4]D5 Gallon Forecast'!M123+'[4]D6 Gallon Forecast'!M209+'[4]D4 Gallon Forecast'!M200+'[4]D4 Gallon Forecast'!M264+'[4]D5 Gallon Forecast'!M171+'[4]D6 Gallon Forecast'!M225+'[4]D6 Gallon Forecast'!M241</f>
        <v>90864671</v>
      </c>
      <c r="N6" s="21">
        <f>'[4]D4 Gallon Forecast'!N136+'[4]D5 Gallon Forecast'!N123+'[4]D6 Gallon Forecast'!N209+'[4]D4 Gallon Forecast'!N200+'[4]D4 Gallon Forecast'!N264+'[4]D5 Gallon Forecast'!N171+'[4]D6 Gallon Forecast'!N225+'[4]D6 Gallon Forecast'!N241</f>
        <v>147920550</v>
      </c>
      <c r="O6" s="21">
        <f>'[4]D4 Gallon Forecast'!O136+'[4]D5 Gallon Forecast'!O123+'[4]D6 Gallon Forecast'!O209+'[4]D4 Gallon Forecast'!O200+'[4]D4 Gallon Forecast'!O264+'[4]D5 Gallon Forecast'!O171+'[4]D6 Gallon Forecast'!O225+'[4]D6 Gallon Forecast'!O241</f>
        <v>219470818</v>
      </c>
      <c r="P6" s="21">
        <f>'[4]D4 Gallon Forecast'!P136+'[4]D5 Gallon Forecast'!P123+'[4]D6 Gallon Forecast'!P209+'[4]D4 Gallon Forecast'!P200+'[4]D4 Gallon Forecast'!P264+'[4]D5 Gallon Forecast'!P171+'[4]D6 Gallon Forecast'!P225+'[4]D6 Gallon Forecast'!P241</f>
        <v>310669850</v>
      </c>
      <c r="Q6" s="22">
        <f>'[4]D4 Gallon Forecast'!Q136+'[4]D5 Gallon Forecast'!Q123+'[4]D6 Gallon Forecast'!Q209+'[4]D4 Gallon Forecast'!Q200+'[4]D4 Gallon Forecast'!Q264+'[4]D5 Gallon Forecast'!Q171+'[4]D6 Gallon Forecast'!Q225+'[4]D6 Gallon Forecast'!Q241</f>
        <v>220115253.31168392</v>
      </c>
      <c r="R6" s="22">
        <f>'[4]D4 Gallon Forecast'!R136+'[4]D5 Gallon Forecast'!R123+'[4]D6 Gallon Forecast'!R209+'[4]D4 Gallon Forecast'!R200+'[4]D4 Gallon Forecast'!R264+'[4]D5 Gallon Forecast'!R171+'[4]D6 Gallon Forecast'!R225+'[4]D6 Gallon Forecast'!R241</f>
        <v>218980233.49741507</v>
      </c>
      <c r="S6" s="22">
        <f>'[4]D4 Gallon Forecast'!S136+'[4]D5 Gallon Forecast'!S123+'[4]D6 Gallon Forecast'!S209+'[4]D4 Gallon Forecast'!S200+'[4]D4 Gallon Forecast'!S264+'[4]D5 Gallon Forecast'!S171+'[4]D6 Gallon Forecast'!S225+'[4]D6 Gallon Forecast'!S241</f>
        <v>237048773.26988927</v>
      </c>
      <c r="T6" s="22">
        <f>'[4]D4 Gallon Forecast'!T136+'[4]D5 Gallon Forecast'!T123+'[4]D6 Gallon Forecast'!T209+'[4]D4 Gallon Forecast'!T200+'[4]D4 Gallon Forecast'!T264+'[4]D5 Gallon Forecast'!T171+'[4]D6 Gallon Forecast'!T225+'[4]D6 Gallon Forecast'!T241</f>
        <v>238206833.21727109</v>
      </c>
      <c r="U6" s="22">
        <f>'[4]D4 Gallon Forecast'!U136+'[4]D5 Gallon Forecast'!U123+'[4]D6 Gallon Forecast'!U209+'[4]D4 Gallon Forecast'!U200+'[4]D4 Gallon Forecast'!U264+'[4]D5 Gallon Forecast'!U171+'[4]D6 Gallon Forecast'!U225+'[4]D6 Gallon Forecast'!U241</f>
        <v>238131368.61841294</v>
      </c>
      <c r="V6" s="22">
        <f>'[4]D4 Gallon Forecast'!V136+'[4]D5 Gallon Forecast'!V123+'[4]D6 Gallon Forecast'!V209+'[4]D4 Gallon Forecast'!V200+'[4]D4 Gallon Forecast'!V264+'[4]D5 Gallon Forecast'!V171+'[4]D6 Gallon Forecast'!V225+'[4]D6 Gallon Forecast'!V241</f>
        <v>246832798.02673337</v>
      </c>
      <c r="W6" s="22">
        <f>'[4]D4 Gallon Forecast'!W136+'[4]D5 Gallon Forecast'!W123+'[4]D6 Gallon Forecast'!W209+'[4]D4 Gallon Forecast'!W200+'[4]D4 Gallon Forecast'!W264+'[4]D5 Gallon Forecast'!W171+'[4]D6 Gallon Forecast'!W225+'[4]D6 Gallon Forecast'!W241</f>
        <v>266281513.01506719</v>
      </c>
      <c r="X6" s="22">
        <f>'[4]D4 Gallon Forecast'!X136+'[4]D5 Gallon Forecast'!X123+'[4]D6 Gallon Forecast'!X209+'[4]D4 Gallon Forecast'!X200+'[4]D4 Gallon Forecast'!X264+'[4]D5 Gallon Forecast'!X171+'[4]D6 Gallon Forecast'!X225+'[4]D6 Gallon Forecast'!X241</f>
        <v>310624565.23897058</v>
      </c>
      <c r="Y6" s="22">
        <f>'[4]D4 Gallon Forecast'!Y136+'[4]D5 Gallon Forecast'!Y123+'[4]D6 Gallon Forecast'!Y209+'[4]D4 Gallon Forecast'!Y200+'[4]D4 Gallon Forecast'!Y264+'[4]D5 Gallon Forecast'!Y171+'[4]D6 Gallon Forecast'!Y225+'[4]D6 Gallon Forecast'!Y241</f>
        <v>308242671.24849033</v>
      </c>
      <c r="Z6" s="22">
        <f>'[4]D4 Gallon Forecast'!Z136+'[4]D5 Gallon Forecast'!Z123+'[4]D6 Gallon Forecast'!Z209+'[4]D4 Gallon Forecast'!Z200+'[4]D4 Gallon Forecast'!Z264+'[4]D5 Gallon Forecast'!Z171+'[4]D6 Gallon Forecast'!Z225+'[4]D6 Gallon Forecast'!Z241</f>
        <v>299301132.87846524</v>
      </c>
      <c r="AA6" s="22">
        <f>'[4]D4 Gallon Forecast'!AA136+'[4]D5 Gallon Forecast'!AA123+'[4]D6 Gallon Forecast'!AA209+'[4]D4 Gallon Forecast'!AA200+'[4]D4 Gallon Forecast'!AA264+'[4]D5 Gallon Forecast'!AA171+'[4]D6 Gallon Forecast'!AA225+'[4]D6 Gallon Forecast'!AA241</f>
        <v>316295303.27100199</v>
      </c>
      <c r="AB6" s="22">
        <f>'[4]D4 Gallon Forecast'!AB136+'[4]D5 Gallon Forecast'!AB123+'[4]D6 Gallon Forecast'!AB209+'[4]D4 Gallon Forecast'!AB200+'[4]D4 Gallon Forecast'!AB264+'[4]D5 Gallon Forecast'!AB171+'[4]D6 Gallon Forecast'!AB225+'[4]D6 Gallon Forecast'!AB241</f>
        <v>332652324.1366474</v>
      </c>
      <c r="AC6" s="22">
        <f>'[4]D4 Gallon Forecast'!AC136+'[4]D5 Gallon Forecast'!AC123+'[4]D6 Gallon Forecast'!AC209+'[4]D4 Gallon Forecast'!AC200+'[4]D4 Gallon Forecast'!AC264+'[4]D5 Gallon Forecast'!AC171+'[4]D6 Gallon Forecast'!AC225+'[4]D6 Gallon Forecast'!AC241</f>
        <v>375868358.92140484</v>
      </c>
      <c r="AD6" s="22">
        <f>'[4]D4 Gallon Forecast'!AD136+'[4]D5 Gallon Forecast'!AD123+'[4]D6 Gallon Forecast'!AD209+'[4]D4 Gallon Forecast'!AD200+'[4]D4 Gallon Forecast'!AD264+'[4]D5 Gallon Forecast'!AD171+'[4]D6 Gallon Forecast'!AD225+'[4]D6 Gallon Forecast'!AD241</f>
        <v>414201836.63500535</v>
      </c>
      <c r="AE6" s="22">
        <f>'[4]D4 Gallon Forecast'!AE136+'[4]D5 Gallon Forecast'!AE123+'[4]D6 Gallon Forecast'!AE209+'[4]D4 Gallon Forecast'!AE200+'[4]D4 Gallon Forecast'!AE264+'[4]D5 Gallon Forecast'!AE171+'[4]D6 Gallon Forecast'!AE225+'[4]D6 Gallon Forecast'!AE241</f>
        <v>415452561.3871665</v>
      </c>
      <c r="AF6" s="22">
        <f>'[4]D4 Gallon Forecast'!AF136+'[4]D5 Gallon Forecast'!AF123+'[4]D6 Gallon Forecast'!AF209+'[4]D4 Gallon Forecast'!AF200+'[4]D4 Gallon Forecast'!AF264+'[4]D5 Gallon Forecast'!AF171+'[4]D6 Gallon Forecast'!AF225+'[4]D6 Gallon Forecast'!AF241</f>
        <v>365577164.27687973</v>
      </c>
      <c r="AG6" s="22">
        <f>'[4]D4 Gallon Forecast'!AG136+'[4]D5 Gallon Forecast'!AG123+'[4]D6 Gallon Forecast'!AG209+'[4]D4 Gallon Forecast'!AG200+'[4]D4 Gallon Forecast'!AG264+'[4]D5 Gallon Forecast'!AG171+'[4]D6 Gallon Forecast'!AG225+'[4]D6 Gallon Forecast'!AG241</f>
        <v>386582557.02300364</v>
      </c>
      <c r="AH6" s="22">
        <f>'[4]D4 Gallon Forecast'!AH136+'[4]D5 Gallon Forecast'!AH123+'[4]D6 Gallon Forecast'!AH209+'[4]D4 Gallon Forecast'!AH200+'[4]D4 Gallon Forecast'!AH264+'[4]D5 Gallon Forecast'!AH171+'[4]D6 Gallon Forecast'!AH225+'[4]D6 Gallon Forecast'!AH241</f>
        <v>408413339.61641747</v>
      </c>
      <c r="AI6" s="22">
        <f>'[4]D4 Gallon Forecast'!AI136+'[4]D5 Gallon Forecast'!AI123+'[4]D6 Gallon Forecast'!AI209+'[4]D4 Gallon Forecast'!AI200+'[4]D4 Gallon Forecast'!AI264+'[4]D5 Gallon Forecast'!AI171+'[4]D6 Gallon Forecast'!AI225+'[4]D6 Gallon Forecast'!AI241</f>
        <v>443482418.12385654</v>
      </c>
      <c r="AJ6" s="22">
        <f>'[4]D4 Gallon Forecast'!AJ136+'[4]D5 Gallon Forecast'!AJ123+'[4]D6 Gallon Forecast'!AJ209+'[4]D4 Gallon Forecast'!AJ200+'[4]D4 Gallon Forecast'!AJ264+'[4]D5 Gallon Forecast'!AJ171+'[4]D6 Gallon Forecast'!AJ225+'[4]D6 Gallon Forecast'!AJ241</f>
        <v>452236189.88822293</v>
      </c>
      <c r="AK6" s="22">
        <f>'[4]D4 Gallon Forecast'!AK136+'[4]D5 Gallon Forecast'!AK123+'[4]D6 Gallon Forecast'!AK209+'[4]D4 Gallon Forecast'!AK200+'[4]D4 Gallon Forecast'!AK264+'[4]D5 Gallon Forecast'!AK171+'[4]D6 Gallon Forecast'!AK225+'[4]D6 Gallon Forecast'!AK241</f>
        <v>449680056.43003821</v>
      </c>
      <c r="AL6" s="22">
        <f>'[4]D4 Gallon Forecast'!AL136+'[4]D5 Gallon Forecast'!AL123+'[4]D6 Gallon Forecast'!AL209+'[4]D4 Gallon Forecast'!AL200+'[4]D4 Gallon Forecast'!AL264+'[4]D5 Gallon Forecast'!AL171+'[4]D6 Gallon Forecast'!AL225+'[4]D6 Gallon Forecast'!AL241</f>
        <v>428632014.94805425</v>
      </c>
      <c r="AM6" s="22">
        <f>'[4]D4 Gallon Forecast'!AM136+'[4]D5 Gallon Forecast'!AM123+'[4]D6 Gallon Forecast'!AM209+'[4]D4 Gallon Forecast'!AM200+'[4]D4 Gallon Forecast'!AM264+'[4]D5 Gallon Forecast'!AM171+'[4]D6 Gallon Forecast'!AM225+'[4]D6 Gallon Forecast'!AM241</f>
        <v>446169730.51190948</v>
      </c>
      <c r="AN6" s="22">
        <f>'[4]D4 Gallon Forecast'!AN136+'[4]D5 Gallon Forecast'!AN123+'[4]D6 Gallon Forecast'!AN209+'[4]D4 Gallon Forecast'!AN200+'[4]D4 Gallon Forecast'!AN264+'[4]D5 Gallon Forecast'!AN171+'[4]D6 Gallon Forecast'!AN225+'[4]D6 Gallon Forecast'!AN241</f>
        <v>462038516.13114172</v>
      </c>
      <c r="AO6" s="22">
        <f>'[4]D4 Gallon Forecast'!AO136+'[4]D5 Gallon Forecast'!AO123+'[4]D6 Gallon Forecast'!AO209+'[4]D4 Gallon Forecast'!AO200+'[4]D4 Gallon Forecast'!AO264+'[4]D5 Gallon Forecast'!AO171+'[4]D6 Gallon Forecast'!AO225+'[4]D6 Gallon Forecast'!AO241</f>
        <v>478608979.24719352</v>
      </c>
      <c r="AP6" s="22">
        <f>'[4]D4 Gallon Forecast'!AP136+'[4]D5 Gallon Forecast'!AP123+'[4]D6 Gallon Forecast'!AP209+'[4]D4 Gallon Forecast'!AP200+'[4]D4 Gallon Forecast'!AP264+'[4]D5 Gallon Forecast'!AP171+'[4]D6 Gallon Forecast'!AP225+'[4]D6 Gallon Forecast'!AP241</f>
        <v>499196870.93034035</v>
      </c>
      <c r="AQ6" s="22"/>
      <c r="AR6" s="22"/>
      <c r="AS6" s="22"/>
      <c r="AT6" s="11">
        <f t="shared" si="1"/>
        <v>0.41554058453456899</v>
      </c>
      <c r="AU6" s="21">
        <f t="shared" si="2"/>
        <v>91199032</v>
      </c>
      <c r="AV6" s="21">
        <f t="shared" si="4"/>
        <v>68792961</v>
      </c>
      <c r="AW6" s="11">
        <f t="shared" si="5"/>
        <v>0.28441312142062486</v>
      </c>
      <c r="AX6" s="21">
        <f>'[4]D4 Gallon Forecast'!$DM120+'[4]D5 Gallon Forecast'!$AZ107+'[4]D6 Gallon Forecast'!$BM193</f>
        <v>3922034</v>
      </c>
      <c r="AY6" s="21">
        <f t="shared" si="0"/>
        <v>306747816</v>
      </c>
      <c r="BA6" s="23">
        <f>O6/30/1000000</f>
        <v>7.3156939333333337</v>
      </c>
      <c r="BB6" s="23">
        <f>AVERAGE(K6:O6)/30/1000000</f>
        <v>4.0367563533333328</v>
      </c>
      <c r="BC6" s="11">
        <f t="shared" si="3"/>
        <v>0.81227037081205888</v>
      </c>
    </row>
    <row r="7" spans="1:55" x14ac:dyDescent="0.25">
      <c r="A7" s="20" t="s">
        <v>10</v>
      </c>
      <c r="B7" s="21">
        <f>'[4]D4 Gallon Forecast'!B137+'[4]D5 Gallon Forecast'!B124+'[4]D6 Gallon Forecast'!B210+'[4]D4 Gallon Forecast'!B201+'[4]D4 Gallon Forecast'!B265+'[4]D5 Gallon Forecast'!B172+'[4]D6 Gallon Forecast'!B226+'[4]D6 Gallon Forecast'!B242</f>
        <v>0</v>
      </c>
      <c r="C7" s="21">
        <f>'[4]D4 Gallon Forecast'!C137+'[4]D5 Gallon Forecast'!C124+'[4]D6 Gallon Forecast'!C210+'[4]D4 Gallon Forecast'!C201+'[4]D4 Gallon Forecast'!C265+'[4]D5 Gallon Forecast'!C172+'[4]D6 Gallon Forecast'!C226+'[4]D6 Gallon Forecast'!C242</f>
        <v>7525643</v>
      </c>
      <c r="D7" s="21">
        <f>'[4]D4 Gallon Forecast'!D137+'[4]D5 Gallon Forecast'!D124+'[4]D6 Gallon Forecast'!D210+'[4]D4 Gallon Forecast'!D201+'[4]D4 Gallon Forecast'!D265+'[4]D5 Gallon Forecast'!D172+'[4]D6 Gallon Forecast'!D226+'[4]D6 Gallon Forecast'!D242</f>
        <v>7203882</v>
      </c>
      <c r="E7" s="21">
        <f>'[4]D4 Gallon Forecast'!E137+'[4]D5 Gallon Forecast'!E124+'[4]D6 Gallon Forecast'!E210+'[4]D4 Gallon Forecast'!E201+'[4]D4 Gallon Forecast'!E265+'[4]D5 Gallon Forecast'!E172+'[4]D6 Gallon Forecast'!E226+'[4]D6 Gallon Forecast'!E242</f>
        <v>13081714</v>
      </c>
      <c r="F7" s="21">
        <f>'[4]D4 Gallon Forecast'!F137+'[4]D5 Gallon Forecast'!F124+'[4]D6 Gallon Forecast'!F210+'[4]D4 Gallon Forecast'!F201+'[4]D4 Gallon Forecast'!F265+'[4]D5 Gallon Forecast'!F172+'[4]D6 Gallon Forecast'!F226+'[4]D6 Gallon Forecast'!F242</f>
        <v>52489874</v>
      </c>
      <c r="G7" s="21">
        <f>'[4]D4 Gallon Forecast'!G137+'[4]D5 Gallon Forecast'!G124+'[4]D6 Gallon Forecast'!G210+'[4]D4 Gallon Forecast'!G201+'[4]D4 Gallon Forecast'!G265+'[4]D5 Gallon Forecast'!G172+'[4]D6 Gallon Forecast'!G226+'[4]D6 Gallon Forecast'!G242</f>
        <v>51747248</v>
      </c>
      <c r="H7" s="21">
        <f>'[4]D4 Gallon Forecast'!H137+'[4]D5 Gallon Forecast'!H124+'[4]D6 Gallon Forecast'!H210+'[4]D4 Gallon Forecast'!H201+'[4]D4 Gallon Forecast'!H265+'[4]D5 Gallon Forecast'!H172+'[4]D6 Gallon Forecast'!H226+'[4]D6 Gallon Forecast'!H242</f>
        <v>48948064</v>
      </c>
      <c r="I7" s="21">
        <f>'[4]D4 Gallon Forecast'!I137+'[4]D5 Gallon Forecast'!I124+'[4]D6 Gallon Forecast'!I210+'[4]D4 Gallon Forecast'!I201+'[4]D4 Gallon Forecast'!I265+'[4]D5 Gallon Forecast'!I172+'[4]D6 Gallon Forecast'!I226+'[4]D6 Gallon Forecast'!I242</f>
        <v>59582383</v>
      </c>
      <c r="J7" s="21">
        <f>'[4]D4 Gallon Forecast'!J137+'[4]D5 Gallon Forecast'!J124+'[4]D6 Gallon Forecast'!J210+'[4]D4 Gallon Forecast'!J201+'[4]D4 Gallon Forecast'!J265+'[4]D5 Gallon Forecast'!J172+'[4]D6 Gallon Forecast'!J226+'[4]D6 Gallon Forecast'!J242</f>
        <v>61604485</v>
      </c>
      <c r="K7" s="21">
        <f>'[4]D4 Gallon Forecast'!K137+'[4]D5 Gallon Forecast'!K124+'[4]D6 Gallon Forecast'!K210+'[4]D4 Gallon Forecast'!K201+'[4]D4 Gallon Forecast'!K265+'[4]D5 Gallon Forecast'!K172+'[4]D6 Gallon Forecast'!K226+'[4]D6 Gallon Forecast'!K242</f>
        <v>82142398</v>
      </c>
      <c r="L7" s="21">
        <f>'[4]D4 Gallon Forecast'!L137+'[4]D5 Gallon Forecast'!L124+'[4]D6 Gallon Forecast'!L210+'[4]D4 Gallon Forecast'!L201+'[4]D4 Gallon Forecast'!L265+'[4]D5 Gallon Forecast'!L172+'[4]D6 Gallon Forecast'!L226+'[4]D6 Gallon Forecast'!L242</f>
        <v>91153009</v>
      </c>
      <c r="M7" s="21">
        <f>'[4]D4 Gallon Forecast'!M137+'[4]D5 Gallon Forecast'!M124+'[4]D6 Gallon Forecast'!M210+'[4]D4 Gallon Forecast'!M201+'[4]D4 Gallon Forecast'!M265+'[4]D5 Gallon Forecast'!M172+'[4]D6 Gallon Forecast'!M226+'[4]D6 Gallon Forecast'!M242</f>
        <v>98371224</v>
      </c>
      <c r="N7" s="21">
        <f>'[4]D4 Gallon Forecast'!N137+'[4]D5 Gallon Forecast'!N124+'[4]D6 Gallon Forecast'!N210+'[4]D4 Gallon Forecast'!N201+'[4]D4 Gallon Forecast'!N265+'[4]D5 Gallon Forecast'!N172+'[4]D6 Gallon Forecast'!N226+'[4]D6 Gallon Forecast'!N242</f>
        <v>180869468</v>
      </c>
      <c r="O7" s="21">
        <f>'[4]D4 Gallon Forecast'!O137+'[4]D5 Gallon Forecast'!O124+'[4]D6 Gallon Forecast'!O210+'[4]D4 Gallon Forecast'!O201+'[4]D4 Gallon Forecast'!O265+'[4]D5 Gallon Forecast'!O172+'[4]D6 Gallon Forecast'!O226+'[4]D6 Gallon Forecast'!O242</f>
        <v>277943732</v>
      </c>
      <c r="P7" s="21">
        <f>'[4]D4 Gallon Forecast'!P137+'[4]D5 Gallon Forecast'!P124+'[4]D6 Gallon Forecast'!P210+'[4]D4 Gallon Forecast'!P201+'[4]D4 Gallon Forecast'!P265+'[4]D5 Gallon Forecast'!P172+'[4]D6 Gallon Forecast'!P226+'[4]D6 Gallon Forecast'!P242</f>
        <v>250083449</v>
      </c>
      <c r="Q7" s="22">
        <f>'[4]D4 Gallon Forecast'!Q137+'[4]D5 Gallon Forecast'!Q124+'[4]D6 Gallon Forecast'!Q210+'[4]D4 Gallon Forecast'!Q201+'[4]D4 Gallon Forecast'!Q265+'[4]D5 Gallon Forecast'!Q172+'[4]D6 Gallon Forecast'!Q226+'[4]D6 Gallon Forecast'!Q242</f>
        <v>218847370.46092188</v>
      </c>
      <c r="R7" s="22">
        <f>'[4]D4 Gallon Forecast'!R137+'[4]D5 Gallon Forecast'!R124+'[4]D6 Gallon Forecast'!R210+'[4]D4 Gallon Forecast'!R201+'[4]D4 Gallon Forecast'!R265+'[4]D5 Gallon Forecast'!R172+'[4]D6 Gallon Forecast'!R226+'[4]D6 Gallon Forecast'!R242</f>
        <v>243154130.73095253</v>
      </c>
      <c r="S7" s="22">
        <f>'[4]D4 Gallon Forecast'!S137+'[4]D5 Gallon Forecast'!S124+'[4]D6 Gallon Forecast'!S210+'[4]D4 Gallon Forecast'!S201+'[4]D4 Gallon Forecast'!S265+'[4]D5 Gallon Forecast'!S172+'[4]D6 Gallon Forecast'!S226+'[4]D6 Gallon Forecast'!S242</f>
        <v>264807893.43226665</v>
      </c>
      <c r="T7" s="22">
        <f>'[4]D4 Gallon Forecast'!T137+'[4]D5 Gallon Forecast'!T124+'[4]D6 Gallon Forecast'!T210+'[4]D4 Gallon Forecast'!T201+'[4]D4 Gallon Forecast'!T265+'[4]D5 Gallon Forecast'!T172+'[4]D6 Gallon Forecast'!T226+'[4]D6 Gallon Forecast'!T242</f>
        <v>266076699.4446004</v>
      </c>
      <c r="U7" s="22">
        <f>'[4]D4 Gallon Forecast'!U137+'[4]D5 Gallon Forecast'!U124+'[4]D6 Gallon Forecast'!U210+'[4]D4 Gallon Forecast'!U201+'[4]D4 Gallon Forecast'!U265+'[4]D5 Gallon Forecast'!U172+'[4]D6 Gallon Forecast'!U226+'[4]D6 Gallon Forecast'!U242</f>
        <v>264828160.19738841</v>
      </c>
      <c r="V7" s="22">
        <f>'[4]D4 Gallon Forecast'!V137+'[4]D5 Gallon Forecast'!V124+'[4]D6 Gallon Forecast'!V210+'[4]D4 Gallon Forecast'!V201+'[4]D4 Gallon Forecast'!V265+'[4]D5 Gallon Forecast'!V172+'[4]D6 Gallon Forecast'!V226+'[4]D6 Gallon Forecast'!V242</f>
        <v>275271341.06847703</v>
      </c>
      <c r="W7" s="22">
        <f>'[4]D4 Gallon Forecast'!W137+'[4]D5 Gallon Forecast'!W124+'[4]D6 Gallon Forecast'!W210+'[4]D4 Gallon Forecast'!W201+'[4]D4 Gallon Forecast'!W265+'[4]D5 Gallon Forecast'!W172+'[4]D6 Gallon Forecast'!W226+'[4]D6 Gallon Forecast'!W242</f>
        <v>296939393.16302729</v>
      </c>
      <c r="X7" s="22">
        <f>'[4]D4 Gallon Forecast'!X137+'[4]D5 Gallon Forecast'!X124+'[4]D6 Gallon Forecast'!X210+'[4]D4 Gallon Forecast'!X201+'[4]D4 Gallon Forecast'!X265+'[4]D5 Gallon Forecast'!X172+'[4]D6 Gallon Forecast'!X226+'[4]D6 Gallon Forecast'!X242</f>
        <v>346628722.31404471</v>
      </c>
      <c r="Y7" s="22">
        <f>'[4]D4 Gallon Forecast'!Y137+'[4]D5 Gallon Forecast'!Y124+'[4]D6 Gallon Forecast'!Y210+'[4]D4 Gallon Forecast'!Y201+'[4]D4 Gallon Forecast'!Y265+'[4]D5 Gallon Forecast'!Y172+'[4]D6 Gallon Forecast'!Y226+'[4]D6 Gallon Forecast'!Y242</f>
        <v>343859404.36038995</v>
      </c>
      <c r="Z7" s="22">
        <f>'[4]D4 Gallon Forecast'!Z137+'[4]D5 Gallon Forecast'!Z124+'[4]D6 Gallon Forecast'!Z210+'[4]D4 Gallon Forecast'!Z201+'[4]D4 Gallon Forecast'!Z265+'[4]D5 Gallon Forecast'!Z172+'[4]D6 Gallon Forecast'!Z226+'[4]D6 Gallon Forecast'!Z242</f>
        <v>333788418.27522588</v>
      </c>
      <c r="AA7" s="22">
        <f>'[4]D4 Gallon Forecast'!AA137+'[4]D5 Gallon Forecast'!AA124+'[4]D6 Gallon Forecast'!AA210+'[4]D4 Gallon Forecast'!AA201+'[4]D4 Gallon Forecast'!AA265+'[4]D5 Gallon Forecast'!AA172+'[4]D6 Gallon Forecast'!AA226+'[4]D6 Gallon Forecast'!AA242</f>
        <v>352882492.94488353</v>
      </c>
      <c r="AB7" s="22">
        <f>'[4]D4 Gallon Forecast'!AB137+'[4]D5 Gallon Forecast'!AB124+'[4]D6 Gallon Forecast'!AB210+'[4]D4 Gallon Forecast'!AB201+'[4]D4 Gallon Forecast'!AB265+'[4]D5 Gallon Forecast'!AB172+'[4]D6 Gallon Forecast'!AB226+'[4]D6 Gallon Forecast'!AB242</f>
        <v>371338404.40107828</v>
      </c>
      <c r="AC7" s="22">
        <f>'[4]D4 Gallon Forecast'!AC137+'[4]D5 Gallon Forecast'!AC124+'[4]D6 Gallon Forecast'!AC210+'[4]D4 Gallon Forecast'!AC201+'[4]D4 Gallon Forecast'!AC265+'[4]D5 Gallon Forecast'!AC172+'[4]D6 Gallon Forecast'!AC226+'[4]D6 Gallon Forecast'!AC242</f>
        <v>419648795.89503849</v>
      </c>
      <c r="AD7" s="22">
        <f>'[4]D4 Gallon Forecast'!AD137+'[4]D5 Gallon Forecast'!AD124+'[4]D6 Gallon Forecast'!AD210+'[4]D4 Gallon Forecast'!AD201+'[4]D4 Gallon Forecast'!AD265+'[4]D5 Gallon Forecast'!AD172+'[4]D6 Gallon Forecast'!AD226+'[4]D6 Gallon Forecast'!AD242</f>
        <v>462439764.01558679</v>
      </c>
      <c r="AE7" s="22">
        <f>'[4]D4 Gallon Forecast'!AE137+'[4]D5 Gallon Forecast'!AE124+'[4]D6 Gallon Forecast'!AE210+'[4]D4 Gallon Forecast'!AE201+'[4]D4 Gallon Forecast'!AE265+'[4]D5 Gallon Forecast'!AE172+'[4]D6 Gallon Forecast'!AE226+'[4]D6 Gallon Forecast'!AE242</f>
        <v>463807035.28719461</v>
      </c>
      <c r="AF7" s="22">
        <f>'[4]D4 Gallon Forecast'!AF137+'[4]D5 Gallon Forecast'!AF124+'[4]D6 Gallon Forecast'!AF210+'[4]D4 Gallon Forecast'!AF201+'[4]D4 Gallon Forecast'!AF265+'[4]D5 Gallon Forecast'!AF172+'[4]D6 Gallon Forecast'!AF226+'[4]D6 Gallon Forecast'!AF242</f>
        <v>408109893.14216942</v>
      </c>
      <c r="AG7" s="22">
        <f>'[4]D4 Gallon Forecast'!AG137+'[4]D5 Gallon Forecast'!AG124+'[4]D6 Gallon Forecast'!AG210+'[4]D4 Gallon Forecast'!AG201+'[4]D4 Gallon Forecast'!AG265+'[4]D5 Gallon Forecast'!AG172+'[4]D6 Gallon Forecast'!AG226+'[4]D6 Gallon Forecast'!AG242</f>
        <v>431570037.23122191</v>
      </c>
      <c r="AH7" s="22">
        <f>'[4]D4 Gallon Forecast'!AH137+'[4]D5 Gallon Forecast'!AH124+'[4]D6 Gallon Forecast'!AH210+'[4]D4 Gallon Forecast'!AH201+'[4]D4 Gallon Forecast'!AH265+'[4]D5 Gallon Forecast'!AH172+'[4]D6 Gallon Forecast'!AH226+'[4]D6 Gallon Forecast'!AH242</f>
        <v>455949237.07643175</v>
      </c>
      <c r="AI7" s="22">
        <f>'[4]D4 Gallon Forecast'!AI137+'[4]D5 Gallon Forecast'!AI124+'[4]D6 Gallon Forecast'!AI210+'[4]D4 Gallon Forecast'!AI201+'[4]D4 Gallon Forecast'!AI265+'[4]D5 Gallon Forecast'!AI172+'[4]D6 Gallon Forecast'!AI226+'[4]D6 Gallon Forecast'!AI242</f>
        <v>495105864.74131221</v>
      </c>
      <c r="AJ7" s="22">
        <f>'[4]D4 Gallon Forecast'!AJ137+'[4]D5 Gallon Forecast'!AJ124+'[4]D6 Gallon Forecast'!AJ210+'[4]D4 Gallon Forecast'!AJ201+'[4]D4 Gallon Forecast'!AJ265+'[4]D5 Gallon Forecast'!AJ172+'[4]D6 Gallon Forecast'!AJ226+'[4]D6 Gallon Forecast'!AJ242</f>
        <v>504878602.59603202</v>
      </c>
      <c r="AK7" s="22">
        <f>'[4]D4 Gallon Forecast'!AK137+'[4]D5 Gallon Forecast'!AK124+'[4]D6 Gallon Forecast'!AK210+'[4]D4 Gallon Forecast'!AK201+'[4]D4 Gallon Forecast'!AK265+'[4]D5 Gallon Forecast'!AK172+'[4]D6 Gallon Forecast'!AK226+'[4]D6 Gallon Forecast'!AK242</f>
        <v>502026940.98117381</v>
      </c>
      <c r="AL7" s="22">
        <f>'[4]D4 Gallon Forecast'!AL137+'[4]D5 Gallon Forecast'!AL124+'[4]D6 Gallon Forecast'!AL210+'[4]D4 Gallon Forecast'!AL201+'[4]D4 Gallon Forecast'!AL265+'[4]D5 Gallon Forecast'!AL172+'[4]D6 Gallon Forecast'!AL226+'[4]D6 Gallon Forecast'!AL242</f>
        <v>478515853.37996608</v>
      </c>
      <c r="AM7" s="22">
        <f>'[4]D4 Gallon Forecast'!AM137+'[4]D5 Gallon Forecast'!AM124+'[4]D6 Gallon Forecast'!AM210+'[4]D4 Gallon Forecast'!AM201+'[4]D4 Gallon Forecast'!AM265+'[4]D5 Gallon Forecast'!AM172+'[4]D6 Gallon Forecast'!AM226+'[4]D6 Gallon Forecast'!AM242</f>
        <v>498110922.94592071</v>
      </c>
      <c r="AN7" s="22">
        <f>'[4]D4 Gallon Forecast'!AN137+'[4]D5 Gallon Forecast'!AN124+'[4]D6 Gallon Forecast'!AN210+'[4]D4 Gallon Forecast'!AN201+'[4]D4 Gallon Forecast'!AN265+'[4]D5 Gallon Forecast'!AN172+'[4]D6 Gallon Forecast'!AN226+'[4]D6 Gallon Forecast'!AN242</f>
        <v>515827789.59293139</v>
      </c>
      <c r="AO7" s="22">
        <f>'[4]D4 Gallon Forecast'!AO137+'[4]D5 Gallon Forecast'!AO124+'[4]D6 Gallon Forecast'!AO210+'[4]D4 Gallon Forecast'!AO201+'[4]D4 Gallon Forecast'!AO265+'[4]D5 Gallon Forecast'!AO172+'[4]D6 Gallon Forecast'!AO226+'[4]D6 Gallon Forecast'!AO242</f>
        <v>534328324.85490304</v>
      </c>
      <c r="AP7" s="22">
        <f>'[4]D4 Gallon Forecast'!AP137+'[4]D5 Gallon Forecast'!AP124+'[4]D6 Gallon Forecast'!AP210+'[4]D4 Gallon Forecast'!AP201+'[4]D4 Gallon Forecast'!AP265+'[4]D5 Gallon Forecast'!AP172+'[4]D6 Gallon Forecast'!AP226+'[4]D6 Gallon Forecast'!AP242</f>
        <v>557326258.06358731</v>
      </c>
      <c r="AQ7" s="22"/>
      <c r="AR7" s="22"/>
      <c r="AS7" s="22"/>
      <c r="AT7" s="11">
        <f t="shared" si="1"/>
        <v>-0.10023713360803543</v>
      </c>
      <c r="AU7" s="21">
        <f t="shared" si="2"/>
        <v>-27860283</v>
      </c>
      <c r="AV7" s="21">
        <f t="shared" si="4"/>
        <v>-60586401</v>
      </c>
      <c r="AW7" s="11">
        <f t="shared" si="5"/>
        <v>-0.19501860576428642</v>
      </c>
      <c r="AX7" s="21">
        <f>'[4]D4 Gallon Forecast'!$DM121+'[4]D5 Gallon Forecast'!$AZ108+'[4]D6 Gallon Forecast'!$BM194</f>
        <v>1427701</v>
      </c>
      <c r="AY7" s="21">
        <f t="shared" si="0"/>
        <v>248655748</v>
      </c>
      <c r="BA7" s="23">
        <f t="shared" si="6"/>
        <v>8.9659268387096773</v>
      </c>
      <c r="BB7" s="23">
        <f t="shared" si="7"/>
        <v>4.712773103225806</v>
      </c>
      <c r="BC7" s="11">
        <f t="shared" si="3"/>
        <v>0.90247369061172633</v>
      </c>
    </row>
    <row r="8" spans="1:55" x14ac:dyDescent="0.25">
      <c r="A8" s="20" t="s">
        <v>74</v>
      </c>
      <c r="B8" s="21">
        <f>'[4]D4 Gallon Forecast'!B138+'[4]D5 Gallon Forecast'!B125+'[4]D6 Gallon Forecast'!B211+'[4]D4 Gallon Forecast'!B202+'[4]D4 Gallon Forecast'!B266+'[4]D5 Gallon Forecast'!B173+'[4]D6 Gallon Forecast'!B227+'[4]D6 Gallon Forecast'!B243</f>
        <v>0</v>
      </c>
      <c r="C8" s="21">
        <f>'[4]D4 Gallon Forecast'!C138+'[4]D5 Gallon Forecast'!C125+'[4]D6 Gallon Forecast'!C211+'[4]D4 Gallon Forecast'!C202+'[4]D4 Gallon Forecast'!C266+'[4]D5 Gallon Forecast'!C173+'[4]D6 Gallon Forecast'!C227+'[4]D6 Gallon Forecast'!C243</f>
        <v>4563727</v>
      </c>
      <c r="D8" s="21">
        <f>'[4]D4 Gallon Forecast'!D138+'[4]D5 Gallon Forecast'!D125+'[4]D6 Gallon Forecast'!D211+'[4]D4 Gallon Forecast'!D202+'[4]D4 Gallon Forecast'!D266+'[4]D5 Gallon Forecast'!D173+'[4]D6 Gallon Forecast'!D227+'[4]D6 Gallon Forecast'!D243</f>
        <v>6282828</v>
      </c>
      <c r="E8" s="21">
        <f>'[4]D4 Gallon Forecast'!E138+'[4]D5 Gallon Forecast'!E125+'[4]D6 Gallon Forecast'!E211+'[4]D4 Gallon Forecast'!E202+'[4]D4 Gallon Forecast'!E266+'[4]D5 Gallon Forecast'!E173+'[4]D6 Gallon Forecast'!E227+'[4]D6 Gallon Forecast'!E243</f>
        <v>24630284</v>
      </c>
      <c r="F8" s="21">
        <f>'[4]D4 Gallon Forecast'!F138+'[4]D5 Gallon Forecast'!F125+'[4]D6 Gallon Forecast'!F211+'[4]D4 Gallon Forecast'!F202+'[4]D4 Gallon Forecast'!F266+'[4]D5 Gallon Forecast'!F173+'[4]D6 Gallon Forecast'!F227+'[4]D6 Gallon Forecast'!F243</f>
        <v>49019953</v>
      </c>
      <c r="G8" s="21">
        <f>'[4]D4 Gallon Forecast'!G138+'[4]D5 Gallon Forecast'!G125+'[4]D6 Gallon Forecast'!G211+'[4]D4 Gallon Forecast'!G202+'[4]D4 Gallon Forecast'!G266+'[4]D5 Gallon Forecast'!G173+'[4]D6 Gallon Forecast'!G227+'[4]D6 Gallon Forecast'!G243</f>
        <v>47468482</v>
      </c>
      <c r="H8" s="21">
        <f>'[4]D4 Gallon Forecast'!H138+'[4]D5 Gallon Forecast'!H125+'[4]D6 Gallon Forecast'!H211+'[4]D4 Gallon Forecast'!H202+'[4]D4 Gallon Forecast'!H266+'[4]D5 Gallon Forecast'!H173+'[4]D6 Gallon Forecast'!H227+'[4]D6 Gallon Forecast'!H243</f>
        <v>57729364</v>
      </c>
      <c r="I8" s="21">
        <f>'[4]D4 Gallon Forecast'!I138+'[4]D5 Gallon Forecast'!I125+'[4]D6 Gallon Forecast'!I211+'[4]D4 Gallon Forecast'!I202+'[4]D4 Gallon Forecast'!I266+'[4]D5 Gallon Forecast'!I173+'[4]D6 Gallon Forecast'!I227+'[4]D6 Gallon Forecast'!I243</f>
        <v>48607445</v>
      </c>
      <c r="J8" s="21">
        <f>'[4]D4 Gallon Forecast'!J138+'[4]D5 Gallon Forecast'!J125+'[4]D6 Gallon Forecast'!J211+'[4]D4 Gallon Forecast'!J202+'[4]D4 Gallon Forecast'!J266+'[4]D5 Gallon Forecast'!J173+'[4]D6 Gallon Forecast'!J227+'[4]D6 Gallon Forecast'!J243</f>
        <v>46602246</v>
      </c>
      <c r="K8" s="21">
        <f>'[4]D4 Gallon Forecast'!K138+'[4]D5 Gallon Forecast'!K125+'[4]D6 Gallon Forecast'!K211+'[4]D4 Gallon Forecast'!K202+'[4]D4 Gallon Forecast'!K266+'[4]D5 Gallon Forecast'!K173+'[4]D6 Gallon Forecast'!K227+'[4]D6 Gallon Forecast'!K243</f>
        <v>82162241</v>
      </c>
      <c r="L8" s="21">
        <f>'[4]D4 Gallon Forecast'!L138+'[4]D5 Gallon Forecast'!L125+'[4]D6 Gallon Forecast'!L211+'[4]D4 Gallon Forecast'!L202+'[4]D4 Gallon Forecast'!L266+'[4]D5 Gallon Forecast'!L173+'[4]D6 Gallon Forecast'!L227+'[4]D6 Gallon Forecast'!L243</f>
        <v>85911189</v>
      </c>
      <c r="M8" s="21">
        <f>'[4]D4 Gallon Forecast'!M138+'[4]D5 Gallon Forecast'!M125+'[4]D6 Gallon Forecast'!M211+'[4]D4 Gallon Forecast'!M202+'[4]D4 Gallon Forecast'!M266+'[4]D5 Gallon Forecast'!M173+'[4]D6 Gallon Forecast'!M227+'[4]D6 Gallon Forecast'!M243</f>
        <v>112653761</v>
      </c>
      <c r="N8" s="21">
        <f>'[4]D4 Gallon Forecast'!N138+'[4]D5 Gallon Forecast'!N125+'[4]D6 Gallon Forecast'!N211+'[4]D4 Gallon Forecast'!N202+'[4]D4 Gallon Forecast'!N266+'[4]D5 Gallon Forecast'!N173+'[4]D6 Gallon Forecast'!N227+'[4]D6 Gallon Forecast'!N243</f>
        <v>154126522</v>
      </c>
      <c r="O8" s="21">
        <f>'[4]D4 Gallon Forecast'!O138+'[4]D5 Gallon Forecast'!O125+'[4]D6 Gallon Forecast'!O211+'[4]D4 Gallon Forecast'!O202+'[4]D4 Gallon Forecast'!O266+'[4]D5 Gallon Forecast'!O173+'[4]D6 Gallon Forecast'!O227+'[4]D6 Gallon Forecast'!O243</f>
        <v>246714258</v>
      </c>
      <c r="P8" s="21">
        <f>'[4]D4 Gallon Forecast'!P138+'[4]D5 Gallon Forecast'!P125+'[4]D6 Gallon Forecast'!P211+'[4]D4 Gallon Forecast'!P202+'[4]D4 Gallon Forecast'!P266+'[4]D5 Gallon Forecast'!P173+'[4]D6 Gallon Forecast'!P227+'[4]D6 Gallon Forecast'!P243</f>
        <v>339060733</v>
      </c>
      <c r="Q8" s="22">
        <f>'[4]D4 Gallon Forecast'!Q138+'[4]D5 Gallon Forecast'!Q125+'[4]D6 Gallon Forecast'!Q211+'[4]D4 Gallon Forecast'!Q202+'[4]D4 Gallon Forecast'!Q266+'[4]D5 Gallon Forecast'!Q173+'[4]D6 Gallon Forecast'!Q227+'[4]D6 Gallon Forecast'!Q243</f>
        <v>215888951.17585048</v>
      </c>
      <c r="R8" s="22">
        <f>'[4]D4 Gallon Forecast'!R138+'[4]D5 Gallon Forecast'!R125+'[4]D6 Gallon Forecast'!R211+'[4]D4 Gallon Forecast'!R202+'[4]D4 Gallon Forecast'!R266+'[4]D5 Gallon Forecast'!R173+'[4]D6 Gallon Forecast'!R227+'[4]D6 Gallon Forecast'!R243</f>
        <v>245015874.1563772</v>
      </c>
      <c r="S8" s="22">
        <f>'[4]D4 Gallon Forecast'!S138+'[4]D5 Gallon Forecast'!S125+'[4]D6 Gallon Forecast'!S211+'[4]D4 Gallon Forecast'!S202+'[4]D4 Gallon Forecast'!S266+'[4]D5 Gallon Forecast'!S173+'[4]D6 Gallon Forecast'!S227+'[4]D6 Gallon Forecast'!S243</f>
        <v>266080968.33836031</v>
      </c>
      <c r="T8" s="22">
        <f>'[4]D4 Gallon Forecast'!T138+'[4]D5 Gallon Forecast'!T125+'[4]D6 Gallon Forecast'!T211+'[4]D4 Gallon Forecast'!T202+'[4]D4 Gallon Forecast'!T266+'[4]D5 Gallon Forecast'!T173+'[4]D6 Gallon Forecast'!T227+'[4]D6 Gallon Forecast'!T243</f>
        <v>270143642.10952151</v>
      </c>
      <c r="U8" s="22">
        <f>'[4]D4 Gallon Forecast'!U138+'[4]D5 Gallon Forecast'!U125+'[4]D6 Gallon Forecast'!U211+'[4]D4 Gallon Forecast'!U202+'[4]D4 Gallon Forecast'!U266+'[4]D5 Gallon Forecast'!U173+'[4]D6 Gallon Forecast'!U227+'[4]D6 Gallon Forecast'!U243</f>
        <v>271349773.96685439</v>
      </c>
      <c r="V8" s="22">
        <f>'[4]D4 Gallon Forecast'!V138+'[4]D5 Gallon Forecast'!V125+'[4]D6 Gallon Forecast'!V211+'[4]D4 Gallon Forecast'!V202+'[4]D4 Gallon Forecast'!V266+'[4]D5 Gallon Forecast'!V173+'[4]D6 Gallon Forecast'!V227+'[4]D6 Gallon Forecast'!V243</f>
        <v>277636296.47822958</v>
      </c>
      <c r="W8" s="22">
        <f>'[4]D4 Gallon Forecast'!W138+'[4]D5 Gallon Forecast'!W125+'[4]D6 Gallon Forecast'!W211+'[4]D4 Gallon Forecast'!W202+'[4]D4 Gallon Forecast'!W266+'[4]D5 Gallon Forecast'!W173+'[4]D6 Gallon Forecast'!W227+'[4]D6 Gallon Forecast'!W243</f>
        <v>299754622.66516441</v>
      </c>
      <c r="X8" s="22">
        <f>'[4]D4 Gallon Forecast'!X138+'[4]D5 Gallon Forecast'!X125+'[4]D6 Gallon Forecast'!X211+'[4]D4 Gallon Forecast'!X202+'[4]D4 Gallon Forecast'!X266+'[4]D5 Gallon Forecast'!X173+'[4]D6 Gallon Forecast'!X227+'[4]D6 Gallon Forecast'!X243</f>
        <v>349405135.06311095</v>
      </c>
      <c r="Y8" s="22">
        <f>'[4]D4 Gallon Forecast'!Y138+'[4]D5 Gallon Forecast'!Y125+'[4]D6 Gallon Forecast'!Y211+'[4]D4 Gallon Forecast'!Y202+'[4]D4 Gallon Forecast'!Y266+'[4]D5 Gallon Forecast'!Y173+'[4]D6 Gallon Forecast'!Y227+'[4]D6 Gallon Forecast'!Y243</f>
        <v>347079107.96188802</v>
      </c>
      <c r="Z8" s="22">
        <f>'[4]D4 Gallon Forecast'!Z138+'[4]D5 Gallon Forecast'!Z125+'[4]D6 Gallon Forecast'!Z211+'[4]D4 Gallon Forecast'!Z202+'[4]D4 Gallon Forecast'!Z266+'[4]D5 Gallon Forecast'!Z173+'[4]D6 Gallon Forecast'!Z227+'[4]D6 Gallon Forecast'!Z243</f>
        <v>337086326.80492342</v>
      </c>
      <c r="AA8" s="22">
        <f>'[4]D4 Gallon Forecast'!AA138+'[4]D5 Gallon Forecast'!AA125+'[4]D6 Gallon Forecast'!AA211+'[4]D4 Gallon Forecast'!AA202+'[4]D4 Gallon Forecast'!AA266+'[4]D5 Gallon Forecast'!AA173+'[4]D6 Gallon Forecast'!AA227+'[4]D6 Gallon Forecast'!AA243</f>
        <v>355753080.35489345</v>
      </c>
      <c r="AB8" s="22">
        <f>'[4]D4 Gallon Forecast'!AB138+'[4]D5 Gallon Forecast'!AB125+'[4]D6 Gallon Forecast'!AB211+'[4]D4 Gallon Forecast'!AB202+'[4]D4 Gallon Forecast'!AB266+'[4]D5 Gallon Forecast'!AB173+'[4]D6 Gallon Forecast'!AB227+'[4]D6 Gallon Forecast'!AB243</f>
        <v>372791574.18212301</v>
      </c>
      <c r="AC8" s="22">
        <f>'[4]D4 Gallon Forecast'!AC138+'[4]D5 Gallon Forecast'!AC125+'[4]D6 Gallon Forecast'!AC211+'[4]D4 Gallon Forecast'!AC202+'[4]D4 Gallon Forecast'!AC266+'[4]D5 Gallon Forecast'!AC173+'[4]D6 Gallon Forecast'!AC227+'[4]D6 Gallon Forecast'!AC243</f>
        <v>420683293.77190733</v>
      </c>
      <c r="AD8" s="22">
        <f>'[4]D4 Gallon Forecast'!AD138+'[4]D5 Gallon Forecast'!AD125+'[4]D6 Gallon Forecast'!AD211+'[4]D4 Gallon Forecast'!AD202+'[4]D4 Gallon Forecast'!AD266+'[4]D5 Gallon Forecast'!AD173+'[4]D6 Gallon Forecast'!AD227+'[4]D6 Gallon Forecast'!AD243</f>
        <v>463606769.57628626</v>
      </c>
      <c r="AE8" s="22">
        <f>'[4]D4 Gallon Forecast'!AE138+'[4]D5 Gallon Forecast'!AE125+'[4]D6 Gallon Forecast'!AE211+'[4]D4 Gallon Forecast'!AE202+'[4]D4 Gallon Forecast'!AE266+'[4]D5 Gallon Forecast'!AE173+'[4]D6 Gallon Forecast'!AE227+'[4]D6 Gallon Forecast'!AE243</f>
        <v>465347839.78467858</v>
      </c>
      <c r="AF8" s="22">
        <f>'[4]D4 Gallon Forecast'!AF138+'[4]D5 Gallon Forecast'!AF125+'[4]D6 Gallon Forecast'!AF211+'[4]D4 Gallon Forecast'!AF202+'[4]D4 Gallon Forecast'!AF266+'[4]D5 Gallon Forecast'!AF173+'[4]D6 Gallon Forecast'!AF227+'[4]D6 Gallon Forecast'!AF243</f>
        <v>409987981.41540688</v>
      </c>
      <c r="AG8" s="22">
        <f>'[4]D4 Gallon Forecast'!AG138+'[4]D5 Gallon Forecast'!AG125+'[4]D6 Gallon Forecast'!AG211+'[4]D4 Gallon Forecast'!AG202+'[4]D4 Gallon Forecast'!AG266+'[4]D5 Gallon Forecast'!AG173+'[4]D6 Gallon Forecast'!AG227+'[4]D6 Gallon Forecast'!AG243</f>
        <v>433314735.74472976</v>
      </c>
      <c r="AH8" s="22">
        <f>'[4]D4 Gallon Forecast'!AH138+'[4]D5 Gallon Forecast'!AH125+'[4]D6 Gallon Forecast'!AH211+'[4]D4 Gallon Forecast'!AH202+'[4]D4 Gallon Forecast'!AH266+'[4]D5 Gallon Forecast'!AH173+'[4]D6 Gallon Forecast'!AH227+'[4]D6 Gallon Forecast'!AH243</f>
        <v>457751570.20725185</v>
      </c>
      <c r="AI8" s="22">
        <f>'[4]D4 Gallon Forecast'!AI138+'[4]D5 Gallon Forecast'!AI125+'[4]D6 Gallon Forecast'!AI211+'[4]D4 Gallon Forecast'!AI202+'[4]D4 Gallon Forecast'!AI266+'[4]D5 Gallon Forecast'!AI173+'[4]D6 Gallon Forecast'!AI227+'[4]D6 Gallon Forecast'!AI243</f>
        <v>496983654.1449759</v>
      </c>
      <c r="AJ8" s="22">
        <f>'[4]D4 Gallon Forecast'!AJ138+'[4]D5 Gallon Forecast'!AJ125+'[4]D6 Gallon Forecast'!AJ211+'[4]D4 Gallon Forecast'!AJ202+'[4]D4 Gallon Forecast'!AJ266+'[4]D5 Gallon Forecast'!AJ173+'[4]D6 Gallon Forecast'!AJ227+'[4]D6 Gallon Forecast'!AJ243</f>
        <v>506795718.07798511</v>
      </c>
      <c r="AK8" s="22">
        <f>'[4]D4 Gallon Forecast'!AK138+'[4]D5 Gallon Forecast'!AK125+'[4]D6 Gallon Forecast'!AK211+'[4]D4 Gallon Forecast'!AK202+'[4]D4 Gallon Forecast'!AK266+'[4]D5 Gallon Forecast'!AK173+'[4]D6 Gallon Forecast'!AK227+'[4]D6 Gallon Forecast'!AK243</f>
        <v>503939065.79216069</v>
      </c>
      <c r="AL8" s="22">
        <f>'[4]D4 Gallon Forecast'!AL138+'[4]D5 Gallon Forecast'!AL125+'[4]D6 Gallon Forecast'!AL211+'[4]D4 Gallon Forecast'!AL202+'[4]D4 Gallon Forecast'!AL266+'[4]D5 Gallon Forecast'!AL173+'[4]D6 Gallon Forecast'!AL227+'[4]D6 Gallon Forecast'!AL243</f>
        <v>480611957.90786779</v>
      </c>
      <c r="AM8" s="22">
        <f>'[4]D4 Gallon Forecast'!AM138+'[4]D5 Gallon Forecast'!AM125+'[4]D6 Gallon Forecast'!AM211+'[4]D4 Gallon Forecast'!AM202+'[4]D4 Gallon Forecast'!AM266+'[4]D5 Gallon Forecast'!AM173+'[4]D6 Gallon Forecast'!AM227+'[4]D6 Gallon Forecast'!AM243</f>
        <v>499957191.42206717</v>
      </c>
      <c r="AN8" s="22">
        <f>'[4]D4 Gallon Forecast'!AN138+'[4]D5 Gallon Forecast'!AN125+'[4]D6 Gallon Forecast'!AN211+'[4]D4 Gallon Forecast'!AN202+'[4]D4 Gallon Forecast'!AN266+'[4]D5 Gallon Forecast'!AN173+'[4]D6 Gallon Forecast'!AN227+'[4]D6 Gallon Forecast'!AN243</f>
        <v>517737457.47255903</v>
      </c>
      <c r="AO8" s="22">
        <f>'[4]D4 Gallon Forecast'!AO138+'[4]D5 Gallon Forecast'!AO125+'[4]D6 Gallon Forecast'!AO211+'[4]D4 Gallon Forecast'!AO202+'[4]D4 Gallon Forecast'!AO266+'[4]D5 Gallon Forecast'!AO173+'[4]D6 Gallon Forecast'!AO227+'[4]D6 Gallon Forecast'!AO243</f>
        <v>536277740.282691</v>
      </c>
      <c r="AP8" s="22">
        <f>'[4]D4 Gallon Forecast'!AP138+'[4]D5 Gallon Forecast'!AP125+'[4]D6 Gallon Forecast'!AP211+'[4]D4 Gallon Forecast'!AP202+'[4]D4 Gallon Forecast'!AP266+'[4]D5 Gallon Forecast'!AP173+'[4]D6 Gallon Forecast'!AP227+'[4]D6 Gallon Forecast'!AP243</f>
        <v>559127648.17762625</v>
      </c>
      <c r="AQ8" s="22"/>
      <c r="AR8" s="22"/>
      <c r="AS8" s="22"/>
      <c r="AT8" s="11">
        <f t="shared" si="1"/>
        <v>0.37430538367993305</v>
      </c>
      <c r="AU8" s="21">
        <f t="shared" si="2"/>
        <v>92346475</v>
      </c>
      <c r="AV8" s="21">
        <f t="shared" si="4"/>
        <v>88977284</v>
      </c>
      <c r="AW8" s="11">
        <f t="shared" si="5"/>
        <v>0.35579037459612134</v>
      </c>
      <c r="AX8" s="21">
        <f>'[4]D4 Gallon Forecast'!$DM122+'[4]D5 Gallon Forecast'!$AZ109+'[4]D6 Gallon Forecast'!$BM195</f>
        <v>6189823</v>
      </c>
      <c r="AY8" s="21">
        <f t="shared" si="0"/>
        <v>332870910</v>
      </c>
      <c r="BA8" s="23">
        <f>O8/30/1000000</f>
        <v>8.2238085999999999</v>
      </c>
      <c r="BB8" s="23">
        <f>AVERAGE(K8:O8)/30/1000000</f>
        <v>4.5437864733333324</v>
      </c>
      <c r="BC8" s="11">
        <f t="shared" si="3"/>
        <v>0.8099020823852654</v>
      </c>
    </row>
    <row r="9" spans="1:55" x14ac:dyDescent="0.25">
      <c r="A9" s="20" t="s">
        <v>75</v>
      </c>
      <c r="B9" s="21">
        <f>'[4]D4 Gallon Forecast'!B139+'[4]D5 Gallon Forecast'!B126+'[4]D6 Gallon Forecast'!B212+'[4]D4 Gallon Forecast'!B203+'[4]D4 Gallon Forecast'!B267+'[4]D5 Gallon Forecast'!B174+'[4]D6 Gallon Forecast'!B228+'[4]D6 Gallon Forecast'!B244</f>
        <v>314992</v>
      </c>
      <c r="C9" s="21">
        <f>'[4]D4 Gallon Forecast'!C139+'[4]D5 Gallon Forecast'!C126+'[4]D6 Gallon Forecast'!C212+'[4]D4 Gallon Forecast'!C203+'[4]D4 Gallon Forecast'!C267+'[4]D5 Gallon Forecast'!C174+'[4]D6 Gallon Forecast'!C228+'[4]D6 Gallon Forecast'!C244</f>
        <v>6466366</v>
      </c>
      <c r="D9" s="21">
        <f>'[4]D4 Gallon Forecast'!D139+'[4]D5 Gallon Forecast'!D126+'[4]D6 Gallon Forecast'!D212+'[4]D4 Gallon Forecast'!D203+'[4]D4 Gallon Forecast'!D267+'[4]D5 Gallon Forecast'!D174+'[4]D6 Gallon Forecast'!D228+'[4]D6 Gallon Forecast'!D244</f>
        <v>9363985</v>
      </c>
      <c r="E9" s="21">
        <f>'[4]D4 Gallon Forecast'!E139+'[4]D5 Gallon Forecast'!E126+'[4]D6 Gallon Forecast'!E212+'[4]D4 Gallon Forecast'!E203+'[4]D4 Gallon Forecast'!E267+'[4]D5 Gallon Forecast'!E174+'[4]D6 Gallon Forecast'!E228+'[4]D6 Gallon Forecast'!E244</f>
        <v>39473427</v>
      </c>
      <c r="F9" s="21">
        <f>'[4]D4 Gallon Forecast'!F139+'[4]D5 Gallon Forecast'!F126+'[4]D6 Gallon Forecast'!F212+'[4]D4 Gallon Forecast'!F203+'[4]D4 Gallon Forecast'!F267+'[4]D5 Gallon Forecast'!F174+'[4]D6 Gallon Forecast'!F228+'[4]D6 Gallon Forecast'!F244</f>
        <v>55428231</v>
      </c>
      <c r="G9" s="21">
        <f>'[4]D4 Gallon Forecast'!G139+'[4]D5 Gallon Forecast'!G126+'[4]D6 Gallon Forecast'!G212+'[4]D4 Gallon Forecast'!G203+'[4]D4 Gallon Forecast'!G267+'[4]D5 Gallon Forecast'!G174+'[4]D6 Gallon Forecast'!G228+'[4]D6 Gallon Forecast'!G244</f>
        <v>43727824</v>
      </c>
      <c r="H9" s="21">
        <f>'[4]D4 Gallon Forecast'!H139+'[4]D5 Gallon Forecast'!H126+'[4]D6 Gallon Forecast'!H212+'[4]D4 Gallon Forecast'!H203+'[4]D4 Gallon Forecast'!H267+'[4]D5 Gallon Forecast'!H174+'[4]D6 Gallon Forecast'!H228+'[4]D6 Gallon Forecast'!H244</f>
        <v>55829488</v>
      </c>
      <c r="I9" s="21">
        <f>'[4]D4 Gallon Forecast'!I139+'[4]D5 Gallon Forecast'!I126+'[4]D6 Gallon Forecast'!I212+'[4]D4 Gallon Forecast'!I203+'[4]D4 Gallon Forecast'!I267+'[4]D5 Gallon Forecast'!I174+'[4]D6 Gallon Forecast'!I228+'[4]D6 Gallon Forecast'!I244</f>
        <v>49455236</v>
      </c>
      <c r="J9" s="21">
        <f>'[4]D4 Gallon Forecast'!J139+'[4]D5 Gallon Forecast'!J126+'[4]D6 Gallon Forecast'!J212+'[4]D4 Gallon Forecast'!J203+'[4]D4 Gallon Forecast'!J267+'[4]D5 Gallon Forecast'!J174+'[4]D6 Gallon Forecast'!J228+'[4]D6 Gallon Forecast'!J244</f>
        <v>43877564</v>
      </c>
      <c r="K9" s="21">
        <f>'[4]D4 Gallon Forecast'!K139+'[4]D5 Gallon Forecast'!K126+'[4]D6 Gallon Forecast'!K212+'[4]D4 Gallon Forecast'!K203+'[4]D4 Gallon Forecast'!K267+'[4]D5 Gallon Forecast'!K174+'[4]D6 Gallon Forecast'!K228+'[4]D6 Gallon Forecast'!K244</f>
        <v>85812918</v>
      </c>
      <c r="L9" s="21">
        <f>'[4]D4 Gallon Forecast'!L139+'[4]D5 Gallon Forecast'!L126+'[4]D6 Gallon Forecast'!L212+'[4]D4 Gallon Forecast'!L203+'[4]D4 Gallon Forecast'!L267+'[4]D5 Gallon Forecast'!L174+'[4]D6 Gallon Forecast'!L228+'[4]D6 Gallon Forecast'!L244</f>
        <v>77690256</v>
      </c>
      <c r="M9" s="21">
        <f>'[4]D4 Gallon Forecast'!M139+'[4]D5 Gallon Forecast'!M126+'[4]D6 Gallon Forecast'!M212+'[4]D4 Gallon Forecast'!M203+'[4]D4 Gallon Forecast'!M267+'[4]D5 Gallon Forecast'!M174+'[4]D6 Gallon Forecast'!M228+'[4]D6 Gallon Forecast'!M244</f>
        <v>80428728</v>
      </c>
      <c r="N9" s="21">
        <f>'[4]D4 Gallon Forecast'!N139+'[4]D5 Gallon Forecast'!N126+'[4]D6 Gallon Forecast'!N212+'[4]D4 Gallon Forecast'!N203+'[4]D4 Gallon Forecast'!N267+'[4]D5 Gallon Forecast'!N174+'[4]D6 Gallon Forecast'!N228+'[4]D6 Gallon Forecast'!N244</f>
        <v>128058899</v>
      </c>
      <c r="O9" s="21">
        <f>'[4]D4 Gallon Forecast'!O139+'[4]D5 Gallon Forecast'!O126+'[4]D6 Gallon Forecast'!O212+'[4]D4 Gallon Forecast'!O203+'[4]D4 Gallon Forecast'!O267+'[4]D5 Gallon Forecast'!O174+'[4]D6 Gallon Forecast'!O228+'[4]D6 Gallon Forecast'!O244</f>
        <v>236554662</v>
      </c>
      <c r="P9" s="21">
        <f>'[4]D4 Gallon Forecast'!P139+'[4]D5 Gallon Forecast'!P126+'[4]D6 Gallon Forecast'!P212+'[4]D4 Gallon Forecast'!P203+'[4]D4 Gallon Forecast'!P267+'[4]D5 Gallon Forecast'!P174+'[4]D6 Gallon Forecast'!P228+'[4]D6 Gallon Forecast'!P244</f>
        <v>339856960</v>
      </c>
      <c r="Q9" s="22">
        <f>'[4]D4 Gallon Forecast'!Q139+'[4]D5 Gallon Forecast'!Q126+'[4]D6 Gallon Forecast'!Q212+'[4]D4 Gallon Forecast'!Q203+'[4]D4 Gallon Forecast'!Q267+'[4]D5 Gallon Forecast'!Q174+'[4]D6 Gallon Forecast'!Q228+'[4]D6 Gallon Forecast'!Q244</f>
        <v>206688610.82341814</v>
      </c>
      <c r="R9" s="22">
        <f>'[4]D4 Gallon Forecast'!R139+'[4]D5 Gallon Forecast'!R126+'[4]D6 Gallon Forecast'!R212+'[4]D4 Gallon Forecast'!R203+'[4]D4 Gallon Forecast'!R267+'[4]D5 Gallon Forecast'!R174+'[4]D6 Gallon Forecast'!R228+'[4]D6 Gallon Forecast'!R244</f>
        <v>225826456.24829343</v>
      </c>
      <c r="S9" s="22">
        <f>'[4]D4 Gallon Forecast'!S139+'[4]D5 Gallon Forecast'!S126+'[4]D6 Gallon Forecast'!S212+'[4]D4 Gallon Forecast'!S203+'[4]D4 Gallon Forecast'!S267+'[4]D5 Gallon Forecast'!S174+'[4]D6 Gallon Forecast'!S228+'[4]D6 Gallon Forecast'!S244</f>
        <v>249366474.51923135</v>
      </c>
      <c r="T9" s="22">
        <f>'[4]D4 Gallon Forecast'!T139+'[4]D5 Gallon Forecast'!T126+'[4]D6 Gallon Forecast'!T212+'[4]D4 Gallon Forecast'!T203+'[4]D4 Gallon Forecast'!T267+'[4]D5 Gallon Forecast'!T174+'[4]D6 Gallon Forecast'!T228+'[4]D6 Gallon Forecast'!T244</f>
        <v>254614029.50960538</v>
      </c>
      <c r="U9" s="22">
        <f>'[4]D4 Gallon Forecast'!U139+'[4]D5 Gallon Forecast'!U126+'[4]D6 Gallon Forecast'!U212+'[4]D4 Gallon Forecast'!U203+'[4]D4 Gallon Forecast'!U267+'[4]D5 Gallon Forecast'!U174+'[4]D6 Gallon Forecast'!U228+'[4]D6 Gallon Forecast'!U244</f>
        <v>253287909.3565678</v>
      </c>
      <c r="V9" s="22">
        <f>'[4]D4 Gallon Forecast'!V139+'[4]D5 Gallon Forecast'!V126+'[4]D6 Gallon Forecast'!V212+'[4]D4 Gallon Forecast'!V203+'[4]D4 Gallon Forecast'!V267+'[4]D5 Gallon Forecast'!V174+'[4]D6 Gallon Forecast'!V228+'[4]D6 Gallon Forecast'!V244</f>
        <v>262790134.83762592</v>
      </c>
      <c r="W9" s="22">
        <f>'[4]D4 Gallon Forecast'!W139+'[4]D5 Gallon Forecast'!W126+'[4]D6 Gallon Forecast'!W212+'[4]D4 Gallon Forecast'!W203+'[4]D4 Gallon Forecast'!W267+'[4]D5 Gallon Forecast'!W174+'[4]D6 Gallon Forecast'!W228+'[4]D6 Gallon Forecast'!W244</f>
        <v>283780714.65351176</v>
      </c>
      <c r="X9" s="22">
        <f>'[4]D4 Gallon Forecast'!X139+'[4]D5 Gallon Forecast'!X126+'[4]D6 Gallon Forecast'!X212+'[4]D4 Gallon Forecast'!X203+'[4]D4 Gallon Forecast'!X267+'[4]D5 Gallon Forecast'!X174+'[4]D6 Gallon Forecast'!X228+'[4]D6 Gallon Forecast'!X244</f>
        <v>333287522.37903601</v>
      </c>
      <c r="Y9" s="22">
        <f>'[4]D4 Gallon Forecast'!Y139+'[4]D5 Gallon Forecast'!Y126+'[4]D6 Gallon Forecast'!Y212+'[4]D4 Gallon Forecast'!Y203+'[4]D4 Gallon Forecast'!Y267+'[4]D5 Gallon Forecast'!Y174+'[4]D6 Gallon Forecast'!Y228+'[4]D6 Gallon Forecast'!Y244</f>
        <v>331209442.66417527</v>
      </c>
      <c r="Z9" s="22">
        <f>'[4]D4 Gallon Forecast'!Z139+'[4]D5 Gallon Forecast'!Z126+'[4]D6 Gallon Forecast'!Z212+'[4]D4 Gallon Forecast'!Z203+'[4]D4 Gallon Forecast'!Z267+'[4]D5 Gallon Forecast'!Z174+'[4]D6 Gallon Forecast'!Z228+'[4]D6 Gallon Forecast'!Z244</f>
        <v>321513522.84533197</v>
      </c>
      <c r="AA9" s="22">
        <f>'[4]D4 Gallon Forecast'!AA139+'[4]D5 Gallon Forecast'!AA126+'[4]D6 Gallon Forecast'!AA212+'[4]D4 Gallon Forecast'!AA203+'[4]D4 Gallon Forecast'!AA267+'[4]D5 Gallon Forecast'!AA174+'[4]D6 Gallon Forecast'!AA228+'[4]D6 Gallon Forecast'!AA244</f>
        <v>339959343.57686067</v>
      </c>
      <c r="AB9" s="22">
        <f>'[4]D4 Gallon Forecast'!AB139+'[4]D5 Gallon Forecast'!AB126+'[4]D6 Gallon Forecast'!AB212+'[4]D4 Gallon Forecast'!AB203+'[4]D4 Gallon Forecast'!AB267+'[4]D5 Gallon Forecast'!AB174+'[4]D6 Gallon Forecast'!AB228+'[4]D6 Gallon Forecast'!AB244</f>
        <v>360451806.43784225</v>
      </c>
      <c r="AC9" s="22">
        <f>'[4]D4 Gallon Forecast'!AC139+'[4]D5 Gallon Forecast'!AC126+'[4]D6 Gallon Forecast'!AC212+'[4]D4 Gallon Forecast'!AC203+'[4]D4 Gallon Forecast'!AC267+'[4]D5 Gallon Forecast'!AC174+'[4]D6 Gallon Forecast'!AC228+'[4]D6 Gallon Forecast'!AC244</f>
        <v>408166750.49786532</v>
      </c>
      <c r="AD9" s="22">
        <f>'[4]D4 Gallon Forecast'!AD139+'[4]D5 Gallon Forecast'!AD126+'[4]D6 Gallon Forecast'!AD212+'[4]D4 Gallon Forecast'!AD203+'[4]D4 Gallon Forecast'!AD267+'[4]D5 Gallon Forecast'!AD174+'[4]D6 Gallon Forecast'!AD228+'[4]D6 Gallon Forecast'!AD244</f>
        <v>449972527.31095976</v>
      </c>
      <c r="AE9" s="22">
        <f>'[4]D4 Gallon Forecast'!AE139+'[4]D5 Gallon Forecast'!AE126+'[4]D6 Gallon Forecast'!AE212+'[4]D4 Gallon Forecast'!AE203+'[4]D4 Gallon Forecast'!AE267+'[4]D5 Gallon Forecast'!AE174+'[4]D6 Gallon Forecast'!AE228+'[4]D6 Gallon Forecast'!AE244</f>
        <v>451392788.8693921</v>
      </c>
      <c r="AF9" s="22">
        <f>'[4]D4 Gallon Forecast'!AF139+'[4]D5 Gallon Forecast'!AF126+'[4]D6 Gallon Forecast'!AF212+'[4]D4 Gallon Forecast'!AF203+'[4]D4 Gallon Forecast'!AF267+'[4]D5 Gallon Forecast'!AF174+'[4]D6 Gallon Forecast'!AF228+'[4]D6 Gallon Forecast'!AF244</f>
        <v>397253574.98334891</v>
      </c>
      <c r="AG9" s="22">
        <f>'[4]D4 Gallon Forecast'!AG139+'[4]D5 Gallon Forecast'!AG126+'[4]D6 Gallon Forecast'!AG212+'[4]D4 Gallon Forecast'!AG203+'[4]D4 Gallon Forecast'!AG267+'[4]D5 Gallon Forecast'!AG174+'[4]D6 Gallon Forecast'!AG228+'[4]D6 Gallon Forecast'!AG244</f>
        <v>420069904.47767448</v>
      </c>
      <c r="AH9" s="22">
        <f>'[4]D4 Gallon Forecast'!AH139+'[4]D5 Gallon Forecast'!AH126+'[4]D6 Gallon Forecast'!AH212+'[4]D4 Gallon Forecast'!AH203+'[4]D4 Gallon Forecast'!AH267+'[4]D5 Gallon Forecast'!AH174+'[4]D6 Gallon Forecast'!AH228+'[4]D6 Gallon Forecast'!AH244</f>
        <v>443881920.50222504</v>
      </c>
      <c r="AI9" s="22">
        <f>'[4]D4 Gallon Forecast'!AI139+'[4]D5 Gallon Forecast'!AI126+'[4]D6 Gallon Forecast'!AI212+'[4]D4 Gallon Forecast'!AI203+'[4]D4 Gallon Forecast'!AI267+'[4]D5 Gallon Forecast'!AI174+'[4]D6 Gallon Forecast'!AI228+'[4]D6 Gallon Forecast'!AI244</f>
        <v>482090699.03285116</v>
      </c>
      <c r="AJ9" s="22">
        <f>'[4]D4 Gallon Forecast'!AJ139+'[4]D5 Gallon Forecast'!AJ126+'[4]D6 Gallon Forecast'!AJ212+'[4]D4 Gallon Forecast'!AJ203+'[4]D4 Gallon Forecast'!AJ267+'[4]D5 Gallon Forecast'!AJ174+'[4]D6 Gallon Forecast'!AJ228+'[4]D6 Gallon Forecast'!AJ244</f>
        <v>491625457.081756</v>
      </c>
      <c r="AK9" s="22">
        <f>'[4]D4 Gallon Forecast'!AK139+'[4]D5 Gallon Forecast'!AK126+'[4]D6 Gallon Forecast'!AK212+'[4]D4 Gallon Forecast'!AK203+'[4]D4 Gallon Forecast'!AK267+'[4]D5 Gallon Forecast'!AK174+'[4]D6 Gallon Forecast'!AK228+'[4]D6 Gallon Forecast'!AK244</f>
        <v>488850676.52981162</v>
      </c>
      <c r="AL9" s="22">
        <f>'[4]D4 Gallon Forecast'!AL139+'[4]D5 Gallon Forecast'!AL126+'[4]D6 Gallon Forecast'!AL212+'[4]D4 Gallon Forecast'!AL203+'[4]D4 Gallon Forecast'!AL267+'[4]D5 Gallon Forecast'!AL174+'[4]D6 Gallon Forecast'!AL228+'[4]D6 Gallon Forecast'!AL244</f>
        <v>466009959.69215637</v>
      </c>
      <c r="AM9" s="22">
        <f>'[4]D4 Gallon Forecast'!AM139+'[4]D5 Gallon Forecast'!AM126+'[4]D6 Gallon Forecast'!AM212+'[4]D4 Gallon Forecast'!AM203+'[4]D4 Gallon Forecast'!AM267+'[4]D5 Gallon Forecast'!AM174+'[4]D6 Gallon Forecast'!AM228+'[4]D6 Gallon Forecast'!AM244</f>
        <v>485007765.65352464</v>
      </c>
      <c r="AN9" s="22">
        <f>'[4]D4 Gallon Forecast'!AN139+'[4]D5 Gallon Forecast'!AN126+'[4]D6 Gallon Forecast'!AN212+'[4]D4 Gallon Forecast'!AN203+'[4]D4 Gallon Forecast'!AN267+'[4]D5 Gallon Forecast'!AN174+'[4]D6 Gallon Forecast'!AN228+'[4]D6 Gallon Forecast'!AN244</f>
        <v>502305119.43343747</v>
      </c>
      <c r="AO9" s="22">
        <f>'[4]D4 Gallon Forecast'!AO139+'[4]D5 Gallon Forecast'!AO126+'[4]D6 Gallon Forecast'!AO212+'[4]D4 Gallon Forecast'!AO203+'[4]D4 Gallon Forecast'!AO267+'[4]D5 Gallon Forecast'!AO174+'[4]D6 Gallon Forecast'!AO228+'[4]D6 Gallon Forecast'!AO244</f>
        <v>520353917.66559696</v>
      </c>
      <c r="AP9" s="22">
        <f>'[4]D4 Gallon Forecast'!AP139+'[4]D5 Gallon Forecast'!AP126+'[4]D6 Gallon Forecast'!AP212+'[4]D4 Gallon Forecast'!AP203+'[4]D4 Gallon Forecast'!AP267+'[4]D5 Gallon Forecast'!AP174+'[4]D6 Gallon Forecast'!AP228+'[4]D6 Gallon Forecast'!AP244</f>
        <v>542718970.10316467</v>
      </c>
      <c r="AQ9" s="22"/>
      <c r="AR9" s="22"/>
      <c r="AS9" s="22"/>
      <c r="AT9" s="24">
        <f t="shared" si="1"/>
        <v>0.4366952531250472</v>
      </c>
      <c r="AU9" s="22">
        <f t="shared" si="2"/>
        <v>103302298</v>
      </c>
      <c r="AV9" s="22">
        <f t="shared" si="4"/>
        <v>796227</v>
      </c>
      <c r="AW9" s="11">
        <f>AV9/P8</f>
        <v>2.3483315008346896E-3</v>
      </c>
      <c r="AX9" s="22">
        <f>'[4]D4 Gallon Forecast'!$DM123+'[4]D5 Gallon Forecast'!$AZ110+'[4]D6 Gallon Forecast'!$BM196</f>
        <v>6933874</v>
      </c>
      <c r="AY9" s="22">
        <f t="shared" si="0"/>
        <v>332923086</v>
      </c>
      <c r="BA9" s="25">
        <f t="shared" si="6"/>
        <v>7.6307955483870975</v>
      </c>
      <c r="BB9" s="25">
        <f t="shared" si="7"/>
        <v>3.9260997612903226</v>
      </c>
      <c r="BC9" s="24">
        <f t="shared" si="3"/>
        <v>0.94360714509180421</v>
      </c>
    </row>
    <row r="10" spans="1:55" x14ac:dyDescent="0.25">
      <c r="A10" s="20" t="s">
        <v>76</v>
      </c>
      <c r="B10" s="21">
        <f>'[4]D4 Gallon Forecast'!B140+'[4]D5 Gallon Forecast'!B127+'[4]D6 Gallon Forecast'!B213+'[4]D4 Gallon Forecast'!B204+'[4]D4 Gallon Forecast'!B268+'[4]D5 Gallon Forecast'!B175+'[4]D6 Gallon Forecast'!B229+'[4]D6 Gallon Forecast'!B245</f>
        <v>730498</v>
      </c>
      <c r="C10" s="21">
        <f>'[4]D4 Gallon Forecast'!C140+'[4]D5 Gallon Forecast'!C127+'[4]D6 Gallon Forecast'!C213+'[4]D4 Gallon Forecast'!C204+'[4]D4 Gallon Forecast'!C268+'[4]D5 Gallon Forecast'!C175+'[4]D6 Gallon Forecast'!C229+'[4]D6 Gallon Forecast'!C245</f>
        <v>8445355</v>
      </c>
      <c r="D10" s="21">
        <f>'[4]D4 Gallon Forecast'!D140+'[4]D5 Gallon Forecast'!D127+'[4]D6 Gallon Forecast'!D213+'[4]D4 Gallon Forecast'!D204+'[4]D4 Gallon Forecast'!D268+'[4]D5 Gallon Forecast'!D175+'[4]D6 Gallon Forecast'!D229+'[4]D6 Gallon Forecast'!D245</f>
        <v>6511922</v>
      </c>
      <c r="E10" s="21">
        <f>'[4]D4 Gallon Forecast'!E140+'[4]D5 Gallon Forecast'!E127+'[4]D6 Gallon Forecast'!E213+'[4]D4 Gallon Forecast'!E204+'[4]D4 Gallon Forecast'!E268+'[4]D5 Gallon Forecast'!E175+'[4]D6 Gallon Forecast'!E229+'[4]D6 Gallon Forecast'!E245</f>
        <v>53067602</v>
      </c>
      <c r="F10" s="21">
        <f>'[4]D4 Gallon Forecast'!F140+'[4]D5 Gallon Forecast'!F127+'[4]D6 Gallon Forecast'!F213+'[4]D4 Gallon Forecast'!F204+'[4]D4 Gallon Forecast'!F268+'[4]D5 Gallon Forecast'!F175+'[4]D6 Gallon Forecast'!F229+'[4]D6 Gallon Forecast'!F245</f>
        <v>20479681</v>
      </c>
      <c r="G10" s="21">
        <f>'[4]D4 Gallon Forecast'!G140+'[4]D5 Gallon Forecast'!G127+'[4]D6 Gallon Forecast'!G213+'[4]D4 Gallon Forecast'!G204+'[4]D4 Gallon Forecast'!G268+'[4]D5 Gallon Forecast'!G175+'[4]D6 Gallon Forecast'!G229+'[4]D6 Gallon Forecast'!G245</f>
        <v>41234312</v>
      </c>
      <c r="H10" s="21">
        <f>'[4]D4 Gallon Forecast'!H140+'[4]D5 Gallon Forecast'!H127+'[4]D6 Gallon Forecast'!H213+'[4]D4 Gallon Forecast'!H204+'[4]D4 Gallon Forecast'!H268+'[4]D5 Gallon Forecast'!H175+'[4]D6 Gallon Forecast'!H229+'[4]D6 Gallon Forecast'!H245</f>
        <v>56210427</v>
      </c>
      <c r="I10" s="21">
        <f>'[4]D4 Gallon Forecast'!I140+'[4]D5 Gallon Forecast'!I127+'[4]D6 Gallon Forecast'!I213+'[4]D4 Gallon Forecast'!I204+'[4]D4 Gallon Forecast'!I268+'[4]D5 Gallon Forecast'!I175+'[4]D6 Gallon Forecast'!I229+'[4]D6 Gallon Forecast'!I245</f>
        <v>49242619</v>
      </c>
      <c r="J10" s="21">
        <f>'[4]D4 Gallon Forecast'!J140+'[4]D5 Gallon Forecast'!J127+'[4]D6 Gallon Forecast'!J213+'[4]D4 Gallon Forecast'!J204+'[4]D4 Gallon Forecast'!J268+'[4]D5 Gallon Forecast'!J175+'[4]D6 Gallon Forecast'!J229+'[4]D6 Gallon Forecast'!J245</f>
        <v>44979501</v>
      </c>
      <c r="K10" s="21">
        <f>'[4]D4 Gallon Forecast'!K140+'[4]D5 Gallon Forecast'!K127+'[4]D6 Gallon Forecast'!K213+'[4]D4 Gallon Forecast'!K204+'[4]D4 Gallon Forecast'!K268+'[4]D5 Gallon Forecast'!K175+'[4]D6 Gallon Forecast'!K229+'[4]D6 Gallon Forecast'!K245</f>
        <v>62470075</v>
      </c>
      <c r="L10" s="21">
        <f>'[4]D4 Gallon Forecast'!L140+'[4]D5 Gallon Forecast'!L127+'[4]D6 Gallon Forecast'!L213+'[4]D4 Gallon Forecast'!L204+'[4]D4 Gallon Forecast'!L268+'[4]D5 Gallon Forecast'!L175+'[4]D6 Gallon Forecast'!L229+'[4]D6 Gallon Forecast'!L245</f>
        <v>70843237</v>
      </c>
      <c r="M10" s="21">
        <f>'[4]D4 Gallon Forecast'!M140+'[4]D5 Gallon Forecast'!M127+'[4]D6 Gallon Forecast'!M213+'[4]D4 Gallon Forecast'!M204+'[4]D4 Gallon Forecast'!M268+'[4]D5 Gallon Forecast'!M175+'[4]D6 Gallon Forecast'!M229+'[4]D6 Gallon Forecast'!M245</f>
        <v>116750468</v>
      </c>
      <c r="N10" s="21">
        <f>'[4]D4 Gallon Forecast'!N140+'[4]D5 Gallon Forecast'!N127+'[4]D6 Gallon Forecast'!N213+'[4]D4 Gallon Forecast'!N204+'[4]D4 Gallon Forecast'!N268+'[4]D5 Gallon Forecast'!N175+'[4]D6 Gallon Forecast'!N229+'[4]D6 Gallon Forecast'!N245</f>
        <v>143340284</v>
      </c>
      <c r="O10" s="21">
        <f>'[4]D4 Gallon Forecast'!O140+'[4]D5 Gallon Forecast'!O127+'[4]D6 Gallon Forecast'!O213+'[4]D4 Gallon Forecast'!O204+'[4]D4 Gallon Forecast'!O268+'[4]D5 Gallon Forecast'!O175+'[4]D6 Gallon Forecast'!O229+'[4]D6 Gallon Forecast'!O245</f>
        <v>261948806</v>
      </c>
      <c r="P10" s="21">
        <f>'[4]D4 Gallon Forecast'!P140+'[4]D5 Gallon Forecast'!P127+'[4]D6 Gallon Forecast'!P213+'[4]D4 Gallon Forecast'!P204+'[4]D4 Gallon Forecast'!P268+'[4]D5 Gallon Forecast'!P175+'[4]D6 Gallon Forecast'!P229+'[4]D6 Gallon Forecast'!P245</f>
        <v>283467210</v>
      </c>
      <c r="Q10" s="22">
        <f>'[4]D4 Gallon Forecast'!Q140+'[4]D5 Gallon Forecast'!Q127+'[4]D6 Gallon Forecast'!Q213+'[4]D4 Gallon Forecast'!Q204+'[4]D4 Gallon Forecast'!Q268+'[4]D5 Gallon Forecast'!Q175+'[4]D6 Gallon Forecast'!Q229+'[4]D6 Gallon Forecast'!Q245</f>
        <v>210647874.68874568</v>
      </c>
      <c r="R10" s="22">
        <f>'[4]D4 Gallon Forecast'!R140+'[4]D5 Gallon Forecast'!R127+'[4]D6 Gallon Forecast'!R213+'[4]D4 Gallon Forecast'!R204+'[4]D4 Gallon Forecast'!R268+'[4]D5 Gallon Forecast'!R175+'[4]D6 Gallon Forecast'!R229+'[4]D6 Gallon Forecast'!R245</f>
        <v>230050872.35409552</v>
      </c>
      <c r="S10" s="22">
        <f>'[4]D4 Gallon Forecast'!S140+'[4]D5 Gallon Forecast'!S127+'[4]D6 Gallon Forecast'!S213+'[4]D4 Gallon Forecast'!S204+'[4]D4 Gallon Forecast'!S268+'[4]D5 Gallon Forecast'!S175+'[4]D6 Gallon Forecast'!S229+'[4]D6 Gallon Forecast'!S245</f>
        <v>250310890.88560843</v>
      </c>
      <c r="T10" s="22">
        <f>'[4]D4 Gallon Forecast'!T140+'[4]D5 Gallon Forecast'!T127+'[4]D6 Gallon Forecast'!T213+'[4]D4 Gallon Forecast'!T204+'[4]D4 Gallon Forecast'!T268+'[4]D5 Gallon Forecast'!T175+'[4]D6 Gallon Forecast'!T229+'[4]D6 Gallon Forecast'!T245</f>
        <v>255094667.62681386</v>
      </c>
      <c r="U10" s="22">
        <f>'[4]D4 Gallon Forecast'!U140+'[4]D5 Gallon Forecast'!U127+'[4]D6 Gallon Forecast'!U213+'[4]D4 Gallon Forecast'!U204+'[4]D4 Gallon Forecast'!U268+'[4]D5 Gallon Forecast'!U175+'[4]D6 Gallon Forecast'!U229+'[4]D6 Gallon Forecast'!U245</f>
        <v>257997926.64725944</v>
      </c>
      <c r="V10" s="22">
        <f>'[4]D4 Gallon Forecast'!V140+'[4]D5 Gallon Forecast'!V127+'[4]D6 Gallon Forecast'!V213+'[4]D4 Gallon Forecast'!V204+'[4]D4 Gallon Forecast'!V268+'[4]D5 Gallon Forecast'!V175+'[4]D6 Gallon Forecast'!V229+'[4]D6 Gallon Forecast'!V245</f>
        <v>267535055.74695233</v>
      </c>
      <c r="W10" s="22">
        <f>'[4]D4 Gallon Forecast'!W140+'[4]D5 Gallon Forecast'!W127+'[4]D6 Gallon Forecast'!W213+'[4]D4 Gallon Forecast'!W204+'[4]D4 Gallon Forecast'!W268+'[4]D5 Gallon Forecast'!W175+'[4]D6 Gallon Forecast'!W229+'[4]D6 Gallon Forecast'!W245</f>
        <v>288669793.0620935</v>
      </c>
      <c r="X10" s="22">
        <f>'[4]D4 Gallon Forecast'!X140+'[4]D5 Gallon Forecast'!X127+'[4]D6 Gallon Forecast'!X213+'[4]D4 Gallon Forecast'!X204+'[4]D4 Gallon Forecast'!X268+'[4]D5 Gallon Forecast'!X175+'[4]D6 Gallon Forecast'!X229+'[4]D6 Gallon Forecast'!X245</f>
        <v>339311230.25512767</v>
      </c>
      <c r="Y10" s="22">
        <f>'[4]D4 Gallon Forecast'!Y140+'[4]D5 Gallon Forecast'!Y127+'[4]D6 Gallon Forecast'!Y213+'[4]D4 Gallon Forecast'!Y204+'[4]D4 Gallon Forecast'!Y268+'[4]D5 Gallon Forecast'!Y175+'[4]D6 Gallon Forecast'!Y229+'[4]D6 Gallon Forecast'!Y245</f>
        <v>337631491.01652855</v>
      </c>
      <c r="Z10" s="22">
        <f>'[4]D4 Gallon Forecast'!Z140+'[4]D5 Gallon Forecast'!Z127+'[4]D6 Gallon Forecast'!Z213+'[4]D4 Gallon Forecast'!Z204+'[4]D4 Gallon Forecast'!Z268+'[4]D5 Gallon Forecast'!Z175+'[4]D6 Gallon Forecast'!Z229+'[4]D6 Gallon Forecast'!Z245</f>
        <v>328534453.41172773</v>
      </c>
      <c r="AA10" s="22">
        <f>'[4]D4 Gallon Forecast'!AA140+'[4]D5 Gallon Forecast'!AA127+'[4]D6 Gallon Forecast'!AA213+'[4]D4 Gallon Forecast'!AA204+'[4]D4 Gallon Forecast'!AA268+'[4]D5 Gallon Forecast'!AA175+'[4]D6 Gallon Forecast'!AA229+'[4]D6 Gallon Forecast'!AA245</f>
        <v>347384476.8160671</v>
      </c>
      <c r="AB10" s="22">
        <f>'[4]D4 Gallon Forecast'!AB140+'[4]D5 Gallon Forecast'!AB127+'[4]D6 Gallon Forecast'!AB213+'[4]D4 Gallon Forecast'!AB204+'[4]D4 Gallon Forecast'!AB268+'[4]D5 Gallon Forecast'!AB175+'[4]D6 Gallon Forecast'!AB229+'[4]D6 Gallon Forecast'!AB245</f>
        <v>369537580.96896273</v>
      </c>
      <c r="AC10" s="22">
        <f>'[4]D4 Gallon Forecast'!AC140+'[4]D5 Gallon Forecast'!AC127+'[4]D6 Gallon Forecast'!AC213+'[4]D4 Gallon Forecast'!AC204+'[4]D4 Gallon Forecast'!AC268+'[4]D5 Gallon Forecast'!AC175+'[4]D6 Gallon Forecast'!AC229+'[4]D6 Gallon Forecast'!AC245</f>
        <v>418629440.91294432</v>
      </c>
      <c r="AD10" s="22">
        <f>'[4]D4 Gallon Forecast'!AD140+'[4]D5 Gallon Forecast'!AD127+'[4]D6 Gallon Forecast'!AD213+'[4]D4 Gallon Forecast'!AD204+'[4]D4 Gallon Forecast'!AD268+'[4]D5 Gallon Forecast'!AD175+'[4]D6 Gallon Forecast'!AD229+'[4]D6 Gallon Forecast'!AD245</f>
        <v>461629183.14412332</v>
      </c>
      <c r="AE10" s="22">
        <f>'[4]D4 Gallon Forecast'!AE140+'[4]D5 Gallon Forecast'!AE127+'[4]D6 Gallon Forecast'!AE213+'[4]D4 Gallon Forecast'!AE204+'[4]D4 Gallon Forecast'!AE268+'[4]D5 Gallon Forecast'!AE175+'[4]D6 Gallon Forecast'!AE229+'[4]D6 Gallon Forecast'!AE245</f>
        <v>463728991.83610016</v>
      </c>
      <c r="AF10" s="22">
        <f>'[4]D4 Gallon Forecast'!AF140+'[4]D5 Gallon Forecast'!AF127+'[4]D6 Gallon Forecast'!AF213+'[4]D4 Gallon Forecast'!AF204+'[4]D4 Gallon Forecast'!AF268+'[4]D5 Gallon Forecast'!AF175+'[4]D6 Gallon Forecast'!AF229+'[4]D6 Gallon Forecast'!AF245</f>
        <v>408767698.7140705</v>
      </c>
      <c r="AG10" s="22">
        <f>'[4]D4 Gallon Forecast'!AG140+'[4]D5 Gallon Forecast'!AG127+'[4]D6 Gallon Forecast'!AG213+'[4]D4 Gallon Forecast'!AG204+'[4]D4 Gallon Forecast'!AG268+'[4]D5 Gallon Forecast'!AG175+'[4]D6 Gallon Forecast'!AG229+'[4]D6 Gallon Forecast'!AG245</f>
        <v>431913604.1018517</v>
      </c>
      <c r="AH10" s="22">
        <f>'[4]D4 Gallon Forecast'!AH140+'[4]D5 Gallon Forecast'!AH127+'[4]D6 Gallon Forecast'!AH213+'[4]D4 Gallon Forecast'!AH204+'[4]D4 Gallon Forecast'!AH268+'[4]D5 Gallon Forecast'!AH175+'[4]D6 Gallon Forecast'!AH229+'[4]D6 Gallon Forecast'!AH245</f>
        <v>456389180.55600291</v>
      </c>
      <c r="AI10" s="22">
        <f>'[4]D4 Gallon Forecast'!AI140+'[4]D5 Gallon Forecast'!AI127+'[4]D6 Gallon Forecast'!AI213+'[4]D4 Gallon Forecast'!AI204+'[4]D4 Gallon Forecast'!AI268+'[4]D5 Gallon Forecast'!AI175+'[4]D6 Gallon Forecast'!AI229+'[4]D6 Gallon Forecast'!AI245</f>
        <v>495710285.59424055</v>
      </c>
      <c r="AJ10" s="22">
        <f>'[4]D4 Gallon Forecast'!AJ140+'[4]D5 Gallon Forecast'!AJ127+'[4]D6 Gallon Forecast'!AJ213+'[4]D4 Gallon Forecast'!AJ204+'[4]D4 Gallon Forecast'!AJ268+'[4]D5 Gallon Forecast'!AJ175+'[4]D6 Gallon Forecast'!AJ229+'[4]D6 Gallon Forecast'!AJ245</f>
        <v>505579832.02906829</v>
      </c>
      <c r="AK10" s="22">
        <f>'[4]D4 Gallon Forecast'!AK140+'[4]D5 Gallon Forecast'!AK127+'[4]D6 Gallon Forecast'!AK213+'[4]D4 Gallon Forecast'!AK204+'[4]D4 Gallon Forecast'!AK268+'[4]D5 Gallon Forecast'!AK175+'[4]D6 Gallon Forecast'!AK229+'[4]D6 Gallon Forecast'!AK245</f>
        <v>502735516.71593678</v>
      </c>
      <c r="AL10" s="22">
        <f>'[4]D4 Gallon Forecast'!AL140+'[4]D5 Gallon Forecast'!AL127+'[4]D6 Gallon Forecast'!AL213+'[4]D4 Gallon Forecast'!AL204+'[4]D4 Gallon Forecast'!AL268+'[4]D5 Gallon Forecast'!AL175+'[4]D6 Gallon Forecast'!AL229+'[4]D6 Gallon Forecast'!AL245</f>
        <v>479524829.03773057</v>
      </c>
      <c r="AM10" s="22">
        <f>'[4]D4 Gallon Forecast'!AM140+'[4]D5 Gallon Forecast'!AM127+'[4]D6 Gallon Forecast'!AM213+'[4]D4 Gallon Forecast'!AM204+'[4]D4 Gallon Forecast'!AM268+'[4]D5 Gallon Forecast'!AM175+'[4]D6 Gallon Forecast'!AM229+'[4]D6 Gallon Forecast'!AM245</f>
        <v>498663698.19731665</v>
      </c>
      <c r="AN10" s="22">
        <f>'[4]D4 Gallon Forecast'!AN140+'[4]D5 Gallon Forecast'!AN127+'[4]D6 Gallon Forecast'!AN213+'[4]D4 Gallon Forecast'!AN204+'[4]D4 Gallon Forecast'!AN268+'[4]D5 Gallon Forecast'!AN175+'[4]D6 Gallon Forecast'!AN229+'[4]D6 Gallon Forecast'!AN245</f>
        <v>516508203.97732037</v>
      </c>
      <c r="AO10" s="22">
        <f>'[4]D4 Gallon Forecast'!AO140+'[4]D5 Gallon Forecast'!AO127+'[4]D6 Gallon Forecast'!AO213+'[4]D4 Gallon Forecast'!AO204+'[4]D4 Gallon Forecast'!AO268+'[4]D5 Gallon Forecast'!AO175+'[4]D6 Gallon Forecast'!AO229+'[4]D6 Gallon Forecast'!AO245</f>
        <v>535104171.73410183</v>
      </c>
      <c r="AP10" s="22">
        <f>'[4]D4 Gallon Forecast'!AP140+'[4]D5 Gallon Forecast'!AP127+'[4]D6 Gallon Forecast'!AP213+'[4]D4 Gallon Forecast'!AP204+'[4]D4 Gallon Forecast'!AP268+'[4]D5 Gallon Forecast'!AP175+'[4]D6 Gallon Forecast'!AP229+'[4]D6 Gallon Forecast'!AP245</f>
        <v>557851393.41394413</v>
      </c>
      <c r="AQ10" s="22"/>
      <c r="AR10" s="22"/>
      <c r="AS10" s="22"/>
      <c r="AT10" s="24">
        <f t="shared" si="1"/>
        <v>8.2147364321256022E-2</v>
      </c>
      <c r="AU10" s="22">
        <f t="shared" si="2"/>
        <v>21518404</v>
      </c>
      <c r="AV10" s="22">
        <f t="shared" si="4"/>
        <v>-56389750</v>
      </c>
      <c r="AW10" s="11">
        <f t="shared" si="5"/>
        <v>-0.16592201024807612</v>
      </c>
      <c r="AX10" s="22">
        <f>'[4]D4 Gallon Forecast'!$DM124+'[4]D5 Gallon Forecast'!$AZ111+'[4]D6 Gallon Forecast'!$BM197</f>
        <v>8864247</v>
      </c>
      <c r="AY10" s="22">
        <f t="shared" si="0"/>
        <v>274602963</v>
      </c>
      <c r="BA10" s="25">
        <f t="shared" si="6"/>
        <v>8.4499614838709682</v>
      </c>
      <c r="BB10" s="25">
        <f t="shared" si="7"/>
        <v>4.2280830322580645</v>
      </c>
      <c r="BC10" s="24">
        <f t="shared" si="3"/>
        <v>0.99853253103171746</v>
      </c>
    </row>
    <row r="11" spans="1:55" x14ac:dyDescent="0.25">
      <c r="A11" s="20" t="s">
        <v>77</v>
      </c>
      <c r="B11" s="21">
        <f>'[4]D4 Gallon Forecast'!B141+'[4]D5 Gallon Forecast'!B128+'[4]D6 Gallon Forecast'!B214+'[4]D4 Gallon Forecast'!B205+'[4]D4 Gallon Forecast'!B269+'[4]D5 Gallon Forecast'!B176+'[4]D6 Gallon Forecast'!B230+'[4]D6 Gallon Forecast'!B246</f>
        <v>973736</v>
      </c>
      <c r="C11" s="21">
        <f>'[4]D4 Gallon Forecast'!C141+'[4]D5 Gallon Forecast'!C128+'[4]D6 Gallon Forecast'!C214+'[4]D4 Gallon Forecast'!C205+'[4]D4 Gallon Forecast'!C269+'[4]D5 Gallon Forecast'!C176+'[4]D6 Gallon Forecast'!C230+'[4]D6 Gallon Forecast'!C246</f>
        <v>5899070</v>
      </c>
      <c r="D11" s="21">
        <f>'[4]D4 Gallon Forecast'!D141+'[4]D5 Gallon Forecast'!D128+'[4]D6 Gallon Forecast'!D214+'[4]D4 Gallon Forecast'!D205+'[4]D4 Gallon Forecast'!D269+'[4]D5 Gallon Forecast'!D176+'[4]D6 Gallon Forecast'!D230+'[4]D6 Gallon Forecast'!D246</f>
        <v>12552853</v>
      </c>
      <c r="E11" s="21">
        <f>'[4]D4 Gallon Forecast'!E141+'[4]D5 Gallon Forecast'!E128+'[4]D6 Gallon Forecast'!E214+'[4]D4 Gallon Forecast'!E205+'[4]D4 Gallon Forecast'!E269+'[4]D5 Gallon Forecast'!E176+'[4]D6 Gallon Forecast'!E230+'[4]D6 Gallon Forecast'!E246</f>
        <v>48010870</v>
      </c>
      <c r="F11" s="21">
        <f>'[4]D4 Gallon Forecast'!F141+'[4]D5 Gallon Forecast'!F128+'[4]D6 Gallon Forecast'!F214+'[4]D4 Gallon Forecast'!F205+'[4]D4 Gallon Forecast'!F269+'[4]D5 Gallon Forecast'!F176+'[4]D6 Gallon Forecast'!F230+'[4]D6 Gallon Forecast'!F246</f>
        <v>17758438</v>
      </c>
      <c r="G11" s="21">
        <f>'[4]D4 Gallon Forecast'!G141+'[4]D5 Gallon Forecast'!G128+'[4]D6 Gallon Forecast'!G214+'[4]D4 Gallon Forecast'!G205+'[4]D4 Gallon Forecast'!G269+'[4]D5 Gallon Forecast'!G176+'[4]D6 Gallon Forecast'!G230+'[4]D6 Gallon Forecast'!G246</f>
        <v>34879566</v>
      </c>
      <c r="H11" s="21">
        <f>'[4]D4 Gallon Forecast'!H141+'[4]D5 Gallon Forecast'!H128+'[4]D6 Gallon Forecast'!H214+'[4]D4 Gallon Forecast'!H205+'[4]D4 Gallon Forecast'!H269+'[4]D5 Gallon Forecast'!H176+'[4]D6 Gallon Forecast'!H230+'[4]D6 Gallon Forecast'!H246</f>
        <v>46874998</v>
      </c>
      <c r="I11" s="21">
        <f>'[4]D4 Gallon Forecast'!I141+'[4]D5 Gallon Forecast'!I128+'[4]D6 Gallon Forecast'!I214+'[4]D4 Gallon Forecast'!I205+'[4]D4 Gallon Forecast'!I269+'[4]D5 Gallon Forecast'!I176+'[4]D6 Gallon Forecast'!I230+'[4]D6 Gallon Forecast'!I246</f>
        <v>50710898</v>
      </c>
      <c r="J11" s="21">
        <f>'[4]D4 Gallon Forecast'!J141+'[4]D5 Gallon Forecast'!J128+'[4]D6 Gallon Forecast'!J214+'[4]D4 Gallon Forecast'!J205+'[4]D4 Gallon Forecast'!J269+'[4]D5 Gallon Forecast'!J176+'[4]D6 Gallon Forecast'!J230+'[4]D6 Gallon Forecast'!J246</f>
        <v>54479754</v>
      </c>
      <c r="K11" s="21">
        <f>'[4]D4 Gallon Forecast'!K141+'[4]D5 Gallon Forecast'!K128+'[4]D6 Gallon Forecast'!K214+'[4]D4 Gallon Forecast'!K205+'[4]D4 Gallon Forecast'!K269+'[4]D5 Gallon Forecast'!K176+'[4]D6 Gallon Forecast'!K230+'[4]D6 Gallon Forecast'!K246</f>
        <v>70828489</v>
      </c>
      <c r="L11" s="21">
        <f>'[4]D4 Gallon Forecast'!L141+'[4]D5 Gallon Forecast'!L128+'[4]D6 Gallon Forecast'!L214+'[4]D4 Gallon Forecast'!L205+'[4]D4 Gallon Forecast'!L269+'[4]D5 Gallon Forecast'!L176+'[4]D6 Gallon Forecast'!L230+'[4]D6 Gallon Forecast'!L246</f>
        <v>105402440</v>
      </c>
      <c r="M11" s="21">
        <f>'[4]D4 Gallon Forecast'!M141+'[4]D5 Gallon Forecast'!M128+'[4]D6 Gallon Forecast'!M214+'[4]D4 Gallon Forecast'!M205+'[4]D4 Gallon Forecast'!M269+'[4]D5 Gallon Forecast'!M176+'[4]D6 Gallon Forecast'!M230+'[4]D6 Gallon Forecast'!M246</f>
        <v>107635552</v>
      </c>
      <c r="N11" s="21">
        <f>'[4]D4 Gallon Forecast'!N141+'[4]D5 Gallon Forecast'!N128+'[4]D6 Gallon Forecast'!N214+'[4]D4 Gallon Forecast'!N205+'[4]D4 Gallon Forecast'!N269+'[4]D5 Gallon Forecast'!N176+'[4]D6 Gallon Forecast'!N230+'[4]D6 Gallon Forecast'!N246</f>
        <v>165201806</v>
      </c>
      <c r="O11" s="21">
        <f>'[4]D4 Gallon Forecast'!O141+'[4]D5 Gallon Forecast'!O128+'[4]D6 Gallon Forecast'!O214+'[4]D4 Gallon Forecast'!O205+'[4]D4 Gallon Forecast'!O269+'[4]D5 Gallon Forecast'!O176+'[4]D6 Gallon Forecast'!O230+'[4]D6 Gallon Forecast'!O246</f>
        <v>248926184</v>
      </c>
      <c r="P11" s="22">
        <f>'[4]D4 Gallon Forecast'!P141+'[4]D5 Gallon Forecast'!P128+'[4]D6 Gallon Forecast'!P214+'[4]D4 Gallon Forecast'!P205+'[4]D4 Gallon Forecast'!P269+'[4]D5 Gallon Forecast'!P176+'[4]D6 Gallon Forecast'!P230+'[4]D6 Gallon Forecast'!P246</f>
        <v>300733550</v>
      </c>
      <c r="Q11" s="22">
        <f>'[4]D4 Gallon Forecast'!Q141+'[4]D5 Gallon Forecast'!Q128+'[4]D6 Gallon Forecast'!Q214+'[4]D4 Gallon Forecast'!Q205+'[4]D4 Gallon Forecast'!Q269+'[4]D5 Gallon Forecast'!Q176+'[4]D6 Gallon Forecast'!Q230+'[4]D6 Gallon Forecast'!Q246</f>
        <v>217609770.76628542</v>
      </c>
      <c r="R11" s="22">
        <f>'[4]D4 Gallon Forecast'!R141+'[4]D5 Gallon Forecast'!R128+'[4]D6 Gallon Forecast'!R214+'[4]D4 Gallon Forecast'!R205+'[4]D4 Gallon Forecast'!R269+'[4]D5 Gallon Forecast'!R176+'[4]D6 Gallon Forecast'!R230+'[4]D6 Gallon Forecast'!R246</f>
        <v>239021767.19323197</v>
      </c>
      <c r="S11" s="22">
        <f>'[4]D4 Gallon Forecast'!S141+'[4]D5 Gallon Forecast'!S128+'[4]D6 Gallon Forecast'!S214+'[4]D4 Gallon Forecast'!S205+'[4]D4 Gallon Forecast'!S269+'[4]D5 Gallon Forecast'!S176+'[4]D6 Gallon Forecast'!S230+'[4]D6 Gallon Forecast'!S246</f>
        <v>258179529.7570194</v>
      </c>
      <c r="T11" s="22">
        <f>'[4]D4 Gallon Forecast'!T141+'[4]D5 Gallon Forecast'!T128+'[4]D6 Gallon Forecast'!T214+'[4]D4 Gallon Forecast'!T205+'[4]D4 Gallon Forecast'!T269+'[4]D5 Gallon Forecast'!T176+'[4]D6 Gallon Forecast'!T230+'[4]D6 Gallon Forecast'!T246</f>
        <v>259367914.27423447</v>
      </c>
      <c r="U11" s="22">
        <f>'[4]D4 Gallon Forecast'!U141+'[4]D5 Gallon Forecast'!U128+'[4]D6 Gallon Forecast'!U214+'[4]D4 Gallon Forecast'!U205+'[4]D4 Gallon Forecast'!U269+'[4]D5 Gallon Forecast'!U176+'[4]D6 Gallon Forecast'!U230+'[4]D6 Gallon Forecast'!U246</f>
        <v>262679928.33428499</v>
      </c>
      <c r="V11" s="22">
        <f>'[4]D4 Gallon Forecast'!V141+'[4]D5 Gallon Forecast'!V128+'[4]D6 Gallon Forecast'!V214+'[4]D4 Gallon Forecast'!V205+'[4]D4 Gallon Forecast'!V269+'[4]D5 Gallon Forecast'!V176+'[4]D6 Gallon Forecast'!V230+'[4]D6 Gallon Forecast'!V246</f>
        <v>273617110.84822357</v>
      </c>
      <c r="W11" s="22">
        <f>'[4]D4 Gallon Forecast'!W141+'[4]D5 Gallon Forecast'!W128+'[4]D6 Gallon Forecast'!W214+'[4]D4 Gallon Forecast'!W205+'[4]D4 Gallon Forecast'!W269+'[4]D5 Gallon Forecast'!W176+'[4]D6 Gallon Forecast'!W230+'[4]D6 Gallon Forecast'!W246</f>
        <v>294907916.29306197</v>
      </c>
      <c r="X11" s="22">
        <f>'[4]D4 Gallon Forecast'!X141+'[4]D5 Gallon Forecast'!X128+'[4]D6 Gallon Forecast'!X214+'[4]D4 Gallon Forecast'!X205+'[4]D4 Gallon Forecast'!X269+'[4]D5 Gallon Forecast'!X176+'[4]D6 Gallon Forecast'!X230+'[4]D6 Gallon Forecast'!X246</f>
        <v>345646902.42543221</v>
      </c>
      <c r="Y11" s="22">
        <f>'[4]D4 Gallon Forecast'!Y141+'[4]D5 Gallon Forecast'!Y128+'[4]D6 Gallon Forecast'!Y214+'[4]D4 Gallon Forecast'!Y205+'[4]D4 Gallon Forecast'!Y269+'[4]D5 Gallon Forecast'!Y176+'[4]D6 Gallon Forecast'!Y230+'[4]D6 Gallon Forecast'!Y246</f>
        <v>343489857.476825</v>
      </c>
      <c r="Z11" s="22">
        <f>'[4]D4 Gallon Forecast'!Z141+'[4]D5 Gallon Forecast'!Z128+'[4]D6 Gallon Forecast'!Z214+'[4]D4 Gallon Forecast'!Z205+'[4]D4 Gallon Forecast'!Z269+'[4]D5 Gallon Forecast'!Z176+'[4]D6 Gallon Forecast'!Z230+'[4]D6 Gallon Forecast'!Z246</f>
        <v>334277044.08317661</v>
      </c>
      <c r="AA11" s="22">
        <f>'[4]D4 Gallon Forecast'!AA141+'[4]D5 Gallon Forecast'!AA128+'[4]D6 Gallon Forecast'!AA214+'[4]D4 Gallon Forecast'!AA205+'[4]D4 Gallon Forecast'!AA269+'[4]D5 Gallon Forecast'!AA176+'[4]D6 Gallon Forecast'!AA230+'[4]D6 Gallon Forecast'!AA246</f>
        <v>353531773.21881986</v>
      </c>
      <c r="AB11" s="22">
        <f>'[4]D4 Gallon Forecast'!AB141+'[4]D5 Gallon Forecast'!AB128+'[4]D6 Gallon Forecast'!AB214+'[4]D4 Gallon Forecast'!AB205+'[4]D4 Gallon Forecast'!AB269+'[4]D5 Gallon Forecast'!AB176+'[4]D6 Gallon Forecast'!AB230+'[4]D6 Gallon Forecast'!AB246</f>
        <v>375040479.75800812</v>
      </c>
      <c r="AC11" s="22">
        <f>'[4]D4 Gallon Forecast'!AC141+'[4]D5 Gallon Forecast'!AC128+'[4]D6 Gallon Forecast'!AC214+'[4]D4 Gallon Forecast'!AC205+'[4]D4 Gallon Forecast'!AC269+'[4]D5 Gallon Forecast'!AC176+'[4]D6 Gallon Forecast'!AC230+'[4]D6 Gallon Forecast'!AC246</f>
        <v>424603779.14253545</v>
      </c>
      <c r="AD11" s="22">
        <f>'[4]D4 Gallon Forecast'!AD141+'[4]D5 Gallon Forecast'!AD128+'[4]D6 Gallon Forecast'!AD214+'[4]D4 Gallon Forecast'!AD205+'[4]D4 Gallon Forecast'!AD269+'[4]D5 Gallon Forecast'!AD176+'[4]D6 Gallon Forecast'!AD230+'[4]D6 Gallon Forecast'!AD246</f>
        <v>468101896.88304025</v>
      </c>
      <c r="AE11" s="22">
        <f>'[4]D4 Gallon Forecast'!AE141+'[4]D5 Gallon Forecast'!AE128+'[4]D6 Gallon Forecast'!AE214+'[4]D4 Gallon Forecast'!AE205+'[4]D4 Gallon Forecast'!AE269+'[4]D5 Gallon Forecast'!AE176+'[4]D6 Gallon Forecast'!AE230+'[4]D6 Gallon Forecast'!AE246</f>
        <v>470087320.41725022</v>
      </c>
      <c r="AF11" s="22">
        <f>'[4]D4 Gallon Forecast'!AF141+'[4]D5 Gallon Forecast'!AF128+'[4]D6 Gallon Forecast'!AF214+'[4]D4 Gallon Forecast'!AF205+'[4]D4 Gallon Forecast'!AF269+'[4]D5 Gallon Forecast'!AF176+'[4]D6 Gallon Forecast'!AF230+'[4]D6 Gallon Forecast'!AF246</f>
        <v>414167515.29276246</v>
      </c>
      <c r="AG11" s="22">
        <f>'[4]D4 Gallon Forecast'!AG141+'[4]D5 Gallon Forecast'!AG128+'[4]D6 Gallon Forecast'!AG214+'[4]D4 Gallon Forecast'!AG205+'[4]D4 Gallon Forecast'!AG269+'[4]D5 Gallon Forecast'!AG176+'[4]D6 Gallon Forecast'!AG230+'[4]D6 Gallon Forecast'!AG246</f>
        <v>437702526.67352605</v>
      </c>
      <c r="AH11" s="22">
        <f>'[4]D4 Gallon Forecast'!AH141+'[4]D5 Gallon Forecast'!AH128+'[4]D6 Gallon Forecast'!AH214+'[4]D4 Gallon Forecast'!AH205+'[4]D4 Gallon Forecast'!AH269+'[4]D5 Gallon Forecast'!AH176+'[4]D6 Gallon Forecast'!AH230+'[4]D6 Gallon Forecast'!AH246</f>
        <v>462473238.56213021</v>
      </c>
      <c r="AI11" s="22">
        <f>'[4]D4 Gallon Forecast'!AI141+'[4]D5 Gallon Forecast'!AI128+'[4]D6 Gallon Forecast'!AI214+'[4]D4 Gallon Forecast'!AI205+'[4]D4 Gallon Forecast'!AI269+'[4]D5 Gallon Forecast'!AI176+'[4]D6 Gallon Forecast'!AI230+'[4]D6 Gallon Forecast'!AI246</f>
        <v>502294633.86094314</v>
      </c>
      <c r="AJ11" s="22">
        <f>'[4]D4 Gallon Forecast'!AJ141+'[4]D5 Gallon Forecast'!AJ128+'[4]D6 Gallon Forecast'!AJ214+'[4]D4 Gallon Forecast'!AJ205+'[4]D4 Gallon Forecast'!AJ269+'[4]D5 Gallon Forecast'!AJ176+'[4]D6 Gallon Forecast'!AJ230+'[4]D6 Gallon Forecast'!AJ246</f>
        <v>512286606.16267657</v>
      </c>
      <c r="AK11" s="22">
        <f>'[4]D4 Gallon Forecast'!AK141+'[4]D5 Gallon Forecast'!AK128+'[4]D6 Gallon Forecast'!AK214+'[4]D4 Gallon Forecast'!AK205+'[4]D4 Gallon Forecast'!AK269+'[4]D5 Gallon Forecast'!AK176+'[4]D6 Gallon Forecast'!AK230+'[4]D6 Gallon Forecast'!AK246</f>
        <v>509399483.73352414</v>
      </c>
      <c r="AL11" s="22">
        <f>'[4]D4 Gallon Forecast'!AL141+'[4]D5 Gallon Forecast'!AL128+'[4]D6 Gallon Forecast'!AL214+'[4]D4 Gallon Forecast'!AL205+'[4]D4 Gallon Forecast'!AL269+'[4]D5 Gallon Forecast'!AL176+'[4]D6 Gallon Forecast'!AL230+'[4]D6 Gallon Forecast'!AL246</f>
        <v>485767278.25932157</v>
      </c>
      <c r="AM11" s="22">
        <f>'[4]D4 Gallon Forecast'!AM141+'[4]D5 Gallon Forecast'!AM128+'[4]D6 Gallon Forecast'!AM214+'[4]D4 Gallon Forecast'!AM205+'[4]D4 Gallon Forecast'!AM269+'[4]D5 Gallon Forecast'!AM176+'[4]D6 Gallon Forecast'!AM230+'[4]D6 Gallon Forecast'!AM246</f>
        <v>505304071.56039685</v>
      </c>
      <c r="AN11" s="22">
        <f>'[4]D4 Gallon Forecast'!AN141+'[4]D5 Gallon Forecast'!AN128+'[4]D6 Gallon Forecast'!AN214+'[4]D4 Gallon Forecast'!AN205+'[4]D4 Gallon Forecast'!AN269+'[4]D5 Gallon Forecast'!AN176+'[4]D6 Gallon Forecast'!AN230+'[4]D6 Gallon Forecast'!AN246</f>
        <v>523361533.26896346</v>
      </c>
      <c r="AO11" s="22">
        <f>'[4]D4 Gallon Forecast'!AO141+'[4]D5 Gallon Forecast'!AO128+'[4]D6 Gallon Forecast'!AO214+'[4]D4 Gallon Forecast'!AO205+'[4]D4 Gallon Forecast'!AO269+'[4]D5 Gallon Forecast'!AO176+'[4]D6 Gallon Forecast'!AO230+'[4]D6 Gallon Forecast'!AO246</f>
        <v>542197731.45804656</v>
      </c>
      <c r="AP11" s="22">
        <f>'[4]D4 Gallon Forecast'!AP141+'[4]D5 Gallon Forecast'!AP128+'[4]D6 Gallon Forecast'!AP214+'[4]D4 Gallon Forecast'!AP205+'[4]D4 Gallon Forecast'!AP269+'[4]D5 Gallon Forecast'!AP176+'[4]D6 Gallon Forecast'!AP230+'[4]D6 Gallon Forecast'!AP246</f>
        <v>565333277.07292926</v>
      </c>
      <c r="AQ11" s="22"/>
      <c r="AR11" s="22"/>
      <c r="AS11" s="22"/>
      <c r="AT11" s="24">
        <f t="shared" si="1"/>
        <v>0.20812340898617565</v>
      </c>
      <c r="AU11" s="22">
        <f t="shared" si="2"/>
        <v>51807366</v>
      </c>
      <c r="AV11" s="22">
        <f t="shared" si="4"/>
        <v>17266340</v>
      </c>
      <c r="AW11" s="11">
        <f t="shared" si="5"/>
        <v>6.0911242608977595E-2</v>
      </c>
      <c r="AX11" s="22">
        <f>'[4]D4 Gallon Forecast'!$DM125+'[4]D5 Gallon Forecast'!$AZ112+'[4]D6 Gallon Forecast'!$BM198</f>
        <v>6288031.8575616498</v>
      </c>
      <c r="AY11" s="22">
        <f t="shared" si="0"/>
        <v>294445518.14243835</v>
      </c>
      <c r="AZ11" s="21"/>
      <c r="BA11" s="25">
        <f>O11/30/1000000</f>
        <v>8.2975394666666666</v>
      </c>
      <c r="BB11" s="25">
        <f>AVERAGE(K11:O11)/30/1000000</f>
        <v>4.6532964733333326</v>
      </c>
      <c r="BC11" s="24">
        <f t="shared" si="3"/>
        <v>0.78315297858570032</v>
      </c>
    </row>
    <row r="12" spans="1:55" x14ac:dyDescent="0.25">
      <c r="A12" s="20" t="s">
        <v>78</v>
      </c>
      <c r="B12" s="21">
        <f>'[4]D4 Gallon Forecast'!B142+'[4]D5 Gallon Forecast'!B129+'[4]D6 Gallon Forecast'!B215+'[4]D4 Gallon Forecast'!B206+'[4]D4 Gallon Forecast'!B270+'[4]D5 Gallon Forecast'!B177+'[4]D6 Gallon Forecast'!B231+'[4]D6 Gallon Forecast'!B247</f>
        <v>1453856</v>
      </c>
      <c r="C12" s="21">
        <f>'[4]D4 Gallon Forecast'!C142+'[4]D5 Gallon Forecast'!C129+'[4]D6 Gallon Forecast'!C215+'[4]D4 Gallon Forecast'!C206+'[4]D4 Gallon Forecast'!C270+'[4]D5 Gallon Forecast'!C177+'[4]D6 Gallon Forecast'!C231+'[4]D6 Gallon Forecast'!C247</f>
        <v>6918026</v>
      </c>
      <c r="D12" s="21">
        <f>'[4]D4 Gallon Forecast'!D142+'[4]D5 Gallon Forecast'!D129+'[4]D6 Gallon Forecast'!D215+'[4]D4 Gallon Forecast'!D206+'[4]D4 Gallon Forecast'!D270+'[4]D5 Gallon Forecast'!D177+'[4]D6 Gallon Forecast'!D231+'[4]D6 Gallon Forecast'!D247</f>
        <v>16571869</v>
      </c>
      <c r="E12" s="21">
        <f>'[4]D4 Gallon Forecast'!E142+'[4]D5 Gallon Forecast'!E129+'[4]D6 Gallon Forecast'!E215+'[4]D4 Gallon Forecast'!E206+'[4]D4 Gallon Forecast'!E270+'[4]D5 Gallon Forecast'!E177+'[4]D6 Gallon Forecast'!E231+'[4]D6 Gallon Forecast'!E247</f>
        <v>56019108</v>
      </c>
      <c r="F12" s="21">
        <f>'[4]D4 Gallon Forecast'!F142+'[4]D5 Gallon Forecast'!F129+'[4]D6 Gallon Forecast'!F215+'[4]D4 Gallon Forecast'!F206+'[4]D4 Gallon Forecast'!F270+'[4]D5 Gallon Forecast'!F177+'[4]D6 Gallon Forecast'!F231+'[4]D6 Gallon Forecast'!F247</f>
        <v>28418857</v>
      </c>
      <c r="G12" s="21">
        <f>'[4]D4 Gallon Forecast'!G142+'[4]D5 Gallon Forecast'!G129+'[4]D6 Gallon Forecast'!G215+'[4]D4 Gallon Forecast'!G206+'[4]D4 Gallon Forecast'!G270+'[4]D5 Gallon Forecast'!G177+'[4]D6 Gallon Forecast'!G231+'[4]D6 Gallon Forecast'!G247</f>
        <v>41079368</v>
      </c>
      <c r="H12" s="21">
        <f>'[4]D4 Gallon Forecast'!H142+'[4]D5 Gallon Forecast'!H129+'[4]D6 Gallon Forecast'!H215+'[4]D4 Gallon Forecast'!H206+'[4]D4 Gallon Forecast'!H270+'[4]D5 Gallon Forecast'!H177+'[4]D6 Gallon Forecast'!H231+'[4]D6 Gallon Forecast'!H247</f>
        <v>42187106</v>
      </c>
      <c r="I12" s="21">
        <f>'[4]D4 Gallon Forecast'!I142+'[4]D5 Gallon Forecast'!I129+'[4]D6 Gallon Forecast'!I215+'[4]D4 Gallon Forecast'!I206+'[4]D4 Gallon Forecast'!I270+'[4]D5 Gallon Forecast'!I177+'[4]D6 Gallon Forecast'!I231+'[4]D6 Gallon Forecast'!I247</f>
        <v>53849132</v>
      </c>
      <c r="J12" s="21">
        <f>'[4]D4 Gallon Forecast'!J142+'[4]D5 Gallon Forecast'!J129+'[4]D6 Gallon Forecast'!J215+'[4]D4 Gallon Forecast'!J206+'[4]D4 Gallon Forecast'!J270+'[4]D5 Gallon Forecast'!J177+'[4]D6 Gallon Forecast'!J231+'[4]D6 Gallon Forecast'!J247</f>
        <v>48668916</v>
      </c>
      <c r="K12" s="21">
        <f>'[4]D4 Gallon Forecast'!K142+'[4]D5 Gallon Forecast'!K129+'[4]D6 Gallon Forecast'!K215+'[4]D4 Gallon Forecast'!K206+'[4]D4 Gallon Forecast'!K270+'[4]D5 Gallon Forecast'!K177+'[4]D6 Gallon Forecast'!K231+'[4]D6 Gallon Forecast'!K247</f>
        <v>90132484</v>
      </c>
      <c r="L12" s="21">
        <f>'[4]D4 Gallon Forecast'!L142+'[4]D5 Gallon Forecast'!L129+'[4]D6 Gallon Forecast'!L215+'[4]D4 Gallon Forecast'!L206+'[4]D4 Gallon Forecast'!L270+'[4]D5 Gallon Forecast'!L177+'[4]D6 Gallon Forecast'!L231+'[4]D6 Gallon Forecast'!L247</f>
        <v>54986787</v>
      </c>
      <c r="M12" s="21">
        <f>'[4]D4 Gallon Forecast'!M142+'[4]D5 Gallon Forecast'!M129+'[4]D6 Gallon Forecast'!M215+'[4]D4 Gallon Forecast'!M206+'[4]D4 Gallon Forecast'!M270+'[4]D5 Gallon Forecast'!M177+'[4]D6 Gallon Forecast'!M231+'[4]D6 Gallon Forecast'!M247</f>
        <v>119979605</v>
      </c>
      <c r="N12" s="21">
        <f>'[4]D4 Gallon Forecast'!N142+'[4]D5 Gallon Forecast'!N129+'[4]D6 Gallon Forecast'!N215+'[4]D4 Gallon Forecast'!N206+'[4]D4 Gallon Forecast'!N270+'[4]D5 Gallon Forecast'!N177+'[4]D6 Gallon Forecast'!N231+'[4]D6 Gallon Forecast'!N247</f>
        <v>151498690</v>
      </c>
      <c r="O12" s="21">
        <f>'[4]D4 Gallon Forecast'!O142+'[4]D5 Gallon Forecast'!O129+'[4]D6 Gallon Forecast'!O215+'[4]D4 Gallon Forecast'!O206+'[4]D4 Gallon Forecast'!O270+'[4]D5 Gallon Forecast'!O177+'[4]D6 Gallon Forecast'!O231+'[4]D6 Gallon Forecast'!O247</f>
        <v>267606156</v>
      </c>
      <c r="P12" s="22">
        <f>'[4]D4 Gallon Forecast'!P142+'[4]D5 Gallon Forecast'!P129+'[4]D6 Gallon Forecast'!P215+'[4]D4 Gallon Forecast'!P206+'[4]D4 Gallon Forecast'!P270+'[4]D5 Gallon Forecast'!P177+'[4]D6 Gallon Forecast'!P231+'[4]D6 Gallon Forecast'!P247</f>
        <v>307086568</v>
      </c>
      <c r="Q12" s="22">
        <f>'[4]D4 Gallon Forecast'!Q142+'[4]D5 Gallon Forecast'!Q129+'[4]D6 Gallon Forecast'!Q215+'[4]D4 Gallon Forecast'!Q206+'[4]D4 Gallon Forecast'!Q270+'[4]D5 Gallon Forecast'!Q177+'[4]D6 Gallon Forecast'!Q231+'[4]D6 Gallon Forecast'!Q247</f>
        <v>235325409.69246495</v>
      </c>
      <c r="R12" s="22">
        <f>'[4]D4 Gallon Forecast'!R142+'[4]D5 Gallon Forecast'!R129+'[4]D6 Gallon Forecast'!R215+'[4]D4 Gallon Forecast'!R206+'[4]D4 Gallon Forecast'!R270+'[4]D5 Gallon Forecast'!R177+'[4]D6 Gallon Forecast'!R231+'[4]D6 Gallon Forecast'!R247</f>
        <v>263267199.20194155</v>
      </c>
      <c r="S12" s="22">
        <f>'[4]D4 Gallon Forecast'!S142+'[4]D5 Gallon Forecast'!S129+'[4]D6 Gallon Forecast'!S215+'[4]D4 Gallon Forecast'!S206+'[4]D4 Gallon Forecast'!S270+'[4]D5 Gallon Forecast'!S177+'[4]D6 Gallon Forecast'!S231+'[4]D6 Gallon Forecast'!S247</f>
        <v>285438232.06946152</v>
      </c>
      <c r="T12" s="22">
        <f>'[4]D4 Gallon Forecast'!T142+'[4]D5 Gallon Forecast'!T129+'[4]D6 Gallon Forecast'!T215+'[4]D4 Gallon Forecast'!T206+'[4]D4 Gallon Forecast'!T270+'[4]D5 Gallon Forecast'!T177+'[4]D6 Gallon Forecast'!T231+'[4]D6 Gallon Forecast'!T247</f>
        <v>288614065.94489086</v>
      </c>
      <c r="U12" s="22">
        <f>'[4]D4 Gallon Forecast'!U142+'[4]D5 Gallon Forecast'!U129+'[4]D6 Gallon Forecast'!U215+'[4]D4 Gallon Forecast'!U206+'[4]D4 Gallon Forecast'!U270+'[4]D5 Gallon Forecast'!U177+'[4]D6 Gallon Forecast'!U231+'[4]D6 Gallon Forecast'!U247</f>
        <v>286889006.72262114</v>
      </c>
      <c r="V12" s="22">
        <f>'[4]D4 Gallon Forecast'!V142+'[4]D5 Gallon Forecast'!V129+'[4]D6 Gallon Forecast'!V215+'[4]D4 Gallon Forecast'!V206+'[4]D4 Gallon Forecast'!V270+'[4]D5 Gallon Forecast'!V177+'[4]D6 Gallon Forecast'!V231+'[4]D6 Gallon Forecast'!V247</f>
        <v>299701793.98706734</v>
      </c>
      <c r="W12" s="22">
        <f>'[4]D4 Gallon Forecast'!W142+'[4]D5 Gallon Forecast'!W129+'[4]D6 Gallon Forecast'!W215+'[4]D4 Gallon Forecast'!W206+'[4]D4 Gallon Forecast'!W270+'[4]D5 Gallon Forecast'!W177+'[4]D6 Gallon Forecast'!W231+'[4]D6 Gallon Forecast'!W247</f>
        <v>323499176.5552029</v>
      </c>
      <c r="X12" s="22">
        <f>'[4]D4 Gallon Forecast'!X142+'[4]D5 Gallon Forecast'!X129+'[4]D6 Gallon Forecast'!X215+'[4]D4 Gallon Forecast'!X206+'[4]D4 Gallon Forecast'!X270+'[4]D5 Gallon Forecast'!X177+'[4]D6 Gallon Forecast'!X231+'[4]D6 Gallon Forecast'!X247</f>
        <v>378675495.87892699</v>
      </c>
      <c r="Y12" s="22">
        <f>'[4]D4 Gallon Forecast'!Y142+'[4]D5 Gallon Forecast'!Y129+'[4]D6 Gallon Forecast'!Y215+'[4]D4 Gallon Forecast'!Y206+'[4]D4 Gallon Forecast'!Y270+'[4]D5 Gallon Forecast'!Y177+'[4]D6 Gallon Forecast'!Y231+'[4]D6 Gallon Forecast'!Y247</f>
        <v>376023532.78426611</v>
      </c>
      <c r="Z12" s="22">
        <f>'[4]D4 Gallon Forecast'!Z142+'[4]D5 Gallon Forecast'!Z129+'[4]D6 Gallon Forecast'!Z215+'[4]D4 Gallon Forecast'!Z206+'[4]D4 Gallon Forecast'!Z270+'[4]D5 Gallon Forecast'!Z177+'[4]D6 Gallon Forecast'!Z231+'[4]D6 Gallon Forecast'!Z247</f>
        <v>365104649.45487183</v>
      </c>
      <c r="AA12" s="22">
        <f>'[4]D4 Gallon Forecast'!AA142+'[4]D5 Gallon Forecast'!AA129+'[4]D6 Gallon Forecast'!AA215+'[4]D4 Gallon Forecast'!AA206+'[4]D4 Gallon Forecast'!AA270+'[4]D5 Gallon Forecast'!AA177+'[4]D6 Gallon Forecast'!AA231+'[4]D6 Gallon Forecast'!AA247</f>
        <v>386260816.1783542</v>
      </c>
      <c r="AB12" s="22">
        <f>'[4]D4 Gallon Forecast'!AB142+'[4]D5 Gallon Forecast'!AB129+'[4]D6 Gallon Forecast'!AB215+'[4]D4 Gallon Forecast'!AB206+'[4]D4 Gallon Forecast'!AB270+'[4]D5 Gallon Forecast'!AB177+'[4]D6 Gallon Forecast'!AB231+'[4]D6 Gallon Forecast'!AB247</f>
        <v>408750956.98295408</v>
      </c>
      <c r="AC12" s="22">
        <f>'[4]D4 Gallon Forecast'!AC142+'[4]D5 Gallon Forecast'!AC129+'[4]D6 Gallon Forecast'!AC215+'[4]D4 Gallon Forecast'!AC206+'[4]D4 Gallon Forecast'!AC270+'[4]D5 Gallon Forecast'!AC177+'[4]D6 Gallon Forecast'!AC231+'[4]D6 Gallon Forecast'!AC247</f>
        <v>462614328.66016871</v>
      </c>
      <c r="AD12" s="22">
        <f>'[4]D4 Gallon Forecast'!AD142+'[4]D5 Gallon Forecast'!AD129+'[4]D6 Gallon Forecast'!AD215+'[4]D4 Gallon Forecast'!AD206+'[4]D4 Gallon Forecast'!AD270+'[4]D5 Gallon Forecast'!AD177+'[4]D6 Gallon Forecast'!AD231+'[4]D6 Gallon Forecast'!AD247</f>
        <v>509915539.77742982</v>
      </c>
      <c r="AE12" s="22">
        <f>'[4]D4 Gallon Forecast'!AE142+'[4]D5 Gallon Forecast'!AE129+'[4]D6 Gallon Forecast'!AE215+'[4]D4 Gallon Forecast'!AE206+'[4]D4 Gallon Forecast'!AE270+'[4]D5 Gallon Forecast'!AE177+'[4]D6 Gallon Forecast'!AE231+'[4]D6 Gallon Forecast'!AE247</f>
        <v>511495568.88058114</v>
      </c>
      <c r="AF12" s="22">
        <f>'[4]D4 Gallon Forecast'!AF142+'[4]D5 Gallon Forecast'!AF129+'[4]D6 Gallon Forecast'!AF215+'[4]D4 Gallon Forecast'!AF206+'[4]D4 Gallon Forecast'!AF270+'[4]D5 Gallon Forecast'!AF177+'[4]D6 Gallon Forecast'!AF231+'[4]D6 Gallon Forecast'!AF247</f>
        <v>450117940.52021897</v>
      </c>
      <c r="AG12" s="22">
        <f>'[4]D4 Gallon Forecast'!AG142+'[4]D5 Gallon Forecast'!AG129+'[4]D6 Gallon Forecast'!AG215+'[4]D4 Gallon Forecast'!AG206+'[4]D4 Gallon Forecast'!AG270+'[4]D5 Gallon Forecast'!AG177+'[4]D6 Gallon Forecast'!AG231+'[4]D6 Gallon Forecast'!AG247</f>
        <v>475981700.00042826</v>
      </c>
      <c r="AH12" s="22">
        <f>'[4]D4 Gallon Forecast'!AH142+'[4]D5 Gallon Forecast'!AH129+'[4]D6 Gallon Forecast'!AH215+'[4]D4 Gallon Forecast'!AH206+'[4]D4 Gallon Forecast'!AH270+'[4]D5 Gallon Forecast'!AH177+'[4]D6 Gallon Forecast'!AH231+'[4]D6 Gallon Forecast'!AH247</f>
        <v>502914899.89994818</v>
      </c>
      <c r="AI12" s="22">
        <f>'[4]D4 Gallon Forecast'!AI142+'[4]D5 Gallon Forecast'!AI129+'[4]D6 Gallon Forecast'!AI215+'[4]D4 Gallon Forecast'!AI206+'[4]D4 Gallon Forecast'!AI270+'[4]D5 Gallon Forecast'!AI177+'[4]D6 Gallon Forecast'!AI231+'[4]D6 Gallon Forecast'!AI247</f>
        <v>546189245.36868382</v>
      </c>
      <c r="AJ12" s="22">
        <f>'[4]D4 Gallon Forecast'!AJ142+'[4]D5 Gallon Forecast'!AJ129+'[4]D6 Gallon Forecast'!AJ215+'[4]D4 Gallon Forecast'!AJ206+'[4]D4 Gallon Forecast'!AJ270+'[4]D5 Gallon Forecast'!AJ177+'[4]D6 Gallon Forecast'!AJ231+'[4]D6 Gallon Forecast'!AJ247</f>
        <v>556996046.85844159</v>
      </c>
      <c r="AK12" s="22">
        <f>'[4]D4 Gallon Forecast'!AK142+'[4]D5 Gallon Forecast'!AK129+'[4]D6 Gallon Forecast'!AK215+'[4]D4 Gallon Forecast'!AK206+'[4]D4 Gallon Forecast'!AK270+'[4]D5 Gallon Forecast'!AK177+'[4]D6 Gallon Forecast'!AK231+'[4]D6 Gallon Forecast'!AK247</f>
        <v>553855433.15722799</v>
      </c>
      <c r="AL12" s="22">
        <f>'[4]D4 Gallon Forecast'!AL142+'[4]D5 Gallon Forecast'!AL129+'[4]D6 Gallon Forecast'!AL215+'[4]D4 Gallon Forecast'!AL206+'[4]D4 Gallon Forecast'!AL270+'[4]D5 Gallon Forecast'!AL177+'[4]D6 Gallon Forecast'!AL231+'[4]D6 Gallon Forecast'!AL247</f>
        <v>527922415.46507359</v>
      </c>
      <c r="AM12" s="22">
        <f>'[4]D4 Gallon Forecast'!AM142+'[4]D5 Gallon Forecast'!AM129+'[4]D6 Gallon Forecast'!AM215+'[4]D4 Gallon Forecast'!AM206+'[4]D4 Gallon Forecast'!AM270+'[4]D5 Gallon Forecast'!AM177+'[4]D6 Gallon Forecast'!AM231+'[4]D6 Gallon Forecast'!AM247</f>
        <v>549501815.91311133</v>
      </c>
      <c r="AN12" s="22">
        <f>'[4]D4 Gallon Forecast'!AN142+'[4]D5 Gallon Forecast'!AN129+'[4]D6 Gallon Forecast'!AN215+'[4]D4 Gallon Forecast'!AN206+'[4]D4 Gallon Forecast'!AN270+'[4]D5 Gallon Forecast'!AN177+'[4]D6 Gallon Forecast'!AN231+'[4]D6 Gallon Forecast'!AN247</f>
        <v>569088098.9731499</v>
      </c>
      <c r="AO12" s="22">
        <f>'[4]D4 Gallon Forecast'!AO142+'[4]D5 Gallon Forecast'!AO129+'[4]D6 Gallon Forecast'!AO215+'[4]D4 Gallon Forecast'!AO206+'[4]D4 Gallon Forecast'!AO270+'[4]D5 Gallon Forecast'!AO177+'[4]D6 Gallon Forecast'!AO231+'[4]D6 Gallon Forecast'!AO247</f>
        <v>589537400.19810355</v>
      </c>
      <c r="AP12" s="22">
        <f>'[4]D4 Gallon Forecast'!AP142+'[4]D5 Gallon Forecast'!AP129+'[4]D6 Gallon Forecast'!AP215+'[4]D4 Gallon Forecast'!AP206+'[4]D4 Gallon Forecast'!AP270+'[4]D5 Gallon Forecast'!AP177+'[4]D6 Gallon Forecast'!AP231+'[4]D6 Gallon Forecast'!AP247</f>
        <v>614910801.86172855</v>
      </c>
      <c r="AQ12" s="22"/>
      <c r="AR12" s="22"/>
      <c r="AS12" s="22"/>
      <c r="AT12" s="24">
        <f t="shared" si="1"/>
        <v>0.14753177800588424</v>
      </c>
      <c r="AU12" s="22">
        <f t="shared" si="2"/>
        <v>39480412</v>
      </c>
      <c r="AV12" s="22">
        <f t="shared" si="4"/>
        <v>6353018</v>
      </c>
      <c r="AW12" s="11">
        <f t="shared" si="5"/>
        <v>2.1125072343940343E-2</v>
      </c>
      <c r="AX12" s="22">
        <f>'[4]D4 Gallon Forecast'!$DM126+'[4]D5 Gallon Forecast'!$AZ113+'[4]D6 Gallon Forecast'!$BM199</f>
        <v>6308064.7784051979</v>
      </c>
      <c r="AY12" s="22">
        <f t="shared" si="0"/>
        <v>300778503.22159481</v>
      </c>
      <c r="BA12" s="25">
        <f t="shared" si="6"/>
        <v>8.6324566451612892</v>
      </c>
      <c r="BB12" s="25">
        <f t="shared" si="7"/>
        <v>4.4142175612903225</v>
      </c>
      <c r="BC12" s="24">
        <f t="shared" si="3"/>
        <v>0.95560289571181234</v>
      </c>
    </row>
    <row r="13" spans="1:55" x14ac:dyDescent="0.25">
      <c r="A13" s="20" t="s">
        <v>79</v>
      </c>
      <c r="B13" s="21">
        <f>'[4]D4 Gallon Forecast'!B143+'[4]D5 Gallon Forecast'!B130+'[4]D6 Gallon Forecast'!B216+'[4]D4 Gallon Forecast'!B207+'[4]D4 Gallon Forecast'!B271+'[4]D5 Gallon Forecast'!B178+'[4]D6 Gallon Forecast'!B232+'[4]D6 Gallon Forecast'!B248</f>
        <v>2233776</v>
      </c>
      <c r="C13" s="21">
        <f>'[4]D4 Gallon Forecast'!C143+'[4]D5 Gallon Forecast'!C130+'[4]D6 Gallon Forecast'!C216+'[4]D4 Gallon Forecast'!C207+'[4]D4 Gallon Forecast'!C271+'[4]D5 Gallon Forecast'!C178+'[4]D6 Gallon Forecast'!C232+'[4]D6 Gallon Forecast'!C248</f>
        <v>5233920</v>
      </c>
      <c r="D13" s="21">
        <f>'[4]D4 Gallon Forecast'!D143+'[4]D5 Gallon Forecast'!D130+'[4]D6 Gallon Forecast'!D216+'[4]D4 Gallon Forecast'!D207+'[4]D4 Gallon Forecast'!D271+'[4]D5 Gallon Forecast'!D178+'[4]D6 Gallon Forecast'!D232+'[4]D6 Gallon Forecast'!D248</f>
        <v>15888982</v>
      </c>
      <c r="E13" s="21">
        <f>'[4]D4 Gallon Forecast'!E143+'[4]D5 Gallon Forecast'!E130+'[4]D6 Gallon Forecast'!E216+'[4]D4 Gallon Forecast'!E207+'[4]D4 Gallon Forecast'!E271+'[4]D5 Gallon Forecast'!E178+'[4]D6 Gallon Forecast'!E232+'[4]D6 Gallon Forecast'!E248</f>
        <v>50836955</v>
      </c>
      <c r="F13" s="21">
        <f>'[4]D4 Gallon Forecast'!F143+'[4]D5 Gallon Forecast'!F130+'[4]D6 Gallon Forecast'!F216+'[4]D4 Gallon Forecast'!F207+'[4]D4 Gallon Forecast'!F271+'[4]D5 Gallon Forecast'!F178+'[4]D6 Gallon Forecast'!F232+'[4]D6 Gallon Forecast'!F248</f>
        <v>45828118</v>
      </c>
      <c r="G13" s="21">
        <f>'[4]D4 Gallon Forecast'!G143+'[4]D5 Gallon Forecast'!G130+'[4]D6 Gallon Forecast'!G216+'[4]D4 Gallon Forecast'!G207+'[4]D4 Gallon Forecast'!G271+'[4]D5 Gallon Forecast'!G178+'[4]D6 Gallon Forecast'!G232+'[4]D6 Gallon Forecast'!G248</f>
        <v>40683102</v>
      </c>
      <c r="H13" s="21">
        <f>'[4]D4 Gallon Forecast'!H143+'[4]D5 Gallon Forecast'!H130+'[4]D6 Gallon Forecast'!H216+'[4]D4 Gallon Forecast'!H207+'[4]D4 Gallon Forecast'!H271+'[4]D5 Gallon Forecast'!H178+'[4]D6 Gallon Forecast'!H232+'[4]D6 Gallon Forecast'!H248</f>
        <v>57918098</v>
      </c>
      <c r="I13" s="21">
        <f>'[4]D4 Gallon Forecast'!I143+'[4]D5 Gallon Forecast'!I130+'[4]D6 Gallon Forecast'!I216+'[4]D4 Gallon Forecast'!I207+'[4]D4 Gallon Forecast'!I271+'[4]D5 Gallon Forecast'!I178+'[4]D6 Gallon Forecast'!I232+'[4]D6 Gallon Forecast'!I248</f>
        <v>51586887</v>
      </c>
      <c r="J13" s="21">
        <f>'[4]D4 Gallon Forecast'!J143+'[4]D5 Gallon Forecast'!J130+'[4]D6 Gallon Forecast'!J216+'[4]D4 Gallon Forecast'!J207+'[4]D4 Gallon Forecast'!J271+'[4]D5 Gallon Forecast'!J178+'[4]D6 Gallon Forecast'!J232+'[4]D6 Gallon Forecast'!J248</f>
        <v>59440295</v>
      </c>
      <c r="K13" s="21">
        <f>'[4]D4 Gallon Forecast'!K143+'[4]D5 Gallon Forecast'!K130+'[4]D6 Gallon Forecast'!K216+'[4]D4 Gallon Forecast'!K207+'[4]D4 Gallon Forecast'!K271+'[4]D5 Gallon Forecast'!K178+'[4]D6 Gallon Forecast'!K232+'[4]D6 Gallon Forecast'!K248</f>
        <v>73664807</v>
      </c>
      <c r="L13" s="21">
        <f>'[4]D4 Gallon Forecast'!L143+'[4]D5 Gallon Forecast'!L130+'[4]D6 Gallon Forecast'!L216+'[4]D4 Gallon Forecast'!L207+'[4]D4 Gallon Forecast'!L271+'[4]D5 Gallon Forecast'!L178+'[4]D6 Gallon Forecast'!L232+'[4]D6 Gallon Forecast'!L248</f>
        <v>90445304</v>
      </c>
      <c r="M13" s="21">
        <f>'[4]D4 Gallon Forecast'!M143+'[4]D5 Gallon Forecast'!M130+'[4]D6 Gallon Forecast'!M216+'[4]D4 Gallon Forecast'!M207+'[4]D4 Gallon Forecast'!M271+'[4]D5 Gallon Forecast'!M178+'[4]D6 Gallon Forecast'!M232+'[4]D6 Gallon Forecast'!M248</f>
        <v>133156773</v>
      </c>
      <c r="N13" s="21">
        <f>'[4]D4 Gallon Forecast'!N143+'[4]D5 Gallon Forecast'!N130+'[4]D6 Gallon Forecast'!N216+'[4]D4 Gallon Forecast'!N207+'[4]D4 Gallon Forecast'!N271+'[4]D5 Gallon Forecast'!N178+'[4]D6 Gallon Forecast'!N232+'[4]D6 Gallon Forecast'!N248</f>
        <v>198800014</v>
      </c>
      <c r="O13" s="21">
        <f>'[4]D4 Gallon Forecast'!O143+'[4]D5 Gallon Forecast'!O130+'[4]D6 Gallon Forecast'!O216+'[4]D4 Gallon Forecast'!O207+'[4]D4 Gallon Forecast'!O271+'[4]D5 Gallon Forecast'!O178+'[4]D6 Gallon Forecast'!O232+'[4]D6 Gallon Forecast'!O248</f>
        <v>251009802</v>
      </c>
      <c r="P13" s="22">
        <f>'[4]D4 Gallon Forecast'!P143+'[4]D5 Gallon Forecast'!P130+'[4]D6 Gallon Forecast'!P216+'[4]D4 Gallon Forecast'!P207+'[4]D4 Gallon Forecast'!P271+'[4]D5 Gallon Forecast'!P178+'[4]D6 Gallon Forecast'!P232+'[4]D6 Gallon Forecast'!P248</f>
        <v>299113899</v>
      </c>
      <c r="Q13" s="22">
        <f>'[4]D4 Gallon Forecast'!Q143+'[4]D5 Gallon Forecast'!Q130+'[4]D6 Gallon Forecast'!Q216+'[4]D4 Gallon Forecast'!Q207+'[4]D4 Gallon Forecast'!Q271+'[4]D5 Gallon Forecast'!Q178+'[4]D6 Gallon Forecast'!Q232+'[4]D6 Gallon Forecast'!Q248</f>
        <v>250839958.05064553</v>
      </c>
      <c r="R13" s="22">
        <f>'[4]D4 Gallon Forecast'!R143+'[4]D5 Gallon Forecast'!R130+'[4]D6 Gallon Forecast'!R216+'[4]D4 Gallon Forecast'!R207+'[4]D4 Gallon Forecast'!R271+'[4]D5 Gallon Forecast'!R178+'[4]D6 Gallon Forecast'!R232+'[4]D6 Gallon Forecast'!R248</f>
        <v>307892253.0620265</v>
      </c>
      <c r="S13" s="22">
        <f>'[4]D4 Gallon Forecast'!S143+'[4]D5 Gallon Forecast'!S130+'[4]D6 Gallon Forecast'!S216+'[4]D4 Gallon Forecast'!S207+'[4]D4 Gallon Forecast'!S271+'[4]D5 Gallon Forecast'!S178+'[4]D6 Gallon Forecast'!S232+'[4]D6 Gallon Forecast'!S248</f>
        <v>336512970.73508728</v>
      </c>
      <c r="T13" s="22">
        <f>'[4]D4 Gallon Forecast'!T143+'[4]D5 Gallon Forecast'!T130+'[4]D6 Gallon Forecast'!T216+'[4]D4 Gallon Forecast'!T207+'[4]D4 Gallon Forecast'!T271+'[4]D5 Gallon Forecast'!T178+'[4]D6 Gallon Forecast'!T232+'[4]D6 Gallon Forecast'!T248</f>
        <v>341006094.62682456</v>
      </c>
      <c r="U13" s="22">
        <f>'[4]D4 Gallon Forecast'!U143+'[4]D5 Gallon Forecast'!U130+'[4]D6 Gallon Forecast'!U216+'[4]D4 Gallon Forecast'!U207+'[4]D4 Gallon Forecast'!U271+'[4]D5 Gallon Forecast'!U178+'[4]D6 Gallon Forecast'!U232+'[4]D6 Gallon Forecast'!U248</f>
        <v>339913370.51748234</v>
      </c>
      <c r="V13" s="22">
        <f>'[4]D4 Gallon Forecast'!V143+'[4]D5 Gallon Forecast'!V130+'[4]D6 Gallon Forecast'!V216+'[4]D4 Gallon Forecast'!V207+'[4]D4 Gallon Forecast'!V271+'[4]D5 Gallon Forecast'!V178+'[4]D6 Gallon Forecast'!V232+'[4]D6 Gallon Forecast'!V248</f>
        <v>355743325.53028357</v>
      </c>
      <c r="W13" s="22">
        <f>'[4]D4 Gallon Forecast'!W143+'[4]D5 Gallon Forecast'!W130+'[4]D6 Gallon Forecast'!W216+'[4]D4 Gallon Forecast'!W207+'[4]D4 Gallon Forecast'!W271+'[4]D5 Gallon Forecast'!W178+'[4]D6 Gallon Forecast'!W232+'[4]D6 Gallon Forecast'!W248</f>
        <v>384394494.04491645</v>
      </c>
      <c r="X13" s="22">
        <f>'[4]D4 Gallon Forecast'!X143+'[4]D5 Gallon Forecast'!X130+'[4]D6 Gallon Forecast'!X216+'[4]D4 Gallon Forecast'!X207+'[4]D4 Gallon Forecast'!X271+'[4]D5 Gallon Forecast'!X178+'[4]D6 Gallon Forecast'!X232+'[4]D6 Gallon Forecast'!X248</f>
        <v>452115632.21504128</v>
      </c>
      <c r="Y13" s="22">
        <f>'[4]D4 Gallon Forecast'!Y143+'[4]D5 Gallon Forecast'!Y130+'[4]D6 Gallon Forecast'!Y216+'[4]D4 Gallon Forecast'!Y207+'[4]D4 Gallon Forecast'!Y271+'[4]D5 Gallon Forecast'!Y178+'[4]D6 Gallon Forecast'!Y232+'[4]D6 Gallon Forecast'!Y248</f>
        <v>449114617.04479849</v>
      </c>
      <c r="Z13" s="22">
        <f>'[4]D4 Gallon Forecast'!Z143+'[4]D5 Gallon Forecast'!Z130+'[4]D6 Gallon Forecast'!Z216+'[4]D4 Gallon Forecast'!Z207+'[4]D4 Gallon Forecast'!Z271+'[4]D5 Gallon Forecast'!Z178+'[4]D6 Gallon Forecast'!Z232+'[4]D6 Gallon Forecast'!Z248</f>
        <v>436061929.20120478</v>
      </c>
      <c r="AA13" s="22">
        <f>'[4]D4 Gallon Forecast'!AA143+'[4]D5 Gallon Forecast'!AA130+'[4]D6 Gallon Forecast'!AA216+'[4]D4 Gallon Forecast'!AA207+'[4]D4 Gallon Forecast'!AA271+'[4]D5 Gallon Forecast'!AA178+'[4]D6 Gallon Forecast'!AA232+'[4]D6 Gallon Forecast'!AA248</f>
        <v>461554925.236274</v>
      </c>
      <c r="AB13" s="22">
        <f>'[4]D4 Gallon Forecast'!AB143+'[4]D5 Gallon Forecast'!AB130+'[4]D6 Gallon Forecast'!AB216+'[4]D4 Gallon Forecast'!AB207+'[4]D4 Gallon Forecast'!AB271+'[4]D5 Gallon Forecast'!AB178+'[4]D6 Gallon Forecast'!AB232+'[4]D6 Gallon Forecast'!AB248</f>
        <v>491992742.52575886</v>
      </c>
      <c r="AC13" s="22">
        <f>'[4]D4 Gallon Forecast'!AC143+'[4]D5 Gallon Forecast'!AC130+'[4]D6 Gallon Forecast'!AC216+'[4]D4 Gallon Forecast'!AC207+'[4]D4 Gallon Forecast'!AC271+'[4]D5 Gallon Forecast'!AC178+'[4]D6 Gallon Forecast'!AC232+'[4]D6 Gallon Forecast'!AC248</f>
        <v>557982107.99131083</v>
      </c>
      <c r="AD13" s="22">
        <f>'[4]D4 Gallon Forecast'!AD143+'[4]D5 Gallon Forecast'!AD130+'[4]D6 Gallon Forecast'!AD216+'[4]D4 Gallon Forecast'!AD207+'[4]D4 Gallon Forecast'!AD271+'[4]D5 Gallon Forecast'!AD178+'[4]D6 Gallon Forecast'!AD232+'[4]D6 Gallon Forecast'!AD248</f>
        <v>615185970.16351044</v>
      </c>
      <c r="AE13" s="22">
        <f>'[4]D4 Gallon Forecast'!AE143+'[4]D5 Gallon Forecast'!AE130+'[4]D6 Gallon Forecast'!AE216+'[4]D4 Gallon Forecast'!AE207+'[4]D4 Gallon Forecast'!AE271+'[4]D5 Gallon Forecast'!AE178+'[4]D6 Gallon Forecast'!AE232+'[4]D6 Gallon Forecast'!AE248</f>
        <v>616833108.53647268</v>
      </c>
      <c r="AF13" s="22">
        <f>'[4]D4 Gallon Forecast'!AF143+'[4]D5 Gallon Forecast'!AF130+'[4]D6 Gallon Forecast'!AF216+'[4]D4 Gallon Forecast'!AF207+'[4]D4 Gallon Forecast'!AF271+'[4]D5 Gallon Forecast'!AF178+'[4]D6 Gallon Forecast'!AF232+'[4]D6 Gallon Forecast'!AF248</f>
        <v>542253506.28632569</v>
      </c>
      <c r="AG13" s="22">
        <f>'[4]D4 Gallon Forecast'!AG143+'[4]D5 Gallon Forecast'!AG130+'[4]D6 Gallon Forecast'!AG216+'[4]D4 Gallon Forecast'!AG207+'[4]D4 Gallon Forecast'!AG271+'[4]D5 Gallon Forecast'!AG178+'[4]D6 Gallon Forecast'!AG232+'[4]D6 Gallon Forecast'!AG248</f>
        <v>573665629.22901607</v>
      </c>
      <c r="AH13" s="22">
        <f>'[4]D4 Gallon Forecast'!AH143+'[4]D5 Gallon Forecast'!AH130+'[4]D6 Gallon Forecast'!AH216+'[4]D4 Gallon Forecast'!AH207+'[4]D4 Gallon Forecast'!AH271+'[4]D5 Gallon Forecast'!AH178+'[4]D6 Gallon Forecast'!AH232+'[4]D6 Gallon Forecast'!AH248</f>
        <v>606234576.63839734</v>
      </c>
      <c r="AI13" s="22">
        <f>'[4]D4 Gallon Forecast'!AI143+'[4]D5 Gallon Forecast'!AI130+'[4]D6 Gallon Forecast'!AI216+'[4]D4 Gallon Forecast'!AI207+'[4]D4 Gallon Forecast'!AI271+'[4]D5 Gallon Forecast'!AI178+'[4]D6 Gallon Forecast'!AI232+'[4]D6 Gallon Forecast'!AI248</f>
        <v>658544779.85121369</v>
      </c>
      <c r="AJ13" s="22">
        <f>'[4]D4 Gallon Forecast'!AJ143+'[4]D5 Gallon Forecast'!AJ130+'[4]D6 Gallon Forecast'!AJ216+'[4]D4 Gallon Forecast'!AJ207+'[4]D4 Gallon Forecast'!AJ271+'[4]D5 Gallon Forecast'!AJ178+'[4]D6 Gallon Forecast'!AJ232+'[4]D6 Gallon Forecast'!AJ248</f>
        <v>671582805.44308174</v>
      </c>
      <c r="AK13" s="22">
        <f>'[4]D4 Gallon Forecast'!AK143+'[4]D5 Gallon Forecast'!AK130+'[4]D6 Gallon Forecast'!AK216+'[4]D4 Gallon Forecast'!AK207+'[4]D4 Gallon Forecast'!AK271+'[4]D5 Gallon Forecast'!AK178+'[4]D6 Gallon Forecast'!AK232+'[4]D6 Gallon Forecast'!AK248</f>
        <v>667773154.53080153</v>
      </c>
      <c r="AL13" s="22">
        <f>'[4]D4 Gallon Forecast'!AL143+'[4]D5 Gallon Forecast'!AL130+'[4]D6 Gallon Forecast'!AL216+'[4]D4 Gallon Forecast'!AL207+'[4]D4 Gallon Forecast'!AL271+'[4]D5 Gallon Forecast'!AL178+'[4]D6 Gallon Forecast'!AL232+'[4]D6 Gallon Forecast'!AL248</f>
        <v>636282478.30854881</v>
      </c>
      <c r="AM13" s="22">
        <f>'[4]D4 Gallon Forecast'!AM143+'[4]D5 Gallon Forecast'!AM130+'[4]D6 Gallon Forecast'!AM216+'[4]D4 Gallon Forecast'!AM207+'[4]D4 Gallon Forecast'!AM271+'[4]D5 Gallon Forecast'!AM178+'[4]D6 Gallon Forecast'!AM232+'[4]D6 Gallon Forecast'!AM248</f>
        <v>662564532.01377416</v>
      </c>
      <c r="AN13" s="22">
        <f>'[4]D4 Gallon Forecast'!AN143+'[4]D5 Gallon Forecast'!AN130+'[4]D6 Gallon Forecast'!AN216+'[4]D4 Gallon Forecast'!AN207+'[4]D4 Gallon Forecast'!AN271+'[4]D5 Gallon Forecast'!AN178+'[4]D6 Gallon Forecast'!AN232+'[4]D6 Gallon Forecast'!AN248</f>
        <v>686223694.28889298</v>
      </c>
      <c r="AO13" s="22">
        <f>'[4]D4 Gallon Forecast'!AO143+'[4]D5 Gallon Forecast'!AO130+'[4]D6 Gallon Forecast'!AO216+'[4]D4 Gallon Forecast'!AO207+'[4]D4 Gallon Forecast'!AO271+'[4]D5 Gallon Forecast'!AO178+'[4]D6 Gallon Forecast'!AO232+'[4]D6 Gallon Forecast'!AO248</f>
        <v>710932219.26944327</v>
      </c>
      <c r="AP13" s="22">
        <f>'[4]D4 Gallon Forecast'!AP143+'[4]D5 Gallon Forecast'!AP130+'[4]D6 Gallon Forecast'!AP216+'[4]D4 Gallon Forecast'!AP207+'[4]D4 Gallon Forecast'!AP271+'[4]D5 Gallon Forecast'!AP178+'[4]D6 Gallon Forecast'!AP232+'[4]D6 Gallon Forecast'!AP248</f>
        <v>741725423.45884252</v>
      </c>
      <c r="AQ13" s="22"/>
      <c r="AR13" s="22"/>
      <c r="AS13" s="22"/>
      <c r="AT13" s="24">
        <f t="shared" si="1"/>
        <v>0.19164230486903455</v>
      </c>
      <c r="AU13" s="22">
        <f t="shared" si="2"/>
        <v>48104097</v>
      </c>
      <c r="AV13" s="22">
        <f t="shared" si="4"/>
        <v>-7972669</v>
      </c>
      <c r="AW13" s="11">
        <f t="shared" si="5"/>
        <v>-2.5962285006226649E-2</v>
      </c>
      <c r="AX13" s="22">
        <f>'[4]D4 Gallon Forecast'!$DM127+'[4]D5 Gallon Forecast'!$AZ114+'[4]D6 Gallon Forecast'!$BM200</f>
        <v>4773213.1709344573</v>
      </c>
      <c r="AY13" s="22">
        <f t="shared" si="0"/>
        <v>294340685.82906556</v>
      </c>
      <c r="BA13" s="25">
        <f>O13/30/1000000</f>
        <v>8.3669934000000001</v>
      </c>
      <c r="BB13" s="25">
        <f>AVERAGE(K13:O13)/30/1000000</f>
        <v>4.9805113333333333</v>
      </c>
      <c r="BC13" s="24">
        <f t="shared" si="3"/>
        <v>0.6799466641109273</v>
      </c>
    </row>
    <row r="14" spans="1:55" x14ac:dyDescent="0.25">
      <c r="A14" s="20" t="s">
        <v>80</v>
      </c>
      <c r="B14" s="21">
        <f>'[4]D4 Gallon Forecast'!B144+'[4]D5 Gallon Forecast'!B131+'[4]D6 Gallon Forecast'!B217+'[4]D4 Gallon Forecast'!B208+'[4]D4 Gallon Forecast'!B272+'[4]D5 Gallon Forecast'!B179+'[4]D6 Gallon Forecast'!B233+'[4]D6 Gallon Forecast'!B249</f>
        <v>3069735</v>
      </c>
      <c r="C14" s="21">
        <f>'[4]D4 Gallon Forecast'!C144+'[4]D5 Gallon Forecast'!C131+'[4]D6 Gallon Forecast'!C217+'[4]D4 Gallon Forecast'!C208+'[4]D4 Gallon Forecast'!C272+'[4]D5 Gallon Forecast'!C179+'[4]D6 Gallon Forecast'!C233+'[4]D6 Gallon Forecast'!C249</f>
        <v>6480832</v>
      </c>
      <c r="D14" s="21">
        <f>'[4]D4 Gallon Forecast'!D144+'[4]D5 Gallon Forecast'!D131+'[4]D6 Gallon Forecast'!D217+'[4]D4 Gallon Forecast'!D208+'[4]D4 Gallon Forecast'!D272+'[4]D5 Gallon Forecast'!D179+'[4]D6 Gallon Forecast'!D233+'[4]D6 Gallon Forecast'!D249</f>
        <v>8216928</v>
      </c>
      <c r="E14" s="21">
        <f>'[4]D4 Gallon Forecast'!E144+'[4]D5 Gallon Forecast'!E131+'[4]D6 Gallon Forecast'!E217+'[4]D4 Gallon Forecast'!E208+'[4]D4 Gallon Forecast'!E272+'[4]D5 Gallon Forecast'!E179+'[4]D6 Gallon Forecast'!E233+'[4]D6 Gallon Forecast'!E249</f>
        <v>46635536</v>
      </c>
      <c r="F14" s="21">
        <f>'[4]D4 Gallon Forecast'!F144+'[4]D5 Gallon Forecast'!F131+'[4]D6 Gallon Forecast'!F217+'[4]D4 Gallon Forecast'!F208+'[4]D4 Gallon Forecast'!F272+'[4]D5 Gallon Forecast'!F179+'[4]D6 Gallon Forecast'!F233+'[4]D6 Gallon Forecast'!F249</f>
        <v>34459265</v>
      </c>
      <c r="G14" s="21">
        <f>'[4]D4 Gallon Forecast'!G144+'[4]D5 Gallon Forecast'!G131+'[4]D6 Gallon Forecast'!G217+'[4]D4 Gallon Forecast'!G208+'[4]D4 Gallon Forecast'!G272+'[4]D5 Gallon Forecast'!G179+'[4]D6 Gallon Forecast'!G233+'[4]D6 Gallon Forecast'!G249</f>
        <v>40730768</v>
      </c>
      <c r="H14" s="21">
        <f>'[4]D4 Gallon Forecast'!H144+'[4]D5 Gallon Forecast'!H131+'[4]D6 Gallon Forecast'!H217+'[4]D4 Gallon Forecast'!H208+'[4]D4 Gallon Forecast'!H272+'[4]D5 Gallon Forecast'!H179+'[4]D6 Gallon Forecast'!H233+'[4]D6 Gallon Forecast'!H249</f>
        <v>53552183</v>
      </c>
      <c r="I14" s="21">
        <f>'[4]D4 Gallon Forecast'!I144+'[4]D5 Gallon Forecast'!I131+'[4]D6 Gallon Forecast'!I217+'[4]D4 Gallon Forecast'!I208+'[4]D4 Gallon Forecast'!I272+'[4]D5 Gallon Forecast'!I179+'[4]D6 Gallon Forecast'!I233+'[4]D6 Gallon Forecast'!I249</f>
        <v>56967990</v>
      </c>
      <c r="J14" s="21">
        <f>'[4]D4 Gallon Forecast'!J144+'[4]D5 Gallon Forecast'!J131+'[4]D6 Gallon Forecast'!J217+'[4]D4 Gallon Forecast'!J208+'[4]D4 Gallon Forecast'!J272+'[4]D5 Gallon Forecast'!J179+'[4]D6 Gallon Forecast'!J233+'[4]D6 Gallon Forecast'!J249</f>
        <v>76869039</v>
      </c>
      <c r="K14" s="21">
        <f>'[4]D4 Gallon Forecast'!K144+'[4]D5 Gallon Forecast'!K131+'[4]D6 Gallon Forecast'!K217+'[4]D4 Gallon Forecast'!K208+'[4]D4 Gallon Forecast'!K272+'[4]D5 Gallon Forecast'!K179+'[4]D6 Gallon Forecast'!K233+'[4]D6 Gallon Forecast'!K249</f>
        <v>88201170</v>
      </c>
      <c r="L14" s="21">
        <f>'[4]D4 Gallon Forecast'!L144+'[4]D5 Gallon Forecast'!L131+'[4]D6 Gallon Forecast'!L217+'[4]D4 Gallon Forecast'!L208+'[4]D4 Gallon Forecast'!L272+'[4]D5 Gallon Forecast'!L179+'[4]D6 Gallon Forecast'!L233+'[4]D6 Gallon Forecast'!L249</f>
        <v>97407333</v>
      </c>
      <c r="M14" s="21">
        <f>'[4]D4 Gallon Forecast'!M144+'[4]D5 Gallon Forecast'!M131+'[4]D6 Gallon Forecast'!M217+'[4]D4 Gallon Forecast'!M208+'[4]D4 Gallon Forecast'!M272+'[4]D5 Gallon Forecast'!M179+'[4]D6 Gallon Forecast'!M233+'[4]D6 Gallon Forecast'!M249</f>
        <v>170434708</v>
      </c>
      <c r="N14" s="21">
        <f>'[4]D4 Gallon Forecast'!N144+'[4]D5 Gallon Forecast'!N131+'[4]D6 Gallon Forecast'!N217+'[4]D4 Gallon Forecast'!N208+'[4]D4 Gallon Forecast'!N272+'[4]D5 Gallon Forecast'!N179+'[4]D6 Gallon Forecast'!N233+'[4]D6 Gallon Forecast'!N249</f>
        <v>194157620</v>
      </c>
      <c r="O14" s="21">
        <f>'[4]D4 Gallon Forecast'!O144+'[4]D5 Gallon Forecast'!O131+'[4]D6 Gallon Forecast'!O217+'[4]D4 Gallon Forecast'!O208+'[4]D4 Gallon Forecast'!O272+'[4]D5 Gallon Forecast'!O179+'[4]D6 Gallon Forecast'!O233+'[4]D6 Gallon Forecast'!O249</f>
        <v>323439638</v>
      </c>
      <c r="P14" s="22">
        <f>'[4]D4 Gallon Forecast'!P144+'[4]D5 Gallon Forecast'!P131+'[4]D6 Gallon Forecast'!P217+'[4]D4 Gallon Forecast'!P208+'[4]D4 Gallon Forecast'!P272+'[4]D5 Gallon Forecast'!P179+'[4]D6 Gallon Forecast'!P233+'[4]D6 Gallon Forecast'!P249</f>
        <v>351250772</v>
      </c>
      <c r="Q14" s="22">
        <f>'[4]D4 Gallon Forecast'!Q144+'[4]D5 Gallon Forecast'!Q131+'[4]D6 Gallon Forecast'!Q217+'[4]D4 Gallon Forecast'!Q208+'[4]D4 Gallon Forecast'!Q272+'[4]D5 Gallon Forecast'!Q179+'[4]D6 Gallon Forecast'!Q233+'[4]D6 Gallon Forecast'!Q249</f>
        <v>345451121.45092082</v>
      </c>
      <c r="R14" s="22">
        <f>'[4]D4 Gallon Forecast'!R144+'[4]D5 Gallon Forecast'!R131+'[4]D6 Gallon Forecast'!R217+'[4]D4 Gallon Forecast'!R208+'[4]D4 Gallon Forecast'!R272+'[4]D5 Gallon Forecast'!R179+'[4]D6 Gallon Forecast'!R233+'[4]D6 Gallon Forecast'!R249</f>
        <v>359061754.17628962</v>
      </c>
      <c r="S14" s="22">
        <f>'[4]D4 Gallon Forecast'!S144+'[4]D5 Gallon Forecast'!S131+'[4]D6 Gallon Forecast'!S217+'[4]D4 Gallon Forecast'!S208+'[4]D4 Gallon Forecast'!S272+'[4]D5 Gallon Forecast'!S179+'[4]D6 Gallon Forecast'!S233+'[4]D6 Gallon Forecast'!S249</f>
        <v>389123836.99062598</v>
      </c>
      <c r="T14" s="22">
        <f>'[4]D4 Gallon Forecast'!T144+'[4]D5 Gallon Forecast'!T131+'[4]D6 Gallon Forecast'!T217+'[4]D4 Gallon Forecast'!T208+'[4]D4 Gallon Forecast'!T272+'[4]D5 Gallon Forecast'!T179+'[4]D6 Gallon Forecast'!T233+'[4]D6 Gallon Forecast'!T249</f>
        <v>394172981.72405815</v>
      </c>
      <c r="U14" s="22">
        <f>'[4]D4 Gallon Forecast'!U144+'[4]D5 Gallon Forecast'!U131+'[4]D6 Gallon Forecast'!U217+'[4]D4 Gallon Forecast'!U208+'[4]D4 Gallon Forecast'!U272+'[4]D5 Gallon Forecast'!U179+'[4]D6 Gallon Forecast'!U233+'[4]D6 Gallon Forecast'!U249</f>
        <v>395044090.62168896</v>
      </c>
      <c r="V14" s="22">
        <f>'[4]D4 Gallon Forecast'!V144+'[4]D5 Gallon Forecast'!V131+'[4]D6 Gallon Forecast'!V217+'[4]D4 Gallon Forecast'!V208+'[4]D4 Gallon Forecast'!V272+'[4]D5 Gallon Forecast'!V179+'[4]D6 Gallon Forecast'!V233+'[4]D6 Gallon Forecast'!V249</f>
        <v>415266862.78178257</v>
      </c>
      <c r="W14" s="22">
        <f>'[4]D4 Gallon Forecast'!W144+'[4]D5 Gallon Forecast'!W131+'[4]D6 Gallon Forecast'!W217+'[4]D4 Gallon Forecast'!W208+'[4]D4 Gallon Forecast'!W272+'[4]D5 Gallon Forecast'!W179+'[4]D6 Gallon Forecast'!W233+'[4]D6 Gallon Forecast'!W249</f>
        <v>443341519.58671665</v>
      </c>
      <c r="X14" s="22">
        <f>'[4]D4 Gallon Forecast'!X144+'[4]D5 Gallon Forecast'!X131+'[4]D6 Gallon Forecast'!X217+'[4]D4 Gallon Forecast'!X208+'[4]D4 Gallon Forecast'!X272+'[4]D5 Gallon Forecast'!X179+'[4]D6 Gallon Forecast'!X233+'[4]D6 Gallon Forecast'!X249</f>
        <v>519248632.14325464</v>
      </c>
      <c r="Y14" s="22">
        <f>'[4]D4 Gallon Forecast'!Y144+'[4]D5 Gallon Forecast'!Y131+'[4]D6 Gallon Forecast'!Y217+'[4]D4 Gallon Forecast'!Y208+'[4]D4 Gallon Forecast'!Y272+'[4]D5 Gallon Forecast'!Y179+'[4]D6 Gallon Forecast'!Y233+'[4]D6 Gallon Forecast'!Y249</f>
        <v>515934486.7651251</v>
      </c>
      <c r="Z14" s="22">
        <f>'[4]D4 Gallon Forecast'!Z144+'[4]D5 Gallon Forecast'!Z131+'[4]D6 Gallon Forecast'!Z217+'[4]D4 Gallon Forecast'!Z208+'[4]D4 Gallon Forecast'!Z272+'[4]D5 Gallon Forecast'!Z179+'[4]D6 Gallon Forecast'!Z233+'[4]D6 Gallon Forecast'!Z249</f>
        <v>501152098.99840617</v>
      </c>
      <c r="AA14" s="22">
        <f>'[4]D4 Gallon Forecast'!AA144+'[4]D5 Gallon Forecast'!AA131+'[4]D6 Gallon Forecast'!AA217+'[4]D4 Gallon Forecast'!AA208+'[4]D4 Gallon Forecast'!AA272+'[4]D5 Gallon Forecast'!AA179+'[4]D6 Gallon Forecast'!AA233+'[4]D6 Gallon Forecast'!AA249</f>
        <v>530065732.17487973</v>
      </c>
      <c r="AB14" s="22">
        <f>'[4]D4 Gallon Forecast'!AB144+'[4]D5 Gallon Forecast'!AB131+'[4]D6 Gallon Forecast'!AB217+'[4]D4 Gallon Forecast'!AB208+'[4]D4 Gallon Forecast'!AB272+'[4]D5 Gallon Forecast'!AB179+'[4]D6 Gallon Forecast'!AB233+'[4]D6 Gallon Forecast'!AB249</f>
        <v>559974319.96901608</v>
      </c>
      <c r="AC14" s="22">
        <f>'[4]D4 Gallon Forecast'!AC144+'[4]D5 Gallon Forecast'!AC131+'[4]D6 Gallon Forecast'!AC217+'[4]D4 Gallon Forecast'!AC208+'[4]D4 Gallon Forecast'!AC272+'[4]D5 Gallon Forecast'!AC179+'[4]D6 Gallon Forecast'!AC233+'[4]D6 Gallon Forecast'!AC249</f>
        <v>633631590.93351185</v>
      </c>
      <c r="AD14" s="22">
        <f>'[4]D4 Gallon Forecast'!AD144+'[4]D5 Gallon Forecast'!AD131+'[4]D6 Gallon Forecast'!AD217+'[4]D4 Gallon Forecast'!AD208+'[4]D4 Gallon Forecast'!AD272+'[4]D5 Gallon Forecast'!AD179+'[4]D6 Gallon Forecast'!AD233+'[4]D6 Gallon Forecast'!AD249</f>
        <v>698542096.12492192</v>
      </c>
      <c r="AE14" s="22">
        <f>'[4]D4 Gallon Forecast'!AE144+'[4]D5 Gallon Forecast'!AE131+'[4]D6 Gallon Forecast'!AE217+'[4]D4 Gallon Forecast'!AE208+'[4]D4 Gallon Forecast'!AE272+'[4]D5 Gallon Forecast'!AE179+'[4]D6 Gallon Forecast'!AE233+'[4]D6 Gallon Forecast'!AE249</f>
        <v>700407005.84477472</v>
      </c>
      <c r="AF14" s="22">
        <f>'[4]D4 Gallon Forecast'!AF144+'[4]D5 Gallon Forecast'!AF131+'[4]D6 Gallon Forecast'!AF217+'[4]D4 Gallon Forecast'!AF208+'[4]D4 Gallon Forecast'!AF272+'[4]D5 Gallon Forecast'!AF179+'[4]D6 Gallon Forecast'!AF233+'[4]D6 Gallon Forecast'!AF249</f>
        <v>615791651.90617919</v>
      </c>
      <c r="AG14" s="22">
        <f>'[4]D4 Gallon Forecast'!AG144+'[4]D5 Gallon Forecast'!AG131+'[4]D6 Gallon Forecast'!AG217+'[4]D4 Gallon Forecast'!AG208+'[4]D4 Gallon Forecast'!AG272+'[4]D5 Gallon Forecast'!AG179+'[4]D6 Gallon Forecast'!AG233+'[4]D6 Gallon Forecast'!AG249</f>
        <v>651265704.32202935</v>
      </c>
      <c r="AH14" s="22">
        <f>'[4]D4 Gallon Forecast'!AH144+'[4]D5 Gallon Forecast'!AH131+'[4]D6 Gallon Forecast'!AH217+'[4]D4 Gallon Forecast'!AH208+'[4]D4 Gallon Forecast'!AH272+'[4]D5 Gallon Forecast'!AH179+'[4]D6 Gallon Forecast'!AH233+'[4]D6 Gallon Forecast'!AH249</f>
        <v>688187363.63348484</v>
      </c>
      <c r="AI14" s="22">
        <f>'[4]D4 Gallon Forecast'!AI144+'[4]D5 Gallon Forecast'!AI131+'[4]D6 Gallon Forecast'!AI217+'[4]D4 Gallon Forecast'!AI208+'[4]D4 Gallon Forecast'!AI272+'[4]D5 Gallon Forecast'!AI179+'[4]D6 Gallon Forecast'!AI233+'[4]D6 Gallon Forecast'!AI249</f>
        <v>747443953.96261764</v>
      </c>
      <c r="AJ14" s="22">
        <f>'[4]D4 Gallon Forecast'!AJ144+'[4]D5 Gallon Forecast'!AJ131+'[4]D6 Gallon Forecast'!AJ217+'[4]D4 Gallon Forecast'!AJ208+'[4]D4 Gallon Forecast'!AJ272+'[4]D5 Gallon Forecast'!AJ179+'[4]D6 Gallon Forecast'!AJ233+'[4]D6 Gallon Forecast'!AJ249</f>
        <v>762207616.27460372</v>
      </c>
      <c r="AK14" s="22">
        <f>'[4]D4 Gallon Forecast'!AK144+'[4]D5 Gallon Forecast'!AK131+'[4]D6 Gallon Forecast'!AK217+'[4]D4 Gallon Forecast'!AK208+'[4]D4 Gallon Forecast'!AK272+'[4]D5 Gallon Forecast'!AK179+'[4]D6 Gallon Forecast'!AK233+'[4]D6 Gallon Forecast'!AK249</f>
        <v>757870653.17188501</v>
      </c>
      <c r="AL14" s="22">
        <f>'[4]D4 Gallon Forecast'!AL144+'[4]D5 Gallon Forecast'!AL131+'[4]D6 Gallon Forecast'!AL217+'[4]D4 Gallon Forecast'!AL208+'[4]D4 Gallon Forecast'!AL272+'[4]D5 Gallon Forecast'!AL179+'[4]D6 Gallon Forecast'!AL233+'[4]D6 Gallon Forecast'!AL249</f>
        <v>722110980.14480269</v>
      </c>
      <c r="AM14" s="22">
        <f>'[4]D4 Gallon Forecast'!AM144+'[4]D5 Gallon Forecast'!AM131+'[4]D6 Gallon Forecast'!AM217+'[4]D4 Gallon Forecast'!AM208+'[4]D4 Gallon Forecast'!AM272+'[4]D5 Gallon Forecast'!AM179+'[4]D6 Gallon Forecast'!AM233+'[4]D6 Gallon Forecast'!AM249</f>
        <v>751968576.53342247</v>
      </c>
      <c r="AN14" s="22">
        <f>'[4]D4 Gallon Forecast'!AN144+'[4]D5 Gallon Forecast'!AN131+'[4]D6 Gallon Forecast'!AN217+'[4]D4 Gallon Forecast'!AN208+'[4]D4 Gallon Forecast'!AN272+'[4]D5 Gallon Forecast'!AN179+'[4]D6 Gallon Forecast'!AN233+'[4]D6 Gallon Forecast'!AN249</f>
        <v>778773687.42934275</v>
      </c>
      <c r="AO14" s="22">
        <f>'[4]D4 Gallon Forecast'!AO144+'[4]D5 Gallon Forecast'!AO131+'[4]D6 Gallon Forecast'!AO217+'[4]D4 Gallon Forecast'!AO208+'[4]D4 Gallon Forecast'!AO272+'[4]D5 Gallon Forecast'!AO179+'[4]D6 Gallon Forecast'!AO233+'[4]D6 Gallon Forecast'!AO249</f>
        <v>806751468.90458846</v>
      </c>
      <c r="AP14" s="22">
        <f>'[4]D4 Gallon Forecast'!AP144+'[4]D5 Gallon Forecast'!AP131+'[4]D6 Gallon Forecast'!AP217+'[4]D4 Gallon Forecast'!AP208+'[4]D4 Gallon Forecast'!AP272+'[4]D5 Gallon Forecast'!AP179+'[4]D6 Gallon Forecast'!AP233+'[4]D6 Gallon Forecast'!AP249</f>
        <v>841663022.19051826</v>
      </c>
      <c r="AQ14" s="22"/>
      <c r="AR14" s="22"/>
      <c r="AS14" s="22"/>
      <c r="AT14" s="24">
        <f t="shared" si="1"/>
        <v>8.5985546397377544E-2</v>
      </c>
      <c r="AU14" s="22">
        <f t="shared" si="2"/>
        <v>27811134</v>
      </c>
      <c r="AV14" s="22">
        <f t="shared" si="4"/>
        <v>52136873</v>
      </c>
      <c r="AW14" s="11">
        <f t="shared" si="5"/>
        <v>0.17430441438630706</v>
      </c>
      <c r="AX14" s="22">
        <f>'[4]D4 Gallon Forecast'!$DM128+'[4]D5 Gallon Forecast'!$AZ115+'[4]D6 Gallon Forecast'!$BM201</f>
        <v>6337550.1235528663</v>
      </c>
      <c r="AY14" s="22">
        <f t="shared" si="0"/>
        <v>344913221.87644714</v>
      </c>
      <c r="BA14" s="25">
        <f t="shared" si="6"/>
        <v>10.433536709677419</v>
      </c>
      <c r="BB14" s="25">
        <f t="shared" si="7"/>
        <v>5.6363901225806456</v>
      </c>
      <c r="BC14" s="24">
        <f t="shared" si="3"/>
        <v>0.85110265307547217</v>
      </c>
    </row>
    <row r="15" spans="1:55" x14ac:dyDescent="0.25">
      <c r="A15" s="20" t="s">
        <v>58</v>
      </c>
      <c r="B15" s="21">
        <f>SUM(B3:B14)</f>
        <v>8782623</v>
      </c>
      <c r="C15" s="21">
        <f>SUM(C3:C14)</f>
        <v>62047323</v>
      </c>
      <c r="D15" s="21">
        <f t="shared" ref="D15:AP15" si="8">SUM(D3:D14)</f>
        <v>102680060</v>
      </c>
      <c r="E15" s="21">
        <f t="shared" si="8"/>
        <v>373544832</v>
      </c>
      <c r="F15" s="21">
        <f t="shared" si="8"/>
        <v>452427620</v>
      </c>
      <c r="G15" s="21">
        <f t="shared" si="8"/>
        <v>461872073</v>
      </c>
      <c r="H15" s="21">
        <f t="shared" si="8"/>
        <v>546637626</v>
      </c>
      <c r="I15" s="21">
        <f t="shared" si="8"/>
        <v>570544847</v>
      </c>
      <c r="J15" s="21">
        <f t="shared" si="8"/>
        <v>602548504</v>
      </c>
      <c r="K15" s="21">
        <f t="shared" si="8"/>
        <v>878865437</v>
      </c>
      <c r="L15" s="21">
        <f t="shared" si="8"/>
        <v>949790285</v>
      </c>
      <c r="M15" s="21">
        <f t="shared" si="8"/>
        <v>1291683037</v>
      </c>
      <c r="N15" s="21">
        <f t="shared" si="8"/>
        <v>1867879622</v>
      </c>
      <c r="O15" s="21">
        <f t="shared" si="8"/>
        <v>2908193168</v>
      </c>
      <c r="P15" s="22">
        <f t="shared" si="8"/>
        <v>3563930563</v>
      </c>
      <c r="Q15" s="22">
        <f t="shared" si="8"/>
        <v>2774400974.4209366</v>
      </c>
      <c r="R15" s="22">
        <f t="shared" si="8"/>
        <v>2962799613.1736603</v>
      </c>
      <c r="S15" s="22">
        <f>SUM(S3:S14)</f>
        <v>3218917266.5645237</v>
      </c>
      <c r="T15" s="22">
        <f>SUM(T3:T14)</f>
        <v>3254906566.0596151</v>
      </c>
      <c r="U15" s="22">
        <f t="shared" si="8"/>
        <v>3257932185.7916117</v>
      </c>
      <c r="V15" s="22">
        <f t="shared" si="8"/>
        <v>3382573255.2890577</v>
      </c>
      <c r="W15" s="22">
        <f t="shared" si="8"/>
        <v>3651203110.3205156</v>
      </c>
      <c r="X15" s="22">
        <f t="shared" si="8"/>
        <v>4273943245.6252847</v>
      </c>
      <c r="Y15" s="22">
        <f t="shared" si="8"/>
        <v>4245111377.7250662</v>
      </c>
      <c r="Z15" s="22">
        <f t="shared" si="8"/>
        <v>4123727321.9107876</v>
      </c>
      <c r="AA15" s="22">
        <f t="shared" si="8"/>
        <v>4359803492.4501266</v>
      </c>
      <c r="AB15" s="22">
        <f t="shared" si="8"/>
        <v>4609790575.5408516</v>
      </c>
      <c r="AC15" s="22">
        <f t="shared" si="8"/>
        <v>5215627237.6003914</v>
      </c>
      <c r="AD15" s="22">
        <f t="shared" si="8"/>
        <v>5749074746.85359</v>
      </c>
      <c r="AE15" s="22">
        <f t="shared" si="8"/>
        <v>5768285293.7993507</v>
      </c>
      <c r="AF15" s="22">
        <f t="shared" si="8"/>
        <v>5077281370.5986919</v>
      </c>
      <c r="AG15" s="22">
        <f t="shared" si="8"/>
        <v>5368344337.7588329</v>
      </c>
      <c r="AH15" s="22">
        <f t="shared" si="8"/>
        <v>5672076222.2145452</v>
      </c>
      <c r="AI15" s="22">
        <f t="shared" si="8"/>
        <v>6159956846.8081131</v>
      </c>
      <c r="AJ15" s="22">
        <f t="shared" si="8"/>
        <v>6281866311.1307621</v>
      </c>
      <c r="AK15" s="22">
        <f t="shared" si="8"/>
        <v>6246391072.7076378</v>
      </c>
      <c r="AL15" s="22">
        <f t="shared" si="8"/>
        <v>5954718143.3835297</v>
      </c>
      <c r="AM15" s="22">
        <f t="shared" si="8"/>
        <v>6197173826.350625</v>
      </c>
      <c r="AN15" s="22">
        <f t="shared" si="8"/>
        <v>6418083236.673748</v>
      </c>
      <c r="AO15" s="22">
        <f t="shared" si="8"/>
        <v>6648636483.6768723</v>
      </c>
      <c r="AP15" s="22">
        <f t="shared" si="8"/>
        <v>6934090018.9107838</v>
      </c>
      <c r="AQ15" s="22"/>
      <c r="AR15" s="22"/>
      <c r="AS15" s="22"/>
      <c r="AT15" s="22"/>
      <c r="AU15" s="26"/>
      <c r="AV15" s="26"/>
      <c r="AW15" s="27"/>
      <c r="AX15" s="22">
        <f>'[4]D4 Gallon Forecast'!$DM129+'[4]D5 Gallon Forecast'!$AZ116+'[4]D6 Gallon Forecast'!$BM202</f>
        <v>65318313.930454172</v>
      </c>
      <c r="AY15" s="22">
        <f t="shared" si="0"/>
        <v>3498612249.0695457</v>
      </c>
    </row>
    <row r="16" spans="1:55" x14ac:dyDescent="0.25">
      <c r="D16" s="11">
        <f t="shared" ref="D16:AG16" si="9">D15/C15-1</f>
        <v>0.65486688281458982</v>
      </c>
      <c r="E16" s="11">
        <f t="shared" si="9"/>
        <v>2.6379491013152894</v>
      </c>
      <c r="F16" s="11">
        <f t="shared" si="9"/>
        <v>0.21117354931040788</v>
      </c>
      <c r="G16" s="11">
        <f t="shared" si="9"/>
        <v>2.0875058423709847E-2</v>
      </c>
      <c r="H16" s="11">
        <f t="shared" si="9"/>
        <v>0.18352604098667813</v>
      </c>
      <c r="I16" s="11">
        <f t="shared" si="9"/>
        <v>4.3735044685709212E-2</v>
      </c>
      <c r="J16" s="11">
        <f t="shared" si="9"/>
        <v>5.6093148800272941E-2</v>
      </c>
      <c r="K16" s="11">
        <f t="shared" si="9"/>
        <v>0.45858039836739839</v>
      </c>
      <c r="L16" s="11">
        <f t="shared" si="9"/>
        <v>8.0700463363426067E-2</v>
      </c>
      <c r="M16" s="11">
        <f t="shared" si="9"/>
        <v>0.35996657093623563</v>
      </c>
      <c r="N16" s="11">
        <f t="shared" si="9"/>
        <v>0.44608202515242912</v>
      </c>
      <c r="O16" s="11">
        <f t="shared" si="9"/>
        <v>0.55694892419571573</v>
      </c>
      <c r="P16" s="11">
        <f t="shared" si="9"/>
        <v>0.22547931210874772</v>
      </c>
      <c r="Q16" s="11">
        <f t="shared" si="9"/>
        <v>-0.22153338136713396</v>
      </c>
      <c r="R16" s="11">
        <f t="shared" si="9"/>
        <v>6.7906059898946491E-2</v>
      </c>
      <c r="S16" s="11">
        <f t="shared" si="9"/>
        <v>8.6444473751134954E-2</v>
      </c>
      <c r="T16" s="11">
        <f t="shared" si="9"/>
        <v>1.1180560578216481E-2</v>
      </c>
      <c r="U16" s="11">
        <f t="shared" si="9"/>
        <v>9.2955655426374406E-4</v>
      </c>
      <c r="V16" s="11">
        <f t="shared" si="9"/>
        <v>3.8257723730723114E-2</v>
      </c>
      <c r="W16" s="11">
        <f t="shared" si="9"/>
        <v>7.9415827761135205E-2</v>
      </c>
      <c r="X16" s="11">
        <f t="shared" si="9"/>
        <v>0.17055751665650365</v>
      </c>
      <c r="Y16" s="11">
        <f t="shared" si="9"/>
        <v>-6.7459641467467746E-3</v>
      </c>
      <c r="Z16" s="11">
        <f t="shared" si="9"/>
        <v>-2.8593844781365396E-2</v>
      </c>
      <c r="AA16" s="11">
        <f t="shared" si="9"/>
        <v>5.7248249486571146E-2</v>
      </c>
      <c r="AB16" s="11">
        <f t="shared" si="9"/>
        <v>5.7339071250258833E-2</v>
      </c>
      <c r="AC16" s="11">
        <f t="shared" si="9"/>
        <v>0.1314239013967482</v>
      </c>
      <c r="AD16" s="11">
        <f t="shared" si="9"/>
        <v>0.10227868767297621</v>
      </c>
      <c r="AE16" s="11">
        <f t="shared" si="9"/>
        <v>3.3415023793654797E-3</v>
      </c>
      <c r="AF16" s="11">
        <f t="shared" si="9"/>
        <v>-0.11979364542586979</v>
      </c>
      <c r="AG16" s="11">
        <f t="shared" si="9"/>
        <v>5.7326538735004151E-2</v>
      </c>
    </row>
    <row r="17" spans="1:63" x14ac:dyDescent="0.25">
      <c r="A17" s="20" t="s">
        <v>132</v>
      </c>
      <c r="O17" s="20">
        <f>((O15/I15)^(1/7))-1</f>
        <v>0.26196595130634903</v>
      </c>
      <c r="V17" s="20">
        <f>((Y15/P15)^(1/10))-1</f>
        <v>1.7644255800042918E-2</v>
      </c>
    </row>
    <row r="18" spans="1:63" x14ac:dyDescent="0.25">
      <c r="B18" s="20">
        <f>B2</f>
        <v>2010</v>
      </c>
      <c r="C18" s="20">
        <f t="shared" ref="C18:AD18" si="10">C2</f>
        <v>2011</v>
      </c>
      <c r="D18" s="20">
        <f t="shared" si="10"/>
        <v>2012</v>
      </c>
      <c r="E18" s="20">
        <f t="shared" si="10"/>
        <v>2013</v>
      </c>
      <c r="F18" s="20">
        <f t="shared" si="10"/>
        <v>2014</v>
      </c>
      <c r="G18" s="20">
        <f t="shared" si="10"/>
        <v>2015</v>
      </c>
      <c r="H18" s="20">
        <f t="shared" si="10"/>
        <v>2016</v>
      </c>
      <c r="I18" s="20">
        <f t="shared" si="10"/>
        <v>2017</v>
      </c>
      <c r="J18" s="20">
        <f t="shared" si="10"/>
        <v>2018</v>
      </c>
      <c r="K18" s="20">
        <f t="shared" si="10"/>
        <v>2019</v>
      </c>
      <c r="L18" s="20">
        <f t="shared" si="10"/>
        <v>2020</v>
      </c>
      <c r="M18" s="20">
        <f t="shared" si="10"/>
        <v>2021</v>
      </c>
      <c r="N18" s="20">
        <f t="shared" si="10"/>
        <v>2022</v>
      </c>
      <c r="O18" s="20">
        <f t="shared" si="10"/>
        <v>2023</v>
      </c>
      <c r="P18" s="20">
        <f t="shared" si="10"/>
        <v>2024</v>
      </c>
      <c r="Q18" s="20">
        <f t="shared" si="10"/>
        <v>2025</v>
      </c>
      <c r="R18" s="20">
        <f t="shared" si="10"/>
        <v>2026</v>
      </c>
      <c r="S18" s="20">
        <f t="shared" si="10"/>
        <v>2027</v>
      </c>
      <c r="T18" s="20">
        <f t="shared" si="10"/>
        <v>2028</v>
      </c>
      <c r="U18" s="20">
        <f t="shared" si="10"/>
        <v>2029</v>
      </c>
      <c r="V18" s="20">
        <f t="shared" si="10"/>
        <v>2030</v>
      </c>
      <c r="W18" s="20">
        <f t="shared" si="10"/>
        <v>2031</v>
      </c>
      <c r="X18" s="20">
        <f t="shared" si="10"/>
        <v>2032</v>
      </c>
      <c r="Y18" s="20">
        <f t="shared" si="10"/>
        <v>2033</v>
      </c>
      <c r="Z18" s="20">
        <f t="shared" si="10"/>
        <v>2034</v>
      </c>
      <c r="AA18" s="20">
        <f t="shared" si="10"/>
        <v>2035</v>
      </c>
      <c r="AB18" s="20">
        <f t="shared" si="10"/>
        <v>2036</v>
      </c>
      <c r="AC18" s="20">
        <f t="shared" si="10"/>
        <v>2037</v>
      </c>
      <c r="AD18" s="20">
        <f t="shared" si="10"/>
        <v>2038</v>
      </c>
      <c r="AE18" s="20">
        <f>AE2</f>
        <v>2039</v>
      </c>
      <c r="AF18" s="20">
        <f>AF2</f>
        <v>2040</v>
      </c>
      <c r="AG18" s="20">
        <f>AG2</f>
        <v>2041</v>
      </c>
      <c r="AH18" s="20">
        <f>AH2</f>
        <v>2042</v>
      </c>
      <c r="AI18" s="20">
        <f t="shared" ref="AI18:AP18" si="11">AI2</f>
        <v>2043</v>
      </c>
      <c r="AJ18" s="20">
        <f t="shared" si="11"/>
        <v>2044</v>
      </c>
      <c r="AK18" s="20">
        <f t="shared" si="11"/>
        <v>2045</v>
      </c>
      <c r="AL18" s="20">
        <f t="shared" si="11"/>
        <v>2046</v>
      </c>
      <c r="AM18" s="20">
        <f t="shared" si="11"/>
        <v>2047</v>
      </c>
      <c r="AN18" s="20">
        <f t="shared" si="11"/>
        <v>2048</v>
      </c>
      <c r="AO18" s="20">
        <f t="shared" si="11"/>
        <v>2049</v>
      </c>
      <c r="AP18" s="20">
        <f t="shared" si="11"/>
        <v>2050</v>
      </c>
    </row>
    <row r="19" spans="1:63" x14ac:dyDescent="0.25">
      <c r="A19" s="20" t="s">
        <v>93</v>
      </c>
      <c r="B19" s="21">
        <f>SUM(B3:B5)</f>
        <v>6030</v>
      </c>
      <c r="C19" s="21">
        <f>SUM(C3:C5)</f>
        <v>8547477</v>
      </c>
      <c r="D19" s="21">
        <f t="shared" ref="D19:AD19" si="12">SUM(D3:D5)</f>
        <v>15885582</v>
      </c>
      <c r="E19" s="21">
        <f t="shared" si="12"/>
        <v>31526784</v>
      </c>
      <c r="F19" s="21">
        <f t="shared" si="12"/>
        <v>98212188</v>
      </c>
      <c r="G19" s="21">
        <f t="shared" si="12"/>
        <v>73541226</v>
      </c>
      <c r="H19" s="21">
        <f t="shared" si="12"/>
        <v>69730288</v>
      </c>
      <c r="I19" s="21">
        <f t="shared" si="12"/>
        <v>102428054</v>
      </c>
      <c r="J19" s="21">
        <f t="shared" si="12"/>
        <v>105729007</v>
      </c>
      <c r="K19" s="21">
        <f t="shared" si="12"/>
        <v>169124014</v>
      </c>
      <c r="L19" s="21">
        <f t="shared" si="12"/>
        <v>203020157</v>
      </c>
      <c r="M19" s="21">
        <f t="shared" si="12"/>
        <v>261407547</v>
      </c>
      <c r="N19" s="21">
        <f t="shared" si="12"/>
        <v>403905769</v>
      </c>
      <c r="O19" s="21">
        <f t="shared" si="12"/>
        <v>574579112</v>
      </c>
      <c r="P19" s="22">
        <f t="shared" si="12"/>
        <v>782607572</v>
      </c>
      <c r="Q19" s="22">
        <f t="shared" si="12"/>
        <v>652986654</v>
      </c>
      <c r="R19" s="22">
        <f t="shared" si="12"/>
        <v>630529072.55303681</v>
      </c>
      <c r="S19" s="22">
        <f t="shared" si="12"/>
        <v>682047696.56697392</v>
      </c>
      <c r="T19" s="22">
        <f t="shared" si="12"/>
        <v>687609637.58179486</v>
      </c>
      <c r="U19" s="22">
        <f t="shared" si="12"/>
        <v>687810650.80905187</v>
      </c>
      <c r="V19" s="22">
        <f t="shared" si="12"/>
        <v>708178535.98368275</v>
      </c>
      <c r="W19" s="22">
        <f t="shared" si="12"/>
        <v>769633967.28175282</v>
      </c>
      <c r="X19" s="22">
        <f t="shared" si="12"/>
        <v>898999407.7123394</v>
      </c>
      <c r="Y19" s="22">
        <f t="shared" si="12"/>
        <v>892526766.40257895</v>
      </c>
      <c r="Z19" s="22">
        <f t="shared" si="12"/>
        <v>866907745.95745349</v>
      </c>
      <c r="AA19" s="22">
        <f t="shared" si="12"/>
        <v>916115548.678092</v>
      </c>
      <c r="AB19" s="22">
        <f t="shared" si="12"/>
        <v>967260386.17846107</v>
      </c>
      <c r="AC19" s="22">
        <f t="shared" si="12"/>
        <v>1093798790.873704</v>
      </c>
      <c r="AD19" s="22">
        <f t="shared" si="12"/>
        <v>1205479163.2227261</v>
      </c>
      <c r="AE19" s="22">
        <f>SUM(AE3:AE5)</f>
        <v>1209733072.9557409</v>
      </c>
      <c r="AF19" s="22">
        <f>SUM(AF3:AF5)</f>
        <v>1065254444.0613304</v>
      </c>
      <c r="AG19" s="22">
        <f>SUM(AG3:AG5)</f>
        <v>1126277938.9553521</v>
      </c>
      <c r="AH19" s="22">
        <f>SUM(AH3:AH5)</f>
        <v>1189880895.5222554</v>
      </c>
      <c r="AI19" s="22">
        <f t="shared" ref="AI19:AP19" si="13">SUM(AI3:AI5)</f>
        <v>1292111312.1274185</v>
      </c>
      <c r="AJ19" s="22">
        <f t="shared" si="13"/>
        <v>1317677436.7188938</v>
      </c>
      <c r="AK19" s="22">
        <f t="shared" si="13"/>
        <v>1310260091.6650784</v>
      </c>
      <c r="AL19" s="22">
        <f t="shared" si="13"/>
        <v>1249340376.2400069</v>
      </c>
      <c r="AM19" s="22">
        <f t="shared" si="13"/>
        <v>1299925521.5991814</v>
      </c>
      <c r="AN19" s="22">
        <f t="shared" si="13"/>
        <v>1346219136.1060083</v>
      </c>
      <c r="AO19" s="22">
        <f t="shared" si="13"/>
        <v>1394544530.0622029</v>
      </c>
      <c r="AP19" s="22">
        <f t="shared" si="13"/>
        <v>1454236353.6381023</v>
      </c>
      <c r="AQ19" s="22"/>
      <c r="AR19" s="22"/>
      <c r="AS19" s="22"/>
      <c r="AT19" s="22"/>
      <c r="AU19" s="22"/>
    </row>
    <row r="20" spans="1:63" x14ac:dyDescent="0.25">
      <c r="A20" s="20" t="s">
        <v>94</v>
      </c>
      <c r="B20" s="21">
        <f>SUM(B6:B8)</f>
        <v>0</v>
      </c>
      <c r="C20" s="21">
        <f>SUM(C6:C8)</f>
        <v>14056277</v>
      </c>
      <c r="D20" s="21">
        <f t="shared" ref="D20:AD20" si="14">SUM(D6:D8)</f>
        <v>17687939</v>
      </c>
      <c r="E20" s="21">
        <f t="shared" si="14"/>
        <v>47974550</v>
      </c>
      <c r="F20" s="21">
        <f t="shared" si="14"/>
        <v>151842842</v>
      </c>
      <c r="G20" s="21">
        <f t="shared" si="14"/>
        <v>145995907</v>
      </c>
      <c r="H20" s="21">
        <f t="shared" si="14"/>
        <v>164335038</v>
      </c>
      <c r="I20" s="21">
        <f t="shared" si="14"/>
        <v>156304031</v>
      </c>
      <c r="J20" s="21">
        <f>SUM(J6:J8)</f>
        <v>168504428</v>
      </c>
      <c r="K20" s="21">
        <f t="shared" si="14"/>
        <v>238631480</v>
      </c>
      <c r="L20" s="21">
        <f t="shared" si="14"/>
        <v>249994771</v>
      </c>
      <c r="M20" s="21">
        <f t="shared" si="14"/>
        <v>301889656</v>
      </c>
      <c r="N20" s="21">
        <f t="shared" si="14"/>
        <v>482916540</v>
      </c>
      <c r="O20" s="21">
        <f t="shared" si="14"/>
        <v>744128808</v>
      </c>
      <c r="P20" s="22">
        <f t="shared" si="14"/>
        <v>899814032</v>
      </c>
      <c r="Q20" s="22">
        <f t="shared" si="14"/>
        <v>654851574.94845629</v>
      </c>
      <c r="R20" s="22">
        <f t="shared" si="14"/>
        <v>707150238.38474476</v>
      </c>
      <c r="S20" s="22">
        <f t="shared" si="14"/>
        <v>767937635.04051626</v>
      </c>
      <c r="T20" s="22">
        <f t="shared" si="14"/>
        <v>774427174.77139306</v>
      </c>
      <c r="U20" s="22">
        <f t="shared" si="14"/>
        <v>774309302.78265572</v>
      </c>
      <c r="V20" s="22">
        <f t="shared" si="14"/>
        <v>799740435.57344007</v>
      </c>
      <c r="W20" s="22">
        <f t="shared" si="14"/>
        <v>862975528.84325886</v>
      </c>
      <c r="X20" s="22">
        <f t="shared" si="14"/>
        <v>1006658422.6161262</v>
      </c>
      <c r="Y20" s="22">
        <f t="shared" si="14"/>
        <v>999181183.57076836</v>
      </c>
      <c r="Z20" s="22">
        <f t="shared" si="14"/>
        <v>970175877.95861447</v>
      </c>
      <c r="AA20" s="22">
        <f t="shared" si="14"/>
        <v>1024930876.570779</v>
      </c>
      <c r="AB20" s="22">
        <f t="shared" si="14"/>
        <v>1076782302.7198486</v>
      </c>
      <c r="AC20" s="22">
        <f t="shared" si="14"/>
        <v>1216200448.5883508</v>
      </c>
      <c r="AD20" s="22">
        <f t="shared" si="14"/>
        <v>1340248370.2268784</v>
      </c>
      <c r="AE20" s="22">
        <f>SUM(AE6:AE8)</f>
        <v>1344607436.4590397</v>
      </c>
      <c r="AF20" s="22">
        <f>SUM(AF6:AF8)</f>
        <v>1183675038.834456</v>
      </c>
      <c r="AG20" s="22">
        <f>SUM(AG6:AG8)</f>
        <v>1251467329.9989552</v>
      </c>
      <c r="AH20" s="22">
        <f>SUM(AH6:AH8)</f>
        <v>1322114146.9001009</v>
      </c>
      <c r="AI20" s="22">
        <f t="shared" ref="AI20:AP20" si="15">SUM(AI6:AI8)</f>
        <v>1435571937.0101447</v>
      </c>
      <c r="AJ20" s="22">
        <f t="shared" si="15"/>
        <v>1463910510.5622401</v>
      </c>
      <c r="AK20" s="22">
        <f t="shared" si="15"/>
        <v>1455646063.2033727</v>
      </c>
      <c r="AL20" s="22">
        <f t="shared" si="15"/>
        <v>1387759826.235888</v>
      </c>
      <c r="AM20" s="22">
        <f t="shared" si="15"/>
        <v>1444237844.8798974</v>
      </c>
      <c r="AN20" s="22">
        <f t="shared" si="15"/>
        <v>1495603763.1966321</v>
      </c>
      <c r="AO20" s="22">
        <f t="shared" si="15"/>
        <v>1549215044.3847876</v>
      </c>
      <c r="AP20" s="22">
        <f t="shared" si="15"/>
        <v>1615650777.1715541</v>
      </c>
      <c r="AQ20" s="22"/>
      <c r="AR20" s="22"/>
      <c r="AS20" s="22"/>
      <c r="AT20" s="22"/>
      <c r="AU20" s="22"/>
    </row>
    <row r="21" spans="1:63" x14ac:dyDescent="0.25">
      <c r="A21" s="20" t="s">
        <v>95</v>
      </c>
      <c r="B21" s="21">
        <f>SUM(B9:B11)</f>
        <v>2019226</v>
      </c>
      <c r="C21" s="21">
        <f>SUM(C9:C11)</f>
        <v>20810791</v>
      </c>
      <c r="D21" s="21">
        <f t="shared" ref="D21:AD21" si="16">SUM(D9:D11)</f>
        <v>28428760</v>
      </c>
      <c r="E21" s="21">
        <f t="shared" si="16"/>
        <v>140551899</v>
      </c>
      <c r="F21" s="21">
        <f t="shared" si="16"/>
        <v>93666350</v>
      </c>
      <c r="G21" s="21">
        <f t="shared" si="16"/>
        <v>119841702</v>
      </c>
      <c r="H21" s="21">
        <f t="shared" si="16"/>
        <v>158914913</v>
      </c>
      <c r="I21" s="21">
        <f t="shared" si="16"/>
        <v>149408753</v>
      </c>
      <c r="J21" s="21">
        <f t="shared" si="16"/>
        <v>143336819</v>
      </c>
      <c r="K21" s="21">
        <f t="shared" si="16"/>
        <v>219111482</v>
      </c>
      <c r="L21" s="21">
        <f t="shared" si="16"/>
        <v>253935933</v>
      </c>
      <c r="M21" s="21">
        <f t="shared" si="16"/>
        <v>304814748</v>
      </c>
      <c r="N21" s="21">
        <f t="shared" si="16"/>
        <v>436600989</v>
      </c>
      <c r="O21" s="22">
        <f t="shared" si="16"/>
        <v>747429652</v>
      </c>
      <c r="P21" s="22">
        <f t="shared" si="16"/>
        <v>924057720</v>
      </c>
      <c r="Q21" s="22">
        <f t="shared" si="16"/>
        <v>634946256.2784493</v>
      </c>
      <c r="R21" s="22">
        <f t="shared" si="16"/>
        <v>694899095.79562092</v>
      </c>
      <c r="S21" s="22">
        <f t="shared" si="16"/>
        <v>757856895.16185915</v>
      </c>
      <c r="T21" s="22">
        <f t="shared" si="16"/>
        <v>769076611.41065371</v>
      </c>
      <c r="U21" s="22">
        <f t="shared" si="16"/>
        <v>773965764.33811224</v>
      </c>
      <c r="V21" s="22">
        <f t="shared" si="16"/>
        <v>803942301.43280184</v>
      </c>
      <c r="W21" s="22">
        <f t="shared" si="16"/>
        <v>867358424.00866723</v>
      </c>
      <c r="X21" s="22">
        <f t="shared" si="16"/>
        <v>1018245655.0595958</v>
      </c>
      <c r="Y21" s="22">
        <f t="shared" si="16"/>
        <v>1012330791.1575289</v>
      </c>
      <c r="Z21" s="22">
        <f t="shared" si="16"/>
        <v>984325020.34023631</v>
      </c>
      <c r="AA21" s="22">
        <f t="shared" si="16"/>
        <v>1040875593.6117476</v>
      </c>
      <c r="AB21" s="22">
        <f t="shared" si="16"/>
        <v>1105029867.164813</v>
      </c>
      <c r="AC21" s="22">
        <f t="shared" si="16"/>
        <v>1251399970.5533452</v>
      </c>
      <c r="AD21" s="22">
        <f t="shared" si="16"/>
        <v>1379703607.3381233</v>
      </c>
      <c r="AE21" s="22">
        <f>SUM(AE9:AE11)</f>
        <v>1385209101.1227424</v>
      </c>
      <c r="AF21" s="22">
        <f>SUM(AF9:AF11)</f>
        <v>1220188788.9901819</v>
      </c>
      <c r="AG21" s="22">
        <f>SUM(AG9:AG11)</f>
        <v>1289686035.2530522</v>
      </c>
      <c r="AH21" s="22">
        <f>SUM(AH9:AH11)</f>
        <v>1362744339.6203582</v>
      </c>
      <c r="AI21" s="22">
        <f t="shared" ref="AI21:AP21" si="17">SUM(AI9:AI11)</f>
        <v>1480095618.4880347</v>
      </c>
      <c r="AJ21" s="22">
        <f t="shared" si="17"/>
        <v>1509491895.2735009</v>
      </c>
      <c r="AK21" s="22">
        <f t="shared" si="17"/>
        <v>1500985676.9792726</v>
      </c>
      <c r="AL21" s="22">
        <f t="shared" si="17"/>
        <v>1431302066.9892087</v>
      </c>
      <c r="AM21" s="22">
        <f t="shared" si="17"/>
        <v>1488975535.4112382</v>
      </c>
      <c r="AN21" s="22">
        <f t="shared" si="17"/>
        <v>1542174856.6797214</v>
      </c>
      <c r="AO21" s="22">
        <f t="shared" si="17"/>
        <v>1597655820.8577452</v>
      </c>
      <c r="AP21" s="22">
        <f t="shared" si="17"/>
        <v>1665903640.5900383</v>
      </c>
      <c r="AQ21" s="22"/>
      <c r="AR21" s="22"/>
      <c r="AS21" s="22"/>
      <c r="AT21" s="22"/>
      <c r="AU21" s="22"/>
    </row>
    <row r="22" spans="1:63" x14ac:dyDescent="0.25">
      <c r="A22" s="20" t="s">
        <v>96</v>
      </c>
      <c r="B22" s="21">
        <f>SUM(B12:B14)</f>
        <v>6757367</v>
      </c>
      <c r="C22" s="21">
        <f>SUM(C12:C14)</f>
        <v>18632778</v>
      </c>
      <c r="D22" s="21">
        <f t="shared" ref="D22:L22" si="18">SUM(D12:D14)</f>
        <v>40677779</v>
      </c>
      <c r="E22" s="21">
        <f t="shared" si="18"/>
        <v>153491599</v>
      </c>
      <c r="F22" s="21">
        <f t="shared" si="18"/>
        <v>108706240</v>
      </c>
      <c r="G22" s="21">
        <f t="shared" si="18"/>
        <v>122493238</v>
      </c>
      <c r="H22" s="21">
        <f t="shared" si="18"/>
        <v>153657387</v>
      </c>
      <c r="I22" s="21">
        <f t="shared" si="18"/>
        <v>162404009</v>
      </c>
      <c r="J22" s="21">
        <f t="shared" si="18"/>
        <v>184978250</v>
      </c>
      <c r="K22" s="21">
        <f>SUM(K12:K14)</f>
        <v>251998461</v>
      </c>
      <c r="L22" s="21">
        <f t="shared" si="18"/>
        <v>242839424</v>
      </c>
      <c r="M22" s="21">
        <f>SUM(M12:M14)</f>
        <v>423571086</v>
      </c>
      <c r="N22" s="21">
        <f t="shared" ref="N22:AD22" si="19">SUM(N12:N14)</f>
        <v>544456324</v>
      </c>
      <c r="O22" s="22">
        <f t="shared" si="19"/>
        <v>842055596</v>
      </c>
      <c r="P22" s="22">
        <f t="shared" si="19"/>
        <v>957451239</v>
      </c>
      <c r="Q22" s="22">
        <f t="shared" si="19"/>
        <v>831616489.19403124</v>
      </c>
      <c r="R22" s="22">
        <f t="shared" si="19"/>
        <v>930221206.44025755</v>
      </c>
      <c r="S22" s="22">
        <f t="shared" si="19"/>
        <v>1011075039.7951747</v>
      </c>
      <c r="T22" s="22">
        <f t="shared" si="19"/>
        <v>1023793142.2957735</v>
      </c>
      <c r="U22" s="22">
        <f t="shared" si="19"/>
        <v>1021846467.8617924</v>
      </c>
      <c r="V22" s="22">
        <f t="shared" si="19"/>
        <v>1070711982.2991335</v>
      </c>
      <c r="W22" s="22">
        <f t="shared" si="19"/>
        <v>1151235190.186836</v>
      </c>
      <c r="X22" s="22">
        <f t="shared" si="19"/>
        <v>1350039760.2372229</v>
      </c>
      <c r="Y22" s="22">
        <f t="shared" si="19"/>
        <v>1341072636.5941896</v>
      </c>
      <c r="Z22" s="22">
        <f t="shared" si="19"/>
        <v>1302318677.6544828</v>
      </c>
      <c r="AA22" s="22">
        <f t="shared" si="19"/>
        <v>1377881473.5895081</v>
      </c>
      <c r="AB22" s="22">
        <f t="shared" si="19"/>
        <v>1460718019.4777291</v>
      </c>
      <c r="AC22" s="22">
        <f t="shared" si="19"/>
        <v>1654228027.5849915</v>
      </c>
      <c r="AD22" s="22">
        <f t="shared" si="19"/>
        <v>1823643606.0658622</v>
      </c>
      <c r="AE22" s="22">
        <f>SUM(AE12:AE14)</f>
        <v>1828735683.2618284</v>
      </c>
      <c r="AF22" s="22">
        <f>SUM(AF12:AF14)</f>
        <v>1608163098.7127237</v>
      </c>
      <c r="AG22" s="22">
        <f>SUM(AG12:AG14)</f>
        <v>1700913033.5514736</v>
      </c>
      <c r="AH22" s="22">
        <f>SUM(AH12:AH14)</f>
        <v>1797336840.1718304</v>
      </c>
      <c r="AI22" s="22">
        <f t="shared" ref="AI22:AP22" si="20">SUM(AI12:AI14)</f>
        <v>1952177979.1825151</v>
      </c>
      <c r="AJ22" s="22">
        <f t="shared" si="20"/>
        <v>1990786468.5761271</v>
      </c>
      <c r="AK22" s="22">
        <f t="shared" si="20"/>
        <v>1979499240.8599145</v>
      </c>
      <c r="AL22" s="22">
        <f t="shared" si="20"/>
        <v>1886315873.9184251</v>
      </c>
      <c r="AM22" s="22">
        <f t="shared" si="20"/>
        <v>1964034924.4603081</v>
      </c>
      <c r="AN22" s="22">
        <f t="shared" si="20"/>
        <v>2034085480.6913857</v>
      </c>
      <c r="AO22" s="22">
        <f t="shared" si="20"/>
        <v>2107221088.3721354</v>
      </c>
      <c r="AP22" s="22">
        <f t="shared" si="20"/>
        <v>2198299247.5110893</v>
      </c>
      <c r="AQ22" s="22"/>
      <c r="AR22" s="22"/>
      <c r="AS22" s="22"/>
      <c r="AT22" s="22"/>
      <c r="AU22" s="22"/>
    </row>
    <row r="23" spans="1:63" x14ac:dyDescent="0.25">
      <c r="A23" s="20" t="s">
        <v>58</v>
      </c>
      <c r="B23" s="21">
        <f>SUM(B19:B22)</f>
        <v>8782623</v>
      </c>
      <c r="C23" s="21">
        <f t="shared" ref="C23:J23" si="21">SUM(C19:C22)</f>
        <v>62047323</v>
      </c>
      <c r="D23" s="21">
        <f t="shared" si="21"/>
        <v>102680060</v>
      </c>
      <c r="E23" s="21">
        <f t="shared" si="21"/>
        <v>373544832</v>
      </c>
      <c r="F23" s="21">
        <f t="shared" si="21"/>
        <v>452427620</v>
      </c>
      <c r="G23" s="21">
        <f t="shared" si="21"/>
        <v>461872073</v>
      </c>
      <c r="H23" s="21">
        <f t="shared" si="21"/>
        <v>546637626</v>
      </c>
      <c r="I23" s="21">
        <f t="shared" si="21"/>
        <v>570544847</v>
      </c>
      <c r="J23" s="21">
        <f t="shared" si="21"/>
        <v>602548504</v>
      </c>
      <c r="K23" s="21">
        <f>SUM(K19:K22)</f>
        <v>878865437</v>
      </c>
      <c r="L23" s="21">
        <f t="shared" ref="L23:AD23" si="22">SUM(L19:L22)</f>
        <v>949790285</v>
      </c>
      <c r="M23" s="21">
        <f t="shared" si="22"/>
        <v>1291683037</v>
      </c>
      <c r="N23" s="21">
        <f t="shared" si="22"/>
        <v>1867879622</v>
      </c>
      <c r="O23" s="22">
        <f t="shared" si="22"/>
        <v>2908193168</v>
      </c>
      <c r="P23" s="22">
        <f t="shared" si="22"/>
        <v>3563930563</v>
      </c>
      <c r="Q23" s="22">
        <f t="shared" si="22"/>
        <v>2774400974.4209366</v>
      </c>
      <c r="R23" s="22">
        <f t="shared" si="22"/>
        <v>2962799613.1736603</v>
      </c>
      <c r="S23" s="22">
        <f t="shared" si="22"/>
        <v>3218917266.5645237</v>
      </c>
      <c r="T23" s="22">
        <f t="shared" si="22"/>
        <v>3254906566.0596151</v>
      </c>
      <c r="U23" s="22">
        <f t="shared" si="22"/>
        <v>3257932185.7916126</v>
      </c>
      <c r="V23" s="22">
        <f t="shared" si="22"/>
        <v>3382573255.2890577</v>
      </c>
      <c r="W23" s="22">
        <f t="shared" si="22"/>
        <v>3651203110.3205147</v>
      </c>
      <c r="X23" s="22">
        <f t="shared" si="22"/>
        <v>4273943245.6252842</v>
      </c>
      <c r="Y23" s="22">
        <f t="shared" si="22"/>
        <v>4245111377.7250657</v>
      </c>
      <c r="Z23" s="22">
        <f t="shared" si="22"/>
        <v>4123727321.9107871</v>
      </c>
      <c r="AA23" s="22">
        <f t="shared" si="22"/>
        <v>4359803492.4501266</v>
      </c>
      <c r="AB23" s="22">
        <f t="shared" si="22"/>
        <v>4609790575.5408516</v>
      </c>
      <c r="AC23" s="22">
        <f t="shared" si="22"/>
        <v>5215627237.6003914</v>
      </c>
      <c r="AD23" s="22">
        <f t="shared" si="22"/>
        <v>5749074746.85359</v>
      </c>
      <c r="AE23" s="22">
        <f>SUM(AE19:AE22)</f>
        <v>5768285293.7993517</v>
      </c>
      <c r="AF23" s="22">
        <f>SUM(AF19:AF22)</f>
        <v>5077281370.5986919</v>
      </c>
      <c r="AG23" s="22">
        <f>SUM(AG19:AG22)</f>
        <v>5368344337.7588329</v>
      </c>
      <c r="AH23" s="22">
        <f>SUM(AH19:AH22)</f>
        <v>5672076222.2145452</v>
      </c>
      <c r="AI23" s="22">
        <f t="shared" ref="AI23:AP23" si="23">SUM(AI19:AI22)</f>
        <v>6159956846.8081131</v>
      </c>
      <c r="AJ23" s="22">
        <f t="shared" si="23"/>
        <v>6281866311.1307621</v>
      </c>
      <c r="AK23" s="22">
        <f t="shared" si="23"/>
        <v>6246391072.7076387</v>
      </c>
      <c r="AL23" s="22">
        <f t="shared" si="23"/>
        <v>5954718143.3835287</v>
      </c>
      <c r="AM23" s="22">
        <f t="shared" si="23"/>
        <v>6197173826.350625</v>
      </c>
      <c r="AN23" s="22">
        <f t="shared" si="23"/>
        <v>6418083236.673748</v>
      </c>
      <c r="AO23" s="22">
        <f t="shared" si="23"/>
        <v>6648636483.6768703</v>
      </c>
      <c r="AP23" s="22">
        <f t="shared" si="23"/>
        <v>6934090018.9107838</v>
      </c>
      <c r="AQ23" s="22"/>
      <c r="AR23" s="22"/>
      <c r="AS23" s="22"/>
      <c r="AT23" s="22"/>
      <c r="AU23" s="22"/>
    </row>
    <row r="26" spans="1:63" x14ac:dyDescent="0.25">
      <c r="A26" s="20" t="s">
        <v>133</v>
      </c>
      <c r="AW26" s="20" t="s">
        <v>134</v>
      </c>
    </row>
    <row r="27" spans="1:63" x14ac:dyDescent="0.25">
      <c r="B27" s="20">
        <f>B2</f>
        <v>2010</v>
      </c>
      <c r="C27" s="20">
        <f t="shared" ref="C27:AD27" si="24">C2</f>
        <v>2011</v>
      </c>
      <c r="D27" s="20">
        <f t="shared" si="24"/>
        <v>2012</v>
      </c>
      <c r="E27" s="20">
        <f t="shared" si="24"/>
        <v>2013</v>
      </c>
      <c r="F27" s="20">
        <f t="shared" si="24"/>
        <v>2014</v>
      </c>
      <c r="G27" s="20">
        <f t="shared" si="24"/>
        <v>2015</v>
      </c>
      <c r="H27" s="20">
        <f t="shared" si="24"/>
        <v>2016</v>
      </c>
      <c r="I27" s="20">
        <f t="shared" si="24"/>
        <v>2017</v>
      </c>
      <c r="J27" s="20">
        <f t="shared" si="24"/>
        <v>2018</v>
      </c>
      <c r="K27" s="20">
        <f t="shared" si="24"/>
        <v>2019</v>
      </c>
      <c r="L27" s="20">
        <f t="shared" si="24"/>
        <v>2020</v>
      </c>
      <c r="M27" s="20">
        <f t="shared" si="24"/>
        <v>2021</v>
      </c>
      <c r="N27" s="20">
        <f t="shared" si="24"/>
        <v>2022</v>
      </c>
      <c r="O27" s="20">
        <f t="shared" si="24"/>
        <v>2023</v>
      </c>
      <c r="P27" s="20">
        <f t="shared" si="24"/>
        <v>2024</v>
      </c>
      <c r="Q27" s="20">
        <f t="shared" si="24"/>
        <v>2025</v>
      </c>
      <c r="R27" s="20">
        <f t="shared" si="24"/>
        <v>2026</v>
      </c>
      <c r="S27" s="20">
        <f t="shared" si="24"/>
        <v>2027</v>
      </c>
      <c r="T27" s="20">
        <f t="shared" si="24"/>
        <v>2028</v>
      </c>
      <c r="U27" s="20">
        <f t="shared" si="24"/>
        <v>2029</v>
      </c>
      <c r="V27" s="20">
        <f t="shared" si="24"/>
        <v>2030</v>
      </c>
      <c r="W27" s="20">
        <f t="shared" si="24"/>
        <v>2031</v>
      </c>
      <c r="X27" s="20">
        <f t="shared" si="24"/>
        <v>2032</v>
      </c>
      <c r="Y27" s="20">
        <f t="shared" si="24"/>
        <v>2033</v>
      </c>
      <c r="Z27" s="20">
        <f t="shared" si="24"/>
        <v>2034</v>
      </c>
      <c r="AA27" s="20">
        <f t="shared" si="24"/>
        <v>2035</v>
      </c>
      <c r="AB27" s="20">
        <f t="shared" si="24"/>
        <v>2036</v>
      </c>
      <c r="AC27" s="20">
        <f t="shared" si="24"/>
        <v>2037</v>
      </c>
      <c r="AD27" s="20">
        <f t="shared" si="24"/>
        <v>2038</v>
      </c>
      <c r="AE27" s="20">
        <f>AE2</f>
        <v>2039</v>
      </c>
      <c r="AF27" s="20">
        <f>AF2</f>
        <v>2040</v>
      </c>
      <c r="AG27" s="20">
        <f>AG2</f>
        <v>2041</v>
      </c>
      <c r="AH27" s="20">
        <f>AH2</f>
        <v>2042</v>
      </c>
      <c r="AI27" s="20">
        <f t="shared" ref="AI27:AP27" si="25">AI2</f>
        <v>2043</v>
      </c>
      <c r="AJ27" s="20">
        <f t="shared" si="25"/>
        <v>2044</v>
      </c>
      <c r="AK27" s="20">
        <f t="shared" si="25"/>
        <v>2045</v>
      </c>
      <c r="AL27" s="20">
        <f t="shared" si="25"/>
        <v>2046</v>
      </c>
      <c r="AM27" s="20">
        <f t="shared" si="25"/>
        <v>2047</v>
      </c>
      <c r="AN27" s="20">
        <f t="shared" si="25"/>
        <v>2048</v>
      </c>
      <c r="AO27" s="20">
        <f t="shared" si="25"/>
        <v>2049</v>
      </c>
      <c r="AP27" s="20">
        <f t="shared" si="25"/>
        <v>2050</v>
      </c>
      <c r="AW27" s="20">
        <v>2018</v>
      </c>
      <c r="AY27" s="20">
        <v>2019</v>
      </c>
      <c r="BA27" s="20">
        <v>2020</v>
      </c>
      <c r="BC27" s="20">
        <v>2021</v>
      </c>
      <c r="BE27" s="20">
        <v>2022</v>
      </c>
      <c r="BF27" s="20">
        <v>2023</v>
      </c>
      <c r="BG27" s="20">
        <v>2024</v>
      </c>
      <c r="BH27" s="20" t="s">
        <v>103</v>
      </c>
      <c r="BJ27" s="20" t="s">
        <v>104</v>
      </c>
    </row>
    <row r="28" spans="1:63" x14ac:dyDescent="0.25">
      <c r="A28" s="20" t="s">
        <v>93</v>
      </c>
      <c r="B28" s="21"/>
      <c r="C28" s="21">
        <f>'[2]US LCFS'!$O2</f>
        <v>325266</v>
      </c>
      <c r="D28" s="21">
        <f>'[2]US LCFS'!$O6</f>
        <v>712233</v>
      </c>
      <c r="E28" s="21">
        <f>'[2]US LCFS'!$O10</f>
        <v>8182191</v>
      </c>
      <c r="F28" s="21">
        <f>'[2]US LCFS'!$O14</f>
        <v>25871987</v>
      </c>
      <c r="G28" s="21">
        <f>'[2]US LCFS'!$O18</f>
        <v>27058770</v>
      </c>
      <c r="H28" s="21">
        <f>'[2]US LCFS'!$O22</f>
        <v>43663408</v>
      </c>
      <c r="I28" s="21">
        <f>'[2]US LCFS'!$O26</f>
        <v>68700606</v>
      </c>
      <c r="J28" s="21">
        <f>'[2]US LCFS'!$O30</f>
        <v>93949619</v>
      </c>
      <c r="K28" s="21">
        <f>'[2]US LCFS'!$O34</f>
        <v>159583033</v>
      </c>
      <c r="L28" s="21">
        <f>'[2]US LCFS'!$O38</f>
        <v>130973476</v>
      </c>
      <c r="M28" s="21">
        <f>'[2]US LCFS'!$O42</f>
        <v>199089761</v>
      </c>
      <c r="N28" s="21">
        <f>'[6]EMTS-CARB Forecast'!$M$71</f>
        <v>320411961</v>
      </c>
      <c r="O28" s="21">
        <f>'[6]EMTS-CARB Forecast'!N71</f>
        <v>404778818</v>
      </c>
      <c r="P28" s="21">
        <f>'[6]EMTS-CARB Forecast'!O71</f>
        <v>518276102</v>
      </c>
      <c r="Q28" s="22">
        <f>'[6]EMTS-CARB Forecast'!P71</f>
        <v>441392098.30412436</v>
      </c>
      <c r="R28" s="22">
        <f>'[6]EMTS-CARB Forecast'!Q71</f>
        <v>435242703.72862172</v>
      </c>
      <c r="S28" s="22">
        <f>'[6]EMTS-CARB Forecast'!R71</f>
        <v>468452381.24155182</v>
      </c>
      <c r="T28" s="22">
        <f>'[6]EMTS-CARB Forecast'!S71</f>
        <v>437499728.24064165</v>
      </c>
      <c r="U28" s="22">
        <f>'[6]EMTS-CARB Forecast'!T71</f>
        <v>441653949.26244438</v>
      </c>
      <c r="V28" s="22">
        <f>'[6]EMTS-CARB Forecast'!U71</f>
        <v>457905990.37526339</v>
      </c>
      <c r="W28" s="22">
        <f>'[6]EMTS-CARB Forecast'!V71</f>
        <v>488363374.53187293</v>
      </c>
      <c r="X28" s="22">
        <f>'[6]EMTS-CARB Forecast'!W71</f>
        <v>565987488.62687504</v>
      </c>
      <c r="Y28" s="22">
        <f>'[6]EMTS-CARB Forecast'!X71</f>
        <v>563694208.8733319</v>
      </c>
      <c r="Z28" s="22">
        <f>'[6]EMTS-CARB Forecast'!Y71</f>
        <v>550423422.69853616</v>
      </c>
      <c r="AA28" s="22">
        <f>'[6]EMTS-CARB Forecast'!Z71</f>
        <v>597355897.36293328</v>
      </c>
      <c r="AB28" s="22">
        <f>'[6]EMTS-CARB Forecast'!AA71</f>
        <v>626240549.77102923</v>
      </c>
      <c r="AC28" s="22">
        <f>'[6]EMTS-CARB Forecast'!AB71</f>
        <v>698352198.17105341</v>
      </c>
      <c r="AD28" s="22">
        <f>'[6]EMTS-CARB Forecast'!AC71</f>
        <v>762038828.19258916</v>
      </c>
      <c r="AE28" s="22">
        <f>'[6]EMTS-CARB Forecast'!AD71</f>
        <v>764247987.97750187</v>
      </c>
      <c r="AF28" s="22">
        <f>'[6]EMTS-CARB Forecast'!AE71</f>
        <v>682211338.46165061</v>
      </c>
      <c r="AG28" s="22">
        <f>'[6]EMTS-CARB Forecast'!AF71</f>
        <v>716861869.27876437</v>
      </c>
      <c r="AH28" s="22">
        <f>'[6]EMTS-CARB Forecast'!AG71</f>
        <v>753054729.16776323</v>
      </c>
      <c r="AI28" s="22">
        <f>'[6]EMTS-CARB Forecast'!AH71</f>
        <v>811278211.00181544</v>
      </c>
      <c r="AJ28" s="22">
        <f>'[6]EMTS-CARB Forecast'!AI71</f>
        <v>825791910.62370121</v>
      </c>
      <c r="AK28" s="22">
        <f>'[6]EMTS-CARB Forecast'!AJ71</f>
        <v>821566450.25805104</v>
      </c>
      <c r="AL28" s="22">
        <f>'[6]EMTS-CARB Forecast'!AK71</f>
        <v>786893986.2788527</v>
      </c>
      <c r="AM28" s="22">
        <f>'[6]EMTS-CARB Forecast'!AL71</f>
        <v>815689401.72945344</v>
      </c>
      <c r="AN28" s="22">
        <f>'[6]EMTS-CARB Forecast'!AM71</f>
        <v>842043293.55448699</v>
      </c>
      <c r="AO28" s="22">
        <f>'[6]EMTS-CARB Forecast'!AN71</f>
        <v>869551679.22900116</v>
      </c>
      <c r="AP28" s="22">
        <f>'[6]EMTS-CARB Forecast'!AO71</f>
        <v>903526331.74664557</v>
      </c>
      <c r="AQ28" s="22"/>
      <c r="AR28" s="22"/>
      <c r="AS28" s="26">
        <f>(O28/O27)-1</f>
        <v>200087.39248640632</v>
      </c>
      <c r="AT28" s="22"/>
      <c r="AU28" s="22"/>
      <c r="AW28" s="21">
        <v>112500000</v>
      </c>
      <c r="AX28" s="21">
        <f>J28-AW28</f>
        <v>-18550381</v>
      </c>
      <c r="AY28" s="21">
        <v>137500000</v>
      </c>
      <c r="AZ28" s="21">
        <f>K28-AY28</f>
        <v>22083033</v>
      </c>
      <c r="BA28" s="21">
        <v>162500000</v>
      </c>
      <c r="BB28" s="21">
        <f>L28-BA28</f>
        <v>-31526524</v>
      </c>
      <c r="BC28" s="21">
        <v>162500000</v>
      </c>
      <c r="BD28" s="21">
        <f>M28-BC28</f>
        <v>36589761</v>
      </c>
      <c r="BE28" s="21">
        <f>BC28</f>
        <v>162500000</v>
      </c>
      <c r="BF28" s="21">
        <v>162500000</v>
      </c>
      <c r="BG28" s="21">
        <v>162500000</v>
      </c>
      <c r="BH28" s="22">
        <v>125670572.07483685</v>
      </c>
      <c r="BI28" s="21">
        <f>K28-BH28</f>
        <v>33912460.92516315</v>
      </c>
      <c r="BJ28" s="22">
        <v>115883561.56881036</v>
      </c>
      <c r="BK28" s="21">
        <f>L28-BJ28</f>
        <v>15089914.431189641</v>
      </c>
    </row>
    <row r="29" spans="1:63" x14ac:dyDescent="0.25">
      <c r="A29" s="20" t="s">
        <v>94</v>
      </c>
      <c r="B29" s="21"/>
      <c r="C29" s="21">
        <f>'[2]US LCFS'!$O3</f>
        <v>356935</v>
      </c>
      <c r="D29" s="21">
        <f>'[2]US LCFS'!$O7</f>
        <v>723231</v>
      </c>
      <c r="E29" s="21">
        <f>'[2]US LCFS'!$O11</f>
        <v>23562582</v>
      </c>
      <c r="F29" s="21">
        <f>'[2]US LCFS'!$O15</f>
        <v>26668165</v>
      </c>
      <c r="G29" s="21">
        <f>'[2]US LCFS'!$O19</f>
        <v>40776364</v>
      </c>
      <c r="H29" s="21">
        <f>'[2]US LCFS'!$O23</f>
        <v>75711296</v>
      </c>
      <c r="I29" s="21">
        <f>'[2]US LCFS'!$O27</f>
        <v>94202959</v>
      </c>
      <c r="J29" s="21">
        <f>'[2]US LCFS'!$O31</f>
        <v>100488727</v>
      </c>
      <c r="K29" s="21">
        <f>'[2]US LCFS'!$O35</f>
        <v>160308777</v>
      </c>
      <c r="L29" s="21">
        <f>'[2]US LCFS'!$O39</f>
        <v>151994539</v>
      </c>
      <c r="M29" s="21">
        <f>'[2]US LCFS'!$O43</f>
        <v>218785737</v>
      </c>
      <c r="N29" s="21">
        <f>'[6]EMTS-CARB Forecast'!M72</f>
        <v>349244307</v>
      </c>
      <c r="O29" s="21">
        <f>'[6]EMTS-CARB Forecast'!N72</f>
        <v>481200270</v>
      </c>
      <c r="P29" s="21">
        <f>'[6]EMTS-CARB Forecast'!O72</f>
        <v>603001119</v>
      </c>
      <c r="Q29" s="22">
        <f>'[6]EMTS-CARB Forecast'!P72</f>
        <v>448048628.67725605</v>
      </c>
      <c r="R29" s="22">
        <f>'[6]EMTS-CARB Forecast'!Q72</f>
        <v>481685510.6530391</v>
      </c>
      <c r="S29" s="22">
        <f>'[6]EMTS-CARB Forecast'!R72</f>
        <v>520037290.02228367</v>
      </c>
      <c r="T29" s="22">
        <f>'[6]EMTS-CARB Forecast'!S72</f>
        <v>479816959.64220887</v>
      </c>
      <c r="U29" s="22">
        <f>'[6]EMTS-CARB Forecast'!T72</f>
        <v>482993915.37878895</v>
      </c>
      <c r="V29" s="22">
        <f>'[6]EMTS-CARB Forecast'!U72</f>
        <v>502676386.3842321</v>
      </c>
      <c r="W29" s="22">
        <f>'[6]EMTS-CARB Forecast'!V72</f>
        <v>543253020.4204582</v>
      </c>
      <c r="X29" s="22">
        <f>'[6]EMTS-CARB Forecast'!W72</f>
        <v>637638770.8849324</v>
      </c>
      <c r="Y29" s="22">
        <f>'[6]EMTS-CARB Forecast'!X72</f>
        <v>634373282.50756216</v>
      </c>
      <c r="Z29" s="22">
        <f>'[6]EMTS-CARB Forecast'!Y72</f>
        <v>617728836.34862733</v>
      </c>
      <c r="AA29" s="22">
        <f>'[6]EMTS-CARB Forecast'!Z72</f>
        <v>681437256.43705606</v>
      </c>
      <c r="AB29" s="22">
        <f>'[6]EMTS-CARB Forecast'!AA72</f>
        <v>714100472.41606462</v>
      </c>
      <c r="AC29" s="22">
        <f>'[6]EMTS-CARB Forecast'!AB72</f>
        <v>802391397.03057671</v>
      </c>
      <c r="AD29" s="22">
        <f>'[6]EMTS-CARB Forecast'!AC72</f>
        <v>880332584.62870514</v>
      </c>
      <c r="AE29" s="22">
        <f>'[6]EMTS-CARB Forecast'!AD72</f>
        <v>883132983.64518952</v>
      </c>
      <c r="AF29" s="22">
        <f>'[6]EMTS-CARB Forecast'!AE72</f>
        <v>781661501.14096463</v>
      </c>
      <c r="AG29" s="22">
        <f>'[6]EMTS-CARB Forecast'!AF72</f>
        <v>824409154.43465614</v>
      </c>
      <c r="AH29" s="22">
        <f>'[6]EMTS-CARB Forecast'!AG72</f>
        <v>868985733.89157319</v>
      </c>
      <c r="AI29" s="22">
        <f>'[6]EMTS-CARB Forecast'!AH72</f>
        <v>940555217.43616748</v>
      </c>
      <c r="AJ29" s="22">
        <f>'[6]EMTS-CARB Forecast'!AI72</f>
        <v>958356668.95722461</v>
      </c>
      <c r="AK29" s="22">
        <f>'[6]EMTS-CARB Forecast'!AJ72</f>
        <v>953165471.61927867</v>
      </c>
      <c r="AL29" s="22">
        <f>'[6]EMTS-CARB Forecast'!AK72</f>
        <v>910362967.28416407</v>
      </c>
      <c r="AM29" s="22">
        <f>'[6]EMTS-CARB Forecast'!AL72</f>
        <v>945981114.62157309</v>
      </c>
      <c r="AN29" s="22">
        <f>'[6]EMTS-CARB Forecast'!AM72</f>
        <v>978370891.46023762</v>
      </c>
      <c r="AO29" s="22">
        <f>'[6]EMTS-CARB Forecast'!AN72</f>
        <v>1012164689.9985688</v>
      </c>
      <c r="AP29" s="22">
        <f>'[6]EMTS-CARB Forecast'!AO72</f>
        <v>1054049416.9938188</v>
      </c>
      <c r="AQ29" s="22"/>
      <c r="AR29" s="22"/>
      <c r="AS29" s="26">
        <f>(O29/O28)-1</f>
        <v>0.1887980511865619</v>
      </c>
      <c r="AT29" s="22"/>
      <c r="AU29" s="22"/>
      <c r="AW29" s="21">
        <v>112500000</v>
      </c>
      <c r="AX29" s="21">
        <f>J29-AW29</f>
        <v>-12011273</v>
      </c>
      <c r="AY29" s="21">
        <v>137500000</v>
      </c>
      <c r="AZ29" s="21">
        <f>K29-AY29</f>
        <v>22808777</v>
      </c>
      <c r="BA29" s="21">
        <v>162500000</v>
      </c>
      <c r="BB29" s="21">
        <f>L29-BA29</f>
        <v>-10505461</v>
      </c>
      <c r="BC29" s="21">
        <v>162500000</v>
      </c>
      <c r="BD29" s="21">
        <f>M29-BC29</f>
        <v>56285737</v>
      </c>
      <c r="BE29" s="21">
        <f>BC29</f>
        <v>162500000</v>
      </c>
      <c r="BF29" s="21">
        <v>162500000</v>
      </c>
      <c r="BG29" s="21">
        <v>162500000</v>
      </c>
      <c r="BH29" s="22">
        <v>151065024.71081865</v>
      </c>
      <c r="BI29" s="21">
        <f>K29-BH29</f>
        <v>9243752.2891813517</v>
      </c>
      <c r="BJ29" s="22">
        <v>174688641.81581211</v>
      </c>
      <c r="BK29" s="21">
        <f>L29-BJ29</f>
        <v>-22694102.815812111</v>
      </c>
    </row>
    <row r="30" spans="1:63" x14ac:dyDescent="0.25">
      <c r="A30" s="20" t="s">
        <v>95</v>
      </c>
      <c r="B30" s="21"/>
      <c r="C30" s="21">
        <f>'[2]US LCFS'!$O4</f>
        <v>462226</v>
      </c>
      <c r="D30" s="21">
        <f>'[2]US LCFS'!$O8</f>
        <v>843696</v>
      </c>
      <c r="E30" s="21">
        <f>'[2]US LCFS'!$O12</f>
        <v>40409392</v>
      </c>
      <c r="F30" s="21">
        <f>'[2]US LCFS'!$O16</f>
        <v>36487197</v>
      </c>
      <c r="G30" s="21">
        <f>'[2]US LCFS'!$O20</f>
        <v>51165569</v>
      </c>
      <c r="H30" s="21">
        <f>'[2]US LCFS'!$O24</f>
        <v>63846512</v>
      </c>
      <c r="I30" s="21">
        <f>'[2]US LCFS'!$O28</f>
        <v>95429959</v>
      </c>
      <c r="J30" s="21">
        <f>'[2]US LCFS'!$O32</f>
        <v>79736407</v>
      </c>
      <c r="K30" s="21">
        <f>'[2]US LCFS'!$O36</f>
        <v>133219894</v>
      </c>
      <c r="L30" s="21">
        <f>'[2]US LCFS'!$O40</f>
        <v>140072718</v>
      </c>
      <c r="M30" s="21">
        <f>'[2]US LCFS'!$O44</f>
        <v>250252477</v>
      </c>
      <c r="N30" s="21">
        <f>'[6]EMTS-CARB Forecast'!M73</f>
        <v>352249753</v>
      </c>
      <c r="O30" s="21">
        <f>'[6]EMTS-CARB Forecast'!N73</f>
        <v>531797418</v>
      </c>
      <c r="P30" s="22">
        <f>'[6]EMTS-CARB Forecast'!O73</f>
        <v>524507607</v>
      </c>
      <c r="Q30" s="22">
        <f>'[6]EMTS-CARB Forecast'!P73</f>
        <v>580142708.42761922</v>
      </c>
      <c r="R30" s="22">
        <f>'[6]EMTS-CARB Forecast'!Q73</f>
        <v>501478189.69605738</v>
      </c>
      <c r="S30" s="22">
        <f>'[6]EMTS-CARB Forecast'!R73</f>
        <v>539344148.76246023</v>
      </c>
      <c r="T30" s="22">
        <f>'[6]EMTS-CARB Forecast'!S73</f>
        <v>519230734.04251754</v>
      </c>
      <c r="U30" s="22">
        <f>'[6]EMTS-CARB Forecast'!T73</f>
        <v>522557488.62159789</v>
      </c>
      <c r="V30" s="22">
        <f>'[6]EMTS-CARB Forecast'!U73</f>
        <v>526923668.17243147</v>
      </c>
      <c r="W30" s="22">
        <f>'[6]EMTS-CARB Forecast'!V73</f>
        <v>518055592.80000424</v>
      </c>
      <c r="X30" s="22">
        <f>'[6]EMTS-CARB Forecast'!W73</f>
        <v>476457180.44928277</v>
      </c>
      <c r="Y30" s="22">
        <f>'[6]EMTS-CARB Forecast'!X73</f>
        <v>488127941.6923871</v>
      </c>
      <c r="Z30" s="22">
        <f>'[6]EMTS-CARB Forecast'!Y73</f>
        <v>489717428.73218971</v>
      </c>
      <c r="AA30" s="22">
        <f>'[6]EMTS-CARB Forecast'!Z73</f>
        <v>475454095.57633203</v>
      </c>
      <c r="AB30" s="22">
        <f>'[6]EMTS-CARB Forecast'!AA73</f>
        <v>462915571.73733294</v>
      </c>
      <c r="AC30" s="22">
        <f>'[6]EMTS-CARB Forecast'!AB73</f>
        <v>432151022.6796242</v>
      </c>
      <c r="AD30" s="22">
        <f>'[6]EMTS-CARB Forecast'!AC73</f>
        <v>406235513.54811674</v>
      </c>
      <c r="AE30" s="22">
        <f>'[6]EMTS-CARB Forecast'!AD73</f>
        <v>406097396.54130715</v>
      </c>
      <c r="AF30" s="22">
        <f>'[6]EMTS-CARB Forecast'!AE73</f>
        <v>438878970.79290259</v>
      </c>
      <c r="AG30" s="22">
        <f>'[6]EMTS-CARB Forecast'!AF73</f>
        <v>424887067.17987251</v>
      </c>
      <c r="AH30" s="22">
        <f>'[6]EMTS-CARB Forecast'!AG73</f>
        <v>410019394.08045232</v>
      </c>
      <c r="AI30" s="22">
        <f>'[6]EMTS-CARB Forecast'!AH73</f>
        <v>386088752.11267579</v>
      </c>
      <c r="AJ30" s="22">
        <f>'[6]EMTS-CARB Forecast'!AI73</f>
        <v>380356193.97505397</v>
      </c>
      <c r="AK30" s="22">
        <f>'[6]EMTS-CARB Forecast'!AJ73</f>
        <v>382035989.26604289</v>
      </c>
      <c r="AL30" s="22">
        <f>'[6]EMTS-CARB Forecast'!AK73</f>
        <v>396211208.41308045</v>
      </c>
      <c r="AM30" s="22">
        <f>'[6]EMTS-CARB Forecast'!AL73</f>
        <v>384449996.69452965</v>
      </c>
      <c r="AN30" s="22">
        <f>'[6]EMTS-CARB Forecast'!AM73</f>
        <v>373653632.48190463</v>
      </c>
      <c r="AO30" s="22">
        <f>'[6]EMTS-CARB Forecast'!AN73</f>
        <v>362414976.47504884</v>
      </c>
      <c r="AP30" s="22">
        <f>'[6]EMTS-CARB Forecast'!AO73</f>
        <v>348564488.06993872</v>
      </c>
      <c r="AQ30" s="22"/>
      <c r="AR30" s="22"/>
      <c r="AS30" s="26">
        <f>(O30/O29)-1</f>
        <v>0.10514779636345595</v>
      </c>
      <c r="AT30" s="22"/>
      <c r="AU30" s="22"/>
      <c r="AW30" s="21">
        <v>112500000</v>
      </c>
      <c r="AX30" s="21">
        <f>J30-AW30</f>
        <v>-32763593</v>
      </c>
      <c r="AY30" s="21">
        <v>137500000</v>
      </c>
      <c r="AZ30" s="21">
        <f>K30-AY30</f>
        <v>-4280106</v>
      </c>
      <c r="BA30" s="21">
        <v>162500000</v>
      </c>
      <c r="BB30" s="21">
        <f>L30-BA30</f>
        <v>-22427282</v>
      </c>
      <c r="BC30" s="21">
        <v>162500000</v>
      </c>
      <c r="BD30" s="21">
        <f>M30-BC30</f>
        <v>87752477</v>
      </c>
      <c r="BE30" s="21">
        <f>BC30</f>
        <v>162500000</v>
      </c>
      <c r="BF30" s="21">
        <v>162500000</v>
      </c>
      <c r="BG30" s="21">
        <v>162500000</v>
      </c>
      <c r="BH30" s="22">
        <v>93715612.10933876</v>
      </c>
      <c r="BI30" s="21">
        <f>K30-BH30</f>
        <v>39504281.89066124</v>
      </c>
      <c r="BJ30" s="22">
        <v>115723379.00051017</v>
      </c>
      <c r="BK30" s="21">
        <f>L30-BJ30</f>
        <v>24349338.999489829</v>
      </c>
    </row>
    <row r="31" spans="1:63" x14ac:dyDescent="0.25">
      <c r="A31" s="20" t="s">
        <v>96</v>
      </c>
      <c r="B31" s="21"/>
      <c r="C31" s="21">
        <f>'[2]US LCFS'!$O5</f>
        <v>659061</v>
      </c>
      <c r="D31" s="21">
        <f>'[2]US LCFS'!$O9</f>
        <v>6535747</v>
      </c>
      <c r="E31" s="21">
        <f>'[2]US LCFS'!$O13</f>
        <v>44784857</v>
      </c>
      <c r="F31" s="21">
        <f>'[2]US LCFS'!$O17</f>
        <v>23817520</v>
      </c>
      <c r="G31" s="21">
        <f>'[2]US LCFS'!$O21</f>
        <v>46155232</v>
      </c>
      <c r="H31" s="21">
        <f>'[2]US LCFS'!$O25</f>
        <v>72449941</v>
      </c>
      <c r="I31" s="21">
        <f>'[2]US LCFS'!$O29</f>
        <v>77130870</v>
      </c>
      <c r="J31" s="21">
        <f>'[2]US LCFS'!$O33</f>
        <v>109391300</v>
      </c>
      <c r="K31" s="21">
        <f>'[2]US LCFS'!$O37</f>
        <v>164778486</v>
      </c>
      <c r="L31" s="21">
        <f>'[2]US LCFS'!$O41</f>
        <v>165950498</v>
      </c>
      <c r="M31" s="21">
        <f>'[6]EMTS-CARB Forecast'!$L$74</f>
        <v>272878865</v>
      </c>
      <c r="N31" s="21">
        <f>'[6]EMTS-CARB Forecast'!M74</f>
        <v>372139289</v>
      </c>
      <c r="O31" s="21">
        <f>'[6]EMTS-CARB Forecast'!N74</f>
        <v>547388851</v>
      </c>
      <c r="P31" s="22">
        <f>'[6]EMTS-CARB Forecast'!O74</f>
        <v>573220407.04731023</v>
      </c>
      <c r="Q31" s="22">
        <f>'[6]EMTS-CARB Forecast'!P74</f>
        <v>532495252.03143936</v>
      </c>
      <c r="R31" s="22">
        <f>'[6]EMTS-CARB Forecast'!Q74</f>
        <v>593574181.46246314</v>
      </c>
      <c r="S31" s="22">
        <f>'[6]EMTS-CARB Forecast'!R74</f>
        <v>646634579.75410664</v>
      </c>
      <c r="T31" s="22">
        <f>'[6]EMTS-CARB Forecast'!S74</f>
        <v>612299475.63653946</v>
      </c>
      <c r="U31" s="22">
        <f>'[6]EMTS-CARB Forecast'!T74</f>
        <v>615049729.69131458</v>
      </c>
      <c r="V31" s="22">
        <f>'[6]EMTS-CARB Forecast'!U74</f>
        <v>646474633.97145259</v>
      </c>
      <c r="W31" s="22">
        <f>'[6]EMTS-CARB Forecast'!V74</f>
        <v>700074408.66560018</v>
      </c>
      <c r="X31" s="22">
        <f>'[6]EMTS-CARB Forecast'!W74</f>
        <v>829268595.02743423</v>
      </c>
      <c r="Y31" s="22">
        <f>'[6]EMTS-CARB Forecast'!X74</f>
        <v>825219699.01555443</v>
      </c>
      <c r="Z31" s="22">
        <f>'[6]EMTS-CARB Forecast'!Y74</f>
        <v>802174908.69859278</v>
      </c>
      <c r="AA31" s="22">
        <f>'[6]EMTS-CARB Forecast'!Z74</f>
        <v>876919676.23982084</v>
      </c>
      <c r="AB31" s="22">
        <f>'[6]EMTS-CARB Forecast'!AA74</f>
        <v>929572829.73443615</v>
      </c>
      <c r="AC31" s="22">
        <f>'[6]EMTS-CARB Forecast'!AB74</f>
        <v>1051518036.3121086</v>
      </c>
      <c r="AD31" s="22">
        <f>'[6]EMTS-CARB Forecast'!AC74</f>
        <v>1158856230.7201321</v>
      </c>
      <c r="AE31" s="22">
        <f>'[6]EMTS-CARB Forecast'!AD74</f>
        <v>1162069707.5825419</v>
      </c>
      <c r="AF31" s="22">
        <f>'[6]EMTS-CARB Forecast'!AE74</f>
        <v>1022560401.0602371</v>
      </c>
      <c r="AG31" s="22">
        <f>'[6]EMTS-CARB Forecast'!AF74</f>
        <v>1081218849.7814889</v>
      </c>
      <c r="AH31" s="22">
        <f>'[6]EMTS-CARB Forecast'!AG74</f>
        <v>1142177400.3623388</v>
      </c>
      <c r="AI31" s="22">
        <f>'[6]EMTS-CARB Forecast'!AH74</f>
        <v>1240016912.6396577</v>
      </c>
      <c r="AJ31" s="22">
        <f>'[6]EMTS-CARB Forecast'!AI74</f>
        <v>1264505495.5127242</v>
      </c>
      <c r="AK31" s="22">
        <f>'[6]EMTS-CARB Forecast'!AJ74</f>
        <v>1257352632.2861609</v>
      </c>
      <c r="AL31" s="22">
        <f>'[6]EMTS-CARB Forecast'!AK74</f>
        <v>1198433428.9788465</v>
      </c>
      <c r="AM31" s="22">
        <f>'[6]EMTS-CARB Forecast'!AL74</f>
        <v>1247565092.6154466</v>
      </c>
      <c r="AN31" s="22">
        <f>'[6]EMTS-CARB Forecast'!AM74</f>
        <v>1291850899.8254735</v>
      </c>
      <c r="AO31" s="22">
        <f>'[6]EMTS-CARB Forecast'!AN74</f>
        <v>1338091395.7129784</v>
      </c>
      <c r="AP31" s="22">
        <f>'[6]EMTS-CARB Forecast'!AO74</f>
        <v>1395681371.4513481</v>
      </c>
      <c r="AQ31" s="22"/>
      <c r="AR31" s="22"/>
      <c r="AS31" s="26">
        <f>(O31/O30)-1</f>
        <v>2.9318369123785493E-2</v>
      </c>
      <c r="AT31" s="22"/>
      <c r="AU31" s="22"/>
      <c r="AW31" s="21">
        <v>112500000</v>
      </c>
      <c r="AX31" s="21">
        <f>J31-AW31</f>
        <v>-3108700</v>
      </c>
      <c r="AY31" s="21">
        <v>137500000</v>
      </c>
      <c r="AZ31" s="21">
        <f>K31-AY31</f>
        <v>27278486</v>
      </c>
      <c r="BA31" s="21">
        <v>162500000</v>
      </c>
      <c r="BB31" s="21">
        <f>L31-BA31</f>
        <v>3450498</v>
      </c>
      <c r="BC31" s="21">
        <v>162500000</v>
      </c>
      <c r="BD31" s="21">
        <f>M31-BC31</f>
        <v>110378865</v>
      </c>
      <c r="BE31" s="21">
        <f>BC31</f>
        <v>162500000</v>
      </c>
      <c r="BF31" s="21">
        <v>162500000</v>
      </c>
      <c r="BG31" s="21">
        <v>162500000</v>
      </c>
      <c r="BH31" s="22">
        <v>168515655.49412638</v>
      </c>
      <c r="BI31" s="21">
        <f>K31-BH31</f>
        <v>-3737169.4941263795</v>
      </c>
      <c r="BJ31" s="22">
        <v>189382075.22275308</v>
      </c>
      <c r="BK31" s="21">
        <f>L31-BJ31</f>
        <v>-23431577.222753078</v>
      </c>
    </row>
    <row r="32" spans="1:63" x14ac:dyDescent="0.25">
      <c r="A32" s="20" t="s">
        <v>58</v>
      </c>
      <c r="B32" s="21"/>
      <c r="C32" s="21">
        <f t="shared" ref="C32:L32" si="26">SUM(C28:C31)</f>
        <v>1803488</v>
      </c>
      <c r="D32" s="21">
        <f t="shared" si="26"/>
        <v>8814907</v>
      </c>
      <c r="E32" s="21">
        <f t="shared" si="26"/>
        <v>116939022</v>
      </c>
      <c r="F32" s="21">
        <f t="shared" si="26"/>
        <v>112844869</v>
      </c>
      <c r="G32" s="21">
        <f t="shared" si="26"/>
        <v>165155935</v>
      </c>
      <c r="H32" s="21">
        <f t="shared" si="26"/>
        <v>255671157</v>
      </c>
      <c r="I32" s="21">
        <f t="shared" si="26"/>
        <v>335464394</v>
      </c>
      <c r="J32" s="21">
        <f t="shared" si="26"/>
        <v>383566053</v>
      </c>
      <c r="K32" s="21">
        <f t="shared" si="26"/>
        <v>617890190</v>
      </c>
      <c r="L32" s="21">
        <f t="shared" si="26"/>
        <v>588991231</v>
      </c>
      <c r="M32" s="21">
        <f t="shared" ref="M32:AD32" si="27">SUM(M28:M31)</f>
        <v>941006840</v>
      </c>
      <c r="N32" s="22">
        <f t="shared" si="27"/>
        <v>1394045310</v>
      </c>
      <c r="O32" s="22">
        <f t="shared" si="27"/>
        <v>1965165357</v>
      </c>
      <c r="P32" s="22">
        <f t="shared" si="27"/>
        <v>2219005235.0473104</v>
      </c>
      <c r="Q32" s="22">
        <f t="shared" si="27"/>
        <v>2002078687.440439</v>
      </c>
      <c r="R32" s="22">
        <f t="shared" si="27"/>
        <v>2011980585.5401814</v>
      </c>
      <c r="S32" s="22">
        <f t="shared" si="27"/>
        <v>2174468399.7804022</v>
      </c>
      <c r="T32" s="22">
        <f t="shared" si="27"/>
        <v>2048846897.5619075</v>
      </c>
      <c r="U32" s="22">
        <f t="shared" si="27"/>
        <v>2062255082.9541459</v>
      </c>
      <c r="V32" s="22">
        <f t="shared" si="27"/>
        <v>2133980678.9033794</v>
      </c>
      <c r="W32" s="22">
        <f t="shared" si="27"/>
        <v>2249746396.4179354</v>
      </c>
      <c r="X32" s="22">
        <f t="shared" si="27"/>
        <v>2509352034.9885244</v>
      </c>
      <c r="Y32" s="22">
        <f t="shared" si="27"/>
        <v>2511415132.0888357</v>
      </c>
      <c r="Z32" s="22">
        <f t="shared" si="27"/>
        <v>2460044596.4779458</v>
      </c>
      <c r="AA32" s="22">
        <f t="shared" si="27"/>
        <v>2631166925.6161423</v>
      </c>
      <c r="AB32" s="22">
        <f t="shared" si="27"/>
        <v>2732829423.6588626</v>
      </c>
      <c r="AC32" s="22">
        <f t="shared" si="27"/>
        <v>2984412654.1933627</v>
      </c>
      <c r="AD32" s="22">
        <f t="shared" si="27"/>
        <v>3207463157.0895433</v>
      </c>
      <c r="AE32" s="22">
        <f>SUM(AE28:AE31)</f>
        <v>3215548075.7465405</v>
      </c>
      <c r="AF32" s="22">
        <f>SUM(AF28:AF31)</f>
        <v>2925312211.4557548</v>
      </c>
      <c r="AG32" s="22">
        <f t="shared" ref="AG32:AO32" si="28">SUM(AG28:AG31)</f>
        <v>3047376940.6747818</v>
      </c>
      <c r="AH32" s="22">
        <f t="shared" si="28"/>
        <v>3174237257.5021276</v>
      </c>
      <c r="AI32" s="22">
        <f t="shared" si="28"/>
        <v>3377939093.1903162</v>
      </c>
      <c r="AJ32" s="22">
        <f t="shared" si="28"/>
        <v>3429010269.0687037</v>
      </c>
      <c r="AK32" s="22">
        <f t="shared" si="28"/>
        <v>3414120543.4295335</v>
      </c>
      <c r="AL32" s="22">
        <f t="shared" si="28"/>
        <v>3291901590.9549437</v>
      </c>
      <c r="AM32" s="22">
        <f t="shared" si="28"/>
        <v>3393685605.6610026</v>
      </c>
      <c r="AN32" s="22">
        <f t="shared" si="28"/>
        <v>3485918717.3221025</v>
      </c>
      <c r="AO32" s="22">
        <f t="shared" si="28"/>
        <v>3582222741.4155974</v>
      </c>
      <c r="AP32" s="22">
        <f>SUM(AP28:AP31)</f>
        <v>3701821608.2617512</v>
      </c>
      <c r="AQ32" s="22"/>
      <c r="AR32" s="22"/>
      <c r="AS32" s="22"/>
      <c r="AT32" s="22"/>
      <c r="AU32" s="22"/>
      <c r="AW32" s="21">
        <f>SUM(AW28:AW31)</f>
        <v>450000000</v>
      </c>
      <c r="AX32" s="21">
        <f>J32-AW32</f>
        <v>-66433947</v>
      </c>
      <c r="AY32" s="21">
        <f>SUM(AY28:AY31)</f>
        <v>550000000</v>
      </c>
      <c r="AZ32" s="21">
        <f>K32-AY32</f>
        <v>67890190</v>
      </c>
      <c r="BA32" s="21">
        <f>SUM(BA28:BA31)</f>
        <v>650000000</v>
      </c>
      <c r="BB32" s="21">
        <f>L32-BA32</f>
        <v>-61008769</v>
      </c>
      <c r="BC32" s="21">
        <f>SUM(BC28:BC31)</f>
        <v>650000000</v>
      </c>
      <c r="BD32" s="21">
        <f>M32-BC32</f>
        <v>291006840</v>
      </c>
      <c r="BE32" s="21">
        <f>SUM(BE28:BE31)</f>
        <v>650000000</v>
      </c>
      <c r="BF32" s="21">
        <f>SUM(BF28:BF31)</f>
        <v>650000000</v>
      </c>
      <c r="BG32" s="21">
        <f>SUM(BG28:BG31)</f>
        <v>650000000</v>
      </c>
      <c r="BH32" s="22">
        <v>538966864.38912058</v>
      </c>
      <c r="BI32" s="21">
        <f>K32-BH32</f>
        <v>78923325.610879421</v>
      </c>
      <c r="BJ32" s="22">
        <v>595677657.60788572</v>
      </c>
      <c r="BK32" s="21">
        <f>L32-BJ32</f>
        <v>-6686426.6078857183</v>
      </c>
    </row>
    <row r="34" spans="1:59" x14ac:dyDescent="0.25">
      <c r="C34" s="11">
        <f>C28/C19</f>
        <v>3.8054036296324638E-2</v>
      </c>
      <c r="D34" s="11">
        <f t="shared" ref="D34:R37" si="29">D28/D19</f>
        <v>4.4835184508820639E-2</v>
      </c>
      <c r="E34" s="11">
        <f t="shared" si="29"/>
        <v>0.2595314193797883</v>
      </c>
      <c r="F34" s="11">
        <f t="shared" si="29"/>
        <v>0.26342949410718758</v>
      </c>
      <c r="G34" s="11">
        <f t="shared" si="29"/>
        <v>0.36794015373091549</v>
      </c>
      <c r="H34" s="11">
        <f t="shared" si="29"/>
        <v>0.62617564407592863</v>
      </c>
      <c r="I34" s="11">
        <f t="shared" si="29"/>
        <v>0.67072060160393165</v>
      </c>
      <c r="J34" s="11">
        <f t="shared" si="29"/>
        <v>0.8885888713586424</v>
      </c>
      <c r="K34" s="11">
        <f t="shared" si="29"/>
        <v>0.94358588840021262</v>
      </c>
      <c r="L34" s="11">
        <f t="shared" si="29"/>
        <v>0.64512547884592564</v>
      </c>
      <c r="M34" s="11">
        <f t="shared" si="29"/>
        <v>0.76160678329612264</v>
      </c>
      <c r="N34" s="24">
        <f t="shared" si="29"/>
        <v>0.79328394291887427</v>
      </c>
      <c r="O34" s="24">
        <f t="shared" si="29"/>
        <v>0.70447882553725694</v>
      </c>
      <c r="P34" s="24">
        <f t="shared" si="29"/>
        <v>0.66224263672215022</v>
      </c>
      <c r="Q34" s="24">
        <f t="shared" si="29"/>
        <v>0.67595883560604031</v>
      </c>
      <c r="R34" s="24">
        <f t="shared" si="29"/>
        <v>0.69028173747216293</v>
      </c>
    </row>
    <row r="35" spans="1:59" x14ac:dyDescent="0.25">
      <c r="C35" s="11">
        <f t="shared" ref="C35:L37" si="30">C29/C20</f>
        <v>2.5393281592273685E-2</v>
      </c>
      <c r="D35" s="11">
        <f t="shared" si="30"/>
        <v>4.0888370318328211E-2</v>
      </c>
      <c r="E35" s="11">
        <f t="shared" si="30"/>
        <v>0.49114753551622681</v>
      </c>
      <c r="F35" s="11">
        <f t="shared" si="30"/>
        <v>0.17563004385810957</v>
      </c>
      <c r="G35" s="11">
        <f t="shared" si="30"/>
        <v>0.27929799429240165</v>
      </c>
      <c r="H35" s="11">
        <f t="shared" si="30"/>
        <v>0.46071304647764771</v>
      </c>
      <c r="I35" s="11">
        <f t="shared" si="30"/>
        <v>0.60269052817966029</v>
      </c>
      <c r="J35" s="11">
        <f t="shared" si="30"/>
        <v>0.59635659544804365</v>
      </c>
      <c r="K35" s="11">
        <f t="shared" si="30"/>
        <v>0.67178386103962473</v>
      </c>
      <c r="L35" s="11">
        <f>L29/L20</f>
        <v>0.60799087273709418</v>
      </c>
      <c r="M35" s="11">
        <f t="shared" si="29"/>
        <v>0.72472087947259778</v>
      </c>
      <c r="N35" s="24">
        <f t="shared" si="29"/>
        <v>0.72319806441088141</v>
      </c>
      <c r="O35" s="24">
        <f t="shared" si="29"/>
        <v>0.64666260038141143</v>
      </c>
      <c r="P35" s="24">
        <f t="shared" si="29"/>
        <v>0.67013971504725323</v>
      </c>
      <c r="Q35" s="24">
        <f t="shared" si="29"/>
        <v>0.68419874948383863</v>
      </c>
      <c r="R35" s="24">
        <f t="shared" si="29"/>
        <v>0.68116431913152331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BB35" s="20" t="s">
        <v>135</v>
      </c>
    </row>
    <row r="36" spans="1:59" x14ac:dyDescent="0.25">
      <c r="C36" s="11">
        <f t="shared" si="30"/>
        <v>2.2210880883864529E-2</v>
      </c>
      <c r="D36" s="11">
        <f t="shared" si="30"/>
        <v>2.9677551887595518E-2</v>
      </c>
      <c r="E36" s="11">
        <f t="shared" si="30"/>
        <v>0.28750513004452538</v>
      </c>
      <c r="F36" s="11">
        <f t="shared" si="30"/>
        <v>0.3895443454346198</v>
      </c>
      <c r="G36" s="11">
        <f t="shared" si="30"/>
        <v>0.42694294345051942</v>
      </c>
      <c r="H36" s="11">
        <f t="shared" si="30"/>
        <v>0.40176539001094252</v>
      </c>
      <c r="I36" s="11">
        <f t="shared" si="30"/>
        <v>0.63871732468043552</v>
      </c>
      <c r="J36" s="11">
        <f t="shared" si="30"/>
        <v>0.55628698583020741</v>
      </c>
      <c r="K36" s="11">
        <f t="shared" si="30"/>
        <v>0.60800051546363054</v>
      </c>
      <c r="L36" s="11">
        <f t="shared" si="30"/>
        <v>0.55160652667458454</v>
      </c>
      <c r="M36" s="11">
        <f t="shared" si="29"/>
        <v>0.82099858567210793</v>
      </c>
      <c r="N36" s="24">
        <f t="shared" si="29"/>
        <v>0.80680017195288578</v>
      </c>
      <c r="O36" s="24">
        <f t="shared" si="29"/>
        <v>0.71150163306606418</v>
      </c>
      <c r="P36" s="24">
        <f t="shared" si="29"/>
        <v>0.56761346791193956</v>
      </c>
      <c r="Q36" s="24">
        <f t="shared" si="29"/>
        <v>0.91368789514242521</v>
      </c>
      <c r="R36" s="24">
        <f t="shared" si="29"/>
        <v>0.72165612637888477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BB36" s="20">
        <v>157500000</v>
      </c>
      <c r="BC36" s="21">
        <f>BB36-L28</f>
        <v>26526524</v>
      </c>
      <c r="BD36" s="20">
        <v>-28980222.752922535</v>
      </c>
    </row>
    <row r="37" spans="1:59" x14ac:dyDescent="0.25">
      <c r="C37" s="11">
        <f t="shared" si="30"/>
        <v>3.5371054171310368E-2</v>
      </c>
      <c r="D37" s="11">
        <f t="shared" si="30"/>
        <v>0.16067118610384309</v>
      </c>
      <c r="E37" s="11">
        <f t="shared" si="30"/>
        <v>0.29177399474481985</v>
      </c>
      <c r="F37" s="11">
        <f t="shared" si="30"/>
        <v>0.21909984192259802</v>
      </c>
      <c r="G37" s="11">
        <f t="shared" si="30"/>
        <v>0.37679820334245717</v>
      </c>
      <c r="H37" s="11">
        <f t="shared" si="30"/>
        <v>0.47150314354883571</v>
      </c>
      <c r="I37" s="11">
        <f t="shared" si="30"/>
        <v>0.47493205663414378</v>
      </c>
      <c r="J37" s="11">
        <f t="shared" si="30"/>
        <v>0.59137385070947535</v>
      </c>
      <c r="K37" s="11">
        <f t="shared" si="30"/>
        <v>0.65388687433293491</v>
      </c>
      <c r="L37" s="11">
        <f t="shared" si="30"/>
        <v>0.68337543907203468</v>
      </c>
      <c r="M37" s="24">
        <f t="shared" si="29"/>
        <v>0.6442339291308472</v>
      </c>
      <c r="N37" s="24">
        <f t="shared" si="29"/>
        <v>0.68350622923428472</v>
      </c>
      <c r="O37" s="24">
        <f t="shared" si="29"/>
        <v>0.65006260109219671</v>
      </c>
      <c r="P37" s="24">
        <f t="shared" si="29"/>
        <v>0.59869409918567162</v>
      </c>
      <c r="Q37" s="24">
        <f t="shared" si="29"/>
        <v>0.64031348458171145</v>
      </c>
      <c r="R37" s="24">
        <f t="shared" si="29"/>
        <v>0.63810003185579367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BB37" s="20">
        <v>180000000</v>
      </c>
      <c r="BC37" s="21">
        <f>BB37-L29</f>
        <v>28005461</v>
      </c>
      <c r="BD37" s="20">
        <v>-30642302.006765068</v>
      </c>
    </row>
    <row r="38" spans="1:59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BB38" s="20">
        <v>217500000</v>
      </c>
      <c r="BC38" s="21">
        <f>BB38-L30</f>
        <v>77427282</v>
      </c>
      <c r="BD38" s="20">
        <v>10262220.136912048</v>
      </c>
    </row>
    <row r="39" spans="1:59" x14ac:dyDescent="0.25">
      <c r="E39" s="21"/>
      <c r="F39" s="21"/>
      <c r="G39" s="21"/>
      <c r="H39" s="21"/>
      <c r="I39" s="21"/>
      <c r="J39" s="21"/>
      <c r="K39" s="21"/>
      <c r="BB39" s="20">
        <v>195000000</v>
      </c>
      <c r="BC39" s="21">
        <f>BB39-L31</f>
        <v>29049502</v>
      </c>
      <c r="BD39" s="20">
        <v>153998.30068737268</v>
      </c>
    </row>
    <row r="40" spans="1:59" x14ac:dyDescent="0.25">
      <c r="BB40" s="20">
        <v>750000000</v>
      </c>
      <c r="BC40" s="21">
        <f>BB40-L32</f>
        <v>161008769</v>
      </c>
    </row>
    <row r="41" spans="1:59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pans="1:59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pans="1:59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pans="1:59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pans="1:59" x14ac:dyDescent="0.25">
      <c r="E45" s="21"/>
      <c r="F45" s="21"/>
      <c r="G45" s="21"/>
      <c r="H45" s="21"/>
      <c r="I45" s="21"/>
      <c r="J45" s="21"/>
      <c r="K45" s="21"/>
    </row>
    <row r="46" spans="1:59" ht="15" x14ac:dyDescent="0.25">
      <c r="M46" s="20">
        <f>M61*2</f>
        <v>1690869814</v>
      </c>
      <c r="N46" s="28">
        <f>(N61/$C61)^1/(N48-$C48)-1</f>
        <v>1.1325046095767983</v>
      </c>
      <c r="O46" s="28">
        <f>(O61/$C61)^1/(O48-$C48)-1</f>
        <v>2.2602568722109635</v>
      </c>
      <c r="P46" s="28">
        <f>(P61/$C61)^1/(P48-$C48)-1</f>
        <v>2.8900491641565207</v>
      </c>
    </row>
    <row r="47" spans="1:59" x14ac:dyDescent="0.25">
      <c r="A47" s="20" t="s">
        <v>136</v>
      </c>
      <c r="M47" s="20">
        <f>N61/M46-1</f>
        <v>-0.13929700917825949</v>
      </c>
      <c r="BB47" s="20" t="s">
        <v>137</v>
      </c>
    </row>
    <row r="48" spans="1:59" x14ac:dyDescent="0.25">
      <c r="B48" s="20">
        <f>B2</f>
        <v>2010</v>
      </c>
      <c r="C48" s="20">
        <f t="shared" ref="C48:AD48" si="31">C2</f>
        <v>2011</v>
      </c>
      <c r="D48" s="20">
        <f t="shared" si="31"/>
        <v>2012</v>
      </c>
      <c r="E48" s="20">
        <f t="shared" si="31"/>
        <v>2013</v>
      </c>
      <c r="F48" s="20">
        <f t="shared" si="31"/>
        <v>2014</v>
      </c>
      <c r="G48" s="20">
        <f t="shared" si="31"/>
        <v>2015</v>
      </c>
      <c r="H48" s="20">
        <f t="shared" si="31"/>
        <v>2016</v>
      </c>
      <c r="I48" s="20">
        <f t="shared" si="31"/>
        <v>2017</v>
      </c>
      <c r="J48" s="20">
        <f t="shared" si="31"/>
        <v>2018</v>
      </c>
      <c r="K48" s="20">
        <f t="shared" si="31"/>
        <v>2019</v>
      </c>
      <c r="L48" s="20">
        <f t="shared" si="31"/>
        <v>2020</v>
      </c>
      <c r="M48" s="20">
        <f t="shared" si="31"/>
        <v>2021</v>
      </c>
      <c r="N48" s="20">
        <f t="shared" si="31"/>
        <v>2022</v>
      </c>
      <c r="O48" s="20">
        <f t="shared" si="31"/>
        <v>2023</v>
      </c>
      <c r="P48" s="20">
        <f t="shared" si="31"/>
        <v>2024</v>
      </c>
      <c r="Q48" s="20">
        <f t="shared" si="31"/>
        <v>2025</v>
      </c>
      <c r="R48" s="20">
        <f t="shared" si="31"/>
        <v>2026</v>
      </c>
      <c r="S48" s="20">
        <f t="shared" si="31"/>
        <v>2027</v>
      </c>
      <c r="T48" s="20">
        <f t="shared" si="31"/>
        <v>2028</v>
      </c>
      <c r="U48" s="20">
        <f t="shared" si="31"/>
        <v>2029</v>
      </c>
      <c r="V48" s="20">
        <f t="shared" si="31"/>
        <v>2030</v>
      </c>
      <c r="W48" s="20">
        <f t="shared" si="31"/>
        <v>2031</v>
      </c>
      <c r="X48" s="20">
        <f t="shared" si="31"/>
        <v>2032</v>
      </c>
      <c r="Y48" s="20">
        <f t="shared" si="31"/>
        <v>2033</v>
      </c>
      <c r="Z48" s="20">
        <f t="shared" si="31"/>
        <v>2034</v>
      </c>
      <c r="AA48" s="20">
        <f t="shared" si="31"/>
        <v>2035</v>
      </c>
      <c r="AB48" s="20">
        <f t="shared" si="31"/>
        <v>2036</v>
      </c>
      <c r="AC48" s="20">
        <f t="shared" si="31"/>
        <v>2037</v>
      </c>
      <c r="AD48" s="20">
        <f t="shared" si="31"/>
        <v>2038</v>
      </c>
      <c r="AE48" s="20">
        <f>AE2</f>
        <v>2039</v>
      </c>
      <c r="AF48" s="20">
        <f>AF2</f>
        <v>2040</v>
      </c>
      <c r="AG48" s="20">
        <f>AG2</f>
        <v>2041</v>
      </c>
      <c r="AH48" s="20">
        <f>AH2</f>
        <v>2042</v>
      </c>
      <c r="AI48" s="20">
        <f t="shared" ref="AI48:AP48" si="32">AI2</f>
        <v>2043</v>
      </c>
      <c r="AJ48" s="20">
        <f t="shared" si="32"/>
        <v>2044</v>
      </c>
      <c r="AK48" s="20">
        <f t="shared" si="32"/>
        <v>2045</v>
      </c>
      <c r="AL48" s="20">
        <f t="shared" si="32"/>
        <v>2046</v>
      </c>
      <c r="AM48" s="20">
        <f t="shared" si="32"/>
        <v>2047</v>
      </c>
      <c r="AN48" s="20">
        <f t="shared" si="32"/>
        <v>2048</v>
      </c>
      <c r="AO48" s="20">
        <f t="shared" si="32"/>
        <v>2049</v>
      </c>
      <c r="AP48" s="20">
        <f t="shared" si="32"/>
        <v>2050</v>
      </c>
      <c r="AT48" s="102" t="s">
        <v>126</v>
      </c>
      <c r="AU48" s="102"/>
      <c r="AV48" s="102" t="s">
        <v>127</v>
      </c>
      <c r="AW48" s="102"/>
      <c r="AX48" s="20" t="s">
        <v>68</v>
      </c>
      <c r="AY48" s="20" t="s">
        <v>69</v>
      </c>
      <c r="BA48" s="20">
        <v>2023</v>
      </c>
      <c r="BB48" s="20">
        <v>2022</v>
      </c>
      <c r="BC48" s="20">
        <v>2021</v>
      </c>
      <c r="BD48" s="20">
        <v>2020</v>
      </c>
      <c r="BF48" s="20" t="s">
        <v>48</v>
      </c>
      <c r="BG48" s="20" t="s">
        <v>69</v>
      </c>
    </row>
    <row r="49" spans="1:61" x14ac:dyDescent="0.25">
      <c r="A49" s="20" t="s">
        <v>70</v>
      </c>
      <c r="B49" s="21">
        <f>'[4]D4 Gallon Forecast'!B133+'[4]D5 Gallon Forecast'!B120+'[4]D6 Gallon Forecast'!B209</f>
        <v>0</v>
      </c>
      <c r="C49" s="21">
        <f>'[4]D4 Gallon Forecast'!C133+'[4]D5 Gallon Forecast'!C120+'[4]D6 Gallon Forecast'!C209</f>
        <v>4427855</v>
      </c>
      <c r="D49" s="21">
        <f>'[4]D4 Gallon Forecast'!D133+'[4]D5 Gallon Forecast'!D120+'[4]D6 Gallon Forecast'!D209</f>
        <v>4217364</v>
      </c>
      <c r="E49" s="21">
        <f>'[4]D4 Gallon Forecast'!E133+'[4]D5 Gallon Forecast'!E120+'[4]D6 Gallon Forecast'!E209</f>
        <v>1278753</v>
      </c>
      <c r="F49" s="21">
        <f>'[4]D4 Gallon Forecast'!F133+'[4]D5 Gallon Forecast'!F120+'[4]D6 Gallon Forecast'!F209</f>
        <v>10328729</v>
      </c>
      <c r="G49" s="21">
        <f>'[4]D4 Gallon Forecast'!G133+'[4]D5 Gallon Forecast'!G120+'[4]D6 Gallon Forecast'!G209</f>
        <v>17504679</v>
      </c>
      <c r="H49" s="21">
        <f>'[4]D4 Gallon Forecast'!H133+'[4]D5 Gallon Forecast'!H120+'[4]D6 Gallon Forecast'!H209</f>
        <v>11758144</v>
      </c>
      <c r="I49" s="21">
        <f>'[4]D4 Gallon Forecast'!I133+'[4]D5 Gallon Forecast'!I120+'[4]D6 Gallon Forecast'!I209</f>
        <v>18560535</v>
      </c>
      <c r="J49" s="21">
        <f>'[4]D4 Gallon Forecast'!J133+'[4]D5 Gallon Forecast'!J120+'[4]D6 Gallon Forecast'!J209</f>
        <v>13680652</v>
      </c>
      <c r="K49" s="21">
        <f>'[4]D4 Gallon Forecast'!K133+'[4]D5 Gallon Forecast'!K120+'[4]D6 Gallon Forecast'!K209</f>
        <v>36487021</v>
      </c>
      <c r="L49" s="21">
        <f>'[4]D4 Gallon Forecast'!L133+'[4]D5 Gallon Forecast'!L120+'[4]D6 Gallon Forecast'!L209</f>
        <v>41857492</v>
      </c>
      <c r="M49" s="21">
        <f>'[4]D4 Gallon Forecast'!M133+'[4]D5 Gallon Forecast'!M120+'[4]D6 Gallon Forecast'!M209</f>
        <v>50374630</v>
      </c>
      <c r="N49" s="21">
        <f>'[4]D4 Gallon Forecast'!N133+'[4]D5 Gallon Forecast'!N120+'[4]D6 Gallon Forecast'!N209</f>
        <v>87010244</v>
      </c>
      <c r="O49" s="21">
        <f>'[4]D5 Gallon Forecast'!O120+'[4]D4 Gallon Forecast'!O133+'[4]D6 Gallon Forecast'!O206</f>
        <v>148278375</v>
      </c>
      <c r="P49" s="21">
        <f>'[4]D4 Gallon Forecast'!P133+'[4]D5 Gallon Forecast'!P120+'[4]D6 Gallon Forecast'!P206</f>
        <v>230210264</v>
      </c>
      <c r="Q49" s="21">
        <f>'[4]D4 Gallon Forecast'!Q133+'[4]D5 Gallon Forecast'!Q120+'[4]D6 Gallon Forecast'!Q206</f>
        <v>217367275</v>
      </c>
      <c r="R49" s="22">
        <f>'[4]D4 Gallon Forecast'!R133+'[4]D5 Gallon Forecast'!R120+'[4]D6 Gallon Forecast'!R206</f>
        <v>173301039.9201065</v>
      </c>
      <c r="S49" s="22">
        <f>'[4]D4 Gallon Forecast'!S133+'[4]D5 Gallon Forecast'!S120+'[4]D6 Gallon Forecast'!S206</f>
        <v>190327727.21764925</v>
      </c>
      <c r="T49" s="22">
        <f>'[4]D4 Gallon Forecast'!T133+'[4]D5 Gallon Forecast'!T120+'[4]D6 Gallon Forecast'!T206</f>
        <v>194312790.4450902</v>
      </c>
      <c r="U49" s="22">
        <f>'[4]D4 Gallon Forecast'!U133+'[4]D5 Gallon Forecast'!U120+'[4]D6 Gallon Forecast'!U206</f>
        <v>196315383.19321719</v>
      </c>
      <c r="V49" s="22">
        <f>'[4]D4 Gallon Forecast'!V133+'[4]D5 Gallon Forecast'!V120+'[4]D6 Gallon Forecast'!V206</f>
        <v>205707631.69478792</v>
      </c>
      <c r="W49" s="22">
        <f>'[4]D4 Gallon Forecast'!W133+'[4]D5 Gallon Forecast'!W120+'[4]D6 Gallon Forecast'!W206</f>
        <v>222782293.77920413</v>
      </c>
      <c r="X49" s="22">
        <f>'[4]D4 Gallon Forecast'!X133+'[4]D5 Gallon Forecast'!X120+'[4]D6 Gallon Forecast'!X206</f>
        <v>264059013.18170139</v>
      </c>
      <c r="Y49" s="22">
        <f>'[4]D4 Gallon Forecast'!Y133+'[4]D5 Gallon Forecast'!Y120+'[4]D6 Gallon Forecast'!Y206</f>
        <v>262890228.64060161</v>
      </c>
      <c r="Z49" s="22">
        <f>'[4]D4 Gallon Forecast'!Z133+'[4]D5 Gallon Forecast'!Z120+'[4]D6 Gallon Forecast'!Z206</f>
        <v>255777133.45371303</v>
      </c>
      <c r="AA49" s="22">
        <f>'[4]D4 Gallon Forecast'!AA133+'[4]D5 Gallon Forecast'!AA120+'[4]D6 Gallon Forecast'!AA206</f>
        <v>270948489.35168308</v>
      </c>
      <c r="AB49" s="22">
        <f>'[4]D4 Gallon Forecast'!AB133+'[4]D5 Gallon Forecast'!AB120+'[4]D6 Gallon Forecast'!AB206</f>
        <v>292548204.23721027</v>
      </c>
      <c r="AC49" s="22">
        <f>'[4]D4 Gallon Forecast'!AC133+'[4]D5 Gallon Forecast'!AC120+'[4]D6 Gallon Forecast'!AC206</f>
        <v>332801022.16583556</v>
      </c>
      <c r="AD49" s="22">
        <f>'[4]D4 Gallon Forecast'!AD133+'[4]D5 Gallon Forecast'!AD120+'[4]D6 Gallon Forecast'!AD206</f>
        <v>367138905.77510345</v>
      </c>
      <c r="AE49" s="22">
        <f>'[4]D4 Gallon Forecast'!AE133+'[4]D5 Gallon Forecast'!AE120+'[4]D6 Gallon Forecast'!AE206</f>
        <v>368537907.28145385</v>
      </c>
      <c r="AF49" s="22">
        <f>'[4]D4 Gallon Forecast'!AF133+'[4]D5 Gallon Forecast'!AF120+'[4]D6 Gallon Forecast'!AF206</f>
        <v>324292401.80549532</v>
      </c>
      <c r="AG49" s="22">
        <f>'[4]D4 Gallon Forecast'!AG133+'[4]D5 Gallon Forecast'!AG120+'[4]D6 Gallon Forecast'!AG206</f>
        <v>342928676.57374358</v>
      </c>
      <c r="AH49" s="22">
        <f>'[4]D4 Gallon Forecast'!AH133+'[4]D5 Gallon Forecast'!AH120+'[4]D6 Gallon Forecast'!AH206</f>
        <v>362474628.86067653</v>
      </c>
      <c r="AI49" s="22">
        <f>'[4]D4 Gallon Forecast'!AI133+'[4]D5 Gallon Forecast'!AI120+'[4]D6 Gallon Forecast'!AI206</f>
        <v>393875036.93947524</v>
      </c>
      <c r="AJ49" s="22">
        <f>'[4]D4 Gallon Forecast'!AJ133+'[4]D5 Gallon Forecast'!AJ120+'[4]D6 Gallon Forecast'!AJ206</f>
        <v>401734178.58368695</v>
      </c>
      <c r="AK49" s="22">
        <f>'[4]D4 Gallon Forecast'!AK133+'[4]D5 Gallon Forecast'!AK120+'[4]D6 Gallon Forecast'!AK206</f>
        <v>399457153.46708328</v>
      </c>
      <c r="AL49" s="22">
        <f>'[4]D4 Gallon Forecast'!AL133+'[4]D5 Gallon Forecast'!AL120+'[4]D6 Gallon Forecast'!AL206</f>
        <v>380775025.91852134</v>
      </c>
      <c r="AM49" s="22">
        <f>'[4]D4 Gallon Forecast'!AM133+'[4]D5 Gallon Forecast'!AM120+'[4]D6 Gallon Forecast'!AM206</f>
        <v>396257812.08964473</v>
      </c>
      <c r="AN49" s="22">
        <f>'[4]D4 Gallon Forecast'!AN133+'[4]D5 Gallon Forecast'!AN120+'[4]D6 Gallon Forecast'!AN206</f>
        <v>410485418.23343176</v>
      </c>
      <c r="AO49" s="22">
        <f>'[4]D4 Gallon Forecast'!AO133+'[4]D5 Gallon Forecast'!AO120+'[4]D6 Gallon Forecast'!AO206</f>
        <v>425327998.7978344</v>
      </c>
      <c r="AP49" s="22">
        <f>'[4]D4 Gallon Forecast'!AP133+'[4]D5 Gallon Forecast'!AP120+'[4]D6 Gallon Forecast'!AP206</f>
        <v>443622958.22248584</v>
      </c>
      <c r="AQ49" s="22"/>
      <c r="AR49" s="22"/>
      <c r="AS49" s="22"/>
      <c r="AT49" s="11">
        <f>O49/N49-1</f>
        <v>0.70414847934457003</v>
      </c>
      <c r="AU49" s="21">
        <f>O49-N49</f>
        <v>61268131</v>
      </c>
      <c r="AV49" s="21">
        <f>O49-N60</f>
        <v>-5480785</v>
      </c>
      <c r="AW49" s="11">
        <f>AV49/N60</f>
        <v>-3.5645258467853234E-2</v>
      </c>
      <c r="AX49" s="21">
        <f>'[4]D5 Gallon Forecast'!$AX120+'[4]D4 Gallon Forecast'!$DK133+'[4]D6 Gallon Forecast'!$BK206</f>
        <v>8346201.1381376339</v>
      </c>
      <c r="AY49" s="21">
        <f>O49-AX49</f>
        <v>139932173.86186236</v>
      </c>
      <c r="BA49" s="21">
        <f>O49/31</f>
        <v>4783173.3870967738</v>
      </c>
      <c r="BB49" s="21">
        <f>N49/31</f>
        <v>2806782.064516129</v>
      </c>
      <c r="BC49" s="21">
        <f>M49/31</f>
        <v>1624988.064516129</v>
      </c>
      <c r="BD49" s="21">
        <f>L49/31</f>
        <v>1350241.6774193549</v>
      </c>
      <c r="BE49" s="21">
        <f>BA49-BB49</f>
        <v>1976391.3225806449</v>
      </c>
      <c r="BF49" s="21">
        <f>AVERAGE(J49:N49)/31</f>
        <v>1480064.7677419353</v>
      </c>
      <c r="BG49" s="21">
        <f>BA49-BF49</f>
        <v>3303108.6193548385</v>
      </c>
      <c r="BH49" s="29">
        <f>BG49/BF49</f>
        <v>2.2317324831630407</v>
      </c>
      <c r="BI49" s="29">
        <f>BF49/$BF$61</f>
        <v>0.7442528921895345</v>
      </c>
    </row>
    <row r="50" spans="1:61" x14ac:dyDescent="0.25">
      <c r="A50" s="20" t="s">
        <v>71</v>
      </c>
      <c r="B50" s="21">
        <f>'[4]D4 Gallon Forecast'!B134+'[4]D5 Gallon Forecast'!B121+'[4]D6 Gallon Forecast'!B210</f>
        <v>0</v>
      </c>
      <c r="C50" s="21">
        <f>'[4]D4 Gallon Forecast'!C134+'[4]D5 Gallon Forecast'!C121+'[4]D6 Gallon Forecast'!C210</f>
        <v>962206</v>
      </c>
      <c r="D50" s="21">
        <f>'[4]D4 Gallon Forecast'!D134+'[4]D5 Gallon Forecast'!D121+'[4]D6 Gallon Forecast'!D210</f>
        <v>3189484</v>
      </c>
      <c r="E50" s="21">
        <f>'[4]D4 Gallon Forecast'!E134+'[4]D5 Gallon Forecast'!E121+'[4]D6 Gallon Forecast'!E210</f>
        <v>1292690</v>
      </c>
      <c r="F50" s="21">
        <f>'[4]D4 Gallon Forecast'!F134+'[4]D5 Gallon Forecast'!F121+'[4]D6 Gallon Forecast'!F210</f>
        <v>12293217</v>
      </c>
      <c r="G50" s="21">
        <f>'[4]D4 Gallon Forecast'!G134+'[4]D5 Gallon Forecast'!G121+'[4]D6 Gallon Forecast'!G210</f>
        <v>13481081</v>
      </c>
      <c r="H50" s="21">
        <f>'[4]D4 Gallon Forecast'!H134+'[4]D5 Gallon Forecast'!H121+'[4]D6 Gallon Forecast'!H210</f>
        <v>7354950</v>
      </c>
      <c r="I50" s="21">
        <f>'[4]D4 Gallon Forecast'!I134+'[4]D5 Gallon Forecast'!I121+'[4]D6 Gallon Forecast'!I210</f>
        <v>21042625</v>
      </c>
      <c r="J50" s="21">
        <f>'[4]D4 Gallon Forecast'!J134+'[4]D5 Gallon Forecast'!J121+'[4]D6 Gallon Forecast'!J210</f>
        <v>21604812</v>
      </c>
      <c r="K50" s="21">
        <f>'[4]D4 Gallon Forecast'!K134+'[4]D5 Gallon Forecast'!K121+'[4]D6 Gallon Forecast'!K210</f>
        <v>40173701</v>
      </c>
      <c r="L50" s="21">
        <f>'[4]D4 Gallon Forecast'!L134+'[4]D5 Gallon Forecast'!L121+'[4]D6 Gallon Forecast'!L210</f>
        <v>37300666</v>
      </c>
      <c r="M50" s="21">
        <f>'[4]D4 Gallon Forecast'!M134+'[4]D5 Gallon Forecast'!M121+'[4]D6 Gallon Forecast'!M210</f>
        <v>51175710</v>
      </c>
      <c r="N50" s="21">
        <f>'[4]D4 Gallon Forecast'!N134+'[4]D5 Gallon Forecast'!N121+'[4]D6 Gallon Forecast'!N210</f>
        <v>101396491</v>
      </c>
      <c r="O50" s="21">
        <f>'[4]D5 Gallon Forecast'!O121+'[4]D4 Gallon Forecast'!O134+'[4]D6 Gallon Forecast'!O207</f>
        <v>141070359</v>
      </c>
      <c r="P50" s="21">
        <f>'[4]D4 Gallon Forecast'!P134+'[4]D5 Gallon Forecast'!P121+'[4]D6 Gallon Forecast'!P207</f>
        <v>230073636</v>
      </c>
      <c r="Q50" s="21">
        <f>'[4]D4 Gallon Forecast'!Q134+'[4]D5 Gallon Forecast'!Q121+'[4]D6 Gallon Forecast'!Q207</f>
        <v>186102792</v>
      </c>
      <c r="R50" s="22">
        <f>'[4]D4 Gallon Forecast'!R134+'[4]D5 Gallon Forecast'!R121+'[4]D6 Gallon Forecast'!R207</f>
        <v>188920877.88275504</v>
      </c>
      <c r="S50" s="22">
        <f>'[4]D4 Gallon Forecast'!S134+'[4]D5 Gallon Forecast'!S121+'[4]D6 Gallon Forecast'!S207</f>
        <v>208087458.74720728</v>
      </c>
      <c r="T50" s="22">
        <f>'[4]D4 Gallon Forecast'!T134+'[4]D5 Gallon Forecast'!T121+'[4]D6 Gallon Forecast'!T207</f>
        <v>211940257.3015556</v>
      </c>
      <c r="U50" s="22">
        <f>'[4]D4 Gallon Forecast'!U134+'[4]D5 Gallon Forecast'!U121+'[4]D6 Gallon Forecast'!U207</f>
        <v>214020412.68485782</v>
      </c>
      <c r="V50" s="22">
        <f>'[4]D4 Gallon Forecast'!V134+'[4]D5 Gallon Forecast'!V121+'[4]D6 Gallon Forecast'!V207</f>
        <v>224248992.3909564</v>
      </c>
      <c r="W50" s="22">
        <f>'[4]D4 Gallon Forecast'!W134+'[4]D5 Gallon Forecast'!W121+'[4]D6 Gallon Forecast'!W207</f>
        <v>242941688.091079</v>
      </c>
      <c r="X50" s="22">
        <f>'[4]D4 Gallon Forecast'!X134+'[4]D5 Gallon Forecast'!X121+'[4]D6 Gallon Forecast'!X207</f>
        <v>288186763.80865526</v>
      </c>
      <c r="Y50" s="22">
        <f>'[4]D4 Gallon Forecast'!Y134+'[4]D5 Gallon Forecast'!Y121+'[4]D6 Gallon Forecast'!Y207</f>
        <v>286740408.06441188</v>
      </c>
      <c r="Z50" s="22">
        <f>'[4]D4 Gallon Forecast'!Z134+'[4]D5 Gallon Forecast'!Z121+'[4]D6 Gallon Forecast'!Z207</f>
        <v>278759454.26224506</v>
      </c>
      <c r="AA50" s="22">
        <f>'[4]D4 Gallon Forecast'!AA134+'[4]D5 Gallon Forecast'!AA121+'[4]D6 Gallon Forecast'!AA207</f>
        <v>295300319.29712445</v>
      </c>
      <c r="AB50" s="22">
        <f>'[4]D4 Gallon Forecast'!AB134+'[4]D5 Gallon Forecast'!AB121+'[4]D6 Gallon Forecast'!AB207</f>
        <v>319194658.98223019</v>
      </c>
      <c r="AC50" s="22">
        <f>'[4]D4 Gallon Forecast'!AC134+'[4]D5 Gallon Forecast'!AC121+'[4]D6 Gallon Forecast'!AC207</f>
        <v>363312467.39881754</v>
      </c>
      <c r="AD50" s="22">
        <f>'[4]D4 Gallon Forecast'!AD134+'[4]D5 Gallon Forecast'!AD121+'[4]D6 Gallon Forecast'!AD207</f>
        <v>400787882.50954103</v>
      </c>
      <c r="AE50" s="22">
        <f>'[4]D4 Gallon Forecast'!AE134+'[4]D5 Gallon Forecast'!AE121+'[4]D6 Gallon Forecast'!AE207</f>
        <v>401959953.89041197</v>
      </c>
      <c r="AF50" s="22">
        <f>'[4]D4 Gallon Forecast'!AF134+'[4]D5 Gallon Forecast'!AF121+'[4]D6 Gallon Forecast'!AF207</f>
        <v>353174697.14437717</v>
      </c>
      <c r="AG50" s="22">
        <f>'[4]D4 Gallon Forecast'!AG134+'[4]D5 Gallon Forecast'!AG121+'[4]D6 Gallon Forecast'!AG207</f>
        <v>373708707.81553322</v>
      </c>
      <c r="AH50" s="22">
        <f>'[4]D4 Gallon Forecast'!AH134+'[4]D5 Gallon Forecast'!AH121+'[4]D6 Gallon Forecast'!AH207</f>
        <v>395037232.16588795</v>
      </c>
      <c r="AI50" s="22">
        <f>'[4]D4 Gallon Forecast'!AI134+'[4]D5 Gallon Forecast'!AI121+'[4]D6 Gallon Forecast'!AI207</f>
        <v>429289163.77650756</v>
      </c>
      <c r="AJ50" s="22">
        <f>'[4]D4 Gallon Forecast'!AJ134+'[4]D5 Gallon Forecast'!AJ121+'[4]D6 Gallon Forecast'!AJ207</f>
        <v>437830509.35546809</v>
      </c>
      <c r="AK50" s="22">
        <f>'[4]D4 Gallon Forecast'!AK134+'[4]D5 Gallon Forecast'!AK121+'[4]D6 Gallon Forecast'!AK207</f>
        <v>435329697.64782506</v>
      </c>
      <c r="AL50" s="22">
        <f>'[4]D4 Gallon Forecast'!AL134+'[4]D5 Gallon Forecast'!AL121+'[4]D6 Gallon Forecast'!AL207</f>
        <v>414752077.1269027</v>
      </c>
      <c r="AM50" s="22">
        <f>'[4]D4 Gallon Forecast'!AM134+'[4]D5 Gallon Forecast'!AM121+'[4]D6 Gallon Forecast'!AM207</f>
        <v>431912772.61670196</v>
      </c>
      <c r="AN50" s="22">
        <f>'[4]D4 Gallon Forecast'!AN134+'[4]D5 Gallon Forecast'!AN121+'[4]D6 Gallon Forecast'!AN207</f>
        <v>447408531.64359641</v>
      </c>
      <c r="AO50" s="22">
        <f>'[4]D4 Gallon Forecast'!AO134+'[4]D5 Gallon Forecast'!AO121+'[4]D6 Gallon Forecast'!AO207</f>
        <v>463586697.81772697</v>
      </c>
      <c r="AP50" s="22">
        <f>'[4]D4 Gallon Forecast'!AP134+'[4]D5 Gallon Forecast'!AP121+'[4]D6 Gallon Forecast'!AP207</f>
        <v>483711987.43685955</v>
      </c>
      <c r="AQ50" s="22"/>
      <c r="AR50" s="22"/>
      <c r="AS50" s="22"/>
      <c r="AT50" s="11">
        <f t="shared" ref="AT50:AT61" si="33">O50/N50-1</f>
        <v>0.39127456590189102</v>
      </c>
      <c r="AU50" s="21">
        <f t="shared" ref="AU50:AU61" si="34">O50-N50</f>
        <v>39673868</v>
      </c>
      <c r="AV50" s="21">
        <f>O50-O49</f>
        <v>-7208016</v>
      </c>
      <c r="AW50" s="11">
        <f>AV50/O49</f>
        <v>-4.8611377080440756E-2</v>
      </c>
      <c r="AX50" s="21">
        <f>'[4]D5 Gallon Forecast'!$AX121+'[4]D4 Gallon Forecast'!$DK134+'[4]D6 Gallon Forecast'!$BK207</f>
        <v>6800105.5753128696</v>
      </c>
      <c r="AY50" s="21">
        <f t="shared" ref="AY50:AY61" si="35">O50-AX50</f>
        <v>134270253.42468712</v>
      </c>
      <c r="BA50" s="21">
        <f>O50/28</f>
        <v>5038227.1071428573</v>
      </c>
      <c r="BB50" s="21">
        <f>N50/28</f>
        <v>3621303.25</v>
      </c>
      <c r="BC50" s="21">
        <f>M50/28</f>
        <v>1827703.9285714286</v>
      </c>
      <c r="BD50" s="21">
        <f>L50/29</f>
        <v>1286229.8620689656</v>
      </c>
      <c r="BE50" s="21">
        <f t="shared" ref="BE50:BE60" si="36">BA50-BB50</f>
        <v>1416923.8571428573</v>
      </c>
      <c r="BF50" s="21">
        <f>SUM(J50:N50)/141</f>
        <v>1784761.5602836879</v>
      </c>
      <c r="BG50" s="21">
        <f t="shared" ref="BG50:BG60" si="37">BA50-BF50</f>
        <v>3253465.5468591694</v>
      </c>
      <c r="BH50" s="29">
        <f t="shared" ref="BH50:BH60" si="38">BG50/BF50</f>
        <v>1.8229132783104265</v>
      </c>
      <c r="BI50" s="29">
        <f t="shared" ref="BI50:BI60" si="39">BF50/$BF$61</f>
        <v>0.89747015269905162</v>
      </c>
    </row>
    <row r="51" spans="1:61" x14ac:dyDescent="0.25">
      <c r="A51" s="20" t="s">
        <v>72</v>
      </c>
      <c r="B51" s="21">
        <f>'[4]D4 Gallon Forecast'!B135+'[4]D5 Gallon Forecast'!B122+'[4]D6 Gallon Forecast'!B211</f>
        <v>0</v>
      </c>
      <c r="C51" s="21">
        <f>'[4]D4 Gallon Forecast'!C135+'[4]D5 Gallon Forecast'!C122+'[4]D6 Gallon Forecast'!C211</f>
        <v>3151383</v>
      </c>
      <c r="D51" s="21">
        <f>'[4]D4 Gallon Forecast'!D135+'[4]D5 Gallon Forecast'!D122+'[4]D6 Gallon Forecast'!D211</f>
        <v>5354270</v>
      </c>
      <c r="E51" s="21">
        <f>'[4]D4 Gallon Forecast'!E135+'[4]D5 Gallon Forecast'!E122+'[4]D6 Gallon Forecast'!E211</f>
        <v>1874493</v>
      </c>
      <c r="F51" s="21">
        <f>'[4]D4 Gallon Forecast'!F135+'[4]D5 Gallon Forecast'!F122+'[4]D6 Gallon Forecast'!F211</f>
        <v>14953326</v>
      </c>
      <c r="G51" s="21">
        <f>'[4]D4 Gallon Forecast'!G135+'[4]D5 Gallon Forecast'!G122+'[4]D6 Gallon Forecast'!G211</f>
        <v>16109924</v>
      </c>
      <c r="H51" s="21">
        <f>'[4]D4 Gallon Forecast'!H135+'[4]D5 Gallon Forecast'!H122+'[4]D6 Gallon Forecast'!H211</f>
        <v>17925081</v>
      </c>
      <c r="I51" s="21">
        <f>'[4]D4 Gallon Forecast'!I135+'[4]D5 Gallon Forecast'!I122+'[4]D6 Gallon Forecast'!I211</f>
        <v>15856580</v>
      </c>
      <c r="J51" s="21">
        <f>'[4]D4 Gallon Forecast'!J135+'[4]D5 Gallon Forecast'!J122+'[4]D6 Gallon Forecast'!J211</f>
        <v>25067979</v>
      </c>
      <c r="K51" s="21">
        <f>'[4]D4 Gallon Forecast'!K135+'[4]D5 Gallon Forecast'!K122+'[4]D6 Gallon Forecast'!K211</f>
        <v>35740265</v>
      </c>
      <c r="L51" s="21">
        <f>'[4]D4 Gallon Forecast'!L135+'[4]D5 Gallon Forecast'!L122+'[4]D6 Gallon Forecast'!L211</f>
        <v>45226785</v>
      </c>
      <c r="M51" s="21">
        <f>'[4]D4 Gallon Forecast'!M135+'[4]D5 Gallon Forecast'!M122+'[4]D6 Gallon Forecast'!M211</f>
        <v>59222033</v>
      </c>
      <c r="N51" s="21">
        <f>'[4]D4 Gallon Forecast'!N135+'[4]D5 Gallon Forecast'!N122+'[4]D6 Gallon Forecast'!N211</f>
        <v>110055959</v>
      </c>
      <c r="O51" s="21">
        <f>'[4]D5 Gallon Forecast'!O122+'[4]D4 Gallon Forecast'!O135+'[4]D6 Gallon Forecast'!O208</f>
        <v>184175802</v>
      </c>
      <c r="P51" s="21">
        <f>'[4]D4 Gallon Forecast'!P135+'[4]D5 Gallon Forecast'!P122+'[4]D6 Gallon Forecast'!P208</f>
        <v>215239327</v>
      </c>
      <c r="Q51" s="21">
        <f>'[4]D4 Gallon Forecast'!Q135+'[4]D5 Gallon Forecast'!Q122+'[4]D6 Gallon Forecast'!Q208</f>
        <v>229400517</v>
      </c>
      <c r="R51" s="22">
        <f>'[4]D4 Gallon Forecast'!R135+'[4]D5 Gallon Forecast'!R122+'[4]D6 Gallon Forecast'!R208</f>
        <v>201087551.47234574</v>
      </c>
      <c r="S51" s="22">
        <f>'[4]D4 Gallon Forecast'!S135+'[4]D5 Gallon Forecast'!S122+'[4]D6 Gallon Forecast'!S208</f>
        <v>222331474.36161846</v>
      </c>
      <c r="T51" s="22">
        <f>'[4]D4 Gallon Forecast'!T135+'[4]D5 Gallon Forecast'!T122+'[4]D6 Gallon Forecast'!T208</f>
        <v>227266907.74707708</v>
      </c>
      <c r="U51" s="22">
        <f>'[4]D4 Gallon Forecast'!U135+'[4]D5 Gallon Forecast'!U122+'[4]D6 Gallon Forecast'!U208</f>
        <v>228580293.88394293</v>
      </c>
      <c r="V51" s="22">
        <f>'[4]D4 Gallon Forecast'!V135+'[4]D5 Gallon Forecast'!V122+'[4]D6 Gallon Forecast'!V208</f>
        <v>239819467.50720793</v>
      </c>
      <c r="W51" s="22">
        <f>'[4]D4 Gallon Forecast'!W135+'[4]D5 Gallon Forecast'!W122+'[4]D6 Gallon Forecast'!W208</f>
        <v>259742588.4406063</v>
      </c>
      <c r="X51" s="22">
        <f>'[4]D4 Gallon Forecast'!X135+'[4]D5 Gallon Forecast'!X122+'[4]D6 Gallon Forecast'!X208</f>
        <v>308030377.58673579</v>
      </c>
      <c r="Y51" s="22">
        <f>'[4]D4 Gallon Forecast'!Y135+'[4]D5 Gallon Forecast'!Y122+'[4]D6 Gallon Forecast'!Y208</f>
        <v>306629223.56984639</v>
      </c>
      <c r="Z51" s="22">
        <f>'[4]D4 Gallon Forecast'!Z135+'[4]D5 Gallon Forecast'!Z122+'[4]D6 Gallon Forecast'!Z208</f>
        <v>298277030.33242476</v>
      </c>
      <c r="AA51" s="22">
        <f>'[4]D4 Gallon Forecast'!AA135+'[4]D5 Gallon Forecast'!AA122+'[4]D6 Gallon Forecast'!AA208</f>
        <v>316044939.1115849</v>
      </c>
      <c r="AB51" s="22">
        <f>'[4]D4 Gallon Forecast'!AB135+'[4]D5 Gallon Forecast'!AB122+'[4]D6 Gallon Forecast'!AB208</f>
        <v>341124746.72358978</v>
      </c>
      <c r="AC51" s="22">
        <f>'[4]D4 Gallon Forecast'!AC135+'[4]D5 Gallon Forecast'!AC122+'[4]D6 Gallon Forecast'!AC208</f>
        <v>388001430.02523911</v>
      </c>
      <c r="AD51" s="22">
        <f>'[4]D4 Gallon Forecast'!AD135+'[4]D5 Gallon Forecast'!AD122+'[4]D6 Gallon Forecast'!AD208</f>
        <v>428005446.27289242</v>
      </c>
      <c r="AE51" s="22">
        <f>'[4]D4 Gallon Forecast'!AE135+'[4]D5 Gallon Forecast'!AE122+'[4]D6 Gallon Forecast'!AE208</f>
        <v>429761672.69802207</v>
      </c>
      <c r="AF51" s="22">
        <f>'[4]D4 Gallon Forecast'!AF135+'[4]D5 Gallon Forecast'!AF122+'[4]D6 Gallon Forecast'!AF208</f>
        <v>378389450.96765256</v>
      </c>
      <c r="AG51" s="22">
        <f>'[4]D4 Gallon Forecast'!AG135+'[4]D5 Gallon Forecast'!AG122+'[4]D6 Gallon Forecast'!AG208</f>
        <v>400044003.07578814</v>
      </c>
      <c r="AH51" s="22">
        <f>'[4]D4 Gallon Forecast'!AH135+'[4]D5 Gallon Forecast'!AH122+'[4]D6 Gallon Forecast'!AH208</f>
        <v>422832918.71840817</v>
      </c>
      <c r="AI51" s="22">
        <f>'[4]D4 Gallon Forecast'!AI135+'[4]D5 Gallon Forecast'!AI122+'[4]D6 Gallon Forecast'!AI208</f>
        <v>459443830.41338158</v>
      </c>
      <c r="AJ51" s="22">
        <f>'[4]D4 Gallon Forecast'!AJ135+'[4]D5 Gallon Forecast'!AJ122+'[4]D6 Gallon Forecast'!AJ208</f>
        <v>468620890.21794415</v>
      </c>
      <c r="AK51" s="22">
        <f>'[4]D4 Gallon Forecast'!AK135+'[4]D5 Gallon Forecast'!AK122+'[4]D6 Gallon Forecast'!AK208</f>
        <v>465975502.87264115</v>
      </c>
      <c r="AL51" s="22">
        <f>'[4]D4 Gallon Forecast'!AL135+'[4]D5 Gallon Forecast'!AL122+'[4]D6 Gallon Forecast'!AL208</f>
        <v>444268339.48293</v>
      </c>
      <c r="AM51" s="22">
        <f>'[4]D4 Gallon Forecast'!AM135+'[4]D5 Gallon Forecast'!AM122+'[4]D6 Gallon Forecast'!AM208</f>
        <v>462215163.95904553</v>
      </c>
      <c r="AN51" s="22">
        <f>'[4]D4 Gallon Forecast'!AN135+'[4]D5 Gallon Forecast'!AN122+'[4]D6 Gallon Forecast'!AN208</f>
        <v>478814964.39649665</v>
      </c>
      <c r="AO51" s="22">
        <f>'[4]D4 Gallon Forecast'!AO135+'[4]D5 Gallon Forecast'!AO122+'[4]D6 Gallon Forecast'!AO208</f>
        <v>496128341.14758509</v>
      </c>
      <c r="AP51" s="22">
        <f>'[4]D4 Gallon Forecast'!AP135+'[4]D5 Gallon Forecast'!AP122+'[4]D6 Gallon Forecast'!AP208</f>
        <v>517396251.78451204</v>
      </c>
      <c r="AQ51" s="22"/>
      <c r="AR51" s="22"/>
      <c r="AS51" s="22"/>
      <c r="AT51" s="11">
        <f t="shared" si="33"/>
        <v>0.67347414600239874</v>
      </c>
      <c r="AU51" s="21">
        <f t="shared" si="34"/>
        <v>74119843</v>
      </c>
      <c r="AV51" s="21">
        <f t="shared" ref="AV51:AV60" si="40">O51-O50</f>
        <v>43105443</v>
      </c>
      <c r="AW51" s="11">
        <f t="shared" ref="AW51:AW60" si="41">AV51/O50</f>
        <v>0.30555988731835582</v>
      </c>
      <c r="AX51" s="21">
        <f>'[4]D5 Gallon Forecast'!$AX122+'[4]D4 Gallon Forecast'!$DK135+'[4]D6 Gallon Forecast'!$BK208</f>
        <v>4883563.0796355866</v>
      </c>
      <c r="AY51" s="21">
        <f t="shared" si="35"/>
        <v>179292238.92036441</v>
      </c>
      <c r="BA51" s="21">
        <f>O51/31</f>
        <v>5941154.9032258065</v>
      </c>
      <c r="BB51" s="21">
        <f>N51/31</f>
        <v>3550192.2258064514</v>
      </c>
      <c r="BC51" s="21">
        <f>M51/31</f>
        <v>1910388.1612903227</v>
      </c>
      <c r="BD51" s="21">
        <f t="shared" ref="BD51:BD60" si="42">L51/31</f>
        <v>1458928.5483870967</v>
      </c>
      <c r="BE51" s="21">
        <f t="shared" si="36"/>
        <v>2390962.6774193551</v>
      </c>
      <c r="BF51" s="21">
        <f>AVERAGE(J51:N51)/31</f>
        <v>1776213.0387096775</v>
      </c>
      <c r="BG51" s="21">
        <f t="shared" si="37"/>
        <v>4164941.8645161288</v>
      </c>
      <c r="BH51" s="29">
        <f t="shared" si="38"/>
        <v>2.3448436498032539</v>
      </c>
      <c r="BI51" s="29">
        <f t="shared" si="39"/>
        <v>0.89317151520421512</v>
      </c>
    </row>
    <row r="52" spans="1:61" x14ac:dyDescent="0.25">
      <c r="A52" s="20" t="s">
        <v>73</v>
      </c>
      <c r="B52" s="21">
        <f>'[4]D4 Gallon Forecast'!B136+'[4]D5 Gallon Forecast'!B123+'[4]D6 Gallon Forecast'!B212</f>
        <v>0</v>
      </c>
      <c r="C52" s="21">
        <f>'[4]D4 Gallon Forecast'!C136+'[4]D5 Gallon Forecast'!C123+'[4]D6 Gallon Forecast'!C212</f>
        <v>1966907</v>
      </c>
      <c r="D52" s="21">
        <f>'[4]D4 Gallon Forecast'!D136+'[4]D5 Gallon Forecast'!D123+'[4]D6 Gallon Forecast'!D212</f>
        <v>3552348</v>
      </c>
      <c r="E52" s="21">
        <f>'[4]D4 Gallon Forecast'!E136+'[4]D5 Gallon Forecast'!E123+'[4]D6 Gallon Forecast'!E212</f>
        <v>1673823</v>
      </c>
      <c r="F52" s="21">
        <f>'[4]D4 Gallon Forecast'!F136+'[4]D5 Gallon Forecast'!F123+'[4]D6 Gallon Forecast'!F212</f>
        <v>13676328</v>
      </c>
      <c r="G52" s="21">
        <f>'[4]D4 Gallon Forecast'!G136+'[4]D5 Gallon Forecast'!G123+'[4]D6 Gallon Forecast'!G212</f>
        <v>15732656</v>
      </c>
      <c r="H52" s="21">
        <f>'[4]D4 Gallon Forecast'!H136+'[4]D5 Gallon Forecast'!H123+'[4]D6 Gallon Forecast'!H212</f>
        <v>21253081</v>
      </c>
      <c r="I52" s="21">
        <f>'[4]D4 Gallon Forecast'!I136+'[4]D5 Gallon Forecast'!I123+'[4]D6 Gallon Forecast'!I212</f>
        <v>20403202</v>
      </c>
      <c r="J52" s="21">
        <f>'[4]D4 Gallon Forecast'!J136+'[4]D5 Gallon Forecast'!J123+'[4]D6 Gallon Forecast'!J212</f>
        <v>25750984</v>
      </c>
      <c r="K52" s="21">
        <f>'[4]D4 Gallon Forecast'!K136+'[4]D5 Gallon Forecast'!K123+'[4]D6 Gallon Forecast'!K212</f>
        <v>38557434</v>
      </c>
      <c r="L52" s="21">
        <f>'[4]D4 Gallon Forecast'!L136+'[4]D5 Gallon Forecast'!L123+'[4]D6 Gallon Forecast'!L212</f>
        <v>38638856</v>
      </c>
      <c r="M52" s="21">
        <f>'[4]D4 Gallon Forecast'!M136+'[4]D5 Gallon Forecast'!M123+'[4]D6 Gallon Forecast'!M212</f>
        <v>50634433</v>
      </c>
      <c r="N52" s="21">
        <f>'[4]D4 Gallon Forecast'!N136+'[4]D5 Gallon Forecast'!N123+'[4]D6 Gallon Forecast'!N212</f>
        <v>106480662</v>
      </c>
      <c r="O52" s="21">
        <f>'[4]D5 Gallon Forecast'!O123+'[4]D4 Gallon Forecast'!O136+'[4]D6 Gallon Forecast'!O209</f>
        <v>174407540</v>
      </c>
      <c r="P52" s="21">
        <f>'[4]D4 Gallon Forecast'!P136+'[4]D5 Gallon Forecast'!P123+'[4]D6 Gallon Forecast'!P209</f>
        <v>283042186</v>
      </c>
      <c r="Q52" s="22">
        <f>'[4]D4 Gallon Forecast'!Q136+'[4]D5 Gallon Forecast'!Q123+'[4]D6 Gallon Forecast'!Q209</f>
        <v>201331356.4815461</v>
      </c>
      <c r="R52" s="22">
        <f>'[4]D4 Gallon Forecast'!R136+'[4]D5 Gallon Forecast'!R123+'[4]D6 Gallon Forecast'!R209</f>
        <v>193344202.49970382</v>
      </c>
      <c r="S52" s="22">
        <f>'[4]D4 Gallon Forecast'!S136+'[4]D5 Gallon Forecast'!S123+'[4]D6 Gallon Forecast'!S209</f>
        <v>213396859.74068043</v>
      </c>
      <c r="T52" s="22">
        <f>'[4]D4 Gallon Forecast'!T136+'[4]D5 Gallon Forecast'!T123+'[4]D6 Gallon Forecast'!T209</f>
        <v>217371467.25445896</v>
      </c>
      <c r="U52" s="22">
        <f>'[4]D4 Gallon Forecast'!U136+'[4]D5 Gallon Forecast'!U123+'[4]D6 Gallon Forecast'!U209</f>
        <v>218955341.14504278</v>
      </c>
      <c r="V52" s="22">
        <f>'[4]D4 Gallon Forecast'!V136+'[4]D5 Gallon Forecast'!V123+'[4]D6 Gallon Forecast'!V209</f>
        <v>229462278.14924833</v>
      </c>
      <c r="W52" s="22">
        <f>'[4]D4 Gallon Forecast'!W136+'[4]D5 Gallon Forecast'!W123+'[4]D6 Gallon Forecast'!W209</f>
        <v>248826445.36842561</v>
      </c>
      <c r="X52" s="22">
        <f>'[4]D4 Gallon Forecast'!X136+'[4]D5 Gallon Forecast'!X123+'[4]D6 Gallon Forecast'!X209</f>
        <v>295175326.88767368</v>
      </c>
      <c r="Y52" s="22">
        <f>'[4]D4 Gallon Forecast'!Y136+'[4]D5 Gallon Forecast'!Y123+'[4]D6 Gallon Forecast'!Y209</f>
        <v>293643197.48746473</v>
      </c>
      <c r="Z52" s="22">
        <f>'[4]D4 Gallon Forecast'!Z136+'[4]D5 Gallon Forecast'!Z123+'[4]D6 Gallon Forecast'!Z209</f>
        <v>285421262.34656847</v>
      </c>
      <c r="AA52" s="22">
        <f>'[4]D4 Gallon Forecast'!AA136+'[4]D5 Gallon Forecast'!AA123+'[4]D6 Gallon Forecast'!AA209</f>
        <v>302397508.53541154</v>
      </c>
      <c r="AB52" s="22">
        <f>'[4]D4 Gallon Forecast'!AB136+'[4]D5 Gallon Forecast'!AB123+'[4]D6 Gallon Forecast'!AB209</f>
        <v>326861443.74999732</v>
      </c>
      <c r="AC52" s="22">
        <f>'[4]D4 Gallon Forecast'!AC136+'[4]D5 Gallon Forecast'!AC123+'[4]D6 Gallon Forecast'!AC209</f>
        <v>372006049.33358061</v>
      </c>
      <c r="AD52" s="22">
        <f>'[4]D4 Gallon Forecast'!AD136+'[4]D5 Gallon Forecast'!AD123+'[4]D6 Gallon Forecast'!AD209</f>
        <v>410359869.85578811</v>
      </c>
      <c r="AE52" s="22">
        <f>'[4]D4 Gallon Forecast'!AE136+'[4]D5 Gallon Forecast'!AE123+'[4]D6 Gallon Forecast'!AE209</f>
        <v>411597041.79497296</v>
      </c>
      <c r="AF52" s="22">
        <f>'[4]D4 Gallon Forecast'!AF136+'[4]D5 Gallon Forecast'!AF123+'[4]D6 Gallon Forecast'!AF209</f>
        <v>361716665.73921573</v>
      </c>
      <c r="AG52" s="22">
        <f>'[4]D4 Gallon Forecast'!AG136+'[4]D5 Gallon Forecast'!AG123+'[4]D6 Gallon Forecast'!AG209</f>
        <v>382721970.09857023</v>
      </c>
      <c r="AH52" s="22">
        <f>'[4]D4 Gallon Forecast'!AH136+'[4]D5 Gallon Forecast'!AH123+'[4]D6 Gallon Forecast'!AH209</f>
        <v>404557748.23663205</v>
      </c>
      <c r="AI52" s="22">
        <f>'[4]D4 Gallon Forecast'!AI136+'[4]D5 Gallon Forecast'!AI123+'[4]D6 Gallon Forecast'!AI209</f>
        <v>439628319.67919081</v>
      </c>
      <c r="AJ52" s="22">
        <f>'[4]D4 Gallon Forecast'!AJ136+'[4]D5 Gallon Forecast'!AJ123+'[4]D6 Gallon Forecast'!AJ209</f>
        <v>448378916.80213147</v>
      </c>
      <c r="AK52" s="22">
        <f>'[4]D4 Gallon Forecast'!AK136+'[4]D5 Gallon Forecast'!AK123+'[4]D6 Gallon Forecast'!AK209</f>
        <v>445822220.49405354</v>
      </c>
      <c r="AL52" s="22">
        <f>'[4]D4 Gallon Forecast'!AL136+'[4]D5 Gallon Forecast'!AL123+'[4]D6 Gallon Forecast'!AL209</f>
        <v>424775437.69649988</v>
      </c>
      <c r="AM52" s="22">
        <f>'[4]D4 Gallon Forecast'!AM136+'[4]D5 Gallon Forecast'!AM123+'[4]D6 Gallon Forecast'!AM209</f>
        <v>442313554.22764301</v>
      </c>
      <c r="AN52" s="22">
        <f>'[4]D4 Gallon Forecast'!AN136+'[4]D5 Gallon Forecast'!AN123+'[4]D6 Gallon Forecast'!AN209</f>
        <v>458183683.48848301</v>
      </c>
      <c r="AO52" s="22">
        <f>'[4]D4 Gallon Forecast'!AO136+'[4]D5 Gallon Forecast'!AO123+'[4]D6 Gallon Forecast'!AO209</f>
        <v>474751720.2714451</v>
      </c>
      <c r="AP52" s="22">
        <f>'[4]D4 Gallon Forecast'!AP136+'[4]D5 Gallon Forecast'!AP123+'[4]D6 Gallon Forecast'!AP209</f>
        <v>495339261.25581235</v>
      </c>
      <c r="AQ52" s="22"/>
      <c r="AR52" s="22"/>
      <c r="AS52" s="22"/>
      <c r="AT52" s="11">
        <f t="shared" si="33"/>
        <v>0.63792689418102988</v>
      </c>
      <c r="AU52" s="21">
        <f t="shared" si="34"/>
        <v>67926878</v>
      </c>
      <c r="AV52" s="21">
        <f t="shared" si="40"/>
        <v>-9768262</v>
      </c>
      <c r="AW52" s="11">
        <f t="shared" si="41"/>
        <v>-5.3037705789384861E-2</v>
      </c>
      <c r="AX52" s="21">
        <f>'[4]D5 Gallon Forecast'!$AX123+'[4]D4 Gallon Forecast'!$DK136+'[4]D6 Gallon Forecast'!$BK209</f>
        <v>4373294.5190790175</v>
      </c>
      <c r="AY52" s="21">
        <f t="shared" si="35"/>
        <v>170034245.48092097</v>
      </c>
      <c r="BA52" s="21">
        <f>O52/30</f>
        <v>5813584.666666667</v>
      </c>
      <c r="BB52" s="21">
        <f>N52/30</f>
        <v>3549355.4</v>
      </c>
      <c r="BC52" s="21">
        <f>M52/30</f>
        <v>1687814.4333333333</v>
      </c>
      <c r="BD52" s="21">
        <f>L52/30</f>
        <v>1287961.8666666667</v>
      </c>
      <c r="BE52" s="21">
        <f t="shared" si="36"/>
        <v>2264229.2666666671</v>
      </c>
      <c r="BF52" s="21">
        <f>AVERAGE(J52:N52)/30</f>
        <v>1733749.1266666665</v>
      </c>
      <c r="BG52" s="21">
        <f t="shared" si="37"/>
        <v>4079835.5400000005</v>
      </c>
      <c r="BH52" s="29">
        <f t="shared" si="38"/>
        <v>2.3531867888198779</v>
      </c>
      <c r="BI52" s="29">
        <f t="shared" si="39"/>
        <v>0.87181847036421833</v>
      </c>
    </row>
    <row r="53" spans="1:61" x14ac:dyDescent="0.25">
      <c r="A53" s="20" t="s">
        <v>10</v>
      </c>
      <c r="B53" s="21">
        <f>'[4]D4 Gallon Forecast'!B137+'[4]D5 Gallon Forecast'!B124+'[4]D6 Gallon Forecast'!B213</f>
        <v>0</v>
      </c>
      <c r="C53" s="21">
        <f>'[4]D4 Gallon Forecast'!C137+'[4]D5 Gallon Forecast'!C124+'[4]D6 Gallon Forecast'!C213</f>
        <v>7525643</v>
      </c>
      <c r="D53" s="21">
        <f>'[4]D4 Gallon Forecast'!D137+'[4]D5 Gallon Forecast'!D124+'[4]D6 Gallon Forecast'!D213</f>
        <v>3766248</v>
      </c>
      <c r="E53" s="21">
        <f>'[4]D4 Gallon Forecast'!E137+'[4]D5 Gallon Forecast'!E124+'[4]D6 Gallon Forecast'!E213</f>
        <v>2792467</v>
      </c>
      <c r="F53" s="21">
        <f>'[4]D4 Gallon Forecast'!F137+'[4]D5 Gallon Forecast'!F124+'[4]D6 Gallon Forecast'!F213</f>
        <v>16218844</v>
      </c>
      <c r="G53" s="21">
        <f>'[4]D4 Gallon Forecast'!G137+'[4]D5 Gallon Forecast'!G124+'[4]D6 Gallon Forecast'!G213</f>
        <v>15741162</v>
      </c>
      <c r="H53" s="21">
        <f>'[4]D4 Gallon Forecast'!H137+'[4]D5 Gallon Forecast'!H124+'[4]D6 Gallon Forecast'!H213</f>
        <v>21933497</v>
      </c>
      <c r="I53" s="21">
        <f>'[4]D4 Gallon Forecast'!I137+'[4]D5 Gallon Forecast'!I124+'[4]D6 Gallon Forecast'!I213</f>
        <v>24392752</v>
      </c>
      <c r="J53" s="21">
        <f>'[4]D4 Gallon Forecast'!J137+'[4]D5 Gallon Forecast'!J124+'[4]D6 Gallon Forecast'!J213</f>
        <v>21508247</v>
      </c>
      <c r="K53" s="21">
        <f>'[4]D4 Gallon Forecast'!K137+'[4]D5 Gallon Forecast'!K124+'[4]D6 Gallon Forecast'!K213</f>
        <v>40382855</v>
      </c>
      <c r="L53" s="21">
        <f>'[4]D4 Gallon Forecast'!L137+'[4]D5 Gallon Forecast'!L124+'[4]D6 Gallon Forecast'!L213</f>
        <v>46421171</v>
      </c>
      <c r="M53" s="21">
        <f>'[4]D4 Gallon Forecast'!M137+'[4]D5 Gallon Forecast'!M124+'[4]D6 Gallon Forecast'!M213</f>
        <v>60051437</v>
      </c>
      <c r="N53" s="21">
        <f>'[4]D4 Gallon Forecast'!N137+'[4]D5 Gallon Forecast'!N124+'[4]D6 Gallon Forecast'!N213</f>
        <v>136075722</v>
      </c>
      <c r="O53" s="21">
        <f>'[4]D5 Gallon Forecast'!O124+'[4]D4 Gallon Forecast'!O137+'[4]D6 Gallon Forecast'!O210</f>
        <v>229265334</v>
      </c>
      <c r="P53" s="21">
        <f>'[4]D4 Gallon Forecast'!P137+'[4]D5 Gallon Forecast'!P124+'[4]D6 Gallon Forecast'!P210</f>
        <v>220402735</v>
      </c>
      <c r="Q53" s="22">
        <f>'[4]D4 Gallon Forecast'!Q137+'[4]D5 Gallon Forecast'!Q124+'[4]D6 Gallon Forecast'!Q210</f>
        <v>198336988.21685207</v>
      </c>
      <c r="R53" s="22">
        <f>'[4]D4 Gallon Forecast'!R137+'[4]D5 Gallon Forecast'!R124+'[4]D6 Gallon Forecast'!R210</f>
        <v>216099681.58198112</v>
      </c>
      <c r="S53" s="22">
        <f>'[4]D4 Gallon Forecast'!S137+'[4]D5 Gallon Forecast'!S124+'[4]D6 Gallon Forecast'!S210</f>
        <v>238853185.10802394</v>
      </c>
      <c r="T53" s="22">
        <f>'[4]D4 Gallon Forecast'!T137+'[4]D5 Gallon Forecast'!T124+'[4]D6 Gallon Forecast'!T210</f>
        <v>242702114.27576911</v>
      </c>
      <c r="U53" s="22">
        <f>'[4]D4 Gallon Forecast'!U137+'[4]D5 Gallon Forecast'!U124+'[4]D6 Gallon Forecast'!U210</f>
        <v>244000037.58973342</v>
      </c>
      <c r="V53" s="22">
        <f>'[4]D4 Gallon Forecast'!V137+'[4]D5 Gallon Forecast'!V124+'[4]D6 Gallon Forecast'!V210</f>
        <v>256351694.14983538</v>
      </c>
      <c r="W53" s="22">
        <f>'[4]D4 Gallon Forecast'!W137+'[4]D5 Gallon Forecast'!W124+'[4]D6 Gallon Forecast'!W210</f>
        <v>277936054.80820769</v>
      </c>
      <c r="X53" s="22">
        <f>'[4]D4 Gallon Forecast'!X137+'[4]D5 Gallon Forecast'!X124+'[4]D6 Gallon Forecast'!X210</f>
        <v>329674933.86319137</v>
      </c>
      <c r="Y53" s="22">
        <f>'[4]D4 Gallon Forecast'!Y137+'[4]D5 Gallon Forecast'!Y124+'[4]D6 Gallon Forecast'!Y210</f>
        <v>327838041.39430302</v>
      </c>
      <c r="Z53" s="22">
        <f>'[4]D4 Gallon Forecast'!Z137+'[4]D5 Gallon Forecast'!Z124+'[4]D6 Gallon Forecast'!Z210</f>
        <v>318640962.61132663</v>
      </c>
      <c r="AA53" s="22">
        <f>'[4]D4 Gallon Forecast'!AA137+'[4]D5 Gallon Forecast'!AA124+'[4]D6 Gallon Forecast'!AA210</f>
        <v>337697976.64706576</v>
      </c>
      <c r="AB53" s="22">
        <f>'[4]D4 Gallon Forecast'!AB137+'[4]D5 Gallon Forecast'!AB124+'[4]D6 Gallon Forecast'!AB210</f>
        <v>365006830.42158008</v>
      </c>
      <c r="AC53" s="22">
        <f>'[4]D4 Gallon Forecast'!AC137+'[4]D5 Gallon Forecast'!AC124+'[4]D6 Gallon Forecast'!AC210</f>
        <v>415410348.78232515</v>
      </c>
      <c r="AD53" s="22">
        <f>'[4]D4 Gallon Forecast'!AD137+'[4]D5 Gallon Forecast'!AD124+'[4]D6 Gallon Forecast'!AD210</f>
        <v>458223615.86661655</v>
      </c>
      <c r="AE53" s="22">
        <f>'[4]D4 Gallon Forecast'!AE137+'[4]D5 Gallon Forecast'!AE124+'[4]D6 Gallon Forecast'!AE210</f>
        <v>459599408.71388924</v>
      </c>
      <c r="AF53" s="22">
        <f>'[4]D4 Gallon Forecast'!AF137+'[4]D5 Gallon Forecast'!AF124+'[4]D6 Gallon Forecast'!AF210</f>
        <v>403891971.94833112</v>
      </c>
      <c r="AG53" s="22">
        <f>'[4]D4 Gallon Forecast'!AG137+'[4]D5 Gallon Forecast'!AG124+'[4]D6 Gallon Forecast'!AG210</f>
        <v>427348987.91155642</v>
      </c>
      <c r="AH53" s="22">
        <f>'[4]D4 Gallon Forecast'!AH137+'[4]D5 Gallon Forecast'!AH124+'[4]D6 Gallon Forecast'!AH210</f>
        <v>451728709.96381629</v>
      </c>
      <c r="AI53" s="22">
        <f>'[4]D4 Gallon Forecast'!AI137+'[4]D5 Gallon Forecast'!AI124+'[4]D6 Gallon Forecast'!AI210</f>
        <v>490889319.8509407</v>
      </c>
      <c r="AJ53" s="22">
        <f>'[4]D4 Gallon Forecast'!AJ137+'[4]D5 Gallon Forecast'!AJ124+'[4]D6 Gallon Forecast'!AJ210</f>
        <v>500661953.8854807</v>
      </c>
      <c r="AK53" s="22">
        <f>'[4]D4 Gallon Forecast'!AK137+'[4]D5 Gallon Forecast'!AK124+'[4]D6 Gallon Forecast'!AK210</f>
        <v>497807396.27595097</v>
      </c>
      <c r="AL53" s="22">
        <f>'[4]D4 Gallon Forecast'!AL137+'[4]D5 Gallon Forecast'!AL124+'[4]D6 Gallon Forecast'!AL210</f>
        <v>474295541.19663417</v>
      </c>
      <c r="AM53" s="22">
        <f>'[4]D4 Gallon Forecast'!AM137+'[4]D5 Gallon Forecast'!AM124+'[4]D6 Gallon Forecast'!AM210</f>
        <v>493890684.47622216</v>
      </c>
      <c r="AN53" s="22">
        <f>'[4]D4 Gallon Forecast'!AN137+'[4]D5 Gallon Forecast'!AN124+'[4]D6 Gallon Forecast'!AN210</f>
        <v>511611135.12325239</v>
      </c>
      <c r="AO53" s="22">
        <f>'[4]D4 Gallon Forecast'!AO137+'[4]D5 Gallon Forecast'!AO124+'[4]D6 Gallon Forecast'!AO210</f>
        <v>530111591.03694379</v>
      </c>
      <c r="AP53" s="22">
        <f>'[4]D4 Gallon Forecast'!AP137+'[4]D5 Gallon Forecast'!AP124+'[4]D6 Gallon Forecast'!AP210</f>
        <v>553107719.81817889</v>
      </c>
      <c r="AQ53" s="22"/>
      <c r="AR53" s="22"/>
      <c r="AS53" s="22"/>
      <c r="AT53" s="11">
        <f t="shared" si="33"/>
        <v>0.68483643246809311</v>
      </c>
      <c r="AU53" s="21">
        <f t="shared" si="34"/>
        <v>93189612</v>
      </c>
      <c r="AV53" s="21">
        <f t="shared" si="40"/>
        <v>54857794</v>
      </c>
      <c r="AW53" s="11">
        <f t="shared" si="41"/>
        <v>0.31453797238353343</v>
      </c>
      <c r="AX53" s="21">
        <f>'[4]D5 Gallon Forecast'!$AX124+'[4]D4 Gallon Forecast'!$DK137+'[4]D6 Gallon Forecast'!$BK210</f>
        <v>9696327.1191946939</v>
      </c>
      <c r="AY53" s="21">
        <f t="shared" si="35"/>
        <v>219569006.88080531</v>
      </c>
      <c r="BA53" s="21">
        <f>O53/31</f>
        <v>7395655.935483871</v>
      </c>
      <c r="BB53" s="21">
        <f>N53/31</f>
        <v>4389539.4193548383</v>
      </c>
      <c r="BC53" s="21">
        <f>M53/31</f>
        <v>1937143.1290322582</v>
      </c>
      <c r="BD53" s="21">
        <f t="shared" si="42"/>
        <v>1497457.1290322582</v>
      </c>
      <c r="BE53" s="21">
        <f t="shared" si="36"/>
        <v>3006116.5161290327</v>
      </c>
      <c r="BF53" s="21">
        <f t="shared" ref="BF53:BF60" si="43">AVERAGE(J53:N53)/31</f>
        <v>1964125.3677419354</v>
      </c>
      <c r="BG53" s="21">
        <f t="shared" si="37"/>
        <v>5431530.5677419361</v>
      </c>
      <c r="BH53" s="29">
        <f t="shared" si="38"/>
        <v>2.765368574199679</v>
      </c>
      <c r="BI53" s="29">
        <f t="shared" si="39"/>
        <v>0.98766352488410125</v>
      </c>
    </row>
    <row r="54" spans="1:61" x14ac:dyDescent="0.25">
      <c r="A54" s="20" t="s">
        <v>74</v>
      </c>
      <c r="B54" s="21">
        <f>'[4]D4 Gallon Forecast'!B138+'[4]D5 Gallon Forecast'!B125+'[4]D6 Gallon Forecast'!B214</f>
        <v>0</v>
      </c>
      <c r="C54" s="21">
        <f>'[4]D4 Gallon Forecast'!C138+'[4]D5 Gallon Forecast'!C125+'[4]D6 Gallon Forecast'!C214</f>
        <v>4563727</v>
      </c>
      <c r="D54" s="21">
        <f>'[4]D4 Gallon Forecast'!D138+'[4]D5 Gallon Forecast'!D125+'[4]D6 Gallon Forecast'!D214</f>
        <v>3592628</v>
      </c>
      <c r="E54" s="21">
        <f>'[4]D4 Gallon Forecast'!E138+'[4]D5 Gallon Forecast'!E125+'[4]D6 Gallon Forecast'!E214</f>
        <v>7255975</v>
      </c>
      <c r="F54" s="21">
        <f>'[4]D4 Gallon Forecast'!F138+'[4]D5 Gallon Forecast'!F125+'[4]D6 Gallon Forecast'!F214</f>
        <v>15664923</v>
      </c>
      <c r="G54" s="21">
        <f>'[4]D4 Gallon Forecast'!G138+'[4]D5 Gallon Forecast'!G125+'[4]D6 Gallon Forecast'!G214</f>
        <v>14419983</v>
      </c>
      <c r="H54" s="21">
        <f>'[4]D4 Gallon Forecast'!H138+'[4]D5 Gallon Forecast'!H125+'[4]D6 Gallon Forecast'!H214</f>
        <v>22569322</v>
      </c>
      <c r="I54" s="21">
        <f>'[4]D4 Gallon Forecast'!I138+'[4]D5 Gallon Forecast'!I125+'[4]D6 Gallon Forecast'!I214</f>
        <v>17747238</v>
      </c>
      <c r="J54" s="21">
        <f>'[4]D4 Gallon Forecast'!J138+'[4]D5 Gallon Forecast'!J125+'[4]D6 Gallon Forecast'!J214</f>
        <v>12384025</v>
      </c>
      <c r="K54" s="21">
        <f>'[4]D4 Gallon Forecast'!K138+'[4]D5 Gallon Forecast'!K125+'[4]D6 Gallon Forecast'!K214</f>
        <v>39760652</v>
      </c>
      <c r="L54" s="21">
        <f>'[4]D4 Gallon Forecast'!L138+'[4]D5 Gallon Forecast'!L125+'[4]D6 Gallon Forecast'!L214</f>
        <v>53207936</v>
      </c>
      <c r="M54" s="21">
        <f>'[4]D4 Gallon Forecast'!M138+'[4]D5 Gallon Forecast'!M125+'[4]D6 Gallon Forecast'!M214</f>
        <v>68859545</v>
      </c>
      <c r="N54" s="21">
        <f>'[4]D4 Gallon Forecast'!N138+'[4]D5 Gallon Forecast'!N125+'[4]D6 Gallon Forecast'!N214</f>
        <v>116253275</v>
      </c>
      <c r="O54" s="21">
        <f>'[4]D5 Gallon Forecast'!O125+'[4]D4 Gallon Forecast'!O138+'[4]D6 Gallon Forecast'!O211</f>
        <v>202490999</v>
      </c>
      <c r="P54" s="21">
        <f>'[4]D4 Gallon Forecast'!P138+'[4]D5 Gallon Forecast'!P125+'[4]D6 Gallon Forecast'!P211</f>
        <v>282589564</v>
      </c>
      <c r="Q54" s="22">
        <f>'[4]D4 Gallon Forecast'!Q138+'[4]D5 Gallon Forecast'!Q125+'[4]D6 Gallon Forecast'!Q211</f>
        <v>195595310.42807597</v>
      </c>
      <c r="R54" s="22">
        <f>'[4]D4 Gallon Forecast'!R138+'[4]D5 Gallon Forecast'!R125+'[4]D6 Gallon Forecast'!R211</f>
        <v>215722928.55995023</v>
      </c>
      <c r="S54" s="22">
        <f>'[4]D4 Gallon Forecast'!S138+'[4]D5 Gallon Forecast'!S125+'[4]D6 Gallon Forecast'!S211</f>
        <v>238366010.68480831</v>
      </c>
      <c r="T54" s="22">
        <f>'[4]D4 Gallon Forecast'!T138+'[4]D5 Gallon Forecast'!T125+'[4]D6 Gallon Forecast'!T211</f>
        <v>243606682.90877292</v>
      </c>
      <c r="U54" s="22">
        <f>'[4]D4 Gallon Forecast'!U138+'[4]D5 Gallon Forecast'!U125+'[4]D6 Gallon Forecast'!U211</f>
        <v>244970522.4732177</v>
      </c>
      <c r="V54" s="22">
        <f>'[4]D4 Gallon Forecast'!V138+'[4]D5 Gallon Forecast'!V125+'[4]D6 Gallon Forecast'!V211</f>
        <v>256708443.04556444</v>
      </c>
      <c r="W54" s="22">
        <f>'[4]D4 Gallon Forecast'!W138+'[4]D5 Gallon Forecast'!W125+'[4]D6 Gallon Forecast'!W211</f>
        <v>278342482.54892325</v>
      </c>
      <c r="X54" s="22">
        <f>'[4]D4 Gallon Forecast'!X138+'[4]D5 Gallon Forecast'!X125+'[4]D6 Gallon Forecast'!X211</f>
        <v>330115541.04007667</v>
      </c>
      <c r="Y54" s="22">
        <f>'[4]D4 Gallon Forecast'!Y138+'[4]D5 Gallon Forecast'!Y125+'[4]D6 Gallon Forecast'!Y211</f>
        <v>328556808.6677587</v>
      </c>
      <c r="Z54" s="22">
        <f>'[4]D4 Gallon Forecast'!Z138+'[4]D5 Gallon Forecast'!Z125+'[4]D6 Gallon Forecast'!Z211</f>
        <v>319494028.72717369</v>
      </c>
      <c r="AA54" s="22">
        <f>'[4]D4 Gallon Forecast'!AA138+'[4]D5 Gallon Forecast'!AA125+'[4]D6 Gallon Forecast'!AA211</f>
        <v>338504106.54127818</v>
      </c>
      <c r="AB54" s="22">
        <f>'[4]D4 Gallon Forecast'!AB138+'[4]D5 Gallon Forecast'!AB125+'[4]D6 Gallon Forecast'!AB211</f>
        <v>365555781.46483302</v>
      </c>
      <c r="AC54" s="22">
        <f>'[4]D4 Gallon Forecast'!AC138+'[4]D5 Gallon Forecast'!AC125+'[4]D6 Gallon Forecast'!AC211</f>
        <v>415860895.26614875</v>
      </c>
      <c r="AD54" s="22">
        <f>'[4]D4 Gallon Forecast'!AD138+'[4]D5 Gallon Forecast'!AD125+'[4]D6 Gallon Forecast'!AD211</f>
        <v>458732480.2883575</v>
      </c>
      <c r="AE54" s="22">
        <f>'[4]D4 Gallon Forecast'!AE138+'[4]D5 Gallon Forecast'!AE125+'[4]D6 Gallon Forecast'!AE211</f>
        <v>460461090.31863701</v>
      </c>
      <c r="AF54" s="22">
        <f>'[4]D4 Gallon Forecast'!AF138+'[4]D5 Gallon Forecast'!AF125+'[4]D6 Gallon Forecast'!AF211</f>
        <v>405196599.80051374</v>
      </c>
      <c r="AG54" s="22">
        <f>'[4]D4 Gallon Forecast'!AG138+'[4]D5 Gallon Forecast'!AG125+'[4]D6 Gallon Forecast'!AG211</f>
        <v>428490873.9332031</v>
      </c>
      <c r="AH54" s="22">
        <f>'[4]D4 Gallon Forecast'!AH138+'[4]D5 Gallon Forecast'!AH125+'[4]D6 Gallon Forecast'!AH211</f>
        <v>452909815.18144464</v>
      </c>
      <c r="AI54" s="22">
        <f>'[4]D4 Gallon Forecast'!AI138+'[4]D5 Gallon Forecast'!AI125+'[4]D6 Gallon Forecast'!AI211</f>
        <v>492137597.67026901</v>
      </c>
      <c r="AJ54" s="22">
        <f>'[4]D4 Gallon Forecast'!AJ138+'[4]D5 Gallon Forecast'!AJ125+'[4]D6 Gallon Forecast'!AJ211</f>
        <v>501957049.62916809</v>
      </c>
      <c r="AK54" s="22">
        <f>'[4]D4 Gallon Forecast'!AK138+'[4]D5 Gallon Forecast'!AK125+'[4]D6 Gallon Forecast'!AK211</f>
        <v>499115830.75627995</v>
      </c>
      <c r="AL54" s="22">
        <f>'[4]D4 Gallon Forecast'!AL138+'[4]D5 Gallon Forecast'!AL125+'[4]D6 Gallon Forecast'!AL211</f>
        <v>475773664.89115649</v>
      </c>
      <c r="AM54" s="22">
        <f>'[4]D4 Gallon Forecast'!AM138+'[4]D5 Gallon Forecast'!AM125+'[4]D6 Gallon Forecast'!AM211</f>
        <v>495117455.28483742</v>
      </c>
      <c r="AN54" s="22">
        <f>'[4]D4 Gallon Forecast'!AN138+'[4]D5 Gallon Forecast'!AN125+'[4]D6 Gallon Forecast'!AN211</f>
        <v>512893850.03131956</v>
      </c>
      <c r="AO54" s="22">
        <f>'[4]D4 Gallon Forecast'!AO138+'[4]D5 Gallon Forecast'!AO125+'[4]D6 Gallon Forecast'!AO211</f>
        <v>531439779.40409589</v>
      </c>
      <c r="AP54" s="22">
        <f>'[4]D4 Gallon Forecast'!AP138+'[4]D5 Gallon Forecast'!AP125+'[4]D6 Gallon Forecast'!AP211</f>
        <v>554299303.5024761</v>
      </c>
      <c r="AQ54" s="22"/>
      <c r="AR54" s="22"/>
      <c r="AS54" s="22"/>
      <c r="AT54" s="11">
        <f t="shared" si="33"/>
        <v>0.74180898559631969</v>
      </c>
      <c r="AU54" s="21">
        <f t="shared" si="34"/>
        <v>86237724</v>
      </c>
      <c r="AV54" s="21">
        <f t="shared" si="40"/>
        <v>-26774335</v>
      </c>
      <c r="AW54" s="11">
        <f t="shared" si="41"/>
        <v>-0.11678318101069741</v>
      </c>
      <c r="AX54" s="21">
        <f>'[4]D5 Gallon Forecast'!$AX125+'[4]D4 Gallon Forecast'!$DK138+'[4]D6 Gallon Forecast'!$BK211</f>
        <v>5115756.4828002481</v>
      </c>
      <c r="AY54" s="21">
        <f t="shared" si="35"/>
        <v>197375242.51719975</v>
      </c>
      <c r="BA54" s="21">
        <f>O54/30</f>
        <v>6749699.9666666668</v>
      </c>
      <c r="BB54" s="21">
        <f>N54/30</f>
        <v>3875109.1666666665</v>
      </c>
      <c r="BC54" s="21">
        <f>M54/30</f>
        <v>2295318.1666666665</v>
      </c>
      <c r="BD54" s="21">
        <f>L54/30</f>
        <v>1773597.8666666667</v>
      </c>
      <c r="BE54" s="21">
        <f t="shared" si="36"/>
        <v>2874590.8000000003</v>
      </c>
      <c r="BF54" s="21">
        <f>AVERAGE(J54:N54)/30</f>
        <v>1936436.22</v>
      </c>
      <c r="BG54" s="21">
        <f t="shared" si="37"/>
        <v>4813263.7466666671</v>
      </c>
      <c r="BH54" s="29">
        <f t="shared" si="38"/>
        <v>2.4856298890477619</v>
      </c>
      <c r="BI54" s="29">
        <f t="shared" si="39"/>
        <v>0.97373999346956797</v>
      </c>
    </row>
    <row r="55" spans="1:61" x14ac:dyDescent="0.25">
      <c r="A55" s="20" t="s">
        <v>75</v>
      </c>
      <c r="B55" s="21">
        <f>'[4]D4 Gallon Forecast'!B139+'[4]D5 Gallon Forecast'!B126+'[4]D6 Gallon Forecast'!B215</f>
        <v>314992</v>
      </c>
      <c r="C55" s="21">
        <f>'[4]D4 Gallon Forecast'!C139+'[4]D5 Gallon Forecast'!C126+'[4]D6 Gallon Forecast'!C215</f>
        <v>6466366</v>
      </c>
      <c r="D55" s="21">
        <f>'[4]D4 Gallon Forecast'!D139+'[4]D5 Gallon Forecast'!D126+'[4]D6 Gallon Forecast'!D215</f>
        <v>6278711</v>
      </c>
      <c r="E55" s="21">
        <f>'[4]D4 Gallon Forecast'!E139+'[4]D5 Gallon Forecast'!E126+'[4]D6 Gallon Forecast'!E215</f>
        <v>15712345</v>
      </c>
      <c r="F55" s="21">
        <f>'[4]D4 Gallon Forecast'!F139+'[4]D5 Gallon Forecast'!F126+'[4]D6 Gallon Forecast'!F215</f>
        <v>13997563</v>
      </c>
      <c r="G55" s="21">
        <f>'[4]D4 Gallon Forecast'!G139+'[4]D5 Gallon Forecast'!G126+'[4]D6 Gallon Forecast'!G215</f>
        <v>15521249</v>
      </c>
      <c r="H55" s="21">
        <f>'[4]D4 Gallon Forecast'!H139+'[4]D5 Gallon Forecast'!H126+'[4]D6 Gallon Forecast'!H215</f>
        <v>19520008</v>
      </c>
      <c r="I55" s="21">
        <f>'[4]D4 Gallon Forecast'!I139+'[4]D5 Gallon Forecast'!I126+'[4]D6 Gallon Forecast'!I215</f>
        <v>19651809</v>
      </c>
      <c r="J55" s="21">
        <f>'[4]D4 Gallon Forecast'!J139+'[4]D5 Gallon Forecast'!J126+'[4]D6 Gallon Forecast'!J215</f>
        <v>10553514</v>
      </c>
      <c r="K55" s="21">
        <f>'[4]D4 Gallon Forecast'!K139+'[4]D5 Gallon Forecast'!K126+'[4]D6 Gallon Forecast'!K215</f>
        <v>46282285</v>
      </c>
      <c r="L55" s="21">
        <f>'[4]D4 Gallon Forecast'!L139+'[4]D5 Gallon Forecast'!L126+'[4]D6 Gallon Forecast'!L215</f>
        <v>46684399</v>
      </c>
      <c r="M55" s="21">
        <f>'[4]D4 Gallon Forecast'!M139+'[4]D5 Gallon Forecast'!M126+'[4]D6 Gallon Forecast'!M215</f>
        <v>69500573</v>
      </c>
      <c r="N55" s="21">
        <f>'[4]D4 Gallon Forecast'!N139+'[4]D5 Gallon Forecast'!N126+'[4]D6 Gallon Forecast'!N215</f>
        <v>108975538</v>
      </c>
      <c r="O55" s="21">
        <f>'[4]D5 Gallon Forecast'!O126+'[4]D4 Gallon Forecast'!O139+'[4]D6 Gallon Forecast'!O212</f>
        <v>182796774</v>
      </c>
      <c r="P55" s="21">
        <f>'[4]D4 Gallon Forecast'!P139+'[4]D5 Gallon Forecast'!P126+'[4]D6 Gallon Forecast'!P212</f>
        <v>292633360</v>
      </c>
      <c r="Q55" s="22">
        <f>'[4]D4 Gallon Forecast'!Q139+'[4]D5 Gallon Forecast'!Q126+'[4]D6 Gallon Forecast'!Q212</f>
        <v>192075200.21665865</v>
      </c>
      <c r="R55" s="22">
        <f>'[4]D4 Gallon Forecast'!R139+'[4]D5 Gallon Forecast'!R126+'[4]D6 Gallon Forecast'!R212</f>
        <v>210519340.09415069</v>
      </c>
      <c r="S55" s="22">
        <f>'[4]D4 Gallon Forecast'!S139+'[4]D5 Gallon Forecast'!S126+'[4]D6 Gallon Forecast'!S212</f>
        <v>232082093.56796181</v>
      </c>
      <c r="T55" s="22">
        <f>'[4]D4 Gallon Forecast'!T139+'[4]D5 Gallon Forecast'!T126+'[4]D6 Gallon Forecast'!T212</f>
        <v>236773522.09535536</v>
      </c>
      <c r="U55" s="22">
        <f>'[4]D4 Gallon Forecast'!U139+'[4]D5 Gallon Forecast'!U126+'[4]D6 Gallon Forecast'!U212</f>
        <v>238956910.24844706</v>
      </c>
      <c r="V55" s="22">
        <f>'[4]D4 Gallon Forecast'!V139+'[4]D5 Gallon Forecast'!V126+'[4]D6 Gallon Forecast'!V212</f>
        <v>250033211.12136015</v>
      </c>
      <c r="W55" s="22">
        <f>'[4]D4 Gallon Forecast'!W139+'[4]D5 Gallon Forecast'!W126+'[4]D6 Gallon Forecast'!W212</f>
        <v>271095635.63357651</v>
      </c>
      <c r="X55" s="22">
        <f>'[4]D4 Gallon Forecast'!X139+'[4]D5 Gallon Forecast'!X126+'[4]D6 Gallon Forecast'!X212</f>
        <v>321538833.71866876</v>
      </c>
      <c r="Y55" s="22">
        <f>'[4]D4 Gallon Forecast'!Y139+'[4]D5 Gallon Forecast'!Y126+'[4]D6 Gallon Forecast'!Y212</f>
        <v>319993427.68153834</v>
      </c>
      <c r="Z55" s="22">
        <f>'[4]D4 Gallon Forecast'!Z139+'[4]D5 Gallon Forecast'!Z126+'[4]D6 Gallon Forecast'!Z212</f>
        <v>311153167.81072766</v>
      </c>
      <c r="AA55" s="22">
        <f>'[4]D4 Gallon Forecast'!AA139+'[4]D5 Gallon Forecast'!AA126+'[4]D6 Gallon Forecast'!AA212</f>
        <v>329588685.68030602</v>
      </c>
      <c r="AB55" s="22">
        <f>'[4]D4 Gallon Forecast'!AB139+'[4]D5 Gallon Forecast'!AB126+'[4]D6 Gallon Forecast'!AB212</f>
        <v>356114822.16137314</v>
      </c>
      <c r="AC55" s="22">
        <f>'[4]D4 Gallon Forecast'!AC139+'[4]D5 Gallon Forecast'!AC126+'[4]D6 Gallon Forecast'!AC212</f>
        <v>405229578.33277351</v>
      </c>
      <c r="AD55" s="22">
        <f>'[4]D4 Gallon Forecast'!AD139+'[4]D5 Gallon Forecast'!AD126+'[4]D6 Gallon Forecast'!AD212</f>
        <v>447020944.42079216</v>
      </c>
      <c r="AE55" s="22">
        <f>'[4]D4 Gallon Forecast'!AE139+'[4]D5 Gallon Forecast'!AE126+'[4]D6 Gallon Forecast'!AE212</f>
        <v>448514912.47089088</v>
      </c>
      <c r="AF55" s="22">
        <f>'[4]D4 Gallon Forecast'!AF139+'[4]D5 Gallon Forecast'!AF126+'[4]D6 Gallon Forecast'!AF212</f>
        <v>394372836.6787504</v>
      </c>
      <c r="AG55" s="22">
        <f>'[4]D4 Gallon Forecast'!AG139+'[4]D5 Gallon Forecast'!AG126+'[4]D6 Gallon Forecast'!AG212</f>
        <v>417178581.6266951</v>
      </c>
      <c r="AH55" s="22">
        <f>'[4]D4 Gallon Forecast'!AH139+'[4]D5 Gallon Forecast'!AH126+'[4]D6 Gallon Forecast'!AH212</f>
        <v>440970847.72339886</v>
      </c>
      <c r="AI55" s="22">
        <f>'[4]D4 Gallon Forecast'!AI139+'[4]D5 Gallon Forecast'!AI126+'[4]D6 Gallon Forecast'!AI212</f>
        <v>479185426.11763954</v>
      </c>
      <c r="AJ55" s="22">
        <f>'[4]D4 Gallon Forecast'!AJ139+'[4]D5 Gallon Forecast'!AJ126+'[4]D6 Gallon Forecast'!AJ212</f>
        <v>488732302.66466373</v>
      </c>
      <c r="AK55" s="22">
        <f>'[4]D4 Gallon Forecast'!AK139+'[4]D5 Gallon Forecast'!AK126+'[4]D6 Gallon Forecast'!AK212</f>
        <v>485952618.05736911</v>
      </c>
      <c r="AL55" s="22">
        <f>'[4]D4 Gallon Forecast'!AL139+'[4]D5 Gallon Forecast'!AL126+'[4]D6 Gallon Forecast'!AL212</f>
        <v>463103713.50400579</v>
      </c>
      <c r="AM55" s="22">
        <f>'[4]D4 Gallon Forecast'!AM139+'[4]D5 Gallon Forecast'!AM126+'[4]D6 Gallon Forecast'!AM212</f>
        <v>482100027.13165694</v>
      </c>
      <c r="AN55" s="22">
        <f>'[4]D4 Gallon Forecast'!AN139+'[4]D5 Gallon Forecast'!AN126+'[4]D6 Gallon Forecast'!AN212</f>
        <v>499402600.78882289</v>
      </c>
      <c r="AO55" s="22">
        <f>'[4]D4 Gallon Forecast'!AO139+'[4]D5 Gallon Forecast'!AO126+'[4]D6 Gallon Forecast'!AO212</f>
        <v>517460661.01597357</v>
      </c>
      <c r="AP55" s="22">
        <f>'[4]D4 Gallon Forecast'!AP139+'[4]D5 Gallon Forecast'!AP126+'[4]D6 Gallon Forecast'!AP212</f>
        <v>539822657.84982312</v>
      </c>
      <c r="AQ55" s="22"/>
      <c r="AR55" s="22"/>
      <c r="AS55" s="22"/>
      <c r="AT55" s="11">
        <f t="shared" si="33"/>
        <v>0.6774110718315518</v>
      </c>
      <c r="AU55" s="21">
        <f t="shared" si="34"/>
        <v>73821236</v>
      </c>
      <c r="AV55" s="21">
        <f t="shared" si="40"/>
        <v>-19694225</v>
      </c>
      <c r="AW55" s="11">
        <f t="shared" si="41"/>
        <v>-9.7259755234848741E-2</v>
      </c>
      <c r="AX55" s="21">
        <f>'[4]D5 Gallon Forecast'!$AX126+'[4]D4 Gallon Forecast'!$DK139+'[4]D6 Gallon Forecast'!$BK212</f>
        <v>5711504.3779183617</v>
      </c>
      <c r="AY55" s="21">
        <f t="shared" si="35"/>
        <v>177085269.62208164</v>
      </c>
      <c r="BA55" s="21">
        <f>O55/31</f>
        <v>5896670.1290322579</v>
      </c>
      <c r="BB55" s="21">
        <f>N55/31</f>
        <v>3515339.935483871</v>
      </c>
      <c r="BC55" s="21">
        <f>M55/31</f>
        <v>2241953.9677419355</v>
      </c>
      <c r="BD55" s="21">
        <f t="shared" si="42"/>
        <v>1505948.3548387096</v>
      </c>
      <c r="BE55" s="21">
        <f t="shared" si="36"/>
        <v>2381330.1935483869</v>
      </c>
      <c r="BF55" s="21">
        <f t="shared" si="43"/>
        <v>1819331.0258064514</v>
      </c>
      <c r="BG55" s="21">
        <f t="shared" si="37"/>
        <v>4077339.1032258067</v>
      </c>
      <c r="BH55" s="29">
        <f t="shared" si="38"/>
        <v>2.241119975084497</v>
      </c>
      <c r="BI55" s="29">
        <f t="shared" si="39"/>
        <v>0.91485346271190715</v>
      </c>
    </row>
    <row r="56" spans="1:61" x14ac:dyDescent="0.25">
      <c r="A56" s="20" t="s">
        <v>76</v>
      </c>
      <c r="B56" s="21">
        <f>'[4]D4 Gallon Forecast'!B140+'[4]D5 Gallon Forecast'!B127+'[4]D6 Gallon Forecast'!B216</f>
        <v>730498</v>
      </c>
      <c r="C56" s="21">
        <f>'[4]D4 Gallon Forecast'!C140+'[4]D5 Gallon Forecast'!C127+'[4]D6 Gallon Forecast'!C216</f>
        <v>8445355</v>
      </c>
      <c r="D56" s="21">
        <f>'[4]D4 Gallon Forecast'!D140+'[4]D5 Gallon Forecast'!D127+'[4]D6 Gallon Forecast'!D216</f>
        <v>5481101</v>
      </c>
      <c r="E56" s="21">
        <f>'[4]D4 Gallon Forecast'!E140+'[4]D5 Gallon Forecast'!E127+'[4]D6 Gallon Forecast'!E216</f>
        <v>15256251</v>
      </c>
      <c r="F56" s="21">
        <f>'[4]D4 Gallon Forecast'!F140+'[4]D5 Gallon Forecast'!F127+'[4]D6 Gallon Forecast'!F216</f>
        <v>2043114</v>
      </c>
      <c r="G56" s="21">
        <f>'[4]D4 Gallon Forecast'!G140+'[4]D5 Gallon Forecast'!G127+'[4]D6 Gallon Forecast'!G216</f>
        <v>15100408</v>
      </c>
      <c r="H56" s="21">
        <f>'[4]D4 Gallon Forecast'!H140+'[4]D5 Gallon Forecast'!H127+'[4]D6 Gallon Forecast'!H216</f>
        <v>24799964</v>
      </c>
      <c r="I56" s="21">
        <f>'[4]D4 Gallon Forecast'!I140+'[4]D5 Gallon Forecast'!I127+'[4]D6 Gallon Forecast'!I216</f>
        <v>24672392</v>
      </c>
      <c r="J56" s="21">
        <f>'[4]D4 Gallon Forecast'!J140+'[4]D5 Gallon Forecast'!J127+'[4]D6 Gallon Forecast'!J216</f>
        <v>16024601</v>
      </c>
      <c r="K56" s="21">
        <f>'[4]D4 Gallon Forecast'!K140+'[4]D5 Gallon Forecast'!K127+'[4]D6 Gallon Forecast'!K216</f>
        <v>30180616</v>
      </c>
      <c r="L56" s="21">
        <f>'[4]D4 Gallon Forecast'!L140+'[4]D5 Gallon Forecast'!L127+'[4]D6 Gallon Forecast'!L216</f>
        <v>43952654</v>
      </c>
      <c r="M56" s="21">
        <f>'[4]D4 Gallon Forecast'!M140+'[4]D5 Gallon Forecast'!M127+'[4]D6 Gallon Forecast'!M216</f>
        <v>82392520</v>
      </c>
      <c r="N56" s="21">
        <f>'[4]D4 Gallon Forecast'!N140+'[4]D5 Gallon Forecast'!N127+'[4]D6 Gallon Forecast'!N216</f>
        <v>122248954</v>
      </c>
      <c r="O56" s="21">
        <f>'[4]D5 Gallon Forecast'!O127+'[4]D4 Gallon Forecast'!O140+'[4]D6 Gallon Forecast'!O213</f>
        <v>236476280</v>
      </c>
      <c r="P56" s="21">
        <f>'[4]D4 Gallon Forecast'!P140+'[4]D5 Gallon Forecast'!P127+'[4]D6 Gallon Forecast'!P213</f>
        <v>260490373</v>
      </c>
      <c r="Q56" s="22">
        <f>'[4]D4 Gallon Forecast'!Q140+'[4]D5 Gallon Forecast'!Q127+'[4]D6 Gallon Forecast'!Q213</f>
        <v>196758801.69768375</v>
      </c>
      <c r="R56" s="22">
        <f>'[4]D4 Gallon Forecast'!R140+'[4]D5 Gallon Forecast'!R127+'[4]D6 Gallon Forecast'!R213</f>
        <v>216241453.26312792</v>
      </c>
      <c r="S56" s="22">
        <f>'[4]D4 Gallon Forecast'!S140+'[4]D5 Gallon Forecast'!S127+'[4]D6 Gallon Forecast'!S213</f>
        <v>238636897.18670946</v>
      </c>
      <c r="T56" s="22">
        <f>'[4]D4 Gallon Forecast'!T140+'[4]D5 Gallon Forecast'!T127+'[4]D6 Gallon Forecast'!T213</f>
        <v>243626568.18724155</v>
      </c>
      <c r="U56" s="22">
        <f>'[4]D4 Gallon Forecast'!U140+'[4]D5 Gallon Forecast'!U127+'[4]D6 Gallon Forecast'!U213</f>
        <v>245851134.01359108</v>
      </c>
      <c r="V56" s="22">
        <f>'[4]D4 Gallon Forecast'!V140+'[4]D5 Gallon Forecast'!V127+'[4]D6 Gallon Forecast'!V213</f>
        <v>257412084.30610371</v>
      </c>
      <c r="W56" s="22">
        <f>'[4]D4 Gallon Forecast'!W140+'[4]D5 Gallon Forecast'!W127+'[4]D6 Gallon Forecast'!W213</f>
        <v>278979038.75780982</v>
      </c>
      <c r="X56" s="22">
        <f>'[4]D4 Gallon Forecast'!X140+'[4]D5 Gallon Forecast'!X127+'[4]D6 Gallon Forecast'!X213</f>
        <v>330667683.35045755</v>
      </c>
      <c r="Y56" s="22">
        <f>'[4]D4 Gallon Forecast'!Y140+'[4]D5 Gallon Forecast'!Y127+'[4]D6 Gallon Forecast'!Y213</f>
        <v>329211311.18897265</v>
      </c>
      <c r="Z56" s="22">
        <f>'[4]D4 Gallon Forecast'!Z140+'[4]D5 Gallon Forecast'!Z127+'[4]D6 Gallon Forecast'!Z213</f>
        <v>320438706.51265907</v>
      </c>
      <c r="AA56" s="22">
        <f>'[4]D4 Gallon Forecast'!AA140+'[4]D5 Gallon Forecast'!AA127+'[4]D6 Gallon Forecast'!AA213</f>
        <v>339448029.86728585</v>
      </c>
      <c r="AB56" s="22">
        <f>'[4]D4 Gallon Forecast'!AB140+'[4]D5 Gallon Forecast'!AB127+'[4]D6 Gallon Forecast'!AB213</f>
        <v>366246298.28555048</v>
      </c>
      <c r="AC56" s="22">
        <f>'[4]D4 Gallon Forecast'!AC140+'[4]D5 Gallon Forecast'!AC127+'[4]D6 Gallon Forecast'!AC213</f>
        <v>416468554.18677682</v>
      </c>
      <c r="AD56" s="22">
        <f>'[4]D4 Gallon Forecast'!AD140+'[4]D5 Gallon Forecast'!AD127+'[4]D6 Gallon Forecast'!AD213</f>
        <v>459413346.3473981</v>
      </c>
      <c r="AE56" s="22">
        <f>'[4]D4 Gallon Forecast'!AE140+'[4]D5 Gallon Forecast'!AE127+'[4]D6 Gallon Forecast'!AE213</f>
        <v>461480173.25302553</v>
      </c>
      <c r="AF56" s="22">
        <f>'[4]D4 Gallon Forecast'!AF140+'[4]D5 Gallon Forecast'!AF127+'[4]D6 Gallon Forecast'!AF213</f>
        <v>406563130.11718684</v>
      </c>
      <c r="AG56" s="22">
        <f>'[4]D4 Gallon Forecast'!AG140+'[4]D5 Gallon Forecast'!AG127+'[4]D6 Gallon Forecast'!AG213</f>
        <v>429719415.64624351</v>
      </c>
      <c r="AH56" s="22">
        <f>'[4]D4 Gallon Forecast'!AH140+'[4]D5 Gallon Forecast'!AH127+'[4]D6 Gallon Forecast'!AH213</f>
        <v>454183895.50973094</v>
      </c>
      <c r="AI56" s="22">
        <f>'[4]D4 Gallon Forecast'!AI140+'[4]D5 Gallon Forecast'!AI127+'[4]D6 Gallon Forecast'!AI213</f>
        <v>493495134.25461197</v>
      </c>
      <c r="AJ56" s="22">
        <f>'[4]D4 Gallon Forecast'!AJ140+'[4]D5 Gallon Forecast'!AJ127+'[4]D6 Gallon Forecast'!AJ213</f>
        <v>503364860.06139028</v>
      </c>
      <c r="AK56" s="22">
        <f>'[4]D4 Gallon Forecast'!AK140+'[4]D5 Gallon Forecast'!AK127+'[4]D6 Gallon Forecast'!AK213</f>
        <v>500531409.09394163</v>
      </c>
      <c r="AL56" s="22">
        <f>'[4]D4 Gallon Forecast'!AL140+'[4]D5 Gallon Forecast'!AL127+'[4]D6 Gallon Forecast'!AL213</f>
        <v>477320939.33113724</v>
      </c>
      <c r="AM56" s="22">
        <f>'[4]D4 Gallon Forecast'!AM140+'[4]D5 Gallon Forecast'!AM127+'[4]D6 Gallon Forecast'!AM213</f>
        <v>496458838.36562479</v>
      </c>
      <c r="AN56" s="22">
        <f>'[4]D4 Gallon Forecast'!AN140+'[4]D5 Gallon Forecast'!AN127+'[4]D6 Gallon Forecast'!AN213</f>
        <v>514294464.48160762</v>
      </c>
      <c r="AO56" s="22">
        <f>'[4]D4 Gallon Forecast'!AO140+'[4]D5 Gallon Forecast'!AO127+'[4]D6 Gallon Forecast'!AO213</f>
        <v>532890569.32980841</v>
      </c>
      <c r="AP56" s="22">
        <f>'[4]D4 Gallon Forecast'!AP140+'[4]D5 Gallon Forecast'!AP127+'[4]D6 Gallon Forecast'!AP213</f>
        <v>555644560.33273005</v>
      </c>
      <c r="AQ56" s="22"/>
      <c r="AR56" s="22"/>
      <c r="AS56" s="22"/>
      <c r="AT56" s="11">
        <f t="shared" si="33"/>
        <v>0.93438284960704032</v>
      </c>
      <c r="AU56" s="21">
        <f t="shared" si="34"/>
        <v>114227326</v>
      </c>
      <c r="AV56" s="21">
        <f t="shared" si="40"/>
        <v>53679506</v>
      </c>
      <c r="AW56" s="11">
        <f t="shared" si="41"/>
        <v>0.29365674691830174</v>
      </c>
      <c r="AX56" s="21">
        <f>'[4]D5 Gallon Forecast'!$AX127+'[4]D4 Gallon Forecast'!$DK140+'[4]D6 Gallon Forecast'!$BK213</f>
        <v>4862191.6294933707</v>
      </c>
      <c r="AY56" s="21">
        <f t="shared" si="35"/>
        <v>231614088.37050664</v>
      </c>
      <c r="BA56" s="21">
        <f>O56/31</f>
        <v>7628267.0967741935</v>
      </c>
      <c r="BB56" s="21">
        <f>N56/31</f>
        <v>3943514.6451612902</v>
      </c>
      <c r="BC56" s="21">
        <f>M56/31</f>
        <v>2657823.2258064514</v>
      </c>
      <c r="BD56" s="21">
        <f t="shared" si="42"/>
        <v>1417827.5483870967</v>
      </c>
      <c r="BE56" s="21">
        <f t="shared" si="36"/>
        <v>3684752.4516129033</v>
      </c>
      <c r="BF56" s="21">
        <f t="shared" si="43"/>
        <v>1901931.2580645161</v>
      </c>
      <c r="BG56" s="21">
        <f t="shared" si="37"/>
        <v>5726335.8387096776</v>
      </c>
      <c r="BH56" s="29">
        <f t="shared" si="38"/>
        <v>3.0108006345807858</v>
      </c>
      <c r="BI56" s="29">
        <f t="shared" si="39"/>
        <v>0.95638911918684788</v>
      </c>
    </row>
    <row r="57" spans="1:61" x14ac:dyDescent="0.25">
      <c r="A57" s="20" t="s">
        <v>77</v>
      </c>
      <c r="B57" s="21">
        <f>'[4]D4 Gallon Forecast'!B141+'[4]D5 Gallon Forecast'!B128+'[4]D6 Gallon Forecast'!B217</f>
        <v>973736</v>
      </c>
      <c r="C57" s="21">
        <f>'[4]D4 Gallon Forecast'!C141+'[4]D5 Gallon Forecast'!C128+'[4]D6 Gallon Forecast'!C217</f>
        <v>5899070</v>
      </c>
      <c r="D57" s="21">
        <f>'[4]D4 Gallon Forecast'!D141+'[4]D5 Gallon Forecast'!D128+'[4]D6 Gallon Forecast'!D217</f>
        <v>3738917</v>
      </c>
      <c r="E57" s="21">
        <f>'[4]D4 Gallon Forecast'!E141+'[4]D5 Gallon Forecast'!E128+'[4]D6 Gallon Forecast'!E217</f>
        <v>17641091</v>
      </c>
      <c r="F57" s="21">
        <f>'[4]D4 Gallon Forecast'!F141+'[4]D5 Gallon Forecast'!F128+'[4]D6 Gallon Forecast'!F217</f>
        <v>5949426</v>
      </c>
      <c r="G57" s="21">
        <f>'[4]D4 Gallon Forecast'!G141+'[4]D5 Gallon Forecast'!G128+'[4]D6 Gallon Forecast'!G217</f>
        <v>13846255</v>
      </c>
      <c r="H57" s="21">
        <f>'[4]D4 Gallon Forecast'!H141+'[4]D5 Gallon Forecast'!H128+'[4]D6 Gallon Forecast'!H217</f>
        <v>19215411</v>
      </c>
      <c r="I57" s="21">
        <f>'[4]D4 Gallon Forecast'!I141+'[4]D5 Gallon Forecast'!I128+'[4]D6 Gallon Forecast'!I217</f>
        <v>21967038</v>
      </c>
      <c r="J57" s="21">
        <f>'[4]D4 Gallon Forecast'!J141+'[4]D5 Gallon Forecast'!J128+'[4]D6 Gallon Forecast'!J217</f>
        <v>32248456</v>
      </c>
      <c r="K57" s="21">
        <f>'[4]D4 Gallon Forecast'!K141+'[4]D5 Gallon Forecast'!K128+'[4]D6 Gallon Forecast'!K217</f>
        <v>40692380</v>
      </c>
      <c r="L57" s="21">
        <f>'[4]D4 Gallon Forecast'!L141+'[4]D5 Gallon Forecast'!L128+'[4]D6 Gallon Forecast'!L217</f>
        <v>48112771</v>
      </c>
      <c r="M57" s="21">
        <f>'[4]D4 Gallon Forecast'!M141+'[4]D5 Gallon Forecast'!M128+'[4]D6 Gallon Forecast'!M217</f>
        <v>55747506</v>
      </c>
      <c r="N57" s="21">
        <f>'[4]D4 Gallon Forecast'!N141+'[4]D5 Gallon Forecast'!N128+'[4]D6 Gallon Forecast'!N217</f>
        <v>127613378</v>
      </c>
      <c r="O57" s="21">
        <f>'[4]D5 Gallon Forecast'!O128+'[4]D4 Gallon Forecast'!O141+'[4]D6 Gallon Forecast'!O214</f>
        <v>234008508</v>
      </c>
      <c r="P57" s="21">
        <f>'[4]D4 Gallon Forecast'!P141+'[4]D5 Gallon Forecast'!P128+'[4]D6 Gallon Forecast'!P214</f>
        <v>257927937</v>
      </c>
      <c r="Q57" s="22">
        <f>'[4]D4 Gallon Forecast'!Q141+'[4]D5 Gallon Forecast'!Q128+'[4]D6 Gallon Forecast'!Q214</f>
        <v>199567496.23015037</v>
      </c>
      <c r="R57" s="22">
        <f>'[4]D4 Gallon Forecast'!R141+'[4]D5 Gallon Forecast'!R128+'[4]D6 Gallon Forecast'!R214</f>
        <v>219228704.34448102</v>
      </c>
      <c r="S57" s="22">
        <f>'[4]D4 Gallon Forecast'!S141+'[4]D5 Gallon Forecast'!S128+'[4]D6 Gallon Forecast'!S214</f>
        <v>242156755.52030525</v>
      </c>
      <c r="T57" s="22">
        <f>'[4]D4 Gallon Forecast'!T141+'[4]D5 Gallon Forecast'!T128+'[4]D6 Gallon Forecast'!T214</f>
        <v>246630143.23247263</v>
      </c>
      <c r="U57" s="22">
        <f>'[4]D4 Gallon Forecast'!U141+'[4]D5 Gallon Forecast'!U128+'[4]D6 Gallon Forecast'!U214</f>
        <v>248718331.233812</v>
      </c>
      <c r="V57" s="22">
        <f>'[4]D4 Gallon Forecast'!V141+'[4]D5 Gallon Forecast'!V128+'[4]D6 Gallon Forecast'!V214</f>
        <v>260670373.02903578</v>
      </c>
      <c r="W57" s="22">
        <f>'[4]D4 Gallon Forecast'!W141+'[4]D5 Gallon Forecast'!W128+'[4]D6 Gallon Forecast'!W214</f>
        <v>282559598.33993489</v>
      </c>
      <c r="X57" s="22">
        <f>'[4]D4 Gallon Forecast'!X141+'[4]D5 Gallon Forecast'!X128+'[4]D6 Gallon Forecast'!X214</f>
        <v>334977538.00954771</v>
      </c>
      <c r="Y57" s="22">
        <f>'[4]D4 Gallon Forecast'!Y141+'[4]D5 Gallon Forecast'!Y128+'[4]D6 Gallon Forecast'!Y214</f>
        <v>333356989.57658458</v>
      </c>
      <c r="Z57" s="22">
        <f>'[4]D4 Gallon Forecast'!Z141+'[4]D5 Gallon Forecast'!Z128+'[4]D6 Gallon Forecast'!Z214</f>
        <v>324359063.04280567</v>
      </c>
      <c r="AA57" s="22">
        <f>'[4]D4 Gallon Forecast'!AA141+'[4]D5 Gallon Forecast'!AA128+'[4]D6 Gallon Forecast'!AA214</f>
        <v>343646725.72550035</v>
      </c>
      <c r="AB57" s="22">
        <f>'[4]D4 Gallon Forecast'!AB141+'[4]D5 Gallon Forecast'!AB128+'[4]D6 Gallon Forecast'!AB214</f>
        <v>370967127.54239714</v>
      </c>
      <c r="AC57" s="22">
        <f>'[4]D4 Gallon Forecast'!AC141+'[4]D5 Gallon Forecast'!AC128+'[4]D6 Gallon Forecast'!AC214</f>
        <v>421936438.03856432</v>
      </c>
      <c r="AD57" s="22">
        <f>'[4]D4 Gallon Forecast'!AD141+'[4]D5 Gallon Forecast'!AD128+'[4]D6 Gallon Forecast'!AD214</f>
        <v>465435352.69876647</v>
      </c>
      <c r="AE57" s="22">
        <f>'[4]D4 Gallon Forecast'!AE141+'[4]D5 Gallon Forecast'!AE128+'[4]D6 Gallon Forecast'!AE214</f>
        <v>467332325.68381387</v>
      </c>
      <c r="AF57" s="22">
        <f>'[4]D4 Gallon Forecast'!AF141+'[4]D5 Gallon Forecast'!AF128+'[4]D6 Gallon Forecast'!AF214</f>
        <v>411421668.76684034</v>
      </c>
      <c r="AG57" s="22">
        <f>'[4]D4 Gallon Forecast'!AG141+'[4]D5 Gallon Forecast'!AG128+'[4]D6 Gallon Forecast'!AG214</f>
        <v>434986958.52978539</v>
      </c>
      <c r="AH57" s="22">
        <f>'[4]D4 Gallon Forecast'!AH141+'[4]D5 Gallon Forecast'!AH128+'[4]D6 Gallon Forecast'!AH214</f>
        <v>459765443.83089226</v>
      </c>
      <c r="AI57" s="22">
        <f>'[4]D4 Gallon Forecast'!AI141+'[4]D5 Gallon Forecast'!AI128+'[4]D6 Gallon Forecast'!AI214</f>
        <v>499577849.43475699</v>
      </c>
      <c r="AJ57" s="22">
        <f>'[4]D4 Gallon Forecast'!AJ141+'[4]D5 Gallon Forecast'!AJ128+'[4]D6 Gallon Forecast'!AJ214</f>
        <v>509556674.75729841</v>
      </c>
      <c r="AK57" s="22">
        <f>'[4]D4 Gallon Forecast'!AK141+'[4]D5 Gallon Forecast'!AK128+'[4]D6 Gallon Forecast'!AK214</f>
        <v>506677597.34702885</v>
      </c>
      <c r="AL57" s="22">
        <f>'[4]D4 Gallon Forecast'!AL141+'[4]D5 Gallon Forecast'!AL128+'[4]D6 Gallon Forecast'!AL214</f>
        <v>483056718.48419172</v>
      </c>
      <c r="AM57" s="22">
        <f>'[4]D4 Gallon Forecast'!AM141+'[4]D5 Gallon Forecast'!AM128+'[4]D6 Gallon Forecast'!AM214</f>
        <v>502594012.62212807</v>
      </c>
      <c r="AN57" s="22">
        <f>'[4]D4 Gallon Forecast'!AN141+'[4]D5 Gallon Forecast'!AN128+'[4]D6 Gallon Forecast'!AN214</f>
        <v>520643383.6052413</v>
      </c>
      <c r="AO57" s="22">
        <f>'[4]D4 Gallon Forecast'!AO141+'[4]D5 Gallon Forecast'!AO128+'[4]D6 Gallon Forecast'!AO214</f>
        <v>539469533.74594188</v>
      </c>
      <c r="AP57" s="22">
        <f>'[4]D4 Gallon Forecast'!AP141+'[4]D5 Gallon Forecast'!AP128+'[4]D6 Gallon Forecast'!AP214</f>
        <v>562610092.02643621</v>
      </c>
      <c r="AQ57" s="22"/>
      <c r="AR57" s="22"/>
      <c r="AS57" s="22"/>
      <c r="AT57" s="24">
        <f t="shared" si="33"/>
        <v>0.83373022223422377</v>
      </c>
      <c r="AU57" s="22">
        <f t="shared" si="34"/>
        <v>106395130</v>
      </c>
      <c r="AV57" s="22">
        <f t="shared" si="40"/>
        <v>-2467772</v>
      </c>
      <c r="AW57" s="24">
        <f t="shared" si="41"/>
        <v>-1.0435600560022341E-2</v>
      </c>
      <c r="AX57" s="22">
        <f>'[4]D5 Gallon Forecast'!$AX128+'[4]D4 Gallon Forecast'!$DK141+'[4]D6 Gallon Forecast'!$BK214</f>
        <v>7436982.3189669512</v>
      </c>
      <c r="AY57" s="22">
        <f t="shared" si="35"/>
        <v>226571525.68103305</v>
      </c>
      <c r="BA57" s="21">
        <f>O57/30</f>
        <v>7800283.5999999996</v>
      </c>
      <c r="BB57" s="21">
        <f>N57/30</f>
        <v>4253779.2666666666</v>
      </c>
      <c r="BC57" s="21">
        <f>M57/30</f>
        <v>1858250.2</v>
      </c>
      <c r="BD57" s="21">
        <f>L57/30</f>
        <v>1603759.0333333334</v>
      </c>
      <c r="BE57" s="21">
        <f t="shared" si="36"/>
        <v>3546504.333333333</v>
      </c>
      <c r="BF57" s="22">
        <f>AVERAGE(J57:N57)/30</f>
        <v>2029429.9400000002</v>
      </c>
      <c r="BG57" s="22">
        <f t="shared" si="37"/>
        <v>5770853.6599999992</v>
      </c>
      <c r="BH57" s="26">
        <f t="shared" si="38"/>
        <v>2.8435835828853491</v>
      </c>
      <c r="BI57" s="29">
        <f t="shared" si="39"/>
        <v>1.0205020315735192</v>
      </c>
    </row>
    <row r="58" spans="1:61" x14ac:dyDescent="0.25">
      <c r="A58" s="20" t="s">
        <v>78</v>
      </c>
      <c r="B58" s="21">
        <f>'[4]D4 Gallon Forecast'!B142+'[4]D5 Gallon Forecast'!B129+'[4]D6 Gallon Forecast'!B218</f>
        <v>1453856</v>
      </c>
      <c r="C58" s="21">
        <f>'[4]D4 Gallon Forecast'!C142+'[4]D5 Gallon Forecast'!C129+'[4]D6 Gallon Forecast'!C218</f>
        <v>6918026</v>
      </c>
      <c r="D58" s="21">
        <f>'[4]D4 Gallon Forecast'!D142+'[4]D5 Gallon Forecast'!D129+'[4]D6 Gallon Forecast'!D218</f>
        <v>3853854</v>
      </c>
      <c r="E58" s="21">
        <f>'[4]D4 Gallon Forecast'!E142+'[4]D5 Gallon Forecast'!E129+'[4]D6 Gallon Forecast'!E218</f>
        <v>18931762</v>
      </c>
      <c r="F58" s="21">
        <f>'[4]D4 Gallon Forecast'!F142+'[4]D5 Gallon Forecast'!F129+'[4]D6 Gallon Forecast'!F218</f>
        <v>14721823</v>
      </c>
      <c r="G58" s="21">
        <f>'[4]D4 Gallon Forecast'!G142+'[4]D5 Gallon Forecast'!G129+'[4]D6 Gallon Forecast'!G218</f>
        <v>13414121</v>
      </c>
      <c r="H58" s="21">
        <f>'[4]D4 Gallon Forecast'!H142+'[4]D5 Gallon Forecast'!H129+'[4]D6 Gallon Forecast'!H218</f>
        <v>20639765</v>
      </c>
      <c r="I58" s="21">
        <f>'[4]D4 Gallon Forecast'!I142+'[4]D5 Gallon Forecast'!I129+'[4]D6 Gallon Forecast'!I218</f>
        <v>25346827</v>
      </c>
      <c r="J58" s="21">
        <f>'[4]D4 Gallon Forecast'!J142+'[4]D5 Gallon Forecast'!J129+'[4]D6 Gallon Forecast'!J218</f>
        <v>39005346</v>
      </c>
      <c r="K58" s="21">
        <f>'[4]D4 Gallon Forecast'!K142+'[4]D5 Gallon Forecast'!K129+'[4]D6 Gallon Forecast'!K218</f>
        <v>48569223</v>
      </c>
      <c r="L58" s="21">
        <f>'[4]D4 Gallon Forecast'!L142+'[4]D5 Gallon Forecast'!L129+'[4]D6 Gallon Forecast'!L218</f>
        <v>25237496</v>
      </c>
      <c r="M58" s="21">
        <f>'[4]D4 Gallon Forecast'!M142+'[4]D5 Gallon Forecast'!M129+'[4]D6 Gallon Forecast'!M218</f>
        <v>77344974</v>
      </c>
      <c r="N58" s="21">
        <f>'[4]D4 Gallon Forecast'!N142+'[4]D5 Gallon Forecast'!N129+'[4]D6 Gallon Forecast'!N218</f>
        <v>113679693</v>
      </c>
      <c r="O58" s="21">
        <f>'[4]D5 Gallon Forecast'!O129+'[4]D4 Gallon Forecast'!O142+'[4]D6 Gallon Forecast'!O215</f>
        <v>214031283</v>
      </c>
      <c r="P58" s="21">
        <f>'[4]D4 Gallon Forecast'!P142+'[4]D5 Gallon Forecast'!P129+'[4]D6 Gallon Forecast'!P215</f>
        <v>289557293</v>
      </c>
      <c r="Q58" s="22">
        <f>'[4]D4 Gallon Forecast'!Q142+'[4]D5 Gallon Forecast'!Q129+'[4]D6 Gallon Forecast'!Q215</f>
        <v>216647542.43543953</v>
      </c>
      <c r="R58" s="22">
        <f>'[4]D4 Gallon Forecast'!R142+'[4]D5 Gallon Forecast'!R129+'[4]D6 Gallon Forecast'!R215</f>
        <v>238583297.33016378</v>
      </c>
      <c r="S58" s="22">
        <f>'[4]D4 Gallon Forecast'!S142+'[4]D5 Gallon Forecast'!S129+'[4]D6 Gallon Forecast'!S215</f>
        <v>263133733.24879843</v>
      </c>
      <c r="T58" s="22">
        <f>'[4]D4 Gallon Forecast'!T142+'[4]D5 Gallon Forecast'!T129+'[4]D6 Gallon Forecast'!T215</f>
        <v>268323811.52612466</v>
      </c>
      <c r="U58" s="22">
        <f>'[4]D4 Gallon Forecast'!U142+'[4]D5 Gallon Forecast'!U129+'[4]D6 Gallon Forecast'!U215</f>
        <v>270208426.65035695</v>
      </c>
      <c r="V58" s="22">
        <f>'[4]D4 Gallon Forecast'!V142+'[4]D5 Gallon Forecast'!V129+'[4]D6 Gallon Forecast'!V215</f>
        <v>283206545.38055897</v>
      </c>
      <c r="W58" s="22">
        <f>'[4]D4 Gallon Forecast'!W142+'[4]D5 Gallon Forecast'!W129+'[4]D6 Gallon Forecast'!W215</f>
        <v>307061170.11684263</v>
      </c>
      <c r="X58" s="22">
        <f>'[4]D4 Gallon Forecast'!X142+'[4]D5 Gallon Forecast'!X129+'[4]D6 Gallon Forecast'!X215</f>
        <v>364211403.58770156</v>
      </c>
      <c r="Y58" s="22">
        <f>'[4]D4 Gallon Forecast'!Y142+'[4]D5 Gallon Forecast'!Y129+'[4]D6 Gallon Forecast'!Y215</f>
        <v>362381018.27605021</v>
      </c>
      <c r="Z58" s="22">
        <f>'[4]D4 Gallon Forecast'!Z142+'[4]D5 Gallon Forecast'!Z129+'[4]D6 Gallon Forecast'!Z215</f>
        <v>352270081.06497884</v>
      </c>
      <c r="AA58" s="22">
        <f>'[4]D4 Gallon Forecast'!AA142+'[4]D5 Gallon Forecast'!AA129+'[4]D6 Gallon Forecast'!AA215</f>
        <v>373224152.01937723</v>
      </c>
      <c r="AB58" s="22">
        <f>'[4]D4 Gallon Forecast'!AB142+'[4]D5 Gallon Forecast'!AB129+'[4]D6 Gallon Forecast'!AB215</f>
        <v>403334353.46090245</v>
      </c>
      <c r="AC58" s="22">
        <f>'[4]D4 Gallon Forecast'!AC142+'[4]D5 Gallon Forecast'!AC129+'[4]D6 Gallon Forecast'!AC215</f>
        <v>458998305.58736235</v>
      </c>
      <c r="AD58" s="22">
        <f>'[4]D4 Gallon Forecast'!AD142+'[4]D5 Gallon Forecast'!AD129+'[4]D6 Gallon Forecast'!AD215</f>
        <v>506325404.38053089</v>
      </c>
      <c r="AE58" s="22">
        <f>'[4]D4 Gallon Forecast'!AE142+'[4]D5 Gallon Forecast'!AE129+'[4]D6 Gallon Forecast'!AE215</f>
        <v>507930410.99449974</v>
      </c>
      <c r="AF58" s="22">
        <f>'[4]D4 Gallon Forecast'!AF142+'[4]D5 Gallon Forecast'!AF129+'[4]D6 Gallon Forecast'!AF215</f>
        <v>446496644.92050314</v>
      </c>
      <c r="AG58" s="22">
        <f>'[4]D4 Gallon Forecast'!AG142+'[4]D5 Gallon Forecast'!AG129+'[4]D6 Gallon Forecast'!AG215</f>
        <v>472370630.98572713</v>
      </c>
      <c r="AH58" s="22">
        <f>'[4]D4 Gallon Forecast'!AH142+'[4]D5 Gallon Forecast'!AH129+'[4]D6 Gallon Forecast'!AH215</f>
        <v>499315236.69568378</v>
      </c>
      <c r="AI58" s="22">
        <f>'[4]D4 Gallon Forecast'!AI142+'[4]D5 Gallon Forecast'!AI129+'[4]D6 Gallon Forecast'!AI215</f>
        <v>542593217.69076204</v>
      </c>
      <c r="AJ58" s="22">
        <f>'[4]D4 Gallon Forecast'!AJ142+'[4]D5 Gallon Forecast'!AJ129+'[4]D6 Gallon Forecast'!AJ215</f>
        <v>553398477.27520537</v>
      </c>
      <c r="AK58" s="22">
        <f>'[4]D4 Gallon Forecast'!AK142+'[4]D5 Gallon Forecast'!AK129+'[4]D6 Gallon Forecast'!AK215</f>
        <v>550247459.81934953</v>
      </c>
      <c r="AL58" s="22">
        <f>'[4]D4 Gallon Forecast'!AL142+'[4]D5 Gallon Forecast'!AL129+'[4]D6 Gallon Forecast'!AL215</f>
        <v>524320739.92370009</v>
      </c>
      <c r="AM58" s="22">
        <f>'[4]D4 Gallon Forecast'!AM142+'[4]D5 Gallon Forecast'!AM129+'[4]D6 Gallon Forecast'!AM215</f>
        <v>545901079.71907055</v>
      </c>
      <c r="AN58" s="22">
        <f>'[4]D4 Gallon Forecast'!AN142+'[4]D5 Gallon Forecast'!AN129+'[4]D6 Gallon Forecast'!AN215</f>
        <v>565490634.75281751</v>
      </c>
      <c r="AO58" s="22">
        <f>'[4]D4 Gallon Forecast'!AO142+'[4]D5 Gallon Forecast'!AO129+'[4]D6 Gallon Forecast'!AO215</f>
        <v>585938757.52156663</v>
      </c>
      <c r="AP58" s="22">
        <f>'[4]D4 Gallon Forecast'!AP142+'[4]D5 Gallon Forecast'!AP129+'[4]D6 Gallon Forecast'!AP215</f>
        <v>611305676.8457607</v>
      </c>
      <c r="AQ58" s="22"/>
      <c r="AR58" s="22"/>
      <c r="AS58" s="22"/>
      <c r="AT58" s="24">
        <f t="shared" si="33"/>
        <v>0.88275739801654818</v>
      </c>
      <c r="AU58" s="22">
        <f t="shared" si="34"/>
        <v>100351590</v>
      </c>
      <c r="AV58" s="22">
        <f t="shared" si="40"/>
        <v>-19977225</v>
      </c>
      <c r="AW58" s="24">
        <f t="shared" si="41"/>
        <v>-8.5369652457251685E-2</v>
      </c>
      <c r="AX58" s="22">
        <f>'[4]D5 Gallon Forecast'!$AX129+'[4]D4 Gallon Forecast'!$DK142+'[4]D6 Gallon Forecast'!$BK215</f>
        <v>7050047.2252588654</v>
      </c>
      <c r="AY58" s="22">
        <f t="shared" si="35"/>
        <v>206981235.77474114</v>
      </c>
      <c r="BA58" s="22">
        <f>O58/31</f>
        <v>6904234.935483871</v>
      </c>
      <c r="BB58" s="21">
        <f>N58/31</f>
        <v>3667086.8709677421</v>
      </c>
      <c r="BC58" s="21">
        <f>M58/31</f>
        <v>2494999.1612903224</v>
      </c>
      <c r="BD58" s="21">
        <f t="shared" si="42"/>
        <v>814112.77419354836</v>
      </c>
      <c r="BE58" s="21">
        <f t="shared" si="36"/>
        <v>3237148.064516129</v>
      </c>
      <c r="BF58" s="22">
        <f t="shared" si="43"/>
        <v>1960236.9806451614</v>
      </c>
      <c r="BG58" s="22">
        <f t="shared" si="37"/>
        <v>4943997.9548387099</v>
      </c>
      <c r="BH58" s="26">
        <f t="shared" si="38"/>
        <v>2.5221429876358727</v>
      </c>
      <c r="BI58" s="29">
        <f t="shared" si="39"/>
        <v>0.98570824332764495</v>
      </c>
    </row>
    <row r="59" spans="1:61" x14ac:dyDescent="0.25">
      <c r="A59" s="20" t="s">
        <v>79</v>
      </c>
      <c r="B59" s="21">
        <f>'[4]D4 Gallon Forecast'!B143+'[4]D5 Gallon Forecast'!B130+'[4]D6 Gallon Forecast'!B219</f>
        <v>2233776</v>
      </c>
      <c r="C59" s="21">
        <f>'[4]D4 Gallon Forecast'!C143+'[4]D5 Gallon Forecast'!C130+'[4]D6 Gallon Forecast'!C219</f>
        <v>5233920</v>
      </c>
      <c r="D59" s="21">
        <f>'[4]D4 Gallon Forecast'!D143+'[4]D5 Gallon Forecast'!D130+'[4]D6 Gallon Forecast'!D219</f>
        <v>5580709</v>
      </c>
      <c r="E59" s="21">
        <f>'[4]D4 Gallon Forecast'!E143+'[4]D5 Gallon Forecast'!E130+'[4]D6 Gallon Forecast'!E219</f>
        <v>15678898</v>
      </c>
      <c r="F59" s="21">
        <f>'[4]D4 Gallon Forecast'!F143+'[4]D5 Gallon Forecast'!F130+'[4]D6 Gallon Forecast'!F219</f>
        <v>16462802</v>
      </c>
      <c r="G59" s="21">
        <f>'[4]D4 Gallon Forecast'!G143+'[4]D5 Gallon Forecast'!G130+'[4]D6 Gallon Forecast'!G219</f>
        <v>12655566</v>
      </c>
      <c r="H59" s="21">
        <f>'[4]D4 Gallon Forecast'!H143+'[4]D5 Gallon Forecast'!H130+'[4]D6 Gallon Forecast'!H219</f>
        <v>27361235</v>
      </c>
      <c r="I59" s="21">
        <f>'[4]D4 Gallon Forecast'!I143+'[4]D5 Gallon Forecast'!I130+'[4]D6 Gallon Forecast'!I219</f>
        <v>23176779</v>
      </c>
      <c r="J59" s="21">
        <f>'[4]D4 Gallon Forecast'!J143+'[4]D5 Gallon Forecast'!J130+'[4]D6 Gallon Forecast'!J219</f>
        <v>40325399</v>
      </c>
      <c r="K59" s="21">
        <f>'[4]D4 Gallon Forecast'!K143+'[4]D5 Gallon Forecast'!K130+'[4]D6 Gallon Forecast'!K219</f>
        <v>42514597</v>
      </c>
      <c r="L59" s="21">
        <f>'[4]D4 Gallon Forecast'!L143+'[4]D5 Gallon Forecast'!L130+'[4]D6 Gallon Forecast'!L219</f>
        <v>49060129</v>
      </c>
      <c r="M59" s="21">
        <f>'[4]D4 Gallon Forecast'!M143+'[4]D5 Gallon Forecast'!M130+'[4]D6 Gallon Forecast'!M219</f>
        <v>101861084</v>
      </c>
      <c r="N59" s="21">
        <f>'[4]D4 Gallon Forecast'!N143+'[4]D5 Gallon Forecast'!N130+'[4]D6 Gallon Forecast'!N219</f>
        <v>171787630</v>
      </c>
      <c r="O59" s="21">
        <f>'[4]D5 Gallon Forecast'!O130+'[4]D4 Gallon Forecast'!O143+'[4]D6 Gallon Forecast'!O216</f>
        <v>205619514</v>
      </c>
      <c r="P59" s="21">
        <f>'[4]D4 Gallon Forecast'!P143+'[4]D5 Gallon Forecast'!P130+'[4]D6 Gallon Forecast'!P216</f>
        <v>261189424</v>
      </c>
      <c r="Q59" s="22">
        <f>'[4]D4 Gallon Forecast'!Q143+'[4]D5 Gallon Forecast'!Q130+'[4]D6 Gallon Forecast'!Q216</f>
        <v>233980933.73434195</v>
      </c>
      <c r="R59" s="22">
        <f>'[4]D4 Gallon Forecast'!R143+'[4]D5 Gallon Forecast'!R130+'[4]D6 Gallon Forecast'!R216</f>
        <v>288005904.49351925</v>
      </c>
      <c r="S59" s="22">
        <f>'[4]D4 Gallon Forecast'!S143+'[4]D5 Gallon Forecast'!S130+'[4]D6 Gallon Forecast'!S216</f>
        <v>318437765.19553727</v>
      </c>
      <c r="T59" s="22">
        <f>'[4]D4 Gallon Forecast'!T143+'[4]D5 Gallon Forecast'!T130+'[4]D6 Gallon Forecast'!T216</f>
        <v>324105784.34622979</v>
      </c>
      <c r="U59" s="22">
        <f>'[4]D4 Gallon Forecast'!U143+'[4]D5 Gallon Forecast'!U130+'[4]D6 Gallon Forecast'!U216</f>
        <v>326915957.51048094</v>
      </c>
      <c r="V59" s="22">
        <f>'[4]D4 Gallon Forecast'!V143+'[4]D5 Gallon Forecast'!V130+'[4]D6 Gallon Forecast'!V216</f>
        <v>342127884.18371904</v>
      </c>
      <c r="W59" s="22">
        <f>'[4]D4 Gallon Forecast'!W143+'[4]D5 Gallon Forecast'!W130+'[4]D6 Gallon Forecast'!W216</f>
        <v>371062267.34164441</v>
      </c>
      <c r="X59" s="22">
        <f>'[4]D4 Gallon Forecast'!X143+'[4]D5 Gallon Forecast'!X130+'[4]D6 Gallon Forecast'!X216</f>
        <v>440363381.72453421</v>
      </c>
      <c r="Y59" s="22">
        <f>'[4]D4 Gallon Forecast'!Y143+'[4]D5 Gallon Forecast'!Y130+'[4]D6 Gallon Forecast'!Y216</f>
        <v>438022232.40879124</v>
      </c>
      <c r="Z59" s="22">
        <f>'[4]D4 Gallon Forecast'!Z143+'[4]D5 Gallon Forecast'!Z130+'[4]D6 Gallon Forecast'!Z216</f>
        <v>425692985.24432093</v>
      </c>
      <c r="AA59" s="22">
        <f>'[4]D4 Gallon Forecast'!AA143+'[4]D5 Gallon Forecast'!AA130+'[4]D6 Gallon Forecast'!AA216</f>
        <v>450938234.56570315</v>
      </c>
      <c r="AB59" s="22">
        <f>'[4]D4 Gallon Forecast'!AB143+'[4]D5 Gallon Forecast'!AB130+'[4]D6 Gallon Forecast'!AB216</f>
        <v>487595627.41366339</v>
      </c>
      <c r="AC59" s="22">
        <f>'[4]D4 Gallon Forecast'!AC143+'[4]D5 Gallon Forecast'!AC130+'[4]D6 Gallon Forecast'!AC216</f>
        <v>555044045.36868405</v>
      </c>
      <c r="AD59" s="22">
        <f>'[4]D4 Gallon Forecast'!AD143+'[4]D5 Gallon Forecast'!AD130+'[4]D6 Gallon Forecast'!AD216</f>
        <v>612266921.57508743</v>
      </c>
      <c r="AE59" s="22">
        <f>'[4]D4 Gallon Forecast'!AE143+'[4]D5 Gallon Forecast'!AE130+'[4]D6 Gallon Forecast'!AE216</f>
        <v>613952846.32622719</v>
      </c>
      <c r="AF59" s="22">
        <f>'[4]D4 Gallon Forecast'!AF143+'[4]D5 Gallon Forecast'!AF130+'[4]D6 Gallon Forecast'!AF216</f>
        <v>539304425.54450047</v>
      </c>
      <c r="AG59" s="22">
        <f>'[4]D4 Gallon Forecast'!AG143+'[4]D5 Gallon Forecast'!AG130+'[4]D6 Gallon Forecast'!AG216</f>
        <v>570734219.15428579</v>
      </c>
      <c r="AH59" s="22">
        <f>'[4]D4 Gallon Forecast'!AH143+'[4]D5 Gallon Forecast'!AH130+'[4]D6 Gallon Forecast'!AH216</f>
        <v>603311704.82833278</v>
      </c>
      <c r="AI59" s="22">
        <f>'[4]D4 Gallon Forecast'!AI143+'[4]D5 Gallon Forecast'!AI130+'[4]D6 Gallon Forecast'!AI216</f>
        <v>655625283.77727413</v>
      </c>
      <c r="AJ59" s="22">
        <f>'[4]D4 Gallon Forecast'!AJ143+'[4]D5 Gallon Forecast'!AJ130+'[4]D6 Gallon Forecast'!AJ216</f>
        <v>668663192.27012849</v>
      </c>
      <c r="AK59" s="22">
        <f>'[4]D4 Gallon Forecast'!AK143+'[4]D5 Gallon Forecast'!AK130+'[4]D6 Gallon Forecast'!AK216</f>
        <v>664840910.18463349</v>
      </c>
      <c r="AL59" s="22">
        <f>'[4]D4 Gallon Forecast'!AL143+'[4]D5 Gallon Forecast'!AL130+'[4]D6 Gallon Forecast'!AL216</f>
        <v>633358192.98578227</v>
      </c>
      <c r="AM59" s="22">
        <f>'[4]D4 Gallon Forecast'!AM143+'[4]D5 Gallon Forecast'!AM130+'[4]D6 Gallon Forecast'!AM216</f>
        <v>659640959.16620398</v>
      </c>
      <c r="AN59" s="22">
        <f>'[4]D4 Gallon Forecast'!AN143+'[4]D5 Gallon Forecast'!AN130+'[4]D6 Gallon Forecast'!AN216</f>
        <v>683303159.60383523</v>
      </c>
      <c r="AO59" s="22">
        <f>'[4]D4 Gallon Forecast'!AO143+'[4]D5 Gallon Forecast'!AO130+'[4]D6 Gallon Forecast'!AO216</f>
        <v>708011595.0872823</v>
      </c>
      <c r="AP59" s="22">
        <f>'[4]D4 Gallon Forecast'!AP143+'[4]D5 Gallon Forecast'!AP130+'[4]D6 Gallon Forecast'!AP216</f>
        <v>738796929.08413994</v>
      </c>
      <c r="AQ59" s="22"/>
      <c r="AR59" s="22"/>
      <c r="AS59" s="22"/>
      <c r="AT59" s="24">
        <f t="shared" si="33"/>
        <v>0.19694016385231006</v>
      </c>
      <c r="AU59" s="22">
        <f t="shared" si="34"/>
        <v>33831884</v>
      </c>
      <c r="AV59" s="22">
        <f t="shared" si="40"/>
        <v>-8411769</v>
      </c>
      <c r="AW59" s="24">
        <f t="shared" si="41"/>
        <v>-3.9301586581621341E-2</v>
      </c>
      <c r="AX59" s="22">
        <f>'[4]D5 Gallon Forecast'!$AX130+'[4]D4 Gallon Forecast'!$DK143+'[4]D6 Gallon Forecast'!$BK216</f>
        <v>5181394.4680252308</v>
      </c>
      <c r="AY59" s="22">
        <f t="shared" si="35"/>
        <v>200438119.53197476</v>
      </c>
      <c r="BA59" s="22">
        <f>O59/30</f>
        <v>6853983.7999999998</v>
      </c>
      <c r="BB59" s="21">
        <f>N59/30</f>
        <v>5726254.333333333</v>
      </c>
      <c r="BC59" s="21">
        <f>M59/30</f>
        <v>3395369.4666666668</v>
      </c>
      <c r="BD59" s="21">
        <f>L59/30</f>
        <v>1635337.6333333333</v>
      </c>
      <c r="BE59" s="21">
        <f t="shared" si="36"/>
        <v>1127729.4666666668</v>
      </c>
      <c r="BF59" s="22">
        <f>AVERAGE(J59:N59)/30</f>
        <v>2703658.9266666668</v>
      </c>
      <c r="BG59" s="22">
        <f t="shared" si="37"/>
        <v>4150324.8733333331</v>
      </c>
      <c r="BH59" s="26">
        <f t="shared" si="38"/>
        <v>1.535077088458882</v>
      </c>
      <c r="BI59" s="29">
        <f t="shared" si="39"/>
        <v>1.3595391360714888</v>
      </c>
    </row>
    <row r="60" spans="1:61" x14ac:dyDescent="0.25">
      <c r="A60" s="20" t="s">
        <v>80</v>
      </c>
      <c r="B60" s="21">
        <f>'[4]D4 Gallon Forecast'!B144+'[4]D5 Gallon Forecast'!B131+'[4]D6 Gallon Forecast'!B220</f>
        <v>3069735</v>
      </c>
      <c r="C60" s="21">
        <f>'[4]D4 Gallon Forecast'!C144+'[4]D5 Gallon Forecast'!C131+'[4]D6 Gallon Forecast'!C220</f>
        <v>6480832</v>
      </c>
      <c r="D60" s="21">
        <f>'[4]D4 Gallon Forecast'!D144+'[4]D5 Gallon Forecast'!D131+'[4]D6 Gallon Forecast'!D220</f>
        <v>3795468</v>
      </c>
      <c r="E60" s="21">
        <f>'[4]D4 Gallon Forecast'!E144+'[4]D5 Gallon Forecast'!E131+'[4]D6 Gallon Forecast'!E220</f>
        <v>13897310</v>
      </c>
      <c r="F60" s="21">
        <f>'[4]D4 Gallon Forecast'!F144+'[4]D5 Gallon Forecast'!F131+'[4]D6 Gallon Forecast'!F220</f>
        <v>22831111</v>
      </c>
      <c r="G60" s="21">
        <f>'[4]D4 Gallon Forecast'!G144+'[4]D5 Gallon Forecast'!G131+'[4]D6 Gallon Forecast'!G220</f>
        <v>13320532</v>
      </c>
      <c r="H60" s="21">
        <f>'[4]D4 Gallon Forecast'!H144+'[4]D5 Gallon Forecast'!H131+'[4]D6 Gallon Forecast'!H220</f>
        <v>27156977</v>
      </c>
      <c r="I60" s="21">
        <f>'[4]D4 Gallon Forecast'!I144+'[4]D5 Gallon Forecast'!I131+'[4]D6 Gallon Forecast'!I220</f>
        <v>25524348</v>
      </c>
      <c r="J60" s="21">
        <f>'[4]D4 Gallon Forecast'!J144+'[4]D5 Gallon Forecast'!J131+'[4]D6 Gallon Forecast'!J220</f>
        <v>47330432</v>
      </c>
      <c r="K60" s="21">
        <f>'[4]D4 Gallon Forecast'!K144+'[4]D5 Gallon Forecast'!K131+'[4]D6 Gallon Forecast'!K220</f>
        <v>52796160</v>
      </c>
      <c r="L60" s="21">
        <f>'[4]D4 Gallon Forecast'!L144+'[4]D5 Gallon Forecast'!L131+'[4]D6 Gallon Forecast'!L220</f>
        <v>57807992</v>
      </c>
      <c r="M60" s="21">
        <f>'[4]D4 Gallon Forecast'!M144+'[4]D5 Gallon Forecast'!M131+'[4]D6 Gallon Forecast'!M220</f>
        <v>118270462</v>
      </c>
      <c r="N60" s="21">
        <f>'[4]D4 Gallon Forecast'!N144+'[4]D5 Gallon Forecast'!N131+'[4]D6 Gallon Forecast'!N220</f>
        <v>153759160</v>
      </c>
      <c r="O60" s="21">
        <f>'[4]D5 Gallon Forecast'!O131+'[4]D4 Gallon Forecast'!O144+'[4]D6 Gallon Forecast'!O217</f>
        <v>274816428</v>
      </c>
      <c r="P60" s="21">
        <f>'[4]D4 Gallon Forecast'!P144+'[4]D5 Gallon Forecast'!P131+'[4]D6 Gallon Forecast'!P217</f>
        <v>314111589</v>
      </c>
      <c r="Q60" s="22">
        <f>'[4]D4 Gallon Forecast'!Q144+'[4]D5 Gallon Forecast'!Q131+'[4]D6 Gallon Forecast'!Q217</f>
        <v>283976602.73018843</v>
      </c>
      <c r="R60" s="22">
        <f>'[4]D4 Gallon Forecast'!R144+'[4]D5 Gallon Forecast'!R131+'[4]D6 Gallon Forecast'!R217</f>
        <v>327988261.60637504</v>
      </c>
      <c r="S60" s="22">
        <f>'[4]D4 Gallon Forecast'!S144+'[4]D5 Gallon Forecast'!S131+'[4]D6 Gallon Forecast'!S217</f>
        <v>360408804.48522425</v>
      </c>
      <c r="T60" s="22">
        <f>'[4]D4 Gallon Forecast'!T144+'[4]D5 Gallon Forecast'!T131+'[4]D6 Gallon Forecast'!T217</f>
        <v>366605883.8644672</v>
      </c>
      <c r="U60" s="22">
        <f>'[4]D4 Gallon Forecast'!U144+'[4]D5 Gallon Forecast'!U131+'[4]D6 Gallon Forecast'!U217</f>
        <v>369856670.91491246</v>
      </c>
      <c r="V60" s="22">
        <f>'[4]D4 Gallon Forecast'!V144+'[4]D5 Gallon Forecast'!V131+'[4]D6 Gallon Forecast'!V217</f>
        <v>387299754.70567995</v>
      </c>
      <c r="W60" s="22">
        <f>'[4]D4 Gallon Forecast'!W144+'[4]D5 Gallon Forecast'!W131+'[4]D6 Gallon Forecast'!W217</f>
        <v>420348949.46926063</v>
      </c>
      <c r="X60" s="22">
        <f>'[4]D4 Gallon Forecast'!X144+'[4]D5 Gallon Forecast'!X131+'[4]D6 Gallon Forecast'!X217</f>
        <v>498475419.86634046</v>
      </c>
      <c r="Y60" s="22">
        <f>'[4]D4 Gallon Forecast'!Y144+'[4]D5 Gallon Forecast'!Y131+'[4]D6 Gallon Forecast'!Y217</f>
        <v>495804608.01874244</v>
      </c>
      <c r="Z60" s="22">
        <f>'[4]D4 Gallon Forecast'!Z144+'[4]D5 Gallon Forecast'!Z131+'[4]D6 Gallon Forecast'!Z217</f>
        <v>481822710.00184309</v>
      </c>
      <c r="AA60" s="22">
        <f>'[4]D4 Gallon Forecast'!AA144+'[4]D5 Gallon Forecast'!AA131+'[4]D6 Gallon Forecast'!AA217</f>
        <v>510443586.60780591</v>
      </c>
      <c r="AB60" s="22">
        <f>'[4]D4 Gallon Forecast'!AB144+'[4]D5 Gallon Forecast'!AB131+'[4]D6 Gallon Forecast'!AB217</f>
        <v>552062997.22252452</v>
      </c>
      <c r="AC60" s="22">
        <f>'[4]D4 Gallon Forecast'!AC144+'[4]D5 Gallon Forecast'!AC131+'[4]D6 Gallon Forecast'!AC217</f>
        <v>628438287.86428332</v>
      </c>
      <c r="AD60" s="22">
        <f>'[4]D4 Gallon Forecast'!AD144+'[4]D5 Gallon Forecast'!AD131+'[4]D6 Gallon Forecast'!AD217</f>
        <v>693244759.61271596</v>
      </c>
      <c r="AE60" s="22">
        <f>'[4]D4 Gallon Forecast'!AE144+'[4]D5 Gallon Forecast'!AE131+'[4]D6 Gallon Forecast'!AE217</f>
        <v>695037731.12350714</v>
      </c>
      <c r="AF60" s="22">
        <f>'[4]D4 Gallon Forecast'!AF144+'[4]D5 Gallon Forecast'!AF131+'[4]D6 Gallon Forecast'!AF217</f>
        <v>610341055.9153254</v>
      </c>
      <c r="AG60" s="22">
        <f>'[4]D4 Gallon Forecast'!AG144+'[4]D5 Gallon Forecast'!AG131+'[4]D6 Gallon Forecast'!AG217</f>
        <v>645991489.15770173</v>
      </c>
      <c r="AH60" s="22">
        <f>'[4]D4 Gallon Forecast'!AH144+'[4]D5 Gallon Forecast'!AH131+'[4]D6 Gallon Forecast'!AH217</f>
        <v>682868215.24964094</v>
      </c>
      <c r="AI60" s="22">
        <f>'[4]D4 Gallon Forecast'!AI144+'[4]D5 Gallon Forecast'!AI131+'[4]D6 Gallon Forecast'!AI217</f>
        <v>742096839.95330358</v>
      </c>
      <c r="AJ60" s="22">
        <f>'[4]D4 Gallon Forecast'!AJ144+'[4]D5 Gallon Forecast'!AJ131+'[4]D6 Gallon Forecast'!AJ217</f>
        <v>756847476.378196</v>
      </c>
      <c r="AK60" s="22">
        <f>'[4]D4 Gallon Forecast'!AK144+'[4]D5 Gallon Forecast'!AK131+'[4]D6 Gallon Forecast'!AK217</f>
        <v>752513445.44148159</v>
      </c>
      <c r="AL60" s="22">
        <f>'[4]D4 Gallon Forecast'!AL144+'[4]D5 Gallon Forecast'!AL131+'[4]D6 Gallon Forecast'!AL217</f>
        <v>716797919.59206676</v>
      </c>
      <c r="AM60" s="22">
        <f>'[4]D4 Gallon Forecast'!AM144+'[4]D5 Gallon Forecast'!AM131+'[4]D6 Gallon Forecast'!AM217</f>
        <v>746651631.44184577</v>
      </c>
      <c r="AN60" s="22">
        <f>'[4]D4 Gallon Forecast'!AN144+'[4]D5 Gallon Forecast'!AN131+'[4]D6 Gallon Forecast'!AN217</f>
        <v>773431573.27484298</v>
      </c>
      <c r="AO60" s="22">
        <f>'[4]D4 Gallon Forecast'!AO144+'[4]D5 Gallon Forecast'!AO131+'[4]D6 Gallon Forecast'!AO217</f>
        <v>801399399.2506671</v>
      </c>
      <c r="AP60" s="22">
        <f>'[4]D4 Gallon Forecast'!AP144+'[4]D5 Gallon Forecast'!AP131+'[4]D6 Gallon Forecast'!AP217</f>
        <v>836312779.50156879</v>
      </c>
      <c r="AQ60" s="22"/>
      <c r="AR60" s="22"/>
      <c r="AS60" s="22"/>
      <c r="AT60" s="24">
        <f t="shared" si="33"/>
        <v>0.78731743851878488</v>
      </c>
      <c r="AU60" s="22">
        <f t="shared" si="34"/>
        <v>121057268</v>
      </c>
      <c r="AV60" s="22">
        <f t="shared" si="40"/>
        <v>69196914</v>
      </c>
      <c r="AW60" s="24">
        <f t="shared" si="41"/>
        <v>0.33652892497353143</v>
      </c>
      <c r="AX60" s="22">
        <f>'[4]D5 Gallon Forecast'!$AX131+'[4]D4 Gallon Forecast'!$DK144+'[4]D6 Gallon Forecast'!$BK217</f>
        <v>4631015.6500146091</v>
      </c>
      <c r="AY60" s="22">
        <f t="shared" si="35"/>
        <v>270185412.34998536</v>
      </c>
      <c r="BA60" s="22">
        <f>O60/31</f>
        <v>8865046.064516129</v>
      </c>
      <c r="BB60" s="21">
        <f>N60/31</f>
        <v>4959972.9032258065</v>
      </c>
      <c r="BC60" s="21">
        <f>M60/31</f>
        <v>3815176.1935483869</v>
      </c>
      <c r="BD60" s="21">
        <f t="shared" si="42"/>
        <v>1864773.935483871</v>
      </c>
      <c r="BE60" s="21">
        <f t="shared" si="36"/>
        <v>3905073.1612903224</v>
      </c>
      <c r="BF60" s="22">
        <f t="shared" si="43"/>
        <v>2773962.619354839</v>
      </c>
      <c r="BG60" s="22">
        <f t="shared" si="37"/>
        <v>6091083.4451612905</v>
      </c>
      <c r="BH60" s="26">
        <f t="shared" si="38"/>
        <v>2.1958058852926934</v>
      </c>
      <c r="BI60" s="29">
        <f t="shared" si="39"/>
        <v>1.3948914583179024</v>
      </c>
    </row>
    <row r="61" spans="1:61" x14ac:dyDescent="0.25">
      <c r="A61" s="20" t="s">
        <v>58</v>
      </c>
      <c r="B61" s="21">
        <f>SUM(B49:B60)</f>
        <v>8776593</v>
      </c>
      <c r="C61" s="21">
        <f>SUM(C49:C60)</f>
        <v>62041290</v>
      </c>
      <c r="D61" s="21">
        <f t="shared" ref="D61:L61" si="44">SUM(D49:D60)</f>
        <v>52401102</v>
      </c>
      <c r="E61" s="21">
        <f t="shared" si="44"/>
        <v>113285858</v>
      </c>
      <c r="F61" s="21">
        <f t="shared" si="44"/>
        <v>159141206</v>
      </c>
      <c r="G61" s="21">
        <f t="shared" si="44"/>
        <v>176847616</v>
      </c>
      <c r="H61" s="21">
        <f t="shared" si="44"/>
        <v>241487435</v>
      </c>
      <c r="I61" s="21">
        <f t="shared" si="44"/>
        <v>258342125</v>
      </c>
      <c r="J61" s="21">
        <f t="shared" si="44"/>
        <v>305484447</v>
      </c>
      <c r="K61" s="21">
        <f t="shared" si="44"/>
        <v>492137189</v>
      </c>
      <c r="L61" s="21">
        <f t="shared" si="44"/>
        <v>533508347</v>
      </c>
      <c r="M61" s="21">
        <f>'[4]D5 Gallon Forecast'!M132+'[4]D4 Gallon Forecast'!M145+'[4]D6 Gallon Forecast'!M218</f>
        <v>845434907</v>
      </c>
      <c r="N61" s="21">
        <f>'[4]D5 Gallon Forecast'!N132+'[4]D4 Gallon Forecast'!N145+'[4]D6 Gallon Forecast'!N218</f>
        <v>1455336706</v>
      </c>
      <c r="O61" s="21">
        <f>'[4]D5 Gallon Forecast'!O132+'[4]D4 Gallon Forecast'!O145+'[4]D6 Gallon Forecast'!O218</f>
        <v>2427246505</v>
      </c>
      <c r="P61" s="21">
        <f t="shared" ref="P61:AD61" si="45">SUM(P49:P60)</f>
        <v>3137467688</v>
      </c>
      <c r="Q61" s="22">
        <f t="shared" si="45"/>
        <v>2551140816.1709371</v>
      </c>
      <c r="R61" s="22">
        <f t="shared" si="45"/>
        <v>2689043243.0486603</v>
      </c>
      <c r="S61" s="22">
        <f t="shared" si="45"/>
        <v>2966218765.0645237</v>
      </c>
      <c r="T61" s="22">
        <f t="shared" si="45"/>
        <v>3023265933.1846147</v>
      </c>
      <c r="U61" s="22">
        <f t="shared" si="45"/>
        <v>3047349421.5416126</v>
      </c>
      <c r="V61" s="22">
        <f t="shared" si="45"/>
        <v>3193048359.6640577</v>
      </c>
      <c r="W61" s="22">
        <f t="shared" si="45"/>
        <v>3461678212.6955152</v>
      </c>
      <c r="X61" s="22">
        <f t="shared" si="45"/>
        <v>4105476216.6252842</v>
      </c>
      <c r="Y61" s="22">
        <f t="shared" si="45"/>
        <v>4085067494.9750652</v>
      </c>
      <c r="Z61" s="22">
        <f t="shared" si="45"/>
        <v>3972106585.4107871</v>
      </c>
      <c r="AA61" s="22">
        <f t="shared" si="45"/>
        <v>4208182753.9501262</v>
      </c>
      <c r="AB61" s="22">
        <f t="shared" si="45"/>
        <v>4546612891.6658516</v>
      </c>
      <c r="AC61" s="22">
        <f t="shared" si="45"/>
        <v>5173507422.3503914</v>
      </c>
      <c r="AD61" s="22">
        <f t="shared" si="45"/>
        <v>5706954929.60359</v>
      </c>
      <c r="AE61" s="22">
        <f>SUM(AE49:AE60)</f>
        <v>5726165474.5493517</v>
      </c>
      <c r="AF61" s="22">
        <f>SUM(AF49:AF60)</f>
        <v>5035161549.3486919</v>
      </c>
      <c r="AG61" s="22">
        <f t="shared" ref="AG61:AP61" si="46">SUM(AG49:AG60)</f>
        <v>5326224514.5088329</v>
      </c>
      <c r="AH61" s="22">
        <f t="shared" si="46"/>
        <v>5629956396.9645443</v>
      </c>
      <c r="AI61" s="22">
        <f t="shared" si="46"/>
        <v>6117837019.5581131</v>
      </c>
      <c r="AJ61" s="22">
        <f t="shared" si="46"/>
        <v>6239746481.8807611</v>
      </c>
      <c r="AK61" s="22">
        <f t="shared" si="46"/>
        <v>6204271241.4576378</v>
      </c>
      <c r="AL61" s="22">
        <f t="shared" si="46"/>
        <v>5912598310.1335287</v>
      </c>
      <c r="AM61" s="22">
        <f t="shared" si="46"/>
        <v>6155053991.100625</v>
      </c>
      <c r="AN61" s="22">
        <f t="shared" si="46"/>
        <v>6375963399.4237471</v>
      </c>
      <c r="AO61" s="22">
        <f t="shared" si="46"/>
        <v>6606516644.4268703</v>
      </c>
      <c r="AP61" s="22">
        <f t="shared" si="46"/>
        <v>6891970177.6607828</v>
      </c>
      <c r="AQ61" s="22"/>
      <c r="AR61" s="22"/>
      <c r="AS61" s="22"/>
      <c r="AT61" s="24">
        <f t="shared" si="33"/>
        <v>0.66782469994266735</v>
      </c>
      <c r="AU61" s="22">
        <f t="shared" si="34"/>
        <v>971909799</v>
      </c>
      <c r="AV61" s="29"/>
      <c r="AX61" s="22">
        <f>'[4]D5 Gallon Forecast'!$AX132+'[4]D4 Gallon Forecast'!$DK145+'[4]D6 Gallon Forecast'!$BK218</f>
        <v>73959562.118039846</v>
      </c>
      <c r="AY61" s="22">
        <f t="shared" si="35"/>
        <v>2353286942.8819599</v>
      </c>
      <c r="AZ61" s="21"/>
      <c r="BF61" s="21">
        <f>AVERAGE(BF49:BF60)</f>
        <v>1988658.4026401283</v>
      </c>
    </row>
    <row r="62" spans="1:61" x14ac:dyDescent="0.25">
      <c r="G62" s="11">
        <f t="shared" ref="G62:M62" si="47">(SUM(G52:G54)/SUM(F52:F54))-1</f>
        <v>7.3245237965373633E-3</v>
      </c>
      <c r="H62" s="11">
        <f t="shared" si="47"/>
        <v>0.43278391781059922</v>
      </c>
      <c r="I62" s="11">
        <f t="shared" si="47"/>
        <v>-4.8858094862970436E-2</v>
      </c>
      <c r="J62" s="11">
        <f t="shared" si="47"/>
        <v>-4.6366933110801201E-2</v>
      </c>
      <c r="K62" s="11">
        <f t="shared" si="47"/>
        <v>0.9901821087701852</v>
      </c>
      <c r="L62" s="11">
        <f t="shared" si="47"/>
        <v>0.16484302344325985</v>
      </c>
      <c r="M62" s="11">
        <f t="shared" si="47"/>
        <v>0.29853229269024517</v>
      </c>
      <c r="N62" s="11">
        <f>(SUM(N52:N54)/SUM(M52:M54))-1</f>
        <v>0.99843398395887739</v>
      </c>
      <c r="O62" s="11">
        <f>(SUM(O49:O51)/SUM(N49:N51))-1</f>
        <v>0.58654513786570583</v>
      </c>
      <c r="P62" s="11">
        <f>(SUM(P49:P51)/SUM(O49:O51))-1</f>
        <v>0.42658547898350085</v>
      </c>
      <c r="Q62" s="11">
        <f>(SUM(Q49:Q51)/SUM(P49:P51))-1</f>
        <v>-6.3140157577438849E-2</v>
      </c>
      <c r="R62" s="26">
        <f>R61/Q61-1</f>
        <v>5.40551999339276E-2</v>
      </c>
      <c r="S62" s="26">
        <f>S61/R61-1</f>
        <v>0.10307588869475381</v>
      </c>
    </row>
    <row r="63" spans="1:61" x14ac:dyDescent="0.25">
      <c r="D63" s="21">
        <f t="shared" ref="D63:AD63" si="48">D61-C61</f>
        <v>-9640188</v>
      </c>
      <c r="E63" s="21">
        <f t="shared" si="48"/>
        <v>60884756</v>
      </c>
      <c r="F63" s="21">
        <f t="shared" si="48"/>
        <v>45855348</v>
      </c>
      <c r="G63" s="21">
        <f t="shared" si="48"/>
        <v>17706410</v>
      </c>
      <c r="H63" s="21">
        <f t="shared" si="48"/>
        <v>64639819</v>
      </c>
      <c r="I63" s="21">
        <f t="shared" si="48"/>
        <v>16854690</v>
      </c>
      <c r="J63" s="21">
        <f t="shared" si="48"/>
        <v>47142322</v>
      </c>
      <c r="K63" s="21">
        <f t="shared" si="48"/>
        <v>186652742</v>
      </c>
      <c r="L63" s="21">
        <f t="shared" si="48"/>
        <v>41371158</v>
      </c>
      <c r="M63" s="21">
        <f t="shared" si="48"/>
        <v>311926560</v>
      </c>
      <c r="N63" s="21">
        <f t="shared" si="48"/>
        <v>609901799</v>
      </c>
      <c r="O63" s="22">
        <f t="shared" si="48"/>
        <v>971909799</v>
      </c>
      <c r="P63" s="22">
        <f t="shared" si="48"/>
        <v>710221183</v>
      </c>
      <c r="Q63" s="22">
        <f t="shared" si="48"/>
        <v>-586326871.82906294</v>
      </c>
      <c r="R63" s="21">
        <f t="shared" si="48"/>
        <v>137902426.87772322</v>
      </c>
      <c r="S63" s="21">
        <f t="shared" si="48"/>
        <v>277175522.01586342</v>
      </c>
      <c r="T63" s="21">
        <f t="shared" si="48"/>
        <v>57047168.120090961</v>
      </c>
      <c r="U63" s="21">
        <f t="shared" si="48"/>
        <v>24083488.356997967</v>
      </c>
      <c r="V63" s="21">
        <f t="shared" si="48"/>
        <v>145698938.12244511</v>
      </c>
      <c r="W63" s="21">
        <f t="shared" si="48"/>
        <v>268629853.03145742</v>
      </c>
      <c r="X63" s="21">
        <f t="shared" si="48"/>
        <v>643798003.92976904</v>
      </c>
      <c r="Y63" s="21">
        <f t="shared" si="48"/>
        <v>-20408721.650218964</v>
      </c>
      <c r="Z63" s="21">
        <f t="shared" si="48"/>
        <v>-112960909.56427813</v>
      </c>
      <c r="AA63" s="21">
        <f t="shared" si="48"/>
        <v>236076168.53933907</v>
      </c>
      <c r="AB63" s="21">
        <f t="shared" si="48"/>
        <v>338430137.71572542</v>
      </c>
      <c r="AC63" s="21">
        <f t="shared" si="48"/>
        <v>626894530.68453979</v>
      </c>
      <c r="AD63" s="21">
        <f t="shared" si="48"/>
        <v>533447507.25319862</v>
      </c>
      <c r="AE63" s="21">
        <f>AE61-AD61</f>
        <v>19210544.945761681</v>
      </c>
      <c r="AF63" s="21">
        <f>AF61-AE61</f>
        <v>-691003925.20065975</v>
      </c>
      <c r="AG63" s="21">
        <f>AG61-AF61</f>
        <v>291062965.16014099</v>
      </c>
      <c r="AH63" s="21">
        <f>AH61-AG61</f>
        <v>303731882.45571136</v>
      </c>
      <c r="AI63" s="21">
        <f t="shared" ref="AI63:AP63" si="49">AI61-AH61</f>
        <v>487880622.5935688</v>
      </c>
      <c r="AJ63" s="21">
        <f t="shared" si="49"/>
        <v>121909462.32264805</v>
      </c>
      <c r="AK63" s="21">
        <f t="shared" si="49"/>
        <v>-35475240.42312336</v>
      </c>
      <c r="AL63" s="21">
        <f t="shared" si="49"/>
        <v>-291672931.32410908</v>
      </c>
      <c r="AM63" s="21">
        <f t="shared" si="49"/>
        <v>242455680.96709633</v>
      </c>
      <c r="AN63" s="21">
        <f t="shared" si="49"/>
        <v>220909408.32312202</v>
      </c>
      <c r="AO63" s="21">
        <f t="shared" si="49"/>
        <v>230553245.00312328</v>
      </c>
      <c r="AP63" s="21">
        <f t="shared" si="49"/>
        <v>285453533.23391247</v>
      </c>
      <c r="AQ63" s="21"/>
      <c r="AR63" s="21"/>
      <c r="AS63" s="21"/>
      <c r="AT63" s="21"/>
      <c r="AU63" s="21"/>
    </row>
    <row r="64" spans="1:61" x14ac:dyDescent="0.25">
      <c r="D64" s="11">
        <f t="shared" ref="D64:M64" si="50">D63/C61</f>
        <v>-0.15538342287853782</v>
      </c>
      <c r="E64" s="11">
        <f t="shared" si="50"/>
        <v>1.1618983890834969</v>
      </c>
      <c r="F64" s="11">
        <f t="shared" si="50"/>
        <v>0.40477557225192223</v>
      </c>
      <c r="G64" s="11">
        <f t="shared" si="50"/>
        <v>0.11126225850016494</v>
      </c>
      <c r="H64" s="11">
        <f t="shared" si="50"/>
        <v>0.36551139598059385</v>
      </c>
      <c r="I64" s="11">
        <f t="shared" si="50"/>
        <v>6.9795308397722633E-2</v>
      </c>
      <c r="J64" s="11">
        <f t="shared" si="50"/>
        <v>0.18248019752876152</v>
      </c>
      <c r="K64" s="11">
        <f t="shared" si="50"/>
        <v>0.61100571185543862</v>
      </c>
      <c r="L64" s="11">
        <f t="shared" si="50"/>
        <v>8.40642790764589E-2</v>
      </c>
      <c r="M64" s="11">
        <f t="shared" si="50"/>
        <v>0.58467044002968527</v>
      </c>
      <c r="N64" s="11">
        <f>N63/M61</f>
        <v>0.72140598164348091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 spans="1:49" x14ac:dyDescent="0.25">
      <c r="A65" s="20" t="s">
        <v>138</v>
      </c>
      <c r="D65" s="21"/>
      <c r="E65" s="21"/>
      <c r="F65" s="21"/>
      <c r="G65" s="21"/>
      <c r="H65" s="21">
        <f t="shared" ref="H65:O65" si="51">H61-G61</f>
        <v>64639819</v>
      </c>
      <c r="I65" s="21">
        <f t="shared" si="51"/>
        <v>16854690</v>
      </c>
      <c r="J65" s="21">
        <f t="shared" si="51"/>
        <v>47142322</v>
      </c>
      <c r="K65" s="21">
        <f t="shared" si="51"/>
        <v>186652742</v>
      </c>
      <c r="L65" s="21">
        <f t="shared" si="51"/>
        <v>41371158</v>
      </c>
      <c r="M65" s="21">
        <f t="shared" si="51"/>
        <v>311926560</v>
      </c>
      <c r="N65" s="21">
        <f t="shared" si="51"/>
        <v>609901799</v>
      </c>
      <c r="O65" s="21">
        <f t="shared" si="51"/>
        <v>971909799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 spans="1:49" x14ac:dyDescent="0.25">
      <c r="B66" s="20">
        <f>B2</f>
        <v>2010</v>
      </c>
      <c r="C66" s="20">
        <f t="shared" ref="C66:AP66" si="52">C2</f>
        <v>2011</v>
      </c>
      <c r="D66" s="20">
        <f t="shared" si="52"/>
        <v>2012</v>
      </c>
      <c r="E66" s="20">
        <f t="shared" si="52"/>
        <v>2013</v>
      </c>
      <c r="F66" s="20">
        <f t="shared" si="52"/>
        <v>2014</v>
      </c>
      <c r="G66" s="20">
        <f t="shared" si="52"/>
        <v>2015</v>
      </c>
      <c r="H66" s="20">
        <f t="shared" si="52"/>
        <v>2016</v>
      </c>
      <c r="I66" s="20">
        <f t="shared" si="52"/>
        <v>2017</v>
      </c>
      <c r="J66" s="20">
        <f t="shared" si="52"/>
        <v>2018</v>
      </c>
      <c r="K66" s="20">
        <f t="shared" si="52"/>
        <v>2019</v>
      </c>
      <c r="L66" s="20">
        <f t="shared" si="52"/>
        <v>2020</v>
      </c>
      <c r="M66" s="20">
        <f t="shared" si="52"/>
        <v>2021</v>
      </c>
      <c r="N66" s="20">
        <f t="shared" si="52"/>
        <v>2022</v>
      </c>
      <c r="O66" s="20">
        <f t="shared" si="52"/>
        <v>2023</v>
      </c>
      <c r="P66" s="20">
        <f t="shared" si="52"/>
        <v>2024</v>
      </c>
      <c r="Q66" s="20">
        <f t="shared" si="52"/>
        <v>2025</v>
      </c>
      <c r="R66" s="20">
        <f t="shared" si="52"/>
        <v>2026</v>
      </c>
      <c r="S66" s="20">
        <f t="shared" si="52"/>
        <v>2027</v>
      </c>
      <c r="T66" s="20">
        <f t="shared" si="52"/>
        <v>2028</v>
      </c>
      <c r="U66" s="20">
        <f t="shared" si="52"/>
        <v>2029</v>
      </c>
      <c r="V66" s="20">
        <f t="shared" si="52"/>
        <v>2030</v>
      </c>
      <c r="W66" s="20">
        <f t="shared" si="52"/>
        <v>2031</v>
      </c>
      <c r="X66" s="20">
        <f t="shared" si="52"/>
        <v>2032</v>
      </c>
      <c r="Y66" s="20">
        <f t="shared" si="52"/>
        <v>2033</v>
      </c>
      <c r="Z66" s="20">
        <f t="shared" si="52"/>
        <v>2034</v>
      </c>
      <c r="AA66" s="20">
        <f t="shared" si="52"/>
        <v>2035</v>
      </c>
      <c r="AB66" s="20">
        <f t="shared" si="52"/>
        <v>2036</v>
      </c>
      <c r="AC66" s="20">
        <f t="shared" si="52"/>
        <v>2037</v>
      </c>
      <c r="AD66" s="20">
        <f t="shared" si="52"/>
        <v>2038</v>
      </c>
      <c r="AE66" s="20">
        <f t="shared" si="52"/>
        <v>2039</v>
      </c>
      <c r="AF66" s="20">
        <f t="shared" si="52"/>
        <v>2040</v>
      </c>
      <c r="AG66" s="20">
        <f t="shared" si="52"/>
        <v>2041</v>
      </c>
      <c r="AH66" s="20">
        <f t="shared" si="52"/>
        <v>2042</v>
      </c>
      <c r="AI66" s="20">
        <f t="shared" si="52"/>
        <v>2043</v>
      </c>
      <c r="AJ66" s="20">
        <f t="shared" si="52"/>
        <v>2044</v>
      </c>
      <c r="AK66" s="20">
        <f t="shared" si="52"/>
        <v>2045</v>
      </c>
      <c r="AL66" s="20">
        <f t="shared" si="52"/>
        <v>2046</v>
      </c>
      <c r="AM66" s="20">
        <f t="shared" si="52"/>
        <v>2047</v>
      </c>
      <c r="AN66" s="20">
        <f t="shared" si="52"/>
        <v>2048</v>
      </c>
      <c r="AO66" s="20">
        <f t="shared" si="52"/>
        <v>2049</v>
      </c>
      <c r="AP66" s="20">
        <f t="shared" si="52"/>
        <v>2050</v>
      </c>
      <c r="AS66" s="21"/>
      <c r="AT66" s="102" t="s">
        <v>126</v>
      </c>
      <c r="AU66" s="102"/>
      <c r="AV66" s="102" t="s">
        <v>127</v>
      </c>
      <c r="AW66" s="102"/>
    </row>
    <row r="67" spans="1:49" x14ac:dyDescent="0.25">
      <c r="A67" s="20" t="s">
        <v>70</v>
      </c>
      <c r="B67" s="21">
        <f>B49-'[4]D4 Gallon Forecast'!B165</f>
        <v>0</v>
      </c>
      <c r="C67" s="21">
        <f>C49-'[4]D4 Gallon Forecast'!C165</f>
        <v>4212215</v>
      </c>
      <c r="D67" s="21">
        <f>D49-'[4]D4 Gallon Forecast'!D165</f>
        <v>4198701</v>
      </c>
      <c r="E67" s="21">
        <f>E49-'[4]D4 Gallon Forecast'!E165</f>
        <v>665449</v>
      </c>
      <c r="F67" s="21">
        <f>F49-'[4]D4 Gallon Forecast'!F165</f>
        <v>9697869</v>
      </c>
      <c r="G67" s="21">
        <f>G49-'[4]D4 Gallon Forecast'!G165</f>
        <v>17190931</v>
      </c>
      <c r="H67" s="21">
        <f>H49-'[4]D4 Gallon Forecast'!H165</f>
        <v>11758144</v>
      </c>
      <c r="I67" s="21">
        <f>I49-'[4]D4 Gallon Forecast'!I165</f>
        <v>18560535</v>
      </c>
      <c r="J67" s="21">
        <f>J49-'[4]D4 Gallon Forecast'!J165</f>
        <v>13680652</v>
      </c>
      <c r="K67" s="21">
        <f>K49-'[4]D4 Gallon Forecast'!K165</f>
        <v>36487021</v>
      </c>
      <c r="L67" s="21">
        <f>L49-'[4]D4 Gallon Forecast'!L165</f>
        <v>41857492</v>
      </c>
      <c r="M67" s="21">
        <f>M49-'[4]D4 Gallon Forecast'!M165</f>
        <v>50374630</v>
      </c>
      <c r="N67" s="21">
        <f>N49-'[4]D4 Gallon Forecast'!N165</f>
        <v>87010244</v>
      </c>
      <c r="O67" s="21">
        <f>O49-'[4]D4 Gallon Forecast'!O165</f>
        <v>118837879</v>
      </c>
      <c r="P67" s="21">
        <f>P49-'[4]D4 Gallon Forecast'!P165</f>
        <v>181831837</v>
      </c>
      <c r="Q67" s="22">
        <f>Q49-'[4]D4 Gallon Forecast'!Q165</f>
        <v>181298903</v>
      </c>
      <c r="R67" s="21">
        <f>R49-'[4]D4 Gallon Forecast'!R165</f>
        <v>173301039.9201065</v>
      </c>
      <c r="S67" s="21">
        <f>S49-'[4]D4 Gallon Forecast'!S165</f>
        <v>190327727.21764925</v>
      </c>
      <c r="T67" s="21">
        <f>T49-'[4]D4 Gallon Forecast'!T165</f>
        <v>194312790.4450902</v>
      </c>
      <c r="U67" s="21">
        <f>U49-'[4]D4 Gallon Forecast'!U165</f>
        <v>196315383.19321719</v>
      </c>
      <c r="V67" s="21">
        <f>V49-'[4]D4 Gallon Forecast'!V165</f>
        <v>205707631.69478792</v>
      </c>
      <c r="W67" s="21">
        <f>W49-'[4]D4 Gallon Forecast'!W165</f>
        <v>222782293.77920413</v>
      </c>
      <c r="X67" s="21">
        <f>X49-'[4]D4 Gallon Forecast'!X165</f>
        <v>264059013.18170139</v>
      </c>
      <c r="Y67" s="21">
        <f>Y49-'[4]D4 Gallon Forecast'!Y165</f>
        <v>262890228.64060161</v>
      </c>
      <c r="Z67" s="21">
        <f>Z49-'[4]D4 Gallon Forecast'!Z165</f>
        <v>255777133.45371303</v>
      </c>
      <c r="AA67" s="21">
        <f>AA49-'[4]D4 Gallon Forecast'!AA165</f>
        <v>270948489.35168308</v>
      </c>
      <c r="AB67" s="21">
        <f>AB49-'[4]D4 Gallon Forecast'!AB165</f>
        <v>292548204.23721027</v>
      </c>
      <c r="AC67" s="21">
        <f>AC49-'[4]D4 Gallon Forecast'!AC165</f>
        <v>332801022.16583556</v>
      </c>
      <c r="AD67" s="21">
        <f>AD49-'[4]D4 Gallon Forecast'!AD165</f>
        <v>367138905.77510345</v>
      </c>
      <c r="AE67" s="21">
        <f>AE49-'[4]D4 Gallon Forecast'!AE165</f>
        <v>368537907.28145385</v>
      </c>
      <c r="AF67" s="21">
        <f>AF49-'[4]D4 Gallon Forecast'!AF165</f>
        <v>324292401.80549532</v>
      </c>
      <c r="AG67" s="21">
        <f>AG49-'[4]D4 Gallon Forecast'!AG165</f>
        <v>342928676.57374358</v>
      </c>
      <c r="AH67" s="21">
        <f>AH49-'[4]D4 Gallon Forecast'!AH165</f>
        <v>362474628.86067653</v>
      </c>
      <c r="AI67" s="21">
        <f>AI49-'[4]D4 Gallon Forecast'!AI165</f>
        <v>393875036.93947524</v>
      </c>
      <c r="AJ67" s="21">
        <f>AJ49-'[4]D4 Gallon Forecast'!AJ165</f>
        <v>401734178.58368695</v>
      </c>
      <c r="AK67" s="21">
        <f>AK49-'[4]D4 Gallon Forecast'!AK165</f>
        <v>399457153.46708328</v>
      </c>
      <c r="AL67" s="21">
        <f>AL49-'[4]D4 Gallon Forecast'!AL165</f>
        <v>380775025.91852134</v>
      </c>
      <c r="AM67" s="21">
        <f>AM49-'[4]D4 Gallon Forecast'!AM165</f>
        <v>396257812.08964473</v>
      </c>
      <c r="AN67" s="21">
        <f>AN49-'[4]D4 Gallon Forecast'!AN165</f>
        <v>410485418.23343176</v>
      </c>
      <c r="AO67" s="21">
        <f>AO49-'[4]D4 Gallon Forecast'!AO165</f>
        <v>425327998.7978344</v>
      </c>
      <c r="AP67" s="21">
        <f>AP49-'[4]D4 Gallon Forecast'!AP165</f>
        <v>443622958.22248584</v>
      </c>
      <c r="AQ67" s="21"/>
      <c r="AR67" s="21"/>
      <c r="AS67" s="21"/>
      <c r="AT67" s="11">
        <f>O67/N67-1</f>
        <v>0.36579181412248429</v>
      </c>
      <c r="AU67" s="21">
        <f>O67-N67</f>
        <v>31827635</v>
      </c>
      <c r="AV67" s="21">
        <f>O67-N78</f>
        <v>-11967980</v>
      </c>
      <c r="AW67" s="11">
        <f>AV67/N78</f>
        <v>-9.1494219689348927E-2</v>
      </c>
    </row>
    <row r="68" spans="1:49" x14ac:dyDescent="0.25">
      <c r="A68" s="20" t="s">
        <v>71</v>
      </c>
      <c r="B68" s="21">
        <f>B50-'[4]D4 Gallon Forecast'!B166</f>
        <v>0</v>
      </c>
      <c r="C68" s="21">
        <f>C50-'[4]D4 Gallon Forecast'!C166</f>
        <v>725551</v>
      </c>
      <c r="D68" s="21">
        <f>D50-'[4]D4 Gallon Forecast'!D166</f>
        <v>3179779</v>
      </c>
      <c r="E68" s="21">
        <f>E50-'[4]D4 Gallon Forecast'!E166</f>
        <v>864476</v>
      </c>
      <c r="F68" s="21">
        <f>F50-'[4]D4 Gallon Forecast'!F166</f>
        <v>11402309</v>
      </c>
      <c r="G68" s="21">
        <f>G50-'[4]D4 Gallon Forecast'!G166</f>
        <v>13123469</v>
      </c>
      <c r="H68" s="21">
        <f>H50-'[4]D4 Gallon Forecast'!H166</f>
        <v>7354950</v>
      </c>
      <c r="I68" s="21">
        <f>I50-'[4]D4 Gallon Forecast'!I166</f>
        <v>21042625</v>
      </c>
      <c r="J68" s="21">
        <f>J50-'[4]D4 Gallon Forecast'!J166</f>
        <v>21604812</v>
      </c>
      <c r="K68" s="21">
        <f>K50-'[4]D4 Gallon Forecast'!K166</f>
        <v>40173701</v>
      </c>
      <c r="L68" s="21">
        <f>L50-'[4]D4 Gallon Forecast'!L166</f>
        <v>37300666</v>
      </c>
      <c r="M68" s="21">
        <f>M50-'[4]D4 Gallon Forecast'!M166</f>
        <v>51175710</v>
      </c>
      <c r="N68" s="21">
        <f>N50-'[4]D4 Gallon Forecast'!N166</f>
        <v>101027422</v>
      </c>
      <c r="O68" s="21">
        <f>O50-'[4]D4 Gallon Forecast'!O166</f>
        <v>113445060</v>
      </c>
      <c r="P68" s="21">
        <f>P50-'[4]D4 Gallon Forecast'!P166</f>
        <v>184608236</v>
      </c>
      <c r="Q68" s="22">
        <f>Q50-'[4]D4 Gallon Forecast'!Q166</f>
        <v>148539314</v>
      </c>
      <c r="R68" s="21">
        <f>R50-'[4]D4 Gallon Forecast'!R166</f>
        <v>188920877.88275504</v>
      </c>
      <c r="S68" s="21">
        <f>S50-'[4]D4 Gallon Forecast'!S166</f>
        <v>208087458.74720728</v>
      </c>
      <c r="T68" s="21">
        <f>T50-'[4]D4 Gallon Forecast'!T166</f>
        <v>211940257.3015556</v>
      </c>
      <c r="U68" s="21">
        <f>U50-'[4]D4 Gallon Forecast'!U166</f>
        <v>214020412.68485782</v>
      </c>
      <c r="V68" s="21">
        <f>V50-'[4]D4 Gallon Forecast'!V166</f>
        <v>224248992.3909564</v>
      </c>
      <c r="W68" s="21">
        <f>W50-'[4]D4 Gallon Forecast'!W166</f>
        <v>242941688.091079</v>
      </c>
      <c r="X68" s="21">
        <f>X50-'[4]D4 Gallon Forecast'!X166</f>
        <v>288186763.80865526</v>
      </c>
      <c r="Y68" s="21">
        <f>Y50-'[4]D4 Gallon Forecast'!Y166</f>
        <v>286740408.06441188</v>
      </c>
      <c r="Z68" s="21">
        <f>Z50-'[4]D4 Gallon Forecast'!Z166</f>
        <v>278759454.26224506</v>
      </c>
      <c r="AA68" s="21">
        <f>AA50-'[4]D4 Gallon Forecast'!AA166</f>
        <v>295300319.29712445</v>
      </c>
      <c r="AB68" s="21">
        <f>AB50-'[4]D4 Gallon Forecast'!AB166</f>
        <v>319194658.98223019</v>
      </c>
      <c r="AC68" s="21">
        <f>AC50-'[4]D4 Gallon Forecast'!AC166</f>
        <v>363312467.39881754</v>
      </c>
      <c r="AD68" s="21">
        <f>AD50-'[4]D4 Gallon Forecast'!AD166</f>
        <v>400787882.50954103</v>
      </c>
      <c r="AE68" s="21">
        <f>AE50-'[4]D4 Gallon Forecast'!AE166</f>
        <v>401959953.89041197</v>
      </c>
      <c r="AF68" s="21">
        <f>AF50-'[4]D4 Gallon Forecast'!AF166</f>
        <v>353174697.14437717</v>
      </c>
      <c r="AG68" s="21">
        <f>AG50-'[4]D4 Gallon Forecast'!AG166</f>
        <v>373708707.81553322</v>
      </c>
      <c r="AH68" s="21">
        <f>AH50-'[4]D4 Gallon Forecast'!AH166</f>
        <v>395037232.16588795</v>
      </c>
      <c r="AI68" s="21">
        <f>AI50-'[4]D4 Gallon Forecast'!AI166</f>
        <v>429289163.77650756</v>
      </c>
      <c r="AJ68" s="21">
        <f>AJ50-'[4]D4 Gallon Forecast'!AJ166</f>
        <v>437830509.35546809</v>
      </c>
      <c r="AK68" s="21">
        <f>AK50-'[4]D4 Gallon Forecast'!AK166</f>
        <v>435329697.64782506</v>
      </c>
      <c r="AL68" s="21">
        <f>AL50-'[4]D4 Gallon Forecast'!AL166</f>
        <v>414752077.1269027</v>
      </c>
      <c r="AM68" s="21">
        <f>AM50-'[4]D4 Gallon Forecast'!AM166</f>
        <v>431912772.61670196</v>
      </c>
      <c r="AN68" s="21">
        <f>AN50-'[4]D4 Gallon Forecast'!AN166</f>
        <v>447408531.64359641</v>
      </c>
      <c r="AO68" s="21">
        <f>AO50-'[4]D4 Gallon Forecast'!AO166</f>
        <v>463586697.81772697</v>
      </c>
      <c r="AP68" s="21">
        <f>AP50-'[4]D4 Gallon Forecast'!AP166</f>
        <v>483711987.43685955</v>
      </c>
      <c r="AQ68" s="21"/>
      <c r="AR68" s="21"/>
      <c r="AS68" s="21"/>
      <c r="AT68" s="11">
        <f t="shared" ref="AT68:AT79" si="53">O68/N68-1</f>
        <v>0.12291353925669801</v>
      </c>
      <c r="AU68" s="21">
        <f t="shared" ref="AU68:AU79" si="54">O68-N68</f>
        <v>12417638</v>
      </c>
      <c r="AV68" s="21">
        <f>O68-O67</f>
        <v>-5392819</v>
      </c>
      <c r="AW68" s="11">
        <f>AV68/O67</f>
        <v>-4.5379630176671196E-2</v>
      </c>
    </row>
    <row r="69" spans="1:49" x14ac:dyDescent="0.25">
      <c r="A69" s="20" t="s">
        <v>72</v>
      </c>
      <c r="B69" s="21">
        <f>B51-'[4]D4 Gallon Forecast'!B167</f>
        <v>0</v>
      </c>
      <c r="C69" s="21">
        <f>C51-'[4]D4 Gallon Forecast'!C167</f>
        <v>2396358</v>
      </c>
      <c r="D69" s="21">
        <f>D51-'[4]D4 Gallon Forecast'!D167</f>
        <v>4347422</v>
      </c>
      <c r="E69" s="21">
        <f>E51-'[4]D4 Gallon Forecast'!E167</f>
        <v>1281837</v>
      </c>
      <c r="F69" s="21">
        <f>F51-'[4]D4 Gallon Forecast'!F167</f>
        <v>13799679</v>
      </c>
      <c r="G69" s="21">
        <f>G51-'[4]D4 Gallon Forecast'!G167</f>
        <v>15526142</v>
      </c>
      <c r="H69" s="21">
        <f>H51-'[4]D4 Gallon Forecast'!H167</f>
        <v>17925081</v>
      </c>
      <c r="I69" s="21">
        <f>I51-'[4]D4 Gallon Forecast'!I167</f>
        <v>15856580</v>
      </c>
      <c r="J69" s="21">
        <f>J51-'[4]D4 Gallon Forecast'!J167</f>
        <v>25067979</v>
      </c>
      <c r="K69" s="21">
        <f>K51-'[4]D4 Gallon Forecast'!K167</f>
        <v>35740265</v>
      </c>
      <c r="L69" s="21">
        <f>L51-'[4]D4 Gallon Forecast'!L167</f>
        <v>45149052</v>
      </c>
      <c r="M69" s="21">
        <f>M51-'[4]D4 Gallon Forecast'!M167</f>
        <v>59222033</v>
      </c>
      <c r="N69" s="21">
        <f>N51-'[4]D4 Gallon Forecast'!N167</f>
        <v>109808915</v>
      </c>
      <c r="O69" s="21">
        <f>O51-'[4]D4 Gallon Forecast'!O167</f>
        <v>148248262</v>
      </c>
      <c r="P69" s="21">
        <f>P51-'[4]D4 Gallon Forecast'!P167</f>
        <v>170166944</v>
      </c>
      <c r="Q69" s="22">
        <f>Q51-'[4]D4 Gallon Forecast'!Q167</f>
        <v>192904577</v>
      </c>
      <c r="R69" s="21">
        <f>R51-'[4]D4 Gallon Forecast'!R167</f>
        <v>201087551.47234574</v>
      </c>
      <c r="S69" s="21">
        <f>S51-'[4]D4 Gallon Forecast'!S167</f>
        <v>222331474.36161846</v>
      </c>
      <c r="T69" s="21">
        <f>T51-'[4]D4 Gallon Forecast'!T167</f>
        <v>227266907.74707708</v>
      </c>
      <c r="U69" s="21">
        <f>U51-'[4]D4 Gallon Forecast'!U167</f>
        <v>228580293.88394293</v>
      </c>
      <c r="V69" s="21">
        <f>V51-'[4]D4 Gallon Forecast'!V167</f>
        <v>239819467.50720793</v>
      </c>
      <c r="W69" s="21">
        <f>W51-'[4]D4 Gallon Forecast'!W167</f>
        <v>259742588.4406063</v>
      </c>
      <c r="X69" s="21">
        <f>X51-'[4]D4 Gallon Forecast'!X167</f>
        <v>308030377.58673579</v>
      </c>
      <c r="Y69" s="21">
        <f>Y51-'[4]D4 Gallon Forecast'!Y167</f>
        <v>306629223.56984639</v>
      </c>
      <c r="Z69" s="21">
        <f>Z51-'[4]D4 Gallon Forecast'!Z167</f>
        <v>298277030.33242476</v>
      </c>
      <c r="AA69" s="21">
        <f>AA51-'[4]D4 Gallon Forecast'!AA167</f>
        <v>316044939.1115849</v>
      </c>
      <c r="AB69" s="21">
        <f>AB51-'[4]D4 Gallon Forecast'!AB167</f>
        <v>341124746.72358978</v>
      </c>
      <c r="AC69" s="21">
        <f>AC51-'[4]D4 Gallon Forecast'!AC167</f>
        <v>388001430.02523911</v>
      </c>
      <c r="AD69" s="21">
        <f>AD51-'[4]D4 Gallon Forecast'!AD167</f>
        <v>428005446.27289242</v>
      </c>
      <c r="AE69" s="21">
        <f>AE51-'[4]D4 Gallon Forecast'!AE167</f>
        <v>429761672.69802207</v>
      </c>
      <c r="AF69" s="21">
        <f>AF51-'[4]D4 Gallon Forecast'!AF167</f>
        <v>378389450.96765256</v>
      </c>
      <c r="AG69" s="21">
        <f>AG51-'[4]D4 Gallon Forecast'!AG167</f>
        <v>400044003.07578814</v>
      </c>
      <c r="AH69" s="21">
        <f>AH51-'[4]D4 Gallon Forecast'!AH167</f>
        <v>422832918.71840817</v>
      </c>
      <c r="AI69" s="21">
        <f>AI51-'[4]D4 Gallon Forecast'!AI167</f>
        <v>459443830.41338158</v>
      </c>
      <c r="AJ69" s="21">
        <f>AJ51-'[4]D4 Gallon Forecast'!AJ167</f>
        <v>468620890.21794415</v>
      </c>
      <c r="AK69" s="21">
        <f>AK51-'[4]D4 Gallon Forecast'!AK167</f>
        <v>465975502.87264115</v>
      </c>
      <c r="AL69" s="21">
        <f>AL51-'[4]D4 Gallon Forecast'!AL167</f>
        <v>444268339.48293</v>
      </c>
      <c r="AM69" s="21">
        <f>AM51-'[4]D4 Gallon Forecast'!AM167</f>
        <v>462215163.95904553</v>
      </c>
      <c r="AN69" s="21">
        <f>AN51-'[4]D4 Gallon Forecast'!AN167</f>
        <v>478814964.39649665</v>
      </c>
      <c r="AO69" s="21">
        <f>AO51-'[4]D4 Gallon Forecast'!AO167</f>
        <v>496128341.14758509</v>
      </c>
      <c r="AP69" s="21">
        <f>AP51-'[4]D4 Gallon Forecast'!AP167</f>
        <v>517396251.78451204</v>
      </c>
      <c r="AQ69" s="21"/>
      <c r="AR69" s="21"/>
      <c r="AS69" s="21"/>
      <c r="AT69" s="11">
        <f t="shared" si="53"/>
        <v>0.35005670532306055</v>
      </c>
      <c r="AU69" s="21">
        <f t="shared" si="54"/>
        <v>38439347</v>
      </c>
      <c r="AV69" s="21">
        <f t="shared" ref="AV69:AV78" si="55">O69-O68</f>
        <v>34803202</v>
      </c>
      <c r="AW69" s="11">
        <f t="shared" ref="AW69:AW78" si="56">AV69/O68</f>
        <v>0.30678464095307456</v>
      </c>
    </row>
    <row r="70" spans="1:49" x14ac:dyDescent="0.25">
      <c r="A70" s="20" t="s">
        <v>73</v>
      </c>
      <c r="B70" s="21">
        <f>B52-'[4]D4 Gallon Forecast'!B168</f>
        <v>0</v>
      </c>
      <c r="C70" s="21">
        <f>C52-'[4]D4 Gallon Forecast'!C168</f>
        <v>1575523</v>
      </c>
      <c r="D70" s="21">
        <f>D52-'[4]D4 Gallon Forecast'!D168</f>
        <v>1689220</v>
      </c>
      <c r="E70" s="21">
        <f>E52-'[4]D4 Gallon Forecast'!E168</f>
        <v>987597</v>
      </c>
      <c r="F70" s="21">
        <f>F52-'[4]D4 Gallon Forecast'!F168</f>
        <v>12731174</v>
      </c>
      <c r="G70" s="21">
        <f>G52-'[4]D4 Gallon Forecast'!G168</f>
        <v>15110850</v>
      </c>
      <c r="H70" s="21">
        <f>H52-'[4]D4 Gallon Forecast'!H168</f>
        <v>21253081</v>
      </c>
      <c r="I70" s="21">
        <f>I52-'[4]D4 Gallon Forecast'!I168</f>
        <v>20403202</v>
      </c>
      <c r="J70" s="21">
        <f>J52-'[4]D4 Gallon Forecast'!J168</f>
        <v>25750984</v>
      </c>
      <c r="K70" s="21">
        <f>K52-'[4]D4 Gallon Forecast'!K168</f>
        <v>38557434</v>
      </c>
      <c r="L70" s="21">
        <f>L52-'[4]D4 Gallon Forecast'!L168</f>
        <v>38081084</v>
      </c>
      <c r="M70" s="21">
        <f>M52-'[4]D4 Gallon Forecast'!M168</f>
        <v>50634433</v>
      </c>
      <c r="N70" s="21">
        <f>N52-'[4]D4 Gallon Forecast'!N168</f>
        <v>106480662</v>
      </c>
      <c r="O70" s="21">
        <f>O52-'[4]D4 Gallon Forecast'!O168</f>
        <v>140432873</v>
      </c>
      <c r="P70" s="21">
        <f>P52-'[4]D4 Gallon Forecast'!P168</f>
        <v>230566900</v>
      </c>
      <c r="Q70" s="22">
        <f>Q52-'[4]D4 Gallon Forecast'!Q168</f>
        <v>201331356.4815461</v>
      </c>
      <c r="R70" s="21">
        <f>R52-'[4]D4 Gallon Forecast'!R168</f>
        <v>193344202.49970382</v>
      </c>
      <c r="S70" s="21">
        <f>S52-'[4]D4 Gallon Forecast'!S168</f>
        <v>213396859.74068043</v>
      </c>
      <c r="T70" s="21">
        <f>T52-'[4]D4 Gallon Forecast'!T168</f>
        <v>217371467.25445896</v>
      </c>
      <c r="U70" s="21">
        <f>U52-'[4]D4 Gallon Forecast'!U168</f>
        <v>218955341.14504278</v>
      </c>
      <c r="V70" s="21">
        <f>V52-'[4]D4 Gallon Forecast'!V168</f>
        <v>229462278.14924833</v>
      </c>
      <c r="W70" s="21">
        <f>W52-'[4]D4 Gallon Forecast'!W168</f>
        <v>248826445.36842561</v>
      </c>
      <c r="X70" s="21">
        <f>X52-'[4]D4 Gallon Forecast'!X168</f>
        <v>295175326.88767368</v>
      </c>
      <c r="Y70" s="21">
        <f>Y52-'[4]D4 Gallon Forecast'!Y168</f>
        <v>293643197.48746473</v>
      </c>
      <c r="Z70" s="21">
        <f>Z52-'[4]D4 Gallon Forecast'!Z168</f>
        <v>285421262.34656847</v>
      </c>
      <c r="AA70" s="21">
        <f>AA52-'[4]D4 Gallon Forecast'!AA168</f>
        <v>302397508.53541154</v>
      </c>
      <c r="AB70" s="21">
        <f>AB52-'[4]D4 Gallon Forecast'!AB168</f>
        <v>326861443.74999732</v>
      </c>
      <c r="AC70" s="21">
        <f>AC52-'[4]D4 Gallon Forecast'!AC168</f>
        <v>372006049.33358061</v>
      </c>
      <c r="AD70" s="21">
        <f>AD52-'[4]D4 Gallon Forecast'!AD168</f>
        <v>410359869.85578811</v>
      </c>
      <c r="AE70" s="21">
        <f>AE52-'[4]D4 Gallon Forecast'!AE168</f>
        <v>411597041.79497296</v>
      </c>
      <c r="AF70" s="21">
        <f>AF52-'[4]D4 Gallon Forecast'!AF168</f>
        <v>361716665.73921573</v>
      </c>
      <c r="AG70" s="21">
        <f>AG52-'[4]D4 Gallon Forecast'!AG168</f>
        <v>382721970.09857023</v>
      </c>
      <c r="AH70" s="21">
        <f>AH52-'[4]D4 Gallon Forecast'!AH168</f>
        <v>404557748.23663205</v>
      </c>
      <c r="AI70" s="21">
        <f>AI52-'[4]D4 Gallon Forecast'!AI168</f>
        <v>439628319.67919081</v>
      </c>
      <c r="AJ70" s="21">
        <f>AJ52-'[4]D4 Gallon Forecast'!AJ168</f>
        <v>448378916.80213147</v>
      </c>
      <c r="AK70" s="21">
        <f>AK52-'[4]D4 Gallon Forecast'!AK168</f>
        <v>445822220.49405354</v>
      </c>
      <c r="AL70" s="21">
        <f>AL52-'[4]D4 Gallon Forecast'!AL168</f>
        <v>424775437.69649988</v>
      </c>
      <c r="AM70" s="21">
        <f>AM52-'[4]D4 Gallon Forecast'!AM168</f>
        <v>442313554.22764301</v>
      </c>
      <c r="AN70" s="21">
        <f>AN52-'[4]D4 Gallon Forecast'!AN168</f>
        <v>458183683.48848301</v>
      </c>
      <c r="AO70" s="21">
        <f>AO52-'[4]D4 Gallon Forecast'!AO168</f>
        <v>474751720.2714451</v>
      </c>
      <c r="AP70" s="21">
        <f>AP52-'[4]D4 Gallon Forecast'!AP168</f>
        <v>495339261.25581235</v>
      </c>
      <c r="AQ70" s="21"/>
      <c r="AR70" s="21"/>
      <c r="AS70" s="21"/>
      <c r="AT70" s="11">
        <f t="shared" si="53"/>
        <v>0.31885800071378223</v>
      </c>
      <c r="AU70" s="21">
        <f t="shared" si="54"/>
        <v>33952211</v>
      </c>
      <c r="AV70" s="21">
        <f t="shared" si="55"/>
        <v>-7815389</v>
      </c>
      <c r="AW70" s="11">
        <f t="shared" si="56"/>
        <v>-5.2718250416993087E-2</v>
      </c>
    </row>
    <row r="71" spans="1:49" x14ac:dyDescent="0.25">
      <c r="A71" s="20" t="s">
        <v>10</v>
      </c>
      <c r="B71" s="21">
        <f>B53-'[4]D4 Gallon Forecast'!B169</f>
        <v>0</v>
      </c>
      <c r="C71" s="21">
        <f>C53-'[4]D4 Gallon Forecast'!C169</f>
        <v>6703510</v>
      </c>
      <c r="D71" s="21">
        <f>D53-'[4]D4 Gallon Forecast'!D169</f>
        <v>1313075</v>
      </c>
      <c r="E71" s="21">
        <f>E53-'[4]D4 Gallon Forecast'!E169</f>
        <v>2087105</v>
      </c>
      <c r="F71" s="21">
        <f>F53-'[4]D4 Gallon Forecast'!F169</f>
        <v>15400762</v>
      </c>
      <c r="G71" s="21">
        <f>G53-'[4]D4 Gallon Forecast'!G169</f>
        <v>15163541</v>
      </c>
      <c r="H71" s="21">
        <f>H53-'[4]D4 Gallon Forecast'!H169</f>
        <v>21933497</v>
      </c>
      <c r="I71" s="21">
        <f>I53-'[4]D4 Gallon Forecast'!I169</f>
        <v>24392752</v>
      </c>
      <c r="J71" s="21">
        <f>J53-'[4]D4 Gallon Forecast'!J169</f>
        <v>21508247</v>
      </c>
      <c r="K71" s="21">
        <f>K53-'[4]D4 Gallon Forecast'!K169</f>
        <v>40382855</v>
      </c>
      <c r="L71" s="21">
        <f>L53-'[4]D4 Gallon Forecast'!L169</f>
        <v>46421171</v>
      </c>
      <c r="M71" s="21">
        <f>M53-'[4]D4 Gallon Forecast'!M169</f>
        <v>60051437</v>
      </c>
      <c r="N71" s="21">
        <f>N53-'[4]D4 Gallon Forecast'!N169</f>
        <v>136075722</v>
      </c>
      <c r="O71" s="21">
        <f>O53-'[4]D4 Gallon Forecast'!O169</f>
        <v>174849592</v>
      </c>
      <c r="P71" s="21">
        <f>P53-'[4]D4 Gallon Forecast'!P169</f>
        <v>218392406</v>
      </c>
      <c r="Q71" s="22">
        <f>Q53-'[4]D4 Gallon Forecast'!Q169</f>
        <v>198336988.21685207</v>
      </c>
      <c r="R71" s="21">
        <f>R53-'[4]D4 Gallon Forecast'!R169</f>
        <v>216099681.58198112</v>
      </c>
      <c r="S71" s="21">
        <f>S53-'[4]D4 Gallon Forecast'!S169</f>
        <v>238853185.10802394</v>
      </c>
      <c r="T71" s="21">
        <f>T53-'[4]D4 Gallon Forecast'!T169</f>
        <v>242702114.27576911</v>
      </c>
      <c r="U71" s="21">
        <f>U53-'[4]D4 Gallon Forecast'!U169</f>
        <v>244000037.58973342</v>
      </c>
      <c r="V71" s="21">
        <f>V53-'[4]D4 Gallon Forecast'!V169</f>
        <v>256351694.14983538</v>
      </c>
      <c r="W71" s="21">
        <f>W53-'[4]D4 Gallon Forecast'!W169</f>
        <v>277936054.80820769</v>
      </c>
      <c r="X71" s="21">
        <f>X53-'[4]D4 Gallon Forecast'!X169</f>
        <v>329674933.86319137</v>
      </c>
      <c r="Y71" s="21">
        <f>Y53-'[4]D4 Gallon Forecast'!Y169</f>
        <v>327838041.39430302</v>
      </c>
      <c r="Z71" s="21">
        <f>Z53-'[4]D4 Gallon Forecast'!Z169</f>
        <v>318640962.61132663</v>
      </c>
      <c r="AA71" s="21">
        <f>AA53-'[4]D4 Gallon Forecast'!AA169</f>
        <v>337697976.64706576</v>
      </c>
      <c r="AB71" s="21">
        <f>AB53-'[4]D4 Gallon Forecast'!AB169</f>
        <v>365006830.42158008</v>
      </c>
      <c r="AC71" s="21">
        <f>AC53-'[4]D4 Gallon Forecast'!AC169</f>
        <v>415410348.78232515</v>
      </c>
      <c r="AD71" s="21">
        <f>AD53-'[4]D4 Gallon Forecast'!AD169</f>
        <v>458223615.86661655</v>
      </c>
      <c r="AE71" s="21">
        <f>AE53-'[4]D4 Gallon Forecast'!AE169</f>
        <v>459599408.71388924</v>
      </c>
      <c r="AF71" s="21">
        <f>AF53-'[4]D4 Gallon Forecast'!AF169</f>
        <v>403891971.94833112</v>
      </c>
      <c r="AG71" s="21">
        <f>AG53-'[4]D4 Gallon Forecast'!AG169</f>
        <v>427348987.91155642</v>
      </c>
      <c r="AH71" s="21">
        <f>AH53-'[4]D4 Gallon Forecast'!AH169</f>
        <v>451728709.96381629</v>
      </c>
      <c r="AI71" s="21">
        <f>AI53-'[4]D4 Gallon Forecast'!AI169</f>
        <v>490889319.8509407</v>
      </c>
      <c r="AJ71" s="21">
        <f>AJ53-'[4]D4 Gallon Forecast'!AJ169</f>
        <v>500661953.8854807</v>
      </c>
      <c r="AK71" s="21">
        <f>AK53-'[4]D4 Gallon Forecast'!AK169</f>
        <v>497807396.27595097</v>
      </c>
      <c r="AL71" s="21">
        <f>AL53-'[4]D4 Gallon Forecast'!AL169</f>
        <v>474295541.19663417</v>
      </c>
      <c r="AM71" s="21">
        <f>AM53-'[4]D4 Gallon Forecast'!AM169</f>
        <v>493890684.47622216</v>
      </c>
      <c r="AN71" s="21">
        <f>AN53-'[4]D4 Gallon Forecast'!AN169</f>
        <v>511611135.12325239</v>
      </c>
      <c r="AO71" s="21">
        <f>AO53-'[4]D4 Gallon Forecast'!AO169</f>
        <v>530111591.03694379</v>
      </c>
      <c r="AP71" s="21">
        <f>AP53-'[4]D4 Gallon Forecast'!AP169</f>
        <v>553107719.81817889</v>
      </c>
      <c r="AQ71" s="21"/>
      <c r="AR71" s="21"/>
      <c r="AS71" s="21"/>
      <c r="AT71" s="11">
        <f t="shared" si="53"/>
        <v>0.28494333471183042</v>
      </c>
      <c r="AU71" s="21">
        <f t="shared" si="54"/>
        <v>38773870</v>
      </c>
      <c r="AV71" s="21">
        <f t="shared" si="55"/>
        <v>34416719</v>
      </c>
      <c r="AW71" s="11">
        <f t="shared" si="56"/>
        <v>0.2450759445760253</v>
      </c>
    </row>
    <row r="72" spans="1:49" x14ac:dyDescent="0.25">
      <c r="A72" s="20" t="s">
        <v>74</v>
      </c>
      <c r="B72" s="21">
        <f>B54-'[4]D4 Gallon Forecast'!B170</f>
        <v>0</v>
      </c>
      <c r="C72" s="21">
        <f>C54-'[4]D4 Gallon Forecast'!C170</f>
        <v>3024029</v>
      </c>
      <c r="D72" s="21">
        <f>D54-'[4]D4 Gallon Forecast'!D170</f>
        <v>2686128</v>
      </c>
      <c r="E72" s="21">
        <f>E54-'[4]D4 Gallon Forecast'!E170</f>
        <v>6162063</v>
      </c>
      <c r="F72" s="21">
        <f>F54-'[4]D4 Gallon Forecast'!F170</f>
        <v>14935184</v>
      </c>
      <c r="G72" s="21">
        <f>G54-'[4]D4 Gallon Forecast'!G170</f>
        <v>13919813</v>
      </c>
      <c r="H72" s="21">
        <f>H54-'[4]D4 Gallon Forecast'!H170</f>
        <v>22569322</v>
      </c>
      <c r="I72" s="21">
        <f>I54-'[4]D4 Gallon Forecast'!I170</f>
        <v>17747238</v>
      </c>
      <c r="J72" s="21">
        <f>J54-'[4]D4 Gallon Forecast'!J170</f>
        <v>12384025</v>
      </c>
      <c r="K72" s="21">
        <f>K54-'[4]D4 Gallon Forecast'!K170</f>
        <v>39760652</v>
      </c>
      <c r="L72" s="21">
        <f>L54-'[4]D4 Gallon Forecast'!L170</f>
        <v>53102276</v>
      </c>
      <c r="M72" s="21">
        <f>M54-'[4]D4 Gallon Forecast'!M170</f>
        <v>68859545</v>
      </c>
      <c r="N72" s="21">
        <f>N54-'[4]D4 Gallon Forecast'!N170</f>
        <v>115820969</v>
      </c>
      <c r="O72" s="21">
        <f>O54-'[4]D4 Gallon Forecast'!O170</f>
        <v>160947849</v>
      </c>
      <c r="P72" s="21">
        <f>P54-'[4]D4 Gallon Forecast'!P170</f>
        <v>238678354</v>
      </c>
      <c r="Q72" s="22">
        <f>Q54-'[4]D4 Gallon Forecast'!Q170</f>
        <v>195595310.42807597</v>
      </c>
      <c r="R72" s="21">
        <f>R54-'[4]D4 Gallon Forecast'!R170</f>
        <v>215722928.55995023</v>
      </c>
      <c r="S72" s="21">
        <f>S54-'[4]D4 Gallon Forecast'!S170</f>
        <v>238366010.68480831</v>
      </c>
      <c r="T72" s="21">
        <f>T54-'[4]D4 Gallon Forecast'!T170</f>
        <v>243606682.90877292</v>
      </c>
      <c r="U72" s="21">
        <f>U54-'[4]D4 Gallon Forecast'!U170</f>
        <v>244970522.4732177</v>
      </c>
      <c r="V72" s="21">
        <f>V54-'[4]D4 Gallon Forecast'!V170</f>
        <v>256708443.04556444</v>
      </c>
      <c r="W72" s="21">
        <f>W54-'[4]D4 Gallon Forecast'!W170</f>
        <v>278342482.54892325</v>
      </c>
      <c r="X72" s="21">
        <f>X54-'[4]D4 Gallon Forecast'!X170</f>
        <v>330115541.04007667</v>
      </c>
      <c r="Y72" s="21">
        <f>Y54-'[4]D4 Gallon Forecast'!Y170</f>
        <v>328556808.6677587</v>
      </c>
      <c r="Z72" s="21">
        <f>Z54-'[4]D4 Gallon Forecast'!Z170</f>
        <v>319494028.72717369</v>
      </c>
      <c r="AA72" s="21">
        <f>AA54-'[4]D4 Gallon Forecast'!AA170</f>
        <v>338504106.54127818</v>
      </c>
      <c r="AB72" s="21">
        <f>AB54-'[4]D4 Gallon Forecast'!AB170</f>
        <v>365555781.46483302</v>
      </c>
      <c r="AC72" s="21">
        <f>AC54-'[4]D4 Gallon Forecast'!AC170</f>
        <v>415860895.26614875</v>
      </c>
      <c r="AD72" s="21">
        <f>AD54-'[4]D4 Gallon Forecast'!AD170</f>
        <v>458732480.2883575</v>
      </c>
      <c r="AE72" s="21">
        <f>AE54-'[4]D4 Gallon Forecast'!AE170</f>
        <v>460461090.31863701</v>
      </c>
      <c r="AF72" s="21">
        <f>AF54-'[4]D4 Gallon Forecast'!AF170</f>
        <v>405196599.80051374</v>
      </c>
      <c r="AG72" s="21">
        <f>AG54-'[4]D4 Gallon Forecast'!AG170</f>
        <v>428490873.9332031</v>
      </c>
      <c r="AH72" s="21">
        <f>AH54-'[4]D4 Gallon Forecast'!AH170</f>
        <v>452909815.18144464</v>
      </c>
      <c r="AI72" s="21">
        <f>AI54-'[4]D4 Gallon Forecast'!AI170</f>
        <v>492137597.67026901</v>
      </c>
      <c r="AJ72" s="21">
        <f>AJ54-'[4]D4 Gallon Forecast'!AJ170</f>
        <v>501957049.62916809</v>
      </c>
      <c r="AK72" s="21">
        <f>AK54-'[4]D4 Gallon Forecast'!AK170</f>
        <v>499115830.75627995</v>
      </c>
      <c r="AL72" s="21">
        <f>AL54-'[4]D4 Gallon Forecast'!AL170</f>
        <v>475773664.89115649</v>
      </c>
      <c r="AM72" s="21">
        <f>AM54-'[4]D4 Gallon Forecast'!AM170</f>
        <v>495117455.28483742</v>
      </c>
      <c r="AN72" s="21">
        <f>AN54-'[4]D4 Gallon Forecast'!AN170</f>
        <v>512893850.03131956</v>
      </c>
      <c r="AO72" s="21">
        <f>AO54-'[4]D4 Gallon Forecast'!AO170</f>
        <v>531439779.40409589</v>
      </c>
      <c r="AP72" s="21">
        <f>AP54-'[4]D4 Gallon Forecast'!AP170</f>
        <v>554299303.5024761</v>
      </c>
      <c r="AQ72" s="21"/>
      <c r="AR72" s="21"/>
      <c r="AS72" s="21"/>
      <c r="AT72" s="11">
        <f t="shared" si="53"/>
        <v>0.38962616518948301</v>
      </c>
      <c r="AU72" s="21">
        <f t="shared" si="54"/>
        <v>45126880</v>
      </c>
      <c r="AV72" s="21">
        <f t="shared" si="55"/>
        <v>-13901743</v>
      </c>
      <c r="AW72" s="11">
        <f t="shared" si="56"/>
        <v>-7.9506865535036539E-2</v>
      </c>
    </row>
    <row r="73" spans="1:49" x14ac:dyDescent="0.25">
      <c r="A73" s="20" t="s">
        <v>75</v>
      </c>
      <c r="B73" s="21">
        <f>B55-'[4]D4 Gallon Forecast'!B171</f>
        <v>314992</v>
      </c>
      <c r="C73" s="21">
        <f>C55-'[4]D4 Gallon Forecast'!C171</f>
        <v>5008055</v>
      </c>
      <c r="D73" s="21">
        <f>D55-'[4]D4 Gallon Forecast'!D171</f>
        <v>5521040</v>
      </c>
      <c r="E73" s="21">
        <f>E55-'[4]D4 Gallon Forecast'!E171</f>
        <v>4739911</v>
      </c>
      <c r="F73" s="21">
        <f>F55-'[4]D4 Gallon Forecast'!F171</f>
        <v>13652841</v>
      </c>
      <c r="G73" s="21">
        <f>G55-'[4]D4 Gallon Forecast'!G171</f>
        <v>15046376</v>
      </c>
      <c r="H73" s="21">
        <f>H55-'[4]D4 Gallon Forecast'!H171</f>
        <v>19520008</v>
      </c>
      <c r="I73" s="21">
        <f>I55-'[4]D4 Gallon Forecast'!I171</f>
        <v>19651809</v>
      </c>
      <c r="J73" s="21">
        <f>J55-'[4]D4 Gallon Forecast'!J171</f>
        <v>10553514</v>
      </c>
      <c r="K73" s="21">
        <f>K55-'[4]D4 Gallon Forecast'!K171</f>
        <v>46282285</v>
      </c>
      <c r="L73" s="21">
        <f>L55-'[4]D4 Gallon Forecast'!L171</f>
        <v>46239375</v>
      </c>
      <c r="M73" s="21">
        <f>M55-'[4]D4 Gallon Forecast'!M171</f>
        <v>69062067</v>
      </c>
      <c r="N73" s="21">
        <f>N55-'[4]D4 Gallon Forecast'!N171</f>
        <v>108609019</v>
      </c>
      <c r="O73" s="21">
        <f>O55-'[4]D4 Gallon Forecast'!O171</f>
        <v>142404423</v>
      </c>
      <c r="P73" s="21">
        <f>P55-'[4]D4 Gallon Forecast'!P171</f>
        <v>238955737</v>
      </c>
      <c r="Q73" s="22">
        <f>Q55-'[4]D4 Gallon Forecast'!Q171</f>
        <v>192075200.21665865</v>
      </c>
      <c r="R73" s="21">
        <f>R55-'[4]D4 Gallon Forecast'!R171</f>
        <v>210519340.09415069</v>
      </c>
      <c r="S73" s="21">
        <f>S55-'[4]D4 Gallon Forecast'!S171</f>
        <v>232082093.56796181</v>
      </c>
      <c r="T73" s="21">
        <f>T55-'[4]D4 Gallon Forecast'!T171</f>
        <v>236773522.09535536</v>
      </c>
      <c r="U73" s="21">
        <f>U55-'[4]D4 Gallon Forecast'!U171</f>
        <v>238956910.24844706</v>
      </c>
      <c r="V73" s="21">
        <f>V55-'[4]D4 Gallon Forecast'!V171</f>
        <v>250033211.12136015</v>
      </c>
      <c r="W73" s="21">
        <f>W55-'[4]D4 Gallon Forecast'!W171</f>
        <v>271095635.63357651</v>
      </c>
      <c r="X73" s="21">
        <f>X55-'[4]D4 Gallon Forecast'!X171</f>
        <v>321538833.71866876</v>
      </c>
      <c r="Y73" s="21">
        <f>Y55-'[4]D4 Gallon Forecast'!Y171</f>
        <v>319993427.68153834</v>
      </c>
      <c r="Z73" s="21">
        <f>Z55-'[4]D4 Gallon Forecast'!Z171</f>
        <v>311153167.81072766</v>
      </c>
      <c r="AA73" s="21">
        <f>AA55-'[4]D4 Gallon Forecast'!AA171</f>
        <v>329588685.68030602</v>
      </c>
      <c r="AB73" s="21">
        <f>AB55-'[4]D4 Gallon Forecast'!AB171</f>
        <v>356114822.16137314</v>
      </c>
      <c r="AC73" s="21">
        <f>AC55-'[4]D4 Gallon Forecast'!AC171</f>
        <v>405229578.33277351</v>
      </c>
      <c r="AD73" s="21">
        <f>AD55-'[4]D4 Gallon Forecast'!AD171</f>
        <v>447020944.42079216</v>
      </c>
      <c r="AE73" s="21">
        <f>AE55-'[4]D4 Gallon Forecast'!AE171</f>
        <v>448514912.47089088</v>
      </c>
      <c r="AF73" s="21">
        <f>AF55-'[4]D4 Gallon Forecast'!AF171</f>
        <v>394372836.6787504</v>
      </c>
      <c r="AG73" s="21">
        <f>AG55-'[4]D4 Gallon Forecast'!AG171</f>
        <v>417178581.6266951</v>
      </c>
      <c r="AH73" s="21">
        <f>AH55-'[4]D4 Gallon Forecast'!AH171</f>
        <v>440970847.72339886</v>
      </c>
      <c r="AI73" s="21">
        <f>AI55-'[4]D4 Gallon Forecast'!AI171</f>
        <v>479185426.11763954</v>
      </c>
      <c r="AJ73" s="21">
        <f>AJ55-'[4]D4 Gallon Forecast'!AJ171</f>
        <v>488732302.66466373</v>
      </c>
      <c r="AK73" s="21">
        <f>AK55-'[4]D4 Gallon Forecast'!AK171</f>
        <v>485952618.05736911</v>
      </c>
      <c r="AL73" s="21">
        <f>AL55-'[4]D4 Gallon Forecast'!AL171</f>
        <v>463103713.50400579</v>
      </c>
      <c r="AM73" s="21">
        <f>AM55-'[4]D4 Gallon Forecast'!AM171</f>
        <v>482100027.13165694</v>
      </c>
      <c r="AN73" s="21">
        <f>AN55-'[4]D4 Gallon Forecast'!AN171</f>
        <v>499402600.78882289</v>
      </c>
      <c r="AO73" s="21">
        <f>AO55-'[4]D4 Gallon Forecast'!AO171</f>
        <v>517460661.01597357</v>
      </c>
      <c r="AP73" s="21">
        <f>AP55-'[4]D4 Gallon Forecast'!AP171</f>
        <v>539822657.84982312</v>
      </c>
      <c r="AQ73" s="21"/>
      <c r="AR73" s="21"/>
      <c r="AS73" s="21"/>
      <c r="AT73" s="24">
        <f t="shared" si="53"/>
        <v>0.31116572372318352</v>
      </c>
      <c r="AU73" s="22">
        <f t="shared" si="54"/>
        <v>33795404</v>
      </c>
      <c r="AV73" s="22">
        <f t="shared" si="55"/>
        <v>-18543426</v>
      </c>
      <c r="AW73" s="24">
        <f t="shared" si="56"/>
        <v>-0.11521387900002317</v>
      </c>
    </row>
    <row r="74" spans="1:49" x14ac:dyDescent="0.25">
      <c r="A74" s="20" t="s">
        <v>76</v>
      </c>
      <c r="B74" s="21">
        <f>B56-'[4]D4 Gallon Forecast'!B172</f>
        <v>730498</v>
      </c>
      <c r="C74" s="21">
        <f>C56-'[4]D4 Gallon Forecast'!C172</f>
        <v>6668552</v>
      </c>
      <c r="D74" s="21">
        <f>D56-'[4]D4 Gallon Forecast'!D172</f>
        <v>5122851</v>
      </c>
      <c r="E74" s="21">
        <f>E56-'[4]D4 Gallon Forecast'!E172</f>
        <v>8026679</v>
      </c>
      <c r="F74" s="21">
        <f>F56-'[4]D4 Gallon Forecast'!F172</f>
        <v>1568867</v>
      </c>
      <c r="G74" s="21">
        <f>G56-'[4]D4 Gallon Forecast'!G172</f>
        <v>14767183</v>
      </c>
      <c r="H74" s="21">
        <f>H56-'[4]D4 Gallon Forecast'!H172</f>
        <v>24799964</v>
      </c>
      <c r="I74" s="21">
        <f>I56-'[4]D4 Gallon Forecast'!I172</f>
        <v>24672392</v>
      </c>
      <c r="J74" s="21">
        <f>J56-'[4]D4 Gallon Forecast'!J172</f>
        <v>16024601</v>
      </c>
      <c r="K74" s="21">
        <f>K56-'[4]D4 Gallon Forecast'!K172</f>
        <v>30180616</v>
      </c>
      <c r="L74" s="21">
        <f>L56-'[4]D4 Gallon Forecast'!L172</f>
        <v>43952654</v>
      </c>
      <c r="M74" s="21">
        <f>M56-'[4]D4 Gallon Forecast'!M172</f>
        <v>82117914</v>
      </c>
      <c r="N74" s="21">
        <f>N56-'[4]D4 Gallon Forecast'!N172</f>
        <v>122248954</v>
      </c>
      <c r="O74" s="21">
        <f>O56-'[4]D4 Gallon Forecast'!O172</f>
        <v>182473661</v>
      </c>
      <c r="P74" s="21">
        <f>P56-'[4]D4 Gallon Forecast'!P172</f>
        <v>212328236</v>
      </c>
      <c r="Q74" s="22">
        <f>Q56-'[4]D4 Gallon Forecast'!Q172</f>
        <v>196758801.69768375</v>
      </c>
      <c r="R74" s="21">
        <f>R56-'[4]D4 Gallon Forecast'!R172</f>
        <v>216241453.26312792</v>
      </c>
      <c r="S74" s="21">
        <f>S56-'[4]D4 Gallon Forecast'!S172</f>
        <v>238636897.18670946</v>
      </c>
      <c r="T74" s="21">
        <f>T56-'[4]D4 Gallon Forecast'!T172</f>
        <v>243626568.18724155</v>
      </c>
      <c r="U74" s="21">
        <f>U56-'[4]D4 Gallon Forecast'!U172</f>
        <v>245851134.01359108</v>
      </c>
      <c r="V74" s="21">
        <f>V56-'[4]D4 Gallon Forecast'!V172</f>
        <v>257412084.30610371</v>
      </c>
      <c r="W74" s="21">
        <f>W56-'[4]D4 Gallon Forecast'!W172</f>
        <v>278979038.75780982</v>
      </c>
      <c r="X74" s="21">
        <f>X56-'[4]D4 Gallon Forecast'!X172</f>
        <v>330667683.35045755</v>
      </c>
      <c r="Y74" s="21">
        <f>Y56-'[4]D4 Gallon Forecast'!Y172</f>
        <v>329211311.18897265</v>
      </c>
      <c r="Z74" s="21">
        <f>Z56-'[4]D4 Gallon Forecast'!Z172</f>
        <v>320438706.51265907</v>
      </c>
      <c r="AA74" s="21">
        <f>AA56-'[4]D4 Gallon Forecast'!AA172</f>
        <v>339448029.86728585</v>
      </c>
      <c r="AB74" s="21">
        <f>AB56-'[4]D4 Gallon Forecast'!AB172</f>
        <v>366246298.28555048</v>
      </c>
      <c r="AC74" s="21">
        <f>AC56-'[4]D4 Gallon Forecast'!AC172</f>
        <v>416468554.18677682</v>
      </c>
      <c r="AD74" s="21">
        <f>AD56-'[4]D4 Gallon Forecast'!AD172</f>
        <v>459413346.3473981</v>
      </c>
      <c r="AE74" s="21">
        <f>AE56-'[4]D4 Gallon Forecast'!AE172</f>
        <v>461480173.25302553</v>
      </c>
      <c r="AF74" s="21">
        <f>AF56-'[4]D4 Gallon Forecast'!AF172</f>
        <v>406563130.11718684</v>
      </c>
      <c r="AG74" s="21">
        <f>AG56-'[4]D4 Gallon Forecast'!AG172</f>
        <v>429719415.64624351</v>
      </c>
      <c r="AH74" s="21">
        <f>AH56-'[4]D4 Gallon Forecast'!AH172</f>
        <v>454183895.50973094</v>
      </c>
      <c r="AI74" s="21">
        <f>AI56-'[4]D4 Gallon Forecast'!AI172</f>
        <v>493495134.25461197</v>
      </c>
      <c r="AJ74" s="21">
        <f>AJ56-'[4]D4 Gallon Forecast'!AJ172</f>
        <v>503364860.06139028</v>
      </c>
      <c r="AK74" s="21">
        <f>AK56-'[4]D4 Gallon Forecast'!AK172</f>
        <v>500531409.09394163</v>
      </c>
      <c r="AL74" s="21">
        <f>AL56-'[4]D4 Gallon Forecast'!AL172</f>
        <v>477320939.33113724</v>
      </c>
      <c r="AM74" s="21">
        <f>AM56-'[4]D4 Gallon Forecast'!AM172</f>
        <v>496458838.36562479</v>
      </c>
      <c r="AN74" s="21">
        <f>AN56-'[4]D4 Gallon Forecast'!AN172</f>
        <v>514294464.48160762</v>
      </c>
      <c r="AO74" s="21">
        <f>AO56-'[4]D4 Gallon Forecast'!AO172</f>
        <v>532890569.32980841</v>
      </c>
      <c r="AP74" s="21">
        <f>AP56-'[4]D4 Gallon Forecast'!AP172</f>
        <v>555644560.33273005</v>
      </c>
      <c r="AQ74" s="21"/>
      <c r="AR74" s="21"/>
      <c r="AS74" s="21"/>
      <c r="AT74" s="24">
        <f t="shared" si="53"/>
        <v>0.49263985522526443</v>
      </c>
      <c r="AU74" s="22">
        <f t="shared" si="54"/>
        <v>60224707</v>
      </c>
      <c r="AV74" s="22">
        <f t="shared" si="55"/>
        <v>40069238</v>
      </c>
      <c r="AW74" s="24">
        <f t="shared" si="56"/>
        <v>0.28137635865425331</v>
      </c>
    </row>
    <row r="75" spans="1:49" x14ac:dyDescent="0.25">
      <c r="A75" s="20" t="s">
        <v>77</v>
      </c>
      <c r="B75" s="21">
        <f>B57-'[4]D4 Gallon Forecast'!B173</f>
        <v>973736</v>
      </c>
      <c r="C75" s="21">
        <f>C57-'[4]D4 Gallon Forecast'!C173</f>
        <v>3961106</v>
      </c>
      <c r="D75" s="21">
        <f>D57-'[4]D4 Gallon Forecast'!D173</f>
        <v>3432954</v>
      </c>
      <c r="E75" s="21">
        <f>E57-'[4]D4 Gallon Forecast'!E173</f>
        <v>15669595</v>
      </c>
      <c r="F75" s="21">
        <f>F57-'[4]D4 Gallon Forecast'!F173</f>
        <v>5580599</v>
      </c>
      <c r="G75" s="21">
        <f>G57-'[4]D4 Gallon Forecast'!G173</f>
        <v>13509739</v>
      </c>
      <c r="H75" s="21">
        <f>H57-'[4]D4 Gallon Forecast'!H173</f>
        <v>19215411</v>
      </c>
      <c r="I75" s="21">
        <f>I57-'[4]D4 Gallon Forecast'!I173</f>
        <v>21967038</v>
      </c>
      <c r="J75" s="21">
        <f>J57-'[4]D4 Gallon Forecast'!J173</f>
        <v>32248456</v>
      </c>
      <c r="K75" s="21">
        <f>K57-'[4]D4 Gallon Forecast'!K173</f>
        <v>40692380</v>
      </c>
      <c r="L75" s="21">
        <f>L57-'[4]D4 Gallon Forecast'!L173</f>
        <v>48112771</v>
      </c>
      <c r="M75" s="21">
        <f>M57-'[4]D4 Gallon Forecast'!M173</f>
        <v>55747506</v>
      </c>
      <c r="N75" s="21">
        <f>N57-'[4]D4 Gallon Forecast'!N173</f>
        <v>127613378</v>
      </c>
      <c r="O75" s="21">
        <f>O57-'[4]D4 Gallon Forecast'!O173</f>
        <v>188226274</v>
      </c>
      <c r="P75" s="22">
        <f>P57-'[4]D4 Gallon Forecast'!P173</f>
        <v>223330555</v>
      </c>
      <c r="Q75" s="22">
        <f>Q57-'[4]D4 Gallon Forecast'!Q173</f>
        <v>199567496.23015037</v>
      </c>
      <c r="R75" s="21">
        <f>R57-'[4]D4 Gallon Forecast'!R173</f>
        <v>219228704.34448102</v>
      </c>
      <c r="S75" s="21">
        <f>S57-'[4]D4 Gallon Forecast'!S173</f>
        <v>242156755.52030525</v>
      </c>
      <c r="T75" s="21">
        <f>T57-'[4]D4 Gallon Forecast'!T173</f>
        <v>246630143.23247263</v>
      </c>
      <c r="U75" s="21">
        <f>U57-'[4]D4 Gallon Forecast'!U173</f>
        <v>248718331.233812</v>
      </c>
      <c r="V75" s="21">
        <f>V57-'[4]D4 Gallon Forecast'!V173</f>
        <v>260670373.02903578</v>
      </c>
      <c r="W75" s="21">
        <f>W57-'[4]D4 Gallon Forecast'!W173</f>
        <v>282559598.33993489</v>
      </c>
      <c r="X75" s="21">
        <f>X57-'[4]D4 Gallon Forecast'!X173</f>
        <v>334977538.00954771</v>
      </c>
      <c r="Y75" s="21">
        <f>Y57-'[4]D4 Gallon Forecast'!Y173</f>
        <v>333356989.57658458</v>
      </c>
      <c r="Z75" s="21">
        <f>Z57-'[4]D4 Gallon Forecast'!Z173</f>
        <v>324359063.04280567</v>
      </c>
      <c r="AA75" s="21">
        <f>AA57-'[4]D4 Gallon Forecast'!AA173</f>
        <v>343646725.72550035</v>
      </c>
      <c r="AB75" s="21">
        <f>AB57-'[4]D4 Gallon Forecast'!AB173</f>
        <v>370967127.54239714</v>
      </c>
      <c r="AC75" s="21">
        <f>AC57-'[4]D4 Gallon Forecast'!AC173</f>
        <v>421936438.03856432</v>
      </c>
      <c r="AD75" s="21">
        <f>AD57-'[4]D4 Gallon Forecast'!AD173</f>
        <v>465435352.69876647</v>
      </c>
      <c r="AE75" s="21">
        <f>AE57-'[4]D4 Gallon Forecast'!AE173</f>
        <v>467332325.68381387</v>
      </c>
      <c r="AF75" s="21">
        <f>AF57-'[4]D4 Gallon Forecast'!AF173</f>
        <v>411421668.76684034</v>
      </c>
      <c r="AG75" s="21">
        <f>AG57-'[4]D4 Gallon Forecast'!AG173</f>
        <v>434986958.52978539</v>
      </c>
      <c r="AH75" s="21">
        <f>AH57-'[4]D4 Gallon Forecast'!AH173</f>
        <v>459765443.83089226</v>
      </c>
      <c r="AI75" s="21">
        <f>AI57-'[4]D4 Gallon Forecast'!AI173</f>
        <v>499577849.43475699</v>
      </c>
      <c r="AJ75" s="21">
        <f>AJ57-'[4]D4 Gallon Forecast'!AJ173</f>
        <v>509556674.75729841</v>
      </c>
      <c r="AK75" s="21">
        <f>AK57-'[4]D4 Gallon Forecast'!AK173</f>
        <v>506677597.34702885</v>
      </c>
      <c r="AL75" s="21">
        <f>AL57-'[4]D4 Gallon Forecast'!AL173</f>
        <v>483056718.48419172</v>
      </c>
      <c r="AM75" s="21">
        <f>AM57-'[4]D4 Gallon Forecast'!AM173</f>
        <v>502594012.62212807</v>
      </c>
      <c r="AN75" s="21">
        <f>AN57-'[4]D4 Gallon Forecast'!AN173</f>
        <v>520643383.6052413</v>
      </c>
      <c r="AO75" s="21">
        <f>AO57-'[4]D4 Gallon Forecast'!AO173</f>
        <v>539469533.74594188</v>
      </c>
      <c r="AP75" s="21">
        <f>AP57-'[4]D4 Gallon Forecast'!AP173</f>
        <v>562610092.02643621</v>
      </c>
      <c r="AQ75" s="21"/>
      <c r="AR75" s="21"/>
      <c r="AS75" s="21"/>
      <c r="AT75" s="24">
        <f t="shared" si="53"/>
        <v>0.47497289821761468</v>
      </c>
      <c r="AU75" s="22">
        <f t="shared" si="54"/>
        <v>60612896</v>
      </c>
      <c r="AV75" s="22">
        <f t="shared" si="55"/>
        <v>5752613</v>
      </c>
      <c r="AW75" s="24">
        <f t="shared" si="56"/>
        <v>3.152571701841396E-2</v>
      </c>
    </row>
    <row r="76" spans="1:49" x14ac:dyDescent="0.25">
      <c r="A76" s="20" t="s">
        <v>78</v>
      </c>
      <c r="B76" s="21">
        <f>B58-'[4]D4 Gallon Forecast'!B174</f>
        <v>1453856</v>
      </c>
      <c r="C76" s="21">
        <f>C58-'[4]D4 Gallon Forecast'!C174</f>
        <v>4507146</v>
      </c>
      <c r="D76" s="21">
        <f>D58-'[4]D4 Gallon Forecast'!D174</f>
        <v>3283561</v>
      </c>
      <c r="E76" s="21">
        <f>E58-'[4]D4 Gallon Forecast'!E174</f>
        <v>16915691</v>
      </c>
      <c r="F76" s="21">
        <f>F58-'[4]D4 Gallon Forecast'!F174</f>
        <v>14310044</v>
      </c>
      <c r="G76" s="21">
        <f>G58-'[4]D4 Gallon Forecast'!G174</f>
        <v>13366989</v>
      </c>
      <c r="H76" s="21">
        <f>H58-'[4]D4 Gallon Forecast'!H174</f>
        <v>20639765</v>
      </c>
      <c r="I76" s="21">
        <f>I58-'[4]D4 Gallon Forecast'!I174</f>
        <v>25346827</v>
      </c>
      <c r="J76" s="21">
        <f>J58-'[4]D4 Gallon Forecast'!J174</f>
        <v>39005346</v>
      </c>
      <c r="K76" s="21">
        <f>K58-'[4]D4 Gallon Forecast'!K174</f>
        <v>48569223</v>
      </c>
      <c r="L76" s="21">
        <f>L58-'[4]D4 Gallon Forecast'!L174</f>
        <v>25237496</v>
      </c>
      <c r="M76" s="21">
        <f>M58-'[4]D4 Gallon Forecast'!M174</f>
        <v>77344974</v>
      </c>
      <c r="N76" s="21">
        <f>N58-'[4]D4 Gallon Forecast'!N174</f>
        <v>113010516</v>
      </c>
      <c r="O76" s="21">
        <f>O58-'[4]D4 Gallon Forecast'!O174</f>
        <v>157749529</v>
      </c>
      <c r="P76" s="22">
        <f>P58-'[4]D4 Gallon Forecast'!P174</f>
        <v>234273170</v>
      </c>
      <c r="Q76" s="22">
        <f>Q58-'[4]D4 Gallon Forecast'!Q174</f>
        <v>216647542.43543953</v>
      </c>
      <c r="R76" s="21">
        <f>R58-'[4]D4 Gallon Forecast'!R174</f>
        <v>238583297.33016378</v>
      </c>
      <c r="S76" s="21">
        <f>S58-'[4]D4 Gallon Forecast'!S174</f>
        <v>263133733.24879843</v>
      </c>
      <c r="T76" s="21">
        <f>T58-'[4]D4 Gallon Forecast'!T174</f>
        <v>268323811.52612466</v>
      </c>
      <c r="U76" s="21">
        <f>U58-'[4]D4 Gallon Forecast'!U174</f>
        <v>270208426.65035695</v>
      </c>
      <c r="V76" s="21">
        <f>V58-'[4]D4 Gallon Forecast'!V174</f>
        <v>283206545.38055897</v>
      </c>
      <c r="W76" s="21">
        <f>W58-'[4]D4 Gallon Forecast'!W174</f>
        <v>307061170.11684263</v>
      </c>
      <c r="X76" s="21">
        <f>X58-'[4]D4 Gallon Forecast'!X174</f>
        <v>364211403.58770156</v>
      </c>
      <c r="Y76" s="21">
        <f>Y58-'[4]D4 Gallon Forecast'!Y174</f>
        <v>362381018.27605021</v>
      </c>
      <c r="Z76" s="21">
        <f>Z58-'[4]D4 Gallon Forecast'!Z174</f>
        <v>352270081.06497884</v>
      </c>
      <c r="AA76" s="21">
        <f>AA58-'[4]D4 Gallon Forecast'!AA174</f>
        <v>373224152.01937723</v>
      </c>
      <c r="AB76" s="21">
        <f>AB58-'[4]D4 Gallon Forecast'!AB174</f>
        <v>403334353.46090245</v>
      </c>
      <c r="AC76" s="21">
        <f>AC58-'[4]D4 Gallon Forecast'!AC174</f>
        <v>458998305.58736235</v>
      </c>
      <c r="AD76" s="21">
        <f>AD58-'[4]D4 Gallon Forecast'!AD174</f>
        <v>506325404.38053089</v>
      </c>
      <c r="AE76" s="21">
        <f>AE58-'[4]D4 Gallon Forecast'!AE174</f>
        <v>507930410.99449974</v>
      </c>
      <c r="AF76" s="21">
        <f>AF58-'[4]D4 Gallon Forecast'!AF174</f>
        <v>446496644.92050314</v>
      </c>
      <c r="AG76" s="21">
        <f>AG58-'[4]D4 Gallon Forecast'!AG174</f>
        <v>472370630.98572713</v>
      </c>
      <c r="AH76" s="21">
        <f>AH58-'[4]D4 Gallon Forecast'!AH174</f>
        <v>499315236.69568378</v>
      </c>
      <c r="AI76" s="21">
        <f>AI58-'[4]D4 Gallon Forecast'!AI174</f>
        <v>542593217.69076204</v>
      </c>
      <c r="AJ76" s="21">
        <f>AJ58-'[4]D4 Gallon Forecast'!AJ174</f>
        <v>553398477.27520537</v>
      </c>
      <c r="AK76" s="21">
        <f>AK58-'[4]D4 Gallon Forecast'!AK174</f>
        <v>550247459.81934953</v>
      </c>
      <c r="AL76" s="21">
        <f>AL58-'[4]D4 Gallon Forecast'!AL174</f>
        <v>524320739.92370009</v>
      </c>
      <c r="AM76" s="21">
        <f>AM58-'[4]D4 Gallon Forecast'!AM174</f>
        <v>545901079.71907055</v>
      </c>
      <c r="AN76" s="21">
        <f>AN58-'[4]D4 Gallon Forecast'!AN174</f>
        <v>565490634.75281751</v>
      </c>
      <c r="AO76" s="21">
        <f>AO58-'[4]D4 Gallon Forecast'!AO174</f>
        <v>585938757.52156663</v>
      </c>
      <c r="AP76" s="21">
        <f>AP58-'[4]D4 Gallon Forecast'!AP174</f>
        <v>611305676.8457607</v>
      </c>
      <c r="AQ76" s="21"/>
      <c r="AR76" s="21"/>
      <c r="AS76" s="21"/>
      <c r="AT76" s="24">
        <f t="shared" si="53"/>
        <v>0.39588362732544291</v>
      </c>
      <c r="AU76" s="22">
        <f t="shared" si="54"/>
        <v>44739013</v>
      </c>
      <c r="AV76" s="22">
        <f t="shared" si="55"/>
        <v>-30476745</v>
      </c>
      <c r="AW76" s="24">
        <f t="shared" si="56"/>
        <v>-0.16191546670046711</v>
      </c>
    </row>
    <row r="77" spans="1:49" x14ac:dyDescent="0.25">
      <c r="A77" s="20" t="s">
        <v>79</v>
      </c>
      <c r="B77" s="21">
        <f>B59-'[4]D4 Gallon Forecast'!B175</f>
        <v>2233776</v>
      </c>
      <c r="C77" s="21">
        <f>C59-'[4]D4 Gallon Forecast'!C175</f>
        <v>3047064</v>
      </c>
      <c r="D77" s="21">
        <f>D59-'[4]D4 Gallon Forecast'!D175</f>
        <v>5011870</v>
      </c>
      <c r="E77" s="21">
        <f>E59-'[4]D4 Gallon Forecast'!E175</f>
        <v>14427492</v>
      </c>
      <c r="F77" s="21">
        <f>F59-'[4]D4 Gallon Forecast'!F175</f>
        <v>16097290</v>
      </c>
      <c r="G77" s="21">
        <f>G59-'[4]D4 Gallon Forecast'!G175</f>
        <v>12574638</v>
      </c>
      <c r="H77" s="21">
        <f>H59-'[4]D4 Gallon Forecast'!H175</f>
        <v>27361235</v>
      </c>
      <c r="I77" s="21">
        <f>I59-'[4]D4 Gallon Forecast'!I175</f>
        <v>23176779</v>
      </c>
      <c r="J77" s="21">
        <f>J59-'[4]D4 Gallon Forecast'!J175</f>
        <v>40325399</v>
      </c>
      <c r="K77" s="21">
        <f>K59-'[4]D4 Gallon Forecast'!K175</f>
        <v>42514597</v>
      </c>
      <c r="L77" s="21">
        <f>L59-'[4]D4 Gallon Forecast'!L175</f>
        <v>49055477</v>
      </c>
      <c r="M77" s="21">
        <f>M59-'[4]D4 Gallon Forecast'!M175</f>
        <v>101861084</v>
      </c>
      <c r="N77" s="21">
        <f>N59-'[4]D4 Gallon Forecast'!N175</f>
        <v>157678319</v>
      </c>
      <c r="O77" s="21">
        <f>O59-'[4]D4 Gallon Forecast'!O175</f>
        <v>155816425</v>
      </c>
      <c r="P77" s="22">
        <f>P59-'[4]D4 Gallon Forecast'!P175</f>
        <v>221654536</v>
      </c>
      <c r="Q77" s="22">
        <f>Q59-'[4]D4 Gallon Forecast'!Q175</f>
        <v>233980933.73434195</v>
      </c>
      <c r="R77" s="21">
        <f>R59-'[4]D4 Gallon Forecast'!R175</f>
        <v>288005904.49351925</v>
      </c>
      <c r="S77" s="21">
        <f>S59-'[4]D4 Gallon Forecast'!S175</f>
        <v>318437765.19553727</v>
      </c>
      <c r="T77" s="21">
        <f>T59-'[4]D4 Gallon Forecast'!T175</f>
        <v>324105784.34622979</v>
      </c>
      <c r="U77" s="21">
        <f>U59-'[4]D4 Gallon Forecast'!U175</f>
        <v>326915957.51048094</v>
      </c>
      <c r="V77" s="21">
        <f>V59-'[4]D4 Gallon Forecast'!V175</f>
        <v>342127884.18371904</v>
      </c>
      <c r="W77" s="21">
        <f>W59-'[4]D4 Gallon Forecast'!W175</f>
        <v>371062267.34164441</v>
      </c>
      <c r="X77" s="21">
        <f>X59-'[4]D4 Gallon Forecast'!X175</f>
        <v>440363381.72453421</v>
      </c>
      <c r="Y77" s="21">
        <f>Y59-'[4]D4 Gallon Forecast'!Y175</f>
        <v>438022232.40879124</v>
      </c>
      <c r="Z77" s="21">
        <f>Z59-'[4]D4 Gallon Forecast'!Z175</f>
        <v>425692985.24432093</v>
      </c>
      <c r="AA77" s="21">
        <f>AA59-'[4]D4 Gallon Forecast'!AA175</f>
        <v>450938234.56570315</v>
      </c>
      <c r="AB77" s="21">
        <f>AB59-'[4]D4 Gallon Forecast'!AB175</f>
        <v>487595627.41366339</v>
      </c>
      <c r="AC77" s="21">
        <f>AC59-'[4]D4 Gallon Forecast'!AC175</f>
        <v>555044045.36868405</v>
      </c>
      <c r="AD77" s="21">
        <f>AD59-'[4]D4 Gallon Forecast'!AD175</f>
        <v>612266921.57508743</v>
      </c>
      <c r="AE77" s="21">
        <f>AE59-'[4]D4 Gallon Forecast'!AE175</f>
        <v>613952846.32622719</v>
      </c>
      <c r="AF77" s="21">
        <f>AF59-'[4]D4 Gallon Forecast'!AF175</f>
        <v>539304425.54450047</v>
      </c>
      <c r="AG77" s="21">
        <f>AG59-'[4]D4 Gallon Forecast'!AG175</f>
        <v>570734219.15428579</v>
      </c>
      <c r="AH77" s="21">
        <f>AH59-'[4]D4 Gallon Forecast'!AH175</f>
        <v>603311704.82833278</v>
      </c>
      <c r="AI77" s="21">
        <f>AI59-'[4]D4 Gallon Forecast'!AI175</f>
        <v>655625283.77727413</v>
      </c>
      <c r="AJ77" s="21">
        <f>AJ59-'[4]D4 Gallon Forecast'!AJ175</f>
        <v>668663192.27012849</v>
      </c>
      <c r="AK77" s="21">
        <f>AK59-'[4]D4 Gallon Forecast'!AK175</f>
        <v>664840910.18463349</v>
      </c>
      <c r="AL77" s="21">
        <f>AL59-'[4]D4 Gallon Forecast'!AL175</f>
        <v>633358192.98578227</v>
      </c>
      <c r="AM77" s="21">
        <f>AM59-'[4]D4 Gallon Forecast'!AM175</f>
        <v>659640959.16620398</v>
      </c>
      <c r="AN77" s="21">
        <f>AN59-'[4]D4 Gallon Forecast'!AN175</f>
        <v>683303159.60383523</v>
      </c>
      <c r="AO77" s="21">
        <f>AO59-'[4]D4 Gallon Forecast'!AO175</f>
        <v>708011595.0872823</v>
      </c>
      <c r="AP77" s="21">
        <f>AP59-'[4]D4 Gallon Forecast'!AP175</f>
        <v>738796929.08413994</v>
      </c>
      <c r="AQ77" s="21"/>
      <c r="AR77" s="21"/>
      <c r="AS77" s="21"/>
      <c r="AT77" s="24">
        <f t="shared" si="53"/>
        <v>-1.1808180172189653E-2</v>
      </c>
      <c r="AU77" s="22">
        <f t="shared" si="54"/>
        <v>-1861894</v>
      </c>
      <c r="AV77" s="22">
        <f t="shared" si="55"/>
        <v>-1933104</v>
      </c>
      <c r="AW77" s="24">
        <f t="shared" si="56"/>
        <v>-1.2254261627621088E-2</v>
      </c>
    </row>
    <row r="78" spans="1:49" x14ac:dyDescent="0.25">
      <c r="A78" s="20" t="s">
        <v>80</v>
      </c>
      <c r="B78" s="21">
        <f>B60-'[4]D4 Gallon Forecast'!B176</f>
        <v>2829259</v>
      </c>
      <c r="C78" s="21">
        <f>C60-'[4]D4 Gallon Forecast'!C176</f>
        <v>5320093</v>
      </c>
      <c r="D78" s="21">
        <f>D60-'[4]D4 Gallon Forecast'!D176</f>
        <v>3242564</v>
      </c>
      <c r="E78" s="21">
        <f>E60-'[4]D4 Gallon Forecast'!E176</f>
        <v>12545704</v>
      </c>
      <c r="F78" s="21">
        <f>F60-'[4]D4 Gallon Forecast'!F176</f>
        <v>22508257</v>
      </c>
      <c r="G78" s="21">
        <f>G60-'[4]D4 Gallon Forecast'!G176</f>
        <v>13249352</v>
      </c>
      <c r="H78" s="21">
        <f>H60-'[4]D4 Gallon Forecast'!H176</f>
        <v>27156977</v>
      </c>
      <c r="I78" s="21">
        <f>I60-'[4]D4 Gallon Forecast'!I176</f>
        <v>25524348</v>
      </c>
      <c r="J78" s="21">
        <f>J60-'[4]D4 Gallon Forecast'!J176</f>
        <v>47330432</v>
      </c>
      <c r="K78" s="21">
        <f>K60-'[4]D4 Gallon Forecast'!K176</f>
        <v>52796160</v>
      </c>
      <c r="L78" s="21">
        <f>L60-'[4]D4 Gallon Forecast'!L176</f>
        <v>57807992</v>
      </c>
      <c r="M78" s="21">
        <f>M60-'[4]D4 Gallon Forecast'!M176</f>
        <v>118270462</v>
      </c>
      <c r="N78" s="21">
        <f>N60-'[4]D4 Gallon Forecast'!N176</f>
        <v>130805859</v>
      </c>
      <c r="O78" s="21">
        <f>O60-'[4]D4 Gallon Forecast'!O176</f>
        <v>217417056</v>
      </c>
      <c r="P78" s="22">
        <f>P60-'[4]D4 Gallon Forecast'!P176</f>
        <v>260704071</v>
      </c>
      <c r="Q78" s="22">
        <f>Q60-'[4]D4 Gallon Forecast'!Q176</f>
        <v>283976602.73018843</v>
      </c>
      <c r="R78" s="21">
        <f>R60-'[4]D4 Gallon Forecast'!R176</f>
        <v>327988261.60637504</v>
      </c>
      <c r="S78" s="21">
        <f>S60-'[4]D4 Gallon Forecast'!S176</f>
        <v>360408804.48522425</v>
      </c>
      <c r="T78" s="21">
        <f>T60-'[4]D4 Gallon Forecast'!T176</f>
        <v>366605883.8644672</v>
      </c>
      <c r="U78" s="21">
        <f>U60-'[4]D4 Gallon Forecast'!U176</f>
        <v>369856670.91491246</v>
      </c>
      <c r="V78" s="21">
        <f>V60-'[4]D4 Gallon Forecast'!V176</f>
        <v>387299754.70567995</v>
      </c>
      <c r="W78" s="21">
        <f>W60-'[4]D4 Gallon Forecast'!W176</f>
        <v>420348949.46926063</v>
      </c>
      <c r="X78" s="21">
        <f>X60-'[4]D4 Gallon Forecast'!X176</f>
        <v>498475419.86634046</v>
      </c>
      <c r="Y78" s="21">
        <f>Y60-'[4]D4 Gallon Forecast'!Y176</f>
        <v>495804608.01874244</v>
      </c>
      <c r="Z78" s="21">
        <f>Z60-'[4]D4 Gallon Forecast'!Z176</f>
        <v>481822710.00184309</v>
      </c>
      <c r="AA78" s="21">
        <f>AA60-'[4]D4 Gallon Forecast'!AA176</f>
        <v>510443586.60780591</v>
      </c>
      <c r="AB78" s="21">
        <f>AB60-'[4]D4 Gallon Forecast'!AB176</f>
        <v>552062997.22252452</v>
      </c>
      <c r="AC78" s="21">
        <f>AC60-'[4]D4 Gallon Forecast'!AC176</f>
        <v>628438287.86428332</v>
      </c>
      <c r="AD78" s="21">
        <f>AD60-'[4]D4 Gallon Forecast'!AD176</f>
        <v>693244759.61271596</v>
      </c>
      <c r="AE78" s="21">
        <f>AE60-'[4]D4 Gallon Forecast'!AE176</f>
        <v>695037731.12350714</v>
      </c>
      <c r="AF78" s="21">
        <f>AF60-'[4]D4 Gallon Forecast'!AF176</f>
        <v>610341055.9153254</v>
      </c>
      <c r="AG78" s="21">
        <f>AG60-'[4]D4 Gallon Forecast'!AG176</f>
        <v>645991489.15770173</v>
      </c>
      <c r="AH78" s="21">
        <f>AH60-'[4]D4 Gallon Forecast'!AH176</f>
        <v>682868215.24964094</v>
      </c>
      <c r="AI78" s="21">
        <f>AI60-'[4]D4 Gallon Forecast'!AI176</f>
        <v>742096839.95330358</v>
      </c>
      <c r="AJ78" s="21">
        <f>AJ60-'[4]D4 Gallon Forecast'!AJ176</f>
        <v>756847476.378196</v>
      </c>
      <c r="AK78" s="21">
        <f>AK60-'[4]D4 Gallon Forecast'!AK176</f>
        <v>752513445.44148159</v>
      </c>
      <c r="AL78" s="21">
        <f>AL60-'[4]D4 Gallon Forecast'!AL176</f>
        <v>716797919.59206676</v>
      </c>
      <c r="AM78" s="21">
        <f>AM60-'[4]D4 Gallon Forecast'!AM176</f>
        <v>746651631.44184577</v>
      </c>
      <c r="AN78" s="21">
        <f>AN60-'[4]D4 Gallon Forecast'!AN176</f>
        <v>773431573.27484298</v>
      </c>
      <c r="AO78" s="21">
        <f>AO60-'[4]D4 Gallon Forecast'!AO176</f>
        <v>801399399.2506671</v>
      </c>
      <c r="AP78" s="21">
        <f>AP60-'[4]D4 Gallon Forecast'!AP176</f>
        <v>836312779.50156879</v>
      </c>
      <c r="AQ78" s="21"/>
      <c r="AR78" s="21"/>
      <c r="AS78" s="21"/>
      <c r="AT78" s="24">
        <f t="shared" si="53"/>
        <v>0.66213545526274942</v>
      </c>
      <c r="AU78" s="22">
        <f t="shared" si="54"/>
        <v>86611197</v>
      </c>
      <c r="AV78" s="22">
        <f t="shared" si="55"/>
        <v>61600631</v>
      </c>
      <c r="AW78" s="24">
        <f t="shared" si="56"/>
        <v>0.39534106240725264</v>
      </c>
    </row>
    <row r="79" spans="1:49" x14ac:dyDescent="0.25">
      <c r="A79" s="20" t="s">
        <v>58</v>
      </c>
      <c r="B79" s="21">
        <f>SUM(B67:B78)</f>
        <v>8536117</v>
      </c>
      <c r="C79" s="21">
        <f t="shared" ref="C79:AP79" si="57">SUM(C67:C78)</f>
        <v>47149202</v>
      </c>
      <c r="D79" s="21">
        <f t="shared" si="57"/>
        <v>43029165</v>
      </c>
      <c r="E79" s="21">
        <f t="shared" si="57"/>
        <v>84373599</v>
      </c>
      <c r="F79" s="21">
        <f t="shared" si="57"/>
        <v>151684875</v>
      </c>
      <c r="G79" s="21">
        <f t="shared" si="57"/>
        <v>172549023</v>
      </c>
      <c r="H79" s="21">
        <f t="shared" si="57"/>
        <v>241487435</v>
      </c>
      <c r="I79" s="21">
        <f t="shared" si="57"/>
        <v>258342125</v>
      </c>
      <c r="J79" s="21">
        <f t="shared" si="57"/>
        <v>305484447</v>
      </c>
      <c r="K79" s="21">
        <f t="shared" si="57"/>
        <v>492137189</v>
      </c>
      <c r="L79" s="21">
        <f t="shared" si="57"/>
        <v>532317506</v>
      </c>
      <c r="M79" s="21">
        <f t="shared" si="57"/>
        <v>844721795</v>
      </c>
      <c r="N79" s="21">
        <f t="shared" si="57"/>
        <v>1416189979</v>
      </c>
      <c r="O79" s="21">
        <f t="shared" si="57"/>
        <v>1900848883</v>
      </c>
      <c r="P79" s="22">
        <f t="shared" si="57"/>
        <v>2615490982</v>
      </c>
      <c r="Q79" s="22">
        <f t="shared" si="57"/>
        <v>2441013026.1709371</v>
      </c>
      <c r="R79" s="21">
        <f t="shared" si="57"/>
        <v>2689043243.0486603</v>
      </c>
      <c r="S79" s="21">
        <f t="shared" si="57"/>
        <v>2966218765.0645237</v>
      </c>
      <c r="T79" s="21">
        <f t="shared" si="57"/>
        <v>3023265933.1846147</v>
      </c>
      <c r="U79" s="21">
        <f t="shared" si="57"/>
        <v>3047349421.5416126</v>
      </c>
      <c r="V79" s="21">
        <f t="shared" si="57"/>
        <v>3193048359.6640577</v>
      </c>
      <c r="W79" s="21">
        <f t="shared" si="57"/>
        <v>3461678212.6955152</v>
      </c>
      <c r="X79" s="21">
        <f t="shared" si="57"/>
        <v>4105476216.6252842</v>
      </c>
      <c r="Y79" s="21">
        <f t="shared" si="57"/>
        <v>4085067494.9750652</v>
      </c>
      <c r="Z79" s="21">
        <f t="shared" si="57"/>
        <v>3972106585.4107871</v>
      </c>
      <c r="AA79" s="21">
        <f t="shared" si="57"/>
        <v>4208182753.9501262</v>
      </c>
      <c r="AB79" s="21">
        <f t="shared" si="57"/>
        <v>4546612891.6658516</v>
      </c>
      <c r="AC79" s="21">
        <f t="shared" si="57"/>
        <v>5173507422.3503914</v>
      </c>
      <c r="AD79" s="21">
        <f t="shared" si="57"/>
        <v>5706954929.60359</v>
      </c>
      <c r="AE79" s="21">
        <f t="shared" si="57"/>
        <v>5726165474.5493517</v>
      </c>
      <c r="AF79" s="21">
        <f t="shared" si="57"/>
        <v>5035161549.3486919</v>
      </c>
      <c r="AG79" s="21">
        <f t="shared" si="57"/>
        <v>5326224514.5088329</v>
      </c>
      <c r="AH79" s="21">
        <f t="shared" si="57"/>
        <v>5629956396.9645443</v>
      </c>
      <c r="AI79" s="21">
        <f t="shared" si="57"/>
        <v>6117837019.5581131</v>
      </c>
      <c r="AJ79" s="21">
        <f t="shared" si="57"/>
        <v>6239746481.8807611</v>
      </c>
      <c r="AK79" s="21">
        <f t="shared" si="57"/>
        <v>6204271241.4576378</v>
      </c>
      <c r="AL79" s="21">
        <f t="shared" si="57"/>
        <v>5912598310.1335287</v>
      </c>
      <c r="AM79" s="21">
        <f t="shared" si="57"/>
        <v>6155053991.100625</v>
      </c>
      <c r="AN79" s="21">
        <f t="shared" si="57"/>
        <v>6375963399.4237471</v>
      </c>
      <c r="AO79" s="21">
        <f t="shared" si="57"/>
        <v>6606516644.4268703</v>
      </c>
      <c r="AP79" s="21">
        <f t="shared" si="57"/>
        <v>6891970177.6607828</v>
      </c>
      <c r="AQ79" s="21"/>
      <c r="AR79" s="21"/>
      <c r="AS79" s="21"/>
      <c r="AT79" s="24">
        <f t="shared" si="53"/>
        <v>0.34222732203078232</v>
      </c>
      <c r="AU79" s="22">
        <f t="shared" si="54"/>
        <v>484658904</v>
      </c>
      <c r="AV79" s="29"/>
    </row>
    <row r="80" spans="1:49" x14ac:dyDescent="0.25"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 spans="1:53" x14ac:dyDescent="0.25">
      <c r="A81" s="20" t="s">
        <v>139</v>
      </c>
    </row>
    <row r="82" spans="1:53" x14ac:dyDescent="0.25">
      <c r="B82" s="20">
        <f t="shared" ref="B82:AP82" si="58">B2</f>
        <v>2010</v>
      </c>
      <c r="C82" s="20">
        <f t="shared" si="58"/>
        <v>2011</v>
      </c>
      <c r="D82" s="20">
        <f t="shared" si="58"/>
        <v>2012</v>
      </c>
      <c r="E82" s="20">
        <f t="shared" si="58"/>
        <v>2013</v>
      </c>
      <c r="F82" s="20">
        <f t="shared" si="58"/>
        <v>2014</v>
      </c>
      <c r="G82" s="20">
        <f t="shared" si="58"/>
        <v>2015</v>
      </c>
      <c r="H82" s="20">
        <f t="shared" si="58"/>
        <v>2016</v>
      </c>
      <c r="I82" s="20">
        <f t="shared" si="58"/>
        <v>2017</v>
      </c>
      <c r="J82" s="20">
        <f t="shared" si="58"/>
        <v>2018</v>
      </c>
      <c r="K82" s="20">
        <f t="shared" si="58"/>
        <v>2019</v>
      </c>
      <c r="L82" s="20">
        <f t="shared" si="58"/>
        <v>2020</v>
      </c>
      <c r="M82" s="20">
        <f t="shared" si="58"/>
        <v>2021</v>
      </c>
      <c r="N82" s="20">
        <f t="shared" si="58"/>
        <v>2022</v>
      </c>
      <c r="O82" s="20">
        <f t="shared" si="58"/>
        <v>2023</v>
      </c>
      <c r="P82" s="20">
        <f t="shared" si="58"/>
        <v>2024</v>
      </c>
      <c r="Q82" s="20">
        <f t="shared" si="58"/>
        <v>2025</v>
      </c>
      <c r="R82" s="20">
        <f t="shared" si="58"/>
        <v>2026</v>
      </c>
      <c r="S82" s="20">
        <f t="shared" si="58"/>
        <v>2027</v>
      </c>
      <c r="T82" s="20">
        <f t="shared" si="58"/>
        <v>2028</v>
      </c>
      <c r="U82" s="20">
        <f t="shared" si="58"/>
        <v>2029</v>
      </c>
      <c r="V82" s="20">
        <f t="shared" si="58"/>
        <v>2030</v>
      </c>
      <c r="W82" s="20">
        <f t="shared" si="58"/>
        <v>2031</v>
      </c>
      <c r="X82" s="20">
        <f t="shared" si="58"/>
        <v>2032</v>
      </c>
      <c r="Y82" s="20">
        <f t="shared" si="58"/>
        <v>2033</v>
      </c>
      <c r="Z82" s="20">
        <f t="shared" si="58"/>
        <v>2034</v>
      </c>
      <c r="AA82" s="20">
        <f t="shared" si="58"/>
        <v>2035</v>
      </c>
      <c r="AB82" s="20">
        <f t="shared" si="58"/>
        <v>2036</v>
      </c>
      <c r="AC82" s="20">
        <f t="shared" si="58"/>
        <v>2037</v>
      </c>
      <c r="AD82" s="20">
        <f t="shared" si="58"/>
        <v>2038</v>
      </c>
      <c r="AE82" s="20">
        <f t="shared" si="58"/>
        <v>2039</v>
      </c>
      <c r="AF82" s="20">
        <f t="shared" si="58"/>
        <v>2040</v>
      </c>
      <c r="AG82" s="20">
        <f t="shared" si="58"/>
        <v>2041</v>
      </c>
      <c r="AH82" s="20">
        <f t="shared" si="58"/>
        <v>2042</v>
      </c>
      <c r="AI82" s="20">
        <f t="shared" si="58"/>
        <v>2043</v>
      </c>
      <c r="AJ82" s="20">
        <f t="shared" si="58"/>
        <v>2044</v>
      </c>
      <c r="AK82" s="20">
        <f t="shared" si="58"/>
        <v>2045</v>
      </c>
      <c r="AL82" s="20">
        <f t="shared" si="58"/>
        <v>2046</v>
      </c>
      <c r="AM82" s="20">
        <f t="shared" si="58"/>
        <v>2047</v>
      </c>
      <c r="AN82" s="20">
        <f t="shared" si="58"/>
        <v>2048</v>
      </c>
      <c r="AO82" s="20">
        <f t="shared" si="58"/>
        <v>2049</v>
      </c>
      <c r="AP82" s="20">
        <f t="shared" si="58"/>
        <v>2050</v>
      </c>
      <c r="BA82" s="20" t="s">
        <v>48</v>
      </c>
    </row>
    <row r="83" spans="1:53" x14ac:dyDescent="0.25">
      <c r="A83" s="20" t="s">
        <v>70</v>
      </c>
      <c r="B83" s="21">
        <f>'[4]D4 Gallon Forecast'!B197+'[4]D6 Gallon Forecast'!B222</f>
        <v>0</v>
      </c>
      <c r="C83" s="21">
        <f>'[4]D4 Gallon Forecast'!C197+'[4]D6 Gallon Forecast'!C222</f>
        <v>0</v>
      </c>
      <c r="D83" s="21">
        <f>'[4]D4 Gallon Forecast'!D197+'[4]D6 Gallon Forecast'!D222</f>
        <v>0</v>
      </c>
      <c r="E83" s="21">
        <f>'[4]D4 Gallon Forecast'!E197+'[4]D6 Gallon Forecast'!E222</f>
        <v>7009715</v>
      </c>
      <c r="F83" s="21">
        <f>'[4]D4 Gallon Forecast'!F197+'[4]D6 Gallon Forecast'!F222</f>
        <v>13410514</v>
      </c>
      <c r="G83" s="21">
        <f>'[4]D4 Gallon Forecast'!G197+'[4]D6 Gallon Forecast'!G222</f>
        <v>9899510</v>
      </c>
      <c r="H83" s="21">
        <f>'[4]D4 Gallon Forecast'!H197+'[4]D6 Gallon Forecast'!H222</f>
        <v>8004157</v>
      </c>
      <c r="I83" s="21">
        <f>'[4]D4 Gallon Forecast'!I197+'[4]D6 Gallon Forecast'!I222</f>
        <v>20440663</v>
      </c>
      <c r="J83" s="21">
        <f>'[4]D4 Gallon Forecast'!J197+'[4]D6 Gallon Forecast'!J222</f>
        <v>15697294</v>
      </c>
      <c r="K83" s="21">
        <f>'[4]D4 Gallon Forecast'!K197+'[4]D6 Gallon Forecast'!K222</f>
        <v>16293805</v>
      </c>
      <c r="L83" s="21">
        <f>'[4]D4 Gallon Forecast'!L197+'[4]D6 Gallon Forecast'!L222</f>
        <v>22255917</v>
      </c>
      <c r="M83" s="21">
        <f>'[4]D4 Gallon Forecast'!M197+'[4]D6 Gallon Forecast'!M222</f>
        <v>29766577</v>
      </c>
      <c r="N83" s="21">
        <f>'[4]D4 Gallon Forecast'!N197+'[4]D6 Gallon Forecast'!N222</f>
        <v>34682153</v>
      </c>
      <c r="O83" s="21">
        <f>'[4]D4 Gallon Forecast'!O197+'[4]D6 Gallon Forecast'!O222</f>
        <v>37899137</v>
      </c>
      <c r="P83" s="21">
        <f>'[4]D4 Gallon Forecast'!P197+'[4]D6 Gallon Forecast'!P222</f>
        <v>24232960</v>
      </c>
      <c r="Q83" s="21">
        <f>'[4]D4 Gallon Forecast'!Q197+'[4]D6 Gallon Forecast'!Q222</f>
        <v>0</v>
      </c>
      <c r="R83" s="22">
        <f>'[4]D4 Gallon Forecast'!R197+'[4]D6 Gallon Forecast'!R222</f>
        <v>19880459.240872473</v>
      </c>
      <c r="S83" s="22">
        <f>'[4]D4 Gallon Forecast'!S197+'[4]D6 Gallon Forecast'!S222</f>
        <v>17883204.211857177</v>
      </c>
      <c r="T83" s="22">
        <f>'[4]D4 Gallon Forecast'!T197+'[4]D6 Gallon Forecast'!T222</f>
        <v>15357222.123277105</v>
      </c>
      <c r="U83" s="22">
        <f>'[4]D4 Gallon Forecast'!U197+'[4]D6 Gallon Forecast'!U222</f>
        <v>12728717.603032351</v>
      </c>
      <c r="V83" s="22">
        <f>'[4]D4 Gallon Forecast'!V197+'[4]D6 Gallon Forecast'!V222</f>
        <v>10582971.939488428</v>
      </c>
      <c r="W83" s="22">
        <f>'[4]D4 Gallon Forecast'!W197+'[4]D6 Gallon Forecast'!W222</f>
        <v>12507148.65575905</v>
      </c>
      <c r="X83" s="22">
        <f>'[4]D4 Gallon Forecast'!X197+'[4]D6 Gallon Forecast'!X222</f>
        <v>10832825.809162999</v>
      </c>
      <c r="Y83" s="22">
        <f>'[4]D4 Gallon Forecast'!Y197+'[4]D6 Gallon Forecast'!Y222</f>
        <v>10026968.821137691</v>
      </c>
      <c r="Z83" s="22">
        <f>'[4]D4 Gallon Forecast'!Z197+'[4]D6 Gallon Forecast'!Z222</f>
        <v>9359774.2285729293</v>
      </c>
      <c r="AA83" s="22">
        <f>'[4]D4 Gallon Forecast'!AA197+'[4]D6 Gallon Forecast'!AA222</f>
        <v>9407592.2566096038</v>
      </c>
      <c r="AB83" s="22">
        <f>'[4]D4 Gallon Forecast'!AB197+'[4]D6 Gallon Forecast'!AB222</f>
        <v>4010331.5208647889</v>
      </c>
      <c r="AC83" s="22">
        <f>'[4]D4 Gallon Forecast'!AC197+'[4]D6 Gallon Forecast'!AC222</f>
        <v>2708206.4522907496</v>
      </c>
      <c r="AD83" s="22">
        <f>'[4]D4 Gallon Forecast'!AD197+'[4]D6 Gallon Forecast'!AD222</f>
        <v>2638676.0055625509</v>
      </c>
      <c r="AE83" s="22">
        <f>'[4]D4 Gallon Forecast'!AE197+'[4]D6 Gallon Forecast'!AE222</f>
        <v>2599937.2857147027</v>
      </c>
      <c r="AF83" s="22">
        <f>'[4]D4 Gallon Forecast'!AF197+'[4]D6 Gallon Forecast'!AF222</f>
        <v>2613220.0712804459</v>
      </c>
      <c r="AG83" s="22">
        <f>'[4]D4 Gallon Forecast'!AG197+'[4]D6 Gallon Forecast'!AG222</f>
        <v>2673554.3472431935</v>
      </c>
      <c r="AH83" s="22">
        <f>'[4]D4 Gallon Forecast'!AH197+'[4]D6 Gallon Forecast'!AH222</f>
        <v>2644696.5234150314</v>
      </c>
      <c r="AI83" s="22">
        <f>'[4]D4 Gallon Forecast'!AI197+'[4]D6 Gallon Forecast'!AI222</f>
        <v>2630583.2058870941</v>
      </c>
      <c r="AJ83" s="22">
        <f>'[4]D4 Gallon Forecast'!AJ197+'[4]D6 Gallon Forecast'!AJ222</f>
        <v>2628465.4639159464</v>
      </c>
      <c r="AK83" s="22">
        <f>'[4]D4 Gallon Forecast'!AK197+'[4]D6 Gallon Forecast'!AK222</f>
        <v>2637622.6569188139</v>
      </c>
      <c r="AL83" s="22">
        <f>'[4]D4 Gallon Forecast'!AL197+'[4]D6 Gallon Forecast'!AL222</f>
        <v>2649158.4246751345</v>
      </c>
      <c r="AM83" s="22">
        <f>'[4]D4 Gallon Forecast'!AM197+'[4]D6 Gallon Forecast'!AM222</f>
        <v>2646718.8324183286</v>
      </c>
      <c r="AN83" s="22">
        <f>'[4]D4 Gallon Forecast'!AN197+'[4]D6 Gallon Forecast'!AN222</f>
        <v>2634016.8466431848</v>
      </c>
      <c r="AO83" s="22">
        <f>'[4]D4 Gallon Forecast'!AO197+'[4]D6 Gallon Forecast'!AO222</f>
        <v>2632398.2867080937</v>
      </c>
      <c r="AP83" s="22">
        <f>'[4]D4 Gallon Forecast'!AP197+'[4]D6 Gallon Forecast'!AP222</f>
        <v>2638103.9223483424</v>
      </c>
      <c r="AQ83" s="22"/>
      <c r="AR83" s="22"/>
      <c r="AT83" s="21"/>
      <c r="AU83" s="21"/>
      <c r="AW83" s="21"/>
      <c r="AX83" s="21">
        <f>'[4]D4 Gallon Forecast'!$DK197+'[4]D6 Gallon Forecast'!$BK222</f>
        <v>0</v>
      </c>
      <c r="AY83" s="21">
        <f>O83-AX83</f>
        <v>37899137</v>
      </c>
      <c r="AZ83" s="20" t="s">
        <v>6</v>
      </c>
      <c r="BA83" s="21">
        <f>AVERAGE(J83:N83)</f>
        <v>23739149.199999999</v>
      </c>
    </row>
    <row r="84" spans="1:53" x14ac:dyDescent="0.25">
      <c r="A84" s="20" t="s">
        <v>71</v>
      </c>
      <c r="B84" s="21">
        <f>'[4]D4 Gallon Forecast'!B198+'[4]D6 Gallon Forecast'!B223</f>
        <v>0</v>
      </c>
      <c r="C84" s="21">
        <f>'[4]D4 Gallon Forecast'!C198+'[4]D6 Gallon Forecast'!C223</f>
        <v>0</v>
      </c>
      <c r="D84" s="21">
        <f>'[4]D4 Gallon Forecast'!D198+'[4]D6 Gallon Forecast'!D223</f>
        <v>0</v>
      </c>
      <c r="E84" s="21">
        <f>'[4]D4 Gallon Forecast'!E198+'[4]D6 Gallon Forecast'!E223</f>
        <v>0</v>
      </c>
      <c r="F84" s="21">
        <f>'[4]D4 Gallon Forecast'!F198+'[4]D6 Gallon Forecast'!F223</f>
        <v>18928695</v>
      </c>
      <c r="G84" s="21">
        <f>'[4]D4 Gallon Forecast'!G198+'[4]D6 Gallon Forecast'!G223</f>
        <v>8259742</v>
      </c>
      <c r="H84" s="21">
        <f>'[4]D4 Gallon Forecast'!H198+'[4]D6 Gallon Forecast'!H223</f>
        <v>12536147</v>
      </c>
      <c r="I84" s="21">
        <f>'[4]D4 Gallon Forecast'!I198+'[4]D6 Gallon Forecast'!I223</f>
        <v>9904741</v>
      </c>
      <c r="J84" s="21">
        <f>'[4]D4 Gallon Forecast'!J198+'[4]D6 Gallon Forecast'!J223</f>
        <v>12330044</v>
      </c>
      <c r="K84" s="21">
        <f>'[4]D4 Gallon Forecast'!K198+'[4]D6 Gallon Forecast'!K223</f>
        <v>21173236</v>
      </c>
      <c r="L84" s="21">
        <f>'[4]D4 Gallon Forecast'!L198+'[4]D6 Gallon Forecast'!L223</f>
        <v>28371747</v>
      </c>
      <c r="M84" s="21">
        <f>'[4]D4 Gallon Forecast'!M198+'[4]D6 Gallon Forecast'!M223</f>
        <v>29679663</v>
      </c>
      <c r="N84" s="21">
        <f>'[4]D4 Gallon Forecast'!N198+'[4]D6 Gallon Forecast'!N223</f>
        <v>30274954</v>
      </c>
      <c r="O84" s="21">
        <f>'[4]D4 Gallon Forecast'!O198+'[4]D6 Gallon Forecast'!O223</f>
        <v>27487584</v>
      </c>
      <c r="P84" s="21">
        <f>'[4]D4 Gallon Forecast'!P198+'[4]D6 Gallon Forecast'!P223</f>
        <v>56213823</v>
      </c>
      <c r="Q84" s="21">
        <f>'[4]D4 Gallon Forecast'!Q198+'[4]D6 Gallon Forecast'!Q223</f>
        <v>0</v>
      </c>
      <c r="R84" s="22">
        <f>'[4]D4 Gallon Forecast'!R198+'[4]D6 Gallon Forecast'!R223</f>
        <v>23468739.279069103</v>
      </c>
      <c r="S84" s="22">
        <f>'[4]D4 Gallon Forecast'!S198+'[4]D6 Gallon Forecast'!S223</f>
        <v>22370115.195129227</v>
      </c>
      <c r="T84" s="22">
        <f>'[4]D4 Gallon Forecast'!T198+'[4]D6 Gallon Forecast'!T223</f>
        <v>20731065.204576124</v>
      </c>
      <c r="U84" s="22">
        <f>'[4]D4 Gallon Forecast'!U198+'[4]D6 Gallon Forecast'!U223</f>
        <v>20204290.7519814</v>
      </c>
      <c r="V84" s="22">
        <f>'[4]D4 Gallon Forecast'!V198+'[4]D6 Gallon Forecast'!V223</f>
        <v>13945855.247800048</v>
      </c>
      <c r="W84" s="22">
        <f>'[4]D4 Gallon Forecast'!W198+'[4]D6 Gallon Forecast'!W223</f>
        <v>16481465.292854603</v>
      </c>
      <c r="X84" s="22">
        <f>'[4]D4 Gallon Forecast'!X198+'[4]D6 Gallon Forecast'!X223</f>
        <v>14703183.010563359</v>
      </c>
      <c r="Y84" s="22">
        <f>'[4]D4 Gallon Forecast'!Y198+'[4]D6 Gallon Forecast'!Y223</f>
        <v>13917032.601257322</v>
      </c>
      <c r="Z84" s="22">
        <f>'[4]D4 Gallon Forecast'!Z198+'[4]D6 Gallon Forecast'!Z223</f>
        <v>13087457.653946983</v>
      </c>
      <c r="AA84" s="22">
        <f>'[4]D4 Gallon Forecast'!AA198+'[4]D6 Gallon Forecast'!AA223</f>
        <v>12729704.789368644</v>
      </c>
      <c r="AB84" s="22">
        <f>'[4]D4 Gallon Forecast'!AB198+'[4]D6 Gallon Forecast'!AB223</f>
        <v>5455295.6421531457</v>
      </c>
      <c r="AC84" s="22">
        <f>'[4]D4 Gallon Forecast'!AC198+'[4]D6 Gallon Forecast'!AC223</f>
        <v>3675795.7526408397</v>
      </c>
      <c r="AD84" s="22">
        <f>'[4]D4 Gallon Forecast'!AD198+'[4]D6 Gallon Forecast'!AD223</f>
        <v>3662377.0003308752</v>
      </c>
      <c r="AE84" s="22">
        <f>'[4]D4 Gallon Forecast'!AE198+'[4]D6 Gallon Forecast'!AE223</f>
        <v>3635404.9038741626</v>
      </c>
      <c r="AF84" s="22">
        <f>'[4]D4 Gallon Forecast'!AF198+'[4]D6 Gallon Forecast'!AF223</f>
        <v>3536029.1081579574</v>
      </c>
      <c r="AG84" s="22">
        <f>'[4]D4 Gallon Forecast'!AG198+'[4]D6 Gallon Forecast'!AG223</f>
        <v>3636863.7614354319</v>
      </c>
      <c r="AH84" s="22">
        <f>'[4]D4 Gallon Forecast'!AH198+'[4]D6 Gallon Forecast'!AH223</f>
        <v>3629859.0119569371</v>
      </c>
      <c r="AI84" s="22">
        <f>'[4]D4 Gallon Forecast'!AI198+'[4]D6 Gallon Forecast'!AI223</f>
        <v>3619650.8473605146</v>
      </c>
      <c r="AJ84" s="22">
        <f>'[4]D4 Gallon Forecast'!AJ198+'[4]D6 Gallon Forecast'!AJ223</f>
        <v>3608470.1718168682</v>
      </c>
      <c r="AK84" s="22">
        <f>'[4]D4 Gallon Forecast'!AK198+'[4]D6 Gallon Forecast'!AK223</f>
        <v>3599824.4553540335</v>
      </c>
      <c r="AL84" s="22">
        <f>'[4]D4 Gallon Forecast'!AL198+'[4]D6 Gallon Forecast'!AL223</f>
        <v>3629982.2558467248</v>
      </c>
      <c r="AM84" s="22">
        <f>'[4]D4 Gallon Forecast'!AM198+'[4]D6 Gallon Forecast'!AM223</f>
        <v>3629294.1052878527</v>
      </c>
      <c r="AN84" s="22">
        <f>'[4]D4 Gallon Forecast'!AN198+'[4]D6 Gallon Forecast'!AN223</f>
        <v>3620106.7571510724</v>
      </c>
      <c r="AO84" s="22">
        <f>'[4]D4 Gallon Forecast'!AO198+'[4]D6 Gallon Forecast'!AO223</f>
        <v>3611561.5265570008</v>
      </c>
      <c r="AP84" s="22">
        <f>'[4]D4 Gallon Forecast'!AP198+'[4]D6 Gallon Forecast'!AP223</f>
        <v>3606174.580145542</v>
      </c>
      <c r="AQ84" s="22"/>
      <c r="AR84" s="22"/>
      <c r="AT84" s="11">
        <f>O84/N84-1</f>
        <v>-9.2068513134652474E-2</v>
      </c>
      <c r="AU84" s="21">
        <f>O84-N84</f>
        <v>-2787370</v>
      </c>
      <c r="AV84" s="21">
        <f>O84-O83</f>
        <v>-10411553</v>
      </c>
      <c r="AW84" s="11">
        <f>AV84/O83</f>
        <v>-0.27471741638866343</v>
      </c>
      <c r="AX84" s="21">
        <f>'[4]D4 Gallon Forecast'!$DK198+'[4]D6 Gallon Forecast'!$BK223</f>
        <v>0</v>
      </c>
      <c r="AY84" s="21">
        <f t="shared" ref="AY84:AY95" si="59">O84-AX84</f>
        <v>27487584</v>
      </c>
      <c r="AZ84" s="20" t="s">
        <v>7</v>
      </c>
      <c r="BA84" s="21">
        <f t="shared" ref="BA84:BA94" si="60">AVERAGE(J84:N84)</f>
        <v>24365928.800000001</v>
      </c>
    </row>
    <row r="85" spans="1:53" x14ac:dyDescent="0.25">
      <c r="A85" s="20" t="s">
        <v>72</v>
      </c>
      <c r="B85" s="21">
        <f>'[4]D4 Gallon Forecast'!B199+'[4]D6 Gallon Forecast'!B224</f>
        <v>2010</v>
      </c>
      <c r="C85" s="21">
        <f>'[4]D4 Gallon Forecast'!C199+'[4]D6 Gallon Forecast'!C224</f>
        <v>2011</v>
      </c>
      <c r="D85" s="21">
        <f>'[4]D4 Gallon Forecast'!D199+'[4]D6 Gallon Forecast'!D224</f>
        <v>3120440</v>
      </c>
      <c r="E85" s="21">
        <f>'[4]D4 Gallon Forecast'!E199+'[4]D6 Gallon Forecast'!E224</f>
        <v>12722331</v>
      </c>
      <c r="F85" s="21">
        <f>'[4]D4 Gallon Forecast'!F199+'[4]D6 Gallon Forecast'!F224</f>
        <v>22681279</v>
      </c>
      <c r="G85" s="21">
        <f>'[4]D4 Gallon Forecast'!G199+'[4]D6 Gallon Forecast'!G224</f>
        <v>8282260</v>
      </c>
      <c r="H85" s="21">
        <f>'[4]D4 Gallon Forecast'!H199+'[4]D6 Gallon Forecast'!H224</f>
        <v>12147777</v>
      </c>
      <c r="I85" s="21">
        <f>'[4]D4 Gallon Forecast'!I199+'[4]D6 Gallon Forecast'!I224</f>
        <v>16618876</v>
      </c>
      <c r="J85" s="21">
        <f>'[4]D4 Gallon Forecast'!J199+'[4]D6 Gallon Forecast'!J224</f>
        <v>17344190</v>
      </c>
      <c r="K85" s="21">
        <f>'[4]D4 Gallon Forecast'!K199+'[4]D6 Gallon Forecast'!K224</f>
        <v>19251948</v>
      </c>
      <c r="L85" s="21">
        <f>'[4]D4 Gallon Forecast'!L199+'[4]D6 Gallon Forecast'!L224</f>
        <v>28003510</v>
      </c>
      <c r="M85" s="21">
        <f>'[4]D4 Gallon Forecast'!M199+'[4]D6 Gallon Forecast'!M224</f>
        <v>38324986</v>
      </c>
      <c r="N85" s="21">
        <f>'[4]D4 Gallon Forecast'!N199+'[4]D6 Gallon Forecast'!N224</f>
        <v>40481924</v>
      </c>
      <c r="O85" s="21">
        <f>'[4]D4 Gallon Forecast'!O199+'[4]D6 Gallon Forecast'!O224</f>
        <v>35665832</v>
      </c>
      <c r="P85" s="21">
        <f>'[4]D4 Gallon Forecast'!P199+'[4]D6 Gallon Forecast'!P224</f>
        <v>26635538</v>
      </c>
      <c r="Q85" s="21">
        <f>'[4]D4 Gallon Forecast'!Q199+'[4]D6 Gallon Forecast'!Q224</f>
        <v>7436643</v>
      </c>
      <c r="R85" s="22">
        <f>'[4]D4 Gallon Forecast'!R199+'[4]D6 Gallon Forecast'!R224</f>
        <v>23868378.757887889</v>
      </c>
      <c r="S85" s="22">
        <f>'[4]D4 Gallon Forecast'!S199+'[4]D6 Gallon Forecast'!S224</f>
        <v>21045689.833512601</v>
      </c>
      <c r="T85" s="22">
        <f>'[4]D4 Gallon Forecast'!T199+'[4]D6 Gallon Forecast'!T224</f>
        <v>17999366.760218736</v>
      </c>
      <c r="U85" s="22">
        <f>'[4]D4 Gallon Forecast'!U199+'[4]D6 Gallon Forecast'!U224</f>
        <v>15959523.692020211</v>
      </c>
      <c r="V85" s="22">
        <f>'[4]D4 Gallon Forecast'!V199+'[4]D6 Gallon Forecast'!V224</f>
        <v>13871587.203442052</v>
      </c>
      <c r="W85" s="22">
        <f>'[4]D4 Gallon Forecast'!W199+'[4]D6 Gallon Forecast'!W224</f>
        <v>15176752.022249699</v>
      </c>
      <c r="X85" s="22">
        <f>'[4]D4 Gallon Forecast'!X199+'[4]D6 Gallon Forecast'!X224</f>
        <v>13185212.315520521</v>
      </c>
      <c r="Y85" s="22">
        <f>'[4]D4 Gallon Forecast'!Y199+'[4]D6 Gallon Forecast'!Y224</f>
        <v>12320871.705324028</v>
      </c>
      <c r="Z85" s="22">
        <f>'[4]D4 Gallon Forecast'!Z199+'[4]D6 Gallon Forecast'!Z224</f>
        <v>11644862.026550615</v>
      </c>
      <c r="AA85" s="22">
        <f>'[4]D4 Gallon Forecast'!AA199+'[4]D6 Gallon Forecast'!AA224</f>
        <v>11682468.871721221</v>
      </c>
      <c r="AB85" s="22">
        <f>'[4]D4 Gallon Forecast'!AB199+'[4]D6 Gallon Forecast'!AB224</f>
        <v>4925113.0724127758</v>
      </c>
      <c r="AC85" s="22">
        <f>'[4]D4 Gallon Forecast'!AC199+'[4]D6 Gallon Forecast'!AC224</f>
        <v>3297832.0788801303</v>
      </c>
      <c r="AD85" s="22">
        <f>'[4]D4 Gallon Forecast'!AD199+'[4]D6 Gallon Forecast'!AD224</f>
        <v>3243837.6592957973</v>
      </c>
      <c r="AE85" s="22">
        <f>'[4]D4 Gallon Forecast'!AE199+'[4]D6 Gallon Forecast'!AE224</f>
        <v>3236157.8962640604</v>
      </c>
      <c r="AF85" s="22">
        <f>'[4]D4 Gallon Forecast'!AF199+'[4]D6 Gallon Forecast'!AF224</f>
        <v>3246604.9643670064</v>
      </c>
      <c r="AG85" s="22">
        <f>'[4]D4 Gallon Forecast'!AG199+'[4]D6 Gallon Forecast'!AG224</f>
        <v>3284092.3816085178</v>
      </c>
      <c r="AH85" s="22">
        <f>'[4]D4 Gallon Forecast'!AH199+'[4]D6 Gallon Forecast'!AH224</f>
        <v>3259518.2419108585</v>
      </c>
      <c r="AI85" s="22">
        <f>'[4]D4 Gallon Forecast'!AI199+'[4]D6 Gallon Forecast'!AI224</f>
        <v>3251003.9448065762</v>
      </c>
      <c r="AJ85" s="22">
        <f>'[4]D4 Gallon Forecast'!AJ199+'[4]D6 Gallon Forecast'!AJ224</f>
        <v>3252878.9260617332</v>
      </c>
      <c r="AK85" s="22">
        <f>'[4]D4 Gallon Forecast'!AK199+'[4]D6 Gallon Forecast'!AK224</f>
        <v>3258245.565256048</v>
      </c>
      <c r="AL85" s="22">
        <f>'[4]D4 Gallon Forecast'!AL199+'[4]D6 Gallon Forecast'!AL224</f>
        <v>3263747.031130868</v>
      </c>
      <c r="AM85" s="22">
        <f>'[4]D4 Gallon Forecast'!AM199+'[4]D6 Gallon Forecast'!AM224</f>
        <v>3261712.9960831022</v>
      </c>
      <c r="AN85" s="22">
        <f>'[4]D4 Gallon Forecast'!AN199+'[4]D6 Gallon Forecast'!AN224</f>
        <v>3254050.2286892487</v>
      </c>
      <c r="AO85" s="22">
        <f>'[4]D4 Gallon Forecast'!AO199+'[4]D6 Gallon Forecast'!AO224</f>
        <v>3255483.4857914038</v>
      </c>
      <c r="AP85" s="22">
        <f>'[4]D4 Gallon Forecast'!AP199+'[4]D6 Gallon Forecast'!AP224</f>
        <v>3258827.6917509385</v>
      </c>
      <c r="AQ85" s="22"/>
      <c r="AR85" s="22"/>
      <c r="AT85" s="11">
        <f t="shared" ref="AT85:AT94" si="61">O85/N85-1</f>
        <v>-0.11896895019120135</v>
      </c>
      <c r="AU85" s="21">
        <f t="shared" ref="AU85:AU94" si="62">O85-N85</f>
        <v>-4816092</v>
      </c>
      <c r="AV85" s="21">
        <f t="shared" ref="AV85:AV94" si="63">O85-O84</f>
        <v>8178248</v>
      </c>
      <c r="AW85" s="11">
        <f t="shared" ref="AW85:AW94" si="64">AV85/O84</f>
        <v>0.29752516627143366</v>
      </c>
      <c r="AX85" s="21">
        <f>'[4]D4 Gallon Forecast'!$DK199+'[4]D6 Gallon Forecast'!$BK224</f>
        <v>0</v>
      </c>
      <c r="AY85" s="21">
        <f t="shared" si="59"/>
        <v>35665832</v>
      </c>
      <c r="AZ85" s="20" t="s">
        <v>8</v>
      </c>
      <c r="BA85" s="21">
        <f t="shared" si="60"/>
        <v>28681311.600000001</v>
      </c>
    </row>
    <row r="86" spans="1:53" x14ac:dyDescent="0.25">
      <c r="A86" s="20" t="s">
        <v>73</v>
      </c>
      <c r="B86" s="21">
        <f>'[4]D4 Gallon Forecast'!B200+'[4]D6 Gallon Forecast'!B225</f>
        <v>0</v>
      </c>
      <c r="C86" s="21">
        <f>'[4]D4 Gallon Forecast'!C200+'[4]D6 Gallon Forecast'!C225</f>
        <v>0</v>
      </c>
      <c r="D86" s="21">
        <f>'[4]D4 Gallon Forecast'!D200+'[4]D6 Gallon Forecast'!D225</f>
        <v>648881</v>
      </c>
      <c r="E86" s="21">
        <f>'[4]D4 Gallon Forecast'!E200+'[4]D6 Gallon Forecast'!E225</f>
        <v>8588729</v>
      </c>
      <c r="F86" s="21">
        <f>'[4]D4 Gallon Forecast'!F200+'[4]D6 Gallon Forecast'!F225</f>
        <v>36656687</v>
      </c>
      <c r="G86" s="21">
        <f>'[4]D4 Gallon Forecast'!G200+'[4]D6 Gallon Forecast'!G225</f>
        <v>31047521</v>
      </c>
      <c r="H86" s="21">
        <f>'[4]D4 Gallon Forecast'!H200+'[4]D6 Gallon Forecast'!H225</f>
        <v>36404529</v>
      </c>
      <c r="I86" s="21">
        <f>'[4]D4 Gallon Forecast'!I200+'[4]D6 Gallon Forecast'!I225</f>
        <v>27711001</v>
      </c>
      <c r="J86" s="21">
        <f>'[4]D4 Gallon Forecast'!J200+'[4]D6 Gallon Forecast'!J225</f>
        <v>34546713</v>
      </c>
      <c r="K86" s="21">
        <f>'[4]D4 Gallon Forecast'!K200+'[4]D6 Gallon Forecast'!K225</f>
        <v>35769407</v>
      </c>
      <c r="L86" s="21">
        <f>'[4]D4 Gallon Forecast'!L200+'[4]D6 Gallon Forecast'!L225</f>
        <v>34291717</v>
      </c>
      <c r="M86" s="21">
        <f>'[4]D4 Gallon Forecast'!M200+'[4]D6 Gallon Forecast'!M225</f>
        <v>40230238</v>
      </c>
      <c r="N86" s="21">
        <f>'[4]D4 Gallon Forecast'!N200+'[4]D6 Gallon Forecast'!N225</f>
        <v>41439888</v>
      </c>
      <c r="O86" s="21">
        <f>'[4]D4 Gallon Forecast'!O200+'[4]D6 Gallon Forecast'!O225</f>
        <v>45063278</v>
      </c>
      <c r="P86" s="21">
        <f>'[4]D4 Gallon Forecast'!P200+'[4]D6 Gallon Forecast'!P225</f>
        <v>27627664</v>
      </c>
      <c r="Q86" s="22">
        <f>'[4]D4 Gallon Forecast'!Q200+'[4]D6 Gallon Forecast'!Q225</f>
        <v>18783896.830137823</v>
      </c>
      <c r="R86" s="22">
        <f>'[4]D4 Gallon Forecast'!R200+'[4]D6 Gallon Forecast'!R225</f>
        <v>25636030.997711245</v>
      </c>
      <c r="S86" s="22">
        <f>'[4]D4 Gallon Forecast'!S200+'[4]D6 Gallon Forecast'!S225</f>
        <v>23651913.529208843</v>
      </c>
      <c r="T86" s="22">
        <f>'[4]D4 Gallon Forecast'!T200+'[4]D6 Gallon Forecast'!T225</f>
        <v>20835365.962812115</v>
      </c>
      <c r="U86" s="22">
        <f>'[4]D4 Gallon Forecast'!U200+'[4]D6 Gallon Forecast'!U225</f>
        <v>19176027.473370172</v>
      </c>
      <c r="V86" s="22">
        <f>'[4]D4 Gallon Forecast'!V200+'[4]D6 Gallon Forecast'!V225</f>
        <v>17370519.877485029</v>
      </c>
      <c r="W86" s="22">
        <f>'[4]D4 Gallon Forecast'!W200+'[4]D6 Gallon Forecast'!W225</f>
        <v>17455067.646641575</v>
      </c>
      <c r="X86" s="22">
        <f>'[4]D4 Gallon Forecast'!X200+'[4]D6 Gallon Forecast'!X225</f>
        <v>15449238.351296905</v>
      </c>
      <c r="Y86" s="22">
        <f>'[4]D4 Gallon Forecast'!Y200+'[4]D6 Gallon Forecast'!Y225</f>
        <v>14599473.761025619</v>
      </c>
      <c r="Z86" s="22">
        <f>'[4]D4 Gallon Forecast'!Z200+'[4]D6 Gallon Forecast'!Z225</f>
        <v>13879870.531896766</v>
      </c>
      <c r="AA86" s="22">
        <f>'[4]D4 Gallon Forecast'!AA200+'[4]D6 Gallon Forecast'!AA225</f>
        <v>13897794.735590452</v>
      </c>
      <c r="AB86" s="22">
        <f>'[4]D4 Gallon Forecast'!AB200+'[4]D6 Gallon Forecast'!AB225</f>
        <v>5790880.3866501004</v>
      </c>
      <c r="AC86" s="22">
        <f>'[4]D4 Gallon Forecast'!AC200+'[4]D6 Gallon Forecast'!AC225</f>
        <v>3862309.5878242264</v>
      </c>
      <c r="AD86" s="22">
        <f>'[4]D4 Gallon Forecast'!AD200+'[4]D6 Gallon Forecast'!AD225</f>
        <v>3841966.7792172688</v>
      </c>
      <c r="AE86" s="22">
        <f>'[4]D4 Gallon Forecast'!AE200+'[4]D6 Gallon Forecast'!AE225</f>
        <v>3855519.5921935472</v>
      </c>
      <c r="AF86" s="22">
        <f>'[4]D4 Gallon Forecast'!AF200+'[4]D6 Gallon Forecast'!AF225</f>
        <v>3860498.5376640153</v>
      </c>
      <c r="AG86" s="22">
        <f>'[4]D4 Gallon Forecast'!AG200+'[4]D6 Gallon Forecast'!AG225</f>
        <v>3860586.9244334013</v>
      </c>
      <c r="AH86" s="22">
        <f>'[4]D4 Gallon Forecast'!AH200+'[4]D6 Gallon Forecast'!AH225</f>
        <v>3855591.379785446</v>
      </c>
      <c r="AI86" s="22">
        <f>'[4]D4 Gallon Forecast'!AI200+'[4]D6 Gallon Forecast'!AI225</f>
        <v>3854098.4446657165</v>
      </c>
      <c r="AJ86" s="22">
        <f>'[4]D4 Gallon Forecast'!AJ200+'[4]D6 Gallon Forecast'!AJ225</f>
        <v>3857273.0860914784</v>
      </c>
      <c r="AK86" s="22">
        <f>'[4]D4 Gallon Forecast'!AK200+'[4]D6 Gallon Forecast'!AK225</f>
        <v>3857835.9359846418</v>
      </c>
      <c r="AL86" s="22">
        <f>'[4]D4 Gallon Forecast'!AL200+'[4]D6 Gallon Forecast'!AL225</f>
        <v>3856577.2515543932</v>
      </c>
      <c r="AM86" s="22">
        <f>'[4]D4 Gallon Forecast'!AM200+'[4]D6 Gallon Forecast'!AM225</f>
        <v>3856176.2842664924</v>
      </c>
      <c r="AN86" s="22">
        <f>'[4]D4 Gallon Forecast'!AN200+'[4]D6 Gallon Forecast'!AN225</f>
        <v>3854832.6426587361</v>
      </c>
      <c r="AO86" s="22">
        <f>'[4]D4 Gallon Forecast'!AO200+'[4]D6 Gallon Forecast'!AO225</f>
        <v>3857258.9757484249</v>
      </c>
      <c r="AP86" s="22">
        <f>'[4]D4 Gallon Forecast'!AP200+'[4]D6 Gallon Forecast'!AP225</f>
        <v>3857609.6745280121</v>
      </c>
      <c r="AQ86" s="22"/>
      <c r="AR86" s="22"/>
      <c r="AT86" s="11">
        <f t="shared" si="61"/>
        <v>8.7437253691419192E-2</v>
      </c>
      <c r="AU86" s="21">
        <f t="shared" si="62"/>
        <v>3623390</v>
      </c>
      <c r="AV86" s="21">
        <f t="shared" si="63"/>
        <v>9397446</v>
      </c>
      <c r="AW86" s="11">
        <f t="shared" si="64"/>
        <v>0.26348596045649519</v>
      </c>
      <c r="AX86" s="21">
        <f>'[4]D4 Gallon Forecast'!$DK200+'[4]D6 Gallon Forecast'!$BK225</f>
        <v>8657860.0476812627</v>
      </c>
      <c r="AY86" s="21">
        <f t="shared" si="59"/>
        <v>36405417.952318735</v>
      </c>
      <c r="AZ86" s="20" t="s">
        <v>9</v>
      </c>
      <c r="BA86" s="21">
        <f t="shared" si="60"/>
        <v>37255592.600000001</v>
      </c>
    </row>
    <row r="87" spans="1:53" x14ac:dyDescent="0.25">
      <c r="A87" s="20" t="s">
        <v>10</v>
      </c>
      <c r="B87" s="21">
        <f>'[4]D4 Gallon Forecast'!B201+'[4]D6 Gallon Forecast'!B226</f>
        <v>0</v>
      </c>
      <c r="C87" s="21">
        <f>'[4]D4 Gallon Forecast'!C201+'[4]D6 Gallon Forecast'!C226</f>
        <v>0</v>
      </c>
      <c r="D87" s="21">
        <f>'[4]D4 Gallon Forecast'!D201+'[4]D6 Gallon Forecast'!D226</f>
        <v>3437634</v>
      </c>
      <c r="E87" s="21">
        <f>'[4]D4 Gallon Forecast'!E201+'[4]D6 Gallon Forecast'!E226</f>
        <v>10289247</v>
      </c>
      <c r="F87" s="21">
        <f>'[4]D4 Gallon Forecast'!F201+'[4]D6 Gallon Forecast'!F226</f>
        <v>36271030</v>
      </c>
      <c r="G87" s="21">
        <f>'[4]D4 Gallon Forecast'!G201+'[4]D6 Gallon Forecast'!G226</f>
        <v>36006086</v>
      </c>
      <c r="H87" s="21">
        <f>'[4]D4 Gallon Forecast'!H201+'[4]D6 Gallon Forecast'!H226</f>
        <v>27014567</v>
      </c>
      <c r="I87" s="21">
        <f>'[4]D4 Gallon Forecast'!I201+'[4]D6 Gallon Forecast'!I226</f>
        <v>35189631</v>
      </c>
      <c r="J87" s="21">
        <f>'[4]D4 Gallon Forecast'!J201+'[4]D6 Gallon Forecast'!J226</f>
        <v>40096238</v>
      </c>
      <c r="K87" s="21">
        <f>'[4]D4 Gallon Forecast'!K201+'[4]D6 Gallon Forecast'!K226</f>
        <v>41759543</v>
      </c>
      <c r="L87" s="21">
        <f>'[4]D4 Gallon Forecast'!L201+'[4]D6 Gallon Forecast'!L226</f>
        <v>44731838</v>
      </c>
      <c r="M87" s="21">
        <f>'[4]D4 Gallon Forecast'!M201+'[4]D6 Gallon Forecast'!M226</f>
        <v>38319787</v>
      </c>
      <c r="N87" s="21">
        <f>'[4]D4 Gallon Forecast'!N201+'[4]D6 Gallon Forecast'!N226</f>
        <v>44793746</v>
      </c>
      <c r="O87" s="21">
        <f>'[4]D4 Gallon Forecast'!O201+'[4]D6 Gallon Forecast'!O226</f>
        <v>48678398</v>
      </c>
      <c r="P87" s="21">
        <f>'[4]D4 Gallon Forecast'!P201+'[4]D6 Gallon Forecast'!P226</f>
        <v>29680714</v>
      </c>
      <c r="Q87" s="22">
        <f>'[4]D4 Gallon Forecast'!Q201+'[4]D6 Gallon Forecast'!Q226</f>
        <v>20510382.244069804</v>
      </c>
      <c r="R87" s="22">
        <f>'[4]D4 Gallon Forecast'!R201+'[4]D6 Gallon Forecast'!R226</f>
        <v>27054449.148971412</v>
      </c>
      <c r="S87" s="22">
        <f>'[4]D4 Gallon Forecast'!S201+'[4]D6 Gallon Forecast'!S226</f>
        <v>25954708.324242711</v>
      </c>
      <c r="T87" s="22">
        <f>'[4]D4 Gallon Forecast'!T201+'[4]D6 Gallon Forecast'!T226</f>
        <v>23374585.168831293</v>
      </c>
      <c r="U87" s="22">
        <f>'[4]D4 Gallon Forecast'!U201+'[4]D6 Gallon Forecast'!U226</f>
        <v>20828122.607654978</v>
      </c>
      <c r="V87" s="22">
        <f>'[4]D4 Gallon Forecast'!V201+'[4]D6 Gallon Forecast'!V226</f>
        <v>18919646.918641642</v>
      </c>
      <c r="W87" s="22">
        <f>'[4]D4 Gallon Forecast'!W201+'[4]D6 Gallon Forecast'!W226</f>
        <v>19003338.354819603</v>
      </c>
      <c r="X87" s="22">
        <f>'[4]D4 Gallon Forecast'!X201+'[4]D6 Gallon Forecast'!X226</f>
        <v>16953788.45085337</v>
      </c>
      <c r="Y87" s="22">
        <f>'[4]D4 Gallon Forecast'!Y201+'[4]D6 Gallon Forecast'!Y226</f>
        <v>16021362.96608695</v>
      </c>
      <c r="Z87" s="22">
        <f>'[4]D4 Gallon Forecast'!Z201+'[4]D6 Gallon Forecast'!Z226</f>
        <v>15147455.663899247</v>
      </c>
      <c r="AA87" s="22">
        <f>'[4]D4 Gallon Forecast'!AA201+'[4]D6 Gallon Forecast'!AA226</f>
        <v>15184516.297817789</v>
      </c>
      <c r="AB87" s="22">
        <f>'[4]D4 Gallon Forecast'!AB201+'[4]D6 Gallon Forecast'!AB226</f>
        <v>6331573.9794982271</v>
      </c>
      <c r="AC87" s="22">
        <f>'[4]D4 Gallon Forecast'!AC201+'[4]D6 Gallon Forecast'!AC226</f>
        <v>4238447.1127133425</v>
      </c>
      <c r="AD87" s="22">
        <f>'[4]D4 Gallon Forecast'!AD201+'[4]D6 Gallon Forecast'!AD226</f>
        <v>4216148.148970251</v>
      </c>
      <c r="AE87" s="22">
        <f>'[4]D4 Gallon Forecast'!AE201+'[4]D6 Gallon Forecast'!AE226</f>
        <v>4207626.573305347</v>
      </c>
      <c r="AF87" s="22">
        <f>'[4]D4 Gallon Forecast'!AF201+'[4]D6 Gallon Forecast'!AF226</f>
        <v>4217921.193838276</v>
      </c>
      <c r="AG87" s="22">
        <f>'[4]D4 Gallon Forecast'!AG201+'[4]D6 Gallon Forecast'!AG226</f>
        <v>4221049.319665486</v>
      </c>
      <c r="AH87" s="22">
        <f>'[4]D4 Gallon Forecast'!AH201+'[4]D6 Gallon Forecast'!AH226</f>
        <v>4220527.1126154903</v>
      </c>
      <c r="AI87" s="22">
        <f>'[4]D4 Gallon Forecast'!AI201+'[4]D6 Gallon Forecast'!AI226</f>
        <v>4216544.8903715238</v>
      </c>
      <c r="AJ87" s="22">
        <f>'[4]D4 Gallon Forecast'!AJ201+'[4]D6 Gallon Forecast'!AJ226</f>
        <v>4216648.7105512964</v>
      </c>
      <c r="AK87" s="22">
        <f>'[4]D4 Gallon Forecast'!AK201+'[4]D6 Gallon Forecast'!AK226</f>
        <v>4219544.7052228348</v>
      </c>
      <c r="AL87" s="22">
        <f>'[4]D4 Gallon Forecast'!AL201+'[4]D6 Gallon Forecast'!AL226</f>
        <v>4220312.1833318993</v>
      </c>
      <c r="AM87" s="22">
        <f>'[4]D4 Gallon Forecast'!AM201+'[4]D6 Gallon Forecast'!AM226</f>
        <v>4220238.4696985409</v>
      </c>
      <c r="AN87" s="22">
        <f>'[4]D4 Gallon Forecast'!AN201+'[4]D6 Gallon Forecast'!AN226</f>
        <v>4216654.4696789701</v>
      </c>
      <c r="AO87" s="22">
        <f>'[4]D4 Gallon Forecast'!AO201+'[4]D6 Gallon Forecast'!AO226</f>
        <v>4216733.8179592248</v>
      </c>
      <c r="AP87" s="22">
        <f>'[4]D4 Gallon Forecast'!AP201+'[4]D6 Gallon Forecast'!AP226</f>
        <v>4218538.2454084139</v>
      </c>
      <c r="AQ87" s="22"/>
      <c r="AR87" s="22"/>
      <c r="AT87" s="11">
        <f t="shared" si="61"/>
        <v>8.6723088531153403E-2</v>
      </c>
      <c r="AU87" s="21">
        <f t="shared" si="62"/>
        <v>3884652</v>
      </c>
      <c r="AV87" s="21">
        <f>O87-O86</f>
        <v>3615120</v>
      </c>
      <c r="AW87" s="24">
        <f t="shared" si="64"/>
        <v>8.0223191930245283E-2</v>
      </c>
      <c r="AX87" s="22">
        <f>'[4]D4 Gallon Forecast'!$DK201+'[4]D6 Gallon Forecast'!$BK226</f>
        <v>13242677.063074462</v>
      </c>
      <c r="AY87" s="22">
        <f t="shared" si="59"/>
        <v>35435720.936925538</v>
      </c>
      <c r="AZ87" s="20" t="s">
        <v>10</v>
      </c>
      <c r="BA87" s="21">
        <f t="shared" si="60"/>
        <v>41940230.399999999</v>
      </c>
    </row>
    <row r="88" spans="1:53" x14ac:dyDescent="0.25">
      <c r="A88" s="20" t="s">
        <v>74</v>
      </c>
      <c r="B88" s="21">
        <f>'[4]D4 Gallon Forecast'!B202+'[4]D6 Gallon Forecast'!B227</f>
        <v>0</v>
      </c>
      <c r="C88" s="21">
        <f>'[4]D4 Gallon Forecast'!C202+'[4]D6 Gallon Forecast'!C227</f>
        <v>0</v>
      </c>
      <c r="D88" s="21">
        <f>'[4]D4 Gallon Forecast'!D202+'[4]D6 Gallon Forecast'!D227</f>
        <v>2690200</v>
      </c>
      <c r="E88" s="21">
        <f>'[4]D4 Gallon Forecast'!E202+'[4]D6 Gallon Forecast'!E227</f>
        <v>12629579</v>
      </c>
      <c r="F88" s="21">
        <f>'[4]D4 Gallon Forecast'!F202+'[4]D6 Gallon Forecast'!F227</f>
        <v>33355030</v>
      </c>
      <c r="G88" s="21">
        <f>'[4]D4 Gallon Forecast'!G202+'[4]D6 Gallon Forecast'!G227</f>
        <v>33048499</v>
      </c>
      <c r="H88" s="21">
        <f>'[4]D4 Gallon Forecast'!H202+'[4]D6 Gallon Forecast'!H227</f>
        <v>35160042</v>
      </c>
      <c r="I88" s="21">
        <f>'[4]D4 Gallon Forecast'!I202+'[4]D6 Gallon Forecast'!I227</f>
        <v>30860207</v>
      </c>
      <c r="J88" s="21">
        <f>'[4]D4 Gallon Forecast'!J202+'[4]D6 Gallon Forecast'!J227</f>
        <v>34218221</v>
      </c>
      <c r="K88" s="21">
        <f>'[4]D4 Gallon Forecast'!K202+'[4]D6 Gallon Forecast'!K227</f>
        <v>42401589</v>
      </c>
      <c r="L88" s="21">
        <f>'[4]D4 Gallon Forecast'!L202+'[4]D6 Gallon Forecast'!L227</f>
        <v>32703253</v>
      </c>
      <c r="M88" s="21">
        <f>'[4]D4 Gallon Forecast'!M202+'[4]D6 Gallon Forecast'!M227</f>
        <v>43794216</v>
      </c>
      <c r="N88" s="21">
        <f>'[4]D4 Gallon Forecast'!N202+'[4]D6 Gallon Forecast'!N227</f>
        <v>37873247</v>
      </c>
      <c r="O88" s="21">
        <f>'[4]D4 Gallon Forecast'!O202+'[4]D6 Gallon Forecast'!O227</f>
        <v>44223259</v>
      </c>
      <c r="P88" s="21">
        <f>'[4]D4 Gallon Forecast'!P202+'[4]D6 Gallon Forecast'!P227</f>
        <v>56471169</v>
      </c>
      <c r="Q88" s="22">
        <f>'[4]D4 Gallon Forecast'!Q202+'[4]D6 Gallon Forecast'!Q227</f>
        <v>20293640.747774504</v>
      </c>
      <c r="R88" s="22">
        <f>'[4]D4 Gallon Forecast'!R202+'[4]D6 Gallon Forecast'!R227</f>
        <v>29292945.59642696</v>
      </c>
      <c r="S88" s="22">
        <f>'[4]D4 Gallon Forecast'!S202+'[4]D6 Gallon Forecast'!S227</f>
        <v>27714957.653552011</v>
      </c>
      <c r="T88" s="22">
        <f>'[4]D4 Gallon Forecast'!T202+'[4]D6 Gallon Forecast'!T227</f>
        <v>26536959.200748578</v>
      </c>
      <c r="U88" s="22">
        <f>'[4]D4 Gallon Forecast'!U202+'[4]D6 Gallon Forecast'!U227</f>
        <v>26379251.493636698</v>
      </c>
      <c r="V88" s="22">
        <f>'[4]D4 Gallon Forecast'!V202+'[4]D6 Gallon Forecast'!V227</f>
        <v>20927853.432665158</v>
      </c>
      <c r="W88" s="22">
        <f>'[4]D4 Gallon Forecast'!W202+'[4]D6 Gallon Forecast'!W227</f>
        <v>21412140.116241176</v>
      </c>
      <c r="X88" s="22">
        <f>'[4]D4 Gallon Forecast'!X202+'[4]D6 Gallon Forecast'!X227</f>
        <v>19289594.023034297</v>
      </c>
      <c r="Y88" s="22">
        <f>'[4]D4 Gallon Forecast'!Y202+'[4]D6 Gallon Forecast'!Y227</f>
        <v>18522299.294129293</v>
      </c>
      <c r="Z88" s="22">
        <f>'[4]D4 Gallon Forecast'!Z202+'[4]D6 Gallon Forecast'!Z227</f>
        <v>17592298.077749718</v>
      </c>
      <c r="AA88" s="22">
        <f>'[4]D4 Gallon Forecast'!AA202+'[4]D6 Gallon Forecast'!AA227</f>
        <v>17248973.813615233</v>
      </c>
      <c r="AB88" s="22">
        <f>'[4]D4 Gallon Forecast'!AB202+'[4]D6 Gallon Forecast'!AB227</f>
        <v>7235792.7172899777</v>
      </c>
      <c r="AC88" s="22">
        <f>'[4]D4 Gallon Forecast'!AC202+'[4]D6 Gallon Forecast'!AC227</f>
        <v>4822398.5057585742</v>
      </c>
      <c r="AD88" s="22">
        <f>'[4]D4 Gallon Forecast'!AD202+'[4]D6 Gallon Forecast'!AD227</f>
        <v>4874289.2879287619</v>
      </c>
      <c r="AE88" s="22">
        <f>'[4]D4 Gallon Forecast'!AE202+'[4]D6 Gallon Forecast'!AE227</f>
        <v>4886749.4660415892</v>
      </c>
      <c r="AF88" s="22">
        <f>'[4]D4 Gallon Forecast'!AF202+'[4]D6 Gallon Forecast'!AF227</f>
        <v>4791381.6148931207</v>
      </c>
      <c r="AG88" s="22">
        <f>'[4]D4 Gallon Forecast'!AG202+'[4]D6 Gallon Forecast'!AG227</f>
        <v>4823861.8115266534</v>
      </c>
      <c r="AH88" s="22">
        <f>'[4]D4 Gallon Forecast'!AH202+'[4]D6 Gallon Forecast'!AH227</f>
        <v>4841755.0258071842</v>
      </c>
      <c r="AI88" s="22">
        <f>'[4]D4 Gallon Forecast'!AI202+'[4]D6 Gallon Forecast'!AI227</f>
        <v>4846056.4747068742</v>
      </c>
      <c r="AJ88" s="22">
        <f>'[4]D4 Gallon Forecast'!AJ202+'[4]D6 Gallon Forecast'!AJ227</f>
        <v>4838668.4488170343</v>
      </c>
      <c r="AK88" s="22">
        <f>'[4]D4 Gallon Forecast'!AK202+'[4]D6 Gallon Forecast'!AK227</f>
        <v>4823235.0358807584</v>
      </c>
      <c r="AL88" s="22">
        <f>'[4]D4 Gallon Forecast'!AL202+'[4]D6 Gallon Forecast'!AL227</f>
        <v>4838293.016711277</v>
      </c>
      <c r="AM88" s="22">
        <f>'[4]D4 Gallon Forecast'!AM202+'[4]D6 Gallon Forecast'!AM227</f>
        <v>4839736.1372297406</v>
      </c>
      <c r="AN88" s="22">
        <f>'[4]D4 Gallon Forecast'!AN202+'[4]D6 Gallon Forecast'!AN227</f>
        <v>4843607.4412394613</v>
      </c>
      <c r="AO88" s="22">
        <f>'[4]D4 Gallon Forecast'!AO202+'[4]D6 Gallon Forecast'!AO227</f>
        <v>4837960.878595084</v>
      </c>
      <c r="AP88" s="22">
        <f>'[4]D4 Gallon Forecast'!AP202+'[4]D6 Gallon Forecast'!AP227</f>
        <v>4828344.6751501728</v>
      </c>
      <c r="AQ88" s="22"/>
      <c r="AR88" s="22"/>
      <c r="AT88" s="11">
        <f t="shared" si="61"/>
        <v>0.16766484267905524</v>
      </c>
      <c r="AU88" s="21">
        <f t="shared" si="62"/>
        <v>6350012</v>
      </c>
      <c r="AV88" s="21">
        <f t="shared" si="63"/>
        <v>-4455139</v>
      </c>
      <c r="AW88" s="24">
        <f t="shared" si="64"/>
        <v>-9.1521890264342723E-2</v>
      </c>
      <c r="AX88" s="22">
        <f>'[4]D4 Gallon Forecast'!$DK202+'[4]D6 Gallon Forecast'!$BK227</f>
        <v>6048349.6981978714</v>
      </c>
      <c r="AY88" s="22">
        <f t="shared" si="59"/>
        <v>38174909.301802129</v>
      </c>
      <c r="AZ88" s="20" t="s">
        <v>11</v>
      </c>
      <c r="BA88" s="21">
        <f t="shared" si="60"/>
        <v>38198105.200000003</v>
      </c>
    </row>
    <row r="89" spans="1:53" x14ac:dyDescent="0.25">
      <c r="A89" s="20" t="s">
        <v>75</v>
      </c>
      <c r="B89" s="21">
        <f>'[4]D4 Gallon Forecast'!B203+'[4]D6 Gallon Forecast'!B228</f>
        <v>0</v>
      </c>
      <c r="C89" s="21">
        <f>'[4]D4 Gallon Forecast'!C203+'[4]D6 Gallon Forecast'!C228</f>
        <v>0</v>
      </c>
      <c r="D89" s="21">
        <f>'[4]D4 Gallon Forecast'!D203+'[4]D6 Gallon Forecast'!D228</f>
        <v>3085274</v>
      </c>
      <c r="E89" s="21">
        <f>'[4]D4 Gallon Forecast'!E203+'[4]D6 Gallon Forecast'!E228</f>
        <v>16524163</v>
      </c>
      <c r="F89" s="21">
        <f>'[4]D4 Gallon Forecast'!F203+'[4]D6 Gallon Forecast'!F228</f>
        <v>41430668</v>
      </c>
      <c r="G89" s="21">
        <f>'[4]D4 Gallon Forecast'!G203+'[4]D6 Gallon Forecast'!G228</f>
        <v>28206575</v>
      </c>
      <c r="H89" s="21">
        <f>'[4]D4 Gallon Forecast'!H203+'[4]D6 Gallon Forecast'!H228</f>
        <v>36309480</v>
      </c>
      <c r="I89" s="21">
        <f>'[4]D4 Gallon Forecast'!I203+'[4]D6 Gallon Forecast'!I228</f>
        <v>29803427</v>
      </c>
      <c r="J89" s="21">
        <f>'[4]D4 Gallon Forecast'!J203+'[4]D6 Gallon Forecast'!J228</f>
        <v>33324050</v>
      </c>
      <c r="K89" s="21">
        <f>'[4]D4 Gallon Forecast'!K203+'[4]D6 Gallon Forecast'!K228</f>
        <v>39530633</v>
      </c>
      <c r="L89" s="21">
        <f>'[4]D4 Gallon Forecast'!L203+'[4]D6 Gallon Forecast'!L228</f>
        <v>31005857</v>
      </c>
      <c r="M89" s="21">
        <f>'[4]D4 Gallon Forecast'!M203+'[4]D6 Gallon Forecast'!M228</f>
        <v>10928155</v>
      </c>
      <c r="N89" s="21">
        <f>'[4]D4 Gallon Forecast'!N203+'[4]D6 Gallon Forecast'!N228</f>
        <v>19083361</v>
      </c>
      <c r="O89" s="21">
        <f>'[4]D4 Gallon Forecast'!O203+'[4]D6 Gallon Forecast'!O228</f>
        <v>53757888</v>
      </c>
      <c r="P89" s="21">
        <f>'[4]D4 Gallon Forecast'!P203+'[4]D6 Gallon Forecast'!P228</f>
        <v>22045675</v>
      </c>
      <c r="Q89" s="22">
        <f>'[4]D4 Gallon Forecast'!Q203+'[4]D6 Gallon Forecast'!Q228</f>
        <v>14613410.606759492</v>
      </c>
      <c r="R89" s="22">
        <f>'[4]D4 Gallon Forecast'!R203+'[4]D6 Gallon Forecast'!R228</f>
        <v>15307116.154142732</v>
      </c>
      <c r="S89" s="22">
        <f>'[4]D4 Gallon Forecast'!S203+'[4]D6 Gallon Forecast'!S228</f>
        <v>17284380.951269526</v>
      </c>
      <c r="T89" s="22">
        <f>'[4]D4 Gallon Forecast'!T203+'[4]D6 Gallon Forecast'!T228</f>
        <v>17840507.414250024</v>
      </c>
      <c r="U89" s="22">
        <f>'[4]D4 Gallon Forecast'!U203+'[4]D6 Gallon Forecast'!U228</f>
        <v>14330999.108120734</v>
      </c>
      <c r="V89" s="22">
        <f>'[4]D4 Gallon Forecast'!V203+'[4]D6 Gallon Forecast'!V228</f>
        <v>12756923.716265758</v>
      </c>
      <c r="W89" s="22">
        <f>'[4]D4 Gallon Forecast'!W203+'[4]D6 Gallon Forecast'!W228</f>
        <v>12685079.019935252</v>
      </c>
      <c r="X89" s="22">
        <f>'[4]D4 Gallon Forecast'!X203+'[4]D6 Gallon Forecast'!X228</f>
        <v>11748688.660367265</v>
      </c>
      <c r="Y89" s="22">
        <f>'[4]D4 Gallon Forecast'!Y203+'[4]D6 Gallon Forecast'!Y228</f>
        <v>11216014.982636947</v>
      </c>
      <c r="Z89" s="22">
        <f>'[4]D4 Gallon Forecast'!Z203+'[4]D6 Gallon Forecast'!Z228</f>
        <v>10360355.034604285</v>
      </c>
      <c r="AA89" s="22">
        <f>'[4]D4 Gallon Forecast'!AA203+'[4]D6 Gallon Forecast'!AA228</f>
        <v>10370657.896554619</v>
      </c>
      <c r="AB89" s="22">
        <f>'[4]D4 Gallon Forecast'!AB203+'[4]D6 Gallon Forecast'!AB228</f>
        <v>4336984.276469104</v>
      </c>
      <c r="AC89" s="22">
        <f>'[4]D4 Gallon Forecast'!AC203+'[4]D6 Gallon Forecast'!AC228</f>
        <v>2937172.1650918163</v>
      </c>
      <c r="AD89" s="22">
        <f>'[4]D4 Gallon Forecast'!AD203+'[4]D6 Gallon Forecast'!AD228</f>
        <v>2951582.8901676182</v>
      </c>
      <c r="AE89" s="22">
        <f>'[4]D4 Gallon Forecast'!AE203+'[4]D6 Gallon Forecast'!AE228</f>
        <v>2877876.3985011908</v>
      </c>
      <c r="AF89" s="22">
        <f>'[4]D4 Gallon Forecast'!AF203+'[4]D6 Gallon Forecast'!AF228</f>
        <v>2880738.3045985061</v>
      </c>
      <c r="AG89" s="22">
        <f>'[4]D4 Gallon Forecast'!AG203+'[4]D6 Gallon Forecast'!AG228</f>
        <v>2891322.8509794036</v>
      </c>
      <c r="AH89" s="22">
        <f>'[4]D4 Gallon Forecast'!AH203+'[4]D6 Gallon Forecast'!AH228</f>
        <v>2911072.7788261957</v>
      </c>
      <c r="AI89" s="22">
        <f>'[4]D4 Gallon Forecast'!AI203+'[4]D6 Gallon Forecast'!AI228</f>
        <v>2905272.9152116128</v>
      </c>
      <c r="AJ89" s="22">
        <f>'[4]D4 Gallon Forecast'!AJ203+'[4]D6 Gallon Forecast'!AJ228</f>
        <v>2893154.4170922847</v>
      </c>
      <c r="AK89" s="22">
        <f>'[4]D4 Gallon Forecast'!AK203+'[4]D6 Gallon Forecast'!AK228</f>
        <v>2898058.4724425129</v>
      </c>
      <c r="AL89" s="22">
        <f>'[4]D4 Gallon Forecast'!AL203+'[4]D6 Gallon Forecast'!AL228</f>
        <v>2906246.1881505889</v>
      </c>
      <c r="AM89" s="22">
        <f>'[4]D4 Gallon Forecast'!AM203+'[4]D6 Gallon Forecast'!AM228</f>
        <v>2907738.5218677074</v>
      </c>
      <c r="AN89" s="22">
        <f>'[4]D4 Gallon Forecast'!AN203+'[4]D6 Gallon Forecast'!AN228</f>
        <v>2902518.6446145838</v>
      </c>
      <c r="AO89" s="22">
        <f>'[4]D4 Gallon Forecast'!AO203+'[4]D6 Gallon Forecast'!AO228</f>
        <v>2893256.6496233819</v>
      </c>
      <c r="AP89" s="22">
        <f>'[4]D4 Gallon Forecast'!AP203+'[4]D6 Gallon Forecast'!AP228</f>
        <v>2896312.2533416003</v>
      </c>
      <c r="AQ89" s="22"/>
      <c r="AR89" s="22"/>
      <c r="AT89" s="24">
        <f t="shared" si="61"/>
        <v>1.8170031474015507</v>
      </c>
      <c r="AU89" s="22">
        <f t="shared" si="62"/>
        <v>34674527</v>
      </c>
      <c r="AV89" s="22">
        <f t="shared" si="63"/>
        <v>9534629</v>
      </c>
      <c r="AW89" s="24">
        <f t="shared" si="64"/>
        <v>0.21560213370977477</v>
      </c>
      <c r="AX89" s="22">
        <f>'[4]D4 Gallon Forecast'!$DK203+'[4]D6 Gallon Forecast'!$BK228</f>
        <v>5635357.4836564809</v>
      </c>
      <c r="AY89" s="22">
        <f t="shared" si="59"/>
        <v>48122530.516343519</v>
      </c>
      <c r="AZ89" s="20" t="s">
        <v>12</v>
      </c>
      <c r="BA89" s="21">
        <f t="shared" si="60"/>
        <v>26774411.199999999</v>
      </c>
    </row>
    <row r="90" spans="1:53" x14ac:dyDescent="0.25">
      <c r="A90" s="20" t="s">
        <v>76</v>
      </c>
      <c r="B90" s="21">
        <f>'[4]D4 Gallon Forecast'!B204+'[4]D6 Gallon Forecast'!B229</f>
        <v>0</v>
      </c>
      <c r="C90" s="21">
        <f>'[4]D4 Gallon Forecast'!C204+'[4]D6 Gallon Forecast'!C229</f>
        <v>0</v>
      </c>
      <c r="D90" s="21">
        <f>'[4]D4 Gallon Forecast'!D204+'[4]D6 Gallon Forecast'!D229</f>
        <v>1030821</v>
      </c>
      <c r="E90" s="21">
        <f>'[4]D4 Gallon Forecast'!E204+'[4]D6 Gallon Forecast'!E229</f>
        <v>35535177</v>
      </c>
      <c r="F90" s="21">
        <f>'[4]D4 Gallon Forecast'!F204+'[4]D6 Gallon Forecast'!F229</f>
        <v>18436567</v>
      </c>
      <c r="G90" s="21">
        <f>'[4]D4 Gallon Forecast'!G204+'[4]D6 Gallon Forecast'!G229</f>
        <v>26133904</v>
      </c>
      <c r="H90" s="21">
        <f>'[4]D4 Gallon Forecast'!H204+'[4]D6 Gallon Forecast'!H229</f>
        <v>31410463</v>
      </c>
      <c r="I90" s="21">
        <f>'[4]D4 Gallon Forecast'!I204+'[4]D6 Gallon Forecast'!I229</f>
        <v>24570227</v>
      </c>
      <c r="J90" s="21">
        <f>'[4]D4 Gallon Forecast'!J204+'[4]D6 Gallon Forecast'!J229</f>
        <v>28954900</v>
      </c>
      <c r="K90" s="21">
        <f>'[4]D4 Gallon Forecast'!K204+'[4]D6 Gallon Forecast'!K229</f>
        <v>32289459</v>
      </c>
      <c r="L90" s="21">
        <f>'[4]D4 Gallon Forecast'!L204+'[4]D6 Gallon Forecast'!L229</f>
        <v>26890583</v>
      </c>
      <c r="M90" s="21">
        <f>'[4]D4 Gallon Forecast'!M204+'[4]D6 Gallon Forecast'!M229</f>
        <v>34357948</v>
      </c>
      <c r="N90" s="21">
        <f>'[4]D4 Gallon Forecast'!N204+'[4]D6 Gallon Forecast'!N229</f>
        <v>21091330</v>
      </c>
      <c r="O90" s="21">
        <f>'[4]D4 Gallon Forecast'!O204+'[4]D6 Gallon Forecast'!O229</f>
        <v>25472526</v>
      </c>
      <c r="P90" s="21">
        <f>'[4]D4 Gallon Forecast'!P204+'[4]D6 Gallon Forecast'!P229</f>
        <v>22976837</v>
      </c>
      <c r="Q90" s="22">
        <f>'[4]D4 Gallon Forecast'!Q204+'[4]D6 Gallon Forecast'!Q229</f>
        <v>13889072.991061935</v>
      </c>
      <c r="R90" s="22">
        <f>'[4]D4 Gallon Forecast'!R204+'[4]D6 Gallon Forecast'!R229</f>
        <v>13809419.090967605</v>
      </c>
      <c r="S90" s="22">
        <f>'[4]D4 Gallon Forecast'!S204+'[4]D6 Gallon Forecast'!S229</f>
        <v>11673993.698898958</v>
      </c>
      <c r="T90" s="22">
        <f>'[4]D4 Gallon Forecast'!T204+'[4]D6 Gallon Forecast'!T229</f>
        <v>11468099.439572299</v>
      </c>
      <c r="U90" s="22">
        <f>'[4]D4 Gallon Forecast'!U204+'[4]D6 Gallon Forecast'!U229</f>
        <v>12146792.633668374</v>
      </c>
      <c r="V90" s="22">
        <f>'[4]D4 Gallon Forecast'!V204+'[4]D6 Gallon Forecast'!V229</f>
        <v>10122971.440848617</v>
      </c>
      <c r="W90" s="22">
        <f>'[4]D4 Gallon Forecast'!W204+'[4]D6 Gallon Forecast'!W229</f>
        <v>9690754.3042836841</v>
      </c>
      <c r="X90" s="22">
        <f>'[4]D4 Gallon Forecast'!X204+'[4]D6 Gallon Forecast'!X229</f>
        <v>8643546.90467011</v>
      </c>
      <c r="Y90" s="22">
        <f>'[4]D4 Gallon Forecast'!Y204+'[4]D6 Gallon Forecast'!Y229</f>
        <v>8420179.8275559042</v>
      </c>
      <c r="Z90" s="22">
        <f>'[4]D4 Gallon Forecast'!Z204+'[4]D6 Gallon Forecast'!Z229</f>
        <v>8095746.8990686275</v>
      </c>
      <c r="AA90" s="22">
        <f>'[4]D4 Gallon Forecast'!AA204+'[4]D6 Gallon Forecast'!AA229</f>
        <v>7936446.948781224</v>
      </c>
      <c r="AB90" s="22">
        <f>'[4]D4 Gallon Forecast'!AB204+'[4]D6 Gallon Forecast'!AB229</f>
        <v>3291282.6834122729</v>
      </c>
      <c r="AC90" s="22">
        <f>'[4]D4 Gallon Forecast'!AC204+'[4]D6 Gallon Forecast'!AC229</f>
        <v>2160886.7261675275</v>
      </c>
      <c r="AD90" s="22">
        <f>'[4]D4 Gallon Forecast'!AD204+'[4]D6 Gallon Forecast'!AD229</f>
        <v>2215836.7967252382</v>
      </c>
      <c r="AE90" s="22">
        <f>'[4]D4 Gallon Forecast'!AE204+'[4]D6 Gallon Forecast'!AE229</f>
        <v>2248818.5830746191</v>
      </c>
      <c r="AF90" s="22">
        <f>'[4]D4 Gallon Forecast'!AF204+'[4]D6 Gallon Forecast'!AF229</f>
        <v>2204568.5968836737</v>
      </c>
      <c r="AG90" s="22">
        <f>'[4]D4 Gallon Forecast'!AG204+'[4]D6 Gallon Forecast'!AG229</f>
        <v>2194188.4556081826</v>
      </c>
      <c r="AH90" s="22">
        <f>'[4]D4 Gallon Forecast'!AH204+'[4]D6 Gallon Forecast'!AH229</f>
        <v>2205285.0462720091</v>
      </c>
      <c r="AI90" s="22">
        <f>'[4]D4 Gallon Forecast'!AI204+'[4]D6 Gallon Forecast'!AI229</f>
        <v>2215151.33962856</v>
      </c>
      <c r="AJ90" s="22">
        <f>'[4]D4 Gallon Forecast'!AJ204+'[4]D6 Gallon Forecast'!AJ229</f>
        <v>2214971.9676780277</v>
      </c>
      <c r="AK90" s="22">
        <f>'[4]D4 Gallon Forecast'!AK204+'[4]D6 Gallon Forecast'!AK229</f>
        <v>2204107.6219951711</v>
      </c>
      <c r="AL90" s="22">
        <f>'[4]D4 Gallon Forecast'!AL204+'[4]D6 Gallon Forecast'!AL229</f>
        <v>2203889.7065933333</v>
      </c>
      <c r="AM90" s="22">
        <f>'[4]D4 Gallon Forecast'!AM204+'[4]D6 Gallon Forecast'!AM229</f>
        <v>2204859.8316918486</v>
      </c>
      <c r="AN90" s="22">
        <f>'[4]D4 Gallon Forecast'!AN204+'[4]D6 Gallon Forecast'!AN229</f>
        <v>2213739.4957127445</v>
      </c>
      <c r="AO90" s="22">
        <f>'[4]D4 Gallon Forecast'!AO204+'[4]D6 Gallon Forecast'!AO229</f>
        <v>2213602.4042934091</v>
      </c>
      <c r="AP90" s="22">
        <f>'[4]D4 Gallon Forecast'!AP204+'[4]D6 Gallon Forecast'!AP229</f>
        <v>2206833.0812140908</v>
      </c>
      <c r="AQ90" s="22"/>
      <c r="AR90" s="22"/>
      <c r="AT90" s="24">
        <f t="shared" si="61"/>
        <v>0.20772497514381505</v>
      </c>
      <c r="AU90" s="22">
        <f t="shared" si="62"/>
        <v>4381196</v>
      </c>
      <c r="AV90" s="22">
        <f t="shared" si="63"/>
        <v>-28285362</v>
      </c>
      <c r="AW90" s="24">
        <f t="shared" si="64"/>
        <v>-0.52616207690302119</v>
      </c>
      <c r="AX90" s="22">
        <f>'[4]D4 Gallon Forecast'!$DK204+'[4]D6 Gallon Forecast'!$BK229</f>
        <v>9789342.6385954842</v>
      </c>
      <c r="AY90" s="22">
        <f t="shared" si="59"/>
        <v>15683183.361404516</v>
      </c>
      <c r="AZ90" s="20" t="s">
        <v>13</v>
      </c>
      <c r="BA90" s="21">
        <f t="shared" si="60"/>
        <v>28716844</v>
      </c>
    </row>
    <row r="91" spans="1:53" x14ac:dyDescent="0.25">
      <c r="A91" s="20" t="s">
        <v>77</v>
      </c>
      <c r="B91" s="21">
        <f>'[4]D4 Gallon Forecast'!B205+'[4]D6 Gallon Forecast'!B230</f>
        <v>0</v>
      </c>
      <c r="C91" s="21">
        <f>'[4]D4 Gallon Forecast'!C205+'[4]D6 Gallon Forecast'!C230</f>
        <v>0</v>
      </c>
      <c r="D91" s="21">
        <f>'[4]D4 Gallon Forecast'!D205+'[4]D6 Gallon Forecast'!D230</f>
        <v>8813936</v>
      </c>
      <c r="E91" s="21">
        <f>'[4]D4 Gallon Forecast'!E205+'[4]D6 Gallon Forecast'!E230</f>
        <v>30369779</v>
      </c>
      <c r="F91" s="21">
        <f>'[4]D4 Gallon Forecast'!F205+'[4]D6 Gallon Forecast'!F230</f>
        <v>11809012</v>
      </c>
      <c r="G91" s="21">
        <f>'[4]D4 Gallon Forecast'!G205+'[4]D6 Gallon Forecast'!G230</f>
        <v>21033311</v>
      </c>
      <c r="H91" s="21">
        <f>'[4]D4 Gallon Forecast'!H205+'[4]D6 Gallon Forecast'!H230</f>
        <v>27659587</v>
      </c>
      <c r="I91" s="21">
        <f>'[4]D4 Gallon Forecast'!I205+'[4]D6 Gallon Forecast'!I230</f>
        <v>27986605</v>
      </c>
      <c r="J91" s="21">
        <f>'[4]D4 Gallon Forecast'!J205+'[4]D6 Gallon Forecast'!J230</f>
        <v>22231298</v>
      </c>
      <c r="K91" s="21">
        <f>'[4]D4 Gallon Forecast'!K205+'[4]D6 Gallon Forecast'!K230</f>
        <v>30136109</v>
      </c>
      <c r="L91" s="21">
        <f>'[4]D4 Gallon Forecast'!L205+'[4]D6 Gallon Forecast'!L230</f>
        <v>57289669</v>
      </c>
      <c r="M91" s="21">
        <f>'[4]D4 Gallon Forecast'!M205+'[4]D6 Gallon Forecast'!M230</f>
        <v>51888046</v>
      </c>
      <c r="N91" s="21">
        <f>'[4]D4 Gallon Forecast'!N205+'[4]D6 Gallon Forecast'!N230</f>
        <v>37588428</v>
      </c>
      <c r="O91" s="21">
        <f>'[4]D4 Gallon Forecast'!O205+'[4]D6 Gallon Forecast'!O230</f>
        <v>14917676</v>
      </c>
      <c r="P91" s="21">
        <f>'[4]D4 Gallon Forecast'!P205+'[4]D6 Gallon Forecast'!P230</f>
        <v>18250310</v>
      </c>
      <c r="Q91" s="22">
        <f>'[4]D4 Gallon Forecast'!Q205+'[4]D6 Gallon Forecast'!Q230</f>
        <v>18042274.536135055</v>
      </c>
      <c r="R91" s="22">
        <f>'[4]D4 Gallon Forecast'!R205+'[4]D6 Gallon Forecast'!R230</f>
        <v>19793062.848750956</v>
      </c>
      <c r="S91" s="22">
        <f>'[4]D4 Gallon Forecast'!S205+'[4]D6 Gallon Forecast'!S230</f>
        <v>16022774.236714164</v>
      </c>
      <c r="T91" s="22">
        <f>'[4]D4 Gallon Forecast'!T205+'[4]D6 Gallon Forecast'!T230</f>
        <v>12737771.041761836</v>
      </c>
      <c r="U91" s="22">
        <f>'[4]D4 Gallon Forecast'!U205+'[4]D6 Gallon Forecast'!U230</f>
        <v>13961597.100472977</v>
      </c>
      <c r="V91" s="22">
        <f>'[4]D4 Gallon Forecast'!V205+'[4]D6 Gallon Forecast'!V230</f>
        <v>12946737.819187766</v>
      </c>
      <c r="W91" s="22">
        <f>'[4]D4 Gallon Forecast'!W205+'[4]D6 Gallon Forecast'!W230</f>
        <v>12348317.953127079</v>
      </c>
      <c r="X91" s="22">
        <f>'[4]D4 Gallon Forecast'!X205+'[4]D6 Gallon Forecast'!X230</f>
        <v>10669364.415884525</v>
      </c>
      <c r="Y91" s="22">
        <f>'[4]D4 Gallon Forecast'!Y205+'[4]D6 Gallon Forecast'!Y230</f>
        <v>10132867.900240419</v>
      </c>
      <c r="Z91" s="22">
        <f>'[4]D4 Gallon Forecast'!Z205+'[4]D6 Gallon Forecast'!Z230</f>
        <v>9917981.0403709169</v>
      </c>
      <c r="AA91" s="22">
        <f>'[4]D4 Gallon Forecast'!AA205+'[4]D6 Gallon Forecast'!AA230</f>
        <v>9885047.4933195375</v>
      </c>
      <c r="AB91" s="22">
        <f>'[4]D4 Gallon Forecast'!AB205+'[4]D6 Gallon Forecast'!AB230</f>
        <v>4073352.21561096</v>
      </c>
      <c r="AC91" s="22">
        <f>'[4]D4 Gallon Forecast'!AC205+'[4]D6 Gallon Forecast'!AC230</f>
        <v>2667341.1039711311</v>
      </c>
      <c r="AD91" s="22">
        <f>'[4]D4 Gallon Forecast'!AD205+'[4]D6 Gallon Forecast'!AD230</f>
        <v>2666544.1842737952</v>
      </c>
      <c r="AE91" s="22">
        <f>'[4]D4 Gallon Forecast'!AE205+'[4]D6 Gallon Forecast'!AE230</f>
        <v>2754994.7334363661</v>
      </c>
      <c r="AF91" s="22">
        <f>'[4]D4 Gallon Forecast'!AF205+'[4]D6 Gallon Forecast'!AF230</f>
        <v>2745846.525922094</v>
      </c>
      <c r="AG91" s="22">
        <f>'[4]D4 Gallon Forecast'!AG205+'[4]D6 Gallon Forecast'!AG230</f>
        <v>2715568.1437406405</v>
      </c>
      <c r="AH91" s="22">
        <f>'[4]D4 Gallon Forecast'!AH205+'[4]D6 Gallon Forecast'!AH230</f>
        <v>2707794.7312379614</v>
      </c>
      <c r="AI91" s="22">
        <f>'[4]D4 Gallon Forecast'!AI205+'[4]D6 Gallon Forecast'!AI230</f>
        <v>2716784.4261861457</v>
      </c>
      <c r="AJ91" s="22">
        <f>'[4]D4 Gallon Forecast'!AJ205+'[4]D6 Gallon Forecast'!AJ230</f>
        <v>2729931.4053781624</v>
      </c>
      <c r="AK91" s="22">
        <f>'[4]D4 Gallon Forecast'!AK205+'[4]D6 Gallon Forecast'!AK230</f>
        <v>2721886.3864952833</v>
      </c>
      <c r="AL91" s="22">
        <f>'[4]D4 Gallon Forecast'!AL205+'[4]D6 Gallon Forecast'!AL230</f>
        <v>2710559.7751298822</v>
      </c>
      <c r="AM91" s="22">
        <f>'[4]D4 Gallon Forecast'!AM205+'[4]D6 Gallon Forecast'!AM230</f>
        <v>2710058.9382688054</v>
      </c>
      <c r="AN91" s="22">
        <f>'[4]D4 Gallon Forecast'!AN205+'[4]D6 Gallon Forecast'!AN230</f>
        <v>2718149.6637221714</v>
      </c>
      <c r="AO91" s="22">
        <f>'[4]D4 Gallon Forecast'!AO205+'[4]D6 Gallon Forecast'!AO230</f>
        <v>2728197.7121046418</v>
      </c>
      <c r="AP91" s="22">
        <f>'[4]D4 Gallon Forecast'!AP205+'[4]D6 Gallon Forecast'!AP230</f>
        <v>2723185.0464930008</v>
      </c>
      <c r="AQ91" s="22"/>
      <c r="AR91" s="22"/>
      <c r="AT91" s="24">
        <f t="shared" si="61"/>
        <v>-0.60313115515232507</v>
      </c>
      <c r="AU91" s="22">
        <f t="shared" si="62"/>
        <v>-22670752</v>
      </c>
      <c r="AV91" s="22">
        <f t="shared" si="63"/>
        <v>-10554850</v>
      </c>
      <c r="AW91" s="24">
        <f t="shared" si="64"/>
        <v>-0.41436212490272856</v>
      </c>
      <c r="AX91" s="22">
        <f>'[4]D4 Gallon Forecast'!$DK205+'[4]D6 Gallon Forecast'!$BK230</f>
        <v>9025498.2477976847</v>
      </c>
      <c r="AY91" s="22">
        <f t="shared" si="59"/>
        <v>5892177.7522023153</v>
      </c>
      <c r="AZ91" s="20" t="s">
        <v>14</v>
      </c>
      <c r="BA91" s="21">
        <f t="shared" si="60"/>
        <v>39826710</v>
      </c>
    </row>
    <row r="92" spans="1:53" x14ac:dyDescent="0.25">
      <c r="A92" s="20" t="s">
        <v>78</v>
      </c>
      <c r="B92" s="21">
        <f>'[4]D4 Gallon Forecast'!B206+'[4]D6 Gallon Forecast'!B231</f>
        <v>0</v>
      </c>
      <c r="C92" s="21">
        <f>'[4]D4 Gallon Forecast'!C206+'[4]D6 Gallon Forecast'!C231</f>
        <v>0</v>
      </c>
      <c r="D92" s="21">
        <f>'[4]D4 Gallon Forecast'!D206+'[4]D6 Gallon Forecast'!D231</f>
        <v>12718015</v>
      </c>
      <c r="E92" s="21">
        <f>'[4]D4 Gallon Forecast'!E206+'[4]D6 Gallon Forecast'!E231</f>
        <v>37087346</v>
      </c>
      <c r="F92" s="21">
        <f>'[4]D4 Gallon Forecast'!F206+'[4]D6 Gallon Forecast'!F231</f>
        <v>13697034</v>
      </c>
      <c r="G92" s="21">
        <f>'[4]D4 Gallon Forecast'!G206+'[4]D6 Gallon Forecast'!G231</f>
        <v>27665247</v>
      </c>
      <c r="H92" s="21">
        <f>'[4]D4 Gallon Forecast'!H206+'[4]D6 Gallon Forecast'!H231</f>
        <v>21547341</v>
      </c>
      <c r="I92" s="21">
        <f>'[4]D4 Gallon Forecast'!I206+'[4]D6 Gallon Forecast'!I231</f>
        <v>28502305</v>
      </c>
      <c r="J92" s="21">
        <f>'[4]D4 Gallon Forecast'!J206+'[4]D6 Gallon Forecast'!J231</f>
        <v>9663570</v>
      </c>
      <c r="K92" s="21">
        <f>'[4]D4 Gallon Forecast'!K206+'[4]D6 Gallon Forecast'!K231</f>
        <v>41563261</v>
      </c>
      <c r="L92" s="21">
        <f>'[4]D4 Gallon Forecast'!L206+'[4]D6 Gallon Forecast'!L231</f>
        <v>29749291</v>
      </c>
      <c r="M92" s="21">
        <f>'[4]D4 Gallon Forecast'!M206+'[4]D6 Gallon Forecast'!M231</f>
        <v>42634631</v>
      </c>
      <c r="N92" s="21">
        <f>'[4]D4 Gallon Forecast'!N206+'[4]D6 Gallon Forecast'!N231</f>
        <v>37818997</v>
      </c>
      <c r="O92" s="21">
        <f>'[4]D4 Gallon Forecast'!O206+'[4]D6 Gallon Forecast'!O231</f>
        <v>53574873</v>
      </c>
      <c r="P92" s="21">
        <f>'[4]D4 Gallon Forecast'!P206+'[4]D6 Gallon Forecast'!P231</f>
        <v>17529275</v>
      </c>
      <c r="Q92" s="22">
        <f>'[4]D4 Gallon Forecast'!Q206+'[4]D6 Gallon Forecast'!Q231</f>
        <v>18677867.257025421</v>
      </c>
      <c r="R92" s="22">
        <f>'[4]D4 Gallon Forecast'!R206+'[4]D6 Gallon Forecast'!R231</f>
        <v>24683901.871777788</v>
      </c>
      <c r="S92" s="22">
        <f>'[4]D4 Gallon Forecast'!S206+'[4]D6 Gallon Forecast'!S231</f>
        <v>22304498.820663068</v>
      </c>
      <c r="T92" s="22">
        <f>'[4]D4 Gallon Forecast'!T206+'[4]D6 Gallon Forecast'!T231</f>
        <v>20290254.418766204</v>
      </c>
      <c r="U92" s="22">
        <f>'[4]D4 Gallon Forecast'!U206+'[4]D6 Gallon Forecast'!U231</f>
        <v>16680580.072264178</v>
      </c>
      <c r="V92" s="22">
        <f>'[4]D4 Gallon Forecast'!V206+'[4]D6 Gallon Forecast'!V231</f>
        <v>16495248.606508391</v>
      </c>
      <c r="W92" s="22">
        <f>'[4]D4 Gallon Forecast'!W206+'[4]D6 Gallon Forecast'!W231</f>
        <v>16438006.438360302</v>
      </c>
      <c r="X92" s="22">
        <f>'[4]D4 Gallon Forecast'!X206+'[4]D6 Gallon Forecast'!X231</f>
        <v>14464092.291225439</v>
      </c>
      <c r="Y92" s="22">
        <f>'[4]D4 Gallon Forecast'!Y206+'[4]D6 Gallon Forecast'!Y231</f>
        <v>13642514.508215878</v>
      </c>
      <c r="Z92" s="22">
        <f>'[4]D4 Gallon Forecast'!Z206+'[4]D6 Gallon Forecast'!Z231</f>
        <v>12834568.389892986</v>
      </c>
      <c r="AA92" s="22">
        <f>'[4]D4 Gallon Forecast'!AA206+'[4]D6 Gallon Forecast'!AA231</f>
        <v>13036664.158976998</v>
      </c>
      <c r="AB92" s="22">
        <f>'[4]D4 Gallon Forecast'!AB206+'[4]D6 Gallon Forecast'!AB231</f>
        <v>5416603.5220516613</v>
      </c>
      <c r="AC92" s="22">
        <f>'[4]D4 Gallon Forecast'!AC206+'[4]D6 Gallon Forecast'!AC231</f>
        <v>3616023.0728063597</v>
      </c>
      <c r="AD92" s="22">
        <f>'[4]D4 Gallon Forecast'!AD206+'[4]D6 Gallon Forecast'!AD231</f>
        <v>3590135.396898916</v>
      </c>
      <c r="AE92" s="22">
        <f>'[4]D4 Gallon Forecast'!AE206+'[4]D6 Gallon Forecast'!AE231</f>
        <v>3565157.8860813854</v>
      </c>
      <c r="AF92" s="22">
        <f>'[4]D4 Gallon Forecast'!AF206+'[4]D6 Gallon Forecast'!AF231</f>
        <v>3621295.5997158336</v>
      </c>
      <c r="AG92" s="22">
        <f>'[4]D4 Gallon Forecast'!AG206+'[4]D6 Gallon Forecast'!AG231</f>
        <v>3611069.0147011089</v>
      </c>
      <c r="AH92" s="22">
        <f>'[4]D4 Gallon Forecast'!AH206+'[4]D6 Gallon Forecast'!AH231</f>
        <v>3599663.2042644233</v>
      </c>
      <c r="AI92" s="22">
        <f>'[4]D4 Gallon Forecast'!AI206+'[4]D6 Gallon Forecast'!AI231</f>
        <v>3596027.6779217697</v>
      </c>
      <c r="AJ92" s="22">
        <f>'[4]D4 Gallon Forecast'!AJ206+'[4]D6 Gallon Forecast'!AJ231</f>
        <v>3597569.5832361612</v>
      </c>
      <c r="AK92" s="22">
        <f>'[4]D4 Gallon Forecast'!AK206+'[4]D6 Gallon Forecast'!AK231</f>
        <v>3607973.3378784354</v>
      </c>
      <c r="AL92" s="22">
        <f>'[4]D4 Gallon Forecast'!AL206+'[4]D6 Gallon Forecast'!AL231</f>
        <v>3601675.5413734829</v>
      </c>
      <c r="AM92" s="22">
        <f>'[4]D4 Gallon Forecast'!AM206+'[4]D6 Gallon Forecast'!AM231</f>
        <v>3600736.1940407213</v>
      </c>
      <c r="AN92" s="22">
        <f>'[4]D4 Gallon Forecast'!AN206+'[4]D6 Gallon Forecast'!AN231</f>
        <v>3597464.2203323338</v>
      </c>
      <c r="AO92" s="22">
        <f>'[4]D4 Gallon Forecast'!AO206+'[4]D6 Gallon Forecast'!AO231</f>
        <v>3598642.6765369046</v>
      </c>
      <c r="AP92" s="22">
        <f>'[4]D4 Gallon Forecast'!AP206+'[4]D6 Gallon Forecast'!AP231</f>
        <v>3605125.0159678594</v>
      </c>
      <c r="AQ92" s="22"/>
      <c r="AR92" s="22"/>
      <c r="AT92" s="24">
        <f t="shared" si="61"/>
        <v>0.41661274094603828</v>
      </c>
      <c r="AU92" s="22">
        <f t="shared" si="62"/>
        <v>15755876</v>
      </c>
      <c r="AV92" s="22">
        <f t="shared" si="63"/>
        <v>38657197</v>
      </c>
      <c r="AW92" s="24">
        <f t="shared" si="64"/>
        <v>2.5913685885120445</v>
      </c>
      <c r="AX92" s="22">
        <f>'[4]D4 Gallon Forecast'!$DK206+'[4]D6 Gallon Forecast'!$BK231</f>
        <v>9967690.2176618353</v>
      </c>
      <c r="AY92" s="22">
        <f t="shared" si="59"/>
        <v>43607182.782338165</v>
      </c>
      <c r="AZ92" s="20" t="s">
        <v>15</v>
      </c>
      <c r="BA92" s="21">
        <f t="shared" si="60"/>
        <v>32285950</v>
      </c>
    </row>
    <row r="93" spans="1:53" x14ac:dyDescent="0.25">
      <c r="A93" s="20" t="s">
        <v>79</v>
      </c>
      <c r="B93" s="21">
        <f>'[4]D4 Gallon Forecast'!B207+'[4]D6 Gallon Forecast'!B232</f>
        <v>0</v>
      </c>
      <c r="C93" s="21">
        <f>'[4]D4 Gallon Forecast'!C207+'[4]D6 Gallon Forecast'!C232</f>
        <v>0</v>
      </c>
      <c r="D93" s="21">
        <f>'[4]D4 Gallon Forecast'!D207+'[4]D6 Gallon Forecast'!D232</f>
        <v>10308273</v>
      </c>
      <c r="E93" s="21">
        <f>'[4]D4 Gallon Forecast'!E207+'[4]D6 Gallon Forecast'!E232</f>
        <v>35158057</v>
      </c>
      <c r="F93" s="21">
        <f>'[4]D4 Gallon Forecast'!F207+'[4]D6 Gallon Forecast'!F232</f>
        <v>29365316</v>
      </c>
      <c r="G93" s="21">
        <f>'[4]D4 Gallon Forecast'!G207+'[4]D6 Gallon Forecast'!G232</f>
        <v>28027536</v>
      </c>
      <c r="H93" s="21">
        <f>'[4]D4 Gallon Forecast'!H207+'[4]D6 Gallon Forecast'!H232</f>
        <v>30556863</v>
      </c>
      <c r="I93" s="21">
        <f>'[4]D4 Gallon Forecast'!I207+'[4]D6 Gallon Forecast'!I232</f>
        <v>28410108</v>
      </c>
      <c r="J93" s="21">
        <f>'[4]D4 Gallon Forecast'!J207+'[4]D6 Gallon Forecast'!J232</f>
        <v>19114896</v>
      </c>
      <c r="K93" s="21">
        <f>'[4]D4 Gallon Forecast'!K207+'[4]D6 Gallon Forecast'!K232</f>
        <v>31150210</v>
      </c>
      <c r="L93" s="21">
        <f>'[4]D4 Gallon Forecast'!L207+'[4]D6 Gallon Forecast'!L232</f>
        <v>41385175</v>
      </c>
      <c r="M93" s="21">
        <f>'[4]D4 Gallon Forecast'!M207+'[4]D6 Gallon Forecast'!M232</f>
        <v>31295689</v>
      </c>
      <c r="N93" s="21">
        <f>'[4]D4 Gallon Forecast'!N207+'[4]D6 Gallon Forecast'!N232</f>
        <v>27012384</v>
      </c>
      <c r="O93" s="21">
        <f>'[4]D4 Gallon Forecast'!O207+'[4]D6 Gallon Forecast'!O232</f>
        <v>45390288</v>
      </c>
      <c r="P93" s="21">
        <f>'[4]D4 Gallon Forecast'!P207+'[4]D6 Gallon Forecast'!P232</f>
        <v>8083529</v>
      </c>
      <c r="Q93" s="22">
        <f>'[4]D4 Gallon Forecast'!Q207+'[4]D6 Gallon Forecast'!Q232</f>
        <v>16859024.316303566</v>
      </c>
      <c r="R93" s="22">
        <f>'[4]D4 Gallon Forecast'!R207+'[4]D6 Gallon Forecast'!R232</f>
        <v>19886348.568507258</v>
      </c>
      <c r="S93" s="22">
        <f>'[4]D4 Gallon Forecast'!S207+'[4]D6 Gallon Forecast'!S232</f>
        <v>18075205.539549988</v>
      </c>
      <c r="T93" s="22">
        <f>'[4]D4 Gallon Forecast'!T207+'[4]D6 Gallon Forecast'!T232</f>
        <v>16900310.280594748</v>
      </c>
      <c r="U93" s="22">
        <f>'[4]D4 Gallon Forecast'!U207+'[4]D6 Gallon Forecast'!U232</f>
        <v>12997413.007001387</v>
      </c>
      <c r="V93" s="22">
        <f>'[4]D4 Gallon Forecast'!V207+'[4]D6 Gallon Forecast'!V232</f>
        <v>13615441.346564511</v>
      </c>
      <c r="W93" s="22">
        <f>'[4]D4 Gallon Forecast'!W207+'[4]D6 Gallon Forecast'!W232</f>
        <v>13332226.70327202</v>
      </c>
      <c r="X93" s="22">
        <f>'[4]D4 Gallon Forecast'!X207+'[4]D6 Gallon Forecast'!X232</f>
        <v>11752250.490507085</v>
      </c>
      <c r="Y93" s="22">
        <f>'[4]D4 Gallon Forecast'!Y207+'[4]D6 Gallon Forecast'!Y232</f>
        <v>11092384.636007279</v>
      </c>
      <c r="Z93" s="22">
        <f>'[4]D4 Gallon Forecast'!Z207+'[4]D6 Gallon Forecast'!Z232</f>
        <v>10368943.956883863</v>
      </c>
      <c r="AA93" s="22">
        <f>'[4]D4 Gallon Forecast'!AA207+'[4]D6 Gallon Forecast'!AA232</f>
        <v>10616690.670570839</v>
      </c>
      <c r="AB93" s="22">
        <f>'[4]D4 Gallon Forecast'!AB207+'[4]D6 Gallon Forecast'!AB232</f>
        <v>4397115.1120954677</v>
      </c>
      <c r="AC93" s="22">
        <f>'[4]D4 Gallon Forecast'!AC207+'[4]D6 Gallon Forecast'!AC232</f>
        <v>2938062.6226267712</v>
      </c>
      <c r="AD93" s="22">
        <f>'[4]D4 Gallon Forecast'!AD207+'[4]D6 Gallon Forecast'!AD232</f>
        <v>2919048.5884229685</v>
      </c>
      <c r="AE93" s="22">
        <f>'[4]D4 Gallon Forecast'!AE207+'[4]D6 Gallon Forecast'!AE232</f>
        <v>2880262.210245518</v>
      </c>
      <c r="AF93" s="22">
        <f>'[4]D4 Gallon Forecast'!AF207+'[4]D6 Gallon Forecast'!AF232</f>
        <v>2949080.7418252337</v>
      </c>
      <c r="AG93" s="22">
        <f>'[4]D4 Gallon Forecast'!AG207+'[4]D6 Gallon Forecast'!AG232</f>
        <v>2931410.0747303125</v>
      </c>
      <c r="AH93" s="22">
        <f>'[4]D4 Gallon Forecast'!AH207+'[4]D6 Gallon Forecast'!AH232</f>
        <v>2922871.8100645179</v>
      </c>
      <c r="AI93" s="22">
        <f>'[4]D4 Gallon Forecast'!AI207+'[4]D6 Gallon Forecast'!AI232</f>
        <v>2919496.073939573</v>
      </c>
      <c r="AJ93" s="22">
        <f>'[4]D4 Gallon Forecast'!AJ207+'[4]D6 Gallon Forecast'!AJ232</f>
        <v>2919613.1729532629</v>
      </c>
      <c r="AK93" s="22">
        <f>'[4]D4 Gallon Forecast'!AK207+'[4]D6 Gallon Forecast'!AK232</f>
        <v>2932244.3461680952</v>
      </c>
      <c r="AL93" s="22">
        <f>'[4]D4 Gallon Forecast'!AL207+'[4]D6 Gallon Forecast'!AL232</f>
        <v>2924285.3227665387</v>
      </c>
      <c r="AM93" s="22">
        <f>'[4]D4 Gallon Forecast'!AM207+'[4]D6 Gallon Forecast'!AM232</f>
        <v>2923572.8475701609</v>
      </c>
      <c r="AN93" s="22">
        <f>'[4]D4 Gallon Forecast'!AN207+'[4]D6 Gallon Forecast'!AN232</f>
        <v>2920534.6850577104</v>
      </c>
      <c r="AO93" s="22">
        <f>'[4]D4 Gallon Forecast'!AO207+'[4]D6 Gallon Forecast'!AO232</f>
        <v>2920624.1821610308</v>
      </c>
      <c r="AP93" s="22">
        <f>'[4]D4 Gallon Forecast'!AP207+'[4]D6 Gallon Forecast'!AP232</f>
        <v>2928494.3747025803</v>
      </c>
      <c r="AQ93" s="22"/>
      <c r="AR93" s="22"/>
      <c r="AT93" s="24">
        <f t="shared" si="61"/>
        <v>0.68035105675974394</v>
      </c>
      <c r="AU93" s="22">
        <f t="shared" si="62"/>
        <v>18377904</v>
      </c>
      <c r="AV93" s="22">
        <f t="shared" si="63"/>
        <v>-8184585</v>
      </c>
      <c r="AW93" s="24">
        <f t="shared" si="64"/>
        <v>-0.15276909755810342</v>
      </c>
      <c r="AX93" s="22">
        <f>'[4]D4 Gallon Forecast'!$DK207+'[4]D6 Gallon Forecast'!$BK232</f>
        <v>4969929.8991743345</v>
      </c>
      <c r="AY93" s="22">
        <f t="shared" si="59"/>
        <v>40420358.100825667</v>
      </c>
      <c r="AZ93" s="20" t="s">
        <v>16</v>
      </c>
      <c r="BA93" s="21">
        <f t="shared" si="60"/>
        <v>29991670.800000001</v>
      </c>
    </row>
    <row r="94" spans="1:53" x14ac:dyDescent="0.25">
      <c r="A94" s="20" t="s">
        <v>80</v>
      </c>
      <c r="B94" s="21">
        <f>'[4]D4 Gallon Forecast'!B208+'[4]D6 Gallon Forecast'!B233</f>
        <v>0</v>
      </c>
      <c r="C94" s="21">
        <f>'[4]D4 Gallon Forecast'!C208+'[4]D6 Gallon Forecast'!C233</f>
        <v>0</v>
      </c>
      <c r="D94" s="21">
        <f>'[4]D4 Gallon Forecast'!D208+'[4]D6 Gallon Forecast'!D233</f>
        <v>4421460</v>
      </c>
      <c r="E94" s="21">
        <f>'[4]D4 Gallon Forecast'!E208+'[4]D6 Gallon Forecast'!E233</f>
        <v>32738226</v>
      </c>
      <c r="F94" s="21">
        <f>'[4]D4 Gallon Forecast'!F208+'[4]D6 Gallon Forecast'!F233</f>
        <v>11628154</v>
      </c>
      <c r="G94" s="21">
        <f>'[4]D4 Gallon Forecast'!G208+'[4]D6 Gallon Forecast'!G233</f>
        <v>27410236</v>
      </c>
      <c r="H94" s="21">
        <f>'[4]D4 Gallon Forecast'!H208+'[4]D6 Gallon Forecast'!H233</f>
        <v>26395206</v>
      </c>
      <c r="I94" s="21">
        <f>'[4]D4 Gallon Forecast'!I208+'[4]D6 Gallon Forecast'!I233</f>
        <v>31443642</v>
      </c>
      <c r="J94" s="21">
        <f>'[4]D4 Gallon Forecast'!J208+'[4]D6 Gallon Forecast'!J233</f>
        <v>29538607</v>
      </c>
      <c r="K94" s="21">
        <f>'[4]D4 Gallon Forecast'!K208+'[4]D6 Gallon Forecast'!K233</f>
        <v>35405010</v>
      </c>
      <c r="L94" s="21">
        <f>'[4]D4 Gallon Forecast'!L208+'[4]D6 Gallon Forecast'!L233</f>
        <v>39599341</v>
      </c>
      <c r="M94" s="21">
        <f>'[4]D4 Gallon Forecast'!M208+'[4]D6 Gallon Forecast'!M233</f>
        <v>52164246</v>
      </c>
      <c r="N94" s="21">
        <f>'[4]D4 Gallon Forecast'!N208+'[4]D6 Gallon Forecast'!N233</f>
        <v>40398460</v>
      </c>
      <c r="O94" s="21">
        <f>'[4]D4 Gallon Forecast'!O208+'[4]D6 Gallon Forecast'!O233</f>
        <v>48623210</v>
      </c>
      <c r="P94" s="21">
        <f>'[4]D4 Gallon Forecast'!P208+'[4]D6 Gallon Forecast'!P233</f>
        <v>4236635</v>
      </c>
      <c r="Q94" s="22">
        <f>'[4]D4 Gallon Forecast'!Q208+'[4]D6 Gallon Forecast'!Q233</f>
        <v>61474518.720732391</v>
      </c>
      <c r="R94" s="22">
        <f>'[4]D4 Gallon Forecast'!R208+'[4]D6 Gallon Forecast'!R233</f>
        <v>31073492.569914579</v>
      </c>
      <c r="S94" s="22">
        <f>'[4]D4 Gallon Forecast'!S208+'[4]D6 Gallon Forecast'!S233</f>
        <v>28715032.505401701</v>
      </c>
      <c r="T94" s="22">
        <f>'[4]D4 Gallon Forecast'!T208+'[4]D6 Gallon Forecast'!T233</f>
        <v>27567097.859590977</v>
      </c>
      <c r="U94" s="22">
        <f>'[4]D4 Gallon Forecast'!U208+'[4]D6 Gallon Forecast'!U233</f>
        <v>25187419.70677653</v>
      </c>
      <c r="V94" s="22">
        <f>'[4]D4 Gallon Forecast'!V208+'[4]D6 Gallon Forecast'!V233</f>
        <v>27967108.076102614</v>
      </c>
      <c r="W94" s="22">
        <f>'[4]D4 Gallon Forecast'!W208+'[4]D6 Gallon Forecast'!W233</f>
        <v>22992570.117455989</v>
      </c>
      <c r="X94" s="22">
        <f>'[4]D4 Gallon Forecast'!X208+'[4]D6 Gallon Forecast'!X233</f>
        <v>20773212.27691415</v>
      </c>
      <c r="Y94" s="22">
        <f>'[4]D4 Gallon Forecast'!Y208+'[4]D6 Gallon Forecast'!Y233</f>
        <v>20129878.746382654</v>
      </c>
      <c r="Z94" s="22">
        <f>'[4]D4 Gallon Forecast'!Z208+'[4]D6 Gallon Forecast'!Z233</f>
        <v>19329388.996563092</v>
      </c>
      <c r="AA94" s="22">
        <f>'[4]D4 Gallon Forecast'!AA208+'[4]D6 Gallon Forecast'!AA233</f>
        <v>19622145.567073837</v>
      </c>
      <c r="AB94" s="22">
        <f>'[4]D4 Gallon Forecast'!AB208+'[4]D6 Gallon Forecast'!AB233</f>
        <v>7911322.7464915067</v>
      </c>
      <c r="AC94" s="22">
        <f>'[4]D4 Gallon Forecast'!AC208+'[4]D6 Gallon Forecast'!AC233</f>
        <v>5193303.0692285374</v>
      </c>
      <c r="AD94" s="22">
        <f>'[4]D4 Gallon Forecast'!AD208+'[4]D6 Gallon Forecast'!AD233</f>
        <v>5297336.5122059658</v>
      </c>
      <c r="AE94" s="22">
        <f>'[4]D4 Gallon Forecast'!AE208+'[4]D6 Gallon Forecast'!AE233</f>
        <v>5369274.7212675214</v>
      </c>
      <c r="AF94" s="22">
        <f>'[4]D4 Gallon Forecast'!AF208+'[4]D6 Gallon Forecast'!AF233</f>
        <v>5450595.9908538461</v>
      </c>
      <c r="AG94" s="22">
        <f>'[4]D4 Gallon Forecast'!AG208+'[4]D6 Gallon Forecast'!AG233</f>
        <v>5274215.1643276811</v>
      </c>
      <c r="AH94" s="22">
        <f>'[4]D4 Gallon Forecast'!AH208+'[4]D6 Gallon Forecast'!AH233</f>
        <v>5319148.3838439509</v>
      </c>
      <c r="AI94" s="22">
        <f>'[4]D4 Gallon Forecast'!AI208+'[4]D6 Gallon Forecast'!AI233</f>
        <v>5347114.0093140528</v>
      </c>
      <c r="AJ94" s="22">
        <f>'[4]D4 Gallon Forecast'!AJ208+'[4]D6 Gallon Forecast'!AJ233</f>
        <v>5360139.8964077532</v>
      </c>
      <c r="AK94" s="22">
        <f>'[4]D4 Gallon Forecast'!AK208+'[4]D6 Gallon Forecast'!AK233</f>
        <v>5357207.7304033861</v>
      </c>
      <c r="AL94" s="22">
        <f>'[4]D4 Gallon Forecast'!AL208+'[4]D6 Gallon Forecast'!AL233</f>
        <v>5313060.5527358875</v>
      </c>
      <c r="AM94" s="22">
        <f>'[4]D4 Gallon Forecast'!AM208+'[4]D6 Gallon Forecast'!AM233</f>
        <v>5316945.0915767029</v>
      </c>
      <c r="AN94" s="22">
        <f>'[4]D4 Gallon Forecast'!AN208+'[4]D6 Gallon Forecast'!AN233</f>
        <v>5342114.1544997916</v>
      </c>
      <c r="AO94" s="22">
        <f>'[4]D4 Gallon Forecast'!AO208+'[4]D6 Gallon Forecast'!AO233</f>
        <v>5352069.653921403</v>
      </c>
      <c r="AP94" s="22">
        <f>'[4]D4 Gallon Forecast'!AP208+'[4]D6 Gallon Forecast'!AP233</f>
        <v>5350242.6889494509</v>
      </c>
      <c r="AQ94" s="22"/>
      <c r="AR94" s="22"/>
      <c r="AT94" s="24">
        <f t="shared" si="61"/>
        <v>0.20359068142696524</v>
      </c>
      <c r="AU94" s="22">
        <f t="shared" si="62"/>
        <v>8224750</v>
      </c>
      <c r="AV94" s="22">
        <f t="shared" si="63"/>
        <v>3232922</v>
      </c>
      <c r="AW94" s="24">
        <f t="shared" si="64"/>
        <v>7.1224972179070548E-2</v>
      </c>
      <c r="AX94" s="22">
        <f>'[4]D4 Gallon Forecast'!$DK208+'[4]D6 Gallon Forecast'!$BK233</f>
        <v>6769140.6055476917</v>
      </c>
      <c r="AY94" s="22">
        <f t="shared" si="59"/>
        <v>41854069.394452311</v>
      </c>
      <c r="AZ94" s="20" t="s">
        <v>17</v>
      </c>
      <c r="BA94" s="21">
        <f t="shared" si="60"/>
        <v>39421132.799999997</v>
      </c>
    </row>
    <row r="95" spans="1:53" x14ac:dyDescent="0.25">
      <c r="A95" s="20" t="s">
        <v>58</v>
      </c>
      <c r="D95" s="21">
        <f t="shared" ref="D95:J95" si="65">SUM(D83:D94)</f>
        <v>50274934</v>
      </c>
      <c r="E95" s="21">
        <f t="shared" si="65"/>
        <v>238652349</v>
      </c>
      <c r="F95" s="21">
        <f t="shared" si="65"/>
        <v>287669986</v>
      </c>
      <c r="G95" s="21">
        <f t="shared" si="65"/>
        <v>285020427</v>
      </c>
      <c r="H95" s="21">
        <f t="shared" si="65"/>
        <v>305146159</v>
      </c>
      <c r="I95" s="21">
        <f t="shared" si="65"/>
        <v>311441433</v>
      </c>
      <c r="J95" s="21">
        <f t="shared" si="65"/>
        <v>297060021</v>
      </c>
      <c r="K95" s="21">
        <f>SUM(K83:K94)</f>
        <v>386724210</v>
      </c>
      <c r="L95" s="21">
        <f>SUM(L83:L94)</f>
        <v>416277898</v>
      </c>
      <c r="M95" s="21">
        <f t="shared" ref="M95:AD95" si="66">SUM(M83:M94)</f>
        <v>443384182</v>
      </c>
      <c r="N95" s="21">
        <f t="shared" si="66"/>
        <v>412538872</v>
      </c>
      <c r="O95" s="21">
        <f t="shared" si="66"/>
        <v>480753949</v>
      </c>
      <c r="P95" s="21">
        <f t="shared" si="66"/>
        <v>313984129</v>
      </c>
      <c r="Q95" s="22">
        <f t="shared" si="66"/>
        <v>210580731.25</v>
      </c>
      <c r="R95" s="22">
        <f t="shared" si="66"/>
        <v>273754344.125</v>
      </c>
      <c r="S95" s="22">
        <f t="shared" si="66"/>
        <v>252696474.49999997</v>
      </c>
      <c r="T95" s="22">
        <f t="shared" si="66"/>
        <v>231638604.87500003</v>
      </c>
      <c r="U95" s="22">
        <f t="shared" si="66"/>
        <v>210580735.25</v>
      </c>
      <c r="V95" s="22">
        <f t="shared" si="66"/>
        <v>189522865.625</v>
      </c>
      <c r="W95" s="22">
        <f t="shared" si="66"/>
        <v>189522866.625</v>
      </c>
      <c r="X95" s="22">
        <f t="shared" si="66"/>
        <v>168464997.00000003</v>
      </c>
      <c r="Y95" s="22">
        <f t="shared" si="66"/>
        <v>160041849.75</v>
      </c>
      <c r="Z95" s="22">
        <f t="shared" si="66"/>
        <v>151618702.5</v>
      </c>
      <c r="AA95" s="22">
        <f t="shared" si="66"/>
        <v>151618703.5</v>
      </c>
      <c r="AB95" s="22">
        <f t="shared" si="66"/>
        <v>63175647.874999993</v>
      </c>
      <c r="AC95" s="22">
        <f t="shared" si="66"/>
        <v>42117778.250000007</v>
      </c>
      <c r="AD95" s="22">
        <f t="shared" si="66"/>
        <v>42117779.250000007</v>
      </c>
      <c r="AE95" s="22">
        <f>SUM(AE83:AE94)</f>
        <v>42117780.250000007</v>
      </c>
      <c r="AF95" s="22">
        <f>SUM(AF83:AF94)</f>
        <v>42117781.250000007</v>
      </c>
      <c r="AG95" s="22">
        <f t="shared" ref="AG95:AP95" si="67">SUM(AG83:AG94)</f>
        <v>42117782.250000007</v>
      </c>
      <c r="AH95" s="22">
        <f t="shared" si="67"/>
        <v>42117783.250000007</v>
      </c>
      <c r="AI95" s="22">
        <f t="shared" si="67"/>
        <v>42117784.250000007</v>
      </c>
      <c r="AJ95" s="22">
        <f t="shared" si="67"/>
        <v>42117785.250000007</v>
      </c>
      <c r="AK95" s="22">
        <f t="shared" si="67"/>
        <v>42117786.250000007</v>
      </c>
      <c r="AL95" s="22">
        <f t="shared" si="67"/>
        <v>42117787.250000007</v>
      </c>
      <c r="AM95" s="22">
        <f t="shared" si="67"/>
        <v>42117788.250000007</v>
      </c>
      <c r="AN95" s="22">
        <f t="shared" si="67"/>
        <v>42117789.250000007</v>
      </c>
      <c r="AO95" s="22">
        <f t="shared" si="67"/>
        <v>42117790.250000007</v>
      </c>
      <c r="AP95" s="22">
        <f t="shared" si="67"/>
        <v>42117791.250000007</v>
      </c>
      <c r="AQ95" s="22"/>
      <c r="AR95" s="22"/>
      <c r="AS95" s="22"/>
      <c r="AT95" s="22"/>
      <c r="AU95" s="22"/>
      <c r="AV95" s="27"/>
      <c r="AW95" s="27"/>
      <c r="AX95" s="22">
        <f>'[4]D4 Gallon Forecast'!$DK209+'[4]D6 Gallon Forecast'!$BK234</f>
        <v>10159557.192565186</v>
      </c>
      <c r="AY95" s="22">
        <f t="shared" si="59"/>
        <v>470594391.8074348</v>
      </c>
    </row>
    <row r="96" spans="1:53" x14ac:dyDescent="0.25">
      <c r="O96" s="21">
        <f>O95-N95</f>
        <v>68215077</v>
      </c>
    </row>
    <row r="97" spans="1:47" x14ac:dyDescent="0.25">
      <c r="K97" s="21">
        <f>K95-J95</f>
        <v>89664189</v>
      </c>
      <c r="L97" s="21">
        <f>L95-K95</f>
        <v>29553688</v>
      </c>
      <c r="M97" s="11">
        <f>M95/L95-1</f>
        <v>6.5115837593664461E-2</v>
      </c>
      <c r="N97" s="21"/>
      <c r="O97" s="21">
        <f>O96*7.5*0.45</f>
        <v>230225884.875</v>
      </c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100" spans="1:47" x14ac:dyDescent="0.25">
      <c r="A100" s="20" t="s">
        <v>140</v>
      </c>
    </row>
    <row r="101" spans="1:47" x14ac:dyDescent="0.25">
      <c r="A101" s="20" t="s">
        <v>70</v>
      </c>
      <c r="N101" s="21">
        <f>(M49+Biodiesel!M3)/1000000</f>
        <v>157.67721499999999</v>
      </c>
      <c r="O101" s="20">
        <v>9.4240566083057722</v>
      </c>
    </row>
    <row r="102" spans="1:47" x14ac:dyDescent="0.25">
      <c r="A102" s="20" t="s">
        <v>71</v>
      </c>
      <c r="N102" s="21">
        <f>(M50+Biodiesel!M4)/1000000</f>
        <v>161.05676</v>
      </c>
      <c r="O102" s="20">
        <v>7.4999731805054308</v>
      </c>
    </row>
    <row r="103" spans="1:47" x14ac:dyDescent="0.25">
      <c r="A103" s="20" t="s">
        <v>72</v>
      </c>
      <c r="N103" s="21">
        <f>(M51+Biodiesel!M5)/1000000</f>
        <v>209.56096400000001</v>
      </c>
      <c r="O103" s="20">
        <v>7.4086239194388268</v>
      </c>
    </row>
    <row r="104" spans="1:47" x14ac:dyDescent="0.25">
      <c r="A104" s="20" t="s">
        <v>73</v>
      </c>
      <c r="N104" s="21">
        <f>(M52+Biodiesel!M6)/1000000</f>
        <v>195.03092699999999</v>
      </c>
      <c r="O104" s="20">
        <v>7.9533847470252761</v>
      </c>
    </row>
    <row r="105" spans="1:47" x14ac:dyDescent="0.25">
      <c r="A105" s="20" t="s">
        <v>10</v>
      </c>
      <c r="N105" s="21">
        <f>(M53+Biodiesel!M7)/1000000</f>
        <v>210.55338699999999</v>
      </c>
      <c r="O105" s="20">
        <v>8.0203126820277664</v>
      </c>
    </row>
    <row r="106" spans="1:47" x14ac:dyDescent="0.25">
      <c r="A106" s="20" t="s">
        <v>74</v>
      </c>
      <c r="N106" s="21">
        <f>(M54+Biodiesel!M8)/1000000</f>
        <v>223.31666300000001</v>
      </c>
      <c r="O106" s="20">
        <v>7.2823002912236783</v>
      </c>
    </row>
    <row r="107" spans="1:47" x14ac:dyDescent="0.25">
      <c r="A107" s="20" t="s">
        <v>75</v>
      </c>
      <c r="N107" s="21">
        <f>(M55+Biodiesel!M9)/1000000</f>
        <v>216.39091099999999</v>
      </c>
      <c r="O107" s="20">
        <v>8.1315753599281262</v>
      </c>
    </row>
    <row r="108" spans="1:47" x14ac:dyDescent="0.25">
      <c r="A108" s="20" t="s">
        <v>76</v>
      </c>
      <c r="N108" s="21">
        <f>(M56+Biodiesel!M10)/1000000</f>
        <v>236.97476499999999</v>
      </c>
      <c r="O108" s="20">
        <v>7.2669805158367824</v>
      </c>
    </row>
    <row r="109" spans="1:47" x14ac:dyDescent="0.25">
      <c r="A109" s="20" t="s">
        <v>77</v>
      </c>
      <c r="N109" s="21">
        <f>(M57+Biodiesel!M11)/1000000</f>
        <v>195.68227999999999</v>
      </c>
      <c r="O109" s="20">
        <v>7.5800220643381717</v>
      </c>
    </row>
    <row r="110" spans="1:47" x14ac:dyDescent="0.25">
      <c r="A110" s="20" t="s">
        <v>78</v>
      </c>
      <c r="N110" s="21">
        <f>(M58+Biodiesel!M12)/1000000</f>
        <v>217.123852</v>
      </c>
      <c r="O110" s="20">
        <v>8.3111780828206765</v>
      </c>
    </row>
    <row r="111" spans="1:47" x14ac:dyDescent="0.25">
      <c r="A111" s="20" t="s">
        <v>79</v>
      </c>
      <c r="N111" s="21">
        <f>(M59+Biodiesel!M13)/1000000</f>
        <v>242.71783600000001</v>
      </c>
      <c r="O111" s="20">
        <v>7.3603483208205587</v>
      </c>
    </row>
    <row r="112" spans="1:47" x14ac:dyDescent="0.25">
      <c r="A112" s="20" t="s">
        <v>80</v>
      </c>
    </row>
  </sheetData>
  <mergeCells count="7">
    <mergeCell ref="AT66:AU66"/>
    <mergeCell ref="AV66:AW66"/>
    <mergeCell ref="AT2:AU2"/>
    <mergeCell ref="AV2:AW2"/>
    <mergeCell ref="AX2:AY2"/>
    <mergeCell ref="AT48:AU48"/>
    <mergeCell ref="AV48:AW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A8D9-A5C4-42D9-97AB-E5CD1E30BA57}">
  <dimension ref="A1:AP48"/>
  <sheetViews>
    <sheetView zoomScale="115" zoomScaleNormal="115" workbookViewId="0">
      <pane xSplit="1" ySplit="2" topLeftCell="H9" activePane="bottomRight" state="frozen"/>
      <selection activeCell="P67" sqref="P67"/>
      <selection pane="topRight" activeCell="P67" sqref="P67"/>
      <selection pane="bottomLeft" activeCell="P67" sqref="P67"/>
      <selection pane="bottomRight" activeCell="P67" sqref="P67"/>
    </sheetView>
  </sheetViews>
  <sheetFormatPr defaultColWidth="9.140625" defaultRowHeight="11.25" x14ac:dyDescent="0.2"/>
  <cols>
    <col min="1" max="1" width="15.5703125" style="32" customWidth="1"/>
    <col min="2" max="42" width="12" style="32" customWidth="1"/>
    <col min="43" max="16384" width="9.140625" style="32"/>
  </cols>
  <sheetData>
    <row r="1" spans="1:42" ht="12" thickTop="1" x14ac:dyDescent="0.2">
      <c r="A1" s="30" t="s">
        <v>141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12" thickBot="1" x14ac:dyDescent="0.25">
      <c r="A2" s="33"/>
      <c r="B2" s="34">
        <f>'Renewable Diesel'!B2</f>
        <v>2010</v>
      </c>
      <c r="C2" s="34">
        <f>'Renewable Diesel'!C2</f>
        <v>2011</v>
      </c>
      <c r="D2" s="34">
        <f>'Renewable Diesel'!D2</f>
        <v>2012</v>
      </c>
      <c r="E2" s="34">
        <f>'Renewable Diesel'!E2</f>
        <v>2013</v>
      </c>
      <c r="F2" s="34">
        <f>'Renewable Diesel'!F2</f>
        <v>2014</v>
      </c>
      <c r="G2" s="34">
        <f>'Renewable Diesel'!G2</f>
        <v>2015</v>
      </c>
      <c r="H2" s="34">
        <f>'Renewable Diesel'!H2</f>
        <v>2016</v>
      </c>
      <c r="I2" s="34">
        <f>'Renewable Diesel'!I2</f>
        <v>2017</v>
      </c>
      <c r="J2" s="34">
        <f>'Renewable Diesel'!J2</f>
        <v>2018</v>
      </c>
      <c r="K2" s="34">
        <f>'Renewable Diesel'!K2</f>
        <v>2019</v>
      </c>
      <c r="L2" s="34">
        <f>'Renewable Diesel'!L2</f>
        <v>2020</v>
      </c>
      <c r="M2" s="34">
        <f>'Renewable Diesel'!M2</f>
        <v>2021</v>
      </c>
      <c r="N2" s="34">
        <f>'Renewable Diesel'!N2</f>
        <v>2022</v>
      </c>
      <c r="O2" s="34">
        <f>'Renewable Diesel'!O2</f>
        <v>2023</v>
      </c>
      <c r="P2" s="34">
        <f>'Renewable Diesel'!P2</f>
        <v>2024</v>
      </c>
      <c r="Q2" s="34">
        <f>'Renewable Diesel'!Q2</f>
        <v>2025</v>
      </c>
      <c r="R2" s="34">
        <f>'Renewable Diesel'!R2</f>
        <v>2026</v>
      </c>
      <c r="S2" s="34">
        <f>'Renewable Diesel'!S2</f>
        <v>2027</v>
      </c>
      <c r="T2" s="34">
        <f>'Renewable Diesel'!T2</f>
        <v>2028</v>
      </c>
      <c r="U2" s="34">
        <f>'Renewable Diesel'!U2</f>
        <v>2029</v>
      </c>
      <c r="V2" s="34">
        <f>'Renewable Diesel'!V2</f>
        <v>2030</v>
      </c>
      <c r="W2" s="34">
        <f>'Renewable Diesel'!W2</f>
        <v>2031</v>
      </c>
      <c r="X2" s="34">
        <f>'Renewable Diesel'!X2</f>
        <v>2032</v>
      </c>
      <c r="Y2" s="34">
        <f>'Renewable Diesel'!Y2</f>
        <v>2033</v>
      </c>
      <c r="Z2" s="34">
        <f>'Renewable Diesel'!Z2</f>
        <v>2034</v>
      </c>
      <c r="AA2" s="34">
        <f>'Renewable Diesel'!AA2</f>
        <v>2035</v>
      </c>
      <c r="AB2" s="34">
        <f>'Renewable Diesel'!AB2</f>
        <v>2036</v>
      </c>
      <c r="AC2" s="34">
        <f>'Renewable Diesel'!AC2</f>
        <v>2037</v>
      </c>
      <c r="AD2" s="34">
        <f>'Renewable Diesel'!AD2</f>
        <v>2038</v>
      </c>
      <c r="AE2" s="34">
        <f>'Renewable Diesel'!AE2</f>
        <v>2039</v>
      </c>
      <c r="AF2" s="34">
        <f>'Renewable Diesel'!AF2</f>
        <v>2040</v>
      </c>
      <c r="AG2" s="34">
        <f>'Renewable Diesel'!AG2</f>
        <v>2041</v>
      </c>
      <c r="AH2" s="34">
        <f>'Renewable Diesel'!AH2</f>
        <v>2042</v>
      </c>
      <c r="AI2" s="34">
        <f>'Renewable Diesel'!AI2</f>
        <v>2043</v>
      </c>
      <c r="AJ2" s="34">
        <f>'Renewable Diesel'!AJ2</f>
        <v>2044</v>
      </c>
      <c r="AK2" s="34">
        <f>'Renewable Diesel'!AK2</f>
        <v>2045</v>
      </c>
      <c r="AL2" s="34">
        <f>'Renewable Diesel'!AL2</f>
        <v>2046</v>
      </c>
      <c r="AM2" s="34">
        <f>'Renewable Diesel'!AM2</f>
        <v>2047</v>
      </c>
      <c r="AN2" s="34">
        <f>'Renewable Diesel'!AN2</f>
        <v>2048</v>
      </c>
      <c r="AO2" s="34">
        <f>'Renewable Diesel'!AO2</f>
        <v>2049</v>
      </c>
      <c r="AP2" s="34">
        <f>'Renewable Diesel'!AP2</f>
        <v>2050</v>
      </c>
    </row>
    <row r="3" spans="1:42" x14ac:dyDescent="0.2">
      <c r="A3" s="32" t="s">
        <v>70</v>
      </c>
      <c r="B3" s="35">
        <f t="shared" ref="B3:AP9" si="0">B19+B35</f>
        <v>0</v>
      </c>
      <c r="C3" s="35">
        <f t="shared" si="0"/>
        <v>0</v>
      </c>
      <c r="D3" s="35">
        <f t="shared" si="0"/>
        <v>0</v>
      </c>
      <c r="E3" s="35">
        <f t="shared" si="0"/>
        <v>0</v>
      </c>
      <c r="F3" s="35">
        <f t="shared" si="0"/>
        <v>0</v>
      </c>
      <c r="G3" s="35">
        <f t="shared" si="0"/>
        <v>0</v>
      </c>
      <c r="H3" s="35">
        <f t="shared" si="0"/>
        <v>0</v>
      </c>
      <c r="I3" s="35">
        <f t="shared" si="0"/>
        <v>210331</v>
      </c>
      <c r="J3" s="35">
        <f t="shared" si="0"/>
        <v>139714</v>
      </c>
      <c r="K3" s="35">
        <f t="shared" si="0"/>
        <v>194630</v>
      </c>
      <c r="L3" s="35">
        <f t="shared" si="0"/>
        <v>41590</v>
      </c>
      <c r="M3" s="35">
        <f t="shared" si="0"/>
        <v>289825</v>
      </c>
      <c r="N3" s="35">
        <f t="shared" si="0"/>
        <v>402120</v>
      </c>
      <c r="O3" s="35">
        <f t="shared" si="0"/>
        <v>29541433</v>
      </c>
      <c r="P3" s="35">
        <f>P19+P35</f>
        <v>58039053</v>
      </c>
      <c r="Q3" s="36">
        <f t="shared" si="0"/>
        <v>52440922</v>
      </c>
      <c r="R3" s="36">
        <f t="shared" si="0"/>
        <v>26182438.797614936</v>
      </c>
      <c r="S3" s="36">
        <f t="shared" si="0"/>
        <v>71838724.914646059</v>
      </c>
      <c r="T3" s="36">
        <f t="shared" si="0"/>
        <v>93857296.725430235</v>
      </c>
      <c r="U3" s="36">
        <f t="shared" si="0"/>
        <v>125658564.4711547</v>
      </c>
      <c r="V3" s="36">
        <f t="shared" si="0"/>
        <v>169330013.3135882</v>
      </c>
      <c r="W3" s="36">
        <f t="shared" si="0"/>
        <v>193602858.8713778</v>
      </c>
      <c r="X3" s="36">
        <f t="shared" si="0"/>
        <v>242091548.40398535</v>
      </c>
      <c r="Y3" s="36">
        <f t="shared" si="0"/>
        <v>253057899.32075387</v>
      </c>
      <c r="Z3" s="36">
        <f t="shared" si="0"/>
        <v>275462176.70737106</v>
      </c>
      <c r="AA3" s="36">
        <f t="shared" si="0"/>
        <v>287580160.678868</v>
      </c>
      <c r="AB3" s="36">
        <f t="shared" si="0"/>
        <v>222493016.48350796</v>
      </c>
      <c r="AC3" s="36">
        <f t="shared" si="0"/>
        <v>242188863.88938624</v>
      </c>
      <c r="AD3" s="36">
        <f t="shared" si="0"/>
        <v>271900291.41320002</v>
      </c>
      <c r="AE3" s="36">
        <f t="shared" si="0"/>
        <v>270958485.92603678</v>
      </c>
      <c r="AF3" s="36">
        <f t="shared" si="0"/>
        <v>269082448.10783219</v>
      </c>
      <c r="AG3" s="36">
        <f t="shared" si="0"/>
        <v>280584246.7841081</v>
      </c>
      <c r="AH3" s="35">
        <f t="shared" si="0"/>
        <v>289698756.54173476</v>
      </c>
      <c r="AI3" s="35">
        <f t="shared" si="0"/>
        <v>296364712.56034964</v>
      </c>
      <c r="AJ3" s="35">
        <f t="shared" si="0"/>
        <v>299747823.08860928</v>
      </c>
      <c r="AK3" s="35">
        <f t="shared" si="0"/>
        <v>308646117.02075291</v>
      </c>
      <c r="AL3" s="35">
        <f t="shared" si="0"/>
        <v>325545514.02043581</v>
      </c>
      <c r="AM3" s="35">
        <f t="shared" si="0"/>
        <v>337304404.30988789</v>
      </c>
      <c r="AN3" s="35">
        <f t="shared" si="0"/>
        <v>337690618.44112271</v>
      </c>
      <c r="AO3" s="35">
        <f t="shared" si="0"/>
        <v>337125014.36640096</v>
      </c>
      <c r="AP3" s="35">
        <f t="shared" si="0"/>
        <v>345049411.98056835</v>
      </c>
    </row>
    <row r="4" spans="1:42" x14ac:dyDescent="0.2">
      <c r="A4" s="32" t="s">
        <v>71</v>
      </c>
      <c r="B4" s="35">
        <f t="shared" si="0"/>
        <v>0</v>
      </c>
      <c r="C4" s="35">
        <f t="shared" si="0"/>
        <v>0</v>
      </c>
      <c r="D4" s="35">
        <f t="shared" si="0"/>
        <v>0</v>
      </c>
      <c r="E4" s="35">
        <f t="shared" si="0"/>
        <v>0</v>
      </c>
      <c r="F4" s="35">
        <f t="shared" si="0"/>
        <v>0</v>
      </c>
      <c r="G4" s="35">
        <f t="shared" si="0"/>
        <v>0</v>
      </c>
      <c r="H4" s="35">
        <f t="shared" si="0"/>
        <v>0</v>
      </c>
      <c r="I4" s="35">
        <f t="shared" si="0"/>
        <v>190622</v>
      </c>
      <c r="J4" s="35">
        <f t="shared" si="0"/>
        <v>237996</v>
      </c>
      <c r="K4" s="35">
        <f t="shared" si="0"/>
        <v>187609</v>
      </c>
      <c r="L4" s="35">
        <f t="shared" si="0"/>
        <v>0</v>
      </c>
      <c r="M4" s="35">
        <f t="shared" si="0"/>
        <v>294725</v>
      </c>
      <c r="N4" s="35">
        <f t="shared" si="0"/>
        <v>2888938</v>
      </c>
      <c r="O4" s="35">
        <f t="shared" si="0"/>
        <v>30690175</v>
      </c>
      <c r="P4" s="35">
        <f t="shared" si="0"/>
        <v>46720339</v>
      </c>
      <c r="Q4" s="36">
        <f t="shared" si="0"/>
        <v>53291597</v>
      </c>
      <c r="R4" s="36">
        <f t="shared" si="0"/>
        <v>49769109.030017033</v>
      </c>
      <c r="S4" s="36">
        <f t="shared" si="0"/>
        <v>136410063.87786058</v>
      </c>
      <c r="T4" s="36">
        <f t="shared" si="0"/>
        <v>178659613.65068796</v>
      </c>
      <c r="U4" s="36">
        <f t="shared" si="0"/>
        <v>228615208.3670066</v>
      </c>
      <c r="V4" s="36">
        <f t="shared" si="0"/>
        <v>311957213.97490871</v>
      </c>
      <c r="W4" s="36">
        <f t="shared" si="0"/>
        <v>362133384.0720005</v>
      </c>
      <c r="X4" s="36">
        <f t="shared" si="0"/>
        <v>454257575.951814</v>
      </c>
      <c r="Y4" s="36">
        <f t="shared" si="0"/>
        <v>474189259.34671611</v>
      </c>
      <c r="Z4" s="36">
        <f t="shared" si="0"/>
        <v>515067003.81089395</v>
      </c>
      <c r="AA4" s="36">
        <f t="shared" si="0"/>
        <v>538532430.72217834</v>
      </c>
      <c r="AB4" s="36">
        <f t="shared" si="0"/>
        <v>415940792.25408375</v>
      </c>
      <c r="AC4" s="36">
        <f t="shared" si="0"/>
        <v>453101106.43873698</v>
      </c>
      <c r="AD4" s="36">
        <f t="shared" si="0"/>
        <v>509185560.96955699</v>
      </c>
      <c r="AE4" s="36">
        <f t="shared" si="0"/>
        <v>508035806.06366986</v>
      </c>
      <c r="AF4" s="36">
        <f t="shared" si="0"/>
        <v>504915344.10027957</v>
      </c>
      <c r="AG4" s="36">
        <f t="shared" si="0"/>
        <v>526656338.85305774</v>
      </c>
      <c r="AH4" s="35">
        <f t="shared" si="0"/>
        <v>543714229.79158998</v>
      </c>
      <c r="AI4" s="35">
        <f t="shared" si="0"/>
        <v>556206414.11382818</v>
      </c>
      <c r="AJ4" s="35">
        <f t="shared" si="0"/>
        <v>562563938.92635345</v>
      </c>
      <c r="AK4" s="35">
        <f t="shared" si="0"/>
        <v>579284937.640288</v>
      </c>
      <c r="AL4" s="35">
        <f t="shared" si="0"/>
        <v>610998757.72198415</v>
      </c>
      <c r="AM4" s="35">
        <f t="shared" si="0"/>
        <v>633058851.40300572</v>
      </c>
      <c r="AN4" s="35">
        <f t="shared" si="0"/>
        <v>633783166.94524372</v>
      </c>
      <c r="AO4" s="35">
        <f t="shared" si="0"/>
        <v>632724907.1701597</v>
      </c>
      <c r="AP4" s="35">
        <f t="shared" si="0"/>
        <v>647599819.92666256</v>
      </c>
    </row>
    <row r="5" spans="1:42" x14ac:dyDescent="0.2">
      <c r="A5" s="32" t="s">
        <v>72</v>
      </c>
      <c r="B5" s="35">
        <f t="shared" si="0"/>
        <v>0</v>
      </c>
      <c r="C5" s="35">
        <f t="shared" si="0"/>
        <v>0</v>
      </c>
      <c r="D5" s="35">
        <f t="shared" si="0"/>
        <v>0</v>
      </c>
      <c r="E5" s="35">
        <f t="shared" si="0"/>
        <v>0</v>
      </c>
      <c r="F5" s="35">
        <f t="shared" si="0"/>
        <v>0</v>
      </c>
      <c r="G5" s="35">
        <f t="shared" si="0"/>
        <v>0</v>
      </c>
      <c r="H5" s="35">
        <f t="shared" si="0"/>
        <v>0</v>
      </c>
      <c r="I5" s="35">
        <f t="shared" si="0"/>
        <v>184825</v>
      </c>
      <c r="J5" s="35">
        <f t="shared" si="0"/>
        <v>103790</v>
      </c>
      <c r="K5" s="35">
        <f t="shared" si="0"/>
        <v>183940</v>
      </c>
      <c r="L5" s="35">
        <f t="shared" si="0"/>
        <v>358559</v>
      </c>
      <c r="M5" s="35">
        <f t="shared" si="0"/>
        <v>288906</v>
      </c>
      <c r="N5" s="35">
        <f t="shared" si="0"/>
        <v>3169552</v>
      </c>
      <c r="O5" s="35">
        <f t="shared" si="0"/>
        <v>38139346</v>
      </c>
      <c r="P5" s="35">
        <f t="shared" si="0"/>
        <v>52855081</v>
      </c>
      <c r="Q5" s="36">
        <f t="shared" si="0"/>
        <v>45322648</v>
      </c>
      <c r="R5" s="36">
        <f t="shared" si="0"/>
        <v>20133954.750928383</v>
      </c>
      <c r="S5" s="36">
        <f t="shared" si="0"/>
        <v>55068922.522667557</v>
      </c>
      <c r="T5" s="36">
        <f t="shared" si="0"/>
        <v>71495946.13161619</v>
      </c>
      <c r="U5" s="36">
        <f t="shared" si="0"/>
        <v>94672703.8684403</v>
      </c>
      <c r="V5" s="36">
        <f t="shared" si="0"/>
        <v>127038842.03956485</v>
      </c>
      <c r="W5" s="36">
        <f t="shared" si="0"/>
        <v>146606946.06226254</v>
      </c>
      <c r="X5" s="36">
        <f t="shared" si="0"/>
        <v>183311874.61042628</v>
      </c>
      <c r="Y5" s="36">
        <f t="shared" si="0"/>
        <v>191403068.62090603</v>
      </c>
      <c r="Z5" s="36">
        <f t="shared" si="0"/>
        <v>208189234.01892436</v>
      </c>
      <c r="AA5" s="36">
        <f t="shared" si="0"/>
        <v>217377392.87950662</v>
      </c>
      <c r="AB5" s="36">
        <f t="shared" si="0"/>
        <v>168260433.80499935</v>
      </c>
      <c r="AC5" s="36">
        <f t="shared" si="0"/>
        <v>183139013.65481985</v>
      </c>
      <c r="AD5" s="36">
        <f t="shared" si="0"/>
        <v>205597022.29338294</v>
      </c>
      <c r="AE5" s="36">
        <f t="shared" si="0"/>
        <v>204910697.61726433</v>
      </c>
      <c r="AF5" s="36">
        <f t="shared" si="0"/>
        <v>203523933.66342291</v>
      </c>
      <c r="AG5" s="36">
        <f t="shared" si="0"/>
        <v>212249282.99278367</v>
      </c>
      <c r="AH5" s="35">
        <f t="shared" si="0"/>
        <v>219131196.24082625</v>
      </c>
      <c r="AI5" s="35">
        <f t="shared" si="0"/>
        <v>224167182.04883334</v>
      </c>
      <c r="AJ5" s="35">
        <f t="shared" si="0"/>
        <v>226727591.49033585</v>
      </c>
      <c r="AK5" s="35">
        <f t="shared" si="0"/>
        <v>233462263.37527874</v>
      </c>
      <c r="AL5" s="35">
        <f t="shared" si="0"/>
        <v>246246159.71347085</v>
      </c>
      <c r="AM5" s="35">
        <f t="shared" si="0"/>
        <v>255137979.39059666</v>
      </c>
      <c r="AN5" s="35">
        <f t="shared" si="0"/>
        <v>255429626.02287757</v>
      </c>
      <c r="AO5" s="35">
        <f t="shared" si="0"/>
        <v>255002530.41339225</v>
      </c>
      <c r="AP5" s="35">
        <f t="shared" si="0"/>
        <v>260997138.52264854</v>
      </c>
    </row>
    <row r="6" spans="1:42" x14ac:dyDescent="0.2">
      <c r="A6" s="32" t="s">
        <v>73</v>
      </c>
      <c r="B6" s="35">
        <f t="shared" si="0"/>
        <v>0</v>
      </c>
      <c r="C6" s="35">
        <f t="shared" si="0"/>
        <v>0</v>
      </c>
      <c r="D6" s="35">
        <f t="shared" si="0"/>
        <v>0</v>
      </c>
      <c r="E6" s="35">
        <f t="shared" si="0"/>
        <v>0</v>
      </c>
      <c r="F6" s="35">
        <f t="shared" si="0"/>
        <v>0</v>
      </c>
      <c r="G6" s="35">
        <f t="shared" si="0"/>
        <v>0</v>
      </c>
      <c r="H6" s="35">
        <f t="shared" si="0"/>
        <v>0</v>
      </c>
      <c r="I6" s="35">
        <f t="shared" si="0"/>
        <v>0</v>
      </c>
      <c r="J6" s="35">
        <f t="shared" si="0"/>
        <v>184634</v>
      </c>
      <c r="K6" s="35">
        <f t="shared" si="0"/>
        <v>245975</v>
      </c>
      <c r="L6" s="35">
        <f t="shared" si="0"/>
        <v>1792214</v>
      </c>
      <c r="M6" s="35">
        <f t="shared" si="0"/>
        <v>293289</v>
      </c>
      <c r="N6" s="35">
        <f t="shared" si="0"/>
        <v>408991</v>
      </c>
      <c r="O6" s="35">
        <f t="shared" si="0"/>
        <v>36286117</v>
      </c>
      <c r="P6" s="35">
        <f t="shared" si="0"/>
        <v>60878527</v>
      </c>
      <c r="Q6" s="36">
        <f t="shared" si="0"/>
        <v>13308048.905589283</v>
      </c>
      <c r="R6" s="36">
        <f t="shared" si="0"/>
        <v>31816320.088426925</v>
      </c>
      <c r="S6" s="36">
        <f t="shared" si="0"/>
        <v>87516229.652979359</v>
      </c>
      <c r="T6" s="36">
        <f t="shared" si="0"/>
        <v>114690822.68038088</v>
      </c>
      <c r="U6" s="36">
        <f t="shared" si="0"/>
        <v>150061451.47635484</v>
      </c>
      <c r="V6" s="36">
        <f t="shared" si="0"/>
        <v>202442069.6704239</v>
      </c>
      <c r="W6" s="36">
        <f t="shared" si="0"/>
        <v>233865427.44251126</v>
      </c>
      <c r="X6" s="36">
        <f t="shared" si="0"/>
        <v>292896545.58886433</v>
      </c>
      <c r="Y6" s="36">
        <f t="shared" si="0"/>
        <v>305934444.5542323</v>
      </c>
      <c r="Z6" s="36">
        <f t="shared" si="0"/>
        <v>332579381.29099256</v>
      </c>
      <c r="AA6" s="36">
        <f t="shared" si="0"/>
        <v>347384122.91677815</v>
      </c>
      <c r="AB6" s="36">
        <f t="shared" si="0"/>
        <v>268642630.10744131</v>
      </c>
      <c r="AC6" s="36">
        <f t="shared" si="0"/>
        <v>292518605.05435014</v>
      </c>
      <c r="AD6" s="36">
        <f t="shared" si="0"/>
        <v>328537416.85152793</v>
      </c>
      <c r="AE6" s="36">
        <f t="shared" si="0"/>
        <v>327570325.19799984</v>
      </c>
      <c r="AF6" s="36">
        <f t="shared" si="0"/>
        <v>325424212.82770789</v>
      </c>
      <c r="AG6" s="36">
        <f t="shared" si="0"/>
        <v>339399858.27864075</v>
      </c>
      <c r="AH6" s="35">
        <f t="shared" si="0"/>
        <v>350405082.0411765</v>
      </c>
      <c r="AI6" s="35">
        <f t="shared" si="0"/>
        <v>358458174.30512685</v>
      </c>
      <c r="AJ6" s="35">
        <f t="shared" si="0"/>
        <v>362551299.51928526</v>
      </c>
      <c r="AK6" s="35">
        <f t="shared" si="0"/>
        <v>373322139.26566219</v>
      </c>
      <c r="AL6" s="35">
        <f t="shared" si="0"/>
        <v>393763558.47419029</v>
      </c>
      <c r="AM6" s="35">
        <f t="shared" si="0"/>
        <v>407982263.31526423</v>
      </c>
      <c r="AN6" s="35">
        <f t="shared" si="0"/>
        <v>408448622.59732509</v>
      </c>
      <c r="AO6" s="35">
        <f t="shared" si="0"/>
        <v>407765619.10970992</v>
      </c>
      <c r="AP6" s="35">
        <f t="shared" si="0"/>
        <v>417351566.19460899</v>
      </c>
    </row>
    <row r="7" spans="1:42" x14ac:dyDescent="0.2">
      <c r="A7" s="32" t="s">
        <v>10</v>
      </c>
      <c r="B7" s="35">
        <f t="shared" si="0"/>
        <v>0</v>
      </c>
      <c r="C7" s="35">
        <f t="shared" si="0"/>
        <v>0</v>
      </c>
      <c r="D7" s="35">
        <f t="shared" si="0"/>
        <v>0</v>
      </c>
      <c r="E7" s="35">
        <f t="shared" si="0"/>
        <v>0</v>
      </c>
      <c r="F7" s="35">
        <f t="shared" si="0"/>
        <v>0</v>
      </c>
      <c r="G7" s="35">
        <f t="shared" si="0"/>
        <v>0</v>
      </c>
      <c r="H7" s="35">
        <f t="shared" si="0"/>
        <v>0</v>
      </c>
      <c r="I7" s="35">
        <f t="shared" si="0"/>
        <v>134485</v>
      </c>
      <c r="J7" s="35">
        <f t="shared" si="0"/>
        <v>64189</v>
      </c>
      <c r="K7" s="35">
        <f t="shared" si="0"/>
        <v>254288</v>
      </c>
      <c r="L7" s="35">
        <f t="shared" si="0"/>
        <v>0</v>
      </c>
      <c r="M7" s="35">
        <f t="shared" si="0"/>
        <v>287496</v>
      </c>
      <c r="N7" s="35">
        <f t="shared" si="0"/>
        <v>202831</v>
      </c>
      <c r="O7" s="35">
        <f t="shared" si="0"/>
        <v>56042457</v>
      </c>
      <c r="P7" s="35">
        <f t="shared" si="0"/>
        <v>20065827</v>
      </c>
      <c r="Q7" s="36">
        <f t="shared" si="0"/>
        <v>15695583.131274737</v>
      </c>
      <c r="R7" s="36">
        <f t="shared" si="0"/>
        <v>41780561.021103673</v>
      </c>
      <c r="S7" s="36">
        <f t="shared" si="0"/>
        <v>115278881.02848986</v>
      </c>
      <c r="T7" s="36">
        <f t="shared" si="0"/>
        <v>151068433.84608757</v>
      </c>
      <c r="U7" s="36">
        <f t="shared" si="0"/>
        <v>199076953.03664705</v>
      </c>
      <c r="V7" s="36">
        <f t="shared" si="0"/>
        <v>266401465.28689945</v>
      </c>
      <c r="W7" s="36">
        <f t="shared" si="0"/>
        <v>308291621.86943632</v>
      </c>
      <c r="X7" s="36">
        <f t="shared" si="0"/>
        <v>386018298.39756542</v>
      </c>
      <c r="Y7" s="36">
        <f t="shared" si="0"/>
        <v>403229734.6331256</v>
      </c>
      <c r="Z7" s="36">
        <f t="shared" si="0"/>
        <v>438403054.22398633</v>
      </c>
      <c r="AA7" s="36">
        <f t="shared" si="0"/>
        <v>457698449.26422077</v>
      </c>
      <c r="AB7" s="36">
        <f t="shared" si="0"/>
        <v>354118209.6740467</v>
      </c>
      <c r="AC7" s="36">
        <f t="shared" si="0"/>
        <v>385558497.24723381</v>
      </c>
      <c r="AD7" s="36">
        <f t="shared" si="0"/>
        <v>432981750.12180865</v>
      </c>
      <c r="AE7" s="36">
        <f t="shared" si="0"/>
        <v>431649760.04424119</v>
      </c>
      <c r="AF7" s="36">
        <f t="shared" si="0"/>
        <v>428784834.20417035</v>
      </c>
      <c r="AG7" s="36">
        <f t="shared" si="0"/>
        <v>447206387.44169664</v>
      </c>
      <c r="AH7" s="35">
        <f t="shared" si="0"/>
        <v>461707527.31536746</v>
      </c>
      <c r="AI7" s="35">
        <f t="shared" si="0"/>
        <v>472316737.85257494</v>
      </c>
      <c r="AJ7" s="35">
        <f t="shared" si="0"/>
        <v>477707934.64939249</v>
      </c>
      <c r="AK7" s="35">
        <f t="shared" si="0"/>
        <v>491899049.01143104</v>
      </c>
      <c r="AL7" s="35">
        <f t="shared" si="0"/>
        <v>518835955.28814048</v>
      </c>
      <c r="AM7" s="35">
        <f t="shared" si="0"/>
        <v>537570582.76409626</v>
      </c>
      <c r="AN7" s="35">
        <f t="shared" si="0"/>
        <v>538184535.36821783</v>
      </c>
      <c r="AO7" s="35">
        <f t="shared" si="0"/>
        <v>537284345.16967785</v>
      </c>
      <c r="AP7" s="35">
        <f t="shared" si="0"/>
        <v>549915216.37465036</v>
      </c>
    </row>
    <row r="8" spans="1:42" x14ac:dyDescent="0.2">
      <c r="A8" s="32" t="s">
        <v>74</v>
      </c>
      <c r="B8" s="35">
        <f t="shared" si="0"/>
        <v>0</v>
      </c>
      <c r="C8" s="35">
        <f t="shared" si="0"/>
        <v>0</v>
      </c>
      <c r="D8" s="35">
        <f t="shared" si="0"/>
        <v>0</v>
      </c>
      <c r="E8" s="35">
        <f t="shared" si="0"/>
        <v>0</v>
      </c>
      <c r="F8" s="35">
        <f t="shared" si="0"/>
        <v>0</v>
      </c>
      <c r="G8" s="35">
        <f t="shared" si="0"/>
        <v>0</v>
      </c>
      <c r="H8" s="35">
        <f t="shared" si="0"/>
        <v>0</v>
      </c>
      <c r="I8" s="35">
        <f t="shared" si="0"/>
        <v>127471</v>
      </c>
      <c r="J8" s="35">
        <f t="shared" si="0"/>
        <v>140194</v>
      </c>
      <c r="K8" s="35">
        <f t="shared" si="0"/>
        <v>223279</v>
      </c>
      <c r="L8" s="35">
        <f t="shared" si="0"/>
        <v>614173</v>
      </c>
      <c r="M8" s="35">
        <f t="shared" si="0"/>
        <v>357317</v>
      </c>
      <c r="N8" s="35">
        <f t="shared" si="0"/>
        <v>2764055</v>
      </c>
      <c r="O8" s="35">
        <f t="shared" si="0"/>
        <v>43975135</v>
      </c>
      <c r="P8" s="35">
        <f t="shared" si="0"/>
        <v>50180474</v>
      </c>
      <c r="Q8" s="36">
        <f t="shared" si="0"/>
        <v>15877313.805032866</v>
      </c>
      <c r="R8" s="36">
        <f t="shared" si="0"/>
        <v>40090554.729911327</v>
      </c>
      <c r="S8" s="36">
        <f t="shared" si="0"/>
        <v>109912763.07836901</v>
      </c>
      <c r="T8" s="36">
        <f t="shared" si="0"/>
        <v>143928153.63409781</v>
      </c>
      <c r="U8" s="36">
        <f t="shared" si="0"/>
        <v>186830021.40693691</v>
      </c>
      <c r="V8" s="36">
        <f t="shared" si="0"/>
        <v>253326951.88233766</v>
      </c>
      <c r="W8" s="36">
        <f t="shared" si="0"/>
        <v>292980878.73686874</v>
      </c>
      <c r="X8" s="36">
        <f t="shared" si="0"/>
        <v>367072831.51779979</v>
      </c>
      <c r="Y8" s="36">
        <f t="shared" si="0"/>
        <v>383321965.71480089</v>
      </c>
      <c r="Z8" s="36">
        <f t="shared" si="0"/>
        <v>416600885.09563607</v>
      </c>
      <c r="AA8" s="36">
        <f t="shared" si="0"/>
        <v>435320747.81909347</v>
      </c>
      <c r="AB8" s="36">
        <f t="shared" si="0"/>
        <v>336504831.94912809</v>
      </c>
      <c r="AC8" s="36">
        <f t="shared" si="0"/>
        <v>366454290.76937747</v>
      </c>
      <c r="AD8" s="36">
        <f t="shared" si="0"/>
        <v>411647918.89044106</v>
      </c>
      <c r="AE8" s="36">
        <f t="shared" si="0"/>
        <v>410524297.58924985</v>
      </c>
      <c r="AF8" s="36">
        <f t="shared" si="0"/>
        <v>407889172.2767899</v>
      </c>
      <c r="AG8" s="36">
        <f t="shared" si="0"/>
        <v>425417319.98768061</v>
      </c>
      <c r="AH8" s="35">
        <f t="shared" si="0"/>
        <v>439206283.68416983</v>
      </c>
      <c r="AI8" s="35">
        <f t="shared" si="0"/>
        <v>449299655.95658058</v>
      </c>
      <c r="AJ8" s="35">
        <f t="shared" si="0"/>
        <v>454432264.35824293</v>
      </c>
      <c r="AK8" s="35">
        <f t="shared" si="0"/>
        <v>467934926.58408231</v>
      </c>
      <c r="AL8" s="35">
        <f t="shared" si="0"/>
        <v>493555094.71268988</v>
      </c>
      <c r="AM8" s="35">
        <f t="shared" si="0"/>
        <v>511376509.82642299</v>
      </c>
      <c r="AN8" s="35">
        <f t="shared" si="0"/>
        <v>511961350.36461264</v>
      </c>
      <c r="AO8" s="35">
        <f t="shared" si="0"/>
        <v>511105718.42924017</v>
      </c>
      <c r="AP8" s="35">
        <f t="shared" si="0"/>
        <v>523121130.4948082</v>
      </c>
    </row>
    <row r="9" spans="1:42" x14ac:dyDescent="0.2">
      <c r="A9" s="32" t="s">
        <v>75</v>
      </c>
      <c r="B9" s="35">
        <f t="shared" si="0"/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120661</v>
      </c>
      <c r="J9" s="35">
        <f t="shared" si="0"/>
        <v>82231</v>
      </c>
      <c r="K9" s="35">
        <f t="shared" si="0"/>
        <v>146613</v>
      </c>
      <c r="L9" s="35">
        <f t="shared" ref="C9:AP14" si="1">L25+L41</f>
        <v>1981749</v>
      </c>
      <c r="M9" s="35">
        <f t="shared" si="1"/>
        <v>1531665</v>
      </c>
      <c r="N9" s="35">
        <f t="shared" si="1"/>
        <v>1504492</v>
      </c>
      <c r="O9" s="35">
        <f t="shared" si="1"/>
        <v>42163113</v>
      </c>
      <c r="P9" s="35">
        <f t="shared" si="1"/>
        <v>63871957</v>
      </c>
      <c r="Q9" s="36">
        <f t="shared" si="1"/>
        <v>18644432.350191236</v>
      </c>
      <c r="R9" s="36">
        <f t="shared" si="1"/>
        <v>44099613.937141791</v>
      </c>
      <c r="S9" s="36">
        <f t="shared" si="1"/>
        <v>119714909.12933441</v>
      </c>
      <c r="T9" s="36">
        <f t="shared" si="1"/>
        <v>156729366.16105363</v>
      </c>
      <c r="U9" s="36">
        <f t="shared" si="1"/>
        <v>204877289.07731122</v>
      </c>
      <c r="V9" s="36">
        <f t="shared" si="1"/>
        <v>276984839.96866107</v>
      </c>
      <c r="W9" s="36">
        <f t="shared" si="1"/>
        <v>319843626.76435572</v>
      </c>
      <c r="X9" s="36">
        <f t="shared" si="1"/>
        <v>400302116.39205301</v>
      </c>
      <c r="Y9" s="36">
        <f t="shared" si="1"/>
        <v>418099543.24597806</v>
      </c>
      <c r="Z9" s="36">
        <f t="shared" si="1"/>
        <v>454528927.20170164</v>
      </c>
      <c r="AA9" s="36">
        <f t="shared" si="1"/>
        <v>474837622.02182615</v>
      </c>
      <c r="AB9" s="36">
        <f t="shared" si="1"/>
        <v>367229900.51074994</v>
      </c>
      <c r="AC9" s="36">
        <f t="shared" si="1"/>
        <v>399822694.51615721</v>
      </c>
      <c r="AD9" s="36">
        <f t="shared" si="1"/>
        <v>449029832.94191366</v>
      </c>
      <c r="AE9" s="36">
        <f t="shared" si="1"/>
        <v>447687612.60758471</v>
      </c>
      <c r="AF9" s="36">
        <f t="shared" si="1"/>
        <v>444750406.21882141</v>
      </c>
      <c r="AG9" s="36">
        <f t="shared" si="1"/>
        <v>463838349.9205718</v>
      </c>
      <c r="AH9" s="35">
        <f t="shared" si="1"/>
        <v>478876025.6222105</v>
      </c>
      <c r="AI9" s="35">
        <f t="shared" si="1"/>
        <v>489883207.73802304</v>
      </c>
      <c r="AJ9" s="35">
        <f t="shared" si="1"/>
        <v>495478516.72862762</v>
      </c>
      <c r="AK9" s="35">
        <f t="shared" si="1"/>
        <v>510198651.27004594</v>
      </c>
      <c r="AL9" s="35">
        <f t="shared" si="1"/>
        <v>538133553.04368472</v>
      </c>
      <c r="AM9" s="35">
        <f t="shared" si="1"/>
        <v>557565317.01577449</v>
      </c>
      <c r="AN9" s="35">
        <f t="shared" si="1"/>
        <v>558203082.99026334</v>
      </c>
      <c r="AO9" s="35">
        <f t="shared" si="1"/>
        <v>557269834.33797264</v>
      </c>
      <c r="AP9" s="35">
        <f t="shared" si="1"/>
        <v>570370293.67011321</v>
      </c>
    </row>
    <row r="10" spans="1:42" x14ac:dyDescent="0.2">
      <c r="A10" s="32" t="s">
        <v>76</v>
      </c>
      <c r="B10" s="35">
        <f t="shared" ref="B10:B14" si="2">B26+B42</f>
        <v>0</v>
      </c>
      <c r="C10" s="35">
        <f t="shared" si="1"/>
        <v>0</v>
      </c>
      <c r="D10" s="35">
        <f t="shared" si="1"/>
        <v>0</v>
      </c>
      <c r="E10" s="35">
        <f t="shared" si="1"/>
        <v>0</v>
      </c>
      <c r="F10" s="35">
        <f t="shared" si="1"/>
        <v>0</v>
      </c>
      <c r="G10" s="35">
        <f t="shared" si="1"/>
        <v>0</v>
      </c>
      <c r="H10" s="35">
        <f t="shared" si="1"/>
        <v>0</v>
      </c>
      <c r="I10" s="35">
        <f t="shared" si="1"/>
        <v>174175</v>
      </c>
      <c r="J10" s="35">
        <f t="shared" si="1"/>
        <v>70236</v>
      </c>
      <c r="K10" s="35">
        <f t="shared" si="1"/>
        <v>271757</v>
      </c>
      <c r="L10" s="35">
        <f t="shared" si="1"/>
        <v>63855</v>
      </c>
      <c r="M10" s="35">
        <f t="shared" si="1"/>
        <v>996664</v>
      </c>
      <c r="N10" s="35">
        <f t="shared" si="1"/>
        <v>2039562</v>
      </c>
      <c r="O10" s="35">
        <f t="shared" si="1"/>
        <v>57477807</v>
      </c>
      <c r="P10" s="35">
        <f>P26+P42</f>
        <v>59180863</v>
      </c>
      <c r="Q10" s="36">
        <f t="shared" si="1"/>
        <v>18121210.075139798</v>
      </c>
      <c r="R10" s="36">
        <f t="shared" si="1"/>
        <v>47239990.308537669</v>
      </c>
      <c r="S10" s="36">
        <f t="shared" si="1"/>
        <v>130514077.87124597</v>
      </c>
      <c r="T10" s="36">
        <f t="shared" si="1"/>
        <v>170777984.37477323</v>
      </c>
      <c r="U10" s="36">
        <f t="shared" si="1"/>
        <v>222275866.58954853</v>
      </c>
      <c r="V10" s="36">
        <f t="shared" si="1"/>
        <v>300230446.138376</v>
      </c>
      <c r="W10" s="36">
        <f t="shared" si="1"/>
        <v>347471708.85113049</v>
      </c>
      <c r="X10" s="36">
        <f t="shared" si="1"/>
        <v>435321484.67285985</v>
      </c>
      <c r="Y10" s="36">
        <f t="shared" si="1"/>
        <v>454545640.3650158</v>
      </c>
      <c r="Z10" s="36">
        <f t="shared" si="1"/>
        <v>494004571.30375582</v>
      </c>
      <c r="AA10" s="36">
        <f t="shared" si="1"/>
        <v>516092136.11016458</v>
      </c>
      <c r="AB10" s="36">
        <f t="shared" si="1"/>
        <v>399082243.85461897</v>
      </c>
      <c r="AC10" s="36">
        <f t="shared" si="1"/>
        <v>434569912.87510228</v>
      </c>
      <c r="AD10" s="36">
        <f t="shared" si="1"/>
        <v>488098371.86020541</v>
      </c>
      <c r="AE10" s="36">
        <f t="shared" si="1"/>
        <v>486706304.34401494</v>
      </c>
      <c r="AF10" s="36">
        <f t="shared" si="1"/>
        <v>483555339.51892412</v>
      </c>
      <c r="AG10" s="36">
        <f t="shared" si="1"/>
        <v>504336771.8224569</v>
      </c>
      <c r="AH10" s="35">
        <f t="shared" si="1"/>
        <v>520683279.40178376</v>
      </c>
      <c r="AI10" s="35">
        <f t="shared" si="1"/>
        <v>532645954.37678677</v>
      </c>
      <c r="AJ10" s="35">
        <f t="shared" si="1"/>
        <v>538729626.88032687</v>
      </c>
      <c r="AK10" s="35">
        <f t="shared" si="1"/>
        <v>554737404.44404888</v>
      </c>
      <c r="AL10" s="35">
        <f t="shared" si="1"/>
        <v>585111928.0152998</v>
      </c>
      <c r="AM10" s="35">
        <f t="shared" si="1"/>
        <v>606238745.74514627</v>
      </c>
      <c r="AN10" s="35">
        <f t="shared" si="1"/>
        <v>606931515.43055546</v>
      </c>
      <c r="AO10" s="35">
        <f t="shared" si="1"/>
        <v>605917152.94723928</v>
      </c>
      <c r="AP10" s="35">
        <f t="shared" si="1"/>
        <v>620161664.5515734</v>
      </c>
    </row>
    <row r="11" spans="1:42" x14ac:dyDescent="0.2">
      <c r="A11" s="32" t="s">
        <v>77</v>
      </c>
      <c r="B11" s="35">
        <f t="shared" si="2"/>
        <v>0</v>
      </c>
      <c r="C11" s="35">
        <f t="shared" si="1"/>
        <v>0</v>
      </c>
      <c r="D11" s="35">
        <f t="shared" si="1"/>
        <v>0</v>
      </c>
      <c r="E11" s="35">
        <f t="shared" si="1"/>
        <v>0</v>
      </c>
      <c r="F11" s="35">
        <f t="shared" si="1"/>
        <v>0</v>
      </c>
      <c r="G11" s="35">
        <f t="shared" si="1"/>
        <v>0</v>
      </c>
      <c r="H11" s="35">
        <f t="shared" si="1"/>
        <v>230790</v>
      </c>
      <c r="I11" s="35">
        <f t="shared" si="1"/>
        <v>137952</v>
      </c>
      <c r="J11" s="35">
        <f t="shared" si="1"/>
        <v>151082</v>
      </c>
      <c r="K11" s="35">
        <f t="shared" si="1"/>
        <v>275529</v>
      </c>
      <c r="L11" s="35">
        <f t="shared" si="1"/>
        <v>371169</v>
      </c>
      <c r="M11" s="35">
        <f t="shared" si="1"/>
        <v>300122</v>
      </c>
      <c r="N11" s="35">
        <f t="shared" si="1"/>
        <v>393571</v>
      </c>
      <c r="O11" s="35">
        <f t="shared" si="1"/>
        <v>47945298</v>
      </c>
      <c r="P11" s="36">
        <f t="shared" si="1"/>
        <v>55292503</v>
      </c>
      <c r="Q11" s="36">
        <f t="shared" si="1"/>
        <v>19561239.887186892</v>
      </c>
      <c r="R11" s="36">
        <f t="shared" si="1"/>
        <v>57196378.827984162</v>
      </c>
      <c r="S11" s="36">
        <f t="shared" si="1"/>
        <v>158438136.91469371</v>
      </c>
      <c r="T11" s="36">
        <f t="shared" si="1"/>
        <v>207707531.17644346</v>
      </c>
      <c r="U11" s="36">
        <f t="shared" si="1"/>
        <v>272210401.21531743</v>
      </c>
      <c r="V11" s="36">
        <f t="shared" si="1"/>
        <v>364517050.31771886</v>
      </c>
      <c r="W11" s="36">
        <f t="shared" si="1"/>
        <v>422783169.87744755</v>
      </c>
      <c r="X11" s="36">
        <f t="shared" si="1"/>
        <v>529699158.65717715</v>
      </c>
      <c r="Y11" s="36">
        <f t="shared" si="1"/>
        <v>553216309.27787578</v>
      </c>
      <c r="Z11" s="36">
        <f t="shared" si="1"/>
        <v>601295020.64447892</v>
      </c>
      <c r="AA11" s="36">
        <f t="shared" si="1"/>
        <v>627805091.66413951</v>
      </c>
      <c r="AB11" s="36">
        <f t="shared" si="1"/>
        <v>485655028.48193932</v>
      </c>
      <c r="AC11" s="36">
        <f t="shared" si="1"/>
        <v>528836985.62768936</v>
      </c>
      <c r="AD11" s="36">
        <f t="shared" si="1"/>
        <v>593954856.84986866</v>
      </c>
      <c r="AE11" s="36">
        <f t="shared" si="1"/>
        <v>592214013.69778848</v>
      </c>
      <c r="AF11" s="36">
        <f t="shared" si="1"/>
        <v>588334729.41870618</v>
      </c>
      <c r="AG11" s="36">
        <f t="shared" si="1"/>
        <v>613646961.06679022</v>
      </c>
      <c r="AH11" s="35">
        <f t="shared" si="1"/>
        <v>633537549.88372314</v>
      </c>
      <c r="AI11" s="35">
        <f t="shared" si="1"/>
        <v>648090266.54360902</v>
      </c>
      <c r="AJ11" s="35">
        <f t="shared" si="1"/>
        <v>655487645.3890146</v>
      </c>
      <c r="AK11" s="35">
        <f t="shared" si="1"/>
        <v>674963043.56951916</v>
      </c>
      <c r="AL11" s="35">
        <f t="shared" si="1"/>
        <v>711925965.47816062</v>
      </c>
      <c r="AM11" s="35">
        <f t="shared" si="1"/>
        <v>737631047.17210543</v>
      </c>
      <c r="AN11" s="35">
        <f t="shared" si="1"/>
        <v>738472948.13120592</v>
      </c>
      <c r="AO11" s="35">
        <f t="shared" si="1"/>
        <v>737238126.62097335</v>
      </c>
      <c r="AP11" s="35">
        <f t="shared" si="1"/>
        <v>754570145.35132217</v>
      </c>
    </row>
    <row r="12" spans="1:42" x14ac:dyDescent="0.2">
      <c r="A12" s="32" t="s">
        <v>78</v>
      </c>
      <c r="B12" s="35">
        <f t="shared" si="2"/>
        <v>0</v>
      </c>
      <c r="C12" s="35">
        <f t="shared" si="1"/>
        <v>0</v>
      </c>
      <c r="D12" s="35">
        <f t="shared" si="1"/>
        <v>0</v>
      </c>
      <c r="E12" s="35">
        <f t="shared" si="1"/>
        <v>0</v>
      </c>
      <c r="F12" s="35">
        <f t="shared" si="1"/>
        <v>0</v>
      </c>
      <c r="G12" s="35">
        <f t="shared" si="1"/>
        <v>0</v>
      </c>
      <c r="H12" s="35">
        <f t="shared" si="1"/>
        <v>181093</v>
      </c>
      <c r="I12" s="35">
        <f t="shared" si="1"/>
        <v>160272</v>
      </c>
      <c r="J12" s="35">
        <f t="shared" si="1"/>
        <v>229089</v>
      </c>
      <c r="K12" s="35">
        <f t="shared" si="1"/>
        <v>216574</v>
      </c>
      <c r="L12" s="35">
        <f t="shared" si="1"/>
        <v>188416</v>
      </c>
      <c r="M12" s="35">
        <f t="shared" si="1"/>
        <v>437741</v>
      </c>
      <c r="N12" s="35">
        <f t="shared" si="1"/>
        <v>2433808</v>
      </c>
      <c r="O12" s="35">
        <f t="shared" si="1"/>
        <v>59177631</v>
      </c>
      <c r="P12" s="36">
        <f t="shared" si="1"/>
        <v>64550464</v>
      </c>
      <c r="Q12" s="36">
        <f t="shared" si="1"/>
        <v>20223333.555152789</v>
      </c>
      <c r="R12" s="36">
        <f t="shared" si="1"/>
        <v>56979087.494944744</v>
      </c>
      <c r="S12" s="36">
        <f t="shared" si="1"/>
        <v>154446777.87649685</v>
      </c>
      <c r="T12" s="36">
        <f t="shared" si="1"/>
        <v>202410893.47973916</v>
      </c>
      <c r="U12" s="36">
        <f t="shared" si="1"/>
        <v>262415001.66691062</v>
      </c>
      <c r="V12" s="36">
        <f t="shared" si="1"/>
        <v>355512244.73193038</v>
      </c>
      <c r="W12" s="36">
        <f t="shared" si="1"/>
        <v>411903283.55131447</v>
      </c>
      <c r="X12" s="36">
        <f t="shared" si="1"/>
        <v>515939900.55258411</v>
      </c>
      <c r="Y12" s="36">
        <f t="shared" si="1"/>
        <v>538791882.46172917</v>
      </c>
      <c r="Z12" s="36">
        <f t="shared" si="1"/>
        <v>585518802.14841163</v>
      </c>
      <c r="AA12" s="36">
        <f t="shared" si="1"/>
        <v>611830248.44069135</v>
      </c>
      <c r="AB12" s="36">
        <f t="shared" si="1"/>
        <v>472940604.86853898</v>
      </c>
      <c r="AC12" s="36">
        <f t="shared" si="1"/>
        <v>515030164.72771519</v>
      </c>
      <c r="AD12" s="36">
        <f t="shared" si="1"/>
        <v>578586018.2915113</v>
      </c>
      <c r="AE12" s="36">
        <f t="shared" si="1"/>
        <v>577044010.81661201</v>
      </c>
      <c r="AF12" s="36">
        <f t="shared" si="1"/>
        <v>573360524.79421484</v>
      </c>
      <c r="AG12" s="36">
        <f t="shared" si="1"/>
        <v>598013443.49350882</v>
      </c>
      <c r="AH12" s="35">
        <f t="shared" si="1"/>
        <v>617390805.59099126</v>
      </c>
      <c r="AI12" s="35">
        <f t="shared" si="1"/>
        <v>631579134.77789879</v>
      </c>
      <c r="AJ12" s="35">
        <f t="shared" si="1"/>
        <v>638794277.7892096</v>
      </c>
      <c r="AK12" s="35">
        <f t="shared" si="1"/>
        <v>657775923.47029114</v>
      </c>
      <c r="AL12" s="35">
        <f t="shared" si="1"/>
        <v>693790418.43302131</v>
      </c>
      <c r="AM12" s="35">
        <f t="shared" si="1"/>
        <v>718841028.67455041</v>
      </c>
      <c r="AN12" s="35">
        <f t="shared" si="1"/>
        <v>719663281.76985824</v>
      </c>
      <c r="AO12" s="35">
        <f t="shared" si="1"/>
        <v>718460667.8787055</v>
      </c>
      <c r="AP12" s="35">
        <f t="shared" si="1"/>
        <v>735350840.53289282</v>
      </c>
    </row>
    <row r="13" spans="1:42" x14ac:dyDescent="0.2">
      <c r="A13" s="32" t="s">
        <v>79</v>
      </c>
      <c r="B13" s="35">
        <f t="shared" si="2"/>
        <v>0</v>
      </c>
      <c r="C13" s="35">
        <f t="shared" si="1"/>
        <v>0</v>
      </c>
      <c r="D13" s="35">
        <f t="shared" si="1"/>
        <v>0</v>
      </c>
      <c r="E13" s="35">
        <f t="shared" si="1"/>
        <v>0</v>
      </c>
      <c r="F13" s="35">
        <f t="shared" si="1"/>
        <v>0</v>
      </c>
      <c r="G13" s="35">
        <f t="shared" si="1"/>
        <v>0</v>
      </c>
      <c r="H13" s="35">
        <f t="shared" si="1"/>
        <v>192991</v>
      </c>
      <c r="I13" s="35">
        <f t="shared" si="1"/>
        <v>68957</v>
      </c>
      <c r="J13" s="35">
        <f t="shared" si="1"/>
        <v>152783</v>
      </c>
      <c r="K13" s="35">
        <f t="shared" si="1"/>
        <v>91175</v>
      </c>
      <c r="L13" s="35">
        <f t="shared" si="1"/>
        <v>192853</v>
      </c>
      <c r="M13" s="35">
        <f t="shared" si="1"/>
        <v>403482</v>
      </c>
      <c r="N13" s="35">
        <f t="shared" si="1"/>
        <v>14261537</v>
      </c>
      <c r="O13" s="35">
        <f t="shared" si="1"/>
        <v>49803089</v>
      </c>
      <c r="P13" s="36">
        <f t="shared" si="1"/>
        <v>43190602</v>
      </c>
      <c r="Q13" s="36">
        <f t="shared" si="1"/>
        <v>20123971.125173315</v>
      </c>
      <c r="R13" s="36">
        <f t="shared" si="1"/>
        <v>48164797.349602126</v>
      </c>
      <c r="S13" s="36">
        <f t="shared" si="1"/>
        <v>133043937.76577485</v>
      </c>
      <c r="T13" s="36">
        <f t="shared" si="1"/>
        <v>174602860.39938071</v>
      </c>
      <c r="U13" s="36">
        <f t="shared" si="1"/>
        <v>225879709.25137934</v>
      </c>
      <c r="V13" s="36">
        <f t="shared" si="1"/>
        <v>307527381.62205279</v>
      </c>
      <c r="W13" s="36">
        <f t="shared" si="1"/>
        <v>355278001.20339346</v>
      </c>
      <c r="X13" s="36">
        <f t="shared" si="1"/>
        <v>445595739.02338171</v>
      </c>
      <c r="Y13" s="36">
        <f t="shared" si="1"/>
        <v>465404449.19100988</v>
      </c>
      <c r="Z13" s="36">
        <f t="shared" si="1"/>
        <v>505792693.43018126</v>
      </c>
      <c r="AA13" s="36">
        <f t="shared" si="1"/>
        <v>528621390.94683194</v>
      </c>
      <c r="AB13" s="36">
        <f t="shared" si="1"/>
        <v>408354490.67827815</v>
      </c>
      <c r="AC13" s="36">
        <f t="shared" si="1"/>
        <v>444815499.4983936</v>
      </c>
      <c r="AD13" s="36">
        <f t="shared" si="1"/>
        <v>499806183.71295327</v>
      </c>
      <c r="AE13" s="36">
        <f t="shared" si="1"/>
        <v>498563868.8264128</v>
      </c>
      <c r="AF13" s="36">
        <f t="shared" si="1"/>
        <v>495413625.3095938</v>
      </c>
      <c r="AG13" s="36">
        <f t="shared" si="1"/>
        <v>516712549.78378665</v>
      </c>
      <c r="AH13" s="35">
        <f t="shared" si="1"/>
        <v>533466114.97746742</v>
      </c>
      <c r="AI13" s="35">
        <f t="shared" si="1"/>
        <v>545728418.89480829</v>
      </c>
      <c r="AJ13" s="35">
        <f t="shared" si="1"/>
        <v>551962576.0185771</v>
      </c>
      <c r="AK13" s="35">
        <f t="shared" si="1"/>
        <v>568362351.65299749</v>
      </c>
      <c r="AL13" s="35">
        <f t="shared" si="1"/>
        <v>599479440.28035152</v>
      </c>
      <c r="AM13" s="35">
        <f t="shared" si="1"/>
        <v>621126869.43814158</v>
      </c>
      <c r="AN13" s="35">
        <f t="shared" si="1"/>
        <v>621837557.27874005</v>
      </c>
      <c r="AO13" s="35">
        <f t="shared" si="1"/>
        <v>620798103.85034108</v>
      </c>
      <c r="AP13" s="35">
        <f t="shared" si="1"/>
        <v>635392015.41745877</v>
      </c>
    </row>
    <row r="14" spans="1:42" x14ac:dyDescent="0.2">
      <c r="A14" s="32" t="s">
        <v>80</v>
      </c>
      <c r="B14" s="35">
        <f t="shared" si="2"/>
        <v>0</v>
      </c>
      <c r="C14" s="35">
        <f t="shared" si="1"/>
        <v>0</v>
      </c>
      <c r="D14" s="35">
        <f t="shared" si="1"/>
        <v>0</v>
      </c>
      <c r="E14" s="35">
        <f t="shared" si="1"/>
        <v>0</v>
      </c>
      <c r="F14" s="35">
        <f t="shared" si="1"/>
        <v>0</v>
      </c>
      <c r="G14" s="35">
        <f t="shared" si="1"/>
        <v>0</v>
      </c>
      <c r="H14" s="35">
        <f t="shared" si="1"/>
        <v>178772</v>
      </c>
      <c r="I14" s="35">
        <f t="shared" si="1"/>
        <v>201266</v>
      </c>
      <c r="J14" s="35">
        <f t="shared" si="1"/>
        <v>272240</v>
      </c>
      <c r="K14" s="35">
        <f t="shared" si="1"/>
        <v>137333</v>
      </c>
      <c r="L14" s="35">
        <f t="shared" si="1"/>
        <v>194662</v>
      </c>
      <c r="M14" s="35">
        <f t="shared" si="1"/>
        <v>308503</v>
      </c>
      <c r="N14" s="35">
        <f t="shared" si="1"/>
        <v>24497147</v>
      </c>
      <c r="O14" s="35">
        <f t="shared" si="1"/>
        <v>59821501</v>
      </c>
      <c r="P14" s="36">
        <f t="shared" si="1"/>
        <v>58972203</v>
      </c>
      <c r="Q14" s="36">
        <f t="shared" si="1"/>
        <v>17062339.941113248</v>
      </c>
      <c r="R14" s="36">
        <f t="shared" si="1"/>
        <v>43520641.180795692</v>
      </c>
      <c r="S14" s="36">
        <f t="shared" si="1"/>
        <v>119092501.60839956</v>
      </c>
      <c r="T14" s="36">
        <f t="shared" si="1"/>
        <v>157005083.24319091</v>
      </c>
      <c r="U14" s="36">
        <f t="shared" si="1"/>
        <v>203358520.52710912</v>
      </c>
      <c r="V14" s="36">
        <f t="shared" si="1"/>
        <v>276075783.68819708</v>
      </c>
      <c r="W14" s="36">
        <f t="shared" si="1"/>
        <v>319237069.65708202</v>
      </c>
      <c r="X14" s="36">
        <f t="shared" si="1"/>
        <v>400302653.62388659</v>
      </c>
      <c r="Y14" s="36">
        <f t="shared" si="1"/>
        <v>418238282.08050859</v>
      </c>
      <c r="Z14" s="36">
        <f t="shared" si="1"/>
        <v>454506628.32126623</v>
      </c>
      <c r="AA14" s="36">
        <f t="shared" si="1"/>
        <v>474936299.98842728</v>
      </c>
      <c r="AB14" s="36">
        <f t="shared" si="1"/>
        <v>366915672.78283215</v>
      </c>
      <c r="AC14" s="36">
        <f t="shared" si="1"/>
        <v>399673796.39598131</v>
      </c>
      <c r="AD14" s="36">
        <f t="shared" si="1"/>
        <v>449099730.41624707</v>
      </c>
      <c r="AE14" s="36">
        <f t="shared" si="1"/>
        <v>447974187.91155297</v>
      </c>
      <c r="AF14" s="36">
        <f t="shared" si="1"/>
        <v>445136769.02387118</v>
      </c>
      <c r="AG14" s="36">
        <f t="shared" si="1"/>
        <v>464280954.23693538</v>
      </c>
      <c r="AH14" s="35">
        <f t="shared" si="1"/>
        <v>479334886.1594367</v>
      </c>
      <c r="AI14" s="35">
        <f t="shared" si="1"/>
        <v>490353846.55170214</v>
      </c>
      <c r="AJ14" s="35">
        <f t="shared" si="1"/>
        <v>495953320.5968008</v>
      </c>
      <c r="AK14" s="35">
        <f t="shared" si="1"/>
        <v>510688610.56693208</v>
      </c>
      <c r="AL14" s="35">
        <f t="shared" si="1"/>
        <v>538649305.60635626</v>
      </c>
      <c r="AM14" s="35">
        <f t="shared" si="1"/>
        <v>558100124.34282148</v>
      </c>
      <c r="AN14" s="35">
        <f t="shared" si="1"/>
        <v>558738603.15538108</v>
      </c>
      <c r="AO14" s="35">
        <f t="shared" si="1"/>
        <v>557804320.40282571</v>
      </c>
      <c r="AP14" s="35">
        <f t="shared" si="1"/>
        <v>570917432.02633893</v>
      </c>
    </row>
    <row r="15" spans="1:42" ht="12" thickBot="1" x14ac:dyDescent="0.25">
      <c r="A15" s="37" t="s">
        <v>58</v>
      </c>
      <c r="B15" s="38">
        <f>SUM(B3:B14)</f>
        <v>0</v>
      </c>
      <c r="C15" s="38">
        <f t="shared" ref="C15:AP15" si="3">SUM(C3:C14)</f>
        <v>0</v>
      </c>
      <c r="D15" s="38">
        <f t="shared" si="3"/>
        <v>0</v>
      </c>
      <c r="E15" s="38">
        <f t="shared" si="3"/>
        <v>0</v>
      </c>
      <c r="F15" s="38">
        <f t="shared" si="3"/>
        <v>0</v>
      </c>
      <c r="G15" s="38">
        <f t="shared" si="3"/>
        <v>0</v>
      </c>
      <c r="H15" s="38">
        <f t="shared" si="3"/>
        <v>783646</v>
      </c>
      <c r="I15" s="38">
        <f t="shared" si="3"/>
        <v>1711017</v>
      </c>
      <c r="J15" s="38">
        <f t="shared" si="3"/>
        <v>1828178</v>
      </c>
      <c r="K15" s="38">
        <f t="shared" si="3"/>
        <v>2428702</v>
      </c>
      <c r="L15" s="38">
        <f t="shared" si="3"/>
        <v>5799240</v>
      </c>
      <c r="M15" s="38">
        <f t="shared" si="3"/>
        <v>5789735</v>
      </c>
      <c r="N15" s="38">
        <f t="shared" si="3"/>
        <v>54966604</v>
      </c>
      <c r="O15" s="38">
        <f t="shared" si="3"/>
        <v>551063102</v>
      </c>
      <c r="P15" s="39">
        <f t="shared" si="3"/>
        <v>633797893</v>
      </c>
      <c r="Q15" s="39">
        <f t="shared" si="3"/>
        <v>309672639.77585417</v>
      </c>
      <c r="R15" s="39">
        <f t="shared" si="3"/>
        <v>506973447.51700842</v>
      </c>
      <c r="S15" s="39">
        <f t="shared" si="3"/>
        <v>1391275926.240958</v>
      </c>
      <c r="T15" s="39">
        <f t="shared" si="3"/>
        <v>1822933985.5028818</v>
      </c>
      <c r="U15" s="39">
        <f t="shared" si="3"/>
        <v>2375931690.9541168</v>
      </c>
      <c r="V15" s="39">
        <f t="shared" si="3"/>
        <v>3211344302.6346588</v>
      </c>
      <c r="W15" s="39">
        <f t="shared" si="3"/>
        <v>3713997976.9591808</v>
      </c>
      <c r="X15" s="39">
        <f t="shared" si="3"/>
        <v>4652809727.3923969</v>
      </c>
      <c r="Y15" s="39">
        <f t="shared" si="3"/>
        <v>4859432478.8126516</v>
      </c>
      <c r="Z15" s="39">
        <f t="shared" si="3"/>
        <v>5281948378.1975994</v>
      </c>
      <c r="AA15" s="39">
        <f t="shared" si="3"/>
        <v>5518016093.4527254</v>
      </c>
      <c r="AB15" s="39">
        <f t="shared" si="3"/>
        <v>4266137855.4501648</v>
      </c>
      <c r="AC15" s="39">
        <f t="shared" si="3"/>
        <v>4645709430.6949425</v>
      </c>
      <c r="AD15" s="39">
        <f t="shared" si="3"/>
        <v>5218424954.6126175</v>
      </c>
      <c r="AE15" s="39">
        <f t="shared" si="3"/>
        <v>5203839370.6424284</v>
      </c>
      <c r="AF15" s="39">
        <f t="shared" si="3"/>
        <v>5170171339.4643345</v>
      </c>
      <c r="AG15" s="39">
        <f t="shared" si="3"/>
        <v>5392342464.6620169</v>
      </c>
      <c r="AH15" s="38">
        <f t="shared" si="3"/>
        <v>5567151737.2504787</v>
      </c>
      <c r="AI15" s="38">
        <f t="shared" si="3"/>
        <v>5695093705.7201214</v>
      </c>
      <c r="AJ15" s="38">
        <f t="shared" si="3"/>
        <v>5760136815.4347754</v>
      </c>
      <c r="AK15" s="38">
        <f t="shared" si="3"/>
        <v>5931275417.8713293</v>
      </c>
      <c r="AL15" s="38">
        <f t="shared" si="3"/>
        <v>6256035650.7877865</v>
      </c>
      <c r="AM15" s="38">
        <f t="shared" si="3"/>
        <v>6481933723.3978128</v>
      </c>
      <c r="AN15" s="38">
        <f t="shared" si="3"/>
        <v>6489344908.4954033</v>
      </c>
      <c r="AO15" s="38">
        <f t="shared" si="3"/>
        <v>6478496340.6966381</v>
      </c>
      <c r="AP15" s="38">
        <f t="shared" si="3"/>
        <v>6630796675.0436459</v>
      </c>
    </row>
    <row r="16" spans="1:42" ht="12.75" thickTop="1" thickBot="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</row>
    <row r="17" spans="1:42" ht="12" thickTop="1" x14ac:dyDescent="0.2">
      <c r="A17" s="30" t="s">
        <v>142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</row>
    <row r="18" spans="1:42" ht="12" thickBot="1" x14ac:dyDescent="0.25">
      <c r="A18" s="33"/>
      <c r="B18" s="34">
        <f>B2</f>
        <v>2010</v>
      </c>
      <c r="C18" s="34">
        <f t="shared" ref="C18:AP18" si="4">C2</f>
        <v>2011</v>
      </c>
      <c r="D18" s="34">
        <f t="shared" si="4"/>
        <v>2012</v>
      </c>
      <c r="E18" s="34">
        <f t="shared" si="4"/>
        <v>2013</v>
      </c>
      <c r="F18" s="34">
        <f t="shared" si="4"/>
        <v>2014</v>
      </c>
      <c r="G18" s="34">
        <f t="shared" si="4"/>
        <v>2015</v>
      </c>
      <c r="H18" s="34">
        <f t="shared" si="4"/>
        <v>2016</v>
      </c>
      <c r="I18" s="34">
        <f t="shared" si="4"/>
        <v>2017</v>
      </c>
      <c r="J18" s="34">
        <f t="shared" si="4"/>
        <v>2018</v>
      </c>
      <c r="K18" s="34">
        <f t="shared" si="4"/>
        <v>2019</v>
      </c>
      <c r="L18" s="34">
        <f t="shared" si="4"/>
        <v>2020</v>
      </c>
      <c r="M18" s="34">
        <f t="shared" si="4"/>
        <v>2021</v>
      </c>
      <c r="N18" s="34">
        <f t="shared" si="4"/>
        <v>2022</v>
      </c>
      <c r="O18" s="34">
        <f t="shared" si="4"/>
        <v>2023</v>
      </c>
      <c r="P18" s="34">
        <f t="shared" si="4"/>
        <v>2024</v>
      </c>
      <c r="Q18" s="34">
        <f t="shared" si="4"/>
        <v>2025</v>
      </c>
      <c r="R18" s="34">
        <f t="shared" si="4"/>
        <v>2026</v>
      </c>
      <c r="S18" s="34">
        <f t="shared" si="4"/>
        <v>2027</v>
      </c>
      <c r="T18" s="34">
        <f t="shared" si="4"/>
        <v>2028</v>
      </c>
      <c r="U18" s="34">
        <f t="shared" si="4"/>
        <v>2029</v>
      </c>
      <c r="V18" s="34">
        <f t="shared" si="4"/>
        <v>2030</v>
      </c>
      <c r="W18" s="34">
        <f t="shared" si="4"/>
        <v>2031</v>
      </c>
      <c r="X18" s="34">
        <f t="shared" si="4"/>
        <v>2032</v>
      </c>
      <c r="Y18" s="34">
        <f t="shared" si="4"/>
        <v>2033</v>
      </c>
      <c r="Z18" s="34">
        <f t="shared" si="4"/>
        <v>2034</v>
      </c>
      <c r="AA18" s="34">
        <f t="shared" si="4"/>
        <v>2035</v>
      </c>
      <c r="AB18" s="34">
        <f t="shared" si="4"/>
        <v>2036</v>
      </c>
      <c r="AC18" s="34">
        <f t="shared" si="4"/>
        <v>2037</v>
      </c>
      <c r="AD18" s="34">
        <f t="shared" si="4"/>
        <v>2038</v>
      </c>
      <c r="AE18" s="34">
        <f t="shared" si="4"/>
        <v>2039</v>
      </c>
      <c r="AF18" s="34">
        <f t="shared" si="4"/>
        <v>2040</v>
      </c>
      <c r="AG18" s="34">
        <f t="shared" si="4"/>
        <v>2041</v>
      </c>
      <c r="AH18" s="34">
        <f t="shared" si="4"/>
        <v>2042</v>
      </c>
      <c r="AI18" s="34">
        <f t="shared" si="4"/>
        <v>2043</v>
      </c>
      <c r="AJ18" s="34">
        <f t="shared" si="4"/>
        <v>2044</v>
      </c>
      <c r="AK18" s="34">
        <f t="shared" si="4"/>
        <v>2045</v>
      </c>
      <c r="AL18" s="34">
        <f t="shared" si="4"/>
        <v>2046</v>
      </c>
      <c r="AM18" s="34">
        <f t="shared" si="4"/>
        <v>2047</v>
      </c>
      <c r="AN18" s="34">
        <f t="shared" si="4"/>
        <v>2048</v>
      </c>
      <c r="AO18" s="34">
        <f t="shared" si="4"/>
        <v>2049</v>
      </c>
      <c r="AP18" s="34">
        <f t="shared" si="4"/>
        <v>2050</v>
      </c>
    </row>
    <row r="19" spans="1:42" x14ac:dyDescent="0.2">
      <c r="A19" s="32" t="s">
        <v>70</v>
      </c>
      <c r="B19" s="35">
        <f>'[4]D4 Gallon Forecast'!B325</f>
        <v>0</v>
      </c>
      <c r="C19" s="35">
        <f>'[4]D4 Gallon Forecast'!C325</f>
        <v>0</v>
      </c>
      <c r="D19" s="35">
        <f>'[4]D4 Gallon Forecast'!D325</f>
        <v>0</v>
      </c>
      <c r="E19" s="35">
        <f>'[4]D4 Gallon Forecast'!E325</f>
        <v>0</v>
      </c>
      <c r="F19" s="35">
        <f>'[4]D4 Gallon Forecast'!F325</f>
        <v>0</v>
      </c>
      <c r="G19" s="35">
        <f>'[4]D4 Gallon Forecast'!G325</f>
        <v>0</v>
      </c>
      <c r="H19" s="35">
        <f>'[4]D4 Gallon Forecast'!H325</f>
        <v>0</v>
      </c>
      <c r="I19" s="35">
        <f>'[4]D4 Gallon Forecast'!I325</f>
        <v>210331</v>
      </c>
      <c r="J19" s="35">
        <f>'[4]D4 Gallon Forecast'!J325</f>
        <v>139714</v>
      </c>
      <c r="K19" s="35">
        <f>'[4]D4 Gallon Forecast'!K325</f>
        <v>194630</v>
      </c>
      <c r="L19" s="35">
        <f>'[4]D4 Gallon Forecast'!L325</f>
        <v>41590</v>
      </c>
      <c r="M19" s="35">
        <f>'[4]D4 Gallon Forecast'!M325</f>
        <v>289825</v>
      </c>
      <c r="N19" s="35">
        <f>'[4]D4 Gallon Forecast'!N325</f>
        <v>402120</v>
      </c>
      <c r="O19" s="35">
        <f>'[4]D4 Gallon Forecast'!O325</f>
        <v>100937</v>
      </c>
      <c r="P19" s="35">
        <f>'[4]D4 Gallon Forecast'!P325</f>
        <v>9660626</v>
      </c>
      <c r="Q19" s="36">
        <f>'[4]D4 Gallon Forecast'!Q325</f>
        <v>16372550</v>
      </c>
      <c r="R19" s="36">
        <f>'[4]D4 Gallon Forecast'!R325</f>
        <v>26182438.797614936</v>
      </c>
      <c r="S19" s="36">
        <f>'[4]D4 Gallon Forecast'!S325</f>
        <v>71838724.914646059</v>
      </c>
      <c r="T19" s="36">
        <f>'[4]D4 Gallon Forecast'!T325</f>
        <v>93857296.725430235</v>
      </c>
      <c r="U19" s="36">
        <f>'[4]D4 Gallon Forecast'!U325</f>
        <v>125658564.4711547</v>
      </c>
      <c r="V19" s="36">
        <f>'[4]D4 Gallon Forecast'!V325</f>
        <v>169330013.3135882</v>
      </c>
      <c r="W19" s="36">
        <f>'[4]D4 Gallon Forecast'!W325</f>
        <v>193602858.8713778</v>
      </c>
      <c r="X19" s="36">
        <f>'[4]D4 Gallon Forecast'!X325</f>
        <v>242091548.40398535</v>
      </c>
      <c r="Y19" s="36">
        <f>'[4]D4 Gallon Forecast'!Y325</f>
        <v>253057899.32075387</v>
      </c>
      <c r="Z19" s="36">
        <f>'[4]D4 Gallon Forecast'!Z325</f>
        <v>275462176.70737106</v>
      </c>
      <c r="AA19" s="36">
        <f>'[4]D4 Gallon Forecast'!AA325</f>
        <v>287580160.678868</v>
      </c>
      <c r="AB19" s="36">
        <f>'[4]D4 Gallon Forecast'!AB325</f>
        <v>222493016.48350796</v>
      </c>
      <c r="AC19" s="36">
        <f>'[4]D4 Gallon Forecast'!AC325</f>
        <v>242188863.88938624</v>
      </c>
      <c r="AD19" s="36">
        <f>'[4]D4 Gallon Forecast'!AD325</f>
        <v>271900291.41320002</v>
      </c>
      <c r="AE19" s="36">
        <f>'[4]D4 Gallon Forecast'!AE325</f>
        <v>270958485.92603678</v>
      </c>
      <c r="AF19" s="36">
        <f>'[4]D4 Gallon Forecast'!AF325</f>
        <v>269082448.10783219</v>
      </c>
      <c r="AG19" s="36">
        <f>'[4]D4 Gallon Forecast'!AG325</f>
        <v>280584246.7841081</v>
      </c>
      <c r="AH19" s="36">
        <f>'[4]D4 Gallon Forecast'!AH325</f>
        <v>289698756.54173476</v>
      </c>
      <c r="AI19" s="36">
        <f>'[4]D4 Gallon Forecast'!AI325</f>
        <v>296364712.56034964</v>
      </c>
      <c r="AJ19" s="36">
        <f>'[4]D4 Gallon Forecast'!AJ325</f>
        <v>299747823.08860928</v>
      </c>
      <c r="AK19" s="36">
        <f>'[4]D4 Gallon Forecast'!AK325</f>
        <v>308646117.02075291</v>
      </c>
      <c r="AL19" s="36">
        <f>'[4]D4 Gallon Forecast'!AL325</f>
        <v>325545514.02043581</v>
      </c>
      <c r="AM19" s="36">
        <f>'[4]D4 Gallon Forecast'!AM325</f>
        <v>337304404.30988789</v>
      </c>
      <c r="AN19" s="36">
        <f>'[4]D4 Gallon Forecast'!AN325</f>
        <v>337690618.44112271</v>
      </c>
      <c r="AO19" s="36">
        <f>'[4]D4 Gallon Forecast'!AO325</f>
        <v>337125014.36640096</v>
      </c>
      <c r="AP19" s="36">
        <f>'[4]D4 Gallon Forecast'!AP325</f>
        <v>345049411.98056835</v>
      </c>
    </row>
    <row r="20" spans="1:42" x14ac:dyDescent="0.2">
      <c r="A20" s="32" t="s">
        <v>71</v>
      </c>
      <c r="B20" s="35">
        <f>'[4]D4 Gallon Forecast'!B326</f>
        <v>0</v>
      </c>
      <c r="C20" s="35">
        <f>'[4]D4 Gallon Forecast'!C326</f>
        <v>0</v>
      </c>
      <c r="D20" s="35">
        <f>'[4]D4 Gallon Forecast'!D326</f>
        <v>0</v>
      </c>
      <c r="E20" s="35">
        <f>'[4]D4 Gallon Forecast'!E326</f>
        <v>0</v>
      </c>
      <c r="F20" s="35">
        <f>'[4]D4 Gallon Forecast'!F326</f>
        <v>0</v>
      </c>
      <c r="G20" s="35">
        <f>'[4]D4 Gallon Forecast'!G326</f>
        <v>0</v>
      </c>
      <c r="H20" s="35">
        <f>'[4]D4 Gallon Forecast'!H326</f>
        <v>0</v>
      </c>
      <c r="I20" s="35">
        <f>'[4]D4 Gallon Forecast'!I326</f>
        <v>190622</v>
      </c>
      <c r="J20" s="35">
        <f>'[4]D4 Gallon Forecast'!J326</f>
        <v>237996</v>
      </c>
      <c r="K20" s="35">
        <f>'[4]D4 Gallon Forecast'!K326</f>
        <v>187609</v>
      </c>
      <c r="L20" s="35">
        <f>'[4]D4 Gallon Forecast'!L326</f>
        <v>0</v>
      </c>
      <c r="M20" s="35">
        <f>'[4]D4 Gallon Forecast'!M326</f>
        <v>294725</v>
      </c>
      <c r="N20" s="35">
        <f>'[4]D4 Gallon Forecast'!N326</f>
        <v>2519869</v>
      </c>
      <c r="O20" s="35">
        <f>'[4]D4 Gallon Forecast'!O326</f>
        <v>3064876</v>
      </c>
      <c r="P20" s="35">
        <f>'[4]D4 Gallon Forecast'!P326</f>
        <v>1254939</v>
      </c>
      <c r="Q20" s="36">
        <f>'[4]D4 Gallon Forecast'!Q326</f>
        <v>15728119</v>
      </c>
      <c r="R20" s="36">
        <f>'[4]D4 Gallon Forecast'!R326</f>
        <v>49769109.030017033</v>
      </c>
      <c r="S20" s="36">
        <f>'[4]D4 Gallon Forecast'!S326</f>
        <v>136410063.87786058</v>
      </c>
      <c r="T20" s="36">
        <f>'[4]D4 Gallon Forecast'!T326</f>
        <v>178659613.65068796</v>
      </c>
      <c r="U20" s="36">
        <f>'[4]D4 Gallon Forecast'!U326</f>
        <v>228615208.3670066</v>
      </c>
      <c r="V20" s="36">
        <f>'[4]D4 Gallon Forecast'!V326</f>
        <v>311957213.97490871</v>
      </c>
      <c r="W20" s="36">
        <f>'[4]D4 Gallon Forecast'!W326</f>
        <v>362133384.0720005</v>
      </c>
      <c r="X20" s="36">
        <f>'[4]D4 Gallon Forecast'!X326</f>
        <v>454257575.951814</v>
      </c>
      <c r="Y20" s="36">
        <f>'[4]D4 Gallon Forecast'!Y326</f>
        <v>474189259.34671611</v>
      </c>
      <c r="Z20" s="36">
        <f>'[4]D4 Gallon Forecast'!Z326</f>
        <v>515067003.81089395</v>
      </c>
      <c r="AA20" s="36">
        <f>'[4]D4 Gallon Forecast'!AA326</f>
        <v>538532430.72217834</v>
      </c>
      <c r="AB20" s="36">
        <f>'[4]D4 Gallon Forecast'!AB326</f>
        <v>415940792.25408375</v>
      </c>
      <c r="AC20" s="36">
        <f>'[4]D4 Gallon Forecast'!AC326</f>
        <v>453101106.43873698</v>
      </c>
      <c r="AD20" s="36">
        <f>'[4]D4 Gallon Forecast'!AD326</f>
        <v>509185560.96955699</v>
      </c>
      <c r="AE20" s="36">
        <f>'[4]D4 Gallon Forecast'!AE326</f>
        <v>508035806.06366986</v>
      </c>
      <c r="AF20" s="36">
        <f>'[4]D4 Gallon Forecast'!AF326</f>
        <v>504915344.10027957</v>
      </c>
      <c r="AG20" s="36">
        <f>'[4]D4 Gallon Forecast'!AG326</f>
        <v>526656338.85305774</v>
      </c>
      <c r="AH20" s="36">
        <f>'[4]D4 Gallon Forecast'!AH326</f>
        <v>543714229.79158998</v>
      </c>
      <c r="AI20" s="36">
        <f>'[4]D4 Gallon Forecast'!AI326</f>
        <v>556206414.11382818</v>
      </c>
      <c r="AJ20" s="36">
        <f>'[4]D4 Gallon Forecast'!AJ326</f>
        <v>562563938.92635345</v>
      </c>
      <c r="AK20" s="36">
        <f>'[4]D4 Gallon Forecast'!AK326</f>
        <v>579284937.640288</v>
      </c>
      <c r="AL20" s="36">
        <f>'[4]D4 Gallon Forecast'!AL326</f>
        <v>610998757.72198415</v>
      </c>
      <c r="AM20" s="36">
        <f>'[4]D4 Gallon Forecast'!AM326</f>
        <v>633058851.40300572</v>
      </c>
      <c r="AN20" s="36">
        <f>'[4]D4 Gallon Forecast'!AN326</f>
        <v>633783166.94524372</v>
      </c>
      <c r="AO20" s="36">
        <f>'[4]D4 Gallon Forecast'!AO326</f>
        <v>632724907.1701597</v>
      </c>
      <c r="AP20" s="36">
        <f>'[4]D4 Gallon Forecast'!AP326</f>
        <v>647599819.92666256</v>
      </c>
    </row>
    <row r="21" spans="1:42" x14ac:dyDescent="0.2">
      <c r="A21" s="32" t="s">
        <v>72</v>
      </c>
      <c r="B21" s="35">
        <f>'[4]D4 Gallon Forecast'!B327</f>
        <v>0</v>
      </c>
      <c r="C21" s="35">
        <f>'[4]D4 Gallon Forecast'!C327</f>
        <v>0</v>
      </c>
      <c r="D21" s="35">
        <f>'[4]D4 Gallon Forecast'!D327</f>
        <v>0</v>
      </c>
      <c r="E21" s="35">
        <f>'[4]D4 Gallon Forecast'!E327</f>
        <v>0</v>
      </c>
      <c r="F21" s="35">
        <f>'[4]D4 Gallon Forecast'!F327</f>
        <v>0</v>
      </c>
      <c r="G21" s="35">
        <f>'[4]D4 Gallon Forecast'!G327</f>
        <v>0</v>
      </c>
      <c r="H21" s="35">
        <f>'[4]D4 Gallon Forecast'!H327</f>
        <v>0</v>
      </c>
      <c r="I21" s="35">
        <f>'[4]D4 Gallon Forecast'!I327</f>
        <v>184825</v>
      </c>
      <c r="J21" s="35">
        <f>'[4]D4 Gallon Forecast'!J327</f>
        <v>103790</v>
      </c>
      <c r="K21" s="35">
        <f>'[4]D4 Gallon Forecast'!K327</f>
        <v>183940</v>
      </c>
      <c r="L21" s="35">
        <f>'[4]D4 Gallon Forecast'!L327</f>
        <v>280826</v>
      </c>
      <c r="M21" s="35">
        <f>'[4]D4 Gallon Forecast'!M327</f>
        <v>288906</v>
      </c>
      <c r="N21" s="35">
        <f>'[4]D4 Gallon Forecast'!N327</f>
        <v>2922508</v>
      </c>
      <c r="O21" s="35">
        <f>'[4]D4 Gallon Forecast'!O327</f>
        <v>2211806</v>
      </c>
      <c r="P21" s="35">
        <f>'[4]D4 Gallon Forecast'!P327</f>
        <v>7782698</v>
      </c>
      <c r="Q21" s="36">
        <f>'[4]D4 Gallon Forecast'!Q327</f>
        <v>8826708</v>
      </c>
      <c r="R21" s="36">
        <f>'[4]D4 Gallon Forecast'!R327</f>
        <v>20133954.750928383</v>
      </c>
      <c r="S21" s="36">
        <f>'[4]D4 Gallon Forecast'!S327</f>
        <v>55068922.522667557</v>
      </c>
      <c r="T21" s="36">
        <f>'[4]D4 Gallon Forecast'!T327</f>
        <v>71495946.13161619</v>
      </c>
      <c r="U21" s="36">
        <f>'[4]D4 Gallon Forecast'!U327</f>
        <v>94672703.8684403</v>
      </c>
      <c r="V21" s="36">
        <f>'[4]D4 Gallon Forecast'!V327</f>
        <v>127038842.03956485</v>
      </c>
      <c r="W21" s="36">
        <f>'[4]D4 Gallon Forecast'!W327</f>
        <v>146606946.06226254</v>
      </c>
      <c r="X21" s="36">
        <f>'[4]D4 Gallon Forecast'!X327</f>
        <v>183311874.61042628</v>
      </c>
      <c r="Y21" s="36">
        <f>'[4]D4 Gallon Forecast'!Y327</f>
        <v>191403068.62090603</v>
      </c>
      <c r="Z21" s="36">
        <f>'[4]D4 Gallon Forecast'!Z327</f>
        <v>208189234.01892436</v>
      </c>
      <c r="AA21" s="36">
        <f>'[4]D4 Gallon Forecast'!AA327</f>
        <v>217377392.87950662</v>
      </c>
      <c r="AB21" s="36">
        <f>'[4]D4 Gallon Forecast'!AB327</f>
        <v>168260433.80499935</v>
      </c>
      <c r="AC21" s="36">
        <f>'[4]D4 Gallon Forecast'!AC327</f>
        <v>183139013.65481985</v>
      </c>
      <c r="AD21" s="36">
        <f>'[4]D4 Gallon Forecast'!AD327</f>
        <v>205597022.29338294</v>
      </c>
      <c r="AE21" s="36">
        <f>'[4]D4 Gallon Forecast'!AE327</f>
        <v>204910697.61726433</v>
      </c>
      <c r="AF21" s="36">
        <f>'[4]D4 Gallon Forecast'!AF327</f>
        <v>203523933.66342291</v>
      </c>
      <c r="AG21" s="36">
        <f>'[4]D4 Gallon Forecast'!AG327</f>
        <v>212249282.99278367</v>
      </c>
      <c r="AH21" s="36">
        <f>'[4]D4 Gallon Forecast'!AH327</f>
        <v>219131196.24082625</v>
      </c>
      <c r="AI21" s="36">
        <f>'[4]D4 Gallon Forecast'!AI327</f>
        <v>224167182.04883334</v>
      </c>
      <c r="AJ21" s="36">
        <f>'[4]D4 Gallon Forecast'!AJ327</f>
        <v>226727591.49033585</v>
      </c>
      <c r="AK21" s="36">
        <f>'[4]D4 Gallon Forecast'!AK327</f>
        <v>233462263.37527874</v>
      </c>
      <c r="AL21" s="36">
        <f>'[4]D4 Gallon Forecast'!AL327</f>
        <v>246246159.71347085</v>
      </c>
      <c r="AM21" s="36">
        <f>'[4]D4 Gallon Forecast'!AM327</f>
        <v>255137979.39059666</v>
      </c>
      <c r="AN21" s="36">
        <f>'[4]D4 Gallon Forecast'!AN327</f>
        <v>255429626.02287757</v>
      </c>
      <c r="AO21" s="36">
        <f>'[4]D4 Gallon Forecast'!AO327</f>
        <v>255002530.41339225</v>
      </c>
      <c r="AP21" s="36">
        <f>'[4]D4 Gallon Forecast'!AP327</f>
        <v>260997138.52264854</v>
      </c>
    </row>
    <row r="22" spans="1:42" x14ac:dyDescent="0.2">
      <c r="A22" s="32" t="s">
        <v>73</v>
      </c>
      <c r="B22" s="35">
        <f>'[4]D4 Gallon Forecast'!B328</f>
        <v>0</v>
      </c>
      <c r="C22" s="35">
        <f>'[4]D4 Gallon Forecast'!C328</f>
        <v>0</v>
      </c>
      <c r="D22" s="35">
        <f>'[4]D4 Gallon Forecast'!D328</f>
        <v>0</v>
      </c>
      <c r="E22" s="35">
        <f>'[4]D4 Gallon Forecast'!E328</f>
        <v>0</v>
      </c>
      <c r="F22" s="35">
        <f>'[4]D4 Gallon Forecast'!F328</f>
        <v>0</v>
      </c>
      <c r="G22" s="35">
        <f>'[4]D4 Gallon Forecast'!G328</f>
        <v>0</v>
      </c>
      <c r="H22" s="35">
        <f>'[4]D4 Gallon Forecast'!H328</f>
        <v>0</v>
      </c>
      <c r="I22" s="35">
        <f>'[4]D4 Gallon Forecast'!I328</f>
        <v>0</v>
      </c>
      <c r="J22" s="35">
        <f>'[4]D4 Gallon Forecast'!J328</f>
        <v>184634</v>
      </c>
      <c r="K22" s="35">
        <f>'[4]D4 Gallon Forecast'!K328</f>
        <v>245975</v>
      </c>
      <c r="L22" s="35">
        <f>'[4]D4 Gallon Forecast'!L328</f>
        <v>1234442</v>
      </c>
      <c r="M22" s="35">
        <f>'[4]D4 Gallon Forecast'!M328</f>
        <v>293289</v>
      </c>
      <c r="N22" s="35">
        <f>'[4]D4 Gallon Forecast'!N328</f>
        <v>408991</v>
      </c>
      <c r="O22" s="35">
        <f>'[4]D4 Gallon Forecast'!O328</f>
        <v>2311450</v>
      </c>
      <c r="P22" s="35">
        <f>'[4]D4 Gallon Forecast'!P328</f>
        <v>8403241</v>
      </c>
      <c r="Q22" s="36">
        <f>'[4]D4 Gallon Forecast'!Q328</f>
        <v>13308048.905589283</v>
      </c>
      <c r="R22" s="36">
        <f>'[4]D4 Gallon Forecast'!R328</f>
        <v>31816320.088426925</v>
      </c>
      <c r="S22" s="36">
        <f>'[4]D4 Gallon Forecast'!S328</f>
        <v>87516229.652979359</v>
      </c>
      <c r="T22" s="36">
        <f>'[4]D4 Gallon Forecast'!T328</f>
        <v>114690822.68038088</v>
      </c>
      <c r="U22" s="36">
        <f>'[4]D4 Gallon Forecast'!U328</f>
        <v>150061451.47635484</v>
      </c>
      <c r="V22" s="36">
        <f>'[4]D4 Gallon Forecast'!V328</f>
        <v>202442069.6704239</v>
      </c>
      <c r="W22" s="36">
        <f>'[4]D4 Gallon Forecast'!W328</f>
        <v>233865427.44251126</v>
      </c>
      <c r="X22" s="36">
        <f>'[4]D4 Gallon Forecast'!X328</f>
        <v>292896545.58886433</v>
      </c>
      <c r="Y22" s="36">
        <f>'[4]D4 Gallon Forecast'!Y328</f>
        <v>305934444.5542323</v>
      </c>
      <c r="Z22" s="36">
        <f>'[4]D4 Gallon Forecast'!Z328</f>
        <v>332579381.29099256</v>
      </c>
      <c r="AA22" s="36">
        <f>'[4]D4 Gallon Forecast'!AA328</f>
        <v>347384122.91677815</v>
      </c>
      <c r="AB22" s="36">
        <f>'[4]D4 Gallon Forecast'!AB328</f>
        <v>268642630.10744131</v>
      </c>
      <c r="AC22" s="36">
        <f>'[4]D4 Gallon Forecast'!AC328</f>
        <v>292518605.05435014</v>
      </c>
      <c r="AD22" s="36">
        <f>'[4]D4 Gallon Forecast'!AD328</f>
        <v>328537416.85152793</v>
      </c>
      <c r="AE22" s="36">
        <f>'[4]D4 Gallon Forecast'!AE328</f>
        <v>327570325.19799984</v>
      </c>
      <c r="AF22" s="36">
        <f>'[4]D4 Gallon Forecast'!AF328</f>
        <v>325424212.82770789</v>
      </c>
      <c r="AG22" s="36">
        <f>'[4]D4 Gallon Forecast'!AG328</f>
        <v>339399858.27864075</v>
      </c>
      <c r="AH22" s="36">
        <f>'[4]D4 Gallon Forecast'!AH328</f>
        <v>350405082.0411765</v>
      </c>
      <c r="AI22" s="36">
        <f>'[4]D4 Gallon Forecast'!AI328</f>
        <v>358458174.30512685</v>
      </c>
      <c r="AJ22" s="36">
        <f>'[4]D4 Gallon Forecast'!AJ328</f>
        <v>362551299.51928526</v>
      </c>
      <c r="AK22" s="36">
        <f>'[4]D4 Gallon Forecast'!AK328</f>
        <v>373322139.26566219</v>
      </c>
      <c r="AL22" s="36">
        <f>'[4]D4 Gallon Forecast'!AL328</f>
        <v>393763558.47419029</v>
      </c>
      <c r="AM22" s="36">
        <f>'[4]D4 Gallon Forecast'!AM328</f>
        <v>407982263.31526423</v>
      </c>
      <c r="AN22" s="36">
        <f>'[4]D4 Gallon Forecast'!AN328</f>
        <v>408448622.59732509</v>
      </c>
      <c r="AO22" s="36">
        <f>'[4]D4 Gallon Forecast'!AO328</f>
        <v>407765619.10970992</v>
      </c>
      <c r="AP22" s="36">
        <f>'[4]D4 Gallon Forecast'!AP328</f>
        <v>417351566.19460899</v>
      </c>
    </row>
    <row r="23" spans="1:42" x14ac:dyDescent="0.2">
      <c r="A23" s="32" t="s">
        <v>10</v>
      </c>
      <c r="B23" s="35">
        <f>'[4]D4 Gallon Forecast'!B329</f>
        <v>0</v>
      </c>
      <c r="C23" s="35">
        <f>'[4]D4 Gallon Forecast'!C329</f>
        <v>0</v>
      </c>
      <c r="D23" s="35">
        <f>'[4]D4 Gallon Forecast'!D329</f>
        <v>0</v>
      </c>
      <c r="E23" s="35">
        <f>'[4]D4 Gallon Forecast'!E329</f>
        <v>0</v>
      </c>
      <c r="F23" s="35">
        <f>'[4]D4 Gallon Forecast'!F329</f>
        <v>0</v>
      </c>
      <c r="G23" s="35">
        <f>'[4]D4 Gallon Forecast'!G329</f>
        <v>0</v>
      </c>
      <c r="H23" s="35">
        <f>'[4]D4 Gallon Forecast'!H329</f>
        <v>0</v>
      </c>
      <c r="I23" s="35">
        <f>'[4]D4 Gallon Forecast'!I329</f>
        <v>134485</v>
      </c>
      <c r="J23" s="35">
        <f>'[4]D4 Gallon Forecast'!J329</f>
        <v>64189</v>
      </c>
      <c r="K23" s="35">
        <f>'[4]D4 Gallon Forecast'!K329</f>
        <v>254288</v>
      </c>
      <c r="L23" s="35">
        <f>'[4]D4 Gallon Forecast'!L329</f>
        <v>0</v>
      </c>
      <c r="M23" s="35">
        <f>'[4]D4 Gallon Forecast'!M329</f>
        <v>287496</v>
      </c>
      <c r="N23" s="35">
        <f>'[4]D4 Gallon Forecast'!N329</f>
        <v>202831</v>
      </c>
      <c r="O23" s="35">
        <f>'[4]D4 Gallon Forecast'!O329</f>
        <v>1626715</v>
      </c>
      <c r="P23" s="35">
        <f>'[4]D4 Gallon Forecast'!P329</f>
        <v>18055498</v>
      </c>
      <c r="Q23" s="36">
        <f>'[4]D4 Gallon Forecast'!Q329</f>
        <v>15695583.131274737</v>
      </c>
      <c r="R23" s="36">
        <f>'[4]D4 Gallon Forecast'!R329</f>
        <v>41780561.021103673</v>
      </c>
      <c r="S23" s="36">
        <f>'[4]D4 Gallon Forecast'!S329</f>
        <v>115278881.02848986</v>
      </c>
      <c r="T23" s="36">
        <f>'[4]D4 Gallon Forecast'!T329</f>
        <v>151068433.84608757</v>
      </c>
      <c r="U23" s="36">
        <f>'[4]D4 Gallon Forecast'!U329</f>
        <v>199076953.03664705</v>
      </c>
      <c r="V23" s="36">
        <f>'[4]D4 Gallon Forecast'!V329</f>
        <v>266401465.28689945</v>
      </c>
      <c r="W23" s="36">
        <f>'[4]D4 Gallon Forecast'!W329</f>
        <v>308291621.86943632</v>
      </c>
      <c r="X23" s="36">
        <f>'[4]D4 Gallon Forecast'!X329</f>
        <v>386018298.39756542</v>
      </c>
      <c r="Y23" s="36">
        <f>'[4]D4 Gallon Forecast'!Y329</f>
        <v>403229734.6331256</v>
      </c>
      <c r="Z23" s="36">
        <f>'[4]D4 Gallon Forecast'!Z329</f>
        <v>438403054.22398633</v>
      </c>
      <c r="AA23" s="36">
        <f>'[4]D4 Gallon Forecast'!AA329</f>
        <v>457698449.26422077</v>
      </c>
      <c r="AB23" s="36">
        <f>'[4]D4 Gallon Forecast'!AB329</f>
        <v>354118209.6740467</v>
      </c>
      <c r="AC23" s="36">
        <f>'[4]D4 Gallon Forecast'!AC329</f>
        <v>385558497.24723381</v>
      </c>
      <c r="AD23" s="36">
        <f>'[4]D4 Gallon Forecast'!AD329</f>
        <v>432981750.12180865</v>
      </c>
      <c r="AE23" s="36">
        <f>'[4]D4 Gallon Forecast'!AE329</f>
        <v>431649760.04424119</v>
      </c>
      <c r="AF23" s="36">
        <f>'[4]D4 Gallon Forecast'!AF329</f>
        <v>428784834.20417035</v>
      </c>
      <c r="AG23" s="36">
        <f>'[4]D4 Gallon Forecast'!AG329</f>
        <v>447206387.44169664</v>
      </c>
      <c r="AH23" s="36">
        <f>'[4]D4 Gallon Forecast'!AH329</f>
        <v>461707527.31536746</v>
      </c>
      <c r="AI23" s="36">
        <f>'[4]D4 Gallon Forecast'!AI329</f>
        <v>472316737.85257494</v>
      </c>
      <c r="AJ23" s="36">
        <f>'[4]D4 Gallon Forecast'!AJ329</f>
        <v>477707934.64939249</v>
      </c>
      <c r="AK23" s="36">
        <f>'[4]D4 Gallon Forecast'!AK329</f>
        <v>491899049.01143104</v>
      </c>
      <c r="AL23" s="36">
        <f>'[4]D4 Gallon Forecast'!AL329</f>
        <v>518835955.28814048</v>
      </c>
      <c r="AM23" s="36">
        <f>'[4]D4 Gallon Forecast'!AM329</f>
        <v>537570582.76409626</v>
      </c>
      <c r="AN23" s="36">
        <f>'[4]D4 Gallon Forecast'!AN329</f>
        <v>538184535.36821783</v>
      </c>
      <c r="AO23" s="36">
        <f>'[4]D4 Gallon Forecast'!AO329</f>
        <v>537284345.16967785</v>
      </c>
      <c r="AP23" s="36">
        <f>'[4]D4 Gallon Forecast'!AP329</f>
        <v>549915216.37465036</v>
      </c>
    </row>
    <row r="24" spans="1:42" x14ac:dyDescent="0.2">
      <c r="A24" s="32" t="s">
        <v>74</v>
      </c>
      <c r="B24" s="35">
        <f>'[4]D4 Gallon Forecast'!B330</f>
        <v>0</v>
      </c>
      <c r="C24" s="35">
        <f>'[4]D4 Gallon Forecast'!C330</f>
        <v>0</v>
      </c>
      <c r="D24" s="35">
        <f>'[4]D4 Gallon Forecast'!D330</f>
        <v>0</v>
      </c>
      <c r="E24" s="35">
        <f>'[4]D4 Gallon Forecast'!E330</f>
        <v>0</v>
      </c>
      <c r="F24" s="35">
        <f>'[4]D4 Gallon Forecast'!F330</f>
        <v>0</v>
      </c>
      <c r="G24" s="35">
        <f>'[4]D4 Gallon Forecast'!G330</f>
        <v>0</v>
      </c>
      <c r="H24" s="35">
        <f>'[4]D4 Gallon Forecast'!H330</f>
        <v>0</v>
      </c>
      <c r="I24" s="35">
        <f>'[4]D4 Gallon Forecast'!I330</f>
        <v>127471</v>
      </c>
      <c r="J24" s="35">
        <f>'[4]D4 Gallon Forecast'!J330</f>
        <v>140194</v>
      </c>
      <c r="K24" s="35">
        <f>'[4]D4 Gallon Forecast'!K330</f>
        <v>223279</v>
      </c>
      <c r="L24" s="35">
        <f>'[4]D4 Gallon Forecast'!L330</f>
        <v>508513</v>
      </c>
      <c r="M24" s="35">
        <f>'[4]D4 Gallon Forecast'!M330</f>
        <v>357317</v>
      </c>
      <c r="N24" s="35">
        <f>'[4]D4 Gallon Forecast'!N330</f>
        <v>2331749</v>
      </c>
      <c r="O24" s="35">
        <f>'[4]D4 Gallon Forecast'!O330</f>
        <v>2431985</v>
      </c>
      <c r="P24" s="35">
        <f>'[4]D4 Gallon Forecast'!P330</f>
        <v>6269264</v>
      </c>
      <c r="Q24" s="36">
        <f>'[4]D4 Gallon Forecast'!Q330</f>
        <v>15877313.805032866</v>
      </c>
      <c r="R24" s="36">
        <f>'[4]D4 Gallon Forecast'!R330</f>
        <v>40090554.729911327</v>
      </c>
      <c r="S24" s="36">
        <f>'[4]D4 Gallon Forecast'!S330</f>
        <v>109912763.07836901</v>
      </c>
      <c r="T24" s="36">
        <f>'[4]D4 Gallon Forecast'!T330</f>
        <v>143928153.63409781</v>
      </c>
      <c r="U24" s="36">
        <f>'[4]D4 Gallon Forecast'!U330</f>
        <v>186830021.40693691</v>
      </c>
      <c r="V24" s="36">
        <f>'[4]D4 Gallon Forecast'!V330</f>
        <v>253326951.88233766</v>
      </c>
      <c r="W24" s="36">
        <f>'[4]D4 Gallon Forecast'!W330</f>
        <v>292980878.73686874</v>
      </c>
      <c r="X24" s="36">
        <f>'[4]D4 Gallon Forecast'!X330</f>
        <v>367072831.51779979</v>
      </c>
      <c r="Y24" s="36">
        <f>'[4]D4 Gallon Forecast'!Y330</f>
        <v>383321965.71480089</v>
      </c>
      <c r="Z24" s="36">
        <f>'[4]D4 Gallon Forecast'!Z330</f>
        <v>416600885.09563607</v>
      </c>
      <c r="AA24" s="36">
        <f>'[4]D4 Gallon Forecast'!AA330</f>
        <v>435320747.81909347</v>
      </c>
      <c r="AB24" s="36">
        <f>'[4]D4 Gallon Forecast'!AB330</f>
        <v>336504831.94912809</v>
      </c>
      <c r="AC24" s="36">
        <f>'[4]D4 Gallon Forecast'!AC330</f>
        <v>366454290.76937747</v>
      </c>
      <c r="AD24" s="36">
        <f>'[4]D4 Gallon Forecast'!AD330</f>
        <v>411647918.89044106</v>
      </c>
      <c r="AE24" s="36">
        <f>'[4]D4 Gallon Forecast'!AE330</f>
        <v>410524297.58924985</v>
      </c>
      <c r="AF24" s="36">
        <f>'[4]D4 Gallon Forecast'!AF330</f>
        <v>407889172.2767899</v>
      </c>
      <c r="AG24" s="36">
        <f>'[4]D4 Gallon Forecast'!AG330</f>
        <v>425417319.98768061</v>
      </c>
      <c r="AH24" s="36">
        <f>'[4]D4 Gallon Forecast'!AH330</f>
        <v>439206283.68416983</v>
      </c>
      <c r="AI24" s="36">
        <f>'[4]D4 Gallon Forecast'!AI330</f>
        <v>449299655.95658058</v>
      </c>
      <c r="AJ24" s="36">
        <f>'[4]D4 Gallon Forecast'!AJ330</f>
        <v>454432264.35824293</v>
      </c>
      <c r="AK24" s="36">
        <f>'[4]D4 Gallon Forecast'!AK330</f>
        <v>467934926.58408231</v>
      </c>
      <c r="AL24" s="36">
        <f>'[4]D4 Gallon Forecast'!AL330</f>
        <v>493555094.71268988</v>
      </c>
      <c r="AM24" s="36">
        <f>'[4]D4 Gallon Forecast'!AM330</f>
        <v>511376509.82642299</v>
      </c>
      <c r="AN24" s="36">
        <f>'[4]D4 Gallon Forecast'!AN330</f>
        <v>511961350.36461264</v>
      </c>
      <c r="AO24" s="36">
        <f>'[4]D4 Gallon Forecast'!AO330</f>
        <v>511105718.42924017</v>
      </c>
      <c r="AP24" s="36">
        <f>'[4]D4 Gallon Forecast'!AP330</f>
        <v>523121130.4948082</v>
      </c>
    </row>
    <row r="25" spans="1:42" x14ac:dyDescent="0.2">
      <c r="A25" s="32" t="s">
        <v>75</v>
      </c>
      <c r="B25" s="35">
        <f>'[4]D4 Gallon Forecast'!B331</f>
        <v>0</v>
      </c>
      <c r="C25" s="35">
        <f>'[4]D4 Gallon Forecast'!C331</f>
        <v>0</v>
      </c>
      <c r="D25" s="35">
        <f>'[4]D4 Gallon Forecast'!D331</f>
        <v>0</v>
      </c>
      <c r="E25" s="35">
        <f>'[4]D4 Gallon Forecast'!E331</f>
        <v>0</v>
      </c>
      <c r="F25" s="35">
        <f>'[4]D4 Gallon Forecast'!F331</f>
        <v>0</v>
      </c>
      <c r="G25" s="35">
        <f>'[4]D4 Gallon Forecast'!G331</f>
        <v>0</v>
      </c>
      <c r="H25" s="35">
        <f>'[4]D4 Gallon Forecast'!H331</f>
        <v>0</v>
      </c>
      <c r="I25" s="35">
        <f>'[4]D4 Gallon Forecast'!I331</f>
        <v>120661</v>
      </c>
      <c r="J25" s="35">
        <f>'[4]D4 Gallon Forecast'!J331</f>
        <v>82231</v>
      </c>
      <c r="K25" s="35">
        <f>'[4]D4 Gallon Forecast'!K331</f>
        <v>146613</v>
      </c>
      <c r="L25" s="35">
        <f>'[4]D4 Gallon Forecast'!L331</f>
        <v>1536725</v>
      </c>
      <c r="M25" s="35">
        <f>'[4]D4 Gallon Forecast'!M331</f>
        <v>1093159</v>
      </c>
      <c r="N25" s="35">
        <f>'[4]D4 Gallon Forecast'!N331</f>
        <v>1137973</v>
      </c>
      <c r="O25" s="35">
        <f>'[4]D4 Gallon Forecast'!O331</f>
        <v>1770762</v>
      </c>
      <c r="P25" s="35">
        <f>'[4]D4 Gallon Forecast'!P331</f>
        <v>10194334</v>
      </c>
      <c r="Q25" s="36">
        <f>'[4]D4 Gallon Forecast'!Q331</f>
        <v>18644432.350191236</v>
      </c>
      <c r="R25" s="36">
        <f>'[4]D4 Gallon Forecast'!R331</f>
        <v>44099613.937141791</v>
      </c>
      <c r="S25" s="36">
        <f>'[4]D4 Gallon Forecast'!S331</f>
        <v>119714909.12933441</v>
      </c>
      <c r="T25" s="36">
        <f>'[4]D4 Gallon Forecast'!T331</f>
        <v>156729366.16105363</v>
      </c>
      <c r="U25" s="36">
        <f>'[4]D4 Gallon Forecast'!U331</f>
        <v>204877289.07731122</v>
      </c>
      <c r="V25" s="36">
        <f>'[4]D4 Gallon Forecast'!V331</f>
        <v>276984839.96866107</v>
      </c>
      <c r="W25" s="36">
        <f>'[4]D4 Gallon Forecast'!W331</f>
        <v>319843626.76435572</v>
      </c>
      <c r="X25" s="36">
        <f>'[4]D4 Gallon Forecast'!X331</f>
        <v>400302116.39205301</v>
      </c>
      <c r="Y25" s="36">
        <f>'[4]D4 Gallon Forecast'!Y331</f>
        <v>418099543.24597806</v>
      </c>
      <c r="Z25" s="36">
        <f>'[4]D4 Gallon Forecast'!Z331</f>
        <v>454528927.20170164</v>
      </c>
      <c r="AA25" s="36">
        <f>'[4]D4 Gallon Forecast'!AA331</f>
        <v>474837622.02182615</v>
      </c>
      <c r="AB25" s="36">
        <f>'[4]D4 Gallon Forecast'!AB331</f>
        <v>367229900.51074994</v>
      </c>
      <c r="AC25" s="36">
        <f>'[4]D4 Gallon Forecast'!AC331</f>
        <v>399822694.51615721</v>
      </c>
      <c r="AD25" s="36">
        <f>'[4]D4 Gallon Forecast'!AD331</f>
        <v>449029832.94191366</v>
      </c>
      <c r="AE25" s="36">
        <f>'[4]D4 Gallon Forecast'!AE331</f>
        <v>447687612.60758471</v>
      </c>
      <c r="AF25" s="36">
        <f>'[4]D4 Gallon Forecast'!AF331</f>
        <v>444750406.21882141</v>
      </c>
      <c r="AG25" s="36">
        <f>'[4]D4 Gallon Forecast'!AG331</f>
        <v>463838349.9205718</v>
      </c>
      <c r="AH25" s="36">
        <f>'[4]D4 Gallon Forecast'!AH331</f>
        <v>478876025.6222105</v>
      </c>
      <c r="AI25" s="36">
        <f>'[4]D4 Gallon Forecast'!AI331</f>
        <v>489883207.73802304</v>
      </c>
      <c r="AJ25" s="36">
        <f>'[4]D4 Gallon Forecast'!AJ331</f>
        <v>495478516.72862762</v>
      </c>
      <c r="AK25" s="36">
        <f>'[4]D4 Gallon Forecast'!AK331</f>
        <v>510198651.27004594</v>
      </c>
      <c r="AL25" s="36">
        <f>'[4]D4 Gallon Forecast'!AL331</f>
        <v>538133553.04368472</v>
      </c>
      <c r="AM25" s="36">
        <f>'[4]D4 Gallon Forecast'!AM331</f>
        <v>557565317.01577449</v>
      </c>
      <c r="AN25" s="36">
        <f>'[4]D4 Gallon Forecast'!AN331</f>
        <v>558203082.99026334</v>
      </c>
      <c r="AO25" s="36">
        <f>'[4]D4 Gallon Forecast'!AO331</f>
        <v>557269834.33797264</v>
      </c>
      <c r="AP25" s="36">
        <f>'[4]D4 Gallon Forecast'!AP331</f>
        <v>570370293.67011321</v>
      </c>
    </row>
    <row r="26" spans="1:42" x14ac:dyDescent="0.2">
      <c r="A26" s="32" t="s">
        <v>76</v>
      </c>
      <c r="B26" s="35">
        <f>'[4]D4 Gallon Forecast'!B332</f>
        <v>0</v>
      </c>
      <c r="C26" s="35">
        <f>'[4]D4 Gallon Forecast'!C332</f>
        <v>0</v>
      </c>
      <c r="D26" s="35">
        <f>'[4]D4 Gallon Forecast'!D332</f>
        <v>0</v>
      </c>
      <c r="E26" s="35">
        <f>'[4]D4 Gallon Forecast'!E332</f>
        <v>0</v>
      </c>
      <c r="F26" s="35">
        <f>'[4]D4 Gallon Forecast'!F332</f>
        <v>0</v>
      </c>
      <c r="G26" s="35">
        <f>'[4]D4 Gallon Forecast'!G332</f>
        <v>0</v>
      </c>
      <c r="H26" s="35">
        <f>'[4]D4 Gallon Forecast'!H332</f>
        <v>0</v>
      </c>
      <c r="I26" s="35">
        <f>'[4]D4 Gallon Forecast'!I332</f>
        <v>174175</v>
      </c>
      <c r="J26" s="35">
        <f>'[4]D4 Gallon Forecast'!J332</f>
        <v>70236</v>
      </c>
      <c r="K26" s="35">
        <f>'[4]D4 Gallon Forecast'!K332</f>
        <v>271757</v>
      </c>
      <c r="L26" s="35">
        <f>'[4]D4 Gallon Forecast'!L332</f>
        <v>63855</v>
      </c>
      <c r="M26" s="35">
        <f>'[4]D4 Gallon Forecast'!M332</f>
        <v>722058</v>
      </c>
      <c r="N26" s="35">
        <f>'[4]D4 Gallon Forecast'!N332</f>
        <v>2039562</v>
      </c>
      <c r="O26" s="35">
        <f>'[4]D4 Gallon Forecast'!O332</f>
        <v>3475188</v>
      </c>
      <c r="P26" s="35">
        <f>'[4]D4 Gallon Forecast'!P332</f>
        <v>11018726</v>
      </c>
      <c r="Q26" s="36">
        <f>'[4]D4 Gallon Forecast'!Q332</f>
        <v>18121210.075139798</v>
      </c>
      <c r="R26" s="36">
        <f>'[4]D4 Gallon Forecast'!R332</f>
        <v>47239990.308537669</v>
      </c>
      <c r="S26" s="36">
        <f>'[4]D4 Gallon Forecast'!S332</f>
        <v>130514077.87124597</v>
      </c>
      <c r="T26" s="36">
        <f>'[4]D4 Gallon Forecast'!T332</f>
        <v>170777984.37477323</v>
      </c>
      <c r="U26" s="36">
        <f>'[4]D4 Gallon Forecast'!U332</f>
        <v>222275866.58954853</v>
      </c>
      <c r="V26" s="36">
        <f>'[4]D4 Gallon Forecast'!V332</f>
        <v>300230446.138376</v>
      </c>
      <c r="W26" s="36">
        <f>'[4]D4 Gallon Forecast'!W332</f>
        <v>347471708.85113049</v>
      </c>
      <c r="X26" s="36">
        <f>'[4]D4 Gallon Forecast'!X332</f>
        <v>435321484.67285985</v>
      </c>
      <c r="Y26" s="36">
        <f>'[4]D4 Gallon Forecast'!Y332</f>
        <v>454545640.3650158</v>
      </c>
      <c r="Z26" s="36">
        <f>'[4]D4 Gallon Forecast'!Z332</f>
        <v>494004571.30375582</v>
      </c>
      <c r="AA26" s="36">
        <f>'[4]D4 Gallon Forecast'!AA332</f>
        <v>516092136.11016458</v>
      </c>
      <c r="AB26" s="36">
        <f>'[4]D4 Gallon Forecast'!AB332</f>
        <v>399082243.85461897</v>
      </c>
      <c r="AC26" s="36">
        <f>'[4]D4 Gallon Forecast'!AC332</f>
        <v>434569912.87510228</v>
      </c>
      <c r="AD26" s="36">
        <f>'[4]D4 Gallon Forecast'!AD332</f>
        <v>488098371.86020541</v>
      </c>
      <c r="AE26" s="36">
        <f>'[4]D4 Gallon Forecast'!AE332</f>
        <v>486706304.34401494</v>
      </c>
      <c r="AF26" s="36">
        <f>'[4]D4 Gallon Forecast'!AF332</f>
        <v>483555339.51892412</v>
      </c>
      <c r="AG26" s="36">
        <f>'[4]D4 Gallon Forecast'!AG332</f>
        <v>504336771.8224569</v>
      </c>
      <c r="AH26" s="36">
        <f>'[4]D4 Gallon Forecast'!AH332</f>
        <v>520683279.40178376</v>
      </c>
      <c r="AI26" s="36">
        <f>'[4]D4 Gallon Forecast'!AI332</f>
        <v>532645954.37678677</v>
      </c>
      <c r="AJ26" s="36">
        <f>'[4]D4 Gallon Forecast'!AJ332</f>
        <v>538729626.88032687</v>
      </c>
      <c r="AK26" s="36">
        <f>'[4]D4 Gallon Forecast'!AK332</f>
        <v>554737404.44404888</v>
      </c>
      <c r="AL26" s="36">
        <f>'[4]D4 Gallon Forecast'!AL332</f>
        <v>585111928.0152998</v>
      </c>
      <c r="AM26" s="36">
        <f>'[4]D4 Gallon Forecast'!AM332</f>
        <v>606238745.74514627</v>
      </c>
      <c r="AN26" s="36">
        <f>'[4]D4 Gallon Forecast'!AN332</f>
        <v>606931515.43055546</v>
      </c>
      <c r="AO26" s="36">
        <f>'[4]D4 Gallon Forecast'!AO332</f>
        <v>605917152.94723928</v>
      </c>
      <c r="AP26" s="36">
        <f>'[4]D4 Gallon Forecast'!AP332</f>
        <v>620161664.5515734</v>
      </c>
    </row>
    <row r="27" spans="1:42" x14ac:dyDescent="0.2">
      <c r="A27" s="32" t="s">
        <v>77</v>
      </c>
      <c r="B27" s="35">
        <f>'[4]D4 Gallon Forecast'!B333</f>
        <v>0</v>
      </c>
      <c r="C27" s="35">
        <f>'[4]D4 Gallon Forecast'!C333</f>
        <v>0</v>
      </c>
      <c r="D27" s="35">
        <f>'[4]D4 Gallon Forecast'!D333</f>
        <v>0</v>
      </c>
      <c r="E27" s="35">
        <f>'[4]D4 Gallon Forecast'!E333</f>
        <v>0</v>
      </c>
      <c r="F27" s="35">
        <f>'[4]D4 Gallon Forecast'!F333</f>
        <v>0</v>
      </c>
      <c r="G27" s="35">
        <f>'[4]D4 Gallon Forecast'!G333</f>
        <v>0</v>
      </c>
      <c r="H27" s="35">
        <f>'[4]D4 Gallon Forecast'!H333</f>
        <v>230790</v>
      </c>
      <c r="I27" s="35">
        <f>'[4]D4 Gallon Forecast'!I333</f>
        <v>137952</v>
      </c>
      <c r="J27" s="35">
        <f>'[4]D4 Gallon Forecast'!J333</f>
        <v>151082</v>
      </c>
      <c r="K27" s="35">
        <f>'[4]D4 Gallon Forecast'!K333</f>
        <v>275529</v>
      </c>
      <c r="L27" s="35">
        <f>'[4]D4 Gallon Forecast'!L333</f>
        <v>371169</v>
      </c>
      <c r="M27" s="35">
        <f>'[4]D4 Gallon Forecast'!M333</f>
        <v>300122</v>
      </c>
      <c r="N27" s="35">
        <f>'[4]D4 Gallon Forecast'!N333</f>
        <v>393571</v>
      </c>
      <c r="O27" s="35">
        <f>'[4]D4 Gallon Forecast'!O333</f>
        <v>2163064</v>
      </c>
      <c r="P27" s="36">
        <f>'[4]D4 Gallon Forecast'!P333</f>
        <v>20695121</v>
      </c>
      <c r="Q27" s="36">
        <f>'[4]D4 Gallon Forecast'!Q333</f>
        <v>19561239.887186892</v>
      </c>
      <c r="R27" s="36">
        <f>'[4]D4 Gallon Forecast'!R333</f>
        <v>57196378.827984162</v>
      </c>
      <c r="S27" s="36">
        <f>'[4]D4 Gallon Forecast'!S333</f>
        <v>158438136.91469371</v>
      </c>
      <c r="T27" s="36">
        <f>'[4]D4 Gallon Forecast'!T333</f>
        <v>207707531.17644346</v>
      </c>
      <c r="U27" s="36">
        <f>'[4]D4 Gallon Forecast'!U333</f>
        <v>272210401.21531743</v>
      </c>
      <c r="V27" s="36">
        <f>'[4]D4 Gallon Forecast'!V333</f>
        <v>364517050.31771886</v>
      </c>
      <c r="W27" s="36">
        <f>'[4]D4 Gallon Forecast'!W333</f>
        <v>422783169.87744755</v>
      </c>
      <c r="X27" s="36">
        <f>'[4]D4 Gallon Forecast'!X333</f>
        <v>529699158.65717715</v>
      </c>
      <c r="Y27" s="36">
        <f>'[4]D4 Gallon Forecast'!Y333</f>
        <v>553216309.27787578</v>
      </c>
      <c r="Z27" s="36">
        <f>'[4]D4 Gallon Forecast'!Z333</f>
        <v>601295020.64447892</v>
      </c>
      <c r="AA27" s="36">
        <f>'[4]D4 Gallon Forecast'!AA333</f>
        <v>627805091.66413951</v>
      </c>
      <c r="AB27" s="36">
        <f>'[4]D4 Gallon Forecast'!AB333</f>
        <v>485655028.48193932</v>
      </c>
      <c r="AC27" s="36">
        <f>'[4]D4 Gallon Forecast'!AC333</f>
        <v>528836985.62768936</v>
      </c>
      <c r="AD27" s="36">
        <f>'[4]D4 Gallon Forecast'!AD333</f>
        <v>593954856.84986866</v>
      </c>
      <c r="AE27" s="36">
        <f>'[4]D4 Gallon Forecast'!AE333</f>
        <v>592214013.69778848</v>
      </c>
      <c r="AF27" s="36">
        <f>'[4]D4 Gallon Forecast'!AF333</f>
        <v>588334729.41870618</v>
      </c>
      <c r="AG27" s="36">
        <f>'[4]D4 Gallon Forecast'!AG333</f>
        <v>613646961.06679022</v>
      </c>
      <c r="AH27" s="36">
        <f>'[4]D4 Gallon Forecast'!AH333</f>
        <v>633537549.88372314</v>
      </c>
      <c r="AI27" s="36">
        <f>'[4]D4 Gallon Forecast'!AI333</f>
        <v>648090266.54360902</v>
      </c>
      <c r="AJ27" s="36">
        <f>'[4]D4 Gallon Forecast'!AJ333</f>
        <v>655487645.3890146</v>
      </c>
      <c r="AK27" s="36">
        <f>'[4]D4 Gallon Forecast'!AK333</f>
        <v>674963043.56951916</v>
      </c>
      <c r="AL27" s="36">
        <f>'[4]D4 Gallon Forecast'!AL333</f>
        <v>711925965.47816062</v>
      </c>
      <c r="AM27" s="36">
        <f>'[4]D4 Gallon Forecast'!AM333</f>
        <v>737631047.17210543</v>
      </c>
      <c r="AN27" s="36">
        <f>'[4]D4 Gallon Forecast'!AN333</f>
        <v>738472948.13120592</v>
      </c>
      <c r="AO27" s="36">
        <f>'[4]D4 Gallon Forecast'!AO333</f>
        <v>737238126.62097335</v>
      </c>
      <c r="AP27" s="36">
        <f>'[4]D4 Gallon Forecast'!AP333</f>
        <v>754570145.35132217</v>
      </c>
    </row>
    <row r="28" spans="1:42" x14ac:dyDescent="0.2">
      <c r="A28" s="32" t="s">
        <v>78</v>
      </c>
      <c r="B28" s="35">
        <f>'[4]D4 Gallon Forecast'!B334</f>
        <v>0</v>
      </c>
      <c r="C28" s="35">
        <f>'[4]D4 Gallon Forecast'!C334</f>
        <v>0</v>
      </c>
      <c r="D28" s="35">
        <f>'[4]D4 Gallon Forecast'!D334</f>
        <v>0</v>
      </c>
      <c r="E28" s="35">
        <f>'[4]D4 Gallon Forecast'!E334</f>
        <v>0</v>
      </c>
      <c r="F28" s="35">
        <f>'[4]D4 Gallon Forecast'!F334</f>
        <v>0</v>
      </c>
      <c r="G28" s="35">
        <f>'[4]D4 Gallon Forecast'!G334</f>
        <v>0</v>
      </c>
      <c r="H28" s="35">
        <f>'[4]D4 Gallon Forecast'!H334</f>
        <v>181093</v>
      </c>
      <c r="I28" s="35">
        <f>'[4]D4 Gallon Forecast'!I334</f>
        <v>160272</v>
      </c>
      <c r="J28" s="35">
        <f>'[4]D4 Gallon Forecast'!J334</f>
        <v>229089</v>
      </c>
      <c r="K28" s="35">
        <f>'[4]D4 Gallon Forecast'!K334</f>
        <v>216574</v>
      </c>
      <c r="L28" s="35">
        <f>'[4]D4 Gallon Forecast'!L334</f>
        <v>188416</v>
      </c>
      <c r="M28" s="35">
        <f>'[4]D4 Gallon Forecast'!M334</f>
        <v>437741</v>
      </c>
      <c r="N28" s="35">
        <f>'[4]D4 Gallon Forecast'!N334</f>
        <v>1764631</v>
      </c>
      <c r="O28" s="35">
        <f>'[4]D4 Gallon Forecast'!O334</f>
        <v>2895877</v>
      </c>
      <c r="P28" s="36">
        <f>'[4]D4 Gallon Forecast'!P334</f>
        <v>9266341</v>
      </c>
      <c r="Q28" s="36">
        <f>'[4]D4 Gallon Forecast'!Q334</f>
        <v>20223333.555152789</v>
      </c>
      <c r="R28" s="36">
        <f>'[4]D4 Gallon Forecast'!R334</f>
        <v>56979087.494944744</v>
      </c>
      <c r="S28" s="36">
        <f>'[4]D4 Gallon Forecast'!S334</f>
        <v>154446777.87649685</v>
      </c>
      <c r="T28" s="36">
        <f>'[4]D4 Gallon Forecast'!T334</f>
        <v>202410893.47973916</v>
      </c>
      <c r="U28" s="36">
        <f>'[4]D4 Gallon Forecast'!U334</f>
        <v>262415001.66691062</v>
      </c>
      <c r="V28" s="36">
        <f>'[4]D4 Gallon Forecast'!V334</f>
        <v>355512244.73193038</v>
      </c>
      <c r="W28" s="36">
        <f>'[4]D4 Gallon Forecast'!W334</f>
        <v>411903283.55131447</v>
      </c>
      <c r="X28" s="36">
        <f>'[4]D4 Gallon Forecast'!X334</f>
        <v>515939900.55258411</v>
      </c>
      <c r="Y28" s="36">
        <f>'[4]D4 Gallon Forecast'!Y334</f>
        <v>538791882.46172917</v>
      </c>
      <c r="Z28" s="36">
        <f>'[4]D4 Gallon Forecast'!Z334</f>
        <v>585518802.14841163</v>
      </c>
      <c r="AA28" s="36">
        <f>'[4]D4 Gallon Forecast'!AA334</f>
        <v>611830248.44069135</v>
      </c>
      <c r="AB28" s="36">
        <f>'[4]D4 Gallon Forecast'!AB334</f>
        <v>472940604.86853898</v>
      </c>
      <c r="AC28" s="36">
        <f>'[4]D4 Gallon Forecast'!AC334</f>
        <v>515030164.72771519</v>
      </c>
      <c r="AD28" s="36">
        <f>'[4]D4 Gallon Forecast'!AD334</f>
        <v>578586018.2915113</v>
      </c>
      <c r="AE28" s="36">
        <f>'[4]D4 Gallon Forecast'!AE334</f>
        <v>577044010.81661201</v>
      </c>
      <c r="AF28" s="36">
        <f>'[4]D4 Gallon Forecast'!AF334</f>
        <v>573360524.79421484</v>
      </c>
      <c r="AG28" s="36">
        <f>'[4]D4 Gallon Forecast'!AG334</f>
        <v>598013443.49350882</v>
      </c>
      <c r="AH28" s="36">
        <f>'[4]D4 Gallon Forecast'!AH334</f>
        <v>617390805.59099126</v>
      </c>
      <c r="AI28" s="36">
        <f>'[4]D4 Gallon Forecast'!AI334</f>
        <v>631579134.77789879</v>
      </c>
      <c r="AJ28" s="36">
        <f>'[4]D4 Gallon Forecast'!AJ334</f>
        <v>638794277.7892096</v>
      </c>
      <c r="AK28" s="36">
        <f>'[4]D4 Gallon Forecast'!AK334</f>
        <v>657775923.47029114</v>
      </c>
      <c r="AL28" s="36">
        <f>'[4]D4 Gallon Forecast'!AL334</f>
        <v>693790418.43302131</v>
      </c>
      <c r="AM28" s="36">
        <f>'[4]D4 Gallon Forecast'!AM334</f>
        <v>718841028.67455041</v>
      </c>
      <c r="AN28" s="36">
        <f>'[4]D4 Gallon Forecast'!AN334</f>
        <v>719663281.76985824</v>
      </c>
      <c r="AO28" s="36">
        <f>'[4]D4 Gallon Forecast'!AO334</f>
        <v>718460667.8787055</v>
      </c>
      <c r="AP28" s="36">
        <f>'[4]D4 Gallon Forecast'!AP334</f>
        <v>735350840.53289282</v>
      </c>
    </row>
    <row r="29" spans="1:42" x14ac:dyDescent="0.2">
      <c r="A29" s="32" t="s">
        <v>79</v>
      </c>
      <c r="B29" s="35">
        <f>'[4]D4 Gallon Forecast'!B335</f>
        <v>0</v>
      </c>
      <c r="C29" s="35">
        <f>'[4]D4 Gallon Forecast'!C335</f>
        <v>0</v>
      </c>
      <c r="D29" s="35">
        <f>'[4]D4 Gallon Forecast'!D335</f>
        <v>0</v>
      </c>
      <c r="E29" s="35">
        <f>'[4]D4 Gallon Forecast'!E335</f>
        <v>0</v>
      </c>
      <c r="F29" s="35">
        <f>'[4]D4 Gallon Forecast'!F335</f>
        <v>0</v>
      </c>
      <c r="G29" s="35">
        <f>'[4]D4 Gallon Forecast'!G335</f>
        <v>0</v>
      </c>
      <c r="H29" s="35">
        <f>'[4]D4 Gallon Forecast'!H335</f>
        <v>192991</v>
      </c>
      <c r="I29" s="35">
        <f>'[4]D4 Gallon Forecast'!I335</f>
        <v>68957</v>
      </c>
      <c r="J29" s="35">
        <f>'[4]D4 Gallon Forecast'!J335</f>
        <v>152783</v>
      </c>
      <c r="K29" s="35">
        <f>'[4]D4 Gallon Forecast'!K335</f>
        <v>91175</v>
      </c>
      <c r="L29" s="35">
        <f>'[4]D4 Gallon Forecast'!L335</f>
        <v>188201</v>
      </c>
      <c r="M29" s="35">
        <f>'[4]D4 Gallon Forecast'!M335</f>
        <v>403482</v>
      </c>
      <c r="N29" s="35">
        <f>'[4]D4 Gallon Forecast'!N335</f>
        <v>152226</v>
      </c>
      <c r="O29" s="35">
        <f>'[4]D4 Gallon Forecast'!O335</f>
        <v>0</v>
      </c>
      <c r="P29" s="36">
        <f>'[4]D4 Gallon Forecast'!P335</f>
        <v>3655714</v>
      </c>
      <c r="Q29" s="36">
        <f>'[4]D4 Gallon Forecast'!Q335</f>
        <v>20123971.125173315</v>
      </c>
      <c r="R29" s="36">
        <f>'[4]D4 Gallon Forecast'!R335</f>
        <v>48164797.349602126</v>
      </c>
      <c r="S29" s="36">
        <f>'[4]D4 Gallon Forecast'!S335</f>
        <v>133043937.76577485</v>
      </c>
      <c r="T29" s="36">
        <f>'[4]D4 Gallon Forecast'!T335</f>
        <v>174602860.39938071</v>
      </c>
      <c r="U29" s="36">
        <f>'[4]D4 Gallon Forecast'!U335</f>
        <v>225879709.25137934</v>
      </c>
      <c r="V29" s="36">
        <f>'[4]D4 Gallon Forecast'!V335</f>
        <v>307527381.62205279</v>
      </c>
      <c r="W29" s="36">
        <f>'[4]D4 Gallon Forecast'!W335</f>
        <v>355278001.20339346</v>
      </c>
      <c r="X29" s="36">
        <f>'[4]D4 Gallon Forecast'!X335</f>
        <v>445595739.02338171</v>
      </c>
      <c r="Y29" s="36">
        <f>'[4]D4 Gallon Forecast'!Y335</f>
        <v>465404449.19100988</v>
      </c>
      <c r="Z29" s="36">
        <f>'[4]D4 Gallon Forecast'!Z335</f>
        <v>505792693.43018126</v>
      </c>
      <c r="AA29" s="36">
        <f>'[4]D4 Gallon Forecast'!AA335</f>
        <v>528621390.94683194</v>
      </c>
      <c r="AB29" s="36">
        <f>'[4]D4 Gallon Forecast'!AB335</f>
        <v>408354490.67827815</v>
      </c>
      <c r="AC29" s="36">
        <f>'[4]D4 Gallon Forecast'!AC335</f>
        <v>444815499.4983936</v>
      </c>
      <c r="AD29" s="36">
        <f>'[4]D4 Gallon Forecast'!AD335</f>
        <v>499806183.71295327</v>
      </c>
      <c r="AE29" s="36">
        <f>'[4]D4 Gallon Forecast'!AE335</f>
        <v>498563868.8264128</v>
      </c>
      <c r="AF29" s="36">
        <f>'[4]D4 Gallon Forecast'!AF335</f>
        <v>495413625.3095938</v>
      </c>
      <c r="AG29" s="36">
        <f>'[4]D4 Gallon Forecast'!AG335</f>
        <v>516712549.78378665</v>
      </c>
      <c r="AH29" s="36">
        <f>'[4]D4 Gallon Forecast'!AH335</f>
        <v>533466114.97746742</v>
      </c>
      <c r="AI29" s="36">
        <f>'[4]D4 Gallon Forecast'!AI335</f>
        <v>545728418.89480829</v>
      </c>
      <c r="AJ29" s="36">
        <f>'[4]D4 Gallon Forecast'!AJ335</f>
        <v>551962576.0185771</v>
      </c>
      <c r="AK29" s="36">
        <f>'[4]D4 Gallon Forecast'!AK335</f>
        <v>568362351.65299749</v>
      </c>
      <c r="AL29" s="36">
        <f>'[4]D4 Gallon Forecast'!AL335</f>
        <v>599479440.28035152</v>
      </c>
      <c r="AM29" s="36">
        <f>'[4]D4 Gallon Forecast'!AM335</f>
        <v>621126869.43814158</v>
      </c>
      <c r="AN29" s="36">
        <f>'[4]D4 Gallon Forecast'!AN335</f>
        <v>621837557.27874005</v>
      </c>
      <c r="AO29" s="36">
        <f>'[4]D4 Gallon Forecast'!AO335</f>
        <v>620798103.85034108</v>
      </c>
      <c r="AP29" s="36">
        <f>'[4]D4 Gallon Forecast'!AP335</f>
        <v>635392015.41745877</v>
      </c>
    </row>
    <row r="30" spans="1:42" x14ac:dyDescent="0.2">
      <c r="A30" s="32" t="s">
        <v>80</v>
      </c>
      <c r="B30" s="35">
        <f>'[4]D4 Gallon Forecast'!B336</f>
        <v>0</v>
      </c>
      <c r="C30" s="35">
        <f>'[4]D4 Gallon Forecast'!C336</f>
        <v>0</v>
      </c>
      <c r="D30" s="35">
        <f>'[4]D4 Gallon Forecast'!D336</f>
        <v>0</v>
      </c>
      <c r="E30" s="35">
        <f>'[4]D4 Gallon Forecast'!E336</f>
        <v>0</v>
      </c>
      <c r="F30" s="35">
        <f>'[4]D4 Gallon Forecast'!F336</f>
        <v>0</v>
      </c>
      <c r="G30" s="35">
        <f>'[4]D4 Gallon Forecast'!G336</f>
        <v>0</v>
      </c>
      <c r="H30" s="35">
        <f>'[4]D4 Gallon Forecast'!H336</f>
        <v>178772</v>
      </c>
      <c r="I30" s="35">
        <f>'[4]D4 Gallon Forecast'!I336</f>
        <v>201266</v>
      </c>
      <c r="J30" s="35">
        <f>'[4]D4 Gallon Forecast'!J336</f>
        <v>272240</v>
      </c>
      <c r="K30" s="35">
        <f>'[4]D4 Gallon Forecast'!K336</f>
        <v>137333</v>
      </c>
      <c r="L30" s="35">
        <f>'[4]D4 Gallon Forecast'!L336</f>
        <v>194662</v>
      </c>
      <c r="M30" s="35">
        <f>'[4]D4 Gallon Forecast'!M336</f>
        <v>308503</v>
      </c>
      <c r="N30" s="35">
        <f>'[4]D4 Gallon Forecast'!N336</f>
        <v>1543846</v>
      </c>
      <c r="O30" s="35">
        <f>'[4]D4 Gallon Forecast'!O336</f>
        <v>2422129</v>
      </c>
      <c r="P30" s="36">
        <f>'[4]D4 Gallon Forecast'!P336</f>
        <v>5564685</v>
      </c>
      <c r="Q30" s="36">
        <f>'[4]D4 Gallon Forecast'!Q336</f>
        <v>17062339.941113248</v>
      </c>
      <c r="R30" s="36">
        <f>'[4]D4 Gallon Forecast'!R336</f>
        <v>43520641.180795692</v>
      </c>
      <c r="S30" s="36">
        <f>'[4]D4 Gallon Forecast'!S336</f>
        <v>119092501.60839956</v>
      </c>
      <c r="T30" s="36">
        <f>'[4]D4 Gallon Forecast'!T336</f>
        <v>157005083.24319091</v>
      </c>
      <c r="U30" s="36">
        <f>'[4]D4 Gallon Forecast'!U336</f>
        <v>203358520.52710912</v>
      </c>
      <c r="V30" s="36">
        <f>'[4]D4 Gallon Forecast'!V336</f>
        <v>276075783.68819708</v>
      </c>
      <c r="W30" s="36">
        <f>'[4]D4 Gallon Forecast'!W336</f>
        <v>319237069.65708202</v>
      </c>
      <c r="X30" s="36">
        <f>'[4]D4 Gallon Forecast'!X336</f>
        <v>400302653.62388659</v>
      </c>
      <c r="Y30" s="36">
        <f>'[4]D4 Gallon Forecast'!Y336</f>
        <v>418238282.08050859</v>
      </c>
      <c r="Z30" s="36">
        <f>'[4]D4 Gallon Forecast'!Z336</f>
        <v>454506628.32126623</v>
      </c>
      <c r="AA30" s="36">
        <f>'[4]D4 Gallon Forecast'!AA336</f>
        <v>474936299.98842728</v>
      </c>
      <c r="AB30" s="36">
        <f>'[4]D4 Gallon Forecast'!AB336</f>
        <v>366915672.78283215</v>
      </c>
      <c r="AC30" s="36">
        <f>'[4]D4 Gallon Forecast'!AC336</f>
        <v>399673796.39598131</v>
      </c>
      <c r="AD30" s="36">
        <f>'[4]D4 Gallon Forecast'!AD336</f>
        <v>449099730.41624707</v>
      </c>
      <c r="AE30" s="36">
        <f>'[4]D4 Gallon Forecast'!AE336</f>
        <v>447974187.91155297</v>
      </c>
      <c r="AF30" s="36">
        <f>'[4]D4 Gallon Forecast'!AF336</f>
        <v>445136769.02387118</v>
      </c>
      <c r="AG30" s="36">
        <f>'[4]D4 Gallon Forecast'!AG336</f>
        <v>464280954.23693538</v>
      </c>
      <c r="AH30" s="36">
        <f>'[4]D4 Gallon Forecast'!AH336</f>
        <v>479334886.1594367</v>
      </c>
      <c r="AI30" s="36">
        <f>'[4]D4 Gallon Forecast'!AI336</f>
        <v>490353846.55170214</v>
      </c>
      <c r="AJ30" s="36">
        <f>'[4]D4 Gallon Forecast'!AJ336</f>
        <v>495953320.5968008</v>
      </c>
      <c r="AK30" s="36">
        <f>'[4]D4 Gallon Forecast'!AK336</f>
        <v>510688610.56693208</v>
      </c>
      <c r="AL30" s="36">
        <f>'[4]D4 Gallon Forecast'!AL336</f>
        <v>538649305.60635626</v>
      </c>
      <c r="AM30" s="36">
        <f>'[4]D4 Gallon Forecast'!AM336</f>
        <v>558100124.34282148</v>
      </c>
      <c r="AN30" s="36">
        <f>'[4]D4 Gallon Forecast'!AN336</f>
        <v>558738603.15538108</v>
      </c>
      <c r="AO30" s="36">
        <f>'[4]D4 Gallon Forecast'!AO336</f>
        <v>557804320.40282571</v>
      </c>
      <c r="AP30" s="36">
        <f>'[4]D4 Gallon Forecast'!AP336</f>
        <v>570917432.02633893</v>
      </c>
    </row>
    <row r="31" spans="1:42" ht="12" thickBot="1" x14ac:dyDescent="0.25">
      <c r="A31" s="37" t="s">
        <v>58</v>
      </c>
      <c r="B31" s="38">
        <f>SUM(B19:B30)</f>
        <v>0</v>
      </c>
      <c r="C31" s="38">
        <f t="shared" ref="C31:AP31" si="5">SUM(C19:C30)</f>
        <v>0</v>
      </c>
      <c r="D31" s="38">
        <f t="shared" si="5"/>
        <v>0</v>
      </c>
      <c r="E31" s="38">
        <f t="shared" si="5"/>
        <v>0</v>
      </c>
      <c r="F31" s="38">
        <f t="shared" si="5"/>
        <v>0</v>
      </c>
      <c r="G31" s="38">
        <f t="shared" si="5"/>
        <v>0</v>
      </c>
      <c r="H31" s="38">
        <f t="shared" si="5"/>
        <v>783646</v>
      </c>
      <c r="I31" s="38">
        <f t="shared" si="5"/>
        <v>1711017</v>
      </c>
      <c r="J31" s="38">
        <f t="shared" si="5"/>
        <v>1828178</v>
      </c>
      <c r="K31" s="38">
        <f t="shared" si="5"/>
        <v>2428702</v>
      </c>
      <c r="L31" s="38">
        <f t="shared" si="5"/>
        <v>4608399</v>
      </c>
      <c r="M31" s="38">
        <f t="shared" si="5"/>
        <v>5076623</v>
      </c>
      <c r="N31" s="38">
        <f t="shared" si="5"/>
        <v>15819877</v>
      </c>
      <c r="O31" s="38">
        <f t="shared" si="5"/>
        <v>24474789</v>
      </c>
      <c r="P31" s="39">
        <f t="shared" si="5"/>
        <v>111821187</v>
      </c>
      <c r="Q31" s="39">
        <f t="shared" si="5"/>
        <v>199544849.77585417</v>
      </c>
      <c r="R31" s="39">
        <f t="shared" si="5"/>
        <v>506973447.51700842</v>
      </c>
      <c r="S31" s="39">
        <f t="shared" si="5"/>
        <v>1391275926.240958</v>
      </c>
      <c r="T31" s="39">
        <f t="shared" si="5"/>
        <v>1822933985.5028818</v>
      </c>
      <c r="U31" s="39">
        <f t="shared" si="5"/>
        <v>2375931690.9541168</v>
      </c>
      <c r="V31" s="39">
        <f t="shared" si="5"/>
        <v>3211344302.6346588</v>
      </c>
      <c r="W31" s="39">
        <f t="shared" si="5"/>
        <v>3713997976.9591808</v>
      </c>
      <c r="X31" s="39">
        <f t="shared" si="5"/>
        <v>4652809727.3923969</v>
      </c>
      <c r="Y31" s="39">
        <f t="shared" si="5"/>
        <v>4859432478.8126516</v>
      </c>
      <c r="Z31" s="39">
        <f t="shared" si="5"/>
        <v>5281948378.1975994</v>
      </c>
      <c r="AA31" s="39">
        <f t="shared" si="5"/>
        <v>5518016093.4527254</v>
      </c>
      <c r="AB31" s="39">
        <f t="shared" si="5"/>
        <v>4266137855.4501648</v>
      </c>
      <c r="AC31" s="39">
        <f t="shared" si="5"/>
        <v>4645709430.6949425</v>
      </c>
      <c r="AD31" s="39">
        <f t="shared" si="5"/>
        <v>5218424954.6126175</v>
      </c>
      <c r="AE31" s="39">
        <f t="shared" si="5"/>
        <v>5203839370.6424284</v>
      </c>
      <c r="AF31" s="39">
        <f t="shared" si="5"/>
        <v>5170171339.4643345</v>
      </c>
      <c r="AG31" s="39">
        <f t="shared" si="5"/>
        <v>5392342464.6620169</v>
      </c>
      <c r="AH31" s="39">
        <f t="shared" si="5"/>
        <v>5567151737.2504787</v>
      </c>
      <c r="AI31" s="39">
        <f t="shared" si="5"/>
        <v>5695093705.7201214</v>
      </c>
      <c r="AJ31" s="39">
        <f t="shared" si="5"/>
        <v>5760136815.4347754</v>
      </c>
      <c r="AK31" s="39">
        <f t="shared" si="5"/>
        <v>5931275417.8713293</v>
      </c>
      <c r="AL31" s="39">
        <f t="shared" si="5"/>
        <v>6256035650.7877865</v>
      </c>
      <c r="AM31" s="39">
        <f t="shared" si="5"/>
        <v>6481933723.3978128</v>
      </c>
      <c r="AN31" s="39">
        <f t="shared" si="5"/>
        <v>6489344908.4954033</v>
      </c>
      <c r="AO31" s="39">
        <f t="shared" si="5"/>
        <v>6478496340.6966381</v>
      </c>
      <c r="AP31" s="39">
        <f t="shared" si="5"/>
        <v>6630796675.0436459</v>
      </c>
    </row>
    <row r="32" spans="1:42" ht="12.75" thickTop="1" thickBo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</row>
    <row r="33" spans="1:42" ht="12" thickTop="1" x14ac:dyDescent="0.2">
      <c r="A33" s="30" t="s">
        <v>143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</row>
    <row r="34" spans="1:42" ht="12" thickBot="1" x14ac:dyDescent="0.25">
      <c r="A34" s="33"/>
      <c r="B34" s="34">
        <f>B18</f>
        <v>2010</v>
      </c>
      <c r="C34" s="34">
        <f t="shared" ref="C34:AP34" si="6">C18</f>
        <v>2011</v>
      </c>
      <c r="D34" s="34">
        <f t="shared" si="6"/>
        <v>2012</v>
      </c>
      <c r="E34" s="34">
        <f t="shared" si="6"/>
        <v>2013</v>
      </c>
      <c r="F34" s="34">
        <f t="shared" si="6"/>
        <v>2014</v>
      </c>
      <c r="G34" s="34">
        <f t="shared" si="6"/>
        <v>2015</v>
      </c>
      <c r="H34" s="34">
        <f t="shared" si="6"/>
        <v>2016</v>
      </c>
      <c r="I34" s="34">
        <f t="shared" si="6"/>
        <v>2017</v>
      </c>
      <c r="J34" s="34">
        <f t="shared" si="6"/>
        <v>2018</v>
      </c>
      <c r="K34" s="34">
        <f t="shared" si="6"/>
        <v>2019</v>
      </c>
      <c r="L34" s="34">
        <f t="shared" si="6"/>
        <v>2020</v>
      </c>
      <c r="M34" s="34">
        <f t="shared" si="6"/>
        <v>2021</v>
      </c>
      <c r="N34" s="34">
        <f t="shared" si="6"/>
        <v>2022</v>
      </c>
      <c r="O34" s="34">
        <f t="shared" si="6"/>
        <v>2023</v>
      </c>
      <c r="P34" s="34">
        <f t="shared" si="6"/>
        <v>2024</v>
      </c>
      <c r="Q34" s="34">
        <f t="shared" si="6"/>
        <v>2025</v>
      </c>
      <c r="R34" s="34">
        <f t="shared" si="6"/>
        <v>2026</v>
      </c>
      <c r="S34" s="34">
        <f t="shared" si="6"/>
        <v>2027</v>
      </c>
      <c r="T34" s="34">
        <f t="shared" si="6"/>
        <v>2028</v>
      </c>
      <c r="U34" s="34">
        <f t="shared" si="6"/>
        <v>2029</v>
      </c>
      <c r="V34" s="34">
        <f t="shared" si="6"/>
        <v>2030</v>
      </c>
      <c r="W34" s="34">
        <f t="shared" si="6"/>
        <v>2031</v>
      </c>
      <c r="X34" s="34">
        <f t="shared" si="6"/>
        <v>2032</v>
      </c>
      <c r="Y34" s="34">
        <f t="shared" si="6"/>
        <v>2033</v>
      </c>
      <c r="Z34" s="34">
        <f t="shared" si="6"/>
        <v>2034</v>
      </c>
      <c r="AA34" s="34">
        <f t="shared" si="6"/>
        <v>2035</v>
      </c>
      <c r="AB34" s="34">
        <f t="shared" si="6"/>
        <v>2036</v>
      </c>
      <c r="AC34" s="34">
        <f t="shared" si="6"/>
        <v>2037</v>
      </c>
      <c r="AD34" s="34">
        <f t="shared" si="6"/>
        <v>2038</v>
      </c>
      <c r="AE34" s="34">
        <f t="shared" si="6"/>
        <v>2039</v>
      </c>
      <c r="AF34" s="34">
        <f t="shared" si="6"/>
        <v>2040</v>
      </c>
      <c r="AG34" s="34">
        <f t="shared" si="6"/>
        <v>2041</v>
      </c>
      <c r="AH34" s="34">
        <f t="shared" si="6"/>
        <v>2042</v>
      </c>
      <c r="AI34" s="34">
        <f t="shared" si="6"/>
        <v>2043</v>
      </c>
      <c r="AJ34" s="34">
        <f t="shared" si="6"/>
        <v>2044</v>
      </c>
      <c r="AK34" s="34">
        <f t="shared" si="6"/>
        <v>2045</v>
      </c>
      <c r="AL34" s="34">
        <f t="shared" si="6"/>
        <v>2046</v>
      </c>
      <c r="AM34" s="34">
        <f t="shared" si="6"/>
        <v>2047</v>
      </c>
      <c r="AN34" s="34">
        <f t="shared" si="6"/>
        <v>2048</v>
      </c>
      <c r="AO34" s="34">
        <f t="shared" si="6"/>
        <v>2049</v>
      </c>
      <c r="AP34" s="34">
        <f t="shared" si="6"/>
        <v>2050</v>
      </c>
    </row>
    <row r="35" spans="1:42" x14ac:dyDescent="0.2">
      <c r="A35" s="32" t="s">
        <v>70</v>
      </c>
      <c r="B35" s="35">
        <v>0</v>
      </c>
      <c r="C35" s="35"/>
      <c r="D35" s="35"/>
      <c r="E35" s="35"/>
      <c r="F35" s="35"/>
      <c r="G35" s="35"/>
      <c r="H35" s="35"/>
      <c r="I35" s="35"/>
      <c r="J35" s="35"/>
      <c r="K35" s="35">
        <v>0</v>
      </c>
      <c r="L35" s="35">
        <f>'[4]D4 Gallon Forecast'!L165</f>
        <v>0</v>
      </c>
      <c r="M35" s="35">
        <f>'[4]D4 Gallon Forecast'!M165</f>
        <v>0</v>
      </c>
      <c r="N35" s="35">
        <f>'[4]D4 Gallon Forecast'!N165</f>
        <v>0</v>
      </c>
      <c r="O35" s="35">
        <f>'[4]D4 Gallon Forecast'!O165</f>
        <v>29440496</v>
      </c>
      <c r="P35" s="35">
        <f>'[4]D4 Gallon Forecast'!P165</f>
        <v>48378427</v>
      </c>
      <c r="Q35" s="36">
        <f>'[4]D4 Gallon Forecast'!Q165</f>
        <v>36068372</v>
      </c>
      <c r="R35" s="36">
        <f>'[4]D4 Gallon Forecast'!R165</f>
        <v>0</v>
      </c>
      <c r="S35" s="36">
        <f>'[4]D4 Gallon Forecast'!S165</f>
        <v>0</v>
      </c>
      <c r="T35" s="36">
        <f>'[4]D4 Gallon Forecast'!T165</f>
        <v>0</v>
      </c>
      <c r="U35" s="36">
        <f>'[4]D4 Gallon Forecast'!U165</f>
        <v>0</v>
      </c>
      <c r="V35" s="36">
        <f>'[4]D4 Gallon Forecast'!V165</f>
        <v>0</v>
      </c>
      <c r="W35" s="36">
        <f>'[4]D4 Gallon Forecast'!W165</f>
        <v>0</v>
      </c>
      <c r="X35" s="36">
        <f>'[4]D4 Gallon Forecast'!X165</f>
        <v>0</v>
      </c>
      <c r="Y35" s="36">
        <f>'[4]D4 Gallon Forecast'!Y165</f>
        <v>0</v>
      </c>
      <c r="Z35" s="36">
        <f>'[4]D4 Gallon Forecast'!Z165</f>
        <v>0</v>
      </c>
      <c r="AA35" s="36">
        <f>'[4]D4 Gallon Forecast'!AA165</f>
        <v>0</v>
      </c>
      <c r="AB35" s="36">
        <f>'[4]D4 Gallon Forecast'!AB165</f>
        <v>0</v>
      </c>
      <c r="AC35" s="36">
        <f>'[4]D4 Gallon Forecast'!AC165</f>
        <v>0</v>
      </c>
      <c r="AD35" s="36">
        <f>'[4]D4 Gallon Forecast'!AD165</f>
        <v>0</v>
      </c>
      <c r="AE35" s="36">
        <f>'[4]D4 Gallon Forecast'!AE165</f>
        <v>0</v>
      </c>
      <c r="AF35" s="36">
        <f>'[4]D4 Gallon Forecast'!AF165</f>
        <v>0</v>
      </c>
      <c r="AG35" s="36">
        <f>'[4]D4 Gallon Forecast'!AG165</f>
        <v>0</v>
      </c>
      <c r="AH35" s="35">
        <f>'[4]D4 Gallon Forecast'!DN163</f>
        <v>0</v>
      </c>
      <c r="AI35" s="35">
        <f>'[4]D4 Gallon Forecast'!DO163</f>
        <v>0</v>
      </c>
      <c r="AJ35" s="35">
        <f>'[4]D4 Gallon Forecast'!DP163</f>
        <v>0</v>
      </c>
      <c r="AK35" s="35">
        <f>'[4]D4 Gallon Forecast'!DQ163</f>
        <v>0</v>
      </c>
      <c r="AL35" s="35">
        <f>'[4]D4 Gallon Forecast'!DR163</f>
        <v>0</v>
      </c>
      <c r="AM35" s="35">
        <f>'[4]D4 Gallon Forecast'!DS163</f>
        <v>0</v>
      </c>
      <c r="AN35" s="35">
        <f>'[4]D4 Gallon Forecast'!DT163</f>
        <v>0</v>
      </c>
      <c r="AO35" s="35">
        <f>'[4]D4 Gallon Forecast'!DU163</f>
        <v>0</v>
      </c>
      <c r="AP35" s="35">
        <f>'[4]D4 Gallon Forecast'!DV163</f>
        <v>0</v>
      </c>
    </row>
    <row r="36" spans="1:42" x14ac:dyDescent="0.2">
      <c r="A36" s="32" t="s">
        <v>71</v>
      </c>
      <c r="B36" s="35">
        <v>0</v>
      </c>
      <c r="C36" s="35"/>
      <c r="D36" s="35"/>
      <c r="E36" s="35"/>
      <c r="F36" s="35"/>
      <c r="G36" s="35"/>
      <c r="H36" s="35"/>
      <c r="I36" s="35"/>
      <c r="J36" s="35"/>
      <c r="K36" s="35">
        <v>0</v>
      </c>
      <c r="L36" s="35">
        <f>'[4]D4 Gallon Forecast'!L166</f>
        <v>0</v>
      </c>
      <c r="M36" s="35">
        <f>'[4]D4 Gallon Forecast'!M166</f>
        <v>0</v>
      </c>
      <c r="N36" s="35">
        <f>'[4]D4 Gallon Forecast'!N166</f>
        <v>369069</v>
      </c>
      <c r="O36" s="35">
        <f>'[4]D4 Gallon Forecast'!O166</f>
        <v>27625299</v>
      </c>
      <c r="P36" s="35">
        <f>'[4]D4 Gallon Forecast'!P166</f>
        <v>45465400</v>
      </c>
      <c r="Q36" s="36">
        <f>'[4]D4 Gallon Forecast'!Q166</f>
        <v>37563478</v>
      </c>
      <c r="R36" s="36">
        <f>'[4]D4 Gallon Forecast'!R166</f>
        <v>0</v>
      </c>
      <c r="S36" s="36">
        <f>'[4]D4 Gallon Forecast'!S166</f>
        <v>0</v>
      </c>
      <c r="T36" s="36">
        <f>'[4]D4 Gallon Forecast'!T166</f>
        <v>0</v>
      </c>
      <c r="U36" s="36">
        <f>'[4]D4 Gallon Forecast'!U166</f>
        <v>0</v>
      </c>
      <c r="V36" s="36">
        <f>'[4]D4 Gallon Forecast'!V166</f>
        <v>0</v>
      </c>
      <c r="W36" s="36">
        <f>'[4]D4 Gallon Forecast'!W166</f>
        <v>0</v>
      </c>
      <c r="X36" s="36">
        <f>'[4]D4 Gallon Forecast'!X166</f>
        <v>0</v>
      </c>
      <c r="Y36" s="36">
        <f>'[4]D4 Gallon Forecast'!Y166</f>
        <v>0</v>
      </c>
      <c r="Z36" s="36">
        <f>'[4]D4 Gallon Forecast'!Z166</f>
        <v>0</v>
      </c>
      <c r="AA36" s="36">
        <f>'[4]D4 Gallon Forecast'!AA166</f>
        <v>0</v>
      </c>
      <c r="AB36" s="36">
        <f>'[4]D4 Gallon Forecast'!AB166</f>
        <v>0</v>
      </c>
      <c r="AC36" s="36">
        <f>'[4]D4 Gallon Forecast'!AC166</f>
        <v>0</v>
      </c>
      <c r="AD36" s="36">
        <f>'[4]D4 Gallon Forecast'!AD166</f>
        <v>0</v>
      </c>
      <c r="AE36" s="36">
        <f>'[4]D4 Gallon Forecast'!AE166</f>
        <v>0</v>
      </c>
      <c r="AF36" s="36">
        <f>'[4]D4 Gallon Forecast'!AF166</f>
        <v>0</v>
      </c>
      <c r="AG36" s="36">
        <f>'[4]D4 Gallon Forecast'!AG166</f>
        <v>0</v>
      </c>
      <c r="AH36" s="35">
        <f>'[4]D4 Gallon Forecast'!CV166</f>
        <v>0</v>
      </c>
      <c r="AI36" s="35">
        <f>'[4]D4 Gallon Forecast'!CW166</f>
        <v>0</v>
      </c>
      <c r="AJ36" s="35">
        <f>'[4]D4 Gallon Forecast'!CX166</f>
        <v>0</v>
      </c>
      <c r="AK36" s="35">
        <f>'[4]D4 Gallon Forecast'!CY166</f>
        <v>0</v>
      </c>
      <c r="AL36" s="35">
        <f>'[4]D4 Gallon Forecast'!CZ166</f>
        <v>0</v>
      </c>
      <c r="AM36" s="35">
        <f>'[4]D4 Gallon Forecast'!DA166</f>
        <v>0</v>
      </c>
      <c r="AN36" s="35">
        <f>'[4]D4 Gallon Forecast'!DB166</f>
        <v>0</v>
      </c>
      <c r="AO36" s="35">
        <f>'[4]D4 Gallon Forecast'!DC166</f>
        <v>0</v>
      </c>
      <c r="AP36" s="35">
        <f>'[4]D4 Gallon Forecast'!DD166</f>
        <v>0</v>
      </c>
    </row>
    <row r="37" spans="1:42" x14ac:dyDescent="0.2">
      <c r="A37" s="32" t="s">
        <v>72</v>
      </c>
      <c r="B37" s="35"/>
      <c r="C37" s="35"/>
      <c r="D37" s="35"/>
      <c r="E37" s="35"/>
      <c r="F37" s="35"/>
      <c r="G37" s="35"/>
      <c r="H37" s="35"/>
      <c r="I37" s="35"/>
      <c r="J37" s="35"/>
      <c r="K37" s="35">
        <v>0</v>
      </c>
      <c r="L37" s="35">
        <f>'[4]D4 Gallon Forecast'!L167</f>
        <v>77733</v>
      </c>
      <c r="M37" s="35">
        <f>'[4]D4 Gallon Forecast'!M167</f>
        <v>0</v>
      </c>
      <c r="N37" s="35">
        <f>'[4]D4 Gallon Forecast'!N167</f>
        <v>247044</v>
      </c>
      <c r="O37" s="35">
        <f>'[4]D4 Gallon Forecast'!O167</f>
        <v>35927540</v>
      </c>
      <c r="P37" s="35">
        <f>'[4]D4 Gallon Forecast'!P167</f>
        <v>45072383</v>
      </c>
      <c r="Q37" s="36">
        <f>'[4]D4 Gallon Forecast'!Q167</f>
        <v>36495940</v>
      </c>
      <c r="R37" s="36">
        <f>'[4]D4 Gallon Forecast'!R167</f>
        <v>0</v>
      </c>
      <c r="S37" s="36">
        <f>'[4]D4 Gallon Forecast'!S167</f>
        <v>0</v>
      </c>
      <c r="T37" s="36">
        <f>'[4]D4 Gallon Forecast'!T167</f>
        <v>0</v>
      </c>
      <c r="U37" s="36">
        <f>'[4]D4 Gallon Forecast'!U167</f>
        <v>0</v>
      </c>
      <c r="V37" s="36">
        <f>'[4]D4 Gallon Forecast'!V167</f>
        <v>0</v>
      </c>
      <c r="W37" s="36">
        <f>'[4]D4 Gallon Forecast'!W167</f>
        <v>0</v>
      </c>
      <c r="X37" s="36">
        <f>'[4]D4 Gallon Forecast'!X167</f>
        <v>0</v>
      </c>
      <c r="Y37" s="36">
        <f>'[4]D4 Gallon Forecast'!Y167</f>
        <v>0</v>
      </c>
      <c r="Z37" s="36">
        <f>'[4]D4 Gallon Forecast'!Z167</f>
        <v>0</v>
      </c>
      <c r="AA37" s="36">
        <f>'[4]D4 Gallon Forecast'!AA167</f>
        <v>0</v>
      </c>
      <c r="AB37" s="36">
        <f>'[4]D4 Gallon Forecast'!AB167</f>
        <v>0</v>
      </c>
      <c r="AC37" s="36">
        <f>'[4]D4 Gallon Forecast'!AC167</f>
        <v>0</v>
      </c>
      <c r="AD37" s="36">
        <f>'[4]D4 Gallon Forecast'!AD167</f>
        <v>0</v>
      </c>
      <c r="AE37" s="36">
        <f>'[4]D4 Gallon Forecast'!AE167</f>
        <v>0</v>
      </c>
      <c r="AF37" s="36">
        <f>'[4]D4 Gallon Forecast'!AF167</f>
        <v>0</v>
      </c>
      <c r="AG37" s="36">
        <f>'[4]D4 Gallon Forecast'!AG167</f>
        <v>0</v>
      </c>
      <c r="AH37" s="35">
        <f>'[4]D4 Gallon Forecast'!CV167</f>
        <v>0</v>
      </c>
      <c r="AI37" s="35">
        <f>'[4]D4 Gallon Forecast'!CW167</f>
        <v>0</v>
      </c>
      <c r="AJ37" s="35">
        <f>'[4]D4 Gallon Forecast'!CX167</f>
        <v>0</v>
      </c>
      <c r="AK37" s="35">
        <f>'[4]D4 Gallon Forecast'!CY167</f>
        <v>0</v>
      </c>
      <c r="AL37" s="35">
        <f>'[4]D4 Gallon Forecast'!CZ167</f>
        <v>0</v>
      </c>
      <c r="AM37" s="35">
        <f>'[4]D4 Gallon Forecast'!DA167</f>
        <v>0</v>
      </c>
      <c r="AN37" s="35">
        <f>'[4]D4 Gallon Forecast'!DB167</f>
        <v>0</v>
      </c>
      <c r="AO37" s="35">
        <f>'[4]D4 Gallon Forecast'!DC167</f>
        <v>0</v>
      </c>
      <c r="AP37" s="35">
        <f>'[4]D4 Gallon Forecast'!DD167</f>
        <v>0</v>
      </c>
    </row>
    <row r="38" spans="1:42" x14ac:dyDescent="0.2">
      <c r="A38" s="32" t="s">
        <v>73</v>
      </c>
      <c r="B38" s="35"/>
      <c r="C38" s="35"/>
      <c r="D38" s="35"/>
      <c r="E38" s="35"/>
      <c r="F38" s="35"/>
      <c r="G38" s="35"/>
      <c r="H38" s="35"/>
      <c r="I38" s="35"/>
      <c r="J38" s="35"/>
      <c r="K38" s="35">
        <v>0</v>
      </c>
      <c r="L38" s="35">
        <f>'[4]D4 Gallon Forecast'!L168</f>
        <v>557772</v>
      </c>
      <c r="M38" s="35">
        <f>'[4]D4 Gallon Forecast'!M168</f>
        <v>0</v>
      </c>
      <c r="N38" s="35">
        <f>'[4]D4 Gallon Forecast'!N168</f>
        <v>0</v>
      </c>
      <c r="O38" s="35">
        <f>'[4]D4 Gallon Forecast'!O168</f>
        <v>33974667</v>
      </c>
      <c r="P38" s="35">
        <f>'[4]D4 Gallon Forecast'!P168</f>
        <v>52475286</v>
      </c>
      <c r="Q38" s="36">
        <f>'[4]D4 Gallon Forecast'!Q168</f>
        <v>0</v>
      </c>
      <c r="R38" s="36">
        <f>'[4]D4 Gallon Forecast'!R168</f>
        <v>0</v>
      </c>
      <c r="S38" s="36">
        <f>'[4]D4 Gallon Forecast'!S168</f>
        <v>0</v>
      </c>
      <c r="T38" s="36">
        <f>'[4]D4 Gallon Forecast'!T168</f>
        <v>0</v>
      </c>
      <c r="U38" s="36">
        <f>'[4]D4 Gallon Forecast'!U168</f>
        <v>0</v>
      </c>
      <c r="V38" s="36">
        <f>'[4]D4 Gallon Forecast'!V168</f>
        <v>0</v>
      </c>
      <c r="W38" s="36">
        <f>'[4]D4 Gallon Forecast'!W168</f>
        <v>0</v>
      </c>
      <c r="X38" s="36">
        <f>'[4]D4 Gallon Forecast'!X168</f>
        <v>0</v>
      </c>
      <c r="Y38" s="36">
        <f>'[4]D4 Gallon Forecast'!Y168</f>
        <v>0</v>
      </c>
      <c r="Z38" s="36">
        <f>'[4]D4 Gallon Forecast'!Z168</f>
        <v>0</v>
      </c>
      <c r="AA38" s="36">
        <f>'[4]D4 Gallon Forecast'!AA168</f>
        <v>0</v>
      </c>
      <c r="AB38" s="36">
        <f>'[4]D4 Gallon Forecast'!AB168</f>
        <v>0</v>
      </c>
      <c r="AC38" s="36">
        <f>'[4]D4 Gallon Forecast'!AC168</f>
        <v>0</v>
      </c>
      <c r="AD38" s="36">
        <f>'[4]D4 Gallon Forecast'!AD168</f>
        <v>0</v>
      </c>
      <c r="AE38" s="36">
        <f>'[4]D4 Gallon Forecast'!AE168</f>
        <v>0</v>
      </c>
      <c r="AF38" s="36">
        <f>'[4]D4 Gallon Forecast'!AF168</f>
        <v>0</v>
      </c>
      <c r="AG38" s="36">
        <f>'[4]D4 Gallon Forecast'!AG168</f>
        <v>0</v>
      </c>
      <c r="AH38" s="35">
        <f>'[4]D4 Gallon Forecast'!CV168</f>
        <v>0</v>
      </c>
      <c r="AI38" s="35">
        <f>'[4]D4 Gallon Forecast'!CW168</f>
        <v>0</v>
      </c>
      <c r="AJ38" s="35">
        <f>'[4]D4 Gallon Forecast'!CX168</f>
        <v>0</v>
      </c>
      <c r="AK38" s="35">
        <f>'[4]D4 Gallon Forecast'!CY168</f>
        <v>0</v>
      </c>
      <c r="AL38" s="35">
        <f>'[4]D4 Gallon Forecast'!CZ168</f>
        <v>0</v>
      </c>
      <c r="AM38" s="35">
        <f>'[4]D4 Gallon Forecast'!DA168</f>
        <v>0</v>
      </c>
      <c r="AN38" s="35">
        <f>'[4]D4 Gallon Forecast'!DB168</f>
        <v>0</v>
      </c>
      <c r="AO38" s="35">
        <f>'[4]D4 Gallon Forecast'!DC168</f>
        <v>0</v>
      </c>
      <c r="AP38" s="35">
        <f>'[4]D4 Gallon Forecast'!DD168</f>
        <v>0</v>
      </c>
    </row>
    <row r="39" spans="1:42" x14ac:dyDescent="0.2">
      <c r="A39" s="32" t="s">
        <v>10</v>
      </c>
      <c r="B39" s="35"/>
      <c r="C39" s="35"/>
      <c r="D39" s="35"/>
      <c r="E39" s="35"/>
      <c r="F39" s="35"/>
      <c r="G39" s="35"/>
      <c r="H39" s="35"/>
      <c r="I39" s="35"/>
      <c r="J39" s="35"/>
      <c r="K39" s="35">
        <v>0</v>
      </c>
      <c r="L39" s="35">
        <f>'[4]D4 Gallon Forecast'!L169</f>
        <v>0</v>
      </c>
      <c r="M39" s="35">
        <f>'[4]D4 Gallon Forecast'!M169</f>
        <v>0</v>
      </c>
      <c r="N39" s="35">
        <f>'[4]D4 Gallon Forecast'!N169</f>
        <v>0</v>
      </c>
      <c r="O39" s="35">
        <f>'[4]D4 Gallon Forecast'!O169</f>
        <v>54415742</v>
      </c>
      <c r="P39" s="35">
        <f>'[4]D4 Gallon Forecast'!P169</f>
        <v>2010329</v>
      </c>
      <c r="Q39" s="36">
        <f>'[4]D4 Gallon Forecast'!Q169</f>
        <v>0</v>
      </c>
      <c r="R39" s="36">
        <f>'[4]D4 Gallon Forecast'!R169</f>
        <v>0</v>
      </c>
      <c r="S39" s="36">
        <f>'[4]D4 Gallon Forecast'!S169</f>
        <v>0</v>
      </c>
      <c r="T39" s="36">
        <f>'[4]D4 Gallon Forecast'!T169</f>
        <v>0</v>
      </c>
      <c r="U39" s="36">
        <f>'[4]D4 Gallon Forecast'!U169</f>
        <v>0</v>
      </c>
      <c r="V39" s="36">
        <f>'[4]D4 Gallon Forecast'!V169</f>
        <v>0</v>
      </c>
      <c r="W39" s="36">
        <f>'[4]D4 Gallon Forecast'!W169</f>
        <v>0</v>
      </c>
      <c r="X39" s="36">
        <f>'[4]D4 Gallon Forecast'!X169</f>
        <v>0</v>
      </c>
      <c r="Y39" s="36">
        <f>'[4]D4 Gallon Forecast'!Y169</f>
        <v>0</v>
      </c>
      <c r="Z39" s="36">
        <f>'[4]D4 Gallon Forecast'!Z169</f>
        <v>0</v>
      </c>
      <c r="AA39" s="36">
        <f>'[4]D4 Gallon Forecast'!AA169</f>
        <v>0</v>
      </c>
      <c r="AB39" s="36">
        <f>'[4]D4 Gallon Forecast'!AB169</f>
        <v>0</v>
      </c>
      <c r="AC39" s="36">
        <f>'[4]D4 Gallon Forecast'!AC169</f>
        <v>0</v>
      </c>
      <c r="AD39" s="36">
        <f>'[4]D4 Gallon Forecast'!AD169</f>
        <v>0</v>
      </c>
      <c r="AE39" s="36">
        <f>'[4]D4 Gallon Forecast'!AE169</f>
        <v>0</v>
      </c>
      <c r="AF39" s="36">
        <f>'[4]D4 Gallon Forecast'!AF169</f>
        <v>0</v>
      </c>
      <c r="AG39" s="36">
        <f>'[4]D4 Gallon Forecast'!AG169</f>
        <v>0</v>
      </c>
      <c r="AH39" s="35">
        <f>'[4]D4 Gallon Forecast'!CV169</f>
        <v>0</v>
      </c>
      <c r="AI39" s="35">
        <f>'[4]D4 Gallon Forecast'!CW169</f>
        <v>0</v>
      </c>
      <c r="AJ39" s="35">
        <f>'[4]D4 Gallon Forecast'!CX169</f>
        <v>0</v>
      </c>
      <c r="AK39" s="35">
        <f>'[4]D4 Gallon Forecast'!CY169</f>
        <v>0</v>
      </c>
      <c r="AL39" s="35">
        <f>'[4]D4 Gallon Forecast'!CZ169</f>
        <v>0</v>
      </c>
      <c r="AM39" s="35">
        <f>'[4]D4 Gallon Forecast'!DA169</f>
        <v>0</v>
      </c>
      <c r="AN39" s="35">
        <f>'[4]D4 Gallon Forecast'!DB169</f>
        <v>0</v>
      </c>
      <c r="AO39" s="35">
        <f>'[4]D4 Gallon Forecast'!DC169</f>
        <v>0</v>
      </c>
      <c r="AP39" s="35">
        <f>'[4]D4 Gallon Forecast'!DD169</f>
        <v>0</v>
      </c>
    </row>
    <row r="40" spans="1:42" x14ac:dyDescent="0.2">
      <c r="A40" s="32" t="s">
        <v>74</v>
      </c>
      <c r="B40" s="35"/>
      <c r="C40" s="35"/>
      <c r="D40" s="35"/>
      <c r="E40" s="35"/>
      <c r="F40" s="35"/>
      <c r="G40" s="35"/>
      <c r="H40" s="35"/>
      <c r="I40" s="35"/>
      <c r="J40" s="35"/>
      <c r="K40" s="35">
        <v>0</v>
      </c>
      <c r="L40" s="35">
        <f>'[4]D4 Gallon Forecast'!L170</f>
        <v>105660</v>
      </c>
      <c r="M40" s="35">
        <f>'[4]D4 Gallon Forecast'!M170</f>
        <v>0</v>
      </c>
      <c r="N40" s="35">
        <f>'[4]D4 Gallon Forecast'!N170</f>
        <v>432306</v>
      </c>
      <c r="O40" s="35">
        <f>'[4]D4 Gallon Forecast'!O170</f>
        <v>41543150</v>
      </c>
      <c r="P40" s="35">
        <f>'[4]D4 Gallon Forecast'!P170</f>
        <v>43911210</v>
      </c>
      <c r="Q40" s="36">
        <f>'[4]D4 Gallon Forecast'!Q170</f>
        <v>0</v>
      </c>
      <c r="R40" s="36">
        <f>'[4]D4 Gallon Forecast'!R170</f>
        <v>0</v>
      </c>
      <c r="S40" s="36">
        <f>'[4]D4 Gallon Forecast'!S170</f>
        <v>0</v>
      </c>
      <c r="T40" s="36">
        <f>'[4]D4 Gallon Forecast'!T170</f>
        <v>0</v>
      </c>
      <c r="U40" s="36">
        <f>'[4]D4 Gallon Forecast'!U170</f>
        <v>0</v>
      </c>
      <c r="V40" s="36">
        <f>'[4]D4 Gallon Forecast'!V170</f>
        <v>0</v>
      </c>
      <c r="W40" s="36">
        <f>'[4]D4 Gallon Forecast'!W170</f>
        <v>0</v>
      </c>
      <c r="X40" s="36">
        <f>'[4]D4 Gallon Forecast'!X170</f>
        <v>0</v>
      </c>
      <c r="Y40" s="36">
        <f>'[4]D4 Gallon Forecast'!Y170</f>
        <v>0</v>
      </c>
      <c r="Z40" s="36">
        <f>'[4]D4 Gallon Forecast'!Z170</f>
        <v>0</v>
      </c>
      <c r="AA40" s="36">
        <f>'[4]D4 Gallon Forecast'!AA170</f>
        <v>0</v>
      </c>
      <c r="AB40" s="36">
        <f>'[4]D4 Gallon Forecast'!AB170</f>
        <v>0</v>
      </c>
      <c r="AC40" s="36">
        <f>'[4]D4 Gallon Forecast'!AC170</f>
        <v>0</v>
      </c>
      <c r="AD40" s="36">
        <f>'[4]D4 Gallon Forecast'!AD170</f>
        <v>0</v>
      </c>
      <c r="AE40" s="36">
        <f>'[4]D4 Gallon Forecast'!AE170</f>
        <v>0</v>
      </c>
      <c r="AF40" s="36">
        <f>'[4]D4 Gallon Forecast'!AF170</f>
        <v>0</v>
      </c>
      <c r="AG40" s="36">
        <f>'[4]D4 Gallon Forecast'!AG170</f>
        <v>0</v>
      </c>
      <c r="AH40" s="35">
        <f>'[4]D4 Gallon Forecast'!CV170</f>
        <v>0</v>
      </c>
      <c r="AI40" s="35">
        <f>'[4]D4 Gallon Forecast'!CW170</f>
        <v>0</v>
      </c>
      <c r="AJ40" s="35">
        <f>'[4]D4 Gallon Forecast'!CX170</f>
        <v>0</v>
      </c>
      <c r="AK40" s="35">
        <f>'[4]D4 Gallon Forecast'!CY170</f>
        <v>0</v>
      </c>
      <c r="AL40" s="35">
        <f>'[4]D4 Gallon Forecast'!CZ170</f>
        <v>0</v>
      </c>
      <c r="AM40" s="35">
        <f>'[4]D4 Gallon Forecast'!DA170</f>
        <v>0</v>
      </c>
      <c r="AN40" s="35">
        <f>'[4]D4 Gallon Forecast'!DB170</f>
        <v>0</v>
      </c>
      <c r="AO40" s="35">
        <f>'[4]D4 Gallon Forecast'!DC170</f>
        <v>0</v>
      </c>
      <c r="AP40" s="35">
        <f>'[4]D4 Gallon Forecast'!DD170</f>
        <v>0</v>
      </c>
    </row>
    <row r="41" spans="1:42" x14ac:dyDescent="0.2">
      <c r="A41" s="32" t="s">
        <v>75</v>
      </c>
      <c r="B41" s="35"/>
      <c r="C41" s="35"/>
      <c r="D41" s="35"/>
      <c r="E41" s="35"/>
      <c r="F41" s="35"/>
      <c r="G41" s="35"/>
      <c r="H41" s="35"/>
      <c r="I41" s="35"/>
      <c r="J41" s="35"/>
      <c r="K41" s="35">
        <v>0</v>
      </c>
      <c r="L41" s="35">
        <f>'[4]D4 Gallon Forecast'!L171</f>
        <v>445024</v>
      </c>
      <c r="M41" s="35">
        <f>'[4]D4 Gallon Forecast'!M171</f>
        <v>438506</v>
      </c>
      <c r="N41" s="35">
        <f>'[4]D4 Gallon Forecast'!N171</f>
        <v>366519</v>
      </c>
      <c r="O41" s="35">
        <f>'[4]D4 Gallon Forecast'!O171</f>
        <v>40392351</v>
      </c>
      <c r="P41" s="35">
        <f>'[4]D4 Gallon Forecast'!P171</f>
        <v>53677623</v>
      </c>
      <c r="Q41" s="36">
        <f>'[4]D4 Gallon Forecast'!Q171</f>
        <v>0</v>
      </c>
      <c r="R41" s="36">
        <f>'[4]D4 Gallon Forecast'!R171</f>
        <v>0</v>
      </c>
      <c r="S41" s="36">
        <f>'[4]D4 Gallon Forecast'!S171</f>
        <v>0</v>
      </c>
      <c r="T41" s="36">
        <f>'[4]D4 Gallon Forecast'!T171</f>
        <v>0</v>
      </c>
      <c r="U41" s="36">
        <f>'[4]D4 Gallon Forecast'!U171</f>
        <v>0</v>
      </c>
      <c r="V41" s="36">
        <f>'[4]D4 Gallon Forecast'!V171</f>
        <v>0</v>
      </c>
      <c r="W41" s="36">
        <f>'[4]D4 Gallon Forecast'!W171</f>
        <v>0</v>
      </c>
      <c r="X41" s="36">
        <f>'[4]D4 Gallon Forecast'!X171</f>
        <v>0</v>
      </c>
      <c r="Y41" s="36">
        <f>'[4]D4 Gallon Forecast'!Y171</f>
        <v>0</v>
      </c>
      <c r="Z41" s="36">
        <f>'[4]D4 Gallon Forecast'!Z171</f>
        <v>0</v>
      </c>
      <c r="AA41" s="36">
        <f>'[4]D4 Gallon Forecast'!AA171</f>
        <v>0</v>
      </c>
      <c r="AB41" s="36">
        <f>'[4]D4 Gallon Forecast'!AB171</f>
        <v>0</v>
      </c>
      <c r="AC41" s="36">
        <f>'[4]D4 Gallon Forecast'!AC171</f>
        <v>0</v>
      </c>
      <c r="AD41" s="36">
        <f>'[4]D4 Gallon Forecast'!AD171</f>
        <v>0</v>
      </c>
      <c r="AE41" s="36">
        <f>'[4]D4 Gallon Forecast'!AE171</f>
        <v>0</v>
      </c>
      <c r="AF41" s="36">
        <f>'[4]D4 Gallon Forecast'!AF171</f>
        <v>0</v>
      </c>
      <c r="AG41" s="36">
        <f>'[4]D4 Gallon Forecast'!AG171</f>
        <v>0</v>
      </c>
      <c r="AH41" s="35">
        <f>'[4]D4 Gallon Forecast'!CV171</f>
        <v>0</v>
      </c>
      <c r="AI41" s="35">
        <f>'[4]D4 Gallon Forecast'!CW171</f>
        <v>0</v>
      </c>
      <c r="AJ41" s="35">
        <f>'[4]D4 Gallon Forecast'!CX171</f>
        <v>0</v>
      </c>
      <c r="AK41" s="35">
        <f>'[4]D4 Gallon Forecast'!CY171</f>
        <v>0</v>
      </c>
      <c r="AL41" s="35">
        <f>'[4]D4 Gallon Forecast'!CZ171</f>
        <v>0</v>
      </c>
      <c r="AM41" s="35">
        <f>'[4]D4 Gallon Forecast'!DA171</f>
        <v>0</v>
      </c>
      <c r="AN41" s="35">
        <f>'[4]D4 Gallon Forecast'!DB171</f>
        <v>0</v>
      </c>
      <c r="AO41" s="35">
        <f>'[4]D4 Gallon Forecast'!DC171</f>
        <v>0</v>
      </c>
      <c r="AP41" s="35">
        <f>'[4]D4 Gallon Forecast'!DD171</f>
        <v>0</v>
      </c>
    </row>
    <row r="42" spans="1:42" x14ac:dyDescent="0.2">
      <c r="A42" s="32" t="s">
        <v>76</v>
      </c>
      <c r="B42" s="35"/>
      <c r="C42" s="35"/>
      <c r="D42" s="35"/>
      <c r="E42" s="35"/>
      <c r="F42" s="35"/>
      <c r="G42" s="35"/>
      <c r="H42" s="35"/>
      <c r="I42" s="35"/>
      <c r="J42" s="35"/>
      <c r="K42" s="35">
        <v>0</v>
      </c>
      <c r="L42" s="35">
        <f>'[4]D4 Gallon Forecast'!L172</f>
        <v>0</v>
      </c>
      <c r="M42" s="35">
        <f>'[4]D4 Gallon Forecast'!M172</f>
        <v>274606</v>
      </c>
      <c r="N42" s="35">
        <f>'[4]D4 Gallon Forecast'!N172</f>
        <v>0</v>
      </c>
      <c r="O42" s="35">
        <f>'[4]D4 Gallon Forecast'!O172</f>
        <v>54002619</v>
      </c>
      <c r="P42" s="36">
        <f>'[4]D4 Gallon Forecast'!P172</f>
        <v>48162137</v>
      </c>
      <c r="Q42" s="36">
        <f>'[4]D4 Gallon Forecast'!Q172</f>
        <v>0</v>
      </c>
      <c r="R42" s="36">
        <f>'[4]D4 Gallon Forecast'!R172</f>
        <v>0</v>
      </c>
      <c r="S42" s="36">
        <f>'[4]D4 Gallon Forecast'!S172</f>
        <v>0</v>
      </c>
      <c r="T42" s="36">
        <f>'[4]D4 Gallon Forecast'!T172</f>
        <v>0</v>
      </c>
      <c r="U42" s="36">
        <f>'[4]D4 Gallon Forecast'!U172</f>
        <v>0</v>
      </c>
      <c r="V42" s="36">
        <f>'[4]D4 Gallon Forecast'!V172</f>
        <v>0</v>
      </c>
      <c r="W42" s="36">
        <f>'[4]D4 Gallon Forecast'!W172</f>
        <v>0</v>
      </c>
      <c r="X42" s="36">
        <f>'[4]D4 Gallon Forecast'!X172</f>
        <v>0</v>
      </c>
      <c r="Y42" s="36">
        <f>'[4]D4 Gallon Forecast'!Y172</f>
        <v>0</v>
      </c>
      <c r="Z42" s="36">
        <f>'[4]D4 Gallon Forecast'!Z172</f>
        <v>0</v>
      </c>
      <c r="AA42" s="36">
        <f>'[4]D4 Gallon Forecast'!AA172</f>
        <v>0</v>
      </c>
      <c r="AB42" s="36">
        <f>'[4]D4 Gallon Forecast'!AB172</f>
        <v>0</v>
      </c>
      <c r="AC42" s="36">
        <f>'[4]D4 Gallon Forecast'!AC172</f>
        <v>0</v>
      </c>
      <c r="AD42" s="36">
        <f>'[4]D4 Gallon Forecast'!AD172</f>
        <v>0</v>
      </c>
      <c r="AE42" s="36">
        <f>'[4]D4 Gallon Forecast'!AE172</f>
        <v>0</v>
      </c>
      <c r="AF42" s="36">
        <f>'[4]D4 Gallon Forecast'!AF172</f>
        <v>0</v>
      </c>
      <c r="AG42" s="36">
        <f>'[4]D4 Gallon Forecast'!AG172</f>
        <v>0</v>
      </c>
      <c r="AH42" s="35">
        <f>'[4]D4 Gallon Forecast'!CV172</f>
        <v>0</v>
      </c>
      <c r="AI42" s="35">
        <f>'[4]D4 Gallon Forecast'!CW172</f>
        <v>0</v>
      </c>
      <c r="AJ42" s="35">
        <f>'[4]D4 Gallon Forecast'!CX172</f>
        <v>0</v>
      </c>
      <c r="AK42" s="35">
        <f>'[4]D4 Gallon Forecast'!CY172</f>
        <v>0</v>
      </c>
      <c r="AL42" s="35">
        <f>'[4]D4 Gallon Forecast'!CZ172</f>
        <v>0</v>
      </c>
      <c r="AM42" s="35">
        <f>'[4]D4 Gallon Forecast'!DA172</f>
        <v>0</v>
      </c>
      <c r="AN42" s="35">
        <f>'[4]D4 Gallon Forecast'!DB172</f>
        <v>0</v>
      </c>
      <c r="AO42" s="35">
        <f>'[4]D4 Gallon Forecast'!DC172</f>
        <v>0</v>
      </c>
      <c r="AP42" s="35">
        <f>'[4]D4 Gallon Forecast'!DD172</f>
        <v>0</v>
      </c>
    </row>
    <row r="43" spans="1:42" x14ac:dyDescent="0.2">
      <c r="A43" s="32" t="s">
        <v>77</v>
      </c>
      <c r="B43" s="35"/>
      <c r="C43" s="35"/>
      <c r="D43" s="35"/>
      <c r="E43" s="35"/>
      <c r="F43" s="35"/>
      <c r="G43" s="35"/>
      <c r="H43" s="35"/>
      <c r="I43" s="35"/>
      <c r="J43" s="35"/>
      <c r="K43" s="35">
        <v>0</v>
      </c>
      <c r="L43" s="35">
        <f>'[4]D4 Gallon Forecast'!L173</f>
        <v>0</v>
      </c>
      <c r="M43" s="35">
        <f>'[4]D4 Gallon Forecast'!M173</f>
        <v>0</v>
      </c>
      <c r="N43" s="35">
        <f>'[4]D4 Gallon Forecast'!N173</f>
        <v>0</v>
      </c>
      <c r="O43" s="35">
        <f>'[4]D4 Gallon Forecast'!O173</f>
        <v>45782234</v>
      </c>
      <c r="P43" s="36">
        <f>'[4]D4 Gallon Forecast'!P173</f>
        <v>34597382</v>
      </c>
      <c r="Q43" s="36">
        <f>'[4]D4 Gallon Forecast'!Q173</f>
        <v>0</v>
      </c>
      <c r="R43" s="36">
        <f>'[4]D4 Gallon Forecast'!R173</f>
        <v>0</v>
      </c>
      <c r="S43" s="36">
        <f>'[4]D4 Gallon Forecast'!S173</f>
        <v>0</v>
      </c>
      <c r="T43" s="36">
        <f>'[4]D4 Gallon Forecast'!T173</f>
        <v>0</v>
      </c>
      <c r="U43" s="36">
        <f>'[4]D4 Gallon Forecast'!U173</f>
        <v>0</v>
      </c>
      <c r="V43" s="36">
        <f>'[4]D4 Gallon Forecast'!V173</f>
        <v>0</v>
      </c>
      <c r="W43" s="36">
        <f>'[4]D4 Gallon Forecast'!W173</f>
        <v>0</v>
      </c>
      <c r="X43" s="36">
        <f>'[4]D4 Gallon Forecast'!X173</f>
        <v>0</v>
      </c>
      <c r="Y43" s="36">
        <f>'[4]D4 Gallon Forecast'!Y173</f>
        <v>0</v>
      </c>
      <c r="Z43" s="36">
        <f>'[4]D4 Gallon Forecast'!Z173</f>
        <v>0</v>
      </c>
      <c r="AA43" s="36">
        <f>'[4]D4 Gallon Forecast'!AA173</f>
        <v>0</v>
      </c>
      <c r="AB43" s="36">
        <f>'[4]D4 Gallon Forecast'!AB173</f>
        <v>0</v>
      </c>
      <c r="AC43" s="36">
        <f>'[4]D4 Gallon Forecast'!AC173</f>
        <v>0</v>
      </c>
      <c r="AD43" s="36">
        <f>'[4]D4 Gallon Forecast'!AD173</f>
        <v>0</v>
      </c>
      <c r="AE43" s="36">
        <f>'[4]D4 Gallon Forecast'!AE173</f>
        <v>0</v>
      </c>
      <c r="AF43" s="36">
        <f>'[4]D4 Gallon Forecast'!AF173</f>
        <v>0</v>
      </c>
      <c r="AG43" s="36">
        <f>'[4]D4 Gallon Forecast'!AG173</f>
        <v>0</v>
      </c>
      <c r="AH43" s="35">
        <f>'[4]D4 Gallon Forecast'!CV173</f>
        <v>0</v>
      </c>
      <c r="AI43" s="35">
        <f>'[4]D4 Gallon Forecast'!CW173</f>
        <v>0</v>
      </c>
      <c r="AJ43" s="35">
        <f>'[4]D4 Gallon Forecast'!CX173</f>
        <v>0</v>
      </c>
      <c r="AK43" s="35">
        <f>'[4]D4 Gallon Forecast'!CY173</f>
        <v>0</v>
      </c>
      <c r="AL43" s="35">
        <f>'[4]D4 Gallon Forecast'!CZ173</f>
        <v>0</v>
      </c>
      <c r="AM43" s="35">
        <f>'[4]D4 Gallon Forecast'!DA173</f>
        <v>0</v>
      </c>
      <c r="AN43" s="35">
        <f>'[4]D4 Gallon Forecast'!DB173</f>
        <v>0</v>
      </c>
      <c r="AO43" s="35">
        <f>'[4]D4 Gallon Forecast'!DC173</f>
        <v>0</v>
      </c>
      <c r="AP43" s="35">
        <f>'[4]D4 Gallon Forecast'!DD173</f>
        <v>0</v>
      </c>
    </row>
    <row r="44" spans="1:42" x14ac:dyDescent="0.2">
      <c r="A44" s="32" t="s">
        <v>78</v>
      </c>
      <c r="B44" s="35"/>
      <c r="C44" s="35"/>
      <c r="D44" s="35"/>
      <c r="E44" s="35"/>
      <c r="F44" s="35"/>
      <c r="G44" s="35"/>
      <c r="H44" s="35"/>
      <c r="I44" s="35"/>
      <c r="J44" s="35"/>
      <c r="K44" s="35">
        <f>'[4]D4 Gallon Forecast'!K174</f>
        <v>0</v>
      </c>
      <c r="L44" s="35">
        <f>'[4]D4 Gallon Forecast'!L174</f>
        <v>0</v>
      </c>
      <c r="M44" s="35">
        <f>'[4]D4 Gallon Forecast'!M174</f>
        <v>0</v>
      </c>
      <c r="N44" s="35">
        <f>'[4]D4 Gallon Forecast'!N174</f>
        <v>669177</v>
      </c>
      <c r="O44" s="35">
        <f>'[4]D4 Gallon Forecast'!O174</f>
        <v>56281754</v>
      </c>
      <c r="P44" s="36">
        <f>'[4]D4 Gallon Forecast'!P174</f>
        <v>55284123</v>
      </c>
      <c r="Q44" s="36">
        <f>'[4]D4 Gallon Forecast'!Q174</f>
        <v>0</v>
      </c>
      <c r="R44" s="36">
        <f>'[4]D4 Gallon Forecast'!R174</f>
        <v>0</v>
      </c>
      <c r="S44" s="36">
        <f>'[4]D4 Gallon Forecast'!S174</f>
        <v>0</v>
      </c>
      <c r="T44" s="36">
        <f>'[4]D4 Gallon Forecast'!T174</f>
        <v>0</v>
      </c>
      <c r="U44" s="36">
        <f>'[4]D4 Gallon Forecast'!U174</f>
        <v>0</v>
      </c>
      <c r="V44" s="36">
        <f>'[4]D4 Gallon Forecast'!V174</f>
        <v>0</v>
      </c>
      <c r="W44" s="36">
        <f>'[4]D4 Gallon Forecast'!W174</f>
        <v>0</v>
      </c>
      <c r="X44" s="36">
        <f>'[4]D4 Gallon Forecast'!X174</f>
        <v>0</v>
      </c>
      <c r="Y44" s="36">
        <f>'[4]D4 Gallon Forecast'!Y174</f>
        <v>0</v>
      </c>
      <c r="Z44" s="36">
        <f>'[4]D4 Gallon Forecast'!Z174</f>
        <v>0</v>
      </c>
      <c r="AA44" s="36">
        <f>'[4]D4 Gallon Forecast'!AA174</f>
        <v>0</v>
      </c>
      <c r="AB44" s="36">
        <f>'[4]D4 Gallon Forecast'!AB174</f>
        <v>0</v>
      </c>
      <c r="AC44" s="36">
        <f>'[4]D4 Gallon Forecast'!AC174</f>
        <v>0</v>
      </c>
      <c r="AD44" s="36">
        <f>'[4]D4 Gallon Forecast'!AD174</f>
        <v>0</v>
      </c>
      <c r="AE44" s="36">
        <f>'[4]D4 Gallon Forecast'!AE174</f>
        <v>0</v>
      </c>
      <c r="AF44" s="36">
        <f>'[4]D4 Gallon Forecast'!AF174</f>
        <v>0</v>
      </c>
      <c r="AG44" s="36">
        <f>'[4]D4 Gallon Forecast'!AG174</f>
        <v>0</v>
      </c>
      <c r="AH44" s="35">
        <f>'[4]D4 Gallon Forecast'!CV174</f>
        <v>0</v>
      </c>
      <c r="AI44" s="35">
        <f>'[4]D4 Gallon Forecast'!CW174</f>
        <v>0</v>
      </c>
      <c r="AJ44" s="35">
        <f>'[4]D4 Gallon Forecast'!CX174</f>
        <v>0</v>
      </c>
      <c r="AK44" s="35">
        <f>'[4]D4 Gallon Forecast'!CY174</f>
        <v>0</v>
      </c>
      <c r="AL44" s="35">
        <f>'[4]D4 Gallon Forecast'!CZ174</f>
        <v>0</v>
      </c>
      <c r="AM44" s="35">
        <f>'[4]D4 Gallon Forecast'!DA174</f>
        <v>0</v>
      </c>
      <c r="AN44" s="35">
        <f>'[4]D4 Gallon Forecast'!DB174</f>
        <v>0</v>
      </c>
      <c r="AO44" s="35">
        <f>'[4]D4 Gallon Forecast'!DC174</f>
        <v>0</v>
      </c>
      <c r="AP44" s="35">
        <f>'[4]D4 Gallon Forecast'!DD174</f>
        <v>0</v>
      </c>
    </row>
    <row r="45" spans="1:42" x14ac:dyDescent="0.2">
      <c r="A45" s="32" t="s">
        <v>79</v>
      </c>
      <c r="B45" s="35"/>
      <c r="C45" s="35"/>
      <c r="D45" s="35"/>
      <c r="E45" s="35"/>
      <c r="F45" s="35"/>
      <c r="G45" s="35"/>
      <c r="H45" s="35"/>
      <c r="I45" s="35"/>
      <c r="J45" s="35"/>
      <c r="K45" s="35">
        <f>'[4]D4 Gallon Forecast'!K175</f>
        <v>0</v>
      </c>
      <c r="L45" s="35">
        <f>'[4]D4 Gallon Forecast'!L175</f>
        <v>4652</v>
      </c>
      <c r="M45" s="35">
        <f>'[4]D4 Gallon Forecast'!M175</f>
        <v>0</v>
      </c>
      <c r="N45" s="35">
        <f>'[4]D4 Gallon Forecast'!N175</f>
        <v>14109311</v>
      </c>
      <c r="O45" s="35">
        <f>'[4]D4 Gallon Forecast'!O175</f>
        <v>49803089</v>
      </c>
      <c r="P45" s="36">
        <f>'[4]D4 Gallon Forecast'!P175</f>
        <v>39534888</v>
      </c>
      <c r="Q45" s="36">
        <f>'[4]D4 Gallon Forecast'!Q175</f>
        <v>0</v>
      </c>
      <c r="R45" s="36">
        <f>'[4]D4 Gallon Forecast'!R175</f>
        <v>0</v>
      </c>
      <c r="S45" s="36">
        <f>'[4]D4 Gallon Forecast'!S175</f>
        <v>0</v>
      </c>
      <c r="T45" s="36">
        <f>'[4]D4 Gallon Forecast'!T175</f>
        <v>0</v>
      </c>
      <c r="U45" s="36">
        <f>'[4]D4 Gallon Forecast'!U175</f>
        <v>0</v>
      </c>
      <c r="V45" s="36">
        <f>'[4]D4 Gallon Forecast'!V175</f>
        <v>0</v>
      </c>
      <c r="W45" s="36">
        <f>'[4]D4 Gallon Forecast'!W175</f>
        <v>0</v>
      </c>
      <c r="X45" s="36">
        <f>'[4]D4 Gallon Forecast'!X175</f>
        <v>0</v>
      </c>
      <c r="Y45" s="36">
        <f>'[4]D4 Gallon Forecast'!Y175</f>
        <v>0</v>
      </c>
      <c r="Z45" s="36">
        <f>'[4]D4 Gallon Forecast'!Z175</f>
        <v>0</v>
      </c>
      <c r="AA45" s="36">
        <f>'[4]D4 Gallon Forecast'!AA175</f>
        <v>0</v>
      </c>
      <c r="AB45" s="36">
        <f>'[4]D4 Gallon Forecast'!AB175</f>
        <v>0</v>
      </c>
      <c r="AC45" s="36">
        <f>'[4]D4 Gallon Forecast'!AC175</f>
        <v>0</v>
      </c>
      <c r="AD45" s="36">
        <f>'[4]D4 Gallon Forecast'!AD175</f>
        <v>0</v>
      </c>
      <c r="AE45" s="36">
        <f>'[4]D4 Gallon Forecast'!AE175</f>
        <v>0</v>
      </c>
      <c r="AF45" s="36">
        <f>'[4]D4 Gallon Forecast'!AF175</f>
        <v>0</v>
      </c>
      <c r="AG45" s="36">
        <f>'[4]D4 Gallon Forecast'!AG175</f>
        <v>0</v>
      </c>
      <c r="AH45" s="35">
        <f>'[4]D4 Gallon Forecast'!CV175</f>
        <v>0</v>
      </c>
      <c r="AI45" s="35">
        <f>'[4]D4 Gallon Forecast'!CW175</f>
        <v>0</v>
      </c>
      <c r="AJ45" s="35">
        <f>'[4]D4 Gallon Forecast'!CX175</f>
        <v>0</v>
      </c>
      <c r="AK45" s="35">
        <f>'[4]D4 Gallon Forecast'!CY175</f>
        <v>0</v>
      </c>
      <c r="AL45" s="35">
        <f>'[4]D4 Gallon Forecast'!CZ175</f>
        <v>0</v>
      </c>
      <c r="AM45" s="35">
        <f>'[4]D4 Gallon Forecast'!DA175</f>
        <v>0</v>
      </c>
      <c r="AN45" s="35">
        <f>'[4]D4 Gallon Forecast'!DB175</f>
        <v>0</v>
      </c>
      <c r="AO45" s="35">
        <f>'[4]D4 Gallon Forecast'!DC175</f>
        <v>0</v>
      </c>
      <c r="AP45" s="35">
        <f>'[4]D4 Gallon Forecast'!DD175</f>
        <v>0</v>
      </c>
    </row>
    <row r="46" spans="1:42" x14ac:dyDescent="0.2">
      <c r="A46" s="32" t="s">
        <v>80</v>
      </c>
      <c r="B46" s="35"/>
      <c r="C46" s="35"/>
      <c r="D46" s="35"/>
      <c r="E46" s="35"/>
      <c r="F46" s="35"/>
      <c r="G46" s="35"/>
      <c r="H46" s="35"/>
      <c r="I46" s="35"/>
      <c r="J46" s="35"/>
      <c r="K46" s="35">
        <f>'[4]D4 Gallon Forecast'!K176</f>
        <v>0</v>
      </c>
      <c r="L46" s="35">
        <f>'[4]D4 Gallon Forecast'!L176</f>
        <v>0</v>
      </c>
      <c r="M46" s="35">
        <f>'[4]D4 Gallon Forecast'!M176</f>
        <v>0</v>
      </c>
      <c r="N46" s="35">
        <f>'[4]D4 Gallon Forecast'!N176</f>
        <v>22953301</v>
      </c>
      <c r="O46" s="35">
        <f>'[4]D4 Gallon Forecast'!O176</f>
        <v>57399372</v>
      </c>
      <c r="P46" s="36">
        <f>'[4]D4 Gallon Forecast'!P176</f>
        <v>53407518</v>
      </c>
      <c r="Q46" s="36">
        <f>'[4]D4 Gallon Forecast'!Q176</f>
        <v>0</v>
      </c>
      <c r="R46" s="36">
        <f>'[4]D4 Gallon Forecast'!R176</f>
        <v>0</v>
      </c>
      <c r="S46" s="36">
        <f>'[4]D4 Gallon Forecast'!S176</f>
        <v>0</v>
      </c>
      <c r="T46" s="36">
        <f>'[4]D4 Gallon Forecast'!T176</f>
        <v>0</v>
      </c>
      <c r="U46" s="36">
        <f>'[4]D4 Gallon Forecast'!U176</f>
        <v>0</v>
      </c>
      <c r="V46" s="36">
        <f>'[4]D4 Gallon Forecast'!V176</f>
        <v>0</v>
      </c>
      <c r="W46" s="36">
        <f>'[4]D4 Gallon Forecast'!W176</f>
        <v>0</v>
      </c>
      <c r="X46" s="36">
        <f>'[4]D4 Gallon Forecast'!X176</f>
        <v>0</v>
      </c>
      <c r="Y46" s="36">
        <f>'[4]D4 Gallon Forecast'!Y176</f>
        <v>0</v>
      </c>
      <c r="Z46" s="36">
        <f>'[4]D4 Gallon Forecast'!Z176</f>
        <v>0</v>
      </c>
      <c r="AA46" s="36">
        <f>'[4]D4 Gallon Forecast'!AA176</f>
        <v>0</v>
      </c>
      <c r="AB46" s="36">
        <f>'[4]D4 Gallon Forecast'!AB176</f>
        <v>0</v>
      </c>
      <c r="AC46" s="36">
        <f>'[4]D4 Gallon Forecast'!AC176</f>
        <v>0</v>
      </c>
      <c r="AD46" s="36">
        <f>'[4]D4 Gallon Forecast'!AD176</f>
        <v>0</v>
      </c>
      <c r="AE46" s="36">
        <f>'[4]D4 Gallon Forecast'!AE176</f>
        <v>0</v>
      </c>
      <c r="AF46" s="36">
        <f>'[4]D4 Gallon Forecast'!AF176</f>
        <v>0</v>
      </c>
      <c r="AG46" s="36">
        <f>'[4]D4 Gallon Forecast'!AG176</f>
        <v>0</v>
      </c>
      <c r="AH46" s="35">
        <f>'[4]D4 Gallon Forecast'!CV176</f>
        <v>0</v>
      </c>
      <c r="AI46" s="35">
        <f>'[4]D4 Gallon Forecast'!CW176</f>
        <v>0</v>
      </c>
      <c r="AJ46" s="35">
        <f>'[4]D4 Gallon Forecast'!CX176</f>
        <v>0</v>
      </c>
      <c r="AK46" s="35">
        <f>'[4]D4 Gallon Forecast'!CY176</f>
        <v>0</v>
      </c>
      <c r="AL46" s="35">
        <f>'[4]D4 Gallon Forecast'!CZ176</f>
        <v>0</v>
      </c>
      <c r="AM46" s="35">
        <f>'[4]D4 Gallon Forecast'!DA176</f>
        <v>0</v>
      </c>
      <c r="AN46" s="35">
        <f>'[4]D4 Gallon Forecast'!DB176</f>
        <v>0</v>
      </c>
      <c r="AO46" s="35">
        <f>'[4]D4 Gallon Forecast'!DC176</f>
        <v>0</v>
      </c>
      <c r="AP46" s="35">
        <f>'[4]D4 Gallon Forecast'!DD176</f>
        <v>0</v>
      </c>
    </row>
    <row r="47" spans="1:42" ht="12" thickBot="1" x14ac:dyDescent="0.25">
      <c r="A47" s="37" t="s">
        <v>58</v>
      </c>
      <c r="B47" s="38"/>
      <c r="C47" s="38"/>
      <c r="D47" s="38"/>
      <c r="E47" s="38"/>
      <c r="F47" s="38"/>
      <c r="G47" s="38"/>
      <c r="H47" s="38"/>
      <c r="I47" s="38"/>
      <c r="J47" s="38"/>
      <c r="K47" s="38">
        <f t="shared" ref="K47:AP47" si="7">SUM(K35:K46)</f>
        <v>0</v>
      </c>
      <c r="L47" s="38">
        <f t="shared" si="7"/>
        <v>1190841</v>
      </c>
      <c r="M47" s="38">
        <f t="shared" si="7"/>
        <v>713112</v>
      </c>
      <c r="N47" s="38">
        <f t="shared" si="7"/>
        <v>39146727</v>
      </c>
      <c r="O47" s="38">
        <f t="shared" si="7"/>
        <v>526588313</v>
      </c>
      <c r="P47" s="39">
        <f t="shared" si="7"/>
        <v>521976706</v>
      </c>
      <c r="Q47" s="39">
        <f t="shared" si="7"/>
        <v>110127790</v>
      </c>
      <c r="R47" s="39">
        <f t="shared" si="7"/>
        <v>0</v>
      </c>
      <c r="S47" s="39">
        <f t="shared" si="7"/>
        <v>0</v>
      </c>
      <c r="T47" s="39">
        <f t="shared" si="7"/>
        <v>0</v>
      </c>
      <c r="U47" s="39">
        <f t="shared" si="7"/>
        <v>0</v>
      </c>
      <c r="V47" s="39">
        <f t="shared" si="7"/>
        <v>0</v>
      </c>
      <c r="W47" s="39">
        <f t="shared" si="7"/>
        <v>0</v>
      </c>
      <c r="X47" s="39">
        <f t="shared" si="7"/>
        <v>0</v>
      </c>
      <c r="Y47" s="39">
        <f t="shared" si="7"/>
        <v>0</v>
      </c>
      <c r="Z47" s="39">
        <f t="shared" si="7"/>
        <v>0</v>
      </c>
      <c r="AA47" s="39">
        <f t="shared" si="7"/>
        <v>0</v>
      </c>
      <c r="AB47" s="39">
        <f t="shared" si="7"/>
        <v>0</v>
      </c>
      <c r="AC47" s="39">
        <f t="shared" si="7"/>
        <v>0</v>
      </c>
      <c r="AD47" s="39">
        <f t="shared" si="7"/>
        <v>0</v>
      </c>
      <c r="AE47" s="39">
        <f t="shared" si="7"/>
        <v>0</v>
      </c>
      <c r="AF47" s="39">
        <f t="shared" si="7"/>
        <v>0</v>
      </c>
      <c r="AG47" s="39">
        <f t="shared" si="7"/>
        <v>0</v>
      </c>
      <c r="AH47" s="38">
        <f t="shared" si="7"/>
        <v>0</v>
      </c>
      <c r="AI47" s="38">
        <f t="shared" si="7"/>
        <v>0</v>
      </c>
      <c r="AJ47" s="38">
        <f t="shared" si="7"/>
        <v>0</v>
      </c>
      <c r="AK47" s="38">
        <f t="shared" si="7"/>
        <v>0</v>
      </c>
      <c r="AL47" s="38">
        <f t="shared" si="7"/>
        <v>0</v>
      </c>
      <c r="AM47" s="38">
        <f t="shared" si="7"/>
        <v>0</v>
      </c>
      <c r="AN47" s="38">
        <f t="shared" si="7"/>
        <v>0</v>
      </c>
      <c r="AO47" s="38">
        <f t="shared" si="7"/>
        <v>0</v>
      </c>
      <c r="AP47" s="38">
        <f t="shared" si="7"/>
        <v>0</v>
      </c>
    </row>
    <row r="48" spans="1:42" ht="12" thickTop="1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4C88-560A-4C45-84AE-AA0004AFBEE6}">
  <dimension ref="A1:Z79"/>
  <sheetViews>
    <sheetView workbookViewId="0">
      <pane xSplit="2" ySplit="2" topLeftCell="J53" activePane="bottomRight" state="frozen"/>
      <selection pane="topRight" activeCell="C1" sqref="C1"/>
      <selection pane="bottomLeft" activeCell="A3" sqref="A3"/>
      <selection pane="bottomRight" activeCell="P67" sqref="P67"/>
    </sheetView>
  </sheetViews>
  <sheetFormatPr defaultColWidth="9.140625" defaultRowHeight="12.75" x14ac:dyDescent="0.2"/>
  <cols>
    <col min="1" max="2" width="9.140625" style="41"/>
    <col min="3" max="17" width="14.28515625" style="41" customWidth="1"/>
    <col min="18" max="18" width="11.140625" style="41" bestFit="1" customWidth="1"/>
    <col min="19" max="19" width="11.5703125" style="41" customWidth="1"/>
    <col min="20" max="20" width="12.7109375" style="41" bestFit="1" customWidth="1"/>
    <col min="21" max="21" width="11.7109375" style="41" customWidth="1"/>
    <col min="22" max="22" width="12.7109375" style="41" bestFit="1" customWidth="1"/>
    <col min="23" max="23" width="11.7109375" style="41" bestFit="1" customWidth="1"/>
    <col min="24" max="24" width="12.7109375" style="41" bestFit="1" customWidth="1"/>
    <col min="25" max="25" width="10.7109375" style="41" bestFit="1" customWidth="1"/>
    <col min="26" max="16384" width="9.140625" style="41"/>
  </cols>
  <sheetData>
    <row r="1" spans="2:26" ht="15" x14ac:dyDescent="0.25">
      <c r="B1" t="s">
        <v>144</v>
      </c>
    </row>
    <row r="2" spans="2:26" ht="13.5" x14ac:dyDescent="0.25">
      <c r="C2" s="41">
        <v>2011</v>
      </c>
      <c r="D2" s="41">
        <v>2012</v>
      </c>
      <c r="E2" s="41">
        <v>2013</v>
      </c>
      <c r="F2" s="41">
        <v>2014</v>
      </c>
      <c r="G2" s="41">
        <v>2015</v>
      </c>
      <c r="H2" s="41">
        <v>2016</v>
      </c>
      <c r="I2" s="41">
        <v>2017</v>
      </c>
      <c r="J2" s="41">
        <v>2018</v>
      </c>
      <c r="K2" s="41">
        <v>2019</v>
      </c>
      <c r="L2" s="41">
        <v>2020</v>
      </c>
      <c r="M2" s="41">
        <v>2021</v>
      </c>
      <c r="N2" s="41">
        <v>2022</v>
      </c>
      <c r="O2" s="41">
        <v>2023</v>
      </c>
      <c r="P2" s="41">
        <v>2024</v>
      </c>
      <c r="S2" s="42" t="s">
        <v>145</v>
      </c>
    </row>
    <row r="3" spans="2:26" x14ac:dyDescent="0.2">
      <c r="B3" s="41" t="s">
        <v>6</v>
      </c>
      <c r="C3" s="43">
        <v>35364000</v>
      </c>
      <c r="D3" s="43">
        <v>73542000</v>
      </c>
      <c r="E3" s="43">
        <v>68880000</v>
      </c>
      <c r="F3" s="43">
        <v>72534000</v>
      </c>
      <c r="G3" s="43">
        <v>72534000</v>
      </c>
      <c r="H3" s="43">
        <v>104580000</v>
      </c>
      <c r="I3" s="43">
        <v>92736000</v>
      </c>
      <c r="J3" s="43">
        <v>125538000</v>
      </c>
      <c r="K3" s="43">
        <v>143934000</v>
      </c>
      <c r="L3" s="43">
        <v>134232000</v>
      </c>
      <c r="M3" s="43">
        <v>194502000</v>
      </c>
      <c r="N3" s="43">
        <v>243558000</v>
      </c>
      <c r="O3" s="44">
        <v>327516000</v>
      </c>
      <c r="P3" s="44">
        <v>389508000</v>
      </c>
      <c r="Q3" s="44"/>
      <c r="R3" s="43">
        <f>O3-N14</f>
        <v>19194000</v>
      </c>
      <c r="S3" s="43">
        <f>O3-N3</f>
        <v>83958000</v>
      </c>
      <c r="T3" s="45">
        <f>((SUM(I3:M3)-SUM(H14:L14))/5)/AVERAGE(H14:L14)</f>
        <v>-7.8839800660731291E-2</v>
      </c>
      <c r="U3" s="45">
        <f>(N3-M14)/M14</f>
        <v>-0.12599849284099474</v>
      </c>
      <c r="V3" s="46">
        <v>391754157.70121264</v>
      </c>
      <c r="W3" s="47">
        <f>V3-P3</f>
        <v>2246157.7012126446</v>
      </c>
      <c r="Z3" s="46"/>
    </row>
    <row r="4" spans="2:26" x14ac:dyDescent="0.2">
      <c r="B4" s="41" t="s">
        <v>7</v>
      </c>
      <c r="C4" s="43">
        <v>40362000</v>
      </c>
      <c r="D4" s="43">
        <v>79254000</v>
      </c>
      <c r="E4" s="43">
        <v>70224000</v>
      </c>
      <c r="F4" s="43">
        <v>75642000</v>
      </c>
      <c r="G4" s="43">
        <v>77742000</v>
      </c>
      <c r="H4" s="43">
        <v>105168000</v>
      </c>
      <c r="I4" s="43">
        <v>93996000</v>
      </c>
      <c r="J4" s="43">
        <v>127932000</v>
      </c>
      <c r="K4" s="43">
        <v>130536000</v>
      </c>
      <c r="L4" s="43">
        <v>131838000</v>
      </c>
      <c r="M4" s="44">
        <v>156828000</v>
      </c>
      <c r="N4" s="44">
        <v>223272000</v>
      </c>
      <c r="O4" s="44">
        <v>298032000</v>
      </c>
      <c r="P4" s="48">
        <f>P20*(SUM(F4:O4)/SUM(F20:O20))+50000000</f>
        <v>397689653.80190063</v>
      </c>
      <c r="Q4" s="44"/>
      <c r="R4" s="43">
        <f>O4-O3</f>
        <v>-29484000</v>
      </c>
      <c r="S4" s="43">
        <f t="shared" ref="S4:S14" si="0">O4-N4</f>
        <v>74760000</v>
      </c>
      <c r="T4" s="45">
        <f>((SUM(I4:M4)-SUM(I3:M3))/5)/AVERAGE(I3:M3)</f>
        <v>-7.2092881891678312E-2</v>
      </c>
      <c r="U4" s="45">
        <f>(N4-N3)/N3</f>
        <v>-8.3290222452146928E-2</v>
      </c>
      <c r="V4" s="46">
        <v>342783719.62192166</v>
      </c>
      <c r="W4" s="47">
        <f t="shared" ref="W4:W15" si="1">V4-P4</f>
        <v>-54905934.179978967</v>
      </c>
      <c r="X4" s="44"/>
      <c r="Y4" s="43"/>
      <c r="Z4" s="46"/>
    </row>
    <row r="5" spans="2:26" x14ac:dyDescent="0.2">
      <c r="B5" s="41" t="s">
        <v>8</v>
      </c>
      <c r="C5" s="43">
        <v>59598000</v>
      </c>
      <c r="D5" s="43">
        <v>94542000</v>
      </c>
      <c r="E5" s="43">
        <v>101304000</v>
      </c>
      <c r="F5" s="43">
        <v>99162000</v>
      </c>
      <c r="G5" s="43">
        <v>97692000</v>
      </c>
      <c r="H5" s="43">
        <v>120162000</v>
      </c>
      <c r="I5" s="43">
        <v>115962000</v>
      </c>
      <c r="J5" s="43">
        <v>149142000</v>
      </c>
      <c r="K5" s="43">
        <v>140826000</v>
      </c>
      <c r="L5" s="43">
        <v>150948000</v>
      </c>
      <c r="M5" s="44">
        <v>201012000</v>
      </c>
      <c r="N5" s="44">
        <v>253596000</v>
      </c>
      <c r="O5" s="44">
        <v>362670000</v>
      </c>
      <c r="P5" s="48">
        <f>P21*(SUM(F5:O5)/SUM(F21:O21))+50000000</f>
        <v>376618687.74207222</v>
      </c>
      <c r="Q5" s="44"/>
      <c r="R5" s="43">
        <f t="shared" ref="R5:R14" si="2">O5-O4</f>
        <v>64638000</v>
      </c>
      <c r="S5" s="43">
        <f t="shared" si="0"/>
        <v>109074000</v>
      </c>
      <c r="T5" s="45">
        <f t="shared" ref="T5:T14" si="3">((SUM(I5:M5)-SUM(I4:M4))/5)/AVERAGE(I4:M4)</f>
        <v>0.18211595152309204</v>
      </c>
      <c r="U5" s="45">
        <f t="shared" ref="U5:U14" si="4">(N5-N4)/N4</f>
        <v>0.13581640331075998</v>
      </c>
      <c r="V5" s="46">
        <v>389765136.22361338</v>
      </c>
      <c r="W5" s="47">
        <f t="shared" si="1"/>
        <v>13146448.481541157</v>
      </c>
      <c r="X5" s="44"/>
      <c r="Y5" s="43"/>
      <c r="Z5" s="46"/>
    </row>
    <row r="6" spans="2:26" x14ac:dyDescent="0.2">
      <c r="B6" s="41" t="s">
        <v>9</v>
      </c>
      <c r="C6" s="43">
        <v>71064000</v>
      </c>
      <c r="D6" s="43">
        <v>93954000</v>
      </c>
      <c r="E6" s="43">
        <v>107016000</v>
      </c>
      <c r="F6" s="43">
        <v>93366000</v>
      </c>
      <c r="G6" s="43">
        <v>107856000</v>
      </c>
      <c r="H6" s="43">
        <v>119952000</v>
      </c>
      <c r="I6" s="43">
        <v>126840000</v>
      </c>
      <c r="J6" s="43">
        <v>142506000</v>
      </c>
      <c r="K6" s="43">
        <v>152166000</v>
      </c>
      <c r="L6" s="43">
        <v>143724000</v>
      </c>
      <c r="M6" s="44">
        <v>191310000</v>
      </c>
      <c r="N6" s="44">
        <v>259854000</v>
      </c>
      <c r="O6" s="44">
        <v>352632000</v>
      </c>
      <c r="P6" s="48">
        <f>P22*(SUM(F6:O6)/SUM(F22:O22))+50000000</f>
        <v>434332891.53014255</v>
      </c>
      <c r="Q6" s="44"/>
      <c r="R6" s="43">
        <f t="shared" si="2"/>
        <v>-10038000</v>
      </c>
      <c r="S6" s="43">
        <f t="shared" si="0"/>
        <v>92778000</v>
      </c>
      <c r="T6" s="45">
        <f t="shared" si="3"/>
        <v>-1.7733444167359379E-3</v>
      </c>
      <c r="U6" s="45">
        <f t="shared" si="4"/>
        <v>2.4677045379264656E-2</v>
      </c>
      <c r="V6" s="46">
        <v>385125441.70445538</v>
      </c>
      <c r="W6" s="47">
        <f t="shared" si="1"/>
        <v>-49207449.82568717</v>
      </c>
      <c r="X6" s="44"/>
      <c r="Y6" s="43"/>
      <c r="Z6" s="46"/>
    </row>
    <row r="7" spans="2:26" x14ac:dyDescent="0.2">
      <c r="B7" s="41" t="s">
        <v>10</v>
      </c>
      <c r="C7" s="43">
        <v>77196000</v>
      </c>
      <c r="D7" s="43">
        <v>101976000</v>
      </c>
      <c r="E7" s="43">
        <v>111090000</v>
      </c>
      <c r="F7" s="43">
        <v>106302000</v>
      </c>
      <c r="G7" s="43">
        <v>116928000</v>
      </c>
      <c r="H7" s="43">
        <v>135324000</v>
      </c>
      <c r="I7" s="43">
        <v>136164000</v>
      </c>
      <c r="J7" s="43">
        <v>151326000</v>
      </c>
      <c r="K7" s="43">
        <v>154602000</v>
      </c>
      <c r="L7" s="43">
        <v>152460000</v>
      </c>
      <c r="M7" s="44">
        <v>217014000</v>
      </c>
      <c r="N7" s="44">
        <v>276360000</v>
      </c>
      <c r="O7" s="44">
        <v>405888000</v>
      </c>
      <c r="P7" s="48">
        <f>P23*(SUM(F7:O7)/SUM(F23:O23))+75000000</f>
        <v>402620227.60888451</v>
      </c>
      <c r="Q7" s="48"/>
      <c r="R7" s="43">
        <f t="shared" si="2"/>
        <v>53256000</v>
      </c>
      <c r="S7" s="43">
        <f t="shared" si="0"/>
        <v>129528000</v>
      </c>
      <c r="T7" s="45">
        <f t="shared" si="3"/>
        <v>7.2725253983234331E-2</v>
      </c>
      <c r="U7" s="45">
        <f t="shared" si="4"/>
        <v>6.3520284467431715E-2</v>
      </c>
      <c r="V7" s="46">
        <v>422142659.44726664</v>
      </c>
      <c r="W7" s="47">
        <f t="shared" si="1"/>
        <v>19522431.838382125</v>
      </c>
      <c r="X7" s="44"/>
      <c r="Y7" s="43"/>
      <c r="Z7" s="46"/>
    </row>
    <row r="8" spans="2:26" x14ac:dyDescent="0.2">
      <c r="B8" s="41" t="s">
        <v>11</v>
      </c>
      <c r="C8" s="43">
        <v>81396000</v>
      </c>
      <c r="D8" s="43">
        <v>93366000</v>
      </c>
      <c r="E8" s="43">
        <v>113358000</v>
      </c>
      <c r="F8" s="43">
        <v>111090000</v>
      </c>
      <c r="G8" s="43">
        <v>121842000</v>
      </c>
      <c r="H8" s="43">
        <v>134610000</v>
      </c>
      <c r="I8" s="43">
        <v>140448000</v>
      </c>
      <c r="J8" s="43">
        <v>158886000</v>
      </c>
      <c r="K8" s="43">
        <v>141540000</v>
      </c>
      <c r="L8" s="43">
        <v>150780000</v>
      </c>
      <c r="M8" s="44">
        <v>195174000</v>
      </c>
      <c r="N8" s="44">
        <v>276276000</v>
      </c>
      <c r="O8" s="44">
        <v>408828000</v>
      </c>
      <c r="P8" s="48">
        <f>P24*(SUM(F8:O8)/SUM(F24:O24))+100000000</f>
        <v>479979154.9009518</v>
      </c>
      <c r="Q8" s="48"/>
      <c r="R8" s="43">
        <f t="shared" si="2"/>
        <v>2940000</v>
      </c>
      <c r="S8" s="43">
        <f t="shared" si="0"/>
        <v>132552000</v>
      </c>
      <c r="T8" s="45">
        <f t="shared" si="3"/>
        <v>-3.0481809242871191E-2</v>
      </c>
      <c r="U8" s="45">
        <f t="shared" si="4"/>
        <v>-3.0395136778115504E-4</v>
      </c>
      <c r="V8" s="46">
        <v>426281628.6452955</v>
      </c>
      <c r="W8" s="47">
        <f t="shared" si="1"/>
        <v>-53697526.255656302</v>
      </c>
      <c r="X8" s="44"/>
      <c r="Y8" s="43"/>
      <c r="Z8" s="46"/>
    </row>
    <row r="9" spans="2:26" x14ac:dyDescent="0.2">
      <c r="B9" s="41" t="s">
        <v>12</v>
      </c>
      <c r="C9" s="43">
        <v>91686000</v>
      </c>
      <c r="D9" s="43">
        <v>89334000</v>
      </c>
      <c r="E9" s="43">
        <v>129024000</v>
      </c>
      <c r="F9" s="43">
        <v>122892000</v>
      </c>
      <c r="G9" s="43">
        <v>121086000</v>
      </c>
      <c r="H9" s="43">
        <v>139902000</v>
      </c>
      <c r="I9" s="43">
        <v>149520000</v>
      </c>
      <c r="J9" s="43">
        <v>166320000</v>
      </c>
      <c r="K9" s="43">
        <v>158592000</v>
      </c>
      <c r="L9" s="43">
        <v>161658000</v>
      </c>
      <c r="M9" s="44">
        <v>217014000</v>
      </c>
      <c r="N9" s="44">
        <v>294042000</v>
      </c>
      <c r="O9" s="44">
        <v>385392000</v>
      </c>
      <c r="P9" s="48">
        <f>P25*(SUM(F9:O9)/SUM(F25:O25))+75000000</f>
        <v>493586394.42956722</v>
      </c>
      <c r="Q9" s="48"/>
      <c r="R9" s="43">
        <f t="shared" si="2"/>
        <v>-23436000</v>
      </c>
      <c r="S9" s="43">
        <f t="shared" si="0"/>
        <v>91350000</v>
      </c>
      <c r="T9" s="45">
        <f t="shared" si="3"/>
        <v>8.4231877869114985E-2</v>
      </c>
      <c r="U9" s="45">
        <f t="shared" si="4"/>
        <v>6.4305259957433872E-2</v>
      </c>
      <c r="V9" s="46">
        <v>439712275.41514719</v>
      </c>
      <c r="W9" s="47">
        <f t="shared" si="1"/>
        <v>-53874119.014420033</v>
      </c>
      <c r="X9" s="44"/>
      <c r="Y9" s="43"/>
      <c r="Z9" s="46"/>
    </row>
    <row r="10" spans="2:26" x14ac:dyDescent="0.2">
      <c r="B10" s="41" t="s">
        <v>13</v>
      </c>
      <c r="C10" s="43">
        <v>95466000</v>
      </c>
      <c r="D10" s="43">
        <v>91392000</v>
      </c>
      <c r="E10" s="43">
        <v>129612000</v>
      </c>
      <c r="F10" s="43">
        <v>125454000</v>
      </c>
      <c r="G10" s="43">
        <v>123186000</v>
      </c>
      <c r="H10" s="43">
        <v>142170000</v>
      </c>
      <c r="I10" s="43">
        <v>149478000</v>
      </c>
      <c r="J10" s="43">
        <v>172284000</v>
      </c>
      <c r="K10" s="43">
        <v>155904000</v>
      </c>
      <c r="L10" s="43">
        <v>162624000</v>
      </c>
      <c r="M10" s="44">
        <v>216006000</v>
      </c>
      <c r="N10" s="44">
        <v>283542000</v>
      </c>
      <c r="O10" s="44">
        <v>410592000</v>
      </c>
      <c r="P10" s="48">
        <f>P26*(SUM(F10:O10)/SUM(F26:O26))+75000000</f>
        <v>438881819.0669089</v>
      </c>
      <c r="Q10" s="48"/>
      <c r="R10" s="43">
        <f t="shared" si="2"/>
        <v>25200000</v>
      </c>
      <c r="S10" s="43">
        <f t="shared" si="0"/>
        <v>127050000</v>
      </c>
      <c r="T10" s="45">
        <f t="shared" si="3"/>
        <v>3.7416305632138637E-3</v>
      </c>
      <c r="U10" s="45">
        <f t="shared" si="4"/>
        <v>-3.5709184402228256E-2</v>
      </c>
      <c r="V10" s="46">
        <v>435205495.46169037</v>
      </c>
      <c r="W10" s="47">
        <f t="shared" si="1"/>
        <v>-3676323.6052185297</v>
      </c>
      <c r="X10" s="44"/>
      <c r="Y10" s="43"/>
      <c r="Z10" s="46"/>
    </row>
    <row r="11" spans="2:26" x14ac:dyDescent="0.2">
      <c r="B11" s="41" t="s">
        <v>14</v>
      </c>
      <c r="C11" s="43">
        <v>95928000</v>
      </c>
      <c r="D11" s="43">
        <v>81858000</v>
      </c>
      <c r="E11" s="43">
        <v>127050000</v>
      </c>
      <c r="F11" s="43">
        <v>115668000</v>
      </c>
      <c r="G11" s="43">
        <v>104118000</v>
      </c>
      <c r="H11" s="43">
        <v>134652000</v>
      </c>
      <c r="I11" s="43">
        <v>147294000</v>
      </c>
      <c r="J11" s="43">
        <v>164388000</v>
      </c>
      <c r="K11" s="43">
        <v>141834000</v>
      </c>
      <c r="L11" s="43">
        <v>159180000</v>
      </c>
      <c r="M11" s="44">
        <v>182406000</v>
      </c>
      <c r="N11" s="44">
        <v>294252000</v>
      </c>
      <c r="O11" s="44">
        <v>420294000</v>
      </c>
      <c r="P11" s="48">
        <f>P27*(SUM(F11:O11)/SUM(F27:O27))+75000000</f>
        <v>435147430.52722788</v>
      </c>
      <c r="Q11" s="48"/>
      <c r="R11" s="43">
        <f t="shared" si="2"/>
        <v>9702000</v>
      </c>
      <c r="S11" s="43">
        <f t="shared" si="0"/>
        <v>126042000</v>
      </c>
      <c r="T11" s="45">
        <f t="shared" si="3"/>
        <v>-7.1463606042770259E-2</v>
      </c>
      <c r="U11" s="45">
        <f t="shared" si="4"/>
        <v>3.7772181898977929E-2</v>
      </c>
      <c r="V11" s="46">
        <v>439138278.87949401</v>
      </c>
      <c r="W11" s="47">
        <f t="shared" si="1"/>
        <v>3990848.3522661328</v>
      </c>
      <c r="X11" s="44"/>
      <c r="Y11" s="43"/>
      <c r="Z11" s="46"/>
    </row>
    <row r="12" spans="2:26" x14ac:dyDescent="0.2">
      <c r="B12" s="41" t="s">
        <v>15</v>
      </c>
      <c r="C12" s="43">
        <v>105336000</v>
      </c>
      <c r="D12" s="43">
        <v>75264000</v>
      </c>
      <c r="E12" s="43">
        <v>137424000</v>
      </c>
      <c r="F12" s="43">
        <v>122976000</v>
      </c>
      <c r="G12" s="43">
        <v>106470000</v>
      </c>
      <c r="H12" s="43">
        <v>144186000</v>
      </c>
      <c r="I12" s="43">
        <v>147630000</v>
      </c>
      <c r="J12" s="43">
        <v>170940000</v>
      </c>
      <c r="K12" s="43">
        <v>144312000</v>
      </c>
      <c r="L12" s="43">
        <v>157206000</v>
      </c>
      <c r="M12" s="44">
        <v>239064000</v>
      </c>
      <c r="N12" s="44">
        <v>286860000</v>
      </c>
      <c r="O12" s="44">
        <v>387534000</v>
      </c>
      <c r="P12" s="48">
        <f>P28*(SUM(F12:O12)/SUM(F28:O28))+55000000</f>
        <v>472356098.04337651</v>
      </c>
      <c r="Q12" s="48"/>
      <c r="R12" s="43">
        <f t="shared" si="2"/>
        <v>-32760000</v>
      </c>
      <c r="S12" s="43">
        <f t="shared" si="0"/>
        <v>100674000</v>
      </c>
      <c r="T12" s="45">
        <f t="shared" si="3"/>
        <v>8.0555702287253714E-2</v>
      </c>
      <c r="U12" s="45">
        <f t="shared" si="4"/>
        <v>-2.5121324578932343E-2</v>
      </c>
      <c r="V12" s="46">
        <v>451160512.46397597</v>
      </c>
      <c r="W12" s="47">
        <f t="shared" si="1"/>
        <v>-21195585.579400539</v>
      </c>
      <c r="X12" s="44"/>
      <c r="Y12" s="43"/>
      <c r="Z12" s="46"/>
    </row>
    <row r="13" spans="2:26" x14ac:dyDescent="0.2">
      <c r="B13" s="41" t="s">
        <v>16</v>
      </c>
      <c r="C13" s="43">
        <v>104748000</v>
      </c>
      <c r="D13" s="43">
        <v>57246000</v>
      </c>
      <c r="E13" s="43">
        <v>129360000</v>
      </c>
      <c r="F13" s="43">
        <v>109620000</v>
      </c>
      <c r="G13" s="43">
        <v>105882000</v>
      </c>
      <c r="H13" s="43">
        <v>143136000</v>
      </c>
      <c r="I13" s="43">
        <v>147966000</v>
      </c>
      <c r="J13" s="43">
        <v>160272000</v>
      </c>
      <c r="K13" s="43">
        <v>127428000</v>
      </c>
      <c r="L13" s="43">
        <v>152082000</v>
      </c>
      <c r="M13" s="44">
        <v>245322000</v>
      </c>
      <c r="N13" s="44">
        <v>305886000</v>
      </c>
      <c r="O13" s="44">
        <v>384048000</v>
      </c>
      <c r="P13" s="48">
        <f>P29*(SUM(F13:O13)/SUM(F29:O29))+65000000</f>
        <v>435778910.19441956</v>
      </c>
      <c r="Q13" s="48"/>
      <c r="R13" s="43">
        <f t="shared" si="2"/>
        <v>-3486000</v>
      </c>
      <c r="S13" s="43">
        <f t="shared" si="0"/>
        <v>78162000</v>
      </c>
      <c r="T13" s="45">
        <f t="shared" si="3"/>
        <v>-3.0357841220179899E-2</v>
      </c>
      <c r="U13" s="45">
        <f t="shared" si="4"/>
        <v>6.6325036603221088E-2</v>
      </c>
      <c r="V13" s="46">
        <v>429956023.74411553</v>
      </c>
      <c r="W13" s="47">
        <f t="shared" si="1"/>
        <v>-5822886.4503040314</v>
      </c>
      <c r="X13" s="44"/>
      <c r="Y13" s="43"/>
      <c r="Z13" s="46"/>
    </row>
    <row r="14" spans="2:26" x14ac:dyDescent="0.2">
      <c r="B14" s="41" t="s">
        <v>17</v>
      </c>
      <c r="C14" s="43">
        <v>109368000</v>
      </c>
      <c r="D14" s="43">
        <v>59052000</v>
      </c>
      <c r="E14" s="43">
        <v>135114000</v>
      </c>
      <c r="F14" s="43">
        <v>124236000</v>
      </c>
      <c r="G14" s="43">
        <v>108066000</v>
      </c>
      <c r="H14" s="43">
        <v>143850000</v>
      </c>
      <c r="I14" s="43">
        <v>147630000</v>
      </c>
      <c r="J14" s="43">
        <v>167790000</v>
      </c>
      <c r="K14" s="43">
        <v>132846000</v>
      </c>
      <c r="L14" s="43">
        <v>157962000</v>
      </c>
      <c r="M14" s="44">
        <v>278670000</v>
      </c>
      <c r="N14" s="44">
        <v>308322000</v>
      </c>
      <c r="O14" s="44">
        <v>437976000</v>
      </c>
      <c r="P14" s="48">
        <f>P30*(SUM(F14:O14)/SUM(F30:O30))+150000000</f>
        <v>565277688.66034234</v>
      </c>
      <c r="Q14" s="48"/>
      <c r="R14" s="43">
        <f t="shared" si="2"/>
        <v>53928000</v>
      </c>
      <c r="S14" s="43">
        <f t="shared" si="0"/>
        <v>129654000</v>
      </c>
      <c r="T14" s="45">
        <f t="shared" si="3"/>
        <v>6.2213259389967232E-2</v>
      </c>
      <c r="U14" s="45">
        <f t="shared" si="4"/>
        <v>7.9637512014279835E-3</v>
      </c>
      <c r="V14" s="46">
        <v>422473933.73680478</v>
      </c>
      <c r="W14" s="47">
        <f t="shared" si="1"/>
        <v>-142803754.92353755</v>
      </c>
      <c r="X14" s="44"/>
      <c r="Y14" s="43"/>
      <c r="Z14" s="46"/>
    </row>
    <row r="15" spans="2:26" x14ac:dyDescent="0.2">
      <c r="B15" s="41" t="s">
        <v>18</v>
      </c>
      <c r="C15" s="43">
        <f t="shared" ref="C15:O15" si="5">SUM(C3:C14)</f>
        <v>967512000</v>
      </c>
      <c r="D15" s="43">
        <f t="shared" si="5"/>
        <v>990780000</v>
      </c>
      <c r="E15" s="43">
        <f t="shared" si="5"/>
        <v>1359456000</v>
      </c>
      <c r="F15" s="43">
        <f t="shared" si="5"/>
        <v>1278942000</v>
      </c>
      <c r="G15" s="43">
        <f t="shared" si="5"/>
        <v>1263402000</v>
      </c>
      <c r="H15" s="43">
        <f t="shared" si="5"/>
        <v>1567692000</v>
      </c>
      <c r="I15" s="43">
        <f t="shared" si="5"/>
        <v>1595664000</v>
      </c>
      <c r="J15" s="43">
        <f t="shared" si="5"/>
        <v>1857324000</v>
      </c>
      <c r="K15" s="43">
        <f t="shared" si="5"/>
        <v>1724520000</v>
      </c>
      <c r="L15" s="43">
        <f t="shared" si="5"/>
        <v>1814694000</v>
      </c>
      <c r="M15" s="43">
        <f t="shared" si="5"/>
        <v>2534322000</v>
      </c>
      <c r="N15" s="43">
        <f t="shared" si="5"/>
        <v>3305820000</v>
      </c>
      <c r="O15" s="43">
        <f t="shared" si="5"/>
        <v>4581402000</v>
      </c>
      <c r="P15" s="49">
        <f>SUM(P3:P14)</f>
        <v>5321776956.5057945</v>
      </c>
      <c r="Q15" s="49"/>
      <c r="V15" s="49">
        <v>4975499263.0449934</v>
      </c>
      <c r="W15" s="47">
        <f t="shared" si="1"/>
        <v>-346277693.46080112</v>
      </c>
      <c r="X15" s="44"/>
      <c r="Y15" s="43"/>
    </row>
    <row r="16" spans="2:26" x14ac:dyDescent="0.2">
      <c r="M16" s="43">
        <f>M15-L15</f>
        <v>719628000</v>
      </c>
      <c r="N16" s="43">
        <f>N15-M15</f>
        <v>771498000</v>
      </c>
      <c r="O16" s="43">
        <f>O15-N15</f>
        <v>1275582000</v>
      </c>
      <c r="P16" s="43">
        <f>P15-O15</f>
        <v>740374956.50579453</v>
      </c>
      <c r="Q16" s="43"/>
    </row>
    <row r="17" spans="2:20" x14ac:dyDescent="0.2">
      <c r="B17" s="41" t="s">
        <v>146</v>
      </c>
      <c r="C17" s="43"/>
      <c r="D17" s="43">
        <f t="shared" ref="D17:N17" si="6">D3-C14</f>
        <v>-35826000</v>
      </c>
      <c r="E17" s="43">
        <f t="shared" si="6"/>
        <v>9828000</v>
      </c>
      <c r="F17" s="43">
        <f t="shared" si="6"/>
        <v>-62580000</v>
      </c>
      <c r="G17" s="43">
        <f t="shared" si="6"/>
        <v>-51702000</v>
      </c>
      <c r="H17" s="43">
        <f t="shared" si="6"/>
        <v>-3486000</v>
      </c>
      <c r="I17" s="43">
        <f t="shared" si="6"/>
        <v>-51114000</v>
      </c>
      <c r="J17" s="43">
        <f t="shared" si="6"/>
        <v>-22092000</v>
      </c>
      <c r="K17" s="43">
        <f t="shared" si="6"/>
        <v>-23856000</v>
      </c>
      <c r="L17" s="43">
        <f t="shared" si="6"/>
        <v>1386000</v>
      </c>
      <c r="M17" s="43">
        <f t="shared" si="6"/>
        <v>36540000</v>
      </c>
      <c r="N17" s="43">
        <f t="shared" si="6"/>
        <v>-35112000</v>
      </c>
      <c r="O17" s="43">
        <f>O3-N14</f>
        <v>19194000</v>
      </c>
      <c r="P17" s="43">
        <f>P3-O14</f>
        <v>-48468000</v>
      </c>
      <c r="Q17" s="43"/>
    </row>
    <row r="18" spans="2:20" x14ac:dyDescent="0.2">
      <c r="C18" s="41">
        <v>2011</v>
      </c>
      <c r="D18" s="41">
        <v>2012</v>
      </c>
      <c r="E18" s="41">
        <v>2013</v>
      </c>
      <c r="F18" s="41">
        <v>2014</v>
      </c>
      <c r="G18" s="41">
        <v>2015</v>
      </c>
      <c r="H18" s="41">
        <f t="shared" ref="H18:M18" si="7">H2</f>
        <v>2016</v>
      </c>
      <c r="I18" s="41">
        <f t="shared" si="7"/>
        <v>2017</v>
      </c>
      <c r="J18" s="41">
        <f t="shared" si="7"/>
        <v>2018</v>
      </c>
      <c r="K18" s="41">
        <f t="shared" si="7"/>
        <v>2019</v>
      </c>
      <c r="L18" s="41">
        <f t="shared" si="7"/>
        <v>2020</v>
      </c>
      <c r="M18" s="41">
        <f t="shared" si="7"/>
        <v>2021</v>
      </c>
      <c r="N18" s="41">
        <f>N2</f>
        <v>2022</v>
      </c>
      <c r="O18" s="41">
        <f>O2</f>
        <v>2023</v>
      </c>
      <c r="P18" s="41">
        <f>P2</f>
        <v>2024</v>
      </c>
      <c r="T18" s="43">
        <f>SUM(N3:N10)-SUM(M3:M10)</f>
        <v>521640000</v>
      </c>
    </row>
    <row r="19" spans="2:20" x14ac:dyDescent="0.2">
      <c r="B19" s="41" t="s">
        <v>6</v>
      </c>
      <c r="C19" s="47">
        <f>'Renewable Diesel'!C49+Biodiesel!C3</f>
        <v>37305482</v>
      </c>
      <c r="D19" s="47">
        <f>'Renewable Diesel'!D49+Biodiesel!D3</f>
        <v>64335094</v>
      </c>
      <c r="E19" s="47">
        <f>'Renewable Diesel'!E49+Biodiesel!E3</f>
        <v>72436563</v>
      </c>
      <c r="F19" s="47">
        <f>'Renewable Diesel'!F49+Biodiesel!F3</f>
        <v>67024356</v>
      </c>
      <c r="G19" s="47">
        <f>'Renewable Diesel'!G49+Biodiesel!G3</f>
        <v>73384532</v>
      </c>
      <c r="H19" s="47">
        <f>'Renewable Diesel'!H49+Biodiesel!H3</f>
        <v>97318215</v>
      </c>
      <c r="I19" s="47">
        <f>'Renewable Diesel'!I49+Biodiesel!I3</f>
        <v>84496710</v>
      </c>
      <c r="J19" s="47">
        <f>'Renewable Diesel'!J49+Biodiesel!J3</f>
        <v>124176708</v>
      </c>
      <c r="K19" s="47">
        <f>'Renewable Diesel'!K49+Biodiesel!K3</f>
        <v>144155998</v>
      </c>
      <c r="L19" s="47">
        <f>'Renewable Diesel'!L49+Biodiesel!L3</f>
        <v>160261309</v>
      </c>
      <c r="M19" s="47">
        <f>'Renewable Diesel'!M49+Biodiesel!M3</f>
        <v>157677215</v>
      </c>
      <c r="N19" s="47">
        <f>'Renewable Diesel'!N49+Biodiesel!N3</f>
        <v>177725259</v>
      </c>
      <c r="O19" s="47">
        <f>'Renewable Diesel'!O49+Biodiesel!O3</f>
        <v>267826684</v>
      </c>
      <c r="P19" s="47">
        <f>'Renewable Diesel'!P49+Biodiesel!P3</f>
        <v>350925936</v>
      </c>
      <c r="Q19" s="47"/>
      <c r="T19" s="41">
        <f>T18/SUM(M3:M10)</f>
        <v>0.32831086439333862</v>
      </c>
    </row>
    <row r="20" spans="2:20" x14ac:dyDescent="0.2">
      <c r="B20" s="41" t="s">
        <v>7</v>
      </c>
      <c r="C20" s="47">
        <f>'Renewable Diesel'!C50+Biodiesel!C4</f>
        <v>42498040</v>
      </c>
      <c r="D20" s="47">
        <f>'Renewable Diesel'!D50+Biodiesel!D4</f>
        <v>75700261</v>
      </c>
      <c r="E20" s="47">
        <f>'Renewable Diesel'!E50+Biodiesel!E4</f>
        <v>75804191</v>
      </c>
      <c r="F20" s="47">
        <f>'Renewable Diesel'!F50+Biodiesel!F4</f>
        <v>82152505</v>
      </c>
      <c r="G20" s="47">
        <f>'Renewable Diesel'!G50+Biodiesel!G4</f>
        <v>76316532</v>
      </c>
      <c r="H20" s="47">
        <f>'Renewable Diesel'!H50+Biodiesel!H4</f>
        <v>107754563</v>
      </c>
      <c r="I20" s="47">
        <f>'Renewable Diesel'!I50+Biodiesel!I4</f>
        <v>99518882</v>
      </c>
      <c r="J20" s="47">
        <f>'Renewable Diesel'!J50+Biodiesel!J4</f>
        <v>137141084</v>
      </c>
      <c r="K20" s="47">
        <f>'Renewable Diesel'!K50+Biodiesel!K4</f>
        <v>157504153</v>
      </c>
      <c r="L20" s="47">
        <f>'Renewable Diesel'!L50+Biodiesel!L4</f>
        <v>165333669</v>
      </c>
      <c r="M20" s="47">
        <f>'Renewable Diesel'!M50+Biodiesel!M4</f>
        <v>161056760</v>
      </c>
      <c r="N20" s="47">
        <f>'Renewable Diesel'!N50+Biodiesel!N4</f>
        <v>211839141</v>
      </c>
      <c r="O20" s="47">
        <f>'Renewable Diesel'!O50+Biodiesel!O4</f>
        <v>255812966</v>
      </c>
      <c r="P20" s="50">
        <f>'Renewable Diesel'!P50+Biodiesel!P4</f>
        <v>355872860</v>
      </c>
      <c r="Q20" s="47"/>
    </row>
    <row r="21" spans="2:20" x14ac:dyDescent="0.2">
      <c r="B21" s="41" t="s">
        <v>8</v>
      </c>
      <c r="C21" s="47">
        <f>'Renewable Diesel'!C51+Biodiesel!C5</f>
        <v>66495947</v>
      </c>
      <c r="D21" s="47">
        <f>'Renewable Diesel'!D51+Biodiesel!D5</f>
        <v>100507707</v>
      </c>
      <c r="E21" s="47">
        <f>'Renewable Diesel'!E51+Biodiesel!E5</f>
        <v>102906828</v>
      </c>
      <c r="F21" s="47">
        <f>'Renewable Diesel'!F51+Biodiesel!F5</f>
        <v>105766600</v>
      </c>
      <c r="G21" s="47">
        <f>'Renewable Diesel'!G51+Biodiesel!G5</f>
        <v>108482968</v>
      </c>
      <c r="H21" s="47">
        <f>'Renewable Diesel'!H51+Biodiesel!H5</f>
        <v>144502248</v>
      </c>
      <c r="I21" s="47">
        <f>'Renewable Diesel'!I51+Biodiesel!I5</f>
        <v>127353306</v>
      </c>
      <c r="J21" s="47">
        <f>'Renewable Diesel'!J51+Biodiesel!J5</f>
        <v>170264731</v>
      </c>
      <c r="K21" s="47">
        <f>'Renewable Diesel'!K51+Biodiesel!K5</f>
        <v>183401081</v>
      </c>
      <c r="L21" s="47">
        <f>'Renewable Diesel'!L51+Biodiesel!L5</f>
        <v>195319463</v>
      </c>
      <c r="M21" s="47">
        <f>'Renewable Diesel'!M51+Biodiesel!M5</f>
        <v>209560964</v>
      </c>
      <c r="N21" s="47">
        <f>'Renewable Diesel'!N51+Biodiesel!N5</f>
        <v>245925397</v>
      </c>
      <c r="O21" s="47">
        <f>'Renewable Diesel'!O51+Biodiesel!O5</f>
        <v>315065110</v>
      </c>
      <c r="P21" s="50">
        <f>'Renewable Diesel'!P51+Biodiesel!P5</f>
        <v>348726432</v>
      </c>
      <c r="Q21" s="47"/>
    </row>
    <row r="22" spans="2:20" x14ac:dyDescent="0.2">
      <c r="B22" s="41" t="s">
        <v>9</v>
      </c>
      <c r="C22" s="47">
        <f>'Renewable Diesel'!C52+Biodiesel!C6</f>
        <v>72393305</v>
      </c>
      <c r="D22" s="47">
        <f>'Renewable Diesel'!D52+Biodiesel!D6</f>
        <v>96133947</v>
      </c>
      <c r="E22" s="47">
        <f>'Renewable Diesel'!E52+Biodiesel!E6</f>
        <v>112634491</v>
      </c>
      <c r="F22" s="47">
        <f>'Renewable Diesel'!F52+Biodiesel!F6</f>
        <v>117026801</v>
      </c>
      <c r="G22" s="47">
        <f>'Renewable Diesel'!G52+Biodiesel!G6</f>
        <v>122225366</v>
      </c>
      <c r="H22" s="47">
        <f>'Renewable Diesel'!H52+Biodiesel!H6</f>
        <v>147522539</v>
      </c>
      <c r="I22" s="47">
        <f>'Renewable Diesel'!I52+Biodiesel!I6</f>
        <v>144727366</v>
      </c>
      <c r="J22" s="47">
        <f>'Renewable Diesel'!J52+Biodiesel!J6</f>
        <v>170388657</v>
      </c>
      <c r="K22" s="47">
        <f>'Renewable Diesel'!K52+Biodiesel!K6</f>
        <v>199457168</v>
      </c>
      <c r="L22" s="47">
        <f>'Renewable Diesel'!L52+Biodiesel!L6</f>
        <v>187994982</v>
      </c>
      <c r="M22" s="47">
        <f>'Renewable Diesel'!M52+Biodiesel!M6</f>
        <v>195030927</v>
      </c>
      <c r="N22" s="47">
        <f>'Renewable Diesel'!N52+Biodiesel!N6</f>
        <v>250767044</v>
      </c>
      <c r="O22" s="47">
        <f>'Renewable Diesel'!O52+Biodiesel!O6</f>
        <v>308243060</v>
      </c>
      <c r="P22" s="50">
        <f>'Renewable Diesel'!P52+Biodiesel!P6</f>
        <v>419163740</v>
      </c>
      <c r="Q22" s="47"/>
    </row>
    <row r="23" spans="2:20" x14ac:dyDescent="0.2">
      <c r="B23" s="41" t="s">
        <v>10</v>
      </c>
      <c r="C23" s="47">
        <f>'Renewable Diesel'!C53+Biodiesel!C7</f>
        <v>85312196</v>
      </c>
      <c r="D23" s="47">
        <f>'Renewable Diesel'!D53+Biodiesel!D7</f>
        <v>111738425</v>
      </c>
      <c r="E23" s="47">
        <f>'Renewable Diesel'!E53+Biodiesel!E7</f>
        <v>121729322</v>
      </c>
      <c r="F23" s="47">
        <f>'Renewable Diesel'!F53+Biodiesel!F7</f>
        <v>126074468</v>
      </c>
      <c r="G23" s="47">
        <f>'Renewable Diesel'!G53+Biodiesel!G7</f>
        <v>137283347</v>
      </c>
      <c r="H23" s="47">
        <f>'Renewable Diesel'!H53+Biodiesel!H7</f>
        <v>157196806</v>
      </c>
      <c r="I23" s="47">
        <f>'Renewable Diesel'!I53+Biodiesel!I7</f>
        <v>171466810</v>
      </c>
      <c r="J23" s="47">
        <f>'Renewable Diesel'!J53+Biodiesel!J7</f>
        <v>187743693</v>
      </c>
      <c r="K23" s="47">
        <f>'Renewable Diesel'!K53+Biodiesel!K7</f>
        <v>204425291</v>
      </c>
      <c r="L23" s="47">
        <f>'Renewable Diesel'!L53+Biodiesel!L7</f>
        <v>189595394</v>
      </c>
      <c r="M23" s="47">
        <f>'Renewable Diesel'!M53+Biodiesel!M7</f>
        <v>210553387</v>
      </c>
      <c r="N23" s="47">
        <f>'Renewable Diesel'!N53+Biodiesel!N7</f>
        <v>275950965</v>
      </c>
      <c r="O23" s="47">
        <f>'Renewable Diesel'!O53+Biodiesel!O7</f>
        <v>392858867</v>
      </c>
      <c r="P23" s="50">
        <f>'Renewable Diesel'!P53+Biodiesel!P7</f>
        <v>363131490</v>
      </c>
      <c r="Q23" s="47"/>
      <c r="T23" s="41">
        <f>5799*42*1000</f>
        <v>243558000</v>
      </c>
    </row>
    <row r="24" spans="2:20" x14ac:dyDescent="0.2">
      <c r="B24" s="41" t="s">
        <v>11</v>
      </c>
      <c r="C24" s="47">
        <f>'Renewable Diesel'!C54+Biodiesel!C8</f>
        <v>82525461</v>
      </c>
      <c r="D24" s="47">
        <f>'Renewable Diesel'!D54+Biodiesel!D8</f>
        <v>110206272</v>
      </c>
      <c r="E24" s="47">
        <f>'Renewable Diesel'!E54+Biodiesel!E8</f>
        <v>124728561</v>
      </c>
      <c r="F24" s="47">
        <f>'Renewable Diesel'!F54+Biodiesel!F8</f>
        <v>128915261</v>
      </c>
      <c r="G24" s="47">
        <f>'Renewable Diesel'!G54+Biodiesel!G8</f>
        <v>145339534</v>
      </c>
      <c r="H24" s="47">
        <f>'Renewable Diesel'!H54+Biodiesel!H8</f>
        <v>165312000</v>
      </c>
      <c r="I24" s="47">
        <f>'Renewable Diesel'!I54+Biodiesel!I8</f>
        <v>162758314</v>
      </c>
      <c r="J24" s="47">
        <f>'Renewable Diesel'!J54+Biodiesel!J8</f>
        <v>172932248</v>
      </c>
      <c r="K24" s="47">
        <f>'Renewable Diesel'!K54+Biodiesel!K8</f>
        <v>183863075</v>
      </c>
      <c r="L24" s="47">
        <f>'Renewable Diesel'!L54+Biodiesel!L8</f>
        <v>218727266</v>
      </c>
      <c r="M24" s="47">
        <f>'Renewable Diesel'!M54+Biodiesel!M8</f>
        <v>223316663</v>
      </c>
      <c r="N24" s="47">
        <f>'Renewable Diesel'!N54+Biodiesel!N8</f>
        <v>259108496</v>
      </c>
      <c r="O24" s="47">
        <f>'Renewable Diesel'!O54+Biodiesel!O8</f>
        <v>355497294</v>
      </c>
      <c r="P24" s="50">
        <f>'Renewable Diesel'!P54+Biodiesel!P8</f>
        <v>416396556</v>
      </c>
      <c r="Q24" s="50"/>
    </row>
    <row r="25" spans="2:20" x14ac:dyDescent="0.2">
      <c r="B25" s="41" t="s">
        <v>12</v>
      </c>
      <c r="C25" s="47">
        <f>'Renewable Diesel'!C55+Biodiesel!C9</f>
        <v>93343469</v>
      </c>
      <c r="D25" s="47">
        <f>'Renewable Diesel'!D55+Biodiesel!D9</f>
        <v>103621114</v>
      </c>
      <c r="E25" s="47">
        <f>'Renewable Diesel'!E55+Biodiesel!E9</f>
        <v>144080292</v>
      </c>
      <c r="F25" s="47">
        <f>'Renewable Diesel'!F55+Biodiesel!F9</f>
        <v>142054784</v>
      </c>
      <c r="G25" s="47">
        <f>'Renewable Diesel'!G55+Biodiesel!G9</f>
        <v>144705669</v>
      </c>
      <c r="H25" s="47">
        <f>'Renewable Diesel'!H55+Biodiesel!H9</f>
        <v>157492256</v>
      </c>
      <c r="I25" s="47">
        <f>'Renewable Diesel'!I55+Biodiesel!I9</f>
        <v>169942173</v>
      </c>
      <c r="J25" s="47">
        <f>'Renewable Diesel'!J55+Biodiesel!J9</f>
        <v>180333384</v>
      </c>
      <c r="K25" s="47">
        <f>'Renewable Diesel'!K55+Biodiesel!K9</f>
        <v>215734916</v>
      </c>
      <c r="L25" s="47">
        <f>'Renewable Diesel'!L55+Biodiesel!L9</f>
        <v>209422664</v>
      </c>
      <c r="M25" s="47">
        <f>'Renewable Diesel'!M55+Biodiesel!M9</f>
        <v>216390911</v>
      </c>
      <c r="N25" s="47">
        <f>'Renewable Diesel'!N55+Biodiesel!N9</f>
        <v>246521404</v>
      </c>
      <c r="O25" s="47">
        <f>'Renewable Diesel'!O55+Biodiesel!O9</f>
        <v>325390007</v>
      </c>
      <c r="P25" s="50">
        <f>'Renewable Diesel'!P55+Biodiesel!P9</f>
        <v>438587264</v>
      </c>
      <c r="Q25" s="50"/>
    </row>
    <row r="26" spans="2:20" x14ac:dyDescent="0.2">
      <c r="B26" s="41" t="s">
        <v>13</v>
      </c>
      <c r="C26" s="47">
        <f>'Renewable Diesel'!C56+Biodiesel!C10</f>
        <v>109509873</v>
      </c>
      <c r="D26" s="47">
        <f>'Renewable Diesel'!D56+Biodiesel!D10</f>
        <v>101735451</v>
      </c>
      <c r="E26" s="47">
        <f>'Renewable Diesel'!E56+Biodiesel!E10</f>
        <v>145194580</v>
      </c>
      <c r="F26" s="47">
        <f>'Renewable Diesel'!F56+Biodiesel!F10</f>
        <v>129939608</v>
      </c>
      <c r="G26" s="47">
        <f>'Renewable Diesel'!G56+Biodiesel!G10</f>
        <v>140701301</v>
      </c>
      <c r="H26" s="47">
        <f>'Renewable Diesel'!H56+Biodiesel!H10</f>
        <v>186458295</v>
      </c>
      <c r="I26" s="47">
        <f>'Renewable Diesel'!I56+Biodiesel!I10</f>
        <v>182209088</v>
      </c>
      <c r="J26" s="47">
        <f>'Renewable Diesel'!J56+Biodiesel!J10</f>
        <v>196655898</v>
      </c>
      <c r="K26" s="47">
        <f>'Renewable Diesel'!K56+Biodiesel!K10</f>
        <v>183779313</v>
      </c>
      <c r="L26" s="47">
        <f>'Renewable Diesel'!L56+Biodiesel!L10</f>
        <v>215446153</v>
      </c>
      <c r="M26" s="47">
        <f>'Renewable Diesel'!M56+Biodiesel!M10</f>
        <v>236974765</v>
      </c>
      <c r="N26" s="47">
        <f>'Renewable Diesel'!N56+Biodiesel!N10</f>
        <v>274082072</v>
      </c>
      <c r="O26" s="47">
        <f>'Renewable Diesel'!O56+Biodiesel!O10</f>
        <v>388821756</v>
      </c>
      <c r="P26" s="50">
        <f>'Renewable Diesel'!P56+Biodiesel!P10</f>
        <v>400214563</v>
      </c>
      <c r="Q26" s="50"/>
    </row>
    <row r="27" spans="2:20" x14ac:dyDescent="0.2">
      <c r="B27" s="41" t="s">
        <v>14</v>
      </c>
      <c r="C27" s="47">
        <f>'Renewable Diesel'!C57+Biodiesel!C11</f>
        <v>120403224</v>
      </c>
      <c r="D27" s="47">
        <f>'Renewable Diesel'!D57+Biodiesel!D11</f>
        <v>85078023</v>
      </c>
      <c r="E27" s="47">
        <f>'Renewable Diesel'!E57+Biodiesel!E11</f>
        <v>145288433</v>
      </c>
      <c r="F27" s="47">
        <f>'Renewable Diesel'!F57+Biodiesel!F11</f>
        <v>130908001</v>
      </c>
      <c r="G27" s="47">
        <f>'Renewable Diesel'!G57+Biodiesel!G11</f>
        <v>131675413</v>
      </c>
      <c r="H27" s="47">
        <f>'Renewable Diesel'!H57+Biodiesel!H11</f>
        <v>165857997</v>
      </c>
      <c r="I27" s="47">
        <f>'Renewable Diesel'!I57+Biodiesel!I11</f>
        <v>170300253</v>
      </c>
      <c r="J27" s="47">
        <f>'Renewable Diesel'!J57+Biodiesel!J11</f>
        <v>189254812</v>
      </c>
      <c r="K27" s="47">
        <f>'Renewable Diesel'!K57+Biodiesel!K11</f>
        <v>184352191</v>
      </c>
      <c r="L27" s="47">
        <f>'Renewable Diesel'!L57+Biodiesel!L11</f>
        <v>215977990</v>
      </c>
      <c r="M27" s="47">
        <f>'Renewable Diesel'!M57+Biodiesel!M11</f>
        <v>195682280</v>
      </c>
      <c r="N27" s="47">
        <f>'Renewable Diesel'!N57+Biodiesel!N11</f>
        <v>269474323</v>
      </c>
      <c r="O27" s="47">
        <f>'Renewable Diesel'!O57+Biodiesel!O11</f>
        <v>377879405</v>
      </c>
      <c r="P27" s="50">
        <f>'Renewable Diesel'!P57+Biodiesel!P11</f>
        <v>392465822</v>
      </c>
      <c r="Q27" s="50"/>
    </row>
    <row r="28" spans="2:20" x14ac:dyDescent="0.2">
      <c r="B28" s="41" t="s">
        <v>15</v>
      </c>
      <c r="C28" s="47">
        <f>'Renewable Diesel'!C58+Biodiesel!C12</f>
        <v>118866333</v>
      </c>
      <c r="D28" s="47">
        <f>'Renewable Diesel'!D58+Biodiesel!D12</f>
        <v>84454289</v>
      </c>
      <c r="E28" s="47">
        <f>'Renewable Diesel'!E58+Biodiesel!E12</f>
        <v>149232054</v>
      </c>
      <c r="F28" s="47">
        <f>'Renewable Diesel'!F58+Biodiesel!F12</f>
        <v>136277687</v>
      </c>
      <c r="G28" s="47">
        <f>'Renewable Diesel'!G58+Biodiesel!G12</f>
        <v>118433621</v>
      </c>
      <c r="H28" s="47">
        <f>'Renewable Diesel'!H58+Biodiesel!H12</f>
        <v>163704152</v>
      </c>
      <c r="I28" s="47">
        <f>'Renewable Diesel'!I58+Biodiesel!I12</f>
        <v>174694745</v>
      </c>
      <c r="J28" s="47">
        <f>'Renewable Diesel'!J58+Biodiesel!J12</f>
        <v>209950325</v>
      </c>
      <c r="K28" s="47">
        <f>'Renewable Diesel'!K58+Biodiesel!K12</f>
        <v>195187583</v>
      </c>
      <c r="L28" s="47">
        <f>'Renewable Diesel'!L58+Biodiesel!L12</f>
        <v>174727256</v>
      </c>
      <c r="M28" s="47">
        <f>'Renewable Diesel'!M58+Biodiesel!M12</f>
        <v>217123852</v>
      </c>
      <c r="N28" s="47">
        <f>'Renewable Diesel'!N58+Biodiesel!N12</f>
        <v>251719923</v>
      </c>
      <c r="O28" s="47">
        <f>'Renewable Diesel'!O58+Biodiesel!O12</f>
        <v>358118649</v>
      </c>
      <c r="P28" s="50">
        <f>'Renewable Diesel'!P58+Biodiesel!P12</f>
        <v>437655129</v>
      </c>
      <c r="Q28" s="50"/>
    </row>
    <row r="29" spans="2:20" x14ac:dyDescent="0.2">
      <c r="B29" s="41" t="s">
        <v>16</v>
      </c>
      <c r="C29" s="47">
        <f>'Renewable Diesel'!C59+Biodiesel!C13</f>
        <v>110717464</v>
      </c>
      <c r="D29" s="47">
        <f>'Renewable Diesel'!D59+Biodiesel!D13</f>
        <v>73659736</v>
      </c>
      <c r="E29" s="47">
        <f>'Renewable Diesel'!E59+Biodiesel!E13</f>
        <v>126010686</v>
      </c>
      <c r="F29" s="47">
        <f>'Renewable Diesel'!F59+Biodiesel!F13</f>
        <v>113868312</v>
      </c>
      <c r="G29" s="47">
        <f>'Renewable Diesel'!G59+Biodiesel!G13</f>
        <v>109142058</v>
      </c>
      <c r="H29" s="47">
        <f>'Renewable Diesel'!H59+Biodiesel!H13</f>
        <v>167078170</v>
      </c>
      <c r="I29" s="47">
        <f>'Renewable Diesel'!I59+Biodiesel!I13</f>
        <v>171006724</v>
      </c>
      <c r="J29" s="47">
        <f>'Renewable Diesel'!J59+Biodiesel!J13</f>
        <v>191105939</v>
      </c>
      <c r="K29" s="47">
        <f>'Renewable Diesel'!K59+Biodiesel!K13</f>
        <v>161654275</v>
      </c>
      <c r="L29" s="47">
        <f>'Renewable Diesel'!L59+Biodiesel!L13</f>
        <v>191888646</v>
      </c>
      <c r="M29" s="47">
        <f>'Renewable Diesel'!M59+Biodiesel!M13</f>
        <v>242717836</v>
      </c>
      <c r="N29" s="47">
        <f>'Renewable Diesel'!N59+Biodiesel!N13</f>
        <v>313083206</v>
      </c>
      <c r="O29" s="47">
        <f>'Renewable Diesel'!O59+Biodiesel!O13</f>
        <v>340695743</v>
      </c>
      <c r="P29" s="50">
        <f>'Renewable Diesel'!P59+Biodiesel!P13</f>
        <v>394543012</v>
      </c>
      <c r="Q29" s="50"/>
    </row>
    <row r="30" spans="2:20" x14ac:dyDescent="0.2">
      <c r="B30" s="41" t="s">
        <v>17</v>
      </c>
      <c r="C30" s="47">
        <f>'Renewable Diesel'!C60+Biodiesel!C14</f>
        <v>157369754</v>
      </c>
      <c r="D30" s="47">
        <f>'Renewable Diesel'!D60+Biodiesel!D14</f>
        <v>61951304</v>
      </c>
      <c r="E30" s="47">
        <f>'Renewable Diesel'!E60+Biodiesel!E14</f>
        <v>172329034</v>
      </c>
      <c r="F30" s="47">
        <f>'Renewable Diesel'!F60+Biodiesel!F14</f>
        <v>186325887</v>
      </c>
      <c r="G30" s="47">
        <f>'Renewable Diesel'!G60+Biodiesel!G14</f>
        <v>123420598</v>
      </c>
      <c r="H30" s="47">
        <f>'Renewable Diesel'!H60+Biodiesel!H14</f>
        <v>214374179</v>
      </c>
      <c r="I30" s="47">
        <f>'Renewable Diesel'!I60+Biodiesel!I14</f>
        <v>188119511</v>
      </c>
      <c r="J30" s="47">
        <f>'Renewable Diesel'!J60+Biodiesel!J14</f>
        <v>230659809</v>
      </c>
      <c r="K30" s="47">
        <f>'Renewable Diesel'!K60+Biodiesel!K14</f>
        <v>192397741</v>
      </c>
      <c r="L30" s="47">
        <f>'Renewable Diesel'!L60+Biodiesel!L14</f>
        <v>233689213</v>
      </c>
      <c r="M30" s="47">
        <f>'Renewable Diesel'!M60+Biodiesel!M14</f>
        <v>283978702</v>
      </c>
      <c r="N30" s="47">
        <f>'Renewable Diesel'!N60+Biodiesel!N14</f>
        <v>299350561</v>
      </c>
      <c r="O30" s="47">
        <f>'Renewable Diesel'!O60+Biodiesel!O14</f>
        <v>411548491</v>
      </c>
      <c r="P30" s="50">
        <f>'Renewable Diesel'!P60+Biodiesel!P14</f>
        <v>489033424</v>
      </c>
      <c r="Q30" s="50"/>
    </row>
    <row r="31" spans="2:20" x14ac:dyDescent="0.2">
      <c r="B31" s="41" t="s">
        <v>18</v>
      </c>
      <c r="C31" s="43">
        <f t="shared" ref="C31:P31" si="8">SUM(C19:C30)</f>
        <v>1096740548</v>
      </c>
      <c r="D31" s="43">
        <f t="shared" si="8"/>
        <v>1069121623</v>
      </c>
      <c r="E31" s="43">
        <f t="shared" si="8"/>
        <v>1492375035</v>
      </c>
      <c r="F31" s="43">
        <f t="shared" si="8"/>
        <v>1466334270</v>
      </c>
      <c r="G31" s="43">
        <f t="shared" si="8"/>
        <v>1431110939</v>
      </c>
      <c r="H31" s="43">
        <f t="shared" si="8"/>
        <v>1874571420</v>
      </c>
      <c r="I31" s="43">
        <f t="shared" si="8"/>
        <v>1846593882</v>
      </c>
      <c r="J31" s="43">
        <f t="shared" si="8"/>
        <v>2160607288</v>
      </c>
      <c r="K31" s="43">
        <f t="shared" si="8"/>
        <v>2205912785</v>
      </c>
      <c r="L31" s="43">
        <f t="shared" si="8"/>
        <v>2358384005</v>
      </c>
      <c r="M31" s="43">
        <f t="shared" si="8"/>
        <v>2550064262</v>
      </c>
      <c r="N31" s="43">
        <f t="shared" si="8"/>
        <v>3075547791</v>
      </c>
      <c r="O31" s="43">
        <f>SUM(O19:O30)</f>
        <v>4097758032</v>
      </c>
      <c r="P31" s="49">
        <f t="shared" si="8"/>
        <v>4806716228</v>
      </c>
      <c r="Q31" s="49"/>
    </row>
    <row r="32" spans="2:20" x14ac:dyDescent="0.2">
      <c r="C32" s="43">
        <f t="shared" ref="C32:N32" si="9">C31-C15</f>
        <v>129228548</v>
      </c>
      <c r="D32" s="43">
        <f t="shared" si="9"/>
        <v>78341623</v>
      </c>
      <c r="E32" s="43">
        <f t="shared" si="9"/>
        <v>132919035</v>
      </c>
      <c r="F32" s="43">
        <f t="shared" si="9"/>
        <v>187392270</v>
      </c>
      <c r="G32" s="43">
        <f t="shared" si="9"/>
        <v>167708939</v>
      </c>
      <c r="H32" s="43">
        <f t="shared" si="9"/>
        <v>306879420</v>
      </c>
      <c r="I32" s="43">
        <f t="shared" si="9"/>
        <v>250929882</v>
      </c>
      <c r="J32" s="43">
        <f t="shared" si="9"/>
        <v>303283288</v>
      </c>
      <c r="K32" s="43">
        <f t="shared" si="9"/>
        <v>481392785</v>
      </c>
      <c r="L32" s="43">
        <f t="shared" si="9"/>
        <v>543690005</v>
      </c>
      <c r="M32" s="43">
        <f t="shared" si="9"/>
        <v>15742262</v>
      </c>
      <c r="N32" s="43">
        <f t="shared" si="9"/>
        <v>-230272209</v>
      </c>
      <c r="O32" s="43"/>
      <c r="P32" s="43"/>
      <c r="Q32" s="43"/>
    </row>
    <row r="33" spans="1:17" x14ac:dyDescent="0.2">
      <c r="B33" s="41" t="s">
        <v>147</v>
      </c>
    </row>
    <row r="34" spans="1:17" x14ac:dyDescent="0.2">
      <c r="C34" s="41">
        <v>2011</v>
      </c>
      <c r="D34" s="41">
        <v>2012</v>
      </c>
      <c r="E34" s="41">
        <v>2013</v>
      </c>
      <c r="F34" s="41">
        <v>2014</v>
      </c>
      <c r="G34" s="41">
        <v>2015</v>
      </c>
      <c r="H34" s="41">
        <f t="shared" ref="H34:M34" si="10">H2</f>
        <v>2016</v>
      </c>
      <c r="I34" s="41">
        <f t="shared" si="10"/>
        <v>2017</v>
      </c>
      <c r="J34" s="41">
        <f t="shared" si="10"/>
        <v>2018</v>
      </c>
      <c r="K34" s="41">
        <f t="shared" si="10"/>
        <v>2019</v>
      </c>
      <c r="L34" s="41">
        <f t="shared" si="10"/>
        <v>2020</v>
      </c>
      <c r="M34" s="41">
        <f t="shared" si="10"/>
        <v>2021</v>
      </c>
      <c r="N34" s="41">
        <f>N2</f>
        <v>2022</v>
      </c>
      <c r="O34" s="41">
        <f>O2</f>
        <v>2023</v>
      </c>
      <c r="P34" s="41">
        <f>P2</f>
        <v>2024</v>
      </c>
    </row>
    <row r="35" spans="1:17" x14ac:dyDescent="0.2">
      <c r="B35" s="41" t="s">
        <v>6</v>
      </c>
      <c r="C35" s="47">
        <f>C3-C19</f>
        <v>-1941482</v>
      </c>
      <c r="D35" s="47">
        <f t="shared" ref="D35:L35" si="11">D3-D19</f>
        <v>9206906</v>
      </c>
      <c r="E35" s="47">
        <f t="shared" si="11"/>
        <v>-3556563</v>
      </c>
      <c r="F35" s="47">
        <f t="shared" si="11"/>
        <v>5509644</v>
      </c>
      <c r="G35" s="47">
        <f t="shared" si="11"/>
        <v>-850532</v>
      </c>
      <c r="H35" s="47">
        <f t="shared" si="11"/>
        <v>7261785</v>
      </c>
      <c r="I35" s="47">
        <f t="shared" si="11"/>
        <v>8239290</v>
      </c>
      <c r="J35" s="47">
        <f t="shared" si="11"/>
        <v>1361292</v>
      </c>
      <c r="K35" s="47">
        <f t="shared" si="11"/>
        <v>-221998</v>
      </c>
      <c r="L35" s="47">
        <f t="shared" si="11"/>
        <v>-26029309</v>
      </c>
      <c r="M35" s="47">
        <f>M3-M19</f>
        <v>36824785</v>
      </c>
      <c r="N35" s="47">
        <f>N3-N19</f>
        <v>65832741</v>
      </c>
      <c r="O35" s="47">
        <f>O3-O19</f>
        <v>59689316</v>
      </c>
      <c r="P35" s="47">
        <f>P3-P19</f>
        <v>38582064</v>
      </c>
      <c r="Q35" s="47"/>
    </row>
    <row r="36" spans="1:17" x14ac:dyDescent="0.2">
      <c r="B36" s="41" t="s">
        <v>7</v>
      </c>
      <c r="C36" s="47">
        <f t="shared" ref="C36:O46" si="12">C4-C20</f>
        <v>-2136040</v>
      </c>
      <c r="D36" s="47">
        <f t="shared" si="12"/>
        <v>3553739</v>
      </c>
      <c r="E36" s="47">
        <f t="shared" si="12"/>
        <v>-5580191</v>
      </c>
      <c r="F36" s="47">
        <f t="shared" si="12"/>
        <v>-6510505</v>
      </c>
      <c r="G36" s="47">
        <f t="shared" si="12"/>
        <v>1425468</v>
      </c>
      <c r="H36" s="47">
        <f t="shared" si="12"/>
        <v>-2586563</v>
      </c>
      <c r="I36" s="47">
        <f t="shared" si="12"/>
        <v>-5522882</v>
      </c>
      <c r="J36" s="47">
        <f t="shared" si="12"/>
        <v>-9209084</v>
      </c>
      <c r="K36" s="47">
        <f t="shared" si="12"/>
        <v>-26968153</v>
      </c>
      <c r="L36" s="47">
        <f t="shared" si="12"/>
        <v>-33495669</v>
      </c>
      <c r="M36" s="47">
        <f t="shared" si="12"/>
        <v>-4228760</v>
      </c>
      <c r="N36" s="47">
        <f t="shared" si="12"/>
        <v>11432859</v>
      </c>
      <c r="O36" s="47">
        <f>O4-O20</f>
        <v>42219034</v>
      </c>
      <c r="P36" s="47">
        <f t="shared" ref="P36:P41" si="13">P4-P20</f>
        <v>41816793.801900625</v>
      </c>
      <c r="Q36" s="47"/>
    </row>
    <row r="37" spans="1:17" x14ac:dyDescent="0.2">
      <c r="B37" s="41" t="s">
        <v>8</v>
      </c>
      <c r="C37" s="47">
        <f t="shared" si="12"/>
        <v>-6897947</v>
      </c>
      <c r="D37" s="47">
        <f t="shared" si="12"/>
        <v>-5965707</v>
      </c>
      <c r="E37" s="47">
        <f t="shared" si="12"/>
        <v>-1602828</v>
      </c>
      <c r="F37" s="47">
        <f t="shared" si="12"/>
        <v>-6604600</v>
      </c>
      <c r="G37" s="47">
        <f t="shared" si="12"/>
        <v>-10790968</v>
      </c>
      <c r="H37" s="47">
        <f t="shared" si="12"/>
        <v>-24340248</v>
      </c>
      <c r="I37" s="47">
        <f t="shared" si="12"/>
        <v>-11391306</v>
      </c>
      <c r="J37" s="47">
        <f t="shared" si="12"/>
        <v>-21122731</v>
      </c>
      <c r="K37" s="47">
        <f t="shared" si="12"/>
        <v>-42575081</v>
      </c>
      <c r="L37" s="47">
        <f t="shared" si="12"/>
        <v>-44371463</v>
      </c>
      <c r="M37" s="47">
        <f t="shared" si="12"/>
        <v>-8548964</v>
      </c>
      <c r="N37" s="47">
        <f t="shared" si="12"/>
        <v>7670603</v>
      </c>
      <c r="O37" s="47">
        <f>O5-O21</f>
        <v>47604890</v>
      </c>
      <c r="P37" s="47">
        <f t="shared" si="13"/>
        <v>27892255.742072225</v>
      </c>
      <c r="Q37" s="47"/>
    </row>
    <row r="38" spans="1:17" x14ac:dyDescent="0.2">
      <c r="B38" s="41" t="s">
        <v>9</v>
      </c>
      <c r="C38" s="47">
        <f t="shared" si="12"/>
        <v>-1329305</v>
      </c>
      <c r="D38" s="47">
        <f t="shared" si="12"/>
        <v>-2179947</v>
      </c>
      <c r="E38" s="47">
        <f t="shared" si="12"/>
        <v>-5618491</v>
      </c>
      <c r="F38" s="47">
        <f t="shared" si="12"/>
        <v>-23660801</v>
      </c>
      <c r="G38" s="47">
        <f t="shared" si="12"/>
        <v>-14369366</v>
      </c>
      <c r="H38" s="47">
        <f t="shared" si="12"/>
        <v>-27570539</v>
      </c>
      <c r="I38" s="47">
        <f t="shared" si="12"/>
        <v>-17887366</v>
      </c>
      <c r="J38" s="47">
        <f t="shared" si="12"/>
        <v>-27882657</v>
      </c>
      <c r="K38" s="47">
        <f t="shared" si="12"/>
        <v>-47291168</v>
      </c>
      <c r="L38" s="47">
        <f t="shared" si="12"/>
        <v>-44270982</v>
      </c>
      <c r="M38" s="47">
        <f t="shared" si="12"/>
        <v>-3720927</v>
      </c>
      <c r="N38" s="47">
        <f t="shared" si="12"/>
        <v>9086956</v>
      </c>
      <c r="O38" s="47">
        <f>O6-O22</f>
        <v>44388940</v>
      </c>
      <c r="P38" s="47">
        <f t="shared" si="13"/>
        <v>15169151.530142546</v>
      </c>
      <c r="Q38" s="47"/>
    </row>
    <row r="39" spans="1:17" x14ac:dyDescent="0.2">
      <c r="B39" s="41" t="s">
        <v>10</v>
      </c>
      <c r="C39" s="47">
        <f t="shared" si="12"/>
        <v>-8116196</v>
      </c>
      <c r="D39" s="47">
        <f t="shared" si="12"/>
        <v>-9762425</v>
      </c>
      <c r="E39" s="47">
        <f t="shared" si="12"/>
        <v>-10639322</v>
      </c>
      <c r="F39" s="47">
        <f t="shared" si="12"/>
        <v>-19772468</v>
      </c>
      <c r="G39" s="47">
        <f t="shared" si="12"/>
        <v>-20355347</v>
      </c>
      <c r="H39" s="47">
        <f t="shared" si="12"/>
        <v>-21872806</v>
      </c>
      <c r="I39" s="47">
        <f t="shared" si="12"/>
        <v>-35302810</v>
      </c>
      <c r="J39" s="47">
        <f t="shared" si="12"/>
        <v>-36417693</v>
      </c>
      <c r="K39" s="47">
        <f t="shared" si="12"/>
        <v>-49823291</v>
      </c>
      <c r="L39" s="47">
        <f t="shared" si="12"/>
        <v>-37135394</v>
      </c>
      <c r="M39" s="47">
        <f t="shared" si="12"/>
        <v>6460613</v>
      </c>
      <c r="N39" s="47">
        <f t="shared" si="12"/>
        <v>409035</v>
      </c>
      <c r="O39" s="47">
        <f>O7-O23</f>
        <v>13029133</v>
      </c>
      <c r="P39" s="47">
        <f t="shared" si="13"/>
        <v>39488737.608884513</v>
      </c>
      <c r="Q39" s="50"/>
    </row>
    <row r="40" spans="1:17" x14ac:dyDescent="0.2">
      <c r="B40" s="41" t="s">
        <v>11</v>
      </c>
      <c r="C40" s="47">
        <f t="shared" si="12"/>
        <v>-1129461</v>
      </c>
      <c r="D40" s="47">
        <f t="shared" si="12"/>
        <v>-16840272</v>
      </c>
      <c r="E40" s="47">
        <f t="shared" si="12"/>
        <v>-11370561</v>
      </c>
      <c r="F40" s="47">
        <f t="shared" si="12"/>
        <v>-17825261</v>
      </c>
      <c r="G40" s="47">
        <f t="shared" si="12"/>
        <v>-23497534</v>
      </c>
      <c r="H40" s="47">
        <f t="shared" si="12"/>
        <v>-30702000</v>
      </c>
      <c r="I40" s="47">
        <f t="shared" si="12"/>
        <v>-22310314</v>
      </c>
      <c r="J40" s="47">
        <f t="shared" si="12"/>
        <v>-14046248</v>
      </c>
      <c r="K40" s="47">
        <f t="shared" si="12"/>
        <v>-42323075</v>
      </c>
      <c r="L40" s="47">
        <f t="shared" si="12"/>
        <v>-67947266</v>
      </c>
      <c r="M40" s="47">
        <f t="shared" si="12"/>
        <v>-28142663</v>
      </c>
      <c r="N40" s="47">
        <f t="shared" si="12"/>
        <v>17167504</v>
      </c>
      <c r="O40" s="47">
        <f>O8-O24</f>
        <v>53330706</v>
      </c>
      <c r="P40" s="47">
        <f t="shared" si="13"/>
        <v>63582598.900951803</v>
      </c>
      <c r="Q40" s="50"/>
    </row>
    <row r="41" spans="1:17" x14ac:dyDescent="0.2">
      <c r="B41" s="41" t="s">
        <v>12</v>
      </c>
      <c r="C41" s="47">
        <f t="shared" si="12"/>
        <v>-1657469</v>
      </c>
      <c r="D41" s="47">
        <f t="shared" si="12"/>
        <v>-14287114</v>
      </c>
      <c r="E41" s="47">
        <f t="shared" si="12"/>
        <v>-15056292</v>
      </c>
      <c r="F41" s="47">
        <f t="shared" si="12"/>
        <v>-19162784</v>
      </c>
      <c r="G41" s="47">
        <f t="shared" si="12"/>
        <v>-23619669</v>
      </c>
      <c r="H41" s="47">
        <f t="shared" si="12"/>
        <v>-17590256</v>
      </c>
      <c r="I41" s="47">
        <f t="shared" si="12"/>
        <v>-20422173</v>
      </c>
      <c r="J41" s="47">
        <f t="shared" si="12"/>
        <v>-14013384</v>
      </c>
      <c r="K41" s="47">
        <f t="shared" si="12"/>
        <v>-57142916</v>
      </c>
      <c r="L41" s="47">
        <f t="shared" si="12"/>
        <v>-47764664</v>
      </c>
      <c r="M41" s="47">
        <f t="shared" si="12"/>
        <v>623089</v>
      </c>
      <c r="N41" s="47">
        <f t="shared" si="12"/>
        <v>47520596</v>
      </c>
      <c r="O41" s="47">
        <f t="shared" si="12"/>
        <v>60001993</v>
      </c>
      <c r="P41" s="47">
        <f t="shared" si="13"/>
        <v>54999130.429567218</v>
      </c>
      <c r="Q41" s="50"/>
    </row>
    <row r="42" spans="1:17" x14ac:dyDescent="0.2">
      <c r="B42" s="41" t="s">
        <v>13</v>
      </c>
      <c r="C42" s="47">
        <f t="shared" si="12"/>
        <v>-14043873</v>
      </c>
      <c r="D42" s="47">
        <f t="shared" si="12"/>
        <v>-10343451</v>
      </c>
      <c r="E42" s="47">
        <f t="shared" si="12"/>
        <v>-15582580</v>
      </c>
      <c r="F42" s="47">
        <f t="shared" si="12"/>
        <v>-4485608</v>
      </c>
      <c r="G42" s="47">
        <f t="shared" si="12"/>
        <v>-17515301</v>
      </c>
      <c r="H42" s="47">
        <f t="shared" si="12"/>
        <v>-44288295</v>
      </c>
      <c r="I42" s="47">
        <f t="shared" si="12"/>
        <v>-32731088</v>
      </c>
      <c r="J42" s="47">
        <f t="shared" si="12"/>
        <v>-24371898</v>
      </c>
      <c r="K42" s="47">
        <f t="shared" si="12"/>
        <v>-27875313</v>
      </c>
      <c r="L42" s="47">
        <f t="shared" si="12"/>
        <v>-52822153</v>
      </c>
      <c r="M42" s="47">
        <f t="shared" si="12"/>
        <v>-20968765</v>
      </c>
      <c r="N42" s="47">
        <f t="shared" si="12"/>
        <v>9459928</v>
      </c>
      <c r="O42" s="47">
        <f t="shared" si="12"/>
        <v>21770244</v>
      </c>
      <c r="P42" s="50">
        <f>P10-P26</f>
        <v>38667256.066908896</v>
      </c>
      <c r="Q42" s="50"/>
    </row>
    <row r="43" spans="1:17" x14ac:dyDescent="0.2">
      <c r="B43" s="41" t="s">
        <v>14</v>
      </c>
      <c r="C43" s="47">
        <f t="shared" si="12"/>
        <v>-24475224</v>
      </c>
      <c r="D43" s="47">
        <f t="shared" si="12"/>
        <v>-3220023</v>
      </c>
      <c r="E43" s="47">
        <f t="shared" si="12"/>
        <v>-18238433</v>
      </c>
      <c r="F43" s="47">
        <f t="shared" si="12"/>
        <v>-15240001</v>
      </c>
      <c r="G43" s="47">
        <f t="shared" si="12"/>
        <v>-27557413</v>
      </c>
      <c r="H43" s="47">
        <f t="shared" si="12"/>
        <v>-31205997</v>
      </c>
      <c r="I43" s="47">
        <f t="shared" si="12"/>
        <v>-23006253</v>
      </c>
      <c r="J43" s="47">
        <f t="shared" si="12"/>
        <v>-24866812</v>
      </c>
      <c r="K43" s="47">
        <f t="shared" si="12"/>
        <v>-42518191</v>
      </c>
      <c r="L43" s="47">
        <f t="shared" si="12"/>
        <v>-56797990</v>
      </c>
      <c r="M43" s="47">
        <f t="shared" si="12"/>
        <v>-13276280</v>
      </c>
      <c r="N43" s="47">
        <f t="shared" si="12"/>
        <v>24777677</v>
      </c>
      <c r="O43" s="47">
        <f>O11-O27</f>
        <v>42414595</v>
      </c>
      <c r="P43" s="50">
        <f>P11-P27</f>
        <v>42681608.527227879</v>
      </c>
      <c r="Q43" s="50"/>
    </row>
    <row r="44" spans="1:17" x14ac:dyDescent="0.2">
      <c r="B44" s="41" t="s">
        <v>15</v>
      </c>
      <c r="C44" s="47">
        <f t="shared" si="12"/>
        <v>-13530333</v>
      </c>
      <c r="D44" s="47">
        <f t="shared" si="12"/>
        <v>-9190289</v>
      </c>
      <c r="E44" s="47">
        <f t="shared" si="12"/>
        <v>-11808054</v>
      </c>
      <c r="F44" s="47">
        <f t="shared" si="12"/>
        <v>-13301687</v>
      </c>
      <c r="G44" s="47">
        <f t="shared" si="12"/>
        <v>-11963621</v>
      </c>
      <c r="H44" s="47">
        <f t="shared" si="12"/>
        <v>-19518152</v>
      </c>
      <c r="I44" s="47">
        <f t="shared" si="12"/>
        <v>-27064745</v>
      </c>
      <c r="J44" s="47">
        <f t="shared" si="12"/>
        <v>-39010325</v>
      </c>
      <c r="K44" s="47">
        <f t="shared" si="12"/>
        <v>-50875583</v>
      </c>
      <c r="L44" s="47">
        <f t="shared" si="12"/>
        <v>-17521256</v>
      </c>
      <c r="M44" s="47">
        <f t="shared" si="12"/>
        <v>21940148</v>
      </c>
      <c r="N44" s="47">
        <f t="shared" si="12"/>
        <v>35140077</v>
      </c>
      <c r="O44" s="47">
        <f>O12-O28</f>
        <v>29415351</v>
      </c>
      <c r="P44" s="50">
        <f>P12-P28</f>
        <v>34700969.043376505</v>
      </c>
      <c r="Q44" s="50"/>
    </row>
    <row r="45" spans="1:17" x14ac:dyDescent="0.2">
      <c r="B45" s="41" t="s">
        <v>16</v>
      </c>
      <c r="C45" s="47">
        <f t="shared" si="12"/>
        <v>-5969464</v>
      </c>
      <c r="D45" s="47">
        <f t="shared" si="12"/>
        <v>-16413736</v>
      </c>
      <c r="E45" s="47">
        <f t="shared" si="12"/>
        <v>3349314</v>
      </c>
      <c r="F45" s="47">
        <f t="shared" si="12"/>
        <v>-4248312</v>
      </c>
      <c r="G45" s="47">
        <f t="shared" si="12"/>
        <v>-3260058</v>
      </c>
      <c r="H45" s="47">
        <f t="shared" si="12"/>
        <v>-23942170</v>
      </c>
      <c r="I45" s="47">
        <f t="shared" si="12"/>
        <v>-23040724</v>
      </c>
      <c r="J45" s="47">
        <f t="shared" si="12"/>
        <v>-30833939</v>
      </c>
      <c r="K45" s="47">
        <f t="shared" si="12"/>
        <v>-34226275</v>
      </c>
      <c r="L45" s="47">
        <f t="shared" si="12"/>
        <v>-39806646</v>
      </c>
      <c r="M45" s="47">
        <f t="shared" si="12"/>
        <v>2604164</v>
      </c>
      <c r="N45" s="47">
        <f t="shared" si="12"/>
        <v>-7197206</v>
      </c>
      <c r="O45" s="47">
        <f>O13-O29</f>
        <v>43352257</v>
      </c>
      <c r="P45" s="50">
        <f>P13-P29</f>
        <v>41235898.194419563</v>
      </c>
      <c r="Q45" s="50"/>
    </row>
    <row r="46" spans="1:17" x14ac:dyDescent="0.2">
      <c r="B46" s="41" t="s">
        <v>17</v>
      </c>
      <c r="C46" s="47">
        <f t="shared" si="12"/>
        <v>-48001754</v>
      </c>
      <c r="D46" s="47">
        <f t="shared" si="12"/>
        <v>-2899304</v>
      </c>
      <c r="E46" s="47">
        <f t="shared" si="12"/>
        <v>-37215034</v>
      </c>
      <c r="F46" s="47">
        <f t="shared" si="12"/>
        <v>-62089887</v>
      </c>
      <c r="G46" s="47">
        <f t="shared" si="12"/>
        <v>-15354598</v>
      </c>
      <c r="H46" s="47">
        <f t="shared" si="12"/>
        <v>-70524179</v>
      </c>
      <c r="I46" s="47">
        <f t="shared" si="12"/>
        <v>-40489511</v>
      </c>
      <c r="J46" s="47">
        <f t="shared" si="12"/>
        <v>-62869809</v>
      </c>
      <c r="K46" s="47">
        <f t="shared" si="12"/>
        <v>-59551741</v>
      </c>
      <c r="L46" s="47">
        <f t="shared" si="12"/>
        <v>-75727213</v>
      </c>
      <c r="M46" s="47">
        <f t="shared" si="12"/>
        <v>-5308702</v>
      </c>
      <c r="N46" s="47">
        <f t="shared" si="12"/>
        <v>8971439</v>
      </c>
      <c r="O46" s="47">
        <f>O14-O30</f>
        <v>26427509</v>
      </c>
      <c r="P46" s="50">
        <f>P14-P30</f>
        <v>76244264.660342336</v>
      </c>
      <c r="Q46" s="50"/>
    </row>
    <row r="47" spans="1:17" x14ac:dyDescent="0.2">
      <c r="B47" s="41" t="s">
        <v>18</v>
      </c>
      <c r="C47" s="47">
        <f>SUM(C35:C46)</f>
        <v>-129228548</v>
      </c>
      <c r="D47" s="47">
        <f t="shared" ref="D47:N47" si="14">SUM(D35:D46)</f>
        <v>-78341623</v>
      </c>
      <c r="E47" s="47">
        <f t="shared" si="14"/>
        <v>-132919035</v>
      </c>
      <c r="F47" s="47">
        <f t="shared" si="14"/>
        <v>-187392270</v>
      </c>
      <c r="G47" s="47">
        <f t="shared" si="14"/>
        <v>-167708939</v>
      </c>
      <c r="H47" s="47">
        <f t="shared" si="14"/>
        <v>-306879420</v>
      </c>
      <c r="I47" s="47">
        <f t="shared" si="14"/>
        <v>-250929882</v>
      </c>
      <c r="J47" s="47">
        <f t="shared" si="14"/>
        <v>-303283288</v>
      </c>
      <c r="K47" s="47">
        <f t="shared" si="14"/>
        <v>-481392785</v>
      </c>
      <c r="L47" s="47">
        <f t="shared" si="14"/>
        <v>-543690005</v>
      </c>
      <c r="M47" s="47">
        <f>SUM(M35:M46)</f>
        <v>-15742262</v>
      </c>
      <c r="N47" s="47">
        <f t="shared" si="14"/>
        <v>230272209</v>
      </c>
      <c r="O47" s="47">
        <f>SUM(O35:O46)</f>
        <v>483643968</v>
      </c>
      <c r="P47" s="50">
        <f>SUM(P35:P46)</f>
        <v>515060728.50579411</v>
      </c>
      <c r="Q47" s="50"/>
    </row>
    <row r="48" spans="1:17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</row>
    <row r="49" spans="1:17" ht="18" x14ac:dyDescent="0.25">
      <c r="A49" s="51"/>
      <c r="B49" s="52" t="s">
        <v>148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</row>
    <row r="50" spans="1:17" ht="13.5" thickBot="1" x14ac:dyDescent="0.25">
      <c r="A50" s="51"/>
      <c r="B50" s="51"/>
      <c r="C50" s="53">
        <v>2011</v>
      </c>
      <c r="D50" s="53">
        <v>2012</v>
      </c>
      <c r="E50" s="53">
        <v>2013</v>
      </c>
      <c r="F50" s="53">
        <v>2014</v>
      </c>
      <c r="G50" s="53">
        <v>2015</v>
      </c>
      <c r="H50" s="53">
        <v>2016</v>
      </c>
      <c r="I50" s="53">
        <v>2017</v>
      </c>
      <c r="J50" s="53">
        <v>2018</v>
      </c>
      <c r="K50" s="53">
        <f t="shared" ref="K50:P50" si="15">K2</f>
        <v>2019</v>
      </c>
      <c r="L50" s="53">
        <f t="shared" si="15"/>
        <v>2020</v>
      </c>
      <c r="M50" s="53">
        <f t="shared" si="15"/>
        <v>2021</v>
      </c>
      <c r="N50" s="53">
        <f t="shared" si="15"/>
        <v>2022</v>
      </c>
      <c r="O50" s="53">
        <f t="shared" si="15"/>
        <v>2023</v>
      </c>
      <c r="P50" s="53">
        <f t="shared" si="15"/>
        <v>2024</v>
      </c>
      <c r="Q50" s="53"/>
    </row>
    <row r="51" spans="1:17" x14ac:dyDescent="0.2">
      <c r="A51" s="51"/>
      <c r="B51" s="54" t="s">
        <v>6</v>
      </c>
      <c r="C51" s="55">
        <f>C3-C67</f>
        <v>9000</v>
      </c>
      <c r="D51" s="55">
        <f t="shared" ref="D51:P62" si="16">D3-D67</f>
        <v>-4000</v>
      </c>
      <c r="E51" s="55">
        <f t="shared" si="16"/>
        <v>16000</v>
      </c>
      <c r="F51" s="55">
        <f t="shared" si="16"/>
        <v>-6000</v>
      </c>
      <c r="G51" s="55">
        <f t="shared" si="16"/>
        <v>-12000</v>
      </c>
      <c r="H51" s="55">
        <f t="shared" si="16"/>
        <v>4000</v>
      </c>
      <c r="I51" s="55">
        <f t="shared" si="16"/>
        <v>-21000</v>
      </c>
      <c r="J51" s="55">
        <f t="shared" si="16"/>
        <v>13000</v>
      </c>
      <c r="K51" s="55">
        <f t="shared" si="16"/>
        <v>17000</v>
      </c>
      <c r="L51" s="55">
        <f t="shared" si="16"/>
        <v>-1000</v>
      </c>
      <c r="M51" s="55">
        <f t="shared" si="16"/>
        <v>53708000</v>
      </c>
      <c r="N51" s="55">
        <f t="shared" si="16"/>
        <v>123571000</v>
      </c>
      <c r="O51" s="55">
        <f t="shared" si="16"/>
        <v>189970000</v>
      </c>
      <c r="P51" s="55">
        <f t="shared" si="16"/>
        <v>262326000</v>
      </c>
      <c r="Q51" s="56"/>
    </row>
    <row r="52" spans="1:17" x14ac:dyDescent="0.2">
      <c r="A52" s="51"/>
      <c r="B52" s="51" t="s">
        <v>7</v>
      </c>
      <c r="C52" s="56">
        <f t="shared" ref="C52:C62" si="17">C4-C68</f>
        <v>20000</v>
      </c>
      <c r="D52" s="56">
        <f t="shared" si="16"/>
        <v>18000</v>
      </c>
      <c r="E52" s="56">
        <f t="shared" si="16"/>
        <v>-10000</v>
      </c>
      <c r="F52" s="56">
        <f t="shared" si="16"/>
        <v>-1000</v>
      </c>
      <c r="G52" s="56">
        <f t="shared" si="16"/>
        <v>6000</v>
      </c>
      <c r="H52" s="56">
        <f t="shared" si="16"/>
        <v>14000</v>
      </c>
      <c r="I52" s="56">
        <f t="shared" si="16"/>
        <v>13000</v>
      </c>
      <c r="J52" s="56">
        <f t="shared" si="16"/>
        <v>-13000</v>
      </c>
      <c r="K52" s="56">
        <f t="shared" si="16"/>
        <v>7000</v>
      </c>
      <c r="L52" s="56">
        <f t="shared" si="16"/>
        <v>8999.9999999850988</v>
      </c>
      <c r="M52" s="56">
        <f t="shared" si="16"/>
        <v>48558000</v>
      </c>
      <c r="N52" s="56">
        <f>N4-N68</f>
        <v>109587000</v>
      </c>
      <c r="O52" s="56">
        <f>O4-O68</f>
        <v>178723000</v>
      </c>
      <c r="P52" s="56">
        <f t="shared" si="16"/>
        <v>272168653.80190063</v>
      </c>
      <c r="Q52" s="56"/>
    </row>
    <row r="53" spans="1:17" x14ac:dyDescent="0.2">
      <c r="A53" s="51"/>
      <c r="B53" s="51" t="s">
        <v>8</v>
      </c>
      <c r="C53" s="56">
        <f t="shared" si="17"/>
        <v>8000</v>
      </c>
      <c r="D53" s="56">
        <f t="shared" si="16"/>
        <v>18000</v>
      </c>
      <c r="E53" s="56">
        <f t="shared" si="16"/>
        <v>20000</v>
      </c>
      <c r="F53" s="56">
        <f t="shared" si="16"/>
        <v>-16000</v>
      </c>
      <c r="G53" s="56">
        <f t="shared" si="16"/>
        <v>19000</v>
      </c>
      <c r="H53" s="56">
        <f t="shared" si="16"/>
        <v>3000</v>
      </c>
      <c r="I53" s="56">
        <f t="shared" si="16"/>
        <v>-11000</v>
      </c>
      <c r="J53" s="56">
        <f t="shared" si="16"/>
        <v>15000</v>
      </c>
      <c r="K53" s="56">
        <f t="shared" si="16"/>
        <v>1000</v>
      </c>
      <c r="L53" s="56">
        <f t="shared" si="16"/>
        <v>3000</v>
      </c>
      <c r="M53" s="56">
        <f t="shared" si="16"/>
        <v>50441000</v>
      </c>
      <c r="N53" s="56">
        <f>N5-N69</f>
        <v>120841000</v>
      </c>
      <c r="O53" s="56">
        <f>O5-O69</f>
        <v>223406000</v>
      </c>
      <c r="P53" s="56">
        <f t="shared" si="16"/>
        <v>240978687.74207222</v>
      </c>
      <c r="Q53" s="56"/>
    </row>
    <row r="54" spans="1:17" x14ac:dyDescent="0.2">
      <c r="A54" s="51"/>
      <c r="B54" s="51" t="s">
        <v>9</v>
      </c>
      <c r="C54" s="56">
        <f t="shared" si="17"/>
        <v>12000</v>
      </c>
      <c r="D54" s="56">
        <f t="shared" si="16"/>
        <v>11000</v>
      </c>
      <c r="E54" s="56">
        <f t="shared" si="16"/>
        <v>-3000</v>
      </c>
      <c r="F54" s="56">
        <f t="shared" si="16"/>
        <v>14000</v>
      </c>
      <c r="G54" s="56">
        <f t="shared" si="16"/>
        <v>6000</v>
      </c>
      <c r="H54" s="56">
        <f t="shared" si="16"/>
        <v>1000</v>
      </c>
      <c r="I54" s="56">
        <f t="shared" si="16"/>
        <v>19000</v>
      </c>
      <c r="J54" s="56">
        <f t="shared" si="16"/>
        <v>-19000</v>
      </c>
      <c r="K54" s="56">
        <f t="shared" si="16"/>
        <v>17000</v>
      </c>
      <c r="L54" s="56">
        <f t="shared" si="16"/>
        <v>-5000</v>
      </c>
      <c r="M54" s="56">
        <f t="shared" si="16"/>
        <v>47271000</v>
      </c>
      <c r="N54" s="56">
        <f>N6-N70</f>
        <v>133112000</v>
      </c>
      <c r="O54" s="56">
        <f t="shared" ref="N54:O59" si="18">O6-O70</f>
        <v>219251000</v>
      </c>
      <c r="P54" s="56">
        <f t="shared" si="16"/>
        <v>300791891.53014255</v>
      </c>
      <c r="Q54" s="56"/>
    </row>
    <row r="55" spans="1:17" x14ac:dyDescent="0.2">
      <c r="A55" s="51"/>
      <c r="B55" s="51" t="s">
        <v>10</v>
      </c>
      <c r="C55" s="56">
        <f t="shared" si="17"/>
        <v>-1000</v>
      </c>
      <c r="D55" s="56">
        <f t="shared" si="16"/>
        <v>6000</v>
      </c>
      <c r="E55" s="56">
        <f t="shared" si="16"/>
        <v>-11000</v>
      </c>
      <c r="F55" s="56">
        <f t="shared" si="16"/>
        <v>-12000</v>
      </c>
      <c r="G55" s="56">
        <f t="shared" si="16"/>
        <v>-12000</v>
      </c>
      <c r="H55" s="56">
        <f t="shared" si="16"/>
        <v>-20000</v>
      </c>
      <c r="I55" s="56">
        <f t="shared" si="16"/>
        <v>-17000</v>
      </c>
      <c r="J55" s="56">
        <f t="shared" si="16"/>
        <v>14000</v>
      </c>
      <c r="K55" s="56">
        <f t="shared" si="16"/>
        <v>12000</v>
      </c>
      <c r="L55" s="56">
        <f t="shared" si="16"/>
        <v>-20000</v>
      </c>
      <c r="M55" s="56">
        <f t="shared" si="16"/>
        <v>68468000</v>
      </c>
      <c r="N55" s="56">
        <f t="shared" si="18"/>
        <v>140212000</v>
      </c>
      <c r="O55" s="56">
        <f t="shared" si="18"/>
        <v>251117000</v>
      </c>
      <c r="P55" s="56">
        <f t="shared" si="16"/>
        <v>259563227.60888451</v>
      </c>
      <c r="Q55" s="57"/>
    </row>
    <row r="56" spans="1:17" x14ac:dyDescent="0.2">
      <c r="A56" s="51"/>
      <c r="B56" s="51" t="s">
        <v>11</v>
      </c>
      <c r="C56" s="56">
        <f t="shared" si="17"/>
        <v>5000</v>
      </c>
      <c r="D56" s="56">
        <f t="shared" si="16"/>
        <v>-8000</v>
      </c>
      <c r="E56" s="56">
        <f t="shared" si="16"/>
        <v>-11000</v>
      </c>
      <c r="F56" s="56">
        <f t="shared" si="16"/>
        <v>20000</v>
      </c>
      <c r="G56" s="56">
        <f t="shared" si="16"/>
        <v>18000</v>
      </c>
      <c r="H56" s="56">
        <f t="shared" si="16"/>
        <v>-10000</v>
      </c>
      <c r="I56" s="56">
        <f t="shared" si="16"/>
        <v>-11000</v>
      </c>
      <c r="J56" s="56">
        <f t="shared" si="16"/>
        <v>19000</v>
      </c>
      <c r="K56" s="56">
        <f t="shared" si="16"/>
        <v>-13000</v>
      </c>
      <c r="L56" s="56">
        <f t="shared" si="16"/>
        <v>-20000</v>
      </c>
      <c r="M56" s="56">
        <f t="shared" si="16"/>
        <v>51745000</v>
      </c>
      <c r="N56" s="56">
        <f t="shared" si="18"/>
        <v>139127000</v>
      </c>
      <c r="O56" s="56">
        <f t="shared" si="18"/>
        <v>258141000</v>
      </c>
      <c r="P56" s="56">
        <f t="shared" si="16"/>
        <v>338458154.9009518</v>
      </c>
      <c r="Q56" s="57"/>
    </row>
    <row r="57" spans="1:17" x14ac:dyDescent="0.2">
      <c r="A57" s="51"/>
      <c r="B57" s="51" t="s">
        <v>12</v>
      </c>
      <c r="C57" s="56">
        <f t="shared" si="17"/>
        <v>6000</v>
      </c>
      <c r="D57" s="56">
        <f t="shared" si="16"/>
        <v>17000</v>
      </c>
      <c r="E57" s="56">
        <f t="shared" si="16"/>
        <v>-2000.0000000149012</v>
      </c>
      <c r="F57" s="56">
        <f t="shared" si="16"/>
        <v>5000</v>
      </c>
      <c r="G57" s="56">
        <f t="shared" si="16"/>
        <v>10000</v>
      </c>
      <c r="H57" s="56">
        <f t="shared" si="16"/>
        <v>15000</v>
      </c>
      <c r="I57" s="56">
        <f t="shared" si="16"/>
        <v>7000</v>
      </c>
      <c r="J57" s="56">
        <f t="shared" si="16"/>
        <v>-11000</v>
      </c>
      <c r="K57" s="56">
        <f t="shared" si="16"/>
        <v>-18000</v>
      </c>
      <c r="L57" s="56">
        <f t="shared" si="16"/>
        <v>-11000</v>
      </c>
      <c r="M57" s="56">
        <f t="shared" si="16"/>
        <v>67844000</v>
      </c>
      <c r="N57" s="56">
        <f t="shared" si="18"/>
        <v>147462000</v>
      </c>
      <c r="O57" s="56">
        <f t="shared" si="18"/>
        <v>233231000</v>
      </c>
      <c r="P57" s="56">
        <f t="shared" si="16"/>
        <v>347529394.42956722</v>
      </c>
      <c r="Q57" s="57"/>
    </row>
    <row r="58" spans="1:17" x14ac:dyDescent="0.2">
      <c r="A58" s="51"/>
      <c r="B58" s="51" t="s">
        <v>13</v>
      </c>
      <c r="C58" s="56">
        <f t="shared" si="17"/>
        <v>-19000</v>
      </c>
      <c r="D58" s="56">
        <f t="shared" si="16"/>
        <v>-13000</v>
      </c>
      <c r="E58" s="56">
        <f t="shared" si="16"/>
        <v>-7000</v>
      </c>
      <c r="F58" s="56">
        <f t="shared" si="16"/>
        <v>17000</v>
      </c>
      <c r="G58" s="56">
        <f t="shared" si="16"/>
        <v>10000</v>
      </c>
      <c r="H58" s="56">
        <f t="shared" si="16"/>
        <v>-7000</v>
      </c>
      <c r="I58" s="56">
        <f t="shared" si="16"/>
        <v>-8000</v>
      </c>
      <c r="J58" s="56">
        <f t="shared" si="16"/>
        <v>4000</v>
      </c>
      <c r="K58" s="56">
        <f t="shared" si="16"/>
        <v>6000</v>
      </c>
      <c r="L58" s="56">
        <f t="shared" si="16"/>
        <v>15000</v>
      </c>
      <c r="M58" s="56">
        <f>M10-M74</f>
        <v>66504000</v>
      </c>
      <c r="N58" s="56">
        <f t="shared" si="18"/>
        <v>135755000</v>
      </c>
      <c r="O58" s="56">
        <f t="shared" si="18"/>
        <v>265747000</v>
      </c>
      <c r="P58" s="57">
        <f t="shared" si="16"/>
        <v>299157629.0669089</v>
      </c>
      <c r="Q58" s="57"/>
    </row>
    <row r="59" spans="1:17" x14ac:dyDescent="0.2">
      <c r="A59" s="51"/>
      <c r="B59" s="51" t="s">
        <v>14</v>
      </c>
      <c r="C59" s="56">
        <f t="shared" si="17"/>
        <v>-14000</v>
      </c>
      <c r="D59" s="56">
        <f t="shared" si="16"/>
        <v>5000</v>
      </c>
      <c r="E59" s="56">
        <f t="shared" si="16"/>
        <v>-15000</v>
      </c>
      <c r="F59" s="56">
        <f t="shared" si="16"/>
        <v>-9000</v>
      </c>
      <c r="G59" s="56">
        <f t="shared" si="16"/>
        <v>-1000</v>
      </c>
      <c r="H59" s="56">
        <f t="shared" si="16"/>
        <v>-15000</v>
      </c>
      <c r="I59" s="56">
        <f t="shared" si="16"/>
        <v>1000</v>
      </c>
      <c r="J59" s="56">
        <f t="shared" si="16"/>
        <v>-8000</v>
      </c>
      <c r="K59" s="56">
        <f t="shared" si="16"/>
        <v>-12000</v>
      </c>
      <c r="L59" s="56">
        <f t="shared" si="16"/>
        <v>19000</v>
      </c>
      <c r="M59" s="56">
        <f t="shared" si="16"/>
        <v>48641000.000000015</v>
      </c>
      <c r="N59" s="56">
        <f t="shared" si="18"/>
        <v>153543000</v>
      </c>
      <c r="O59" s="56">
        <f t="shared" si="18"/>
        <v>275905000</v>
      </c>
      <c r="P59" s="57">
        <f t="shared" si="16"/>
        <v>300609545.52722788</v>
      </c>
      <c r="Q59" s="57"/>
    </row>
    <row r="60" spans="1:17" x14ac:dyDescent="0.2">
      <c r="A60" s="51"/>
      <c r="B60" s="51" t="s">
        <v>15</v>
      </c>
      <c r="C60" s="56">
        <f t="shared" si="17"/>
        <v>-6000</v>
      </c>
      <c r="D60" s="56">
        <f t="shared" si="16"/>
        <v>-19000</v>
      </c>
      <c r="E60" s="56">
        <f t="shared" si="16"/>
        <v>-10000</v>
      </c>
      <c r="F60" s="56">
        <f t="shared" si="16"/>
        <v>-12000</v>
      </c>
      <c r="G60" s="56">
        <f t="shared" si="16"/>
        <v>3000</v>
      </c>
      <c r="H60" s="56">
        <f t="shared" si="16"/>
        <v>-6000</v>
      </c>
      <c r="I60" s="56">
        <f t="shared" si="16"/>
        <v>6000</v>
      </c>
      <c r="J60" s="56">
        <f t="shared" si="16"/>
        <v>-12000</v>
      </c>
      <c r="K60" s="56">
        <f t="shared" si="16"/>
        <v>-2000</v>
      </c>
      <c r="L60" s="56">
        <f t="shared" si="16"/>
        <v>3000</v>
      </c>
      <c r="M60" s="56">
        <f t="shared" si="16"/>
        <v>93192000</v>
      </c>
      <c r="N60" s="56">
        <f t="shared" si="16"/>
        <v>141376000</v>
      </c>
      <c r="O60" s="56">
        <f>O12-O76</f>
        <v>240761000</v>
      </c>
      <c r="P60" s="57">
        <f t="shared" si="16"/>
        <v>324258262.04337651</v>
      </c>
      <c r="Q60" s="57"/>
    </row>
    <row r="61" spans="1:17" x14ac:dyDescent="0.2">
      <c r="A61" s="51"/>
      <c r="B61" s="51" t="s">
        <v>16</v>
      </c>
      <c r="C61" s="56">
        <f t="shared" si="17"/>
        <v>1000</v>
      </c>
      <c r="D61" s="56">
        <f t="shared" si="16"/>
        <v>17000</v>
      </c>
      <c r="E61" s="56">
        <f t="shared" si="16"/>
        <v>18999.999999985099</v>
      </c>
      <c r="F61" s="56">
        <f t="shared" si="16"/>
        <v>-19000</v>
      </c>
      <c r="G61" s="56">
        <f t="shared" si="16"/>
        <v>-1000</v>
      </c>
      <c r="H61" s="56">
        <f t="shared" si="16"/>
        <v>-16000</v>
      </c>
      <c r="I61" s="56">
        <f t="shared" si="16"/>
        <v>-14000</v>
      </c>
      <c r="J61" s="56">
        <f t="shared" si="16"/>
        <v>-1000</v>
      </c>
      <c r="K61" s="56">
        <f t="shared" si="16"/>
        <v>4000</v>
      </c>
      <c r="L61" s="56">
        <f t="shared" si="16"/>
        <v>15000</v>
      </c>
      <c r="M61" s="56">
        <f t="shared" si="16"/>
        <v>104218000</v>
      </c>
      <c r="N61" s="56">
        <f t="shared" si="16"/>
        <v>163778000</v>
      </c>
      <c r="O61" s="56">
        <f>O13-O77</f>
        <v>248361000</v>
      </c>
      <c r="P61" s="57">
        <f t="shared" si="16"/>
        <v>302425322.19441956</v>
      </c>
      <c r="Q61" s="57"/>
    </row>
    <row r="62" spans="1:17" x14ac:dyDescent="0.2">
      <c r="A62" s="51"/>
      <c r="B62" s="51" t="s">
        <v>17</v>
      </c>
      <c r="C62" s="56">
        <f t="shared" si="17"/>
        <v>11000</v>
      </c>
      <c r="D62" s="56">
        <f t="shared" si="16"/>
        <v>20000</v>
      </c>
      <c r="E62" s="56">
        <f t="shared" si="16"/>
        <v>14000</v>
      </c>
      <c r="F62" s="56">
        <f t="shared" si="16"/>
        <v>-18000</v>
      </c>
      <c r="G62" s="56">
        <f t="shared" si="16"/>
        <v>9000</v>
      </c>
      <c r="H62" s="56">
        <f t="shared" si="16"/>
        <v>-1000</v>
      </c>
      <c r="I62" s="56">
        <f t="shared" si="16"/>
        <v>-9000</v>
      </c>
      <c r="J62" s="56">
        <f t="shared" si="16"/>
        <v>5000</v>
      </c>
      <c r="K62" s="56">
        <f t="shared" si="16"/>
        <v>-4000</v>
      </c>
      <c r="L62" s="56">
        <f t="shared" si="16"/>
        <v>-12000</v>
      </c>
      <c r="M62" s="56">
        <f t="shared" si="16"/>
        <v>124907000</v>
      </c>
      <c r="N62" s="56">
        <f t="shared" si="16"/>
        <v>175429000</v>
      </c>
      <c r="O62" s="56">
        <f>O14-O78</f>
        <v>299962000</v>
      </c>
      <c r="P62" s="57">
        <f t="shared" si="16"/>
        <v>390355853.66034234</v>
      </c>
      <c r="Q62" s="57"/>
    </row>
    <row r="63" spans="1:17" x14ac:dyDescent="0.2">
      <c r="A63" s="51"/>
      <c r="B63" s="58" t="s">
        <v>18</v>
      </c>
      <c r="C63" s="59">
        <f>SUM(C51:C62)</f>
        <v>32000</v>
      </c>
      <c r="D63" s="59">
        <f t="shared" ref="D63:N63" si="19">SUM(D51:D62)</f>
        <v>68000</v>
      </c>
      <c r="E63" s="59">
        <f t="shared" si="19"/>
        <v>-2.9802322387695313E-8</v>
      </c>
      <c r="F63" s="59">
        <f t="shared" si="19"/>
        <v>-37000</v>
      </c>
      <c r="G63" s="59">
        <f t="shared" si="19"/>
        <v>55000</v>
      </c>
      <c r="H63" s="59">
        <f t="shared" si="19"/>
        <v>-38000</v>
      </c>
      <c r="I63" s="59">
        <f t="shared" si="19"/>
        <v>-45000</v>
      </c>
      <c r="J63" s="59">
        <f t="shared" si="19"/>
        <v>6000</v>
      </c>
      <c r="K63" s="59">
        <f t="shared" si="19"/>
        <v>15000</v>
      </c>
      <c r="L63" s="59">
        <f t="shared" si="19"/>
        <v>-5000.0000000149012</v>
      </c>
      <c r="M63" s="59">
        <f t="shared" si="19"/>
        <v>825497000</v>
      </c>
      <c r="N63" s="59">
        <f t="shared" si="19"/>
        <v>1683793000</v>
      </c>
      <c r="O63" s="59">
        <f>SUM(O51:O62)</f>
        <v>2884575000</v>
      </c>
      <c r="P63" s="60">
        <f>SUM(P51:P62)</f>
        <v>3638622622.5057936</v>
      </c>
      <c r="Q63" s="57"/>
    </row>
    <row r="64" spans="1:17" x14ac:dyDescent="0.2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</row>
    <row r="65" spans="2:17" x14ac:dyDescent="0.2">
      <c r="B65" s="41" t="s">
        <v>149</v>
      </c>
    </row>
    <row r="66" spans="2:17" x14ac:dyDescent="0.2">
      <c r="C66" s="41">
        <v>2011</v>
      </c>
      <c r="D66" s="41">
        <v>2012</v>
      </c>
      <c r="E66" s="41">
        <v>2013</v>
      </c>
      <c r="F66" s="41">
        <v>2014</v>
      </c>
      <c r="G66" s="41">
        <v>2015</v>
      </c>
      <c r="H66" s="41">
        <v>2016</v>
      </c>
      <c r="I66" s="41">
        <v>2017</v>
      </c>
      <c r="J66" s="41">
        <v>2018</v>
      </c>
      <c r="K66" s="41">
        <v>2019</v>
      </c>
      <c r="L66" s="41">
        <v>2020</v>
      </c>
      <c r="M66" s="41">
        <v>2021</v>
      </c>
      <c r="N66" s="41">
        <v>2022</v>
      </c>
      <c r="O66" s="41">
        <v>2023</v>
      </c>
      <c r="P66" s="41">
        <v>2024</v>
      </c>
    </row>
    <row r="67" spans="2:17" x14ac:dyDescent="0.2">
      <c r="B67" s="41" t="s">
        <v>6</v>
      </c>
      <c r="C67" s="47">
        <f>Biodiesel!C19*1000000</f>
        <v>35355000</v>
      </c>
      <c r="D67" s="47">
        <f>Biodiesel!D19*1000000</f>
        <v>73546000</v>
      </c>
      <c r="E67" s="47">
        <f>Biodiesel!E19*1000000</f>
        <v>68864000</v>
      </c>
      <c r="F67" s="47">
        <f>Biodiesel!F19*1000000</f>
        <v>72540000</v>
      </c>
      <c r="G67" s="47">
        <f>Biodiesel!G19*1000000</f>
        <v>72546000</v>
      </c>
      <c r="H67" s="47">
        <f>Biodiesel!H19*1000000</f>
        <v>104576000</v>
      </c>
      <c r="I67" s="47">
        <f>Biodiesel!I19*1000000</f>
        <v>92757000</v>
      </c>
      <c r="J67" s="47">
        <f>Biodiesel!J19*1000000</f>
        <v>125525000</v>
      </c>
      <c r="K67" s="47">
        <f>Biodiesel!K19*1000000</f>
        <v>143917000</v>
      </c>
      <c r="L67" s="47">
        <f>Biodiesel!L19*1000000</f>
        <v>134233000</v>
      </c>
      <c r="M67" s="47">
        <f>Biodiesel!M19*1000000</f>
        <v>140794000</v>
      </c>
      <c r="N67" s="47">
        <f>Biodiesel!N19*1000000</f>
        <v>119987000</v>
      </c>
      <c r="O67" s="47">
        <f>Biodiesel!O19*1000000</f>
        <v>137546000</v>
      </c>
      <c r="P67" s="47">
        <f>Biodiesel!P19*1000000</f>
        <v>127182000</v>
      </c>
      <c r="Q67" s="47"/>
    </row>
    <row r="68" spans="2:17" x14ac:dyDescent="0.2">
      <c r="B68" s="41" t="s">
        <v>7</v>
      </c>
      <c r="C68" s="47">
        <f>Biodiesel!C20*1000000</f>
        <v>40342000</v>
      </c>
      <c r="D68" s="47">
        <f>Biodiesel!D20*1000000</f>
        <v>79236000</v>
      </c>
      <c r="E68" s="47">
        <f>Biodiesel!E20*1000000</f>
        <v>70234000</v>
      </c>
      <c r="F68" s="47">
        <f>Biodiesel!F20*1000000</f>
        <v>75643000</v>
      </c>
      <c r="G68" s="47">
        <f>Biodiesel!G20*1000000</f>
        <v>77736000</v>
      </c>
      <c r="H68" s="47">
        <f>Biodiesel!H20*1000000</f>
        <v>105154000</v>
      </c>
      <c r="I68" s="47">
        <f>Biodiesel!I20*1000000</f>
        <v>93983000</v>
      </c>
      <c r="J68" s="47">
        <f>Biodiesel!J20*1000000</f>
        <v>127945000</v>
      </c>
      <c r="K68" s="47">
        <f>Biodiesel!K20*1000000</f>
        <v>130529000</v>
      </c>
      <c r="L68" s="47">
        <f>Biodiesel!L20*1000000</f>
        <v>131829000.00000001</v>
      </c>
      <c r="M68" s="47">
        <f>Biodiesel!M20*1000000</f>
        <v>108270000</v>
      </c>
      <c r="N68" s="47">
        <f>Biodiesel!N20*1000000</f>
        <v>113685000</v>
      </c>
      <c r="O68" s="47">
        <f>Biodiesel!O20*1000000</f>
        <v>119309000</v>
      </c>
      <c r="P68" s="47">
        <f>Biodiesel!P20*1000000</f>
        <v>125521000</v>
      </c>
      <c r="Q68" s="47"/>
    </row>
    <row r="69" spans="2:17" x14ac:dyDescent="0.2">
      <c r="B69" s="41" t="s">
        <v>8</v>
      </c>
      <c r="C69" s="47">
        <f>Biodiesel!C21*1000000</f>
        <v>59590000</v>
      </c>
      <c r="D69" s="47">
        <f>Biodiesel!D21*1000000</f>
        <v>94524000</v>
      </c>
      <c r="E69" s="47">
        <f>Biodiesel!E21*1000000</f>
        <v>101284000</v>
      </c>
      <c r="F69" s="47">
        <f>Biodiesel!F21*1000000</f>
        <v>99178000</v>
      </c>
      <c r="G69" s="47">
        <f>Biodiesel!G21*1000000</f>
        <v>97673000</v>
      </c>
      <c r="H69" s="47">
        <f>Biodiesel!H21*1000000</f>
        <v>120159000</v>
      </c>
      <c r="I69" s="47">
        <f>Biodiesel!I21*1000000</f>
        <v>115973000</v>
      </c>
      <c r="J69" s="47">
        <f>Biodiesel!J21*1000000</f>
        <v>149127000</v>
      </c>
      <c r="K69" s="47">
        <f>Biodiesel!K21*1000000</f>
        <v>140825000</v>
      </c>
      <c r="L69" s="47">
        <f>Biodiesel!L21*1000000</f>
        <v>150945000</v>
      </c>
      <c r="M69" s="47">
        <f>Biodiesel!M21*1000000</f>
        <v>150571000</v>
      </c>
      <c r="N69" s="47">
        <f>Biodiesel!N21*1000000</f>
        <v>132755000</v>
      </c>
      <c r="O69" s="47">
        <f>Biodiesel!O21*1000000</f>
        <v>139264000</v>
      </c>
      <c r="P69" s="47">
        <f>Biodiesel!P21*1000000</f>
        <v>135640000</v>
      </c>
      <c r="Q69" s="47"/>
    </row>
    <row r="70" spans="2:17" x14ac:dyDescent="0.2">
      <c r="B70" s="41" t="s">
        <v>9</v>
      </c>
      <c r="C70" s="47">
        <f>Biodiesel!C22*1000000</f>
        <v>71052000</v>
      </c>
      <c r="D70" s="47">
        <f>Biodiesel!D22*1000000</f>
        <v>93943000</v>
      </c>
      <c r="E70" s="47">
        <f>Biodiesel!E22*1000000</f>
        <v>107019000</v>
      </c>
      <c r="F70" s="47">
        <f>Biodiesel!F22*1000000</f>
        <v>93352000</v>
      </c>
      <c r="G70" s="47">
        <f>Biodiesel!G22*1000000</f>
        <v>107850000</v>
      </c>
      <c r="H70" s="47">
        <f>Biodiesel!H22*1000000</f>
        <v>119951000</v>
      </c>
      <c r="I70" s="47">
        <f>Biodiesel!I22*1000000</f>
        <v>126821000</v>
      </c>
      <c r="J70" s="47">
        <f>Biodiesel!J22*1000000</f>
        <v>142525000</v>
      </c>
      <c r="K70" s="47">
        <f>Biodiesel!K22*1000000</f>
        <v>152149000</v>
      </c>
      <c r="L70" s="47">
        <f>Biodiesel!L22*1000000</f>
        <v>143729000</v>
      </c>
      <c r="M70" s="47">
        <f>Biodiesel!M22*1000000</f>
        <v>144039000</v>
      </c>
      <c r="N70" s="47">
        <f>Biodiesel!N22*1000000</f>
        <v>126742000</v>
      </c>
      <c r="O70" s="47">
        <f>Biodiesel!O22*1000000</f>
        <v>133381000</v>
      </c>
      <c r="P70" s="47">
        <f>Biodiesel!P22*1000000</f>
        <v>133541000</v>
      </c>
      <c r="Q70" s="50"/>
    </row>
    <row r="71" spans="2:17" x14ac:dyDescent="0.2">
      <c r="B71" s="41" t="s">
        <v>10</v>
      </c>
      <c r="C71" s="47">
        <f>Biodiesel!C23*1000000</f>
        <v>77197000</v>
      </c>
      <c r="D71" s="47">
        <f>Biodiesel!D23*1000000</f>
        <v>101970000</v>
      </c>
      <c r="E71" s="47">
        <f>Biodiesel!E23*1000000</f>
        <v>111101000</v>
      </c>
      <c r="F71" s="47">
        <f>Biodiesel!F23*1000000</f>
        <v>106314000</v>
      </c>
      <c r="G71" s="47">
        <f>Biodiesel!G23*1000000</f>
        <v>116940000</v>
      </c>
      <c r="H71" s="47">
        <f>Biodiesel!H23*1000000</f>
        <v>135344000</v>
      </c>
      <c r="I71" s="47">
        <f>Biodiesel!I23*1000000</f>
        <v>136181000</v>
      </c>
      <c r="J71" s="47">
        <f>Biodiesel!J23*1000000</f>
        <v>151312000</v>
      </c>
      <c r="K71" s="47">
        <f>Biodiesel!K23*1000000</f>
        <v>154590000</v>
      </c>
      <c r="L71" s="47">
        <f>Biodiesel!L23*1000000</f>
        <v>152480000</v>
      </c>
      <c r="M71" s="47">
        <f>Biodiesel!M23*1000000</f>
        <v>148546000</v>
      </c>
      <c r="N71" s="47">
        <f>Biodiesel!N23*1000000</f>
        <v>136148000</v>
      </c>
      <c r="O71" s="47">
        <f>Biodiesel!O23*1000000</f>
        <v>154771000</v>
      </c>
      <c r="P71" s="47">
        <f>Biodiesel!P23*1000000</f>
        <v>143057000</v>
      </c>
      <c r="Q71" s="50"/>
    </row>
    <row r="72" spans="2:17" x14ac:dyDescent="0.2">
      <c r="B72" s="41" t="s">
        <v>11</v>
      </c>
      <c r="C72" s="47">
        <f>Biodiesel!C24*1000000</f>
        <v>81391000</v>
      </c>
      <c r="D72" s="47">
        <f>Biodiesel!D24*1000000</f>
        <v>93374000</v>
      </c>
      <c r="E72" s="47">
        <f>Biodiesel!E24*1000000</f>
        <v>113369000</v>
      </c>
      <c r="F72" s="47">
        <f>Biodiesel!F24*1000000</f>
        <v>111070000</v>
      </c>
      <c r="G72" s="47">
        <f>Biodiesel!G24*1000000</f>
        <v>121824000</v>
      </c>
      <c r="H72" s="47">
        <f>Biodiesel!H24*1000000</f>
        <v>134620000</v>
      </c>
      <c r="I72" s="47">
        <f>Biodiesel!I24*1000000</f>
        <v>140459000</v>
      </c>
      <c r="J72" s="47">
        <f>Biodiesel!J24*1000000</f>
        <v>158867000</v>
      </c>
      <c r="K72" s="47">
        <f>Biodiesel!K24*1000000</f>
        <v>141553000</v>
      </c>
      <c r="L72" s="47">
        <f>Biodiesel!L24*1000000</f>
        <v>150800000</v>
      </c>
      <c r="M72" s="47">
        <f>Biodiesel!M24*1000000</f>
        <v>143429000</v>
      </c>
      <c r="N72" s="47">
        <f>Biodiesel!N24*1000000</f>
        <v>137149000</v>
      </c>
      <c r="O72" s="47">
        <f>Biodiesel!O24*1000000</f>
        <v>150687000</v>
      </c>
      <c r="P72" s="47">
        <f>Biodiesel!P24*1000000</f>
        <v>141521000</v>
      </c>
      <c r="Q72" s="50"/>
    </row>
    <row r="73" spans="2:17" x14ac:dyDescent="0.2">
      <c r="B73" s="41" t="s">
        <v>12</v>
      </c>
      <c r="C73" s="47">
        <f>Biodiesel!C25*1000000</f>
        <v>91680000</v>
      </c>
      <c r="D73" s="47">
        <f>Biodiesel!D25*1000000</f>
        <v>89317000</v>
      </c>
      <c r="E73" s="47">
        <f>Biodiesel!E25*1000000</f>
        <v>129026000.00000001</v>
      </c>
      <c r="F73" s="47">
        <f>Biodiesel!F25*1000000</f>
        <v>122887000</v>
      </c>
      <c r="G73" s="47">
        <f>Biodiesel!G25*1000000</f>
        <v>121076000</v>
      </c>
      <c r="H73" s="47">
        <f>Biodiesel!H25*1000000</f>
        <v>139887000</v>
      </c>
      <c r="I73" s="47">
        <f>Biodiesel!I25*1000000</f>
        <v>149513000</v>
      </c>
      <c r="J73" s="47">
        <f>Biodiesel!J25*1000000</f>
        <v>166331000</v>
      </c>
      <c r="K73" s="47">
        <f>Biodiesel!K25*1000000</f>
        <v>158610000</v>
      </c>
      <c r="L73" s="47">
        <f>Biodiesel!L25*1000000</f>
        <v>161669000</v>
      </c>
      <c r="M73" s="47">
        <f>Biodiesel!M25*1000000</f>
        <v>149170000</v>
      </c>
      <c r="N73" s="47">
        <f>Biodiesel!N25*1000000</f>
        <v>146580000</v>
      </c>
      <c r="O73" s="47">
        <f>Biodiesel!O25*1000000</f>
        <v>152161000</v>
      </c>
      <c r="P73" s="47">
        <f>Biodiesel!P25*1000000</f>
        <v>146057000</v>
      </c>
      <c r="Q73" s="50"/>
    </row>
    <row r="74" spans="2:17" x14ac:dyDescent="0.2">
      <c r="B74" s="41" t="s">
        <v>13</v>
      </c>
      <c r="C74" s="47">
        <f>Biodiesel!C26*1000000</f>
        <v>95485000</v>
      </c>
      <c r="D74" s="47">
        <f>Biodiesel!D26*1000000</f>
        <v>91405000</v>
      </c>
      <c r="E74" s="47">
        <f>Biodiesel!E26*1000000</f>
        <v>129619000</v>
      </c>
      <c r="F74" s="47">
        <f>Biodiesel!F26*1000000</f>
        <v>125437000</v>
      </c>
      <c r="G74" s="47">
        <f>Biodiesel!G26*1000000</f>
        <v>123176000</v>
      </c>
      <c r="H74" s="47">
        <f>Biodiesel!H26*1000000</f>
        <v>142177000</v>
      </c>
      <c r="I74" s="47">
        <f>Biodiesel!I26*1000000</f>
        <v>149486000</v>
      </c>
      <c r="J74" s="47">
        <f>Biodiesel!J26*1000000</f>
        <v>172280000</v>
      </c>
      <c r="K74" s="47">
        <f>Biodiesel!K26*1000000</f>
        <v>155898000</v>
      </c>
      <c r="L74" s="47">
        <f>Biodiesel!L26*1000000</f>
        <v>162609000</v>
      </c>
      <c r="M74" s="47">
        <f>Biodiesel!M26*1000000</f>
        <v>149502000</v>
      </c>
      <c r="N74" s="47">
        <f>Biodiesel!N26*1000000</f>
        <v>147787000</v>
      </c>
      <c r="O74" s="47">
        <f>Biodiesel!O26*1000000</f>
        <v>144845000</v>
      </c>
      <c r="P74" s="50">
        <f>Biodiesel!P26*1000000</f>
        <v>139724190</v>
      </c>
      <c r="Q74" s="50"/>
    </row>
    <row r="75" spans="2:17" x14ac:dyDescent="0.2">
      <c r="B75" s="41" t="s">
        <v>14</v>
      </c>
      <c r="C75" s="47">
        <f>Biodiesel!C27*1000000</f>
        <v>95942000</v>
      </c>
      <c r="D75" s="47">
        <f>Biodiesel!D27*1000000</f>
        <v>81853000</v>
      </c>
      <c r="E75" s="47">
        <f>Biodiesel!E27*1000000</f>
        <v>127065000</v>
      </c>
      <c r="F75" s="47">
        <f>Biodiesel!F27*1000000</f>
        <v>115677000</v>
      </c>
      <c r="G75" s="47">
        <f>Biodiesel!G27*1000000</f>
        <v>104119000</v>
      </c>
      <c r="H75" s="47">
        <f>Biodiesel!H27*1000000</f>
        <v>134667000</v>
      </c>
      <c r="I75" s="47">
        <f>Biodiesel!I27*1000000</f>
        <v>147293000</v>
      </c>
      <c r="J75" s="47">
        <f>Biodiesel!J27*1000000</f>
        <v>164396000</v>
      </c>
      <c r="K75" s="47">
        <f>Biodiesel!K27*1000000</f>
        <v>141846000</v>
      </c>
      <c r="L75" s="47">
        <f>Biodiesel!L27*1000000</f>
        <v>159161000</v>
      </c>
      <c r="M75" s="47">
        <f>Biodiesel!M27*1000000</f>
        <v>133764999.99999999</v>
      </c>
      <c r="N75" s="47">
        <f>Biodiesel!N27*1000000</f>
        <v>140709000</v>
      </c>
      <c r="O75" s="47">
        <f>Biodiesel!O27*1000000</f>
        <v>144389000</v>
      </c>
      <c r="P75" s="50">
        <f>Biodiesel!P27*1000000</f>
        <v>134537885</v>
      </c>
      <c r="Q75" s="50"/>
    </row>
    <row r="76" spans="2:17" x14ac:dyDescent="0.2">
      <c r="B76" s="41" t="s">
        <v>15</v>
      </c>
      <c r="C76" s="47">
        <f>Biodiesel!C28*1000000</f>
        <v>105342000</v>
      </c>
      <c r="D76" s="47">
        <f>Biodiesel!D28*1000000</f>
        <v>75283000</v>
      </c>
      <c r="E76" s="47">
        <f>Biodiesel!E28*1000000</f>
        <v>137434000</v>
      </c>
      <c r="F76" s="47">
        <f>Biodiesel!F28*1000000</f>
        <v>122988000</v>
      </c>
      <c r="G76" s="47">
        <f>Biodiesel!G28*1000000</f>
        <v>106467000</v>
      </c>
      <c r="H76" s="47">
        <f>Biodiesel!H28*1000000</f>
        <v>144192000</v>
      </c>
      <c r="I76" s="47">
        <f>Biodiesel!I28*1000000</f>
        <v>147624000</v>
      </c>
      <c r="J76" s="47">
        <f>Biodiesel!J28*1000000</f>
        <v>170952000</v>
      </c>
      <c r="K76" s="47">
        <f>Biodiesel!K28*1000000</f>
        <v>144314000</v>
      </c>
      <c r="L76" s="47">
        <f>Biodiesel!L28*1000000</f>
        <v>157203000</v>
      </c>
      <c r="M76" s="47">
        <f>Biodiesel!M28*1000000</f>
        <v>145872000</v>
      </c>
      <c r="N76" s="47">
        <f>Biodiesel!N28*1000000</f>
        <v>145484000</v>
      </c>
      <c r="O76" s="47">
        <f>Biodiesel!O28*1000000</f>
        <v>146773000</v>
      </c>
      <c r="P76" s="50">
        <f>Biodiesel!P28*1000000</f>
        <v>148097836</v>
      </c>
      <c r="Q76" s="50"/>
    </row>
    <row r="77" spans="2:17" x14ac:dyDescent="0.2">
      <c r="B77" s="41" t="s">
        <v>16</v>
      </c>
      <c r="C77" s="47">
        <f>Biodiesel!C29*1000000</f>
        <v>104747000</v>
      </c>
      <c r="D77" s="47">
        <f>Biodiesel!D29*1000000</f>
        <v>57229000</v>
      </c>
      <c r="E77" s="47">
        <f>Biodiesel!E29*1000000</f>
        <v>129341000.00000001</v>
      </c>
      <c r="F77" s="47">
        <f>Biodiesel!F29*1000000</f>
        <v>109639000</v>
      </c>
      <c r="G77" s="47">
        <f>Biodiesel!G29*1000000</f>
        <v>105883000</v>
      </c>
      <c r="H77" s="47">
        <f>Biodiesel!H29*1000000</f>
        <v>143152000</v>
      </c>
      <c r="I77" s="47">
        <f>Biodiesel!I29*1000000</f>
        <v>147980000</v>
      </c>
      <c r="J77" s="47">
        <f>Biodiesel!J29*1000000</f>
        <v>160273000</v>
      </c>
      <c r="K77" s="47">
        <f>Biodiesel!K29*1000000</f>
        <v>127424000</v>
      </c>
      <c r="L77" s="47">
        <f>Biodiesel!L29*1000000</f>
        <v>152067000</v>
      </c>
      <c r="M77" s="47">
        <f>Biodiesel!M29*1000000</f>
        <v>141104000</v>
      </c>
      <c r="N77" s="47">
        <f>Biodiesel!N29*1000000</f>
        <v>142108000</v>
      </c>
      <c r="O77" s="47">
        <f>Biodiesel!O29*1000000</f>
        <v>135687000</v>
      </c>
      <c r="P77" s="50">
        <f>Biodiesel!P29*1000000</f>
        <v>133353588</v>
      </c>
      <c r="Q77" s="50"/>
    </row>
    <row r="78" spans="2:17" x14ac:dyDescent="0.2">
      <c r="B78" s="41" t="s">
        <v>17</v>
      </c>
      <c r="C78" s="47">
        <f>Biodiesel!C30*1000000</f>
        <v>109357000</v>
      </c>
      <c r="D78" s="47">
        <f>Biodiesel!D30*1000000</f>
        <v>59032000</v>
      </c>
      <c r="E78" s="47">
        <f>Biodiesel!E30*1000000</f>
        <v>135100000</v>
      </c>
      <c r="F78" s="47">
        <f>Biodiesel!F30*1000000</f>
        <v>124254000</v>
      </c>
      <c r="G78" s="47">
        <f>Biodiesel!G30*1000000</f>
        <v>108057000</v>
      </c>
      <c r="H78" s="47">
        <f>Biodiesel!H30*1000000</f>
        <v>143851000</v>
      </c>
      <c r="I78" s="47">
        <f>Biodiesel!I30*1000000</f>
        <v>147639000</v>
      </c>
      <c r="J78" s="47">
        <f>Biodiesel!J30*1000000</f>
        <v>167785000</v>
      </c>
      <c r="K78" s="47">
        <f>Biodiesel!K30*1000000</f>
        <v>132850000</v>
      </c>
      <c r="L78" s="47">
        <f>Biodiesel!L30*1000000</f>
        <v>157974000</v>
      </c>
      <c r="M78" s="47">
        <f>Biodiesel!M30*1000000</f>
        <v>153763000</v>
      </c>
      <c r="N78" s="47">
        <f>Biodiesel!N30*1000000</f>
        <v>132893000</v>
      </c>
      <c r="O78" s="47">
        <f>Biodiesel!O30*1000000</f>
        <v>138014000</v>
      </c>
      <c r="P78" s="50">
        <f>Biodiesel!P30*1000000</f>
        <v>174921835</v>
      </c>
      <c r="Q78" s="50"/>
    </row>
    <row r="79" spans="2:17" x14ac:dyDescent="0.2">
      <c r="B79" s="41" t="s">
        <v>18</v>
      </c>
      <c r="C79" s="47">
        <f>SUM(C67:C78)</f>
        <v>967480000</v>
      </c>
      <c r="D79" s="47">
        <f t="shared" ref="D79:M79" si="20">SUM(D67:D78)</f>
        <v>990712000</v>
      </c>
      <c r="E79" s="47">
        <f t="shared" si="20"/>
        <v>1359456000</v>
      </c>
      <c r="F79" s="47">
        <f t="shared" si="20"/>
        <v>1278979000</v>
      </c>
      <c r="G79" s="47">
        <f t="shared" si="20"/>
        <v>1263347000</v>
      </c>
      <c r="H79" s="47">
        <f t="shared" si="20"/>
        <v>1567730000</v>
      </c>
      <c r="I79" s="47">
        <f t="shared" si="20"/>
        <v>1595709000</v>
      </c>
      <c r="J79" s="47">
        <f t="shared" si="20"/>
        <v>1857318000</v>
      </c>
      <c r="K79" s="47">
        <f t="shared" si="20"/>
        <v>1724505000</v>
      </c>
      <c r="L79" s="47">
        <f t="shared" si="20"/>
        <v>1814699000</v>
      </c>
      <c r="M79" s="47">
        <f t="shared" si="20"/>
        <v>1708825000</v>
      </c>
      <c r="N79" s="47">
        <f>SUM(N67:N78)</f>
        <v>1622027000</v>
      </c>
      <c r="O79" s="47">
        <f>SUM(O67:O78)</f>
        <v>1696827000</v>
      </c>
      <c r="P79" s="50">
        <f>SUM(P67:P78)</f>
        <v>1683154334</v>
      </c>
      <c r="Q79" s="50"/>
    </row>
  </sheetData>
  <hyperlinks>
    <hyperlink ref="S2" r:id="rId1" xr:uid="{2011E900-E326-42C8-9A29-781B87C2DA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6</vt:i4>
      </vt:variant>
    </vt:vector>
  </HeadingPairs>
  <TitlesOfParts>
    <vt:vector size="16" baseType="lpstr">
      <vt:lpstr>Graph Dashboard</vt:lpstr>
      <vt:lpstr>Dom Production</vt:lpstr>
      <vt:lpstr>Feedstock Yields</vt:lpstr>
      <vt:lpstr>Feedstock Use</vt:lpstr>
      <vt:lpstr>Feedstock Use - chart data</vt:lpstr>
      <vt:lpstr>BBD Prod and Profit - data</vt:lpstr>
      <vt:lpstr>Biodiesel</vt:lpstr>
      <vt:lpstr>Renewable Diesel</vt:lpstr>
      <vt:lpstr>SAF</vt:lpstr>
      <vt:lpstr>Renewable Fuel - EIA</vt:lpstr>
      <vt:lpstr>Domestic BBD Production Chart</vt:lpstr>
      <vt:lpstr>Chart1</vt:lpstr>
      <vt:lpstr>Chart2</vt:lpstr>
      <vt:lpstr>Chart3</vt:lpstr>
      <vt:lpstr>Chart4</vt:lpstr>
      <vt:lpstr>Chart5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2025-07-09T12:03:34Z</dcterms:created>
  <dcterms:modified xsi:type="dcterms:W3CDTF">2025-09-18T11:44:35Z</dcterms:modified>
</cp:coreProperties>
</file>