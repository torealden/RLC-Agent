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5E54CE3-0642-4723-8C8A-738CCA43B955}" xr6:coauthVersionLast="47" xr6:coauthVersionMax="47" xr10:uidLastSave="{00000000-0000-0000-0000-000000000000}"/>
  <bookViews>
    <workbookView xWindow="-18750" yWindow="1515" windowWidth="16440" windowHeight="13545" xr2:uid="{D52B9F99-A274-4171-82C6-3E4B33D763AE}"/>
  </bookViews>
  <sheets>
    <sheet name="Data Sources" sheetId="1" r:id="rId1"/>
    <sheet name="Capacity" sheetId="2" r:id="rId2"/>
    <sheet name="annual_data" sheetId="3" r:id="rId3"/>
    <sheet name="monthly_data" sheetId="4" r:id="rId4"/>
    <sheet name="BD" sheetId="5" r:id="rId5"/>
    <sheet name="RD" sheetId="6" r:id="rId6"/>
    <sheet name="SAF" sheetId="7" r:id="rId7"/>
    <sheet name="Jet Fuel" sheetId="8" r:id="rId8"/>
    <sheet name="Diesel" sheetId="9" r:id="rId9"/>
  </sheets>
  <definedNames>
    <definedName name="_xlnm.Print_Area" localSheetId="4">BD!$A$2:$I$12</definedName>
    <definedName name="_xlnm.Print_Area" localSheetId="5">RD!$A$2:$I$12</definedName>
    <definedName name="Z_11027877_8754_42DF_AEF4_DF91AFC7E3D7_.wvu.PrintArea" localSheetId="4" hidden="1">BD!$A$1:$F$12</definedName>
    <definedName name="Z_11027877_8754_42DF_AEF4_DF91AFC7E3D7_.wvu.PrintArea" localSheetId="5" hidden="1">RD!$A$1:$F$12</definedName>
    <definedName name="Z_2C7BB91D_B6C7_4C7E_824A_AD371B7FEFAE_.wvu.Cols" localSheetId="4" hidden="1">BD!#REF!</definedName>
    <definedName name="Z_2C7BB91D_B6C7_4C7E_824A_AD371B7FEFAE_.wvu.Cols" localSheetId="5" hidden="1">RD!#REF!</definedName>
    <definedName name="Z_2C7BB91D_B6C7_4C7E_824A_AD371B7FEFAE_.wvu.PrintArea" localSheetId="4" hidden="1">BD!$A$1:$F$12</definedName>
    <definedName name="Z_2C7BB91D_B6C7_4C7E_824A_AD371B7FEFAE_.wvu.PrintArea" localSheetId="5" hidden="1">RD!$A$1:$F$12</definedName>
    <definedName name="Z_3389ABBF_4A47_4E3C_9E30_013DEA936013_.wvu.PrintArea" localSheetId="4" hidden="1">BD!$A$1:$F$12</definedName>
    <definedName name="Z_3389ABBF_4A47_4E3C_9E30_013DEA936013_.wvu.PrintArea" localSheetId="5" hidden="1">RD!$A$1:$F$12</definedName>
    <definedName name="Z_63FD8648_A18A_466A_B152_26B7B5EB5F8A_.wvu.PrintArea" localSheetId="4" hidden="1">BD!$A$1:$F$12</definedName>
    <definedName name="Z_63FD8648_A18A_466A_B152_26B7B5EB5F8A_.wvu.PrintArea" localSheetId="5" hidden="1">RD!$A$1:$F$12</definedName>
    <definedName name="Z_896AD9BE_343E_4241_9567_E97EA3C7D73E_.wvu.PrintArea" localSheetId="4" hidden="1">BD!$A$1:$F$12</definedName>
    <definedName name="Z_896AD9BE_343E_4241_9567_E97EA3C7D73E_.wvu.PrintArea" localSheetId="5" hidden="1">RD!$A$1:$F$12</definedName>
    <definedName name="Z_8F904101_0CD0_4EB8_918C_6C9451EECAE3_.wvu.PrintArea" localSheetId="4" hidden="1">BD!$A$1:$F$12</definedName>
    <definedName name="Z_8F904101_0CD0_4EB8_918C_6C9451EECAE3_.wvu.PrintArea" localSheetId="5" hidden="1">RD!$A$1:$F$12</definedName>
    <definedName name="Z_A9F82761_E541_4BC7_AF39_E754A8EE4364_.wvu.PrintArea" localSheetId="4" hidden="1">BD!$A$1:$F$12</definedName>
    <definedName name="Z_A9F82761_E541_4BC7_AF39_E754A8EE4364_.wvu.PrintArea" localSheetId="5" hidden="1">RD!$A$1:$F$12</definedName>
    <definedName name="Z_BDBF5671_C3A9_474A_BD59_73FB0F340729_.wvu.PrintArea" localSheetId="4" hidden="1">BD!$A$1:$F$12</definedName>
    <definedName name="Z_BDBF5671_C3A9_474A_BD59_73FB0F340729_.wvu.PrintArea" localSheetId="5" hidden="1">RD!$A$1:$F$12</definedName>
    <definedName name="Z_BE7D4983_2668_442B_8E12_AE767275E8F1_.wvu.PrintArea" localSheetId="4" hidden="1">BD!$A$1:$F$12</definedName>
    <definedName name="Z_BE7D4983_2668_442B_8E12_AE767275E8F1_.wvu.PrintArea" localSheetId="5" hidden="1">RD!$A$1:$F$12</definedName>
    <definedName name="Z_F5DE2E4F_A48B_4F36_85E7_0AB7ADB29149_.wvu.PrintArea" localSheetId="4" hidden="1">BD!$A$1:$F$12</definedName>
    <definedName name="Z_F5DE2E4F_A48B_4F36_85E7_0AB7ADB29149_.wvu.PrintArea" localSheetId="5" hidden="1">RD!$A$1:$F$12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5" i="9" l="1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V51" i="9"/>
  <c r="U51" i="9"/>
  <c r="T51" i="9"/>
  <c r="S51" i="9"/>
  <c r="P51" i="9"/>
  <c r="O51" i="9"/>
  <c r="L51" i="9"/>
  <c r="J51" i="9"/>
  <c r="H51" i="9"/>
  <c r="G51" i="9"/>
  <c r="F51" i="9"/>
  <c r="E51" i="9"/>
  <c r="D51" i="9"/>
  <c r="C51" i="9"/>
  <c r="B51" i="9"/>
  <c r="V35" i="9"/>
  <c r="U35" i="9"/>
  <c r="T35" i="9"/>
  <c r="S35" i="9"/>
  <c r="R35" i="9"/>
  <c r="R51" i="9" s="1"/>
  <c r="Q35" i="9"/>
  <c r="Q51" i="9" s="1"/>
  <c r="P35" i="9"/>
  <c r="O35" i="9"/>
  <c r="N35" i="9"/>
  <c r="N51" i="9" s="1"/>
  <c r="M35" i="9"/>
  <c r="M51" i="9" s="1"/>
  <c r="L35" i="9"/>
  <c r="K35" i="9"/>
  <c r="K51" i="9" s="1"/>
  <c r="J35" i="9"/>
  <c r="I35" i="9"/>
  <c r="I51" i="9" s="1"/>
  <c r="H35" i="9"/>
  <c r="G35" i="9"/>
  <c r="F35" i="9"/>
  <c r="E35" i="9"/>
  <c r="D35" i="9"/>
  <c r="C35" i="9"/>
  <c r="B35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K91" i="8"/>
  <c r="K10" i="8" s="1"/>
  <c r="J91" i="8"/>
  <c r="J10" i="8" s="1"/>
  <c r="K3" i="8" s="1"/>
  <c r="I91" i="8"/>
  <c r="I10" i="8" s="1"/>
  <c r="J3" i="8" s="1"/>
  <c r="H91" i="8"/>
  <c r="H10" i="8" s="1"/>
  <c r="I3" i="8" s="1"/>
  <c r="G91" i="8"/>
  <c r="G10" i="8" s="1"/>
  <c r="H3" i="8" s="1"/>
  <c r="F91" i="8"/>
  <c r="F10" i="8" s="1"/>
  <c r="G3" i="8" s="1"/>
  <c r="E91" i="8"/>
  <c r="E10" i="8" s="1"/>
  <c r="F3" i="8" s="1"/>
  <c r="D91" i="8"/>
  <c r="C91" i="8"/>
  <c r="B91" i="8"/>
  <c r="K90" i="8"/>
  <c r="J90" i="8"/>
  <c r="I90" i="8"/>
  <c r="H90" i="8"/>
  <c r="G90" i="8"/>
  <c r="F90" i="8"/>
  <c r="E90" i="8"/>
  <c r="D90" i="8"/>
  <c r="C90" i="8"/>
  <c r="B90" i="8"/>
  <c r="K89" i="8"/>
  <c r="J89" i="8"/>
  <c r="I89" i="8"/>
  <c r="H89" i="8"/>
  <c r="G89" i="8"/>
  <c r="F89" i="8"/>
  <c r="E89" i="8"/>
  <c r="D89" i="8"/>
  <c r="C89" i="8"/>
  <c r="B89" i="8"/>
  <c r="K88" i="8"/>
  <c r="J88" i="8"/>
  <c r="I88" i="8"/>
  <c r="H88" i="8"/>
  <c r="G88" i="8"/>
  <c r="F88" i="8"/>
  <c r="E88" i="8"/>
  <c r="D88" i="8"/>
  <c r="C88" i="8"/>
  <c r="B88" i="8"/>
  <c r="K87" i="8"/>
  <c r="J87" i="8"/>
  <c r="I87" i="8"/>
  <c r="H87" i="8"/>
  <c r="G87" i="8"/>
  <c r="F87" i="8"/>
  <c r="E87" i="8"/>
  <c r="D87" i="8"/>
  <c r="C87" i="8"/>
  <c r="B87" i="8"/>
  <c r="K86" i="8"/>
  <c r="J86" i="8"/>
  <c r="I86" i="8"/>
  <c r="H86" i="8"/>
  <c r="G86" i="8"/>
  <c r="F86" i="8"/>
  <c r="E86" i="8"/>
  <c r="D86" i="8"/>
  <c r="C86" i="8"/>
  <c r="B86" i="8"/>
  <c r="K85" i="8"/>
  <c r="J85" i="8"/>
  <c r="I85" i="8"/>
  <c r="H85" i="8"/>
  <c r="G85" i="8"/>
  <c r="F85" i="8"/>
  <c r="E85" i="8"/>
  <c r="D85" i="8"/>
  <c r="C85" i="8"/>
  <c r="B85" i="8"/>
  <c r="K84" i="8"/>
  <c r="J84" i="8"/>
  <c r="I84" i="8"/>
  <c r="H84" i="8"/>
  <c r="G84" i="8"/>
  <c r="F84" i="8"/>
  <c r="E84" i="8"/>
  <c r="D84" i="8"/>
  <c r="C84" i="8"/>
  <c r="B84" i="8"/>
  <c r="K83" i="8"/>
  <c r="J83" i="8"/>
  <c r="I83" i="8"/>
  <c r="H83" i="8"/>
  <c r="G83" i="8"/>
  <c r="F83" i="8"/>
  <c r="E83" i="8"/>
  <c r="D83" i="8"/>
  <c r="C83" i="8"/>
  <c r="B83" i="8"/>
  <c r="K82" i="8"/>
  <c r="J82" i="8"/>
  <c r="I82" i="8"/>
  <c r="H82" i="8"/>
  <c r="G82" i="8"/>
  <c r="F82" i="8"/>
  <c r="E82" i="8"/>
  <c r="D82" i="8"/>
  <c r="C82" i="8"/>
  <c r="B82" i="8"/>
  <c r="L81" i="8"/>
  <c r="K81" i="8"/>
  <c r="J81" i="8"/>
  <c r="I81" i="8"/>
  <c r="H81" i="8"/>
  <c r="G81" i="8"/>
  <c r="F81" i="8"/>
  <c r="E81" i="8"/>
  <c r="D81" i="8"/>
  <c r="C81" i="8"/>
  <c r="B81" i="8"/>
  <c r="L80" i="8"/>
  <c r="K80" i="8"/>
  <c r="J80" i="8"/>
  <c r="I80" i="8"/>
  <c r="H80" i="8"/>
  <c r="G80" i="8"/>
  <c r="F80" i="8"/>
  <c r="E80" i="8"/>
  <c r="D80" i="8"/>
  <c r="C80" i="8"/>
  <c r="B80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K75" i="8"/>
  <c r="J75" i="8"/>
  <c r="K74" i="8"/>
  <c r="J74" i="8"/>
  <c r="I74" i="8"/>
  <c r="G74" i="8"/>
  <c r="F74" i="8"/>
  <c r="E74" i="8"/>
  <c r="H73" i="8"/>
  <c r="G73" i="8"/>
  <c r="F73" i="8"/>
  <c r="C73" i="8"/>
  <c r="B73" i="8"/>
  <c r="I72" i="8"/>
  <c r="H72" i="8"/>
  <c r="J71" i="8"/>
  <c r="I71" i="8"/>
  <c r="H71" i="8"/>
  <c r="E71" i="8"/>
  <c r="B71" i="8"/>
  <c r="E70" i="8"/>
  <c r="D70" i="8"/>
  <c r="C70" i="8"/>
  <c r="B70" i="8"/>
  <c r="K69" i="8"/>
  <c r="J69" i="8"/>
  <c r="G68" i="8"/>
  <c r="F68" i="8"/>
  <c r="E68" i="8"/>
  <c r="D68" i="8"/>
  <c r="B68" i="8"/>
  <c r="C67" i="8"/>
  <c r="B67" i="8"/>
  <c r="D66" i="8"/>
  <c r="L65" i="8"/>
  <c r="G65" i="8"/>
  <c r="E65" i="8"/>
  <c r="D65" i="8"/>
  <c r="C65" i="8"/>
  <c r="B65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C60" i="8"/>
  <c r="C8" i="8" s="1"/>
  <c r="K59" i="8"/>
  <c r="J59" i="8"/>
  <c r="I59" i="8"/>
  <c r="H59" i="8"/>
  <c r="G59" i="8"/>
  <c r="F59" i="8"/>
  <c r="E59" i="8"/>
  <c r="D59" i="8"/>
  <c r="C59" i="8"/>
  <c r="B59" i="8"/>
  <c r="K58" i="8"/>
  <c r="J58" i="8"/>
  <c r="I58" i="8"/>
  <c r="H58" i="8"/>
  <c r="G58" i="8"/>
  <c r="F58" i="8"/>
  <c r="E58" i="8"/>
  <c r="D58" i="8"/>
  <c r="C58" i="8"/>
  <c r="B58" i="8"/>
  <c r="B60" i="8" s="1"/>
  <c r="B8" i="8" s="1"/>
  <c r="K57" i="8"/>
  <c r="J57" i="8"/>
  <c r="I57" i="8"/>
  <c r="H57" i="8"/>
  <c r="G57" i="8"/>
  <c r="F57" i="8"/>
  <c r="E57" i="8"/>
  <c r="D57" i="8"/>
  <c r="C57" i="8"/>
  <c r="B57" i="8"/>
  <c r="K56" i="8"/>
  <c r="J56" i="8"/>
  <c r="I56" i="8"/>
  <c r="H56" i="8"/>
  <c r="G56" i="8"/>
  <c r="F56" i="8"/>
  <c r="E56" i="8"/>
  <c r="D56" i="8"/>
  <c r="C56" i="8"/>
  <c r="B56" i="8"/>
  <c r="K55" i="8"/>
  <c r="J55" i="8"/>
  <c r="I55" i="8"/>
  <c r="H55" i="8"/>
  <c r="G55" i="8"/>
  <c r="F55" i="8"/>
  <c r="E55" i="8"/>
  <c r="D55" i="8"/>
  <c r="C55" i="8"/>
  <c r="B55" i="8"/>
  <c r="K54" i="8"/>
  <c r="J54" i="8"/>
  <c r="I54" i="8"/>
  <c r="H54" i="8"/>
  <c r="G54" i="8"/>
  <c r="F54" i="8"/>
  <c r="E54" i="8"/>
  <c r="D54" i="8"/>
  <c r="C54" i="8"/>
  <c r="B54" i="8"/>
  <c r="K53" i="8"/>
  <c r="J53" i="8"/>
  <c r="I53" i="8"/>
  <c r="H53" i="8"/>
  <c r="G53" i="8"/>
  <c r="F53" i="8"/>
  <c r="E53" i="8"/>
  <c r="D53" i="8"/>
  <c r="C53" i="8"/>
  <c r="B53" i="8"/>
  <c r="K52" i="8"/>
  <c r="J52" i="8"/>
  <c r="I52" i="8"/>
  <c r="H52" i="8"/>
  <c r="G52" i="8"/>
  <c r="F52" i="8"/>
  <c r="E52" i="8"/>
  <c r="D52" i="8"/>
  <c r="C52" i="8"/>
  <c r="B52" i="8"/>
  <c r="K51" i="8"/>
  <c r="J51" i="8"/>
  <c r="I51" i="8"/>
  <c r="H51" i="8"/>
  <c r="G51" i="8"/>
  <c r="F51" i="8"/>
  <c r="E51" i="8"/>
  <c r="D51" i="8"/>
  <c r="D60" i="8" s="1"/>
  <c r="D8" i="8" s="1"/>
  <c r="C51" i="8"/>
  <c r="B51" i="8"/>
  <c r="K50" i="8"/>
  <c r="J50" i="8"/>
  <c r="I50" i="8"/>
  <c r="H50" i="8"/>
  <c r="G50" i="8"/>
  <c r="F50" i="8"/>
  <c r="E50" i="8"/>
  <c r="D50" i="8"/>
  <c r="C50" i="8"/>
  <c r="B50" i="8"/>
  <c r="L49" i="8"/>
  <c r="K49" i="8"/>
  <c r="J49" i="8"/>
  <c r="I49" i="8"/>
  <c r="H49" i="8"/>
  <c r="G49" i="8"/>
  <c r="F49" i="8"/>
  <c r="E49" i="8"/>
  <c r="D49" i="8"/>
  <c r="C49" i="8"/>
  <c r="B49" i="8"/>
  <c r="L48" i="8"/>
  <c r="K48" i="8"/>
  <c r="J48" i="8"/>
  <c r="I48" i="8"/>
  <c r="H48" i="8"/>
  <c r="G48" i="8"/>
  <c r="F48" i="8"/>
  <c r="E48" i="8"/>
  <c r="D48" i="8"/>
  <c r="C48" i="8"/>
  <c r="B48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K43" i="8"/>
  <c r="J43" i="8"/>
  <c r="I43" i="8"/>
  <c r="H43" i="8"/>
  <c r="G43" i="8"/>
  <c r="F43" i="8"/>
  <c r="E43" i="8"/>
  <c r="D43" i="8"/>
  <c r="C43" i="8"/>
  <c r="B43" i="8"/>
  <c r="K42" i="8"/>
  <c r="J42" i="8"/>
  <c r="I42" i="8"/>
  <c r="H42" i="8"/>
  <c r="G42" i="8"/>
  <c r="F42" i="8"/>
  <c r="E42" i="8"/>
  <c r="D42" i="8"/>
  <c r="C42" i="8"/>
  <c r="B42" i="8"/>
  <c r="K41" i="8"/>
  <c r="J41" i="8"/>
  <c r="I41" i="8"/>
  <c r="H41" i="8"/>
  <c r="G41" i="8"/>
  <c r="F41" i="8"/>
  <c r="E41" i="8"/>
  <c r="D41" i="8"/>
  <c r="C41" i="8"/>
  <c r="B41" i="8"/>
  <c r="K40" i="8"/>
  <c r="J40" i="8"/>
  <c r="I40" i="8"/>
  <c r="H40" i="8"/>
  <c r="G40" i="8"/>
  <c r="F40" i="8"/>
  <c r="E40" i="8"/>
  <c r="D40" i="8"/>
  <c r="C40" i="8"/>
  <c r="B40" i="8"/>
  <c r="K39" i="8"/>
  <c r="J39" i="8"/>
  <c r="I39" i="8"/>
  <c r="H39" i="8"/>
  <c r="G39" i="8"/>
  <c r="F39" i="8"/>
  <c r="E39" i="8"/>
  <c r="D39" i="8"/>
  <c r="C39" i="8"/>
  <c r="B39" i="8"/>
  <c r="K38" i="8"/>
  <c r="J38" i="8"/>
  <c r="I38" i="8"/>
  <c r="H38" i="8"/>
  <c r="G38" i="8"/>
  <c r="F38" i="8"/>
  <c r="E38" i="8"/>
  <c r="D38" i="8"/>
  <c r="C38" i="8"/>
  <c r="B38" i="8"/>
  <c r="K37" i="8"/>
  <c r="J37" i="8"/>
  <c r="I37" i="8"/>
  <c r="H37" i="8"/>
  <c r="G37" i="8"/>
  <c r="F37" i="8"/>
  <c r="E37" i="8"/>
  <c r="D37" i="8"/>
  <c r="C37" i="8"/>
  <c r="B37" i="8"/>
  <c r="K36" i="8"/>
  <c r="J36" i="8"/>
  <c r="I36" i="8"/>
  <c r="H36" i="8"/>
  <c r="G36" i="8"/>
  <c r="F36" i="8"/>
  <c r="E36" i="8"/>
  <c r="D36" i="8"/>
  <c r="D44" i="8" s="1"/>
  <c r="D5" i="8" s="1"/>
  <c r="C36" i="8"/>
  <c r="C44" i="8" s="1"/>
  <c r="C5" i="8" s="1"/>
  <c r="B36" i="8"/>
  <c r="B44" i="8" s="1"/>
  <c r="B5" i="8" s="1"/>
  <c r="K35" i="8"/>
  <c r="J35" i="8"/>
  <c r="I35" i="8"/>
  <c r="H35" i="8"/>
  <c r="G35" i="8"/>
  <c r="F35" i="8"/>
  <c r="E35" i="8"/>
  <c r="D35" i="8"/>
  <c r="C35" i="8"/>
  <c r="B35" i="8"/>
  <c r="K34" i="8"/>
  <c r="J34" i="8"/>
  <c r="I34" i="8"/>
  <c r="H34" i="8"/>
  <c r="G34" i="8"/>
  <c r="F34" i="8"/>
  <c r="E34" i="8"/>
  <c r="D34" i="8"/>
  <c r="C34" i="8"/>
  <c r="B34" i="8"/>
  <c r="K33" i="8"/>
  <c r="J33" i="8"/>
  <c r="I33" i="8"/>
  <c r="H33" i="8"/>
  <c r="G33" i="8"/>
  <c r="F33" i="8"/>
  <c r="E33" i="8"/>
  <c r="D33" i="8"/>
  <c r="C33" i="8"/>
  <c r="B33" i="8"/>
  <c r="L32" i="8"/>
  <c r="K32" i="8"/>
  <c r="J32" i="8"/>
  <c r="I32" i="8"/>
  <c r="H32" i="8"/>
  <c r="G32" i="8"/>
  <c r="F32" i="8"/>
  <c r="E32" i="8"/>
  <c r="E44" i="8" s="1"/>
  <c r="E5" i="8" s="1"/>
  <c r="D32" i="8"/>
  <c r="C32" i="8"/>
  <c r="B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K27" i="8"/>
  <c r="J27" i="8"/>
  <c r="I27" i="8"/>
  <c r="H27" i="8"/>
  <c r="G27" i="8"/>
  <c r="F27" i="8"/>
  <c r="E27" i="8"/>
  <c r="D27" i="8"/>
  <c r="C27" i="8"/>
  <c r="B27" i="8"/>
  <c r="K26" i="8"/>
  <c r="J26" i="8"/>
  <c r="I26" i="8"/>
  <c r="H26" i="8"/>
  <c r="G26" i="8"/>
  <c r="F26" i="8"/>
  <c r="E26" i="8"/>
  <c r="D26" i="8"/>
  <c r="C26" i="8"/>
  <c r="B26" i="8"/>
  <c r="K25" i="8"/>
  <c r="J25" i="8"/>
  <c r="I25" i="8"/>
  <c r="H25" i="8"/>
  <c r="G25" i="8"/>
  <c r="F25" i="8"/>
  <c r="E25" i="8"/>
  <c r="D25" i="8"/>
  <c r="C25" i="8"/>
  <c r="B25" i="8"/>
  <c r="K24" i="8"/>
  <c r="J24" i="8"/>
  <c r="I24" i="8"/>
  <c r="H24" i="8"/>
  <c r="G24" i="8"/>
  <c r="F24" i="8"/>
  <c r="E24" i="8"/>
  <c r="D24" i="8"/>
  <c r="C24" i="8"/>
  <c r="B24" i="8"/>
  <c r="K23" i="8"/>
  <c r="J23" i="8"/>
  <c r="I23" i="8"/>
  <c r="H23" i="8"/>
  <c r="G23" i="8"/>
  <c r="F23" i="8"/>
  <c r="E23" i="8"/>
  <c r="D23" i="8"/>
  <c r="C23" i="8"/>
  <c r="B23" i="8"/>
  <c r="K22" i="8"/>
  <c r="J22" i="8"/>
  <c r="I22" i="8"/>
  <c r="H22" i="8"/>
  <c r="G22" i="8"/>
  <c r="F22" i="8"/>
  <c r="E22" i="8"/>
  <c r="D22" i="8"/>
  <c r="C22" i="8"/>
  <c r="B22" i="8"/>
  <c r="K21" i="8"/>
  <c r="J21" i="8"/>
  <c r="I21" i="8"/>
  <c r="H21" i="8"/>
  <c r="G21" i="8"/>
  <c r="F21" i="8"/>
  <c r="E21" i="8"/>
  <c r="D21" i="8"/>
  <c r="C21" i="8"/>
  <c r="B21" i="8"/>
  <c r="K20" i="8"/>
  <c r="K28" i="8" s="1"/>
  <c r="K4" i="8" s="1"/>
  <c r="J20" i="8"/>
  <c r="I20" i="8"/>
  <c r="H20" i="8"/>
  <c r="G20" i="8"/>
  <c r="F20" i="8"/>
  <c r="E20" i="8"/>
  <c r="D20" i="8"/>
  <c r="C20" i="8"/>
  <c r="B20" i="8"/>
  <c r="K19" i="8"/>
  <c r="J19" i="8"/>
  <c r="I19" i="8"/>
  <c r="H19" i="8"/>
  <c r="G19" i="8"/>
  <c r="F19" i="8"/>
  <c r="E19" i="8"/>
  <c r="D19" i="8"/>
  <c r="C19" i="8"/>
  <c r="B19" i="8"/>
  <c r="K18" i="8"/>
  <c r="J18" i="8"/>
  <c r="J28" i="8" s="1"/>
  <c r="J4" i="8" s="1"/>
  <c r="I18" i="8"/>
  <c r="H18" i="8"/>
  <c r="G18" i="8"/>
  <c r="F18" i="8"/>
  <c r="E18" i="8"/>
  <c r="D18" i="8"/>
  <c r="C18" i="8"/>
  <c r="B18" i="8"/>
  <c r="K17" i="8"/>
  <c r="J17" i="8"/>
  <c r="I17" i="8"/>
  <c r="H17" i="8"/>
  <c r="G17" i="8"/>
  <c r="F17" i="8"/>
  <c r="E17" i="8"/>
  <c r="D17" i="8"/>
  <c r="C17" i="8"/>
  <c r="B17" i="8"/>
  <c r="L16" i="8"/>
  <c r="K16" i="8"/>
  <c r="J16" i="8"/>
  <c r="I16" i="8"/>
  <c r="H16" i="8"/>
  <c r="G16" i="8"/>
  <c r="F16" i="8"/>
  <c r="E16" i="8"/>
  <c r="D16" i="8"/>
  <c r="C16" i="8"/>
  <c r="B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V10" i="8"/>
  <c r="U10" i="8"/>
  <c r="T10" i="8"/>
  <c r="S10" i="8"/>
  <c r="R10" i="8"/>
  <c r="Q10" i="8"/>
  <c r="P10" i="8"/>
  <c r="O10" i="8"/>
  <c r="N10" i="8"/>
  <c r="M10" i="8"/>
  <c r="L10" i="8"/>
  <c r="D10" i="8"/>
  <c r="E3" i="8" s="1"/>
  <c r="C10" i="8"/>
  <c r="D3" i="8" s="1"/>
  <c r="B10" i="8"/>
  <c r="L3" i="8"/>
  <c r="C3" i="8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V34" i="7"/>
  <c r="U34" i="7"/>
  <c r="R34" i="7"/>
  <c r="P34" i="7"/>
  <c r="O34" i="7"/>
  <c r="N34" i="7"/>
  <c r="M34" i="7"/>
  <c r="L34" i="7"/>
  <c r="K34" i="7"/>
  <c r="G34" i="7"/>
  <c r="F34" i="7"/>
  <c r="E34" i="7"/>
  <c r="D34" i="7"/>
  <c r="C34" i="7"/>
  <c r="V18" i="7"/>
  <c r="U18" i="7"/>
  <c r="T18" i="7"/>
  <c r="T34" i="7" s="1"/>
  <c r="S18" i="7"/>
  <c r="S34" i="7" s="1"/>
  <c r="R18" i="7"/>
  <c r="Q18" i="7"/>
  <c r="Q34" i="7" s="1"/>
  <c r="P18" i="7"/>
  <c r="O18" i="7"/>
  <c r="N18" i="7"/>
  <c r="M18" i="7"/>
  <c r="L18" i="7"/>
  <c r="K18" i="7"/>
  <c r="J18" i="7"/>
  <c r="J34" i="7" s="1"/>
  <c r="I18" i="7"/>
  <c r="I34" i="7" s="1"/>
  <c r="H18" i="7"/>
  <c r="H34" i="7" s="1"/>
  <c r="G18" i="7"/>
  <c r="F18" i="7"/>
  <c r="E18" i="7"/>
  <c r="D18" i="7"/>
  <c r="C18" i="7"/>
  <c r="B18" i="7"/>
  <c r="B34" i="7" s="1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V13" i="6"/>
  <c r="V12" i="6" s="1"/>
  <c r="U13" i="6"/>
  <c r="U12" i="6" s="1"/>
  <c r="T13" i="6"/>
  <c r="T12" i="6" s="1"/>
  <c r="S13" i="6"/>
  <c r="R13" i="6"/>
  <c r="R12" i="6" s="1"/>
  <c r="Q13" i="6"/>
  <c r="Q12" i="6" s="1"/>
  <c r="S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C83" i="5"/>
  <c r="C7" i="5" s="1"/>
  <c r="K82" i="5"/>
  <c r="J82" i="5"/>
  <c r="I82" i="5"/>
  <c r="H82" i="5"/>
  <c r="H81" i="5"/>
  <c r="G81" i="5"/>
  <c r="F81" i="5"/>
  <c r="E81" i="5"/>
  <c r="B81" i="5"/>
  <c r="G80" i="5"/>
  <c r="F80" i="5"/>
  <c r="E80" i="5"/>
  <c r="D80" i="5"/>
  <c r="C80" i="5"/>
  <c r="B80" i="5"/>
  <c r="H79" i="5"/>
  <c r="G79" i="5"/>
  <c r="E78" i="5"/>
  <c r="D78" i="5"/>
  <c r="C78" i="5"/>
  <c r="B78" i="5"/>
  <c r="C77" i="5"/>
  <c r="J76" i="5"/>
  <c r="E76" i="5"/>
  <c r="D76" i="5"/>
  <c r="D83" i="5" s="1"/>
  <c r="D7" i="5" s="1"/>
  <c r="D75" i="5"/>
  <c r="C75" i="5"/>
  <c r="B75" i="5"/>
  <c r="C74" i="5"/>
  <c r="B74" i="5"/>
  <c r="K73" i="5"/>
  <c r="G73" i="5"/>
  <c r="B73" i="5"/>
  <c r="F72" i="5"/>
  <c r="E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K66" i="5"/>
  <c r="J66" i="5"/>
  <c r="I66" i="5"/>
  <c r="H66" i="5"/>
  <c r="G66" i="5"/>
  <c r="F66" i="5"/>
  <c r="E66" i="5"/>
  <c r="D66" i="5"/>
  <c r="C66" i="5"/>
  <c r="B66" i="5"/>
  <c r="K65" i="5"/>
  <c r="J65" i="5"/>
  <c r="I65" i="5"/>
  <c r="H65" i="5"/>
  <c r="G65" i="5"/>
  <c r="F65" i="5"/>
  <c r="E65" i="5"/>
  <c r="D65" i="5"/>
  <c r="C65" i="5"/>
  <c r="B65" i="5"/>
  <c r="K64" i="5"/>
  <c r="K67" i="5" s="1"/>
  <c r="K8" i="5" s="1"/>
  <c r="J64" i="5"/>
  <c r="J67" i="5" s="1"/>
  <c r="J8" i="5" s="1"/>
  <c r="I64" i="5"/>
  <c r="H64" i="5"/>
  <c r="G64" i="5"/>
  <c r="F64" i="5"/>
  <c r="E64" i="5"/>
  <c r="D64" i="5"/>
  <c r="C64" i="5"/>
  <c r="B64" i="5"/>
  <c r="K63" i="5"/>
  <c r="J63" i="5"/>
  <c r="I63" i="5"/>
  <c r="H63" i="5"/>
  <c r="G63" i="5"/>
  <c r="F63" i="5"/>
  <c r="E63" i="5"/>
  <c r="D63" i="5"/>
  <c r="C63" i="5"/>
  <c r="B63" i="5"/>
  <c r="K62" i="5"/>
  <c r="J62" i="5"/>
  <c r="I62" i="5"/>
  <c r="H62" i="5"/>
  <c r="G62" i="5"/>
  <c r="F62" i="5"/>
  <c r="E62" i="5"/>
  <c r="D62" i="5"/>
  <c r="C62" i="5"/>
  <c r="B62" i="5"/>
  <c r="K61" i="5"/>
  <c r="J61" i="5"/>
  <c r="I61" i="5"/>
  <c r="H61" i="5"/>
  <c r="G61" i="5"/>
  <c r="F61" i="5"/>
  <c r="E61" i="5"/>
  <c r="D61" i="5"/>
  <c r="C61" i="5"/>
  <c r="B61" i="5"/>
  <c r="K60" i="5"/>
  <c r="J60" i="5"/>
  <c r="I60" i="5"/>
  <c r="H60" i="5"/>
  <c r="G60" i="5"/>
  <c r="F60" i="5"/>
  <c r="E60" i="5"/>
  <c r="D60" i="5"/>
  <c r="C60" i="5"/>
  <c r="B60" i="5"/>
  <c r="K59" i="5"/>
  <c r="J59" i="5"/>
  <c r="I59" i="5"/>
  <c r="H59" i="5"/>
  <c r="G59" i="5"/>
  <c r="F59" i="5"/>
  <c r="E59" i="5"/>
  <c r="D59" i="5"/>
  <c r="C59" i="5"/>
  <c r="B59" i="5"/>
  <c r="K58" i="5"/>
  <c r="J58" i="5"/>
  <c r="I58" i="5"/>
  <c r="H58" i="5"/>
  <c r="G58" i="5"/>
  <c r="F58" i="5"/>
  <c r="E58" i="5"/>
  <c r="D58" i="5"/>
  <c r="C58" i="5"/>
  <c r="B58" i="5"/>
  <c r="K57" i="5"/>
  <c r="J57" i="5"/>
  <c r="I57" i="5"/>
  <c r="H57" i="5"/>
  <c r="G57" i="5"/>
  <c r="F57" i="5"/>
  <c r="E57" i="5"/>
  <c r="D57" i="5"/>
  <c r="C57" i="5"/>
  <c r="B57" i="5"/>
  <c r="K56" i="5"/>
  <c r="J56" i="5"/>
  <c r="I56" i="5"/>
  <c r="H56" i="5"/>
  <c r="G56" i="5"/>
  <c r="G67" i="5" s="1"/>
  <c r="G8" i="5" s="1"/>
  <c r="F56" i="5"/>
  <c r="E56" i="5"/>
  <c r="D56" i="5"/>
  <c r="C56" i="5"/>
  <c r="B56" i="5"/>
  <c r="L55" i="5"/>
  <c r="K55" i="5"/>
  <c r="J55" i="5"/>
  <c r="I55" i="5"/>
  <c r="H55" i="5"/>
  <c r="G55" i="5"/>
  <c r="F55" i="5"/>
  <c r="E55" i="5"/>
  <c r="D55" i="5"/>
  <c r="C55" i="5"/>
  <c r="C67" i="5" s="1"/>
  <c r="C8" i="5" s="1"/>
  <c r="B55" i="5"/>
  <c r="B67" i="5" s="1"/>
  <c r="B8" i="5" s="1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K50" i="5"/>
  <c r="J50" i="5"/>
  <c r="I50" i="5"/>
  <c r="H50" i="5"/>
  <c r="G50" i="5"/>
  <c r="F50" i="5"/>
  <c r="E50" i="5"/>
  <c r="D50" i="5"/>
  <c r="C50" i="5"/>
  <c r="B50" i="5"/>
  <c r="K49" i="5"/>
  <c r="J49" i="5"/>
  <c r="I49" i="5"/>
  <c r="H49" i="5"/>
  <c r="G49" i="5"/>
  <c r="F49" i="5"/>
  <c r="E49" i="5"/>
  <c r="D49" i="5"/>
  <c r="C49" i="5"/>
  <c r="B49" i="5"/>
  <c r="K48" i="5"/>
  <c r="J48" i="5"/>
  <c r="I48" i="5"/>
  <c r="H48" i="5"/>
  <c r="G48" i="5"/>
  <c r="F48" i="5"/>
  <c r="E48" i="5"/>
  <c r="D48" i="5"/>
  <c r="C48" i="5"/>
  <c r="B48" i="5"/>
  <c r="K47" i="5"/>
  <c r="J47" i="5"/>
  <c r="I47" i="5"/>
  <c r="H47" i="5"/>
  <c r="G47" i="5"/>
  <c r="F47" i="5"/>
  <c r="E47" i="5"/>
  <c r="D47" i="5"/>
  <c r="C47" i="5"/>
  <c r="B47" i="5"/>
  <c r="K46" i="5"/>
  <c r="J46" i="5"/>
  <c r="I46" i="5"/>
  <c r="H46" i="5"/>
  <c r="G46" i="5"/>
  <c r="F46" i="5"/>
  <c r="F51" i="5" s="1"/>
  <c r="F5" i="5" s="1"/>
  <c r="E46" i="5"/>
  <c r="D46" i="5"/>
  <c r="C46" i="5"/>
  <c r="B46" i="5"/>
  <c r="K45" i="5"/>
  <c r="J45" i="5"/>
  <c r="I45" i="5"/>
  <c r="H45" i="5"/>
  <c r="G45" i="5"/>
  <c r="F45" i="5"/>
  <c r="E45" i="5"/>
  <c r="E51" i="5" s="1"/>
  <c r="E5" i="5" s="1"/>
  <c r="D45" i="5"/>
  <c r="C45" i="5"/>
  <c r="B45" i="5"/>
  <c r="K44" i="5"/>
  <c r="J44" i="5"/>
  <c r="I44" i="5"/>
  <c r="H44" i="5"/>
  <c r="G44" i="5"/>
  <c r="F44" i="5"/>
  <c r="E44" i="5"/>
  <c r="D44" i="5"/>
  <c r="C44" i="5"/>
  <c r="B44" i="5"/>
  <c r="K43" i="5"/>
  <c r="J43" i="5"/>
  <c r="I43" i="5"/>
  <c r="H43" i="5"/>
  <c r="G43" i="5"/>
  <c r="F43" i="5"/>
  <c r="E43" i="5"/>
  <c r="D43" i="5"/>
  <c r="C43" i="5"/>
  <c r="B43" i="5"/>
  <c r="K42" i="5"/>
  <c r="J42" i="5"/>
  <c r="I42" i="5"/>
  <c r="H42" i="5"/>
  <c r="G42" i="5"/>
  <c r="F42" i="5"/>
  <c r="E42" i="5"/>
  <c r="D42" i="5"/>
  <c r="C42" i="5"/>
  <c r="B42" i="5"/>
  <c r="K41" i="5"/>
  <c r="J41" i="5"/>
  <c r="I41" i="5"/>
  <c r="H41" i="5"/>
  <c r="G41" i="5"/>
  <c r="F41" i="5"/>
  <c r="E41" i="5"/>
  <c r="D41" i="5"/>
  <c r="C41" i="5"/>
  <c r="B41" i="5"/>
  <c r="K40" i="5"/>
  <c r="K51" i="5" s="1"/>
  <c r="K5" i="5" s="1"/>
  <c r="J40" i="5"/>
  <c r="I40" i="5"/>
  <c r="H40" i="5"/>
  <c r="G40" i="5"/>
  <c r="F40" i="5"/>
  <c r="E40" i="5"/>
  <c r="D40" i="5"/>
  <c r="C40" i="5"/>
  <c r="B40" i="5"/>
  <c r="L39" i="5"/>
  <c r="K39" i="5"/>
  <c r="J39" i="5"/>
  <c r="I39" i="5"/>
  <c r="H39" i="5"/>
  <c r="G39" i="5"/>
  <c r="F39" i="5"/>
  <c r="E39" i="5"/>
  <c r="D39" i="5"/>
  <c r="C39" i="5"/>
  <c r="B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5" i="5"/>
  <c r="M35" i="5"/>
  <c r="L35" i="5"/>
  <c r="K34" i="5"/>
  <c r="J34" i="5"/>
  <c r="I34" i="5"/>
  <c r="H34" i="5"/>
  <c r="G34" i="5"/>
  <c r="F34" i="5"/>
  <c r="F35" i="5" s="1"/>
  <c r="F4" i="5" s="1"/>
  <c r="E34" i="5"/>
  <c r="E35" i="5" s="1"/>
  <c r="E4" i="5" s="1"/>
  <c r="D34" i="5"/>
  <c r="C34" i="5"/>
  <c r="B34" i="5"/>
  <c r="K33" i="5"/>
  <c r="J33" i="5"/>
  <c r="I33" i="5"/>
  <c r="H33" i="5"/>
  <c r="G33" i="5"/>
  <c r="F33" i="5"/>
  <c r="E33" i="5"/>
  <c r="D33" i="5"/>
  <c r="C33" i="5"/>
  <c r="B33" i="5"/>
  <c r="K32" i="5"/>
  <c r="K35" i="5" s="1"/>
  <c r="K4" i="5" s="1"/>
  <c r="J32" i="5"/>
  <c r="I32" i="5"/>
  <c r="H32" i="5"/>
  <c r="G32" i="5"/>
  <c r="F32" i="5"/>
  <c r="E32" i="5"/>
  <c r="D32" i="5"/>
  <c r="C32" i="5"/>
  <c r="B32" i="5"/>
  <c r="K31" i="5"/>
  <c r="J31" i="5"/>
  <c r="I31" i="5"/>
  <c r="H31" i="5"/>
  <c r="G31" i="5"/>
  <c r="F31" i="5"/>
  <c r="E31" i="5"/>
  <c r="D31" i="5"/>
  <c r="C31" i="5"/>
  <c r="B31" i="5"/>
  <c r="K30" i="5"/>
  <c r="J30" i="5"/>
  <c r="I30" i="5"/>
  <c r="H30" i="5"/>
  <c r="G30" i="5"/>
  <c r="F30" i="5"/>
  <c r="E30" i="5"/>
  <c r="D30" i="5"/>
  <c r="C30" i="5"/>
  <c r="B30" i="5"/>
  <c r="K29" i="5"/>
  <c r="J29" i="5"/>
  <c r="I29" i="5"/>
  <c r="H29" i="5"/>
  <c r="G29" i="5"/>
  <c r="F29" i="5"/>
  <c r="E29" i="5"/>
  <c r="D29" i="5"/>
  <c r="C29" i="5"/>
  <c r="B29" i="5"/>
  <c r="K28" i="5"/>
  <c r="J28" i="5"/>
  <c r="I28" i="5"/>
  <c r="H28" i="5"/>
  <c r="G28" i="5"/>
  <c r="F28" i="5"/>
  <c r="E28" i="5"/>
  <c r="D28" i="5"/>
  <c r="C28" i="5"/>
  <c r="B28" i="5"/>
  <c r="K27" i="5"/>
  <c r="J27" i="5"/>
  <c r="I27" i="5"/>
  <c r="H27" i="5"/>
  <c r="G27" i="5"/>
  <c r="F27" i="5"/>
  <c r="E27" i="5"/>
  <c r="D27" i="5"/>
  <c r="C27" i="5"/>
  <c r="B27" i="5"/>
  <c r="K26" i="5"/>
  <c r="J26" i="5"/>
  <c r="I26" i="5"/>
  <c r="H26" i="5"/>
  <c r="G26" i="5"/>
  <c r="F26" i="5"/>
  <c r="E26" i="5"/>
  <c r="D26" i="5"/>
  <c r="C26" i="5"/>
  <c r="B26" i="5"/>
  <c r="K25" i="5"/>
  <c r="J25" i="5"/>
  <c r="I25" i="5"/>
  <c r="H25" i="5"/>
  <c r="G25" i="5"/>
  <c r="F25" i="5"/>
  <c r="E25" i="5"/>
  <c r="D25" i="5"/>
  <c r="C25" i="5"/>
  <c r="B25" i="5"/>
  <c r="K24" i="5"/>
  <c r="J24" i="5"/>
  <c r="I24" i="5"/>
  <c r="H24" i="5"/>
  <c r="G24" i="5"/>
  <c r="F24" i="5"/>
  <c r="E24" i="5"/>
  <c r="D24" i="5"/>
  <c r="C24" i="5"/>
  <c r="C35" i="5" s="1"/>
  <c r="C4" i="5" s="1"/>
  <c r="C13" i="5" s="1"/>
  <c r="B24" i="5"/>
  <c r="L23" i="5"/>
  <c r="K23" i="5"/>
  <c r="J23" i="5"/>
  <c r="I23" i="5"/>
  <c r="H23" i="5"/>
  <c r="G23" i="5"/>
  <c r="F23" i="5"/>
  <c r="E23" i="5"/>
  <c r="D23" i="5"/>
  <c r="C23" i="5"/>
  <c r="B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V13" i="5"/>
  <c r="U13" i="5"/>
  <c r="T13" i="5"/>
  <c r="S13" i="5"/>
  <c r="R13" i="5"/>
  <c r="Q13" i="5"/>
  <c r="P13" i="5"/>
  <c r="O13" i="5"/>
  <c r="N13" i="5"/>
  <c r="M13" i="5"/>
  <c r="L13" i="5"/>
  <c r="F12" i="5"/>
  <c r="E12" i="5"/>
  <c r="D12" i="5"/>
  <c r="C12" i="5"/>
  <c r="B12" i="5"/>
  <c r="V4" i="5"/>
  <c r="U4" i="5"/>
  <c r="T4" i="5"/>
  <c r="S4" i="5"/>
  <c r="R4" i="5"/>
  <c r="R35" i="5" s="1"/>
  <c r="Q4" i="5"/>
  <c r="Q35" i="5" s="1"/>
  <c r="P4" i="5"/>
  <c r="P35" i="5" s="1"/>
  <c r="O4" i="5"/>
  <c r="O35" i="5" s="1"/>
  <c r="N4" i="5"/>
  <c r="M4" i="5"/>
  <c r="L4" i="5"/>
  <c r="M125" i="4"/>
  <c r="F125" i="4"/>
  <c r="B125" i="4"/>
  <c r="M124" i="4"/>
  <c r="L64" i="8" s="1"/>
  <c r="F124" i="4"/>
  <c r="L71" i="5" s="1"/>
  <c r="B124" i="4"/>
  <c r="M123" i="4"/>
  <c r="F123" i="4"/>
  <c r="B123" i="4"/>
  <c r="M122" i="4"/>
  <c r="F122" i="4"/>
  <c r="K81" i="5" s="1"/>
  <c r="B122" i="4"/>
  <c r="M121" i="4"/>
  <c r="K73" i="8" s="1"/>
  <c r="F121" i="4"/>
  <c r="K80" i="5" s="1"/>
  <c r="B121" i="4"/>
  <c r="M120" i="4"/>
  <c r="K72" i="8" s="1"/>
  <c r="F120" i="4"/>
  <c r="K79" i="5" s="1"/>
  <c r="B120" i="4"/>
  <c r="M119" i="4"/>
  <c r="K71" i="8" s="1"/>
  <c r="F119" i="4"/>
  <c r="K78" i="5" s="1"/>
  <c r="B119" i="4"/>
  <c r="M118" i="4"/>
  <c r="K70" i="8" s="1"/>
  <c r="F118" i="4"/>
  <c r="K77" i="5" s="1"/>
  <c r="B118" i="4"/>
  <c r="M117" i="4"/>
  <c r="F117" i="4"/>
  <c r="K76" i="5" s="1"/>
  <c r="B117" i="4"/>
  <c r="M116" i="4"/>
  <c r="K68" i="8" s="1"/>
  <c r="F116" i="4"/>
  <c r="K75" i="5" s="1"/>
  <c r="B116" i="4"/>
  <c r="M115" i="4"/>
  <c r="K67" i="8" s="1"/>
  <c r="F115" i="4"/>
  <c r="K74" i="5" s="1"/>
  <c r="B115" i="4"/>
  <c r="M114" i="4"/>
  <c r="K66" i="8" s="1"/>
  <c r="F114" i="4"/>
  <c r="B114" i="4"/>
  <c r="M113" i="4"/>
  <c r="K65" i="8" s="1"/>
  <c r="F113" i="4"/>
  <c r="K72" i="5" s="1"/>
  <c r="B113" i="4"/>
  <c r="M112" i="4"/>
  <c r="K64" i="8" s="1"/>
  <c r="F112" i="4"/>
  <c r="K71" i="5" s="1"/>
  <c r="B112" i="4"/>
  <c r="M111" i="4"/>
  <c r="F111" i="4"/>
  <c r="M110" i="4"/>
  <c r="F110" i="4"/>
  <c r="J81" i="5" s="1"/>
  <c r="M109" i="4"/>
  <c r="J73" i="8" s="1"/>
  <c r="F109" i="4"/>
  <c r="J80" i="5" s="1"/>
  <c r="M108" i="4"/>
  <c r="J72" i="8" s="1"/>
  <c r="F108" i="4"/>
  <c r="J79" i="5" s="1"/>
  <c r="M107" i="4"/>
  <c r="F107" i="4"/>
  <c r="J78" i="5" s="1"/>
  <c r="M106" i="4"/>
  <c r="J70" i="8" s="1"/>
  <c r="F106" i="4"/>
  <c r="J77" i="5" s="1"/>
  <c r="M105" i="4"/>
  <c r="F105" i="4"/>
  <c r="M104" i="4"/>
  <c r="J68" i="8" s="1"/>
  <c r="F104" i="4"/>
  <c r="J75" i="5" s="1"/>
  <c r="M103" i="4"/>
  <c r="J67" i="8" s="1"/>
  <c r="F103" i="4"/>
  <c r="J74" i="5" s="1"/>
  <c r="M102" i="4"/>
  <c r="J66" i="8" s="1"/>
  <c r="F102" i="4"/>
  <c r="J73" i="5" s="1"/>
  <c r="M101" i="4"/>
  <c r="J65" i="8" s="1"/>
  <c r="F101" i="4"/>
  <c r="J72" i="5" s="1"/>
  <c r="M100" i="4"/>
  <c r="J64" i="8" s="1"/>
  <c r="F100" i="4"/>
  <c r="J71" i="5" s="1"/>
  <c r="M99" i="4"/>
  <c r="I75" i="8" s="1"/>
  <c r="F99" i="4"/>
  <c r="M98" i="4"/>
  <c r="F98" i="4"/>
  <c r="I81" i="5" s="1"/>
  <c r="M97" i="4"/>
  <c r="I73" i="8" s="1"/>
  <c r="I76" i="8" s="1"/>
  <c r="I7" i="8" s="1"/>
  <c r="F97" i="4"/>
  <c r="I80" i="5" s="1"/>
  <c r="M96" i="4"/>
  <c r="F96" i="4"/>
  <c r="I79" i="5" s="1"/>
  <c r="M95" i="4"/>
  <c r="F95" i="4"/>
  <c r="I78" i="5" s="1"/>
  <c r="M94" i="4"/>
  <c r="I70" i="8" s="1"/>
  <c r="F94" i="4"/>
  <c r="I77" i="5" s="1"/>
  <c r="M93" i="4"/>
  <c r="I69" i="8" s="1"/>
  <c r="F93" i="4"/>
  <c r="I76" i="5" s="1"/>
  <c r="M92" i="4"/>
  <c r="I68" i="8" s="1"/>
  <c r="F92" i="4"/>
  <c r="I75" i="5" s="1"/>
  <c r="M91" i="4"/>
  <c r="I67" i="8" s="1"/>
  <c r="F91" i="4"/>
  <c r="I74" i="5" s="1"/>
  <c r="M90" i="4"/>
  <c r="I66" i="8" s="1"/>
  <c r="F90" i="4"/>
  <c r="I73" i="5" s="1"/>
  <c r="M89" i="4"/>
  <c r="I65" i="8" s="1"/>
  <c r="F89" i="4"/>
  <c r="I72" i="5" s="1"/>
  <c r="M88" i="4"/>
  <c r="I64" i="8" s="1"/>
  <c r="F88" i="4"/>
  <c r="I71" i="5" s="1"/>
  <c r="M87" i="4"/>
  <c r="H75" i="8" s="1"/>
  <c r="F87" i="4"/>
  <c r="M86" i="4"/>
  <c r="H74" i="8" s="1"/>
  <c r="F86" i="4"/>
  <c r="M85" i="4"/>
  <c r="F85" i="4"/>
  <c r="H80" i="5" s="1"/>
  <c r="M84" i="4"/>
  <c r="F84" i="4"/>
  <c r="M83" i="4"/>
  <c r="F83" i="4"/>
  <c r="H78" i="5" s="1"/>
  <c r="M82" i="4"/>
  <c r="H70" i="8" s="1"/>
  <c r="F82" i="4"/>
  <c r="H77" i="5" s="1"/>
  <c r="M81" i="4"/>
  <c r="H69" i="8" s="1"/>
  <c r="F81" i="4"/>
  <c r="H76" i="5" s="1"/>
  <c r="M80" i="4"/>
  <c r="H68" i="8" s="1"/>
  <c r="F80" i="4"/>
  <c r="H75" i="5" s="1"/>
  <c r="M79" i="4"/>
  <c r="H67" i="8" s="1"/>
  <c r="F79" i="4"/>
  <c r="H74" i="5" s="1"/>
  <c r="M78" i="4"/>
  <c r="H66" i="8" s="1"/>
  <c r="F78" i="4"/>
  <c r="H73" i="5" s="1"/>
  <c r="M77" i="4"/>
  <c r="H65" i="8" s="1"/>
  <c r="F77" i="4"/>
  <c r="H72" i="5" s="1"/>
  <c r="M76" i="4"/>
  <c r="H64" i="8" s="1"/>
  <c r="F76" i="4"/>
  <c r="H71" i="5" s="1"/>
  <c r="M75" i="4"/>
  <c r="G75" i="8" s="1"/>
  <c r="F75" i="4"/>
  <c r="G82" i="5" s="1"/>
  <c r="M74" i="4"/>
  <c r="F74" i="4"/>
  <c r="M73" i="4"/>
  <c r="F73" i="4"/>
  <c r="M72" i="4"/>
  <c r="G72" i="8" s="1"/>
  <c r="F72" i="4"/>
  <c r="M71" i="4"/>
  <c r="G71" i="8" s="1"/>
  <c r="F71" i="4"/>
  <c r="G78" i="5" s="1"/>
  <c r="M70" i="4"/>
  <c r="G70" i="8" s="1"/>
  <c r="F70" i="4"/>
  <c r="G77" i="5" s="1"/>
  <c r="M69" i="4"/>
  <c r="G69" i="8" s="1"/>
  <c r="F69" i="4"/>
  <c r="G76" i="5" s="1"/>
  <c r="M68" i="4"/>
  <c r="F68" i="4"/>
  <c r="G75" i="5" s="1"/>
  <c r="M67" i="4"/>
  <c r="G67" i="8" s="1"/>
  <c r="F67" i="4"/>
  <c r="G74" i="5" s="1"/>
  <c r="M66" i="4"/>
  <c r="G66" i="8" s="1"/>
  <c r="F66" i="4"/>
  <c r="M65" i="4"/>
  <c r="F65" i="4"/>
  <c r="G72" i="5" s="1"/>
  <c r="M64" i="4"/>
  <c r="G64" i="8" s="1"/>
  <c r="G76" i="8" s="1"/>
  <c r="G7" i="8" s="1"/>
  <c r="F64" i="4"/>
  <c r="G71" i="5" s="1"/>
  <c r="M63" i="4"/>
  <c r="F75" i="8" s="1"/>
  <c r="F63" i="4"/>
  <c r="F82" i="5" s="1"/>
  <c r="M62" i="4"/>
  <c r="F62" i="4"/>
  <c r="M61" i="4"/>
  <c r="F61" i="4"/>
  <c r="M60" i="4"/>
  <c r="F72" i="8" s="1"/>
  <c r="F60" i="4"/>
  <c r="F79" i="5" s="1"/>
  <c r="M59" i="4"/>
  <c r="F71" i="8" s="1"/>
  <c r="F59" i="4"/>
  <c r="F78" i="5" s="1"/>
  <c r="M58" i="4"/>
  <c r="F70" i="8" s="1"/>
  <c r="F58" i="4"/>
  <c r="F77" i="5" s="1"/>
  <c r="M57" i="4"/>
  <c r="F69" i="8" s="1"/>
  <c r="F57" i="4"/>
  <c r="F76" i="5" s="1"/>
  <c r="M56" i="4"/>
  <c r="F56" i="4"/>
  <c r="F75" i="5" s="1"/>
  <c r="M55" i="4"/>
  <c r="F67" i="8" s="1"/>
  <c r="F55" i="4"/>
  <c r="F74" i="5" s="1"/>
  <c r="M54" i="4"/>
  <c r="F66" i="8" s="1"/>
  <c r="F54" i="4"/>
  <c r="F73" i="5" s="1"/>
  <c r="M53" i="4"/>
  <c r="F65" i="8" s="1"/>
  <c r="F53" i="4"/>
  <c r="M52" i="4"/>
  <c r="F64" i="8" s="1"/>
  <c r="F52" i="4"/>
  <c r="F71" i="5" s="1"/>
  <c r="M51" i="4"/>
  <c r="E75" i="8" s="1"/>
  <c r="F51" i="4"/>
  <c r="E82" i="5" s="1"/>
  <c r="M50" i="4"/>
  <c r="F50" i="4"/>
  <c r="M49" i="4"/>
  <c r="E73" i="8" s="1"/>
  <c r="F49" i="4"/>
  <c r="M48" i="4"/>
  <c r="E72" i="8" s="1"/>
  <c r="F48" i="4"/>
  <c r="E79" i="5" s="1"/>
  <c r="M47" i="4"/>
  <c r="F47" i="4"/>
  <c r="M46" i="4"/>
  <c r="F46" i="4"/>
  <c r="E77" i="5" s="1"/>
  <c r="M45" i="4"/>
  <c r="E69" i="8" s="1"/>
  <c r="F45" i="4"/>
  <c r="M44" i="4"/>
  <c r="F44" i="4"/>
  <c r="E75" i="5" s="1"/>
  <c r="M43" i="4"/>
  <c r="E67" i="8" s="1"/>
  <c r="F43" i="4"/>
  <c r="E74" i="5" s="1"/>
  <c r="E83" i="5" s="1"/>
  <c r="E7" i="5" s="1"/>
  <c r="M42" i="4"/>
  <c r="E66" i="8" s="1"/>
  <c r="F42" i="4"/>
  <c r="E73" i="5" s="1"/>
  <c r="M41" i="4"/>
  <c r="F41" i="4"/>
  <c r="E72" i="5" s="1"/>
  <c r="M40" i="4"/>
  <c r="E64" i="8" s="1"/>
  <c r="F40" i="4"/>
  <c r="M39" i="4"/>
  <c r="D75" i="8" s="1"/>
  <c r="F39" i="4"/>
  <c r="D82" i="5" s="1"/>
  <c r="M38" i="4"/>
  <c r="D74" i="8" s="1"/>
  <c r="F38" i="4"/>
  <c r="D81" i="5" s="1"/>
  <c r="M37" i="4"/>
  <c r="D73" i="8" s="1"/>
  <c r="F37" i="4"/>
  <c r="M36" i="4"/>
  <c r="D72" i="8" s="1"/>
  <c r="F36" i="4"/>
  <c r="D79" i="5" s="1"/>
  <c r="M35" i="4"/>
  <c r="D71" i="8" s="1"/>
  <c r="F35" i="4"/>
  <c r="M34" i="4"/>
  <c r="F34" i="4"/>
  <c r="D77" i="5" s="1"/>
  <c r="M33" i="4"/>
  <c r="D69" i="8" s="1"/>
  <c r="F33" i="4"/>
  <c r="M32" i="4"/>
  <c r="F32" i="4"/>
  <c r="M31" i="4"/>
  <c r="D67" i="8" s="1"/>
  <c r="F31" i="4"/>
  <c r="D74" i="5" s="1"/>
  <c r="M30" i="4"/>
  <c r="F30" i="4"/>
  <c r="D73" i="5" s="1"/>
  <c r="M29" i="4"/>
  <c r="F29" i="4"/>
  <c r="D72" i="5" s="1"/>
  <c r="M28" i="4"/>
  <c r="D64" i="8" s="1"/>
  <c r="F28" i="4"/>
  <c r="D71" i="5" s="1"/>
  <c r="M27" i="4"/>
  <c r="C75" i="8" s="1"/>
  <c r="F27" i="4"/>
  <c r="C82" i="5" s="1"/>
  <c r="M26" i="4"/>
  <c r="C74" i="8" s="1"/>
  <c r="F26" i="4"/>
  <c r="C81" i="5" s="1"/>
  <c r="M25" i="4"/>
  <c r="F25" i="4"/>
  <c r="M24" i="4"/>
  <c r="C72" i="8" s="1"/>
  <c r="F24" i="4"/>
  <c r="C79" i="5" s="1"/>
  <c r="M23" i="4"/>
  <c r="C71" i="8" s="1"/>
  <c r="F23" i="4"/>
  <c r="M22" i="4"/>
  <c r="F22" i="4"/>
  <c r="M21" i="4"/>
  <c r="C69" i="8" s="1"/>
  <c r="F21" i="4"/>
  <c r="C76" i="5" s="1"/>
  <c r="M20" i="4"/>
  <c r="C68" i="8" s="1"/>
  <c r="F20" i="4"/>
  <c r="M19" i="4"/>
  <c r="F19" i="4"/>
  <c r="M18" i="4"/>
  <c r="C66" i="8" s="1"/>
  <c r="F18" i="4"/>
  <c r="C73" i="5" s="1"/>
  <c r="M17" i="4"/>
  <c r="F17" i="4"/>
  <c r="C72" i="5" s="1"/>
  <c r="M16" i="4"/>
  <c r="C64" i="8" s="1"/>
  <c r="F16" i="4"/>
  <c r="C71" i="5" s="1"/>
  <c r="M15" i="4"/>
  <c r="B75" i="8" s="1"/>
  <c r="F15" i="4"/>
  <c r="B82" i="5" s="1"/>
  <c r="M14" i="4"/>
  <c r="B74" i="8" s="1"/>
  <c r="F14" i="4"/>
  <c r="M13" i="4"/>
  <c r="F13" i="4"/>
  <c r="M12" i="4"/>
  <c r="B72" i="8" s="1"/>
  <c r="F12" i="4"/>
  <c r="B79" i="5" s="1"/>
  <c r="M11" i="4"/>
  <c r="F11" i="4"/>
  <c r="M10" i="4"/>
  <c r="F10" i="4"/>
  <c r="B77" i="5" s="1"/>
  <c r="B83" i="5" s="1"/>
  <c r="B7" i="5" s="1"/>
  <c r="M9" i="4"/>
  <c r="B69" i="8" s="1"/>
  <c r="F9" i="4"/>
  <c r="B76" i="5" s="1"/>
  <c r="M8" i="4"/>
  <c r="F8" i="4"/>
  <c r="M7" i="4"/>
  <c r="F7" i="4"/>
  <c r="M6" i="4"/>
  <c r="B66" i="8" s="1"/>
  <c r="F6" i="4"/>
  <c r="M5" i="4"/>
  <c r="F5" i="4"/>
  <c r="B72" i="5" s="1"/>
  <c r="M4" i="4"/>
  <c r="B64" i="8" s="1"/>
  <c r="F4" i="4"/>
  <c r="B71" i="5" s="1"/>
  <c r="B21" i="1"/>
  <c r="B22" i="1" s="1"/>
  <c r="F13" i="5" l="1"/>
  <c r="F6" i="5"/>
  <c r="B9" i="5"/>
  <c r="K6" i="8"/>
  <c r="E13" i="5"/>
  <c r="E6" i="5"/>
  <c r="E10" i="5" s="1"/>
  <c r="K13" i="5"/>
  <c r="K6" i="5"/>
  <c r="B35" i="5"/>
  <c r="B4" i="5" s="1"/>
  <c r="G44" i="8"/>
  <c r="G5" i="8" s="1"/>
  <c r="E9" i="5"/>
  <c r="C9" i="5"/>
  <c r="B76" i="8"/>
  <c r="B7" i="8" s="1"/>
  <c r="C76" i="8"/>
  <c r="C7" i="8" s="1"/>
  <c r="G35" i="5"/>
  <c r="G4" i="5" s="1"/>
  <c r="I35" i="5"/>
  <c r="I4" i="5" s="1"/>
  <c r="I60" i="8"/>
  <c r="I8" i="8" s="1"/>
  <c r="F83" i="5"/>
  <c r="F7" i="5" s="1"/>
  <c r="D51" i="5"/>
  <c r="D5" i="5" s="1"/>
  <c r="I67" i="5"/>
  <c r="I8" i="5" s="1"/>
  <c r="D76" i="8"/>
  <c r="D7" i="8" s="1"/>
  <c r="H76" i="8"/>
  <c r="H7" i="8" s="1"/>
  <c r="J35" i="5"/>
  <c r="J4" i="5" s="1"/>
  <c r="F44" i="8"/>
  <c r="F5" i="8" s="1"/>
  <c r="G9" i="8"/>
  <c r="G83" i="5"/>
  <c r="G7" i="5" s="1"/>
  <c r="H35" i="5"/>
  <c r="H4" i="5" s="1"/>
  <c r="H67" i="5"/>
  <c r="H8" i="5" s="1"/>
  <c r="C6" i="5"/>
  <c r="C10" i="5" s="1"/>
  <c r="S35" i="5"/>
  <c r="F76" i="8"/>
  <c r="F7" i="8" s="1"/>
  <c r="D35" i="5"/>
  <c r="D4" i="5" s="1"/>
  <c r="E76" i="8"/>
  <c r="E7" i="8" s="1"/>
  <c r="U35" i="5"/>
  <c r="J44" i="8"/>
  <c r="J5" i="8" s="1"/>
  <c r="I83" i="5"/>
  <c r="I7" i="5" s="1"/>
  <c r="V35" i="5"/>
  <c r="K44" i="8"/>
  <c r="K5" i="8" s="1"/>
  <c r="H83" i="5"/>
  <c r="H7" i="5" s="1"/>
  <c r="B28" i="8"/>
  <c r="B4" i="8" s="1"/>
  <c r="E60" i="8"/>
  <c r="E8" i="8" s="1"/>
  <c r="J83" i="5"/>
  <c r="J7" i="5" s="1"/>
  <c r="B51" i="5"/>
  <c r="B5" i="5" s="1"/>
  <c r="C28" i="8"/>
  <c r="C4" i="8" s="1"/>
  <c r="F60" i="8"/>
  <c r="F8" i="8" s="1"/>
  <c r="T35" i="5"/>
  <c r="D67" i="5"/>
  <c r="D8" i="5" s="1"/>
  <c r="I28" i="8"/>
  <c r="I4" i="8" s="1"/>
  <c r="E28" i="8"/>
  <c r="E4" i="8" s="1"/>
  <c r="H60" i="8"/>
  <c r="H8" i="8" s="1"/>
  <c r="I44" i="8"/>
  <c r="I5" i="8" s="1"/>
  <c r="J76" i="8"/>
  <c r="J7" i="8" s="1"/>
  <c r="L25" i="5"/>
  <c r="L26" i="5"/>
  <c r="L27" i="5"/>
  <c r="L29" i="5"/>
  <c r="L30" i="5"/>
  <c r="G60" i="8"/>
  <c r="G8" i="8" s="1"/>
  <c r="K83" i="5"/>
  <c r="K7" i="5" s="1"/>
  <c r="F28" i="8"/>
  <c r="F4" i="8" s="1"/>
  <c r="H44" i="8"/>
  <c r="H5" i="8" s="1"/>
  <c r="D28" i="8"/>
  <c r="D4" i="8" s="1"/>
  <c r="K76" i="8"/>
  <c r="K7" i="8" s="1"/>
  <c r="G28" i="8"/>
  <c r="G4" i="8" s="1"/>
  <c r="G6" i="8" s="1"/>
  <c r="G11" i="8" s="1"/>
  <c r="J60" i="8"/>
  <c r="J8" i="8" s="1"/>
  <c r="C51" i="5"/>
  <c r="C5" i="5" s="1"/>
  <c r="H28" i="8"/>
  <c r="H4" i="8" s="1"/>
  <c r="K60" i="8"/>
  <c r="K8" i="8" s="1"/>
  <c r="H51" i="5"/>
  <c r="H5" i="5" s="1"/>
  <c r="I51" i="5"/>
  <c r="I5" i="5" s="1"/>
  <c r="J51" i="5"/>
  <c r="J5" i="5" s="1"/>
  <c r="G51" i="5"/>
  <c r="G5" i="5" s="1"/>
  <c r="E67" i="5"/>
  <c r="E8" i="5" s="1"/>
  <c r="F67" i="5"/>
  <c r="F8" i="5" s="1"/>
  <c r="D13" i="5" l="1"/>
  <c r="D6" i="5"/>
  <c r="D10" i="5" s="1"/>
  <c r="F9" i="8"/>
  <c r="K11" i="8"/>
  <c r="L7" i="5"/>
  <c r="L8" i="8"/>
  <c r="F6" i="8"/>
  <c r="F11" i="8" s="1"/>
  <c r="L5" i="5"/>
  <c r="N25" i="5"/>
  <c r="M23" i="5"/>
  <c r="K9" i="5"/>
  <c r="H9" i="8"/>
  <c r="K10" i="5"/>
  <c r="M30" i="5"/>
  <c r="D9" i="8"/>
  <c r="I9" i="8"/>
  <c r="K9" i="8"/>
  <c r="F9" i="5"/>
  <c r="F10" i="5" s="1"/>
  <c r="I13" i="5"/>
  <c r="I6" i="5"/>
  <c r="I10" i="5" s="1"/>
  <c r="G13" i="5"/>
  <c r="G6" i="5"/>
  <c r="G10" i="5" s="1"/>
  <c r="L28" i="5"/>
  <c r="H13" i="5"/>
  <c r="H6" i="5"/>
  <c r="H10" i="5" s="1"/>
  <c r="B6" i="8"/>
  <c r="B11" i="8" s="1"/>
  <c r="L4" i="8"/>
  <c r="H6" i="8"/>
  <c r="H11" i="8" s="1"/>
  <c r="I9" i="5"/>
  <c r="L8" i="5"/>
  <c r="M8" i="5" s="1"/>
  <c r="M29" i="5"/>
  <c r="C6" i="8"/>
  <c r="C9" i="8"/>
  <c r="L7" i="8"/>
  <c r="B9" i="8"/>
  <c r="H9" i="5"/>
  <c r="M25" i="5"/>
  <c r="O25" i="5" s="1"/>
  <c r="J13" i="5"/>
  <c r="J6" i="5"/>
  <c r="M27" i="5"/>
  <c r="L32" i="5"/>
  <c r="L33" i="5"/>
  <c r="L5" i="8"/>
  <c r="J9" i="8"/>
  <c r="J9" i="5"/>
  <c r="G9" i="5"/>
  <c r="E6" i="8"/>
  <c r="D6" i="8"/>
  <c r="D11" i="8" s="1"/>
  <c r="B13" i="5"/>
  <c r="B6" i="5"/>
  <c r="B10" i="5" s="1"/>
  <c r="D9" i="5"/>
  <c r="L24" i="5"/>
  <c r="E9" i="8"/>
  <c r="M26" i="5"/>
  <c r="N26" i="5" s="1"/>
  <c r="L31" i="5"/>
  <c r="J6" i="8"/>
  <c r="I6" i="8"/>
  <c r="I11" i="8" s="1"/>
  <c r="M67" i="5" l="1"/>
  <c r="Q25" i="5"/>
  <c r="N4" i="8"/>
  <c r="N28" i="8" s="1"/>
  <c r="M5" i="5"/>
  <c r="M5" i="8"/>
  <c r="L9" i="8"/>
  <c r="L76" i="8"/>
  <c r="N8" i="5"/>
  <c r="N67" i="5" s="1"/>
  <c r="N27" i="5"/>
  <c r="L83" i="5"/>
  <c r="L9" i="5"/>
  <c r="M7" i="5"/>
  <c r="N7" i="5" s="1"/>
  <c r="J10" i="5"/>
  <c r="L34" i="5"/>
  <c r="M24" i="5"/>
  <c r="O24" i="5" s="1"/>
  <c r="N24" i="5"/>
  <c r="M31" i="5"/>
  <c r="O31" i="5" s="1"/>
  <c r="N31" i="5"/>
  <c r="P31" i="5" s="1"/>
  <c r="L28" i="8"/>
  <c r="L6" i="8"/>
  <c r="N30" i="5"/>
  <c r="N29" i="5"/>
  <c r="J11" i="8"/>
  <c r="E11" i="8"/>
  <c r="C11" i="8"/>
  <c r="O4" i="8"/>
  <c r="O28" i="8" s="1"/>
  <c r="L51" i="5"/>
  <c r="L6" i="5"/>
  <c r="M33" i="5"/>
  <c r="M32" i="5"/>
  <c r="N32" i="5"/>
  <c r="O32" i="5" s="1"/>
  <c r="M7" i="8"/>
  <c r="N7" i="8" s="1"/>
  <c r="M4" i="8"/>
  <c r="M28" i="8" s="1"/>
  <c r="O26" i="5"/>
  <c r="N23" i="5"/>
  <c r="O23" i="5"/>
  <c r="M28" i="5"/>
  <c r="L67" i="5"/>
  <c r="P25" i="5"/>
  <c r="R25" i="5" s="1"/>
  <c r="S25" i="5" s="1"/>
  <c r="L60" i="8"/>
  <c r="M8" i="8"/>
  <c r="Q31" i="5" l="1"/>
  <c r="N83" i="5"/>
  <c r="N9" i="5"/>
  <c r="N76" i="8"/>
  <c r="O33" i="5"/>
  <c r="L66" i="8"/>
  <c r="L75" i="8" s="1"/>
  <c r="L67" i="8"/>
  <c r="L68" i="8"/>
  <c r="L69" i="8"/>
  <c r="L70" i="8"/>
  <c r="L73" i="8"/>
  <c r="L71" i="8"/>
  <c r="L74" i="8"/>
  <c r="L72" i="8"/>
  <c r="P24" i="5"/>
  <c r="Q24" i="5"/>
  <c r="N16" i="8"/>
  <c r="N20" i="8"/>
  <c r="N44" i="8" s="1"/>
  <c r="N21" i="8"/>
  <c r="N32" i="8"/>
  <c r="O32" i="8" s="1"/>
  <c r="N5" i="8"/>
  <c r="N33" i="5"/>
  <c r="M60" i="8"/>
  <c r="N8" i="8"/>
  <c r="N60" i="8" s="1"/>
  <c r="O8" i="8"/>
  <c r="O60" i="8" s="1"/>
  <c r="O27" i="5"/>
  <c r="P23" i="5"/>
  <c r="Q23" i="5" s="1"/>
  <c r="N64" i="5"/>
  <c r="O8" i="5"/>
  <c r="O30" i="5"/>
  <c r="N28" i="5"/>
  <c r="M76" i="8"/>
  <c r="M9" i="8"/>
  <c r="O7" i="8"/>
  <c r="M51" i="5"/>
  <c r="M6" i="5"/>
  <c r="M10" i="5" s="1"/>
  <c r="R32" i="5"/>
  <c r="L75" i="5"/>
  <c r="L76" i="5"/>
  <c r="L77" i="5"/>
  <c r="L79" i="5"/>
  <c r="L80" i="5"/>
  <c r="L81" i="5"/>
  <c r="L74" i="5"/>
  <c r="L72" i="5"/>
  <c r="L78" i="5"/>
  <c r="L73" i="5"/>
  <c r="L82" i="5" s="1"/>
  <c r="L11" i="8"/>
  <c r="M3" i="8" s="1"/>
  <c r="M6" i="8" s="1"/>
  <c r="M11" i="8" s="1"/>
  <c r="N3" i="8" s="1"/>
  <c r="L54" i="8"/>
  <c r="L50" i="8"/>
  <c r="L57" i="8"/>
  <c r="L55" i="8"/>
  <c r="L56" i="8"/>
  <c r="L51" i="8"/>
  <c r="L58" i="8"/>
  <c r="L52" i="8"/>
  <c r="L53" i="8"/>
  <c r="L59" i="8"/>
  <c r="O5" i="5"/>
  <c r="M60" i="5"/>
  <c r="N60" i="5" s="1"/>
  <c r="M55" i="5"/>
  <c r="N55" i="5" s="1"/>
  <c r="M63" i="5"/>
  <c r="N63" i="5" s="1"/>
  <c r="M61" i="5"/>
  <c r="N61" i="5" s="1"/>
  <c r="M64" i="5"/>
  <c r="P29" i="5"/>
  <c r="P32" i="5"/>
  <c r="M83" i="5"/>
  <c r="M9" i="5"/>
  <c r="Q32" i="5"/>
  <c r="L36" i="8"/>
  <c r="N36" i="8" s="1"/>
  <c r="L37" i="8"/>
  <c r="L38" i="8"/>
  <c r="N38" i="8" s="1"/>
  <c r="L40" i="8"/>
  <c r="L41" i="8"/>
  <c r="N41" i="8" s="1"/>
  <c r="L17" i="8"/>
  <c r="L42" i="8"/>
  <c r="M42" i="8" s="1"/>
  <c r="L18" i="8"/>
  <c r="M18" i="8" s="1"/>
  <c r="L19" i="8"/>
  <c r="M19" i="8" s="1"/>
  <c r="L25" i="8"/>
  <c r="L33" i="8"/>
  <c r="M33" i="8" s="1"/>
  <c r="N33" i="8" s="1"/>
  <c r="L22" i="8"/>
  <c r="L34" i="8"/>
  <c r="M34" i="8" s="1"/>
  <c r="L35" i="8"/>
  <c r="L26" i="8"/>
  <c r="L24" i="8"/>
  <c r="L20" i="8"/>
  <c r="L44" i="8" s="1"/>
  <c r="L23" i="8"/>
  <c r="L39" i="8"/>
  <c r="L21" i="8"/>
  <c r="O21" i="8" s="1"/>
  <c r="L10" i="5"/>
  <c r="R31" i="5"/>
  <c r="O29" i="5"/>
  <c r="L56" i="5"/>
  <c r="M56" i="5" s="1"/>
  <c r="L57" i="5"/>
  <c r="M57" i="5" s="1"/>
  <c r="L58" i="5"/>
  <c r="M58" i="5" s="1"/>
  <c r="L65" i="5"/>
  <c r="L59" i="5"/>
  <c r="M59" i="5" s="1"/>
  <c r="L62" i="5"/>
  <c r="L66" i="5" s="1"/>
  <c r="L60" i="5"/>
  <c r="L63" i="5"/>
  <c r="L61" i="5"/>
  <c r="L64" i="5"/>
  <c r="P4" i="8"/>
  <c r="P28" i="8" s="1"/>
  <c r="O7" i="5"/>
  <c r="N5" i="5"/>
  <c r="M34" i="5"/>
  <c r="U25" i="5"/>
  <c r="S31" i="5"/>
  <c r="M37" i="8"/>
  <c r="N37" i="8" s="1"/>
  <c r="M38" i="8"/>
  <c r="O38" i="8" s="1"/>
  <c r="M39" i="8"/>
  <c r="N39" i="8" s="1"/>
  <c r="O39" i="8" s="1"/>
  <c r="M41" i="8"/>
  <c r="M17" i="8"/>
  <c r="M20" i="8"/>
  <c r="M44" i="8" s="1"/>
  <c r="M32" i="8"/>
  <c r="M26" i="8"/>
  <c r="N26" i="8" s="1"/>
  <c r="O26" i="8" s="1"/>
  <c r="M36" i="8"/>
  <c r="O36" i="8" s="1"/>
  <c r="M16" i="8"/>
  <c r="O16" i="8" s="1"/>
  <c r="M24" i="8"/>
  <c r="N24" i="8" s="1"/>
  <c r="M23" i="8"/>
  <c r="N23" i="8" s="1"/>
  <c r="O23" i="8" s="1"/>
  <c r="M40" i="8"/>
  <c r="N40" i="8" s="1"/>
  <c r="O40" i="8" s="1"/>
  <c r="M21" i="8"/>
  <c r="P26" i="5"/>
  <c r="L49" i="5"/>
  <c r="L50" i="5"/>
  <c r="L40" i="5"/>
  <c r="L44" i="5"/>
  <c r="L45" i="5"/>
  <c r="L46" i="5"/>
  <c r="L47" i="5"/>
  <c r="L48" i="5"/>
  <c r="L42" i="5"/>
  <c r="L41" i="5"/>
  <c r="L43" i="5"/>
  <c r="T25" i="5"/>
  <c r="V25" i="5" s="1"/>
  <c r="S23" i="5" l="1"/>
  <c r="V23" i="5" s="1"/>
  <c r="T23" i="5"/>
  <c r="U31" i="5"/>
  <c r="V31" i="5" s="1"/>
  <c r="N22" i="8"/>
  <c r="O6" i="5"/>
  <c r="O51" i="5"/>
  <c r="N42" i="8"/>
  <c r="M62" i="5"/>
  <c r="O5" i="8"/>
  <c r="O37" i="8"/>
  <c r="P37" i="8" s="1"/>
  <c r="N58" i="5"/>
  <c r="O34" i="8"/>
  <c r="O83" i="5"/>
  <c r="O9" i="5"/>
  <c r="O33" i="8"/>
  <c r="P33" i="8" s="1"/>
  <c r="Q4" i="8"/>
  <c r="P7" i="5"/>
  <c r="O67" i="5"/>
  <c r="P8" i="5"/>
  <c r="P67" i="5" s="1"/>
  <c r="P8" i="8"/>
  <c r="N19" i="8"/>
  <c r="N50" i="8"/>
  <c r="O50" i="8" s="1"/>
  <c r="N55" i="8"/>
  <c r="N51" i="8"/>
  <c r="O51" i="8" s="1"/>
  <c r="N56" i="8"/>
  <c r="N57" i="8"/>
  <c r="O57" i="8" s="1"/>
  <c r="N58" i="8"/>
  <c r="O58" i="8" s="1"/>
  <c r="N54" i="8"/>
  <c r="O54" i="8" s="1"/>
  <c r="N49" i="8"/>
  <c r="O49" i="8" s="1"/>
  <c r="N52" i="8"/>
  <c r="N53" i="8"/>
  <c r="O53" i="8" s="1"/>
  <c r="N48" i="8"/>
  <c r="N59" i="8" s="1"/>
  <c r="N56" i="5"/>
  <c r="N66" i="5" s="1"/>
  <c r="M54" i="8"/>
  <c r="M58" i="8"/>
  <c r="M50" i="8"/>
  <c r="M55" i="8"/>
  <c r="O55" i="8" s="1"/>
  <c r="M57" i="8"/>
  <c r="M56" i="8"/>
  <c r="O56" i="8" s="1"/>
  <c r="M51" i="8"/>
  <c r="M49" i="8"/>
  <c r="M48" i="8"/>
  <c r="O48" i="8" s="1"/>
  <c r="M53" i="8"/>
  <c r="M52" i="8"/>
  <c r="O52" i="8" s="1"/>
  <c r="M39" i="5"/>
  <c r="M50" i="5" s="1"/>
  <c r="M44" i="5"/>
  <c r="M48" i="5"/>
  <c r="M40" i="5"/>
  <c r="M45" i="5"/>
  <c r="M46" i="5"/>
  <c r="M47" i="5"/>
  <c r="M41" i="5"/>
  <c r="M43" i="5"/>
  <c r="M49" i="5"/>
  <c r="M42" i="5"/>
  <c r="N59" i="5"/>
  <c r="M25" i="8"/>
  <c r="N25" i="8" s="1"/>
  <c r="R24" i="5"/>
  <c r="S24" i="5" s="1"/>
  <c r="M64" i="8"/>
  <c r="M65" i="8"/>
  <c r="M67" i="8"/>
  <c r="N67" i="8" s="1"/>
  <c r="M68" i="8"/>
  <c r="N68" i="8" s="1"/>
  <c r="M69" i="8"/>
  <c r="N69" i="8" s="1"/>
  <c r="M70" i="8"/>
  <c r="N70" i="8" s="1"/>
  <c r="M73" i="8"/>
  <c r="N73" i="8" s="1"/>
  <c r="M66" i="8"/>
  <c r="M74" i="8"/>
  <c r="N74" i="8" s="1"/>
  <c r="M71" i="8"/>
  <c r="N71" i="8" s="1"/>
  <c r="M72" i="8"/>
  <c r="N72" i="8" s="1"/>
  <c r="O20" i="8"/>
  <c r="O44" i="8" s="1"/>
  <c r="N18" i="8"/>
  <c r="O18" i="8" s="1"/>
  <c r="N9" i="8"/>
  <c r="P33" i="5"/>
  <c r="Q33" i="5" s="1"/>
  <c r="M66" i="5"/>
  <c r="N62" i="5"/>
  <c r="N64" i="8"/>
  <c r="N65" i="8"/>
  <c r="N66" i="8"/>
  <c r="M35" i="8"/>
  <c r="N6" i="8"/>
  <c r="N57" i="5"/>
  <c r="M43" i="8"/>
  <c r="L43" i="8"/>
  <c r="O19" i="8"/>
  <c r="P19" i="8" s="1"/>
  <c r="U23" i="5"/>
  <c r="N35" i="8"/>
  <c r="O35" i="8" s="1"/>
  <c r="N80" i="5"/>
  <c r="N73" i="5"/>
  <c r="N72" i="5"/>
  <c r="N75" i="5"/>
  <c r="Q29" i="5"/>
  <c r="S32" i="5"/>
  <c r="N51" i="5"/>
  <c r="N6" i="5"/>
  <c r="N10" i="5" s="1"/>
  <c r="N17" i="8"/>
  <c r="O17" i="8" s="1"/>
  <c r="P40" i="8"/>
  <c r="P16" i="8"/>
  <c r="P41" i="8"/>
  <c r="P21" i="8"/>
  <c r="P23" i="8"/>
  <c r="P36" i="8"/>
  <c r="P26" i="8"/>
  <c r="P38" i="8"/>
  <c r="P32" i="8"/>
  <c r="P39" i="8"/>
  <c r="L27" i="8"/>
  <c r="M76" i="5"/>
  <c r="N76" i="5" s="1"/>
  <c r="M77" i="5"/>
  <c r="N77" i="5" s="1"/>
  <c r="M78" i="5"/>
  <c r="N78" i="5" s="1"/>
  <c r="M80" i="5"/>
  <c r="M81" i="5"/>
  <c r="N81" i="5" s="1"/>
  <c r="M71" i="5"/>
  <c r="N71" i="5" s="1"/>
  <c r="M74" i="5"/>
  <c r="N74" i="5" s="1"/>
  <c r="M72" i="5"/>
  <c r="M79" i="5"/>
  <c r="N79" i="5" s="1"/>
  <c r="M73" i="5"/>
  <c r="M75" i="5"/>
  <c r="N34" i="8"/>
  <c r="P34" i="8" s="1"/>
  <c r="M65" i="5"/>
  <c r="N65" i="5" s="1"/>
  <c r="O76" i="8"/>
  <c r="O9" i="8"/>
  <c r="P7" i="8"/>
  <c r="O28" i="5"/>
  <c r="O41" i="8"/>
  <c r="T31" i="5"/>
  <c r="Q26" i="5"/>
  <c r="R26" i="5" s="1"/>
  <c r="R29" i="5"/>
  <c r="O24" i="8"/>
  <c r="P24" i="8" s="1"/>
  <c r="M22" i="8"/>
  <c r="O22" i="8" s="1"/>
  <c r="N34" i="5"/>
  <c r="P5" i="5"/>
  <c r="P30" i="5"/>
  <c r="R30" i="5" s="1"/>
  <c r="Q30" i="5"/>
  <c r="P27" i="5"/>
  <c r="R23" i="5"/>
  <c r="N75" i="8" l="1"/>
  <c r="T24" i="5"/>
  <c r="U24" i="5"/>
  <c r="V24" i="5" s="1"/>
  <c r="O59" i="8"/>
  <c r="R33" i="5"/>
  <c r="S33" i="5"/>
  <c r="T33" i="5" s="1"/>
  <c r="U33" i="5" s="1"/>
  <c r="N82" i="5"/>
  <c r="P35" i="8"/>
  <c r="P17" i="8"/>
  <c r="P27" i="8" s="1"/>
  <c r="P6" i="5"/>
  <c r="P10" i="5" s="1"/>
  <c r="P51" i="5"/>
  <c r="S29" i="5"/>
  <c r="T29" i="5" s="1"/>
  <c r="T32" i="5"/>
  <c r="U32" i="5" s="1"/>
  <c r="V32" i="5" s="1"/>
  <c r="M59" i="8"/>
  <c r="S26" i="5"/>
  <c r="T26" i="5" s="1"/>
  <c r="P60" i="8"/>
  <c r="Q8" i="8"/>
  <c r="P83" i="5"/>
  <c r="P9" i="5"/>
  <c r="O65" i="8"/>
  <c r="O66" i="8"/>
  <c r="O67" i="8"/>
  <c r="O69" i="8"/>
  <c r="O70" i="8"/>
  <c r="O71" i="8"/>
  <c r="O72" i="8"/>
  <c r="O73" i="8"/>
  <c r="O64" i="8"/>
  <c r="O68" i="8"/>
  <c r="O74" i="8"/>
  <c r="O75" i="8" s="1"/>
  <c r="Q5" i="5"/>
  <c r="M27" i="8"/>
  <c r="Q27" i="5"/>
  <c r="O42" i="8"/>
  <c r="P42" i="8" s="1"/>
  <c r="M82" i="5"/>
  <c r="P22" i="8"/>
  <c r="Q7" i="5"/>
  <c r="Q8" i="5"/>
  <c r="Q67" i="5" s="1"/>
  <c r="O25" i="8"/>
  <c r="P25" i="8" s="1"/>
  <c r="R8" i="5"/>
  <c r="R67" i="5" s="1"/>
  <c r="O45" i="5"/>
  <c r="O46" i="5"/>
  <c r="O47" i="5"/>
  <c r="O44" i="5"/>
  <c r="P76" i="8"/>
  <c r="P9" i="8"/>
  <c r="R7" i="8"/>
  <c r="Q28" i="8"/>
  <c r="R4" i="8"/>
  <c r="R28" i="8" s="1"/>
  <c r="U26" i="5"/>
  <c r="V26" i="5" s="1"/>
  <c r="P56" i="5"/>
  <c r="P60" i="5"/>
  <c r="P61" i="5"/>
  <c r="P62" i="5"/>
  <c r="P63" i="5"/>
  <c r="P58" i="5"/>
  <c r="P65" i="5"/>
  <c r="P64" i="5"/>
  <c r="P28" i="5"/>
  <c r="O34" i="5"/>
  <c r="P20" i="8"/>
  <c r="P44" i="8" s="1"/>
  <c r="S8" i="5"/>
  <c r="O10" i="5"/>
  <c r="Q7" i="8"/>
  <c r="N44" i="5"/>
  <c r="N45" i="5"/>
  <c r="N46" i="5"/>
  <c r="N47" i="5"/>
  <c r="N49" i="5"/>
  <c r="O49" i="5" s="1"/>
  <c r="N48" i="5"/>
  <c r="O48" i="5" s="1"/>
  <c r="N40" i="5"/>
  <c r="O40" i="5" s="1"/>
  <c r="N41" i="5"/>
  <c r="O41" i="5" s="1"/>
  <c r="N42" i="5"/>
  <c r="O42" i="5" s="1"/>
  <c r="N43" i="5"/>
  <c r="O43" i="5" s="1"/>
  <c r="N39" i="5"/>
  <c r="O39" i="5" s="1"/>
  <c r="O50" i="5" s="1"/>
  <c r="N43" i="8"/>
  <c r="N11" i="8"/>
  <c r="O3" i="8" s="1"/>
  <c r="O6" i="8" s="1"/>
  <c r="O11" i="8" s="1"/>
  <c r="P3" i="8" s="1"/>
  <c r="P6" i="8" s="1"/>
  <c r="P11" i="8" s="1"/>
  <c r="Q3" i="8" s="1"/>
  <c r="R27" i="5"/>
  <c r="S30" i="5"/>
  <c r="T30" i="5"/>
  <c r="P18" i="8"/>
  <c r="O55" i="5"/>
  <c r="P55" i="5" s="1"/>
  <c r="O56" i="5"/>
  <c r="O58" i="5"/>
  <c r="O59" i="5"/>
  <c r="P59" i="5" s="1"/>
  <c r="O60" i="5"/>
  <c r="O61" i="5"/>
  <c r="O62" i="5"/>
  <c r="O63" i="5"/>
  <c r="O64" i="5"/>
  <c r="O65" i="5"/>
  <c r="O57" i="5"/>
  <c r="O66" i="5" s="1"/>
  <c r="N27" i="8"/>
  <c r="O43" i="8"/>
  <c r="M75" i="8"/>
  <c r="O78" i="5"/>
  <c r="O79" i="5"/>
  <c r="O80" i="5"/>
  <c r="O74" i="5"/>
  <c r="O82" i="5" s="1"/>
  <c r="O77" i="5"/>
  <c r="O72" i="5"/>
  <c r="O81" i="5"/>
  <c r="O76" i="5"/>
  <c r="O71" i="5"/>
  <c r="O75" i="5"/>
  <c r="O73" i="5"/>
  <c r="P5" i="8"/>
  <c r="Q5" i="8" s="1"/>
  <c r="R5" i="8" s="1"/>
  <c r="V33" i="5" l="1"/>
  <c r="P43" i="8"/>
  <c r="Q9" i="5"/>
  <c r="Q83" i="5"/>
  <c r="Q6" i="5"/>
  <c r="Q10" i="5" s="1"/>
  <c r="Q51" i="5"/>
  <c r="R5" i="5"/>
  <c r="R22" i="8"/>
  <c r="R23" i="8"/>
  <c r="R24" i="8"/>
  <c r="R25" i="8"/>
  <c r="R41" i="8"/>
  <c r="R36" i="8"/>
  <c r="R35" i="8"/>
  <c r="U30" i="5"/>
  <c r="V30" i="5" s="1"/>
  <c r="P66" i="8"/>
  <c r="P67" i="8"/>
  <c r="P68" i="8"/>
  <c r="P70" i="8"/>
  <c r="P71" i="8"/>
  <c r="P72" i="8"/>
  <c r="P73" i="8"/>
  <c r="P64" i="8"/>
  <c r="P75" i="8" s="1"/>
  <c r="P74" i="8"/>
  <c r="P65" i="8"/>
  <c r="P69" i="8"/>
  <c r="S27" i="5"/>
  <c r="Q60" i="8"/>
  <c r="R8" i="8"/>
  <c r="S67" i="5"/>
  <c r="T8" i="5"/>
  <c r="S4" i="8"/>
  <c r="O27" i="8"/>
  <c r="Q41" i="8"/>
  <c r="Q17" i="8"/>
  <c r="R17" i="8" s="1"/>
  <c r="Q42" i="8"/>
  <c r="R42" i="8" s="1"/>
  <c r="Q18" i="8"/>
  <c r="R18" i="8" s="1"/>
  <c r="Q19" i="8"/>
  <c r="R19" i="8" s="1"/>
  <c r="Q21" i="8"/>
  <c r="R21" i="8" s="1"/>
  <c r="Q22" i="8"/>
  <c r="Q23" i="8"/>
  <c r="Q24" i="8"/>
  <c r="Q35" i="8"/>
  <c r="Q36" i="8"/>
  <c r="Q26" i="8"/>
  <c r="R26" i="8" s="1"/>
  <c r="Q16" i="8"/>
  <c r="R16" i="8" s="1"/>
  <c r="Q37" i="8"/>
  <c r="R37" i="8" s="1"/>
  <c r="Q38" i="8"/>
  <c r="R38" i="8" s="1"/>
  <c r="Q32" i="8"/>
  <c r="R32" i="8" s="1"/>
  <c r="Q33" i="8"/>
  <c r="R33" i="8" s="1"/>
  <c r="Q25" i="8"/>
  <c r="Q39" i="8"/>
  <c r="R39" i="8" s="1"/>
  <c r="Q20" i="8"/>
  <c r="Q44" i="8" s="1"/>
  <c r="Q34" i="8"/>
  <c r="R34" i="8" s="1"/>
  <c r="Q40" i="8"/>
  <c r="R40" i="8" s="1"/>
  <c r="U29" i="5"/>
  <c r="V29" i="5" s="1"/>
  <c r="R9" i="8"/>
  <c r="R76" i="8"/>
  <c r="S7" i="8"/>
  <c r="R7" i="5"/>
  <c r="P57" i="5"/>
  <c r="P66" i="5" s="1"/>
  <c r="P34" i="5"/>
  <c r="Q56" i="5"/>
  <c r="Q57" i="5"/>
  <c r="Q58" i="5"/>
  <c r="Q60" i="5"/>
  <c r="Q61" i="5"/>
  <c r="Q62" i="5"/>
  <c r="Q63" i="5"/>
  <c r="Q59" i="5"/>
  <c r="R59" i="5" s="1"/>
  <c r="Q64" i="5"/>
  <c r="Q55" i="5"/>
  <c r="Q66" i="5" s="1"/>
  <c r="Q65" i="5"/>
  <c r="T27" i="5"/>
  <c r="P48" i="8"/>
  <c r="P59" i="8" s="1"/>
  <c r="P49" i="8"/>
  <c r="P55" i="8"/>
  <c r="P56" i="8"/>
  <c r="P57" i="8"/>
  <c r="P58" i="8"/>
  <c r="P51" i="8"/>
  <c r="P52" i="8"/>
  <c r="P54" i="8"/>
  <c r="P53" i="8"/>
  <c r="P50" i="8"/>
  <c r="R57" i="5"/>
  <c r="R58" i="5"/>
  <c r="R61" i="5"/>
  <c r="R62" i="5"/>
  <c r="R63" i="5"/>
  <c r="R64" i="5"/>
  <c r="R56" i="5"/>
  <c r="R55" i="5"/>
  <c r="R66" i="5" s="1"/>
  <c r="R65" i="5"/>
  <c r="R60" i="5"/>
  <c r="Q28" i="5"/>
  <c r="Q6" i="8"/>
  <c r="S5" i="8"/>
  <c r="T5" i="8" s="1"/>
  <c r="U5" i="8"/>
  <c r="V5" i="8" s="1"/>
  <c r="N50" i="5"/>
  <c r="P79" i="5"/>
  <c r="P80" i="5"/>
  <c r="P81" i="5"/>
  <c r="P74" i="5"/>
  <c r="P72" i="5"/>
  <c r="P77" i="5"/>
  <c r="P78" i="5"/>
  <c r="P76" i="5"/>
  <c r="P71" i="5"/>
  <c r="P82" i="5" s="1"/>
  <c r="P73" i="5"/>
  <c r="P75" i="5"/>
  <c r="P45" i="5"/>
  <c r="P46" i="5"/>
  <c r="P47" i="5"/>
  <c r="P48" i="5"/>
  <c r="P40" i="5"/>
  <c r="P49" i="5"/>
  <c r="P44" i="5"/>
  <c r="P41" i="5"/>
  <c r="P43" i="5"/>
  <c r="P39" i="5"/>
  <c r="P50" i="5" s="1"/>
  <c r="P42" i="5"/>
  <c r="Q76" i="8"/>
  <c r="Q9" i="8"/>
  <c r="R28" i="5" l="1"/>
  <c r="R34" i="5" s="1"/>
  <c r="S28" i="5"/>
  <c r="S76" i="8"/>
  <c r="T7" i="8"/>
  <c r="S28" i="8"/>
  <c r="T4" i="8"/>
  <c r="S58" i="5"/>
  <c r="S59" i="5"/>
  <c r="S60" i="5"/>
  <c r="S62" i="5"/>
  <c r="S63" i="5"/>
  <c r="S64" i="5"/>
  <c r="S65" i="5"/>
  <c r="S56" i="5"/>
  <c r="S61" i="5"/>
  <c r="S66" i="5" s="1"/>
  <c r="S57" i="5"/>
  <c r="S55" i="5"/>
  <c r="R6" i="5"/>
  <c r="R51" i="5"/>
  <c r="S5" i="5"/>
  <c r="Q27" i="8"/>
  <c r="R68" i="8"/>
  <c r="R72" i="8"/>
  <c r="R73" i="8"/>
  <c r="R74" i="8"/>
  <c r="R67" i="8"/>
  <c r="R71" i="8"/>
  <c r="R65" i="8"/>
  <c r="R64" i="8"/>
  <c r="R66" i="8"/>
  <c r="T34" i="5"/>
  <c r="Q43" i="8"/>
  <c r="T67" i="5"/>
  <c r="U8" i="5"/>
  <c r="Q39" i="5"/>
  <c r="Q46" i="5"/>
  <c r="Q47" i="5"/>
  <c r="Q48" i="5"/>
  <c r="Q40" i="5"/>
  <c r="Q49" i="5"/>
  <c r="Q41" i="5"/>
  <c r="Q44" i="5"/>
  <c r="Q45" i="5"/>
  <c r="Q43" i="5"/>
  <c r="Q42" i="5"/>
  <c r="Q50" i="5" s="1"/>
  <c r="Q80" i="5"/>
  <c r="Q81" i="5"/>
  <c r="Q75" i="5"/>
  <c r="Q77" i="5"/>
  <c r="Q72" i="5"/>
  <c r="Q82" i="5" s="1"/>
  <c r="Q74" i="5"/>
  <c r="Q79" i="5"/>
  <c r="Q76" i="5"/>
  <c r="Q78" i="5"/>
  <c r="Q71" i="5"/>
  <c r="Q73" i="5"/>
  <c r="Q34" i="5"/>
  <c r="T28" i="5"/>
  <c r="R20" i="8"/>
  <c r="R44" i="8" s="1"/>
  <c r="R43" i="8" s="1"/>
  <c r="R60" i="8"/>
  <c r="S8" i="8"/>
  <c r="U27" i="5"/>
  <c r="S34" i="5"/>
  <c r="U28" i="5"/>
  <c r="Q48" i="8"/>
  <c r="Q49" i="8"/>
  <c r="Q50" i="8"/>
  <c r="Q56" i="8"/>
  <c r="Q57" i="8"/>
  <c r="Q58" i="8"/>
  <c r="Q51" i="8"/>
  <c r="Q59" i="8" s="1"/>
  <c r="Q55" i="8"/>
  <c r="Q52" i="8"/>
  <c r="Q54" i="8"/>
  <c r="Q53" i="8"/>
  <c r="Q67" i="8"/>
  <c r="Q68" i="8"/>
  <c r="Q69" i="8"/>
  <c r="R69" i="8" s="1"/>
  <c r="Q71" i="8"/>
  <c r="Q72" i="8"/>
  <c r="Q73" i="8"/>
  <c r="Q74" i="8"/>
  <c r="Q70" i="8"/>
  <c r="R70" i="8" s="1"/>
  <c r="Q65" i="8"/>
  <c r="Q64" i="8"/>
  <c r="Q66" i="8"/>
  <c r="Q75" i="8"/>
  <c r="Q11" i="8"/>
  <c r="R3" i="8" s="1"/>
  <c r="R6" i="8" s="1"/>
  <c r="R11" i="8" s="1"/>
  <c r="S3" i="8" s="1"/>
  <c r="S6" i="8" s="1"/>
  <c r="R83" i="5"/>
  <c r="R9" i="5"/>
  <c r="S7" i="5"/>
  <c r="R75" i="8" l="1"/>
  <c r="S60" i="8"/>
  <c r="T8" i="8"/>
  <c r="T28" i="8"/>
  <c r="U4" i="8"/>
  <c r="U28" i="8" s="1"/>
  <c r="T76" i="8"/>
  <c r="T9" i="8"/>
  <c r="U7" i="8"/>
  <c r="U67" i="5"/>
  <c r="V8" i="5"/>
  <c r="V67" i="5" s="1"/>
  <c r="U34" i="5"/>
  <c r="S19" i="8"/>
  <c r="S20" i="8"/>
  <c r="S44" i="8" s="1"/>
  <c r="S21" i="8"/>
  <c r="S23" i="8"/>
  <c r="S24" i="8"/>
  <c r="S25" i="8"/>
  <c r="S26" i="8"/>
  <c r="S41" i="8"/>
  <c r="S36" i="8"/>
  <c r="S22" i="8"/>
  <c r="S38" i="8"/>
  <c r="S42" i="8"/>
  <c r="S16" i="8"/>
  <c r="S37" i="8"/>
  <c r="S32" i="8"/>
  <c r="S17" i="8"/>
  <c r="S27" i="8" s="1"/>
  <c r="S33" i="8"/>
  <c r="S39" i="8"/>
  <c r="S40" i="8"/>
  <c r="S34" i="8"/>
  <c r="S35" i="8"/>
  <c r="S18" i="8"/>
  <c r="R48" i="8"/>
  <c r="R49" i="8"/>
  <c r="R50" i="8"/>
  <c r="R51" i="8"/>
  <c r="R56" i="8"/>
  <c r="R57" i="8"/>
  <c r="R58" i="8"/>
  <c r="R55" i="8"/>
  <c r="R59" i="8" s="1"/>
  <c r="R52" i="8"/>
  <c r="R54" i="8"/>
  <c r="R53" i="8"/>
  <c r="R81" i="5"/>
  <c r="R77" i="5"/>
  <c r="R75" i="5"/>
  <c r="R80" i="5"/>
  <c r="R72" i="5"/>
  <c r="R79" i="5"/>
  <c r="R71" i="5"/>
  <c r="R82" i="5" s="1"/>
  <c r="R74" i="5"/>
  <c r="R76" i="5"/>
  <c r="R78" i="5"/>
  <c r="R73" i="5"/>
  <c r="V4" i="8"/>
  <c r="V28" i="8" s="1"/>
  <c r="R39" i="5"/>
  <c r="R40" i="5"/>
  <c r="R47" i="5"/>
  <c r="R48" i="5"/>
  <c r="R49" i="5"/>
  <c r="R50" i="5" s="1"/>
  <c r="R41" i="5"/>
  <c r="R45" i="5"/>
  <c r="R42" i="5"/>
  <c r="R46" i="5"/>
  <c r="R43" i="5"/>
  <c r="R44" i="5"/>
  <c r="S83" i="5"/>
  <c r="S9" i="5"/>
  <c r="T7" i="5"/>
  <c r="S69" i="8"/>
  <c r="S70" i="8"/>
  <c r="S71" i="8"/>
  <c r="S73" i="8"/>
  <c r="S74" i="8"/>
  <c r="S68" i="8"/>
  <c r="S65" i="8"/>
  <c r="S75" i="8" s="1"/>
  <c r="S66" i="8"/>
  <c r="S67" i="8"/>
  <c r="S72" i="8"/>
  <c r="S64" i="8"/>
  <c r="V27" i="5"/>
  <c r="V34" i="5" s="1"/>
  <c r="R10" i="5"/>
  <c r="V28" i="5"/>
  <c r="T59" i="5"/>
  <c r="T60" i="5"/>
  <c r="T61" i="5"/>
  <c r="T63" i="5"/>
  <c r="T64" i="5"/>
  <c r="T65" i="5"/>
  <c r="T62" i="5"/>
  <c r="T56" i="5"/>
  <c r="T58" i="5"/>
  <c r="T57" i="5"/>
  <c r="T55" i="5"/>
  <c r="T66" i="5" s="1"/>
  <c r="S9" i="8"/>
  <c r="S11" i="8" s="1"/>
  <c r="T3" i="8" s="1"/>
  <c r="T6" i="8" s="1"/>
  <c r="T11" i="8" s="1"/>
  <c r="U3" i="8" s="1"/>
  <c r="U6" i="8" s="1"/>
  <c r="S51" i="5"/>
  <c r="S6" i="5"/>
  <c r="S10" i="5" s="1"/>
  <c r="T5" i="5"/>
  <c r="R27" i="8"/>
  <c r="S43" i="8" l="1"/>
  <c r="V56" i="5"/>
  <c r="V64" i="5"/>
  <c r="V60" i="5"/>
  <c r="T20" i="8"/>
  <c r="T44" i="8" s="1"/>
  <c r="T21" i="8"/>
  <c r="T22" i="8"/>
  <c r="T24" i="8"/>
  <c r="T25" i="8"/>
  <c r="U25" i="8" s="1"/>
  <c r="T26" i="8"/>
  <c r="U26" i="8" s="1"/>
  <c r="T19" i="8"/>
  <c r="T27" i="8" s="1"/>
  <c r="T17" i="8"/>
  <c r="T16" i="8"/>
  <c r="T37" i="8"/>
  <c r="T23" i="8"/>
  <c r="T38" i="8"/>
  <c r="U38" i="8" s="1"/>
  <c r="V38" i="8" s="1"/>
  <c r="T42" i="8"/>
  <c r="T32" i="8"/>
  <c r="T36" i="8"/>
  <c r="U36" i="8" s="1"/>
  <c r="V36" i="8" s="1"/>
  <c r="T33" i="8"/>
  <c r="U33" i="8" s="1"/>
  <c r="V33" i="8" s="1"/>
  <c r="T39" i="8"/>
  <c r="U39" i="8" s="1"/>
  <c r="V39" i="8" s="1"/>
  <c r="T40" i="8"/>
  <c r="U40" i="8" s="1"/>
  <c r="V40" i="8" s="1"/>
  <c r="T41" i="8"/>
  <c r="T18" i="8"/>
  <c r="T34" i="8"/>
  <c r="U34" i="8" s="1"/>
  <c r="V34" i="8" s="1"/>
  <c r="T35" i="8"/>
  <c r="U35" i="8" s="1"/>
  <c r="V35" i="8" s="1"/>
  <c r="S80" i="5"/>
  <c r="S78" i="5"/>
  <c r="S72" i="5"/>
  <c r="S82" i="5" s="1"/>
  <c r="S75" i="5"/>
  <c r="S81" i="5"/>
  <c r="S79" i="5"/>
  <c r="S74" i="5"/>
  <c r="S76" i="5"/>
  <c r="S71" i="5"/>
  <c r="S73" i="5"/>
  <c r="S77" i="5"/>
  <c r="T60" i="8"/>
  <c r="U8" i="8"/>
  <c r="T83" i="5"/>
  <c r="T9" i="5"/>
  <c r="U7" i="5"/>
  <c r="U76" i="8"/>
  <c r="U9" i="8"/>
  <c r="U11" i="8" s="1"/>
  <c r="V3" i="8" s="1"/>
  <c r="V6" i="8" s="1"/>
  <c r="U23" i="8"/>
  <c r="V23" i="8" s="1"/>
  <c r="U16" i="8"/>
  <c r="V16" i="8" s="1"/>
  <c r="U20" i="8"/>
  <c r="U44" i="8" s="1"/>
  <c r="U37" i="8"/>
  <c r="V37" i="8" s="1"/>
  <c r="U42" i="8"/>
  <c r="V42" i="8" s="1"/>
  <c r="U17" i="8"/>
  <c r="U32" i="8"/>
  <c r="U18" i="8"/>
  <c r="S49" i="8"/>
  <c r="S50" i="8"/>
  <c r="S51" i="8"/>
  <c r="S52" i="8"/>
  <c r="S57" i="8"/>
  <c r="S48" i="8"/>
  <c r="S58" i="8"/>
  <c r="S55" i="8"/>
  <c r="S59" i="8" s="1"/>
  <c r="S56" i="8"/>
  <c r="S54" i="8"/>
  <c r="S53" i="8"/>
  <c r="V17" i="8"/>
  <c r="V32" i="8"/>
  <c r="V18" i="8"/>
  <c r="U60" i="5"/>
  <c r="U61" i="5"/>
  <c r="V61" i="5" s="1"/>
  <c r="U62" i="5"/>
  <c r="V62" i="5" s="1"/>
  <c r="U64" i="5"/>
  <c r="U65" i="5"/>
  <c r="V65" i="5" s="1"/>
  <c r="U56" i="5"/>
  <c r="U63" i="5"/>
  <c r="V63" i="5" s="1"/>
  <c r="U59" i="5"/>
  <c r="V59" i="5" s="1"/>
  <c r="U57" i="5"/>
  <c r="V57" i="5" s="1"/>
  <c r="U58" i="5"/>
  <c r="V58" i="5" s="1"/>
  <c r="U55" i="5"/>
  <c r="V55" i="5" s="1"/>
  <c r="V66" i="5" s="1"/>
  <c r="T70" i="8"/>
  <c r="T71" i="8"/>
  <c r="T72" i="8"/>
  <c r="T74" i="8"/>
  <c r="T65" i="8"/>
  <c r="T75" i="8" s="1"/>
  <c r="T68" i="8"/>
  <c r="T66" i="8"/>
  <c r="T73" i="8"/>
  <c r="T67" i="8"/>
  <c r="T64" i="8"/>
  <c r="T69" i="8"/>
  <c r="V7" i="8"/>
  <c r="T51" i="5"/>
  <c r="T6" i="5"/>
  <c r="T10" i="5" s="1"/>
  <c r="U5" i="5"/>
  <c r="S39" i="5"/>
  <c r="S40" i="5"/>
  <c r="S41" i="5"/>
  <c r="S48" i="5"/>
  <c r="S49" i="5"/>
  <c r="S45" i="5"/>
  <c r="S47" i="5"/>
  <c r="S42" i="5"/>
  <c r="S50" i="5" s="1"/>
  <c r="S43" i="5"/>
  <c r="S46" i="5"/>
  <c r="S44" i="5"/>
  <c r="V25" i="8" l="1"/>
  <c r="U22" i="8"/>
  <c r="V22" i="8" s="1"/>
  <c r="U41" i="8"/>
  <c r="V41" i="8" s="1"/>
  <c r="U66" i="5"/>
  <c r="V20" i="8"/>
  <c r="V44" i="8" s="1"/>
  <c r="U60" i="8"/>
  <c r="V8" i="8"/>
  <c r="V60" i="8" s="1"/>
  <c r="V26" i="8"/>
  <c r="U24" i="8"/>
  <c r="V24" i="8" s="1"/>
  <c r="T39" i="5"/>
  <c r="T50" i="5" s="1"/>
  <c r="T40" i="5"/>
  <c r="T41" i="5"/>
  <c r="T42" i="5"/>
  <c r="T49" i="5"/>
  <c r="T45" i="5"/>
  <c r="T48" i="5"/>
  <c r="T47" i="5"/>
  <c r="T46" i="5"/>
  <c r="T43" i="5"/>
  <c r="T44" i="5"/>
  <c r="T80" i="5"/>
  <c r="T72" i="5"/>
  <c r="T75" i="5"/>
  <c r="T78" i="5"/>
  <c r="T74" i="5"/>
  <c r="T76" i="5"/>
  <c r="T73" i="5"/>
  <c r="T71" i="5"/>
  <c r="T79" i="5"/>
  <c r="T77" i="5"/>
  <c r="T82" i="5" s="1"/>
  <c r="T81" i="5"/>
  <c r="U19" i="8"/>
  <c r="U27" i="8" s="1"/>
  <c r="T43" i="8"/>
  <c r="U21" i="8"/>
  <c r="V21" i="8" s="1"/>
  <c r="U71" i="8"/>
  <c r="U72" i="8"/>
  <c r="U73" i="8"/>
  <c r="U65" i="8"/>
  <c r="U74" i="8"/>
  <c r="U68" i="8"/>
  <c r="U67" i="8"/>
  <c r="U64" i="8"/>
  <c r="U75" i="8" s="1"/>
  <c r="U69" i="8"/>
  <c r="U70" i="8"/>
  <c r="U66" i="8"/>
  <c r="U51" i="5"/>
  <c r="U6" i="5"/>
  <c r="V5" i="5"/>
  <c r="U83" i="5"/>
  <c r="U9" i="5"/>
  <c r="V7" i="5"/>
  <c r="V76" i="8"/>
  <c r="V9" i="8"/>
  <c r="V11" i="8" s="1"/>
  <c r="T48" i="8"/>
  <c r="T59" i="8" s="1"/>
  <c r="T50" i="8"/>
  <c r="T51" i="8"/>
  <c r="T52" i="8"/>
  <c r="T53" i="8"/>
  <c r="T58" i="8"/>
  <c r="T49" i="8"/>
  <c r="T55" i="8"/>
  <c r="T56" i="8"/>
  <c r="T57" i="8"/>
  <c r="T54" i="8"/>
  <c r="V19" i="8" l="1"/>
  <c r="V27" i="8" s="1"/>
  <c r="U72" i="5"/>
  <c r="U75" i="5"/>
  <c r="U81" i="5"/>
  <c r="U78" i="5"/>
  <c r="U74" i="5"/>
  <c r="U76" i="5"/>
  <c r="U71" i="5"/>
  <c r="U73" i="5"/>
  <c r="U77" i="5"/>
  <c r="U82" i="5" s="1"/>
  <c r="U80" i="5"/>
  <c r="U79" i="5"/>
  <c r="U40" i="5"/>
  <c r="U41" i="5"/>
  <c r="U42" i="5"/>
  <c r="U43" i="5"/>
  <c r="U49" i="5"/>
  <c r="U39" i="5"/>
  <c r="U50" i="5" s="1"/>
  <c r="U45" i="5"/>
  <c r="U48" i="5"/>
  <c r="U46" i="5"/>
  <c r="U44" i="5"/>
  <c r="U47" i="5"/>
  <c r="V51" i="5"/>
  <c r="V6" i="5"/>
  <c r="V10" i="5" s="1"/>
  <c r="V43" i="8"/>
  <c r="U48" i="8"/>
  <c r="U49" i="8"/>
  <c r="U51" i="8"/>
  <c r="V51" i="8" s="1"/>
  <c r="U52" i="8"/>
  <c r="V52" i="8" s="1"/>
  <c r="U53" i="8"/>
  <c r="V53" i="8" s="1"/>
  <c r="U54" i="8"/>
  <c r="V54" i="8" s="1"/>
  <c r="U55" i="8"/>
  <c r="V55" i="8" s="1"/>
  <c r="U58" i="8"/>
  <c r="V58" i="8" s="1"/>
  <c r="U56" i="8"/>
  <c r="V56" i="8" s="1"/>
  <c r="U50" i="8"/>
  <c r="U59" i="8" s="1"/>
  <c r="U57" i="8"/>
  <c r="V57" i="8" s="1"/>
  <c r="U43" i="8"/>
  <c r="V48" i="8"/>
  <c r="V59" i="8" s="1"/>
  <c r="V49" i="8"/>
  <c r="V50" i="8"/>
  <c r="V72" i="8"/>
  <c r="V73" i="8"/>
  <c r="V74" i="8"/>
  <c r="V65" i="8"/>
  <c r="V71" i="8"/>
  <c r="V68" i="8"/>
  <c r="V70" i="8"/>
  <c r="V64" i="8"/>
  <c r="V75" i="8" s="1"/>
  <c r="V67" i="8"/>
  <c r="V69" i="8"/>
  <c r="V66" i="8"/>
  <c r="V83" i="5"/>
  <c r="V9" i="5"/>
  <c r="U10" i="5"/>
  <c r="V72" i="5" l="1"/>
  <c r="V75" i="5"/>
  <c r="V81" i="5"/>
  <c r="V78" i="5"/>
  <c r="V76" i="5"/>
  <c r="V71" i="5"/>
  <c r="V82" i="5" s="1"/>
  <c r="V73" i="5"/>
  <c r="V79" i="5"/>
  <c r="V77" i="5"/>
  <c r="V74" i="5"/>
  <c r="V80" i="5"/>
  <c r="V39" i="5"/>
  <c r="V41" i="5"/>
  <c r="V42" i="5"/>
  <c r="V43" i="5"/>
  <c r="V44" i="5"/>
  <c r="V40" i="5"/>
  <c r="V50" i="5"/>
  <c r="V45" i="5"/>
  <c r="V48" i="5"/>
  <c r="V46" i="5"/>
  <c r="V47" i="5"/>
  <c r="V49" i="5"/>
</calcChain>
</file>

<file path=xl/sharedStrings.xml><?xml version="1.0" encoding="utf-8"?>
<sst xmlns="http://schemas.openxmlformats.org/spreadsheetml/2006/main" count="600" uniqueCount="145">
  <si>
    <t>Data Series and Source</t>
  </si>
  <si>
    <t>Link</t>
  </si>
  <si>
    <t>Web Page</t>
  </si>
  <si>
    <t>Biodiesel data</t>
  </si>
  <si>
    <t>http://datos.energia.gob.ar/dataset/estadisticas-de-biodiesel-y-bioetanol</t>
  </si>
  <si>
    <t>Biodiesel and bioethanol statistics excel file</t>
  </si>
  <si>
    <t>Energy data</t>
  </si>
  <si>
    <t>http://datos.energia.gob.ar/dataset/produccion-de-combustibles</t>
  </si>
  <si>
    <t>Products made from petroleum - production statistics only. For diesel fuel you need to use Diesel Oil 1,2,3</t>
  </si>
  <si>
    <t>Biodiesel Prices</t>
  </si>
  <si>
    <t>https://glp.se.gob.ar/biocombustible/reporte_precios.php</t>
  </si>
  <si>
    <t>Biodiesel prices in $/Ton from Jan 2018</t>
  </si>
  <si>
    <t>Secretaria de Energis Renewable Energy Biofuel Plants</t>
  </si>
  <si>
    <t>http://datos.energia.gob.ar/dataset/energias-renovables-plantas-biocombustibles/archivo/d9b5c5b9-825a-4d23-9d4d-988ad1ede966</t>
  </si>
  <si>
    <t>Secretaria de Energia Refining and Marketing of Oil, Gas and Derivatives</t>
  </si>
  <si>
    <t>http://datos.energia.gob.ar/dataset/refinacion-y-comercializacion-de-petroleo-gas-y-derivados-tablas-dinamicas</t>
  </si>
  <si>
    <r>
      <t xml:space="preserve">Note: Consumo Propio (own consumption) = 0 for Jet fuel I think this is consumption by the refineries themselves so can it really be considered consumption? </t>
    </r>
    <r>
      <rPr>
        <sz val="11"/>
        <color rgb="FFFF0000"/>
        <rFont val="Aptos Display"/>
        <family val="2"/>
      </rPr>
      <t>This would be important for diesel fuel</t>
    </r>
  </si>
  <si>
    <t>megalitre = 1000 m3</t>
  </si>
  <si>
    <t>Biodiesel</t>
  </si>
  <si>
    <t>Diesel</t>
  </si>
  <si>
    <t>Kerosene (Jet)</t>
  </si>
  <si>
    <t>1000 kg = 1 tonne</t>
  </si>
  <si>
    <t xml:space="preserve">1 liter = 0.834kg </t>
  </si>
  <si>
    <t>1 tonne = 1175.36 liters</t>
  </si>
  <si>
    <t>1tonne = 1250 liters</t>
  </si>
  <si>
    <t>1 m3 = 0.87 tonnes</t>
  </si>
  <si>
    <t>1 m3 = 0.85 tonnes</t>
  </si>
  <si>
    <t>1 m3 = 0.8 tonnes</t>
  </si>
  <si>
    <t>1 tonne = 1.14m3</t>
  </si>
  <si>
    <t>1 tonne = 1.18m3</t>
  </si>
  <si>
    <t>1tonne=1.25m3</t>
  </si>
  <si>
    <t xml:space="preserve">1 gallon = 3.785412 liters </t>
  </si>
  <si>
    <t>1 tonne = 310.5 gallons</t>
  </si>
  <si>
    <t>1tonne=330.22gallons</t>
  </si>
  <si>
    <t>1 tonne = 1143.25 liters</t>
  </si>
  <si>
    <t>1kg=0.31 gallons</t>
  </si>
  <si>
    <t>1kg=0.33gallons</t>
  </si>
  <si>
    <t>BD</t>
  </si>
  <si>
    <t>RD</t>
  </si>
  <si>
    <t>SAF</t>
  </si>
  <si>
    <t>Combined</t>
  </si>
  <si>
    <t>Annual Total</t>
  </si>
  <si>
    <t xml:space="preserve">Biodiesel </t>
  </si>
  <si>
    <t>Jet Fuel</t>
  </si>
  <si>
    <t>Production</t>
  </si>
  <si>
    <t>Cut Sales</t>
  </si>
  <si>
    <t>Internal Other MDO sales</t>
  </si>
  <si>
    <t>Exports</t>
  </si>
  <si>
    <t>Aerokerosene Production</t>
  </si>
  <si>
    <t>Imports</t>
  </si>
  <si>
    <t>Sales</t>
  </si>
  <si>
    <t>Stocks/ Inventory</t>
  </si>
  <si>
    <t>Gasoil 3 Grades Productos</t>
  </si>
  <si>
    <t>Gasoil 3 Grades Imports</t>
  </si>
  <si>
    <t>Gasoil 3 Grades - Own Consumption</t>
  </si>
  <si>
    <t>Gasoil 3 Grades - Sector Sales</t>
  </si>
  <si>
    <t>Gasoil 3 Grades Exports</t>
  </si>
  <si>
    <t>Gasoil 3 Grades - Stocks</t>
  </si>
  <si>
    <t>Tons</t>
  </si>
  <si>
    <t>M3</t>
  </si>
  <si>
    <t>2023 &amp; 2024 provisional data</t>
  </si>
  <si>
    <t>Domestic Consumption</t>
  </si>
  <si>
    <t>Exports (matches with GTT)</t>
  </si>
  <si>
    <t>Imports via GTT</t>
  </si>
  <si>
    <t>Aerokerosene (Jet) Productos</t>
  </si>
  <si>
    <t>Sector Sales</t>
  </si>
  <si>
    <t>Sales excluding sector sales</t>
  </si>
  <si>
    <t>TOTAL SALES</t>
  </si>
  <si>
    <t>Stocks/ Inventory (Existencias)</t>
  </si>
  <si>
    <t>Diesel Oil Productos (Gasoil Grades 1,2,3)</t>
  </si>
  <si>
    <t>Own Consumption (consumo-propio)</t>
  </si>
  <si>
    <t>2024 data is provisional</t>
  </si>
  <si>
    <t>Argentina Biodiesel Supply Demand</t>
  </si>
  <si>
    <t>thousand tonnes</t>
  </si>
  <si>
    <t>Beginning Stocks</t>
  </si>
  <si>
    <t xml:space="preserve">Production </t>
  </si>
  <si>
    <t xml:space="preserve">Imports </t>
  </si>
  <si>
    <t xml:space="preserve">    Total Supply</t>
  </si>
  <si>
    <t xml:space="preserve">Consumption </t>
  </si>
  <si>
    <t xml:space="preserve">    Total Use</t>
  </si>
  <si>
    <t xml:space="preserve">Final Stocks  </t>
  </si>
  <si>
    <t>Biodiesel Capacity</t>
  </si>
  <si>
    <t>Operating Rate</t>
  </si>
  <si>
    <t>Argentina Biodiesel Blend Rate Mandates</t>
  </si>
  <si>
    <t>BIODIESEL PRODUCTION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</si>
  <si>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</si>
  <si>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</si>
  <si>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</si>
  <si>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</si>
  <si>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</si>
  <si>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</si>
  <si>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</si>
  <si>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</si>
  <si>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</si>
  <si>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</si>
  <si>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</si>
  <si>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</si>
  <si>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</si>
  <si>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 xml:space="preserve">BIODIESEL IMPORTS </t>
  </si>
  <si>
    <t xml:space="preserve">BIODIESEL EXPORTS </t>
  </si>
  <si>
    <t xml:space="preserve">BIODIESEL CONSUMPTION </t>
  </si>
  <si>
    <t>BIODIESEL ENDING STOCKS</t>
  </si>
  <si>
    <t>Argentina Renewable Diesel Supply Demand</t>
  </si>
  <si>
    <t>Consumption</t>
  </si>
  <si>
    <t>Final Stocks  (December 31)</t>
  </si>
  <si>
    <t>Capacity</t>
  </si>
  <si>
    <t>RD Capacity</t>
  </si>
  <si>
    <t>RENEWABLE DIESEL PRODUCTION</t>
  </si>
  <si>
    <t>RENEWABLE DIESEL IMPORTS</t>
  </si>
  <si>
    <t xml:space="preserve">RENEWABLE DIESEL CONSUMPTION </t>
  </si>
  <si>
    <t>RENEWABLE DIESEL STOCKS</t>
  </si>
  <si>
    <t xml:space="preserve">RENEWABLE DIESEL CAPACITY </t>
  </si>
  <si>
    <t xml:space="preserve">  Average</t>
  </si>
  <si>
    <t>Argentina Sustainable Aviation Fuel Supply and Demand</t>
  </si>
  <si>
    <t xml:space="preserve">  Total Supply</t>
  </si>
  <si>
    <t>Domestic Use</t>
  </si>
  <si>
    <t xml:space="preserve">  Total Demand</t>
  </si>
  <si>
    <t>SAF Domestic Production</t>
  </si>
  <si>
    <t xml:space="preserve">  Total</t>
  </si>
  <si>
    <t>SAF Imports</t>
  </si>
  <si>
    <t xml:space="preserve">SAF Domestic Consumption </t>
  </si>
  <si>
    <t>SAF Exports</t>
  </si>
  <si>
    <t xml:space="preserve">Argentina Jet Kerosene Supply and Demand </t>
  </si>
  <si>
    <t xml:space="preserve">  Ending Stocks</t>
  </si>
  <si>
    <t>Calculated Ending Stocks</t>
  </si>
  <si>
    <t>Passenger Miles</t>
  </si>
  <si>
    <t>Jet Fuel Domestic Production</t>
  </si>
  <si>
    <t>Jet Fuel Imports</t>
  </si>
  <si>
    <t>Jet Fuel Exports</t>
  </si>
  <si>
    <t>Jet Fuel Domestic Use</t>
  </si>
  <si>
    <t>Jet Fuel End-of-Month Inventory</t>
  </si>
  <si>
    <t xml:space="preserve">Argentina Distillate Fuel Supply and Demand </t>
  </si>
  <si>
    <t>Reported Domestic Consumption</t>
  </si>
  <si>
    <t>Diesel Adjustment</t>
  </si>
  <si>
    <t xml:space="preserve">Stocks Change  </t>
  </si>
  <si>
    <t>Stocks/Use</t>
  </si>
  <si>
    <t>Production Growth</t>
  </si>
  <si>
    <t>Domestic Consumption Growth</t>
  </si>
  <si>
    <t xml:space="preserve">DISTILATE FUEL OIL PRODUCTION </t>
  </si>
  <si>
    <t xml:space="preserve">IMPORTS </t>
  </si>
  <si>
    <t>EXPORTS</t>
  </si>
  <si>
    <t xml:space="preserve">DISTILATE FUEL OIL CONSUMPTION </t>
  </si>
  <si>
    <t xml:space="preserve">DISTILATE FUEL OIL ADJUSTMENT </t>
  </si>
  <si>
    <t xml:space="preserve">DISTILATE FUEL OIL CALCULATED DOMESTIC CONSUMPTION </t>
  </si>
  <si>
    <t xml:space="preserve">DISTILATE FUEL OIL STOCKS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</si>
</sst>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#,##0.000_);[Red]\(#,##0.000\)"/>
    <numFmt numFmtId="167" formatCode="0.0%"/>
    <numFmt numFmtId="168" formatCode="#,##0.000"/>
    <numFmt numFmtId="169" formatCode="0.000%"/>
    <numFmt numFmtId="170" formatCode="0_);[Red]\(0\)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color rgb="FFFF0000"/>
      <name val="Aptos Display"/>
      <family val="2"/>
    </font>
    <font>
      <sz val="10"/>
      <color theme="1"/>
      <name val="Aptos Display"/>
      <family val="2"/>
    </font>
    <font>
      <b/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b/>
      <sz val="11"/>
      <color theme="0"/>
      <name val="Aptos Display"/>
      <family val="2"/>
    </font>
    <font>
      <sz val="8"/>
      <color theme="1"/>
      <name val="Aptos Display"/>
      <family val="2"/>
    </font>
    <font>
      <sz val="10"/>
      <name val="MS Sans Serif"/>
      <family val="2"/>
    </font>
    <font>
      <b/>
      <sz val="11"/>
      <name val="Aptos Display"/>
      <family val="2"/>
    </font>
    <font>
      <sz val="11"/>
      <name val="Aptos Display"/>
      <family val="2"/>
    </font>
    <font>
      <b/>
      <sz val="11"/>
      <color theme="1"/>
      <name val="Arial"/>
      <family val="2"/>
    </font>
    <font>
      <sz val="10"/>
      <name val="Aptos Display"/>
      <family val="2"/>
    </font>
    <font>
      <b/>
      <sz val="10"/>
      <color theme="0"/>
      <name val="Helvetica"/>
      <family val="2"/>
    </font>
    <font>
      <b/>
      <sz val="11"/>
      <color rgb="FFC00000"/>
      <name val="Aptos Display"/>
      <family val="2"/>
    </font>
    <font>
      <sz val="10"/>
      <color theme="1"/>
      <name val="Arial Narrow"/>
      <family val="2"/>
    </font>
    <font>
      <b/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8"/>
      <name val="Avenir Next LT Pro Demi"/>
      <family val="2"/>
    </font>
    <font>
      <sz val="11"/>
      <color theme="1"/>
      <name val="Helvetica"/>
      <family val="2"/>
    </font>
    <font>
      <b/>
      <sz val="11"/>
      <name val="Arial Narrow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1"/>
      <color rgb="FFFF0000"/>
      <name val="Aptos Narrow"/>
      <family val="2"/>
      <scheme val="minor"/>
    </font>
    <font>
      <b/>
      <sz val="10"/>
      <color theme="1"/>
      <name val="Arial Narrow"/>
      <family val="2"/>
    </font>
    <font>
      <sz val="11"/>
      <color theme="1"/>
      <name val="Abadi"/>
      <family val="2"/>
    </font>
    <font>
      <sz val="10"/>
      <color rgb="FFFF0000"/>
      <name val="Arial Narrow"/>
      <family val="2"/>
    </font>
    <font>
      <b/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CEC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0" fontId="14" fillId="0" borderId="0" applyFont="0" applyFill="0" applyBorder="0" applyAlignment="0" applyProtection="0"/>
    <xf numFmtId="0" fontId="1" fillId="0" borderId="0"/>
    <xf numFmtId="9" fontId="21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3" fillId="0" borderId="0" xfId="3"/>
    <xf numFmtId="0" fontId="7" fillId="0" borderId="0" xfId="0" applyFont="1"/>
    <xf numFmtId="0" fontId="8" fillId="0" borderId="0" xfId="0" applyFont="1" applyAlignment="1">
      <alignment horizontal="center" vertical="center"/>
    </xf>
    <xf numFmtId="17" fontId="7" fillId="0" borderId="0" xfId="0" applyNumberFormat="1" applyFont="1"/>
    <xf numFmtId="38" fontId="7" fillId="0" borderId="0" xfId="0" applyNumberFormat="1" applyFont="1"/>
    <xf numFmtId="38" fontId="9" fillId="0" borderId="0" xfId="0" applyNumberFormat="1" applyFont="1"/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/>
    <xf numFmtId="0" fontId="5" fillId="0" borderId="0" xfId="0" applyFont="1" applyAlignment="1">
      <alignment horizontal="left"/>
    </xf>
    <xf numFmtId="164" fontId="5" fillId="0" borderId="0" xfId="1" applyNumberFormat="1" applyFont="1"/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left"/>
    </xf>
    <xf numFmtId="166" fontId="7" fillId="0" borderId="0" xfId="0" applyNumberFormat="1" applyFont="1"/>
    <xf numFmtId="165" fontId="5" fillId="0" borderId="0" xfId="0" applyNumberFormat="1" applyFont="1"/>
    <xf numFmtId="0" fontId="12" fillId="2" borderId="1" xfId="0" applyFont="1" applyFill="1" applyBorder="1"/>
    <xf numFmtId="0" fontId="5" fillId="2" borderId="2" xfId="0" applyFont="1" applyFill="1" applyBorder="1"/>
    <xf numFmtId="0" fontId="4" fillId="2" borderId="2" xfId="0" applyFont="1" applyFill="1" applyBorder="1"/>
    <xf numFmtId="0" fontId="5" fillId="0" borderId="2" xfId="0" applyFont="1" applyBorder="1"/>
    <xf numFmtId="0" fontId="13" fillId="3" borderId="3" xfId="0" applyFont="1" applyFill="1" applyBorder="1" applyAlignment="1">
      <alignment horizontal="right"/>
    </xf>
    <xf numFmtId="0" fontId="15" fillId="3" borderId="0" xfId="4" quotePrefix="1" applyNumberFormat="1" applyFont="1" applyFill="1" applyBorder="1" applyAlignment="1">
      <alignment horizontal="center"/>
    </xf>
    <xf numFmtId="0" fontId="5" fillId="3" borderId="0" xfId="0" applyFont="1" applyFill="1"/>
    <xf numFmtId="38" fontId="5" fillId="3" borderId="0" xfId="0" applyNumberFormat="1" applyFont="1" applyFill="1" applyAlignment="1">
      <alignment horizontal="center"/>
    </xf>
    <xf numFmtId="38" fontId="4" fillId="3" borderId="0" xfId="0" applyNumberFormat="1" applyFont="1" applyFill="1" applyAlignment="1">
      <alignment horizontal="center"/>
    </xf>
    <xf numFmtId="0" fontId="16" fillId="3" borderId="4" xfId="0" applyFont="1" applyFill="1" applyBorder="1"/>
    <xf numFmtId="38" fontId="16" fillId="3" borderId="4" xfId="0" applyNumberFormat="1" applyFont="1" applyFill="1" applyBorder="1" applyAlignment="1">
      <alignment horizontal="center"/>
    </xf>
    <xf numFmtId="38" fontId="15" fillId="3" borderId="4" xfId="0" applyNumberFormat="1" applyFont="1" applyFill="1" applyBorder="1" applyAlignment="1">
      <alignment horizontal="center"/>
    </xf>
    <xf numFmtId="0" fontId="16" fillId="0" borderId="0" xfId="0" applyFont="1"/>
    <xf numFmtId="0" fontId="5" fillId="3" borderId="5" xfId="0" applyFont="1" applyFill="1" applyBorder="1"/>
    <xf numFmtId="38" fontId="5" fillId="3" borderId="5" xfId="0" applyNumberFormat="1" applyFont="1" applyFill="1" applyBorder="1" applyAlignment="1">
      <alignment horizontal="center"/>
    </xf>
    <xf numFmtId="38" fontId="4" fillId="3" borderId="5" xfId="0" applyNumberFormat="1" applyFont="1" applyFill="1" applyBorder="1" applyAlignment="1">
      <alignment horizontal="center"/>
    </xf>
    <xf numFmtId="38" fontId="5" fillId="3" borderId="0" xfId="0" applyNumberFormat="1" applyFont="1" applyFill="1"/>
    <xf numFmtId="38" fontId="17" fillId="0" borderId="0" xfId="5" applyNumberFormat="1" applyFont="1" applyAlignment="1">
      <alignment horizontal="center" vertical="center"/>
    </xf>
    <xf numFmtId="38" fontId="5" fillId="3" borderId="6" xfId="0" applyNumberFormat="1" applyFont="1" applyFill="1" applyBorder="1"/>
    <xf numFmtId="38" fontId="5" fillId="3" borderId="6" xfId="0" applyNumberFormat="1" applyFont="1" applyFill="1" applyBorder="1" applyAlignment="1">
      <alignment horizontal="center"/>
    </xf>
    <xf numFmtId="2" fontId="16" fillId="3" borderId="0" xfId="0" applyNumberFormat="1" applyFont="1" applyFill="1"/>
    <xf numFmtId="2" fontId="15" fillId="3" borderId="0" xfId="2" applyNumberFormat="1" applyFont="1" applyFill="1" applyBorder="1" applyAlignment="1">
      <alignment horizontal="center"/>
    </xf>
    <xf numFmtId="0" fontId="5" fillId="3" borderId="4" xfId="0" applyFont="1" applyFill="1" applyBorder="1"/>
    <xf numFmtId="164" fontId="5" fillId="4" borderId="4" xfId="1" applyNumberFormat="1" applyFont="1" applyFill="1" applyBorder="1" applyAlignment="1">
      <alignment horizontal="center"/>
    </xf>
    <xf numFmtId="164" fontId="5" fillId="3" borderId="4" xfId="1" applyNumberFormat="1" applyFont="1" applyFill="1" applyBorder="1" applyAlignment="1">
      <alignment horizontal="center"/>
    </xf>
    <xf numFmtId="9" fontId="5" fillId="0" borderId="0" xfId="2" applyFont="1"/>
    <xf numFmtId="167" fontId="5" fillId="3" borderId="0" xfId="2" applyNumberFormat="1" applyFont="1" applyFill="1" applyAlignment="1">
      <alignment horizontal="center"/>
    </xf>
    <xf numFmtId="9" fontId="5" fillId="3" borderId="0" xfId="2" applyFont="1" applyFill="1" applyAlignment="1">
      <alignment horizontal="center"/>
    </xf>
    <xf numFmtId="9" fontId="4" fillId="3" borderId="0" xfId="2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7" xfId="0" applyFont="1" applyBorder="1"/>
    <xf numFmtId="38" fontId="18" fillId="0" borderId="0" xfId="0" applyNumberFormat="1" applyFont="1"/>
    <xf numFmtId="38" fontId="9" fillId="0" borderId="0" xfId="5" applyNumberFormat="1" applyFont="1"/>
    <xf numFmtId="0" fontId="5" fillId="0" borderId="4" xfId="0" applyFont="1" applyBorder="1"/>
    <xf numFmtId="38" fontId="7" fillId="0" borderId="4" xfId="0" applyNumberFormat="1" applyFont="1" applyBorder="1"/>
    <xf numFmtId="38" fontId="9" fillId="0" borderId="4" xfId="0" applyNumberFormat="1" applyFont="1" applyBorder="1"/>
    <xf numFmtId="38" fontId="4" fillId="0" borderId="0" xfId="0" applyNumberFormat="1" applyFont="1"/>
    <xf numFmtId="4" fontId="4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38" fontId="7" fillId="0" borderId="4" xfId="0" applyNumberFormat="1" applyFont="1" applyBorder="1" applyAlignment="1">
      <alignment horizontal="center"/>
    </xf>
    <xf numFmtId="0" fontId="5" fillId="0" borderId="5" xfId="0" applyFont="1" applyBorder="1"/>
    <xf numFmtId="38" fontId="4" fillId="0" borderId="5" xfId="0" applyNumberFormat="1" applyFont="1" applyBorder="1"/>
    <xf numFmtId="3" fontId="7" fillId="0" borderId="0" xfId="0" applyNumberFormat="1" applyFont="1"/>
    <xf numFmtId="0" fontId="4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5" fillId="0" borderId="5" xfId="0" applyFont="1" applyBorder="1" applyAlignment="1">
      <alignment horizontal="center"/>
    </xf>
    <xf numFmtId="38" fontId="5" fillId="0" borderId="5" xfId="0" applyNumberFormat="1" applyFont="1" applyBorder="1" applyAlignment="1">
      <alignment horizontal="center"/>
    </xf>
    <xf numFmtId="38" fontId="4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3" borderId="8" xfId="4" quotePrefix="1" applyNumberFormat="1" applyFont="1" applyFill="1" applyBorder="1" applyAlignment="1">
      <alignment horizontal="center"/>
    </xf>
    <xf numFmtId="38" fontId="5" fillId="3" borderId="4" xfId="0" applyNumberFormat="1" applyFont="1" applyFill="1" applyBorder="1" applyAlignment="1">
      <alignment horizontal="center"/>
    </xf>
    <xf numFmtId="38" fontId="4" fillId="3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38" fontId="5" fillId="0" borderId="0" xfId="0" applyNumberFormat="1" applyFont="1"/>
    <xf numFmtId="38" fontId="5" fillId="0" borderId="0" xfId="0" applyNumberFormat="1" applyFont="1" applyAlignment="1">
      <alignment horizontal="center"/>
    </xf>
    <xf numFmtId="38" fontId="4" fillId="0" borderId="0" xfId="0" applyNumberFormat="1" applyFont="1" applyAlignment="1">
      <alignment horizontal="center"/>
    </xf>
    <xf numFmtId="38" fontId="5" fillId="3" borderId="5" xfId="0" applyNumberFormat="1" applyFont="1" applyFill="1" applyBorder="1"/>
    <xf numFmtId="40" fontId="5" fillId="3" borderId="0" xfId="0" applyNumberFormat="1" applyFont="1" applyFill="1" applyAlignment="1">
      <alignment horizontal="center"/>
    </xf>
    <xf numFmtId="40" fontId="4" fillId="3" borderId="0" xfId="0" applyNumberFormat="1" applyFont="1" applyFill="1" applyAlignment="1">
      <alignment horizontal="center"/>
    </xf>
    <xf numFmtId="167" fontId="5" fillId="3" borderId="4" xfId="2" applyNumberFormat="1" applyFont="1" applyFill="1" applyBorder="1" applyAlignment="1">
      <alignment horizontal="center"/>
    </xf>
    <xf numFmtId="0" fontId="4" fillId="3" borderId="0" xfId="2" applyNumberFormat="1" applyFont="1" applyFill="1" applyBorder="1" applyAlignment="1">
      <alignment horizontal="center"/>
    </xf>
    <xf numFmtId="166" fontId="4" fillId="3" borderId="0" xfId="0" applyNumberFormat="1" applyFont="1" applyFill="1" applyAlignment="1">
      <alignment horizontal="center"/>
    </xf>
    <xf numFmtId="0" fontId="4" fillId="0" borderId="7" xfId="0" applyFont="1" applyBorder="1" applyAlignment="1">
      <alignment horizontal="right"/>
    </xf>
    <xf numFmtId="38" fontId="5" fillId="0" borderId="0" xfId="0" applyNumberFormat="1" applyFont="1" applyAlignment="1">
      <alignment horizontal="right"/>
    </xf>
    <xf numFmtId="38" fontId="4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38" fontId="5" fillId="0" borderId="4" xfId="0" applyNumberFormat="1" applyFont="1" applyBorder="1" applyAlignment="1">
      <alignment horizontal="right"/>
    </xf>
    <xf numFmtId="38" fontId="4" fillId="0" borderId="4" xfId="0" applyNumberFormat="1" applyFont="1" applyBorder="1" applyAlignment="1">
      <alignment horizontal="right"/>
    </xf>
    <xf numFmtId="38" fontId="7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right"/>
    </xf>
    <xf numFmtId="0" fontId="4" fillId="0" borderId="5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38" fontId="5" fillId="0" borderId="5" xfId="0" applyNumberFormat="1" applyFont="1" applyBorder="1"/>
    <xf numFmtId="0" fontId="19" fillId="2" borderId="1" xfId="0" applyFont="1" applyFill="1" applyBorder="1"/>
    <xf numFmtId="0" fontId="0" fillId="2" borderId="0" xfId="0" applyFill="1" applyAlignment="1">
      <alignment horizontal="center"/>
    </xf>
    <xf numFmtId="0" fontId="5" fillId="0" borderId="9" xfId="5" applyFont="1" applyBorder="1" applyAlignment="1">
      <alignment horizontal="right"/>
    </xf>
    <xf numFmtId="0" fontId="5" fillId="0" borderId="9" xfId="5" applyFont="1" applyBorder="1" applyAlignment="1">
      <alignment horizontal="center"/>
    </xf>
    <xf numFmtId="0" fontId="5" fillId="0" borderId="0" xfId="5" applyFont="1"/>
    <xf numFmtId="38" fontId="5" fillId="0" borderId="0" xfId="5" applyNumberFormat="1" applyFont="1" applyAlignment="1">
      <alignment horizontal="center" vertical="center"/>
    </xf>
    <xf numFmtId="38" fontId="4" fillId="0" borderId="0" xfId="5" applyNumberFormat="1" applyFont="1" applyAlignment="1">
      <alignment horizontal="center" vertical="center"/>
    </xf>
    <xf numFmtId="38" fontId="20" fillId="0" borderId="0" xfId="5" applyNumberFormat="1" applyFont="1" applyAlignment="1">
      <alignment horizontal="center" vertical="center"/>
    </xf>
    <xf numFmtId="0" fontId="5" fillId="0" borderId="0" xfId="5" applyFont="1" applyAlignment="1">
      <alignment horizontal="center" vertical="center"/>
    </xf>
    <xf numFmtId="1" fontId="5" fillId="0" borderId="0" xfId="5" applyNumberFormat="1" applyFont="1"/>
    <xf numFmtId="169" fontId="5" fillId="0" borderId="0" xfId="6" applyNumberFormat="1" applyFont="1" applyFill="1" applyBorder="1"/>
    <xf numFmtId="170" fontId="5" fillId="0" borderId="9" xfId="5" applyNumberFormat="1" applyFont="1" applyBorder="1"/>
    <xf numFmtId="38" fontId="5" fillId="0" borderId="0" xfId="5" applyNumberFormat="1" applyFont="1"/>
    <xf numFmtId="38" fontId="4" fillId="0" borderId="0" xfId="5" applyNumberFormat="1" applyFont="1"/>
    <xf numFmtId="0" fontId="5" fillId="0" borderId="10" xfId="5" applyFont="1" applyBorder="1"/>
    <xf numFmtId="0" fontId="22" fillId="2" borderId="1" xfId="0" applyFont="1" applyFill="1" applyBorder="1"/>
    <xf numFmtId="0" fontId="23" fillId="2" borderId="0" xfId="0" applyFont="1" applyFill="1" applyAlignment="1">
      <alignment horizontal="center"/>
    </xf>
    <xf numFmtId="0" fontId="23" fillId="0" borderId="0" xfId="0" applyFont="1"/>
    <xf numFmtId="0" fontId="23" fillId="0" borderId="9" xfId="5" applyFont="1" applyBorder="1" applyAlignment="1">
      <alignment horizontal="right"/>
    </xf>
    <xf numFmtId="0" fontId="23" fillId="0" borderId="9" xfId="5" applyFont="1" applyBorder="1" applyAlignment="1">
      <alignment horizontal="center"/>
    </xf>
    <xf numFmtId="0" fontId="23" fillId="0" borderId="0" xfId="5" applyFont="1"/>
    <xf numFmtId="38" fontId="23" fillId="0" borderId="0" xfId="5" applyNumberFormat="1" applyFont="1" applyAlignment="1">
      <alignment horizontal="center" vertical="center"/>
    </xf>
    <xf numFmtId="38" fontId="24" fillId="0" borderId="0" xfId="5" applyNumberFormat="1" applyFont="1" applyAlignment="1">
      <alignment horizontal="center" vertical="center"/>
    </xf>
    <xf numFmtId="38" fontId="23" fillId="0" borderId="0" xfId="5" applyNumberFormat="1" applyFont="1"/>
    <xf numFmtId="38" fontId="25" fillId="0" borderId="0" xfId="5" applyNumberFormat="1" applyFont="1"/>
    <xf numFmtId="170" fontId="23" fillId="0" borderId="9" xfId="5" applyNumberFormat="1" applyFont="1" applyBorder="1"/>
    <xf numFmtId="38" fontId="26" fillId="0" borderId="0" xfId="0" applyNumberFormat="1" applyFont="1"/>
    <xf numFmtId="38" fontId="24" fillId="0" borderId="0" xfId="5" applyNumberFormat="1" applyFont="1"/>
    <xf numFmtId="38" fontId="23" fillId="0" borderId="4" xfId="0" applyNumberFormat="1" applyFont="1" applyBorder="1"/>
    <xf numFmtId="38" fontId="24" fillId="0" borderId="4" xfId="0" applyNumberFormat="1" applyFont="1" applyBorder="1"/>
    <xf numFmtId="0" fontId="23" fillId="0" borderId="10" xfId="5" applyFont="1" applyBorder="1"/>
    <xf numFmtId="38" fontId="26" fillId="0" borderId="0" xfId="5" applyNumberFormat="1" applyFont="1"/>
    <xf numFmtId="0" fontId="2" fillId="2" borderId="0" xfId="0" applyFont="1" applyFill="1" applyAlignment="1">
      <alignment horizontal="center"/>
    </xf>
    <xf numFmtId="0" fontId="27" fillId="3" borderId="8" xfId="0" applyFont="1" applyFill="1" applyBorder="1" applyAlignment="1">
      <alignment horizontal="right"/>
    </xf>
    <xf numFmtId="0" fontId="28" fillId="3" borderId="8" xfId="4" quotePrefix="1" applyNumberFormat="1" applyFont="1" applyFill="1" applyBorder="1" applyAlignment="1">
      <alignment horizontal="center"/>
    </xf>
    <xf numFmtId="0" fontId="29" fillId="0" borderId="0" xfId="0" applyFont="1"/>
    <xf numFmtId="0" fontId="29" fillId="3" borderId="0" xfId="0" applyFont="1" applyFill="1"/>
    <xf numFmtId="38" fontId="30" fillId="3" borderId="0" xfId="0" applyNumberFormat="1" applyFont="1" applyFill="1" applyAlignment="1">
      <alignment horizontal="center"/>
    </xf>
    <xf numFmtId="38" fontId="31" fillId="3" borderId="0" xfId="0" applyNumberFormat="1" applyFont="1" applyFill="1" applyAlignment="1">
      <alignment horizontal="center"/>
    </xf>
    <xf numFmtId="0" fontId="29" fillId="3" borderId="4" xfId="0" applyFont="1" applyFill="1" applyBorder="1"/>
    <xf numFmtId="38" fontId="30" fillId="3" borderId="4" xfId="0" applyNumberFormat="1" applyFont="1" applyFill="1" applyBorder="1" applyAlignment="1">
      <alignment horizontal="center"/>
    </xf>
    <xf numFmtId="38" fontId="31" fillId="3" borderId="4" xfId="0" applyNumberFormat="1" applyFont="1" applyFill="1" applyBorder="1" applyAlignment="1">
      <alignment horizontal="center"/>
    </xf>
    <xf numFmtId="0" fontId="29" fillId="3" borderId="5" xfId="0" applyFont="1" applyFill="1" applyBorder="1"/>
    <xf numFmtId="38" fontId="30" fillId="3" borderId="5" xfId="0" applyNumberFormat="1" applyFont="1" applyFill="1" applyBorder="1" applyAlignment="1">
      <alignment horizontal="center"/>
    </xf>
    <xf numFmtId="38" fontId="31" fillId="3" borderId="5" xfId="0" applyNumberFormat="1" applyFont="1" applyFill="1" applyBorder="1" applyAlignment="1">
      <alignment horizontal="center"/>
    </xf>
    <xf numFmtId="38" fontId="29" fillId="3" borderId="5" xfId="0" applyNumberFormat="1" applyFont="1" applyFill="1" applyBorder="1"/>
    <xf numFmtId="38" fontId="29" fillId="3" borderId="0" xfId="0" applyNumberFormat="1" applyFont="1" applyFill="1"/>
    <xf numFmtId="9" fontId="30" fillId="3" borderId="4" xfId="2" applyFont="1" applyFill="1" applyBorder="1" applyAlignment="1">
      <alignment horizontal="center"/>
    </xf>
    <xf numFmtId="167" fontId="30" fillId="3" borderId="4" xfId="2" applyNumberFormat="1" applyFont="1" applyFill="1" applyBorder="1" applyAlignment="1">
      <alignment horizontal="center"/>
    </xf>
    <xf numFmtId="167" fontId="31" fillId="3" borderId="4" xfId="2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7" fontId="30" fillId="3" borderId="0" xfId="2" applyNumberFormat="1" applyFont="1" applyFill="1" applyAlignment="1">
      <alignment horizontal="center"/>
    </xf>
    <xf numFmtId="167" fontId="31" fillId="3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3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9" fillId="0" borderId="7" xfId="0" applyFont="1" applyBorder="1" applyAlignment="1">
      <alignment horizontal="right"/>
    </xf>
    <xf numFmtId="0" fontId="17" fillId="0" borderId="7" xfId="0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/>
    </xf>
    <xf numFmtId="0" fontId="29" fillId="0" borderId="4" xfId="0" applyFont="1" applyBorder="1"/>
    <xf numFmtId="38" fontId="21" fillId="0" borderId="4" xfId="0" applyNumberFormat="1" applyFont="1" applyBorder="1" applyAlignment="1">
      <alignment horizontal="center"/>
    </xf>
    <xf numFmtId="38" fontId="33" fillId="0" borderId="4" xfId="0" applyNumberFormat="1" applyFont="1" applyBorder="1" applyAlignment="1">
      <alignment horizontal="center"/>
    </xf>
    <xf numFmtId="167" fontId="2" fillId="0" borderId="0" xfId="2" applyNumberFormat="1" applyFont="1" applyAlignment="1">
      <alignment horizontal="center"/>
    </xf>
    <xf numFmtId="38" fontId="21" fillId="0" borderId="0" xfId="0" applyNumberFormat="1" applyFont="1" applyAlignment="1">
      <alignment horizontal="center"/>
    </xf>
    <xf numFmtId="0" fontId="34" fillId="0" borderId="0" xfId="0" applyFont="1"/>
    <xf numFmtId="38" fontId="35" fillId="0" borderId="0" xfId="0" applyNumberFormat="1" applyFont="1" applyAlignment="1">
      <alignment horizontal="center"/>
    </xf>
    <xf numFmtId="38" fontId="33" fillId="0" borderId="0" xfId="0" applyNumberFormat="1" applyFont="1" applyAlignment="1">
      <alignment horizontal="center"/>
    </xf>
    <xf numFmtId="38" fontId="29" fillId="0" borderId="0" xfId="0" applyNumberFormat="1" applyFont="1" applyAlignment="1">
      <alignment horizontal="center"/>
    </xf>
    <xf numFmtId="38" fontId="17" fillId="0" borderId="0" xfId="0" applyNumberFormat="1" applyFont="1" applyAlignment="1">
      <alignment horizontal="center"/>
    </xf>
    <xf numFmtId="167" fontId="29" fillId="0" borderId="0" xfId="2" applyNumberFormat="1" applyFont="1" applyAlignment="1">
      <alignment horizontal="center"/>
    </xf>
    <xf numFmtId="0" fontId="29" fillId="0" borderId="5" xfId="0" applyFont="1" applyBorder="1"/>
    <xf numFmtId="0" fontId="17" fillId="0" borderId="5" xfId="0" applyFont="1" applyBorder="1"/>
    <xf numFmtId="0" fontId="29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36" fillId="0" borderId="0" xfId="3" applyFont="1" applyAlignment="1">
      <alignment horizontal="center"/>
    </xf>
    <xf numFmtId="0" fontId="29" fillId="0" borderId="0" xfId="0" applyFont="1" applyAlignment="1">
      <alignment horizontal="center"/>
    </xf>
  </cellXfs>
  <cellStyles count="7">
    <cellStyle name="Comma" xfId="1" builtinId="3"/>
    <cellStyle name="Comma 9" xfId="4" xr:uid="{076CF24A-E2CD-46CB-A89B-1B556FA01111}"/>
    <cellStyle name="Hyperlink" xfId="3" builtinId="8"/>
    <cellStyle name="Normal" xfId="0" builtinId="0"/>
    <cellStyle name="Normal 2" xfId="5" xr:uid="{6CA23068-C5C0-4B07-995D-90238F1F2A73}"/>
    <cellStyle name="Percent" xfId="2" builtinId="5"/>
    <cellStyle name="Percent 2" xfId="6" xr:uid="{BC14F664-191E-47A8-BA6F-1CA0DCFB87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os.energia.gob.ar/dataset/refinacion-y-comercializacion-de-petroleo-gas-y-derivados-tablas-dinamicas" TargetMode="External"/><Relationship Id="rId2" Type="http://schemas.openxmlformats.org/officeDocument/2006/relationships/hyperlink" Target="http://datos.energia.gob.ar/dataset/produccion-de-combustibles" TargetMode="External"/><Relationship Id="rId1" Type="http://schemas.openxmlformats.org/officeDocument/2006/relationships/hyperlink" Target="http://datos.energia.gob.ar/dataset/estadisticas-de-biodiesel-y-bioetano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C897-011D-4579-8CE9-892F8EA4A9B0}">
  <dimension ref="A2:F22"/>
  <sheetViews>
    <sheetView tabSelected="1" workbookViewId="0">
      <selection activeCell="B14" sqref="B14"/>
    </sheetView>
  </sheetViews>
  <sheetFormatPr defaultColWidth="9.140625" defaultRowHeight="15" x14ac:dyDescent="0.25"/>
  <cols>
    <col min="1" max="1" width="47.5703125" style="5" bestFit="1" customWidth="1"/>
    <col min="2" max="2" width="38.5703125" style="5" bestFit="1" customWidth="1"/>
    <col min="3" max="16384" width="9.140625" style="5"/>
  </cols>
  <sheetData>
    <row r="2" spans="1:6" s="4" customFormat="1" ht="39" customHeight="1" x14ac:dyDescent="0.25">
      <c r="A2" s="1" t="s">
        <v>0</v>
      </c>
      <c r="B2" s="2" t="s">
        <v>1</v>
      </c>
      <c r="C2" s="3" t="s">
        <v>2</v>
      </c>
      <c r="D2" s="3"/>
      <c r="E2" s="3"/>
      <c r="F2" s="3"/>
    </row>
    <row r="3" spans="1:6" x14ac:dyDescent="0.25">
      <c r="A3" s="5" t="s">
        <v>3</v>
      </c>
      <c r="B3" s="6" t="s">
        <v>4</v>
      </c>
      <c r="C3" s="5" t="s">
        <v>5</v>
      </c>
    </row>
    <row r="4" spans="1:6" x14ac:dyDescent="0.25">
      <c r="A4" s="5" t="s">
        <v>6</v>
      </c>
      <c r="B4" s="6" t="s">
        <v>7</v>
      </c>
      <c r="C4" s="5" t="s">
        <v>8</v>
      </c>
    </row>
    <row r="5" spans="1:6" x14ac:dyDescent="0.25">
      <c r="A5" s="5" t="s">
        <v>9</v>
      </c>
      <c r="B5" s="5" t="s">
        <v>10</v>
      </c>
      <c r="C5" s="5" t="s">
        <v>11</v>
      </c>
    </row>
    <row r="6" spans="1:6" x14ac:dyDescent="0.25">
      <c r="A6" s="5" t="s">
        <v>12</v>
      </c>
      <c r="B6" s="5" t="s">
        <v>13</v>
      </c>
    </row>
    <row r="7" spans="1:6" x14ac:dyDescent="0.25">
      <c r="A7" s="5" t="s">
        <v>14</v>
      </c>
      <c r="B7" s="6" t="s">
        <v>15</v>
      </c>
      <c r="D7" s="5" t="s">
        <v>16</v>
      </c>
    </row>
    <row r="14" spans="1:6" x14ac:dyDescent="0.25">
      <c r="A14" s="5" t="s">
        <v>17</v>
      </c>
      <c r="B14" s="5" t="s">
        <v>18</v>
      </c>
      <c r="C14" s="5" t="s">
        <v>19</v>
      </c>
      <c r="D14" s="5" t="s">
        <v>20</v>
      </c>
    </row>
    <row r="15" spans="1:6" x14ac:dyDescent="0.25">
      <c r="A15" s="5" t="s">
        <v>21</v>
      </c>
      <c r="B15" s="5" t="s">
        <v>22</v>
      </c>
      <c r="C15" s="5" t="s">
        <v>23</v>
      </c>
      <c r="D15" s="5" t="s">
        <v>24</v>
      </c>
    </row>
    <row r="16" spans="1:6" x14ac:dyDescent="0.25">
      <c r="B16" s="5" t="s">
        <v>25</v>
      </c>
      <c r="C16" s="5" t="s">
        <v>26</v>
      </c>
      <c r="D16" s="5" t="s">
        <v>27</v>
      </c>
    </row>
    <row r="17" spans="2:4" x14ac:dyDescent="0.25">
      <c r="B17" s="5" t="s">
        <v>28</v>
      </c>
      <c r="C17" s="5" t="s">
        <v>29</v>
      </c>
      <c r="D17" s="5" t="s">
        <v>30</v>
      </c>
    </row>
    <row r="18" spans="2:4" x14ac:dyDescent="0.25">
      <c r="B18" s="5" t="s">
        <v>31</v>
      </c>
      <c r="C18" s="5" t="s">
        <v>32</v>
      </c>
      <c r="D18" s="5" t="s">
        <v>33</v>
      </c>
    </row>
    <row r="19" spans="2:4" x14ac:dyDescent="0.25">
      <c r="B19" s="5" t="s">
        <v>34</v>
      </c>
      <c r="C19" s="5" t="s">
        <v>35</v>
      </c>
      <c r="D19" s="5" t="s">
        <v>36</v>
      </c>
    </row>
    <row r="21" spans="2:4" x14ac:dyDescent="0.25">
      <c r="B21" s="5">
        <f>5200000000/1143.25</f>
        <v>4548436.4749617316</v>
      </c>
    </row>
    <row r="22" spans="2:4" x14ac:dyDescent="0.25">
      <c r="B22" s="5">
        <f>B21/1000</f>
        <v>4548.4364749617316</v>
      </c>
    </row>
  </sheetData>
  <mergeCells count="1">
    <mergeCell ref="C2:F2"/>
  </mergeCells>
  <hyperlinks>
    <hyperlink ref="B3" r:id="rId1" xr:uid="{1BAF476A-E9B4-414D-B8C8-F2EDE1C74CEC}"/>
    <hyperlink ref="B4" r:id="rId2" xr:uid="{DBF2110D-E6D8-46A7-96BB-B70649010E4E}"/>
    <hyperlink ref="B7" r:id="rId3" xr:uid="{5E68870F-AA20-4A47-9A18-C263411DB8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0224-458E-46F6-904D-AB0904E3032A}">
  <dimension ref="A1:E123"/>
  <sheetViews>
    <sheetView workbookViewId="0">
      <pane xSplit="1" ySplit="1" topLeftCell="B2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ColWidth="9.140625" defaultRowHeight="13.5" x14ac:dyDescent="0.25"/>
  <cols>
    <col min="1" max="1" width="9.140625" style="7"/>
    <col min="2" max="4" width="14.28515625" style="7" customWidth="1"/>
    <col min="5" max="5" width="11.42578125" style="7" bestFit="1" customWidth="1"/>
    <col min="6" max="16384" width="9.140625" style="7"/>
  </cols>
  <sheetData>
    <row r="1" spans="1:5" ht="15.75" x14ac:dyDescent="0.25">
      <c r="B1" s="8" t="s">
        <v>37</v>
      </c>
      <c r="C1" s="8" t="s">
        <v>38</v>
      </c>
      <c r="D1" s="8" t="s">
        <v>39</v>
      </c>
      <c r="E1" s="8" t="s">
        <v>40</v>
      </c>
    </row>
    <row r="2" spans="1:5" x14ac:dyDescent="0.25">
      <c r="A2" s="9"/>
      <c r="B2" s="10"/>
      <c r="C2" s="10"/>
      <c r="D2" s="10"/>
    </row>
    <row r="3" spans="1:5" x14ac:dyDescent="0.25">
      <c r="A3" s="9"/>
      <c r="B3" s="10"/>
      <c r="C3" s="10"/>
      <c r="D3" s="10"/>
    </row>
    <row r="4" spans="1:5" x14ac:dyDescent="0.25">
      <c r="A4" s="9"/>
      <c r="B4" s="10"/>
      <c r="C4" s="10"/>
      <c r="D4" s="10"/>
    </row>
    <row r="5" spans="1:5" x14ac:dyDescent="0.25">
      <c r="A5" s="9"/>
      <c r="B5" s="10"/>
      <c r="C5" s="10"/>
      <c r="D5" s="10"/>
    </row>
    <row r="6" spans="1:5" x14ac:dyDescent="0.25">
      <c r="A6" s="9"/>
      <c r="B6" s="10"/>
      <c r="C6" s="10"/>
      <c r="D6" s="10"/>
    </row>
    <row r="7" spans="1:5" x14ac:dyDescent="0.25">
      <c r="A7" s="9"/>
      <c r="B7" s="10"/>
      <c r="C7" s="10"/>
      <c r="D7" s="10"/>
    </row>
    <row r="8" spans="1:5" x14ac:dyDescent="0.25">
      <c r="A8" s="9"/>
      <c r="B8" s="10"/>
      <c r="C8" s="10"/>
      <c r="D8" s="10"/>
    </row>
    <row r="9" spans="1:5" x14ac:dyDescent="0.25">
      <c r="A9" s="9"/>
      <c r="B9" s="10"/>
      <c r="C9" s="10"/>
      <c r="D9" s="10"/>
    </row>
    <row r="10" spans="1:5" x14ac:dyDescent="0.25">
      <c r="A10" s="9"/>
      <c r="B10" s="10"/>
      <c r="C10" s="10"/>
      <c r="D10" s="10"/>
    </row>
    <row r="11" spans="1:5" x14ac:dyDescent="0.25">
      <c r="A11" s="9"/>
      <c r="B11" s="10"/>
      <c r="C11" s="10"/>
      <c r="D11" s="10"/>
    </row>
    <row r="12" spans="1:5" x14ac:dyDescent="0.25">
      <c r="A12" s="9"/>
      <c r="B12" s="10"/>
      <c r="C12" s="10"/>
      <c r="D12" s="10"/>
    </row>
    <row r="13" spans="1:5" x14ac:dyDescent="0.25">
      <c r="A13" s="9"/>
      <c r="B13" s="10"/>
      <c r="C13" s="10"/>
      <c r="D13" s="10"/>
    </row>
    <row r="14" spans="1:5" x14ac:dyDescent="0.25">
      <c r="A14" s="9"/>
      <c r="B14" s="10"/>
      <c r="C14" s="10"/>
      <c r="D14" s="10"/>
    </row>
    <row r="15" spans="1:5" x14ac:dyDescent="0.25">
      <c r="A15" s="9"/>
      <c r="B15" s="10"/>
      <c r="C15" s="10"/>
      <c r="D15" s="10"/>
    </row>
    <row r="16" spans="1:5" x14ac:dyDescent="0.25">
      <c r="A16" s="9"/>
      <c r="B16" s="10"/>
      <c r="C16" s="10"/>
      <c r="D16" s="10"/>
    </row>
    <row r="17" spans="1:4" x14ac:dyDescent="0.25">
      <c r="A17" s="9"/>
      <c r="B17" s="10"/>
      <c r="C17" s="10"/>
      <c r="D17" s="10"/>
    </row>
    <row r="18" spans="1:4" x14ac:dyDescent="0.25">
      <c r="A18" s="9"/>
      <c r="B18" s="10"/>
      <c r="C18" s="10"/>
      <c r="D18" s="10"/>
    </row>
    <row r="19" spans="1:4" x14ac:dyDescent="0.25">
      <c r="A19" s="9"/>
      <c r="B19" s="10"/>
      <c r="C19" s="10"/>
      <c r="D19" s="10"/>
    </row>
    <row r="20" spans="1:4" x14ac:dyDescent="0.25">
      <c r="A20" s="9"/>
      <c r="B20" s="10"/>
      <c r="C20" s="10"/>
      <c r="D20" s="10"/>
    </row>
    <row r="21" spans="1:4" x14ac:dyDescent="0.25">
      <c r="A21" s="9"/>
      <c r="B21" s="10"/>
      <c r="C21" s="10"/>
      <c r="D21" s="10"/>
    </row>
    <row r="22" spans="1:4" x14ac:dyDescent="0.25">
      <c r="A22" s="9"/>
      <c r="B22" s="10"/>
      <c r="C22" s="10"/>
      <c r="D22" s="10"/>
    </row>
    <row r="23" spans="1:4" x14ac:dyDescent="0.25">
      <c r="A23" s="9"/>
      <c r="B23" s="10"/>
      <c r="C23" s="10"/>
      <c r="D23" s="10"/>
    </row>
    <row r="24" spans="1:4" x14ac:dyDescent="0.25">
      <c r="A24" s="9"/>
      <c r="B24" s="10"/>
      <c r="C24" s="10"/>
      <c r="D24" s="10"/>
    </row>
    <row r="25" spans="1:4" x14ac:dyDescent="0.25">
      <c r="A25" s="9"/>
      <c r="B25" s="10"/>
      <c r="C25" s="10"/>
      <c r="D25" s="10"/>
    </row>
    <row r="26" spans="1:4" x14ac:dyDescent="0.25">
      <c r="A26" s="9"/>
      <c r="B26" s="10"/>
      <c r="C26" s="10"/>
      <c r="D26" s="10"/>
    </row>
    <row r="27" spans="1:4" x14ac:dyDescent="0.25">
      <c r="A27" s="9"/>
      <c r="B27" s="10"/>
      <c r="C27" s="10"/>
      <c r="D27" s="10"/>
    </row>
    <row r="28" spans="1:4" x14ac:dyDescent="0.25">
      <c r="A28" s="9"/>
      <c r="B28" s="10"/>
      <c r="C28" s="10"/>
      <c r="D28" s="10"/>
    </row>
    <row r="29" spans="1:4" x14ac:dyDescent="0.25">
      <c r="A29" s="9"/>
      <c r="B29" s="10"/>
      <c r="C29" s="10"/>
      <c r="D29" s="10"/>
    </row>
    <row r="30" spans="1:4" x14ac:dyDescent="0.25">
      <c r="A30" s="9"/>
      <c r="B30" s="10"/>
      <c r="C30" s="10"/>
      <c r="D30" s="10"/>
    </row>
    <row r="31" spans="1:4" x14ac:dyDescent="0.25">
      <c r="A31" s="9"/>
      <c r="B31" s="10"/>
      <c r="C31" s="10"/>
      <c r="D31" s="10"/>
    </row>
    <row r="32" spans="1:4" x14ac:dyDescent="0.25">
      <c r="A32" s="9"/>
      <c r="B32" s="10"/>
      <c r="C32" s="10"/>
      <c r="D32" s="10"/>
    </row>
    <row r="33" spans="1:4" x14ac:dyDescent="0.25">
      <c r="A33" s="9"/>
      <c r="B33" s="10"/>
      <c r="C33" s="10"/>
      <c r="D33" s="10"/>
    </row>
    <row r="34" spans="1:4" x14ac:dyDescent="0.25">
      <c r="A34" s="9"/>
      <c r="B34" s="10"/>
      <c r="C34" s="10"/>
      <c r="D34" s="10"/>
    </row>
    <row r="35" spans="1:4" x14ac:dyDescent="0.25">
      <c r="A35" s="9"/>
      <c r="B35" s="10"/>
      <c r="C35" s="10"/>
      <c r="D35" s="10"/>
    </row>
    <row r="36" spans="1:4" x14ac:dyDescent="0.25">
      <c r="A36" s="9"/>
      <c r="B36" s="10"/>
      <c r="C36" s="10"/>
      <c r="D36" s="10"/>
    </row>
    <row r="37" spans="1:4" x14ac:dyDescent="0.25">
      <c r="A37" s="9"/>
      <c r="B37" s="10"/>
      <c r="C37" s="10"/>
      <c r="D37" s="10"/>
    </row>
    <row r="38" spans="1:4" x14ac:dyDescent="0.25">
      <c r="A38" s="9"/>
      <c r="B38" s="10"/>
      <c r="C38" s="10"/>
      <c r="D38" s="10"/>
    </row>
    <row r="39" spans="1:4" x14ac:dyDescent="0.25">
      <c r="A39" s="9"/>
      <c r="B39" s="10"/>
      <c r="C39" s="10"/>
      <c r="D39" s="10"/>
    </row>
    <row r="40" spans="1:4" x14ac:dyDescent="0.25">
      <c r="A40" s="9"/>
      <c r="B40" s="10"/>
      <c r="C40" s="10"/>
      <c r="D40" s="10"/>
    </row>
    <row r="41" spans="1:4" x14ac:dyDescent="0.25">
      <c r="A41" s="9"/>
      <c r="B41" s="10"/>
      <c r="C41" s="10"/>
      <c r="D41" s="10"/>
    </row>
    <row r="42" spans="1:4" x14ac:dyDescent="0.25">
      <c r="A42" s="9"/>
      <c r="B42" s="10"/>
      <c r="C42" s="10"/>
      <c r="D42" s="10"/>
    </row>
    <row r="43" spans="1:4" x14ac:dyDescent="0.25">
      <c r="A43" s="9"/>
      <c r="B43" s="10"/>
      <c r="C43" s="10"/>
      <c r="D43" s="10"/>
    </row>
    <row r="44" spans="1:4" x14ac:dyDescent="0.25">
      <c r="A44" s="9"/>
      <c r="B44" s="10"/>
      <c r="C44" s="10"/>
      <c r="D44" s="10"/>
    </row>
    <row r="45" spans="1:4" x14ac:dyDescent="0.25">
      <c r="A45" s="9"/>
      <c r="B45" s="10"/>
      <c r="C45" s="10"/>
      <c r="D45" s="10"/>
    </row>
    <row r="46" spans="1:4" x14ac:dyDescent="0.25">
      <c r="A46" s="9"/>
      <c r="B46" s="10"/>
      <c r="C46" s="10"/>
      <c r="D46" s="10"/>
    </row>
    <row r="47" spans="1:4" x14ac:dyDescent="0.25">
      <c r="A47" s="9"/>
      <c r="B47" s="10"/>
      <c r="C47" s="10"/>
      <c r="D47" s="10"/>
    </row>
    <row r="48" spans="1:4" x14ac:dyDescent="0.25">
      <c r="A48" s="9"/>
      <c r="B48" s="10"/>
      <c r="C48" s="10"/>
      <c r="D48" s="10"/>
    </row>
    <row r="49" spans="1:4" x14ac:dyDescent="0.25">
      <c r="A49" s="9"/>
      <c r="B49" s="10"/>
      <c r="C49" s="10"/>
      <c r="D49" s="10"/>
    </row>
    <row r="50" spans="1:4" x14ac:dyDescent="0.25">
      <c r="A50" s="9"/>
      <c r="B50" s="10"/>
      <c r="C50" s="10"/>
      <c r="D50" s="10"/>
    </row>
    <row r="51" spans="1:4" x14ac:dyDescent="0.25">
      <c r="A51" s="9"/>
      <c r="B51" s="10"/>
      <c r="C51" s="10"/>
      <c r="D51" s="10"/>
    </row>
    <row r="52" spans="1:4" x14ac:dyDescent="0.25">
      <c r="A52" s="9"/>
      <c r="B52" s="10"/>
      <c r="C52" s="10"/>
      <c r="D52" s="10"/>
    </row>
    <row r="53" spans="1:4" x14ac:dyDescent="0.25">
      <c r="A53" s="9"/>
      <c r="B53" s="10"/>
      <c r="C53" s="10"/>
      <c r="D53" s="10"/>
    </row>
    <row r="54" spans="1:4" x14ac:dyDescent="0.25">
      <c r="A54" s="9"/>
      <c r="B54" s="10"/>
      <c r="C54" s="10"/>
      <c r="D54" s="10"/>
    </row>
    <row r="55" spans="1:4" x14ac:dyDescent="0.25">
      <c r="A55" s="9"/>
      <c r="B55" s="10"/>
      <c r="C55" s="10"/>
      <c r="D55" s="10"/>
    </row>
    <row r="56" spans="1:4" x14ac:dyDescent="0.25">
      <c r="A56" s="9"/>
      <c r="B56" s="10"/>
      <c r="C56" s="10"/>
      <c r="D56" s="10"/>
    </row>
    <row r="57" spans="1:4" x14ac:dyDescent="0.25">
      <c r="A57" s="9"/>
      <c r="B57" s="10"/>
      <c r="C57" s="10"/>
      <c r="D57" s="10"/>
    </row>
    <row r="58" spans="1:4" x14ac:dyDescent="0.25">
      <c r="A58" s="9"/>
      <c r="B58" s="10"/>
      <c r="C58" s="10"/>
      <c r="D58" s="10"/>
    </row>
    <row r="59" spans="1:4" x14ac:dyDescent="0.25">
      <c r="A59" s="9"/>
      <c r="B59" s="10"/>
      <c r="C59" s="10"/>
      <c r="D59" s="10"/>
    </row>
    <row r="60" spans="1:4" x14ac:dyDescent="0.25">
      <c r="A60" s="9"/>
      <c r="B60" s="10"/>
      <c r="C60" s="10"/>
      <c r="D60" s="10"/>
    </row>
    <row r="61" spans="1:4" x14ac:dyDescent="0.25">
      <c r="A61" s="9"/>
      <c r="B61" s="10"/>
      <c r="C61" s="10"/>
      <c r="D61" s="10"/>
    </row>
    <row r="62" spans="1:4" x14ac:dyDescent="0.25">
      <c r="A62" s="9"/>
      <c r="B62" s="10"/>
      <c r="C62" s="10"/>
      <c r="D62" s="10"/>
    </row>
    <row r="63" spans="1:4" x14ac:dyDescent="0.25">
      <c r="A63" s="9"/>
      <c r="B63" s="10"/>
      <c r="C63" s="10"/>
      <c r="D63" s="10"/>
    </row>
    <row r="64" spans="1:4" x14ac:dyDescent="0.25">
      <c r="A64" s="9"/>
      <c r="B64" s="10"/>
      <c r="C64" s="10"/>
      <c r="D64" s="10"/>
    </row>
    <row r="65" spans="1:4" x14ac:dyDescent="0.25">
      <c r="A65" s="9"/>
      <c r="B65" s="10"/>
      <c r="C65" s="10"/>
      <c r="D65" s="10"/>
    </row>
    <row r="66" spans="1:4" x14ac:dyDescent="0.25">
      <c r="A66" s="9"/>
      <c r="B66" s="10"/>
      <c r="C66" s="10"/>
      <c r="D66" s="10"/>
    </row>
    <row r="67" spans="1:4" x14ac:dyDescent="0.25">
      <c r="A67" s="9"/>
      <c r="B67" s="10"/>
      <c r="C67" s="10"/>
      <c r="D67" s="10"/>
    </row>
    <row r="68" spans="1:4" x14ac:dyDescent="0.25">
      <c r="A68" s="9"/>
      <c r="B68" s="10"/>
      <c r="C68" s="10"/>
      <c r="D68" s="10"/>
    </row>
    <row r="69" spans="1:4" x14ac:dyDescent="0.25">
      <c r="A69" s="9"/>
      <c r="B69" s="10"/>
      <c r="C69" s="10"/>
      <c r="D69" s="10"/>
    </row>
    <row r="70" spans="1:4" x14ac:dyDescent="0.25">
      <c r="A70" s="9"/>
      <c r="B70" s="10"/>
      <c r="C70" s="10"/>
      <c r="D70" s="10"/>
    </row>
    <row r="71" spans="1:4" x14ac:dyDescent="0.25">
      <c r="A71" s="9"/>
      <c r="B71" s="10"/>
      <c r="C71" s="10"/>
      <c r="D71" s="10"/>
    </row>
    <row r="72" spans="1:4" x14ac:dyDescent="0.25">
      <c r="A72" s="9"/>
      <c r="B72" s="10"/>
      <c r="C72" s="10"/>
      <c r="D72" s="10"/>
    </row>
    <row r="73" spans="1:4" x14ac:dyDescent="0.25">
      <c r="A73" s="9"/>
      <c r="B73" s="10"/>
      <c r="C73" s="10"/>
      <c r="D73" s="10"/>
    </row>
    <row r="74" spans="1:4" x14ac:dyDescent="0.25">
      <c r="A74" s="9"/>
      <c r="B74" s="10"/>
      <c r="C74" s="10"/>
      <c r="D74" s="10"/>
    </row>
    <row r="75" spans="1:4" x14ac:dyDescent="0.25">
      <c r="A75" s="9"/>
      <c r="B75" s="10"/>
      <c r="C75" s="10"/>
      <c r="D75" s="10"/>
    </row>
    <row r="76" spans="1:4" x14ac:dyDescent="0.25">
      <c r="A76" s="9"/>
      <c r="B76" s="10"/>
      <c r="C76" s="10"/>
      <c r="D76" s="10"/>
    </row>
    <row r="77" spans="1:4" x14ac:dyDescent="0.25">
      <c r="A77" s="9"/>
      <c r="B77" s="10"/>
      <c r="C77" s="10"/>
      <c r="D77" s="10"/>
    </row>
    <row r="78" spans="1:4" x14ac:dyDescent="0.25">
      <c r="A78" s="9"/>
      <c r="B78" s="10"/>
      <c r="C78" s="10"/>
      <c r="D78" s="10"/>
    </row>
    <row r="79" spans="1:4" x14ac:dyDescent="0.25">
      <c r="A79" s="9"/>
      <c r="B79" s="10"/>
      <c r="C79" s="10"/>
      <c r="D79" s="10"/>
    </row>
    <row r="80" spans="1:4" x14ac:dyDescent="0.25">
      <c r="A80" s="9"/>
      <c r="B80" s="10"/>
      <c r="C80" s="10"/>
      <c r="D80" s="10"/>
    </row>
    <row r="81" spans="1:4" x14ac:dyDescent="0.25">
      <c r="A81" s="9"/>
      <c r="B81" s="10"/>
      <c r="C81" s="10"/>
      <c r="D81" s="10"/>
    </row>
    <row r="82" spans="1:4" x14ac:dyDescent="0.25">
      <c r="A82" s="9"/>
      <c r="B82" s="10"/>
      <c r="C82" s="10"/>
      <c r="D82" s="10"/>
    </row>
    <row r="83" spans="1:4" x14ac:dyDescent="0.25">
      <c r="A83" s="9"/>
      <c r="B83" s="10"/>
      <c r="C83" s="10"/>
      <c r="D83" s="10"/>
    </row>
    <row r="84" spans="1:4" x14ac:dyDescent="0.25">
      <c r="A84" s="9"/>
      <c r="B84" s="10"/>
      <c r="C84" s="10"/>
      <c r="D84" s="10"/>
    </row>
    <row r="85" spans="1:4" x14ac:dyDescent="0.25">
      <c r="A85" s="9"/>
      <c r="B85" s="10"/>
      <c r="C85" s="10"/>
      <c r="D85" s="10"/>
    </row>
    <row r="86" spans="1:4" x14ac:dyDescent="0.25">
      <c r="A86" s="9"/>
      <c r="B86" s="10"/>
      <c r="C86" s="10"/>
      <c r="D86" s="10"/>
    </row>
    <row r="87" spans="1:4" x14ac:dyDescent="0.25">
      <c r="A87" s="9"/>
      <c r="B87" s="10"/>
      <c r="C87" s="10"/>
      <c r="D87" s="10"/>
    </row>
    <row r="88" spans="1:4" x14ac:dyDescent="0.25">
      <c r="A88" s="9"/>
      <c r="B88" s="10"/>
      <c r="C88" s="10"/>
      <c r="D88" s="10"/>
    </row>
    <row r="89" spans="1:4" x14ac:dyDescent="0.25">
      <c r="A89" s="9"/>
      <c r="B89" s="10"/>
      <c r="C89" s="10"/>
      <c r="D89" s="10"/>
    </row>
    <row r="90" spans="1:4" x14ac:dyDescent="0.25">
      <c r="A90" s="9"/>
      <c r="B90" s="10"/>
      <c r="C90" s="10"/>
      <c r="D90" s="10"/>
    </row>
    <row r="91" spans="1:4" x14ac:dyDescent="0.25">
      <c r="A91" s="9"/>
      <c r="B91" s="10"/>
      <c r="C91" s="10"/>
      <c r="D91" s="10"/>
    </row>
    <row r="92" spans="1:4" x14ac:dyDescent="0.25">
      <c r="A92" s="9"/>
      <c r="B92" s="10"/>
      <c r="C92" s="10"/>
      <c r="D92" s="10"/>
    </row>
    <row r="93" spans="1:4" x14ac:dyDescent="0.25">
      <c r="A93" s="9"/>
      <c r="B93" s="10"/>
      <c r="C93" s="10"/>
      <c r="D93" s="10"/>
    </row>
    <row r="94" spans="1:4" x14ac:dyDescent="0.25">
      <c r="A94" s="9"/>
      <c r="B94" s="10"/>
      <c r="C94" s="10"/>
      <c r="D94" s="10"/>
    </row>
    <row r="95" spans="1:4" x14ac:dyDescent="0.25">
      <c r="A95" s="9"/>
      <c r="B95" s="10"/>
      <c r="C95" s="10"/>
      <c r="D95" s="10"/>
    </row>
    <row r="96" spans="1:4" x14ac:dyDescent="0.25">
      <c r="A96" s="9"/>
      <c r="B96" s="10"/>
      <c r="C96" s="10"/>
      <c r="D96" s="10"/>
    </row>
    <row r="97" spans="1:4" x14ac:dyDescent="0.25">
      <c r="A97" s="9"/>
      <c r="B97" s="10"/>
      <c r="C97" s="10"/>
      <c r="D97" s="10"/>
    </row>
    <row r="98" spans="1:4" x14ac:dyDescent="0.25">
      <c r="A98" s="9"/>
      <c r="B98" s="10"/>
      <c r="C98" s="10"/>
      <c r="D98" s="10"/>
    </row>
    <row r="99" spans="1:4" x14ac:dyDescent="0.25">
      <c r="A99" s="9"/>
      <c r="B99" s="10"/>
      <c r="C99" s="10"/>
      <c r="D99" s="10"/>
    </row>
    <row r="100" spans="1:4" x14ac:dyDescent="0.25">
      <c r="A100" s="9"/>
      <c r="B100" s="10"/>
      <c r="C100" s="10"/>
      <c r="D100" s="10"/>
    </row>
    <row r="101" spans="1:4" x14ac:dyDescent="0.25">
      <c r="A101" s="9"/>
      <c r="B101" s="10"/>
      <c r="C101" s="10"/>
      <c r="D101" s="10"/>
    </row>
    <row r="102" spans="1:4" x14ac:dyDescent="0.25">
      <c r="A102" s="9"/>
      <c r="B102" s="10"/>
      <c r="C102" s="10"/>
      <c r="D102" s="10"/>
    </row>
    <row r="103" spans="1:4" x14ac:dyDescent="0.25">
      <c r="A103" s="9"/>
      <c r="B103" s="10"/>
      <c r="C103" s="10"/>
      <c r="D103" s="10"/>
    </row>
    <row r="104" spans="1:4" x14ac:dyDescent="0.25">
      <c r="A104" s="9"/>
      <c r="B104" s="10"/>
      <c r="C104" s="10"/>
      <c r="D104" s="10"/>
    </row>
    <row r="105" spans="1:4" x14ac:dyDescent="0.25">
      <c r="A105" s="9"/>
      <c r="B105" s="10"/>
      <c r="C105" s="10"/>
      <c r="D105" s="10"/>
    </row>
    <row r="106" spans="1:4" x14ac:dyDescent="0.25">
      <c r="A106" s="9"/>
      <c r="B106" s="10"/>
      <c r="C106" s="10"/>
      <c r="D106" s="10"/>
    </row>
    <row r="107" spans="1:4" x14ac:dyDescent="0.25">
      <c r="A107" s="9"/>
      <c r="B107" s="10"/>
      <c r="C107" s="10"/>
      <c r="D107" s="10"/>
    </row>
    <row r="108" spans="1:4" x14ac:dyDescent="0.25">
      <c r="A108" s="9"/>
      <c r="B108" s="10"/>
      <c r="C108" s="10"/>
      <c r="D108" s="10"/>
    </row>
    <row r="109" spans="1:4" x14ac:dyDescent="0.25">
      <c r="A109" s="9"/>
      <c r="B109" s="10"/>
      <c r="C109" s="10"/>
      <c r="D109" s="10"/>
    </row>
    <row r="110" spans="1:4" x14ac:dyDescent="0.25">
      <c r="A110" s="9"/>
      <c r="B110" s="10"/>
      <c r="C110" s="10"/>
      <c r="D110" s="10"/>
    </row>
    <row r="111" spans="1:4" x14ac:dyDescent="0.25">
      <c r="A111" s="9"/>
      <c r="B111" s="11"/>
      <c r="C111" s="11"/>
      <c r="D111" s="11"/>
    </row>
    <row r="112" spans="1:4" x14ac:dyDescent="0.25">
      <c r="A112" s="9"/>
      <c r="B112" s="11"/>
      <c r="C112" s="11"/>
      <c r="D112" s="11"/>
    </row>
    <row r="113" spans="1:4" x14ac:dyDescent="0.25">
      <c r="A113" s="9"/>
      <c r="B113" s="11"/>
      <c r="C113" s="11"/>
      <c r="D113" s="11"/>
    </row>
    <row r="114" spans="1:4" x14ac:dyDescent="0.25">
      <c r="A114" s="9"/>
      <c r="B114" s="11"/>
      <c r="C114" s="11"/>
      <c r="D114" s="11"/>
    </row>
    <row r="115" spans="1:4" x14ac:dyDescent="0.25">
      <c r="A115" s="9"/>
      <c r="B115" s="11"/>
      <c r="C115" s="11"/>
      <c r="D115" s="11"/>
    </row>
    <row r="116" spans="1:4" x14ac:dyDescent="0.25">
      <c r="A116" s="9"/>
      <c r="B116" s="11"/>
      <c r="C116" s="11"/>
      <c r="D116" s="11"/>
    </row>
    <row r="117" spans="1:4" x14ac:dyDescent="0.25">
      <c r="A117" s="9"/>
      <c r="B117" s="11"/>
      <c r="C117" s="11"/>
      <c r="D117" s="11"/>
    </row>
    <row r="118" spans="1:4" x14ac:dyDescent="0.25">
      <c r="A118" s="9"/>
      <c r="B118" s="11"/>
      <c r="C118" s="11"/>
      <c r="D118" s="11"/>
    </row>
    <row r="119" spans="1:4" x14ac:dyDescent="0.25">
      <c r="A119" s="9"/>
      <c r="B119" s="11"/>
      <c r="C119" s="11"/>
      <c r="D119" s="11"/>
    </row>
    <row r="120" spans="1:4" x14ac:dyDescent="0.25">
      <c r="A120" s="9"/>
      <c r="B120" s="11"/>
      <c r="C120" s="11"/>
      <c r="D120" s="11"/>
    </row>
    <row r="121" spans="1:4" x14ac:dyDescent="0.25">
      <c r="A121" s="9"/>
      <c r="B121" s="11"/>
      <c r="C121" s="11"/>
      <c r="D121" s="11"/>
    </row>
    <row r="122" spans="1:4" x14ac:dyDescent="0.25">
      <c r="A122" s="9"/>
      <c r="B122" s="11"/>
      <c r="C122" s="11"/>
      <c r="D122" s="11"/>
    </row>
    <row r="123" spans="1:4" x14ac:dyDescent="0.25">
      <c r="A123" s="9"/>
      <c r="B123" s="11"/>
      <c r="C123" s="11"/>
      <c r="D12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0B57-488E-4EB9-933B-B105FDCE0388}">
  <sheetPr>
    <tabColor rgb="FFFF0000"/>
  </sheetPr>
  <dimension ref="A1:R21"/>
  <sheetViews>
    <sheetView zoomScale="110" zoomScaleNormal="110" workbookViewId="0">
      <selection activeCell="B14" sqref="B14"/>
    </sheetView>
  </sheetViews>
  <sheetFormatPr defaultRowHeight="15" x14ac:dyDescent="0.25"/>
  <cols>
    <col min="1" max="1" width="10.5703125" style="5" bestFit="1" customWidth="1"/>
    <col min="2" max="2" width="12.28515625" style="5" customWidth="1"/>
    <col min="3" max="3" width="14.28515625" style="5" bestFit="1" customWidth="1"/>
    <col min="4" max="4" width="11.28515625" style="5" bestFit="1" customWidth="1"/>
    <col min="5" max="5" width="14.28515625" style="5" bestFit="1" customWidth="1"/>
    <col min="6" max="6" width="12.42578125" style="5" customWidth="1"/>
    <col min="7" max="7" width="11.28515625" bestFit="1" customWidth="1"/>
    <col min="8" max="12" width="12.42578125" style="5" customWidth="1"/>
    <col min="13" max="13" width="11.28515625" style="5" bestFit="1" customWidth="1"/>
    <col min="14" max="15" width="14.7109375" style="5" customWidth="1"/>
    <col min="16" max="16" width="9.140625" style="5"/>
    <col min="17" max="17" width="12.42578125" style="5" customWidth="1"/>
    <col min="18" max="16384" width="9.140625" style="5"/>
  </cols>
  <sheetData>
    <row r="1" spans="1:18" s="13" customFormat="1" ht="27" x14ac:dyDescent="0.25">
      <c r="A1" s="12" t="s">
        <v>41</v>
      </c>
      <c r="B1" s="13" t="s">
        <v>42</v>
      </c>
      <c r="C1" s="13" t="s">
        <v>42</v>
      </c>
      <c r="D1" s="13" t="s">
        <v>42</v>
      </c>
      <c r="E1" s="13" t="s">
        <v>42</v>
      </c>
      <c r="F1" s="14"/>
      <c r="G1" s="14" t="s">
        <v>43</v>
      </c>
      <c r="H1" s="14" t="s">
        <v>43</v>
      </c>
      <c r="I1" s="14" t="s">
        <v>43</v>
      </c>
      <c r="J1" s="14" t="s">
        <v>43</v>
      </c>
      <c r="K1" s="14" t="s">
        <v>43</v>
      </c>
      <c r="L1" s="14" t="s">
        <v>19</v>
      </c>
      <c r="M1" s="14" t="s">
        <v>19</v>
      </c>
      <c r="N1" s="14" t="s">
        <v>19</v>
      </c>
      <c r="O1" s="14" t="s">
        <v>19</v>
      </c>
      <c r="P1" s="14" t="s">
        <v>19</v>
      </c>
      <c r="Q1" s="14" t="s">
        <v>19</v>
      </c>
    </row>
    <row r="2" spans="1:18" s="13" customFormat="1" ht="45" x14ac:dyDescent="0.25">
      <c r="A2" s="12"/>
      <c r="B2" s="13" t="s">
        <v>44</v>
      </c>
      <c r="C2" s="13" t="s">
        <v>45</v>
      </c>
      <c r="D2" s="13" t="s">
        <v>46</v>
      </c>
      <c r="E2" s="13" t="s">
        <v>47</v>
      </c>
      <c r="F2" s="14"/>
      <c r="G2" s="14" t="s">
        <v>48</v>
      </c>
      <c r="H2" s="14" t="s">
        <v>49</v>
      </c>
      <c r="I2" s="14" t="s">
        <v>50</v>
      </c>
      <c r="J2" s="14" t="s">
        <v>47</v>
      </c>
      <c r="K2" s="14" t="s">
        <v>51</v>
      </c>
      <c r="L2" s="14" t="s">
        <v>52</v>
      </c>
      <c r="M2" s="14" t="s">
        <v>53</v>
      </c>
      <c r="N2" s="14" t="s">
        <v>54</v>
      </c>
      <c r="O2" s="14" t="s">
        <v>55</v>
      </c>
      <c r="P2" s="14" t="s">
        <v>56</v>
      </c>
      <c r="Q2" s="14" t="s">
        <v>57</v>
      </c>
    </row>
    <row r="3" spans="1:18" x14ac:dyDescent="0.25">
      <c r="A3" s="15"/>
      <c r="B3" s="5" t="s">
        <v>58</v>
      </c>
      <c r="C3" s="5" t="s">
        <v>58</v>
      </c>
      <c r="D3" s="5" t="s">
        <v>58</v>
      </c>
      <c r="E3" s="5" t="s">
        <v>58</v>
      </c>
      <c r="F3" s="14"/>
      <c r="G3" s="14" t="s">
        <v>58</v>
      </c>
      <c r="H3" s="14" t="s">
        <v>59</v>
      </c>
      <c r="I3" s="14" t="s">
        <v>59</v>
      </c>
      <c r="J3" s="14" t="s">
        <v>59</v>
      </c>
      <c r="K3" s="14" t="s">
        <v>59</v>
      </c>
      <c r="L3" s="14" t="s">
        <v>58</v>
      </c>
      <c r="M3" s="14" t="s">
        <v>59</v>
      </c>
      <c r="N3" s="14" t="s">
        <v>58</v>
      </c>
      <c r="O3" s="14" t="s">
        <v>59</v>
      </c>
      <c r="P3" s="14" t="s">
        <v>59</v>
      </c>
      <c r="Q3" s="14" t="s">
        <v>59</v>
      </c>
    </row>
    <row r="4" spans="1:18" x14ac:dyDescent="0.25">
      <c r="A4" s="16">
        <v>2014</v>
      </c>
      <c r="B4" s="17">
        <v>2584290</v>
      </c>
      <c r="C4" s="17">
        <v>969456</v>
      </c>
      <c r="D4" s="17">
        <v>685</v>
      </c>
      <c r="E4" s="17">
        <v>1602695</v>
      </c>
      <c r="F4" s="17"/>
      <c r="G4" s="17">
        <v>1282925.9262999999</v>
      </c>
      <c r="H4" s="17">
        <v>75760</v>
      </c>
      <c r="I4" s="17">
        <v>13739</v>
      </c>
      <c r="J4" s="17">
        <v>0</v>
      </c>
      <c r="K4" s="17">
        <v>1506227.6</v>
      </c>
      <c r="L4" s="17">
        <v>9735793.2012700029</v>
      </c>
      <c r="M4" s="17">
        <v>2025514.7650000001</v>
      </c>
      <c r="N4" s="17">
        <v>1696.8099999999997</v>
      </c>
      <c r="O4" s="17">
        <v>597924.11274200003</v>
      </c>
      <c r="P4" s="17">
        <v>123985.77000000002</v>
      </c>
      <c r="Q4" s="17">
        <v>11533102.754729001</v>
      </c>
      <c r="R4" s="17"/>
    </row>
    <row r="5" spans="1:18" x14ac:dyDescent="0.25">
      <c r="A5" s="16">
        <v>2015</v>
      </c>
      <c r="B5" s="17">
        <v>1810659</v>
      </c>
      <c r="C5" s="17">
        <v>1012958</v>
      </c>
      <c r="D5" s="17">
        <v>1403</v>
      </c>
      <c r="E5" s="17">
        <v>788226</v>
      </c>
      <c r="F5" s="17"/>
      <c r="G5" s="17">
        <v>1299713</v>
      </c>
      <c r="H5" s="17">
        <v>110611</v>
      </c>
      <c r="I5" s="17">
        <v>4798.8289999999997</v>
      </c>
      <c r="J5" s="17">
        <v>0</v>
      </c>
      <c r="K5" s="17">
        <v>1604813.08</v>
      </c>
      <c r="L5" s="17">
        <v>10309632.114499997</v>
      </c>
      <c r="M5" s="17">
        <v>1933691.196</v>
      </c>
      <c r="N5" s="17">
        <v>1916.950145</v>
      </c>
      <c r="O5" s="17">
        <v>578831.98779489996</v>
      </c>
      <c r="P5" s="17">
        <v>1842.6799999999998</v>
      </c>
      <c r="Q5" s="17">
        <v>11839947.584800001</v>
      </c>
      <c r="R5" s="17"/>
    </row>
    <row r="6" spans="1:18" x14ac:dyDescent="0.25">
      <c r="A6" s="16">
        <v>2016</v>
      </c>
      <c r="B6" s="17">
        <v>2659274.7600000002</v>
      </c>
      <c r="C6" s="17">
        <v>1033331.2300000001</v>
      </c>
      <c r="D6" s="17">
        <v>3068.5200000000004</v>
      </c>
      <c r="E6" s="17">
        <v>1626263.79</v>
      </c>
      <c r="F6" s="17"/>
      <c r="G6" s="17">
        <v>1298055</v>
      </c>
      <c r="H6" s="17">
        <v>151460</v>
      </c>
      <c r="I6" s="17">
        <v>1071.6759999999999</v>
      </c>
      <c r="J6" s="17">
        <v>2158</v>
      </c>
      <c r="K6" s="17">
        <v>1647361.09</v>
      </c>
      <c r="L6" s="17">
        <v>10112756.637299998</v>
      </c>
      <c r="M6" s="17">
        <v>2190498.4079999998</v>
      </c>
      <c r="N6" s="17">
        <v>2885.0188000000007</v>
      </c>
      <c r="O6" s="17">
        <v>663573.55287489993</v>
      </c>
      <c r="P6" s="17">
        <v>5866.99</v>
      </c>
      <c r="Q6" s="17">
        <v>12514410.630499998</v>
      </c>
      <c r="R6" s="17"/>
    </row>
    <row r="7" spans="1:18" x14ac:dyDescent="0.25">
      <c r="A7" s="16">
        <v>2017</v>
      </c>
      <c r="B7" s="17">
        <v>2871435.0000000033</v>
      </c>
      <c r="C7" s="17">
        <v>1173294.9599999997</v>
      </c>
      <c r="D7" s="17">
        <v>238.11</v>
      </c>
      <c r="E7" s="17">
        <v>1650119.0499999998</v>
      </c>
      <c r="F7" s="17"/>
      <c r="G7" s="17">
        <v>1436746</v>
      </c>
      <c r="H7" s="17">
        <v>111120</v>
      </c>
      <c r="I7" s="17">
        <v>5539</v>
      </c>
      <c r="J7" s="17">
        <v>5955</v>
      </c>
      <c r="K7" s="17">
        <v>1596475</v>
      </c>
      <c r="L7" s="17">
        <v>10137625.374</v>
      </c>
      <c r="M7" s="17">
        <v>2131897.1269999999</v>
      </c>
      <c r="N7" s="17">
        <v>6292.8102999999992</v>
      </c>
      <c r="O7" s="17">
        <v>475326.1032999999</v>
      </c>
      <c r="P7" s="17">
        <v>4859</v>
      </c>
      <c r="Q7" s="17">
        <v>12795934.454600003</v>
      </c>
      <c r="R7" s="17"/>
    </row>
    <row r="8" spans="1:18" x14ac:dyDescent="0.25">
      <c r="A8" s="16">
        <v>2018</v>
      </c>
      <c r="B8" s="17">
        <v>2428997.0600000015</v>
      </c>
      <c r="C8" s="17">
        <v>1098458.2100000004</v>
      </c>
      <c r="D8" s="17">
        <v>1433.2899999999997</v>
      </c>
      <c r="E8" s="17">
        <v>1401316.8599999999</v>
      </c>
      <c r="F8" s="17"/>
      <c r="G8" s="17">
        <v>1463661</v>
      </c>
      <c r="H8" s="17">
        <v>198901</v>
      </c>
      <c r="I8" s="17">
        <v>26994</v>
      </c>
      <c r="J8" s="17">
        <v>2917</v>
      </c>
      <c r="K8" s="17">
        <v>1615173</v>
      </c>
      <c r="L8" s="17">
        <v>9772633.6700000018</v>
      </c>
      <c r="M8" s="17">
        <v>2203302.335</v>
      </c>
      <c r="N8" s="17">
        <v>5310.5994600000004</v>
      </c>
      <c r="O8" s="17">
        <v>501896.39199999999</v>
      </c>
      <c r="P8" s="17">
        <v>38563.317999999999</v>
      </c>
      <c r="Q8" s="17">
        <v>12118105.3091</v>
      </c>
      <c r="R8" s="17"/>
    </row>
    <row r="9" spans="1:18" x14ac:dyDescent="0.25">
      <c r="A9" s="16">
        <v>2019</v>
      </c>
      <c r="B9" s="17">
        <v>2147270.4800000004</v>
      </c>
      <c r="C9" s="17">
        <v>1070961.4900000002</v>
      </c>
      <c r="D9" s="17">
        <v>65767.179999999993</v>
      </c>
      <c r="E9" s="17">
        <v>1015006.8200000001</v>
      </c>
      <c r="F9" s="17"/>
      <c r="G9" s="17">
        <v>1463742.7</v>
      </c>
      <c r="H9" s="17">
        <v>267118</v>
      </c>
      <c r="I9" s="17">
        <v>94545</v>
      </c>
      <c r="J9" s="17">
        <v>3142</v>
      </c>
      <c r="K9" s="17">
        <v>1578446</v>
      </c>
      <c r="L9" s="17">
        <v>9820870.432</v>
      </c>
      <c r="M9" s="17">
        <v>2143637.3450000002</v>
      </c>
      <c r="N9" s="17">
        <v>4696.1573000000008</v>
      </c>
      <c r="O9" s="17">
        <v>532082.04</v>
      </c>
      <c r="P9" s="17">
        <v>34096.61</v>
      </c>
      <c r="Q9" s="17">
        <v>11382047.797699999</v>
      </c>
      <c r="R9" s="17"/>
    </row>
    <row r="10" spans="1:18" x14ac:dyDescent="0.25">
      <c r="A10" s="16">
        <v>2020</v>
      </c>
      <c r="B10" s="17">
        <v>1157364.1100000001</v>
      </c>
      <c r="C10" s="17">
        <v>477523.69199999992</v>
      </c>
      <c r="D10" s="17">
        <v>21335.580000000005</v>
      </c>
      <c r="E10" s="17">
        <v>597204.88</v>
      </c>
      <c r="F10" s="17"/>
      <c r="G10" s="17">
        <v>521919.96</v>
      </c>
      <c r="H10" s="17">
        <v>27297</v>
      </c>
      <c r="I10" s="17">
        <v>8959</v>
      </c>
      <c r="J10" s="17">
        <v>21649</v>
      </c>
      <c r="K10" s="17">
        <v>1628906</v>
      </c>
      <c r="L10" s="17">
        <v>8945150.6819999982</v>
      </c>
      <c r="M10" s="17">
        <v>1337836.9820000003</v>
      </c>
      <c r="N10" s="17">
        <v>6028.2999999999984</v>
      </c>
      <c r="O10" s="17">
        <v>718661.26300000004</v>
      </c>
      <c r="P10" s="17">
        <v>6019.8</v>
      </c>
      <c r="Q10" s="17">
        <v>11863812.156000009</v>
      </c>
      <c r="R10" s="17"/>
    </row>
    <row r="11" spans="1:18" x14ac:dyDescent="0.25">
      <c r="A11" s="16">
        <v>2021</v>
      </c>
      <c r="B11" s="17">
        <v>1723665.4399999997</v>
      </c>
      <c r="C11" s="17">
        <v>438156.87364899996</v>
      </c>
      <c r="D11" s="17">
        <v>1258.0800000000002</v>
      </c>
      <c r="E11" s="17">
        <v>1269569.47</v>
      </c>
      <c r="F11" s="17"/>
      <c r="G11" s="17">
        <v>589679.35999999999</v>
      </c>
      <c r="H11" s="17">
        <v>0</v>
      </c>
      <c r="I11" s="17">
        <v>0</v>
      </c>
      <c r="J11" s="17">
        <v>15969</v>
      </c>
      <c r="K11" s="17">
        <v>1164356</v>
      </c>
      <c r="L11" s="17">
        <v>10141912.866000002</v>
      </c>
      <c r="M11" s="17">
        <v>1971748.7300000004</v>
      </c>
      <c r="N11" s="17">
        <v>4628.7240000000002</v>
      </c>
      <c r="O11" s="17">
        <v>703840.47</v>
      </c>
      <c r="P11" s="17">
        <v>3763.02</v>
      </c>
      <c r="Q11" s="17">
        <v>10488255.950999998</v>
      </c>
      <c r="R11" s="17"/>
    </row>
    <row r="12" spans="1:18" x14ac:dyDescent="0.25">
      <c r="A12" s="16">
        <v>2022</v>
      </c>
      <c r="B12" s="17">
        <v>1909618.4000000001</v>
      </c>
      <c r="C12" s="17">
        <v>711801.42900000059</v>
      </c>
      <c r="D12" s="17">
        <v>2512.7599999999998</v>
      </c>
      <c r="E12" s="17">
        <v>1236409.8500000001</v>
      </c>
      <c r="F12" s="17"/>
      <c r="G12" s="17">
        <v>1162101</v>
      </c>
      <c r="H12" s="17">
        <v>13733</v>
      </c>
      <c r="I12" s="17">
        <v>47544</v>
      </c>
      <c r="J12" s="17">
        <v>1010</v>
      </c>
      <c r="K12" s="17">
        <v>1278942</v>
      </c>
      <c r="L12" s="17">
        <v>10559606.487999998</v>
      </c>
      <c r="M12" s="17">
        <v>2557938.4</v>
      </c>
      <c r="N12" s="17">
        <v>4287.2579999999998</v>
      </c>
      <c r="O12" s="17">
        <v>653069.75000000012</v>
      </c>
      <c r="P12" s="17">
        <v>0</v>
      </c>
      <c r="Q12" s="17">
        <v>11580643.611999996</v>
      </c>
    </row>
    <row r="13" spans="1:18" x14ac:dyDescent="0.25">
      <c r="A13" s="16">
        <v>2023</v>
      </c>
      <c r="B13" s="17">
        <v>831268.5499999997</v>
      </c>
      <c r="C13" s="17">
        <v>580501.98500000034</v>
      </c>
      <c r="D13" s="17">
        <v>8302.4</v>
      </c>
      <c r="E13" s="17">
        <v>284600</v>
      </c>
      <c r="F13" s="17"/>
      <c r="G13" s="17">
        <v>1444891.43</v>
      </c>
      <c r="H13" s="17">
        <v>15076</v>
      </c>
      <c r="I13" s="17">
        <v>3493</v>
      </c>
      <c r="J13" s="17">
        <v>14853</v>
      </c>
      <c r="K13" s="17">
        <v>1395466</v>
      </c>
      <c r="L13" s="17">
        <v>11102922.663000003</v>
      </c>
      <c r="M13" s="17">
        <v>1085184.463</v>
      </c>
      <c r="N13" s="17">
        <v>3882.4000000000005</v>
      </c>
      <c r="O13" s="17">
        <v>618071.85099999991</v>
      </c>
      <c r="P13" s="17">
        <v>567.65</v>
      </c>
      <c r="Q13" s="17">
        <v>12132953.007000007</v>
      </c>
    </row>
    <row r="14" spans="1:18" x14ac:dyDescent="0.25">
      <c r="A14" s="16">
        <v>2024</v>
      </c>
      <c r="B14" s="17">
        <v>1078962.8499999996</v>
      </c>
      <c r="C14" s="17">
        <v>703653.14199999941</v>
      </c>
      <c r="D14" s="17">
        <v>1710.3399999999997</v>
      </c>
      <c r="E14" s="17">
        <v>353337.98</v>
      </c>
      <c r="F14" s="17"/>
      <c r="G14" s="17">
        <v>1353628.0100000002</v>
      </c>
      <c r="H14" s="17"/>
      <c r="I14" s="17">
        <v>11789</v>
      </c>
      <c r="J14" s="17"/>
      <c r="K14" s="17">
        <v>1394505</v>
      </c>
      <c r="L14" s="17">
        <v>11210124.697999999</v>
      </c>
      <c r="M14" s="17"/>
      <c r="N14" s="17">
        <v>3437.68</v>
      </c>
      <c r="O14" s="17">
        <v>718509.18200000015</v>
      </c>
      <c r="P14" s="17"/>
      <c r="Q14" s="17">
        <v>10715939.916000001</v>
      </c>
    </row>
    <row r="15" spans="1:18" x14ac:dyDescent="0.25"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21" spans="1:1" x14ac:dyDescent="0.25">
      <c r="A21" s="5" t="s">
        <v>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590E-5CBB-41AB-A9CD-35ADADAD5249}">
  <sheetPr>
    <tabColor rgb="FFFFFF00"/>
  </sheetPr>
  <dimension ref="A1:AV137"/>
  <sheetViews>
    <sheetView zoomScaleNormal="100" zoomScaleSheetLayoutView="84" workbookViewId="0">
      <pane xSplit="1" ySplit="3" topLeftCell="F4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RowHeight="15" x14ac:dyDescent="0.25"/>
  <cols>
    <col min="1" max="1" width="7.5703125" style="22" bestFit="1" customWidth="1"/>
    <col min="2" max="2" width="7.85546875" style="5" customWidth="1"/>
    <col min="3" max="3" width="10.85546875" style="5" customWidth="1"/>
    <col min="4" max="4" width="9.140625" style="5"/>
    <col min="5" max="6" width="16.42578125" style="5" customWidth="1"/>
    <col min="7" max="8" width="9.140625" style="5"/>
    <col min="9" max="15" width="13" style="5" customWidth="1"/>
    <col min="16" max="16" width="11" style="5" customWidth="1"/>
    <col min="17" max="17" width="9.140625" style="5"/>
    <col min="18" max="20" width="15.140625" style="5" customWidth="1"/>
    <col min="21" max="21" width="9.140625" style="5"/>
    <col min="22" max="22" width="9.7109375" style="5" bestFit="1" customWidth="1"/>
    <col min="23" max="16384" width="9.140625" style="5"/>
  </cols>
  <sheetData>
    <row r="1" spans="1:48" s="14" customFormat="1" x14ac:dyDescent="0.25">
      <c r="A1" s="18"/>
      <c r="B1" s="19"/>
      <c r="C1" s="13" t="s">
        <v>42</v>
      </c>
      <c r="D1" s="13" t="s">
        <v>42</v>
      </c>
      <c r="E1" s="13" t="s">
        <v>42</v>
      </c>
      <c r="F1" s="13"/>
      <c r="G1" s="13" t="s">
        <v>42</v>
      </c>
      <c r="H1" s="14" t="s">
        <v>18</v>
      </c>
      <c r="I1" s="14" t="s">
        <v>43</v>
      </c>
      <c r="J1" s="14" t="s">
        <v>43</v>
      </c>
      <c r="K1" s="14" t="s">
        <v>43</v>
      </c>
      <c r="L1" s="14" t="s">
        <v>43</v>
      </c>
      <c r="M1" s="14" t="s">
        <v>43</v>
      </c>
      <c r="N1" s="14" t="s">
        <v>43</v>
      </c>
      <c r="O1" s="14" t="s">
        <v>43</v>
      </c>
      <c r="P1" s="14" t="s">
        <v>19</v>
      </c>
      <c r="Q1" s="14" t="s">
        <v>19</v>
      </c>
      <c r="R1" s="14" t="s">
        <v>19</v>
      </c>
      <c r="S1" s="14" t="s">
        <v>19</v>
      </c>
      <c r="T1" s="14" t="s">
        <v>19</v>
      </c>
      <c r="U1" s="14" t="s">
        <v>19</v>
      </c>
      <c r="V1" s="14" t="s">
        <v>19</v>
      </c>
    </row>
    <row r="2" spans="1:48" s="14" customFormat="1" ht="75" x14ac:dyDescent="0.25">
      <c r="A2" s="18"/>
      <c r="B2" s="19"/>
      <c r="C2" s="13" t="s">
        <v>44</v>
      </c>
      <c r="D2" s="13" t="s">
        <v>45</v>
      </c>
      <c r="E2" s="13" t="s">
        <v>46</v>
      </c>
      <c r="F2" s="13" t="s">
        <v>61</v>
      </c>
      <c r="G2" s="13" t="s">
        <v>62</v>
      </c>
      <c r="H2" s="14" t="s">
        <v>63</v>
      </c>
      <c r="I2" s="14" t="s">
        <v>64</v>
      </c>
      <c r="J2" s="14" t="s">
        <v>49</v>
      </c>
      <c r="K2" s="14" t="s">
        <v>65</v>
      </c>
      <c r="L2" s="14" t="s">
        <v>66</v>
      </c>
      <c r="M2" s="14" t="s">
        <v>67</v>
      </c>
      <c r="N2" s="14" t="s">
        <v>47</v>
      </c>
      <c r="O2" s="14" t="s">
        <v>68</v>
      </c>
      <c r="P2" s="14" t="s">
        <v>69</v>
      </c>
      <c r="Q2" s="14" t="s">
        <v>49</v>
      </c>
      <c r="R2" s="14" t="s">
        <v>70</v>
      </c>
      <c r="S2" s="14" t="s">
        <v>65</v>
      </c>
      <c r="T2" s="14" t="s">
        <v>66</v>
      </c>
      <c r="U2" s="14" t="s">
        <v>47</v>
      </c>
      <c r="V2" s="14" t="s">
        <v>68</v>
      </c>
    </row>
    <row r="3" spans="1:48" s="14" customFormat="1" x14ac:dyDescent="0.25">
      <c r="A3" s="18"/>
      <c r="B3" s="19"/>
      <c r="C3" s="5" t="s">
        <v>58</v>
      </c>
      <c r="D3" s="5" t="s">
        <v>58</v>
      </c>
      <c r="E3" s="5" t="s">
        <v>58</v>
      </c>
      <c r="F3" s="5" t="s">
        <v>58</v>
      </c>
      <c r="G3" s="5" t="s">
        <v>58</v>
      </c>
      <c r="H3" s="14" t="s">
        <v>58</v>
      </c>
      <c r="I3" s="14" t="s">
        <v>58</v>
      </c>
      <c r="J3" s="14" t="s">
        <v>59</v>
      </c>
      <c r="K3" s="14" t="s">
        <v>59</v>
      </c>
      <c r="L3" s="14" t="s">
        <v>59</v>
      </c>
      <c r="M3" s="14" t="s">
        <v>59</v>
      </c>
      <c r="N3" s="14" t="s">
        <v>59</v>
      </c>
      <c r="O3" s="14" t="s">
        <v>59</v>
      </c>
      <c r="P3" s="14" t="s">
        <v>58</v>
      </c>
      <c r="Q3" s="14" t="s">
        <v>59</v>
      </c>
      <c r="R3" s="14" t="s">
        <v>58</v>
      </c>
      <c r="S3" s="14" t="s">
        <v>59</v>
      </c>
      <c r="T3" s="14" t="s">
        <v>59</v>
      </c>
      <c r="U3" s="14" t="s">
        <v>59</v>
      </c>
      <c r="V3" s="14" t="s">
        <v>59</v>
      </c>
    </row>
    <row r="4" spans="1:48" x14ac:dyDescent="0.25">
      <c r="A4" s="20">
        <v>42005</v>
      </c>
      <c r="B4" s="16">
        <v>2015</v>
      </c>
      <c r="C4" s="10">
        <v>134435</v>
      </c>
      <c r="D4" s="10">
        <v>87181</v>
      </c>
      <c r="E4" s="10">
        <v>103</v>
      </c>
      <c r="F4" s="10">
        <f>E4+D4</f>
        <v>87284</v>
      </c>
      <c r="G4" s="10">
        <v>25250</v>
      </c>
      <c r="H4" s="10">
        <v>0</v>
      </c>
      <c r="I4" s="10">
        <v>126281</v>
      </c>
      <c r="J4" s="10">
        <v>0</v>
      </c>
      <c r="K4" s="10">
        <v>33</v>
      </c>
      <c r="L4" s="10">
        <v>144531</v>
      </c>
      <c r="M4" s="10">
        <f>L4+K4</f>
        <v>144564</v>
      </c>
      <c r="N4" s="10">
        <v>0</v>
      </c>
      <c r="O4" s="10">
        <v>126095</v>
      </c>
      <c r="P4" s="10">
        <v>875987.02399999998</v>
      </c>
      <c r="Q4" s="10">
        <v>158221.38</v>
      </c>
      <c r="R4" s="10">
        <v>75.698999999999998</v>
      </c>
      <c r="S4" s="10">
        <v>45443.591224999996</v>
      </c>
      <c r="T4" s="10">
        <v>1109845.3143</v>
      </c>
      <c r="U4" s="10">
        <v>608.21</v>
      </c>
      <c r="V4" s="10">
        <v>944828.50299999991</v>
      </c>
      <c r="W4" s="10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r="5" spans="1:48" x14ac:dyDescent="0.25">
      <c r="A5" s="20">
        <v>42036</v>
      </c>
      <c r="B5" s="16">
        <v>2015</v>
      </c>
      <c r="C5" s="10">
        <v>99065</v>
      </c>
      <c r="D5" s="10">
        <v>84192</v>
      </c>
      <c r="E5" s="10">
        <v>0</v>
      </c>
      <c r="F5" s="10">
        <f t="shared" ref="F5:F68" si="0">E5+D5</f>
        <v>84192</v>
      </c>
      <c r="G5" s="10">
        <v>32750</v>
      </c>
      <c r="H5" s="10">
        <v>0</v>
      </c>
      <c r="I5" s="10">
        <v>103533</v>
      </c>
      <c r="J5" s="10">
        <v>0</v>
      </c>
      <c r="K5" s="10">
        <v>0</v>
      </c>
      <c r="L5" s="10">
        <v>129957</v>
      </c>
      <c r="M5" s="10">
        <f t="shared" ref="M5:M68" si="1">L5+K5</f>
        <v>129957</v>
      </c>
      <c r="N5" s="10">
        <v>0</v>
      </c>
      <c r="O5" s="10">
        <v>124859</v>
      </c>
      <c r="P5" s="10">
        <v>772155.04599999997</v>
      </c>
      <c r="Q5" s="10">
        <v>146035</v>
      </c>
      <c r="R5" s="10">
        <v>100.571</v>
      </c>
      <c r="S5" s="10">
        <v>45441.746109399995</v>
      </c>
      <c r="T5" s="10">
        <v>1013919.7978999993</v>
      </c>
      <c r="U5" s="10">
        <v>0</v>
      </c>
      <c r="V5" s="10">
        <v>975100.99699999997</v>
      </c>
      <c r="W5" s="10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</row>
    <row r="6" spans="1:48" x14ac:dyDescent="0.25">
      <c r="A6" s="20">
        <v>42064</v>
      </c>
      <c r="B6" s="16">
        <v>2015</v>
      </c>
      <c r="C6" s="10">
        <v>96673</v>
      </c>
      <c r="D6" s="10">
        <v>84425</v>
      </c>
      <c r="E6" s="10">
        <v>67</v>
      </c>
      <c r="F6" s="10">
        <f t="shared" si="0"/>
        <v>84492</v>
      </c>
      <c r="G6" s="10">
        <v>37805</v>
      </c>
      <c r="H6" s="10">
        <v>0</v>
      </c>
      <c r="I6" s="10">
        <v>109035</v>
      </c>
      <c r="J6" s="10">
        <v>0</v>
      </c>
      <c r="K6" s="10">
        <v>4694</v>
      </c>
      <c r="L6" s="10">
        <v>142264</v>
      </c>
      <c r="M6" s="10">
        <f t="shared" si="1"/>
        <v>146958</v>
      </c>
      <c r="N6" s="10">
        <v>0</v>
      </c>
      <c r="O6" s="10">
        <v>139952</v>
      </c>
      <c r="P6" s="10">
        <v>852810.5168000001</v>
      </c>
      <c r="Q6" s="10">
        <v>67983.682000000001</v>
      </c>
      <c r="R6" s="10">
        <v>128.25200000000001</v>
      </c>
      <c r="S6" s="10">
        <v>50664.524619199998</v>
      </c>
      <c r="T6" s="10">
        <v>1106594.2596</v>
      </c>
      <c r="U6" s="10">
        <v>0</v>
      </c>
      <c r="V6" s="10">
        <v>931606.41599999985</v>
      </c>
      <c r="W6" s="10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</row>
    <row r="7" spans="1:48" x14ac:dyDescent="0.25">
      <c r="A7" s="20">
        <v>42095</v>
      </c>
      <c r="B7" s="16">
        <v>2015</v>
      </c>
      <c r="C7" s="10">
        <v>128439</v>
      </c>
      <c r="D7" s="10">
        <v>90867</v>
      </c>
      <c r="E7" s="10">
        <v>21</v>
      </c>
      <c r="F7" s="10">
        <f t="shared" si="0"/>
        <v>90888</v>
      </c>
      <c r="G7" s="10">
        <v>12170</v>
      </c>
      <c r="H7" s="10">
        <v>0</v>
      </c>
      <c r="I7" s="10">
        <v>106867</v>
      </c>
      <c r="J7" s="10">
        <v>19862</v>
      </c>
      <c r="K7" s="10">
        <v>0</v>
      </c>
      <c r="L7" s="10">
        <v>130185</v>
      </c>
      <c r="M7" s="10">
        <f t="shared" si="1"/>
        <v>130185</v>
      </c>
      <c r="N7" s="10">
        <v>0</v>
      </c>
      <c r="O7" s="10">
        <v>134705</v>
      </c>
      <c r="P7" s="10">
        <v>906081.5830000001</v>
      </c>
      <c r="Q7" s="10">
        <v>185733.853</v>
      </c>
      <c r="R7" s="10">
        <v>146.202</v>
      </c>
      <c r="S7" s="10">
        <v>60797.713256999996</v>
      </c>
      <c r="T7" s="10">
        <v>1268409.9387999999</v>
      </c>
      <c r="U7" s="10">
        <v>0</v>
      </c>
      <c r="V7" s="10">
        <v>871752.04799999995</v>
      </c>
      <c r="W7" s="10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</row>
    <row r="8" spans="1:48" x14ac:dyDescent="0.25">
      <c r="A8" s="20">
        <v>42125</v>
      </c>
      <c r="B8" s="16">
        <v>2015</v>
      </c>
      <c r="C8" s="10">
        <v>131226</v>
      </c>
      <c r="D8" s="10">
        <v>88787</v>
      </c>
      <c r="E8" s="10">
        <v>100</v>
      </c>
      <c r="F8" s="10">
        <f t="shared" si="0"/>
        <v>88887</v>
      </c>
      <c r="G8" s="10">
        <v>35375</v>
      </c>
      <c r="H8" s="10">
        <v>0</v>
      </c>
      <c r="I8" s="10">
        <v>98742</v>
      </c>
      <c r="J8" s="10">
        <v>4773</v>
      </c>
      <c r="K8" s="10">
        <v>35.831000000000003</v>
      </c>
      <c r="L8" s="10">
        <v>129638.9</v>
      </c>
      <c r="M8" s="10">
        <f t="shared" si="1"/>
        <v>129674.731</v>
      </c>
      <c r="N8" s="10">
        <v>0</v>
      </c>
      <c r="O8" s="10">
        <v>128522.24000000001</v>
      </c>
      <c r="P8" s="10">
        <v>907049.46699999995</v>
      </c>
      <c r="Q8" s="10">
        <v>136072.33199999999</v>
      </c>
      <c r="R8" s="10">
        <v>136.6217</v>
      </c>
      <c r="S8" s="10">
        <v>45763.399958000002</v>
      </c>
      <c r="T8" s="10">
        <v>1131769.9605</v>
      </c>
      <c r="U8" s="10">
        <v>0</v>
      </c>
      <c r="V8" s="10">
        <v>981386.87499999988</v>
      </c>
      <c r="W8" s="10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</row>
    <row r="9" spans="1:48" x14ac:dyDescent="0.25">
      <c r="A9" s="20">
        <v>42156</v>
      </c>
      <c r="B9" s="16">
        <v>2015</v>
      </c>
      <c r="C9" s="10">
        <v>190445</v>
      </c>
      <c r="D9" s="10">
        <v>90128</v>
      </c>
      <c r="E9" s="10">
        <v>12</v>
      </c>
      <c r="F9" s="10">
        <f t="shared" si="0"/>
        <v>90140</v>
      </c>
      <c r="G9" s="10">
        <v>93200</v>
      </c>
      <c r="H9" s="10">
        <v>0</v>
      </c>
      <c r="I9" s="10">
        <v>90555</v>
      </c>
      <c r="J9" s="10">
        <v>0</v>
      </c>
      <c r="K9" s="10">
        <v>0</v>
      </c>
      <c r="L9" s="10">
        <v>126558</v>
      </c>
      <c r="M9" s="10">
        <f t="shared" si="1"/>
        <v>126558</v>
      </c>
      <c r="N9" s="10">
        <v>0</v>
      </c>
      <c r="O9" s="10">
        <v>127352.17</v>
      </c>
      <c r="P9" s="10">
        <v>824896.98099999991</v>
      </c>
      <c r="Q9" s="10">
        <v>180731.97400000002</v>
      </c>
      <c r="R9" s="10">
        <v>188.59999999999997</v>
      </c>
      <c r="S9" s="10">
        <v>48222.972789000007</v>
      </c>
      <c r="T9" s="10">
        <v>1163076.9986</v>
      </c>
      <c r="U9" s="10">
        <v>0</v>
      </c>
      <c r="V9" s="10">
        <v>944100.9</v>
      </c>
      <c r="W9" s="10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</row>
    <row r="10" spans="1:48" x14ac:dyDescent="0.25">
      <c r="A10" s="20">
        <v>42186</v>
      </c>
      <c r="B10" s="16">
        <v>2015</v>
      </c>
      <c r="C10" s="10">
        <v>176765</v>
      </c>
      <c r="D10" s="10">
        <v>96532</v>
      </c>
      <c r="E10" s="10">
        <v>27</v>
      </c>
      <c r="F10" s="10">
        <f t="shared" si="0"/>
        <v>96559</v>
      </c>
      <c r="G10" s="10">
        <v>81800</v>
      </c>
      <c r="H10" s="10">
        <v>0</v>
      </c>
      <c r="I10" s="10">
        <v>107302</v>
      </c>
      <c r="J10" s="10">
        <v>19052</v>
      </c>
      <c r="K10" s="10">
        <v>0</v>
      </c>
      <c r="L10" s="10">
        <v>141620</v>
      </c>
      <c r="M10" s="10">
        <f t="shared" si="1"/>
        <v>141620</v>
      </c>
      <c r="N10" s="10">
        <v>0</v>
      </c>
      <c r="O10" s="10">
        <v>114572</v>
      </c>
      <c r="P10" s="10">
        <v>916673.88630000001</v>
      </c>
      <c r="Q10" s="10">
        <v>204009.035</v>
      </c>
      <c r="R10" s="10">
        <v>255.45699999999997</v>
      </c>
      <c r="S10" s="10">
        <v>49845.073218999998</v>
      </c>
      <c r="T10" s="10">
        <v>1226191.1302999998</v>
      </c>
      <c r="U10" s="10">
        <v>0</v>
      </c>
      <c r="V10" s="10">
        <v>926651.1939999999</v>
      </c>
      <c r="W10" s="10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</row>
    <row r="11" spans="1:48" x14ac:dyDescent="0.25">
      <c r="A11" s="20">
        <v>42217</v>
      </c>
      <c r="B11" s="16">
        <v>2015</v>
      </c>
      <c r="C11" s="10">
        <v>208493</v>
      </c>
      <c r="D11" s="10">
        <v>97269</v>
      </c>
      <c r="E11" s="10">
        <v>27</v>
      </c>
      <c r="F11" s="10">
        <f t="shared" si="0"/>
        <v>97296</v>
      </c>
      <c r="G11" s="10">
        <v>83800</v>
      </c>
      <c r="H11" s="10">
        <v>0</v>
      </c>
      <c r="I11" s="10">
        <v>120633</v>
      </c>
      <c r="J11" s="10">
        <v>0</v>
      </c>
      <c r="K11" s="10">
        <v>0</v>
      </c>
      <c r="L11" s="10">
        <v>141298</v>
      </c>
      <c r="M11" s="10">
        <f t="shared" si="1"/>
        <v>141298</v>
      </c>
      <c r="N11" s="10">
        <v>0</v>
      </c>
      <c r="O11" s="10">
        <v>159062</v>
      </c>
      <c r="P11" s="10">
        <v>869912.52840000018</v>
      </c>
      <c r="Q11" s="10">
        <v>184221.76800000001</v>
      </c>
      <c r="R11" s="10">
        <v>210.09700000000001</v>
      </c>
      <c r="S11" s="10">
        <v>43910.419311000005</v>
      </c>
      <c r="T11" s="10">
        <v>1063337.3935</v>
      </c>
      <c r="U11" s="10">
        <v>0</v>
      </c>
      <c r="V11" s="10">
        <v>1079048.6749999998</v>
      </c>
      <c r="W11" s="10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</row>
    <row r="12" spans="1:48" x14ac:dyDescent="0.25">
      <c r="A12" s="20">
        <v>42248</v>
      </c>
      <c r="B12" s="16">
        <v>2015</v>
      </c>
      <c r="C12" s="10">
        <v>182871</v>
      </c>
      <c r="D12" s="10">
        <v>90993</v>
      </c>
      <c r="E12" s="10">
        <v>34</v>
      </c>
      <c r="F12" s="10">
        <f t="shared" si="0"/>
        <v>91027</v>
      </c>
      <c r="G12" s="10">
        <v>94805</v>
      </c>
      <c r="H12" s="10">
        <v>0</v>
      </c>
      <c r="I12" s="10">
        <v>95342</v>
      </c>
      <c r="J12" s="10">
        <v>24969</v>
      </c>
      <c r="K12" s="10">
        <v>35.997999999999998</v>
      </c>
      <c r="L12" s="10">
        <v>140020</v>
      </c>
      <c r="M12" s="10">
        <f t="shared" si="1"/>
        <v>140055.99799999999</v>
      </c>
      <c r="N12" s="10">
        <v>0</v>
      </c>
      <c r="O12" s="10">
        <v>137611</v>
      </c>
      <c r="P12" s="10">
        <v>838342.96</v>
      </c>
      <c r="Q12" s="10">
        <v>130122.719</v>
      </c>
      <c r="R12" s="10">
        <v>184.42594500000001</v>
      </c>
      <c r="S12" s="10">
        <v>48842.803542000001</v>
      </c>
      <c r="T12" s="10">
        <v>1141514.2413999999</v>
      </c>
      <c r="U12" s="10">
        <v>429.6</v>
      </c>
      <c r="V12" s="10">
        <v>1059138.0469999998</v>
      </c>
      <c r="W12" s="10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</row>
    <row r="13" spans="1:48" x14ac:dyDescent="0.25">
      <c r="A13" s="20">
        <v>42278</v>
      </c>
      <c r="B13" s="16">
        <v>2015</v>
      </c>
      <c r="C13" s="10">
        <v>199680</v>
      </c>
      <c r="D13" s="10">
        <v>104648</v>
      </c>
      <c r="E13" s="10">
        <v>59</v>
      </c>
      <c r="F13" s="10">
        <f t="shared" si="0"/>
        <v>104707</v>
      </c>
      <c r="G13" s="10">
        <v>103300</v>
      </c>
      <c r="H13" s="10">
        <v>4.0000000000000001E-3</v>
      </c>
      <c r="I13" s="10">
        <v>117232</v>
      </c>
      <c r="J13" s="10">
        <v>19805</v>
      </c>
      <c r="K13" s="10">
        <v>0</v>
      </c>
      <c r="L13" s="10">
        <v>146078.59889999998</v>
      </c>
      <c r="M13" s="10">
        <f t="shared" si="1"/>
        <v>146078.59889999998</v>
      </c>
      <c r="N13" s="10">
        <v>0</v>
      </c>
      <c r="O13" s="10">
        <v>133812</v>
      </c>
      <c r="P13" s="10">
        <v>899035.90299999982</v>
      </c>
      <c r="Q13" s="10">
        <v>218370</v>
      </c>
      <c r="R13" s="10">
        <v>156.87</v>
      </c>
      <c r="S13" s="10">
        <v>47874.445670000001</v>
      </c>
      <c r="T13" s="10">
        <v>1176516.7580000001</v>
      </c>
      <c r="U13" s="10">
        <v>0</v>
      </c>
      <c r="V13" s="10">
        <v>1026274.1770000001</v>
      </c>
      <c r="W13" s="10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</row>
    <row r="14" spans="1:48" x14ac:dyDescent="0.25">
      <c r="A14" s="20">
        <v>42309</v>
      </c>
      <c r="B14" s="16">
        <v>2015</v>
      </c>
      <c r="C14" s="10">
        <v>182761</v>
      </c>
      <c r="D14" s="10">
        <v>87073</v>
      </c>
      <c r="E14" s="10">
        <v>30</v>
      </c>
      <c r="F14" s="10">
        <f t="shared" si="0"/>
        <v>87103</v>
      </c>
      <c r="G14" s="10">
        <v>126646</v>
      </c>
      <c r="H14" s="10">
        <v>0</v>
      </c>
      <c r="I14" s="10">
        <v>107366</v>
      </c>
      <c r="J14" s="10">
        <v>5403</v>
      </c>
      <c r="K14" s="10">
        <v>0</v>
      </c>
      <c r="L14" s="10">
        <v>143690</v>
      </c>
      <c r="M14" s="10">
        <f t="shared" si="1"/>
        <v>143690</v>
      </c>
      <c r="N14" s="10">
        <v>0</v>
      </c>
      <c r="O14" s="10">
        <v>141489.21000000002</v>
      </c>
      <c r="P14" s="10">
        <v>818450.68599999987</v>
      </c>
      <c r="Q14" s="10">
        <v>121037.247</v>
      </c>
      <c r="R14" s="10">
        <v>192.80250000000001</v>
      </c>
      <c r="S14" s="10">
        <v>39037.590254999996</v>
      </c>
      <c r="T14" s="10">
        <v>1143267.6188999997</v>
      </c>
      <c r="U14" s="10">
        <v>276.54000000000002</v>
      </c>
      <c r="V14" s="10">
        <v>1072843.03</v>
      </c>
      <c r="W14" s="10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</row>
    <row r="15" spans="1:48" x14ac:dyDescent="0.25">
      <c r="A15" s="20">
        <v>42339</v>
      </c>
      <c r="B15" s="16">
        <v>2015</v>
      </c>
      <c r="C15" s="10">
        <v>79804</v>
      </c>
      <c r="D15" s="10">
        <v>10863</v>
      </c>
      <c r="E15" s="10">
        <v>923</v>
      </c>
      <c r="F15" s="10">
        <f t="shared" si="0"/>
        <v>11786</v>
      </c>
      <c r="G15" s="10">
        <v>61325</v>
      </c>
      <c r="H15" s="10">
        <v>0</v>
      </c>
      <c r="I15" s="10">
        <v>116825</v>
      </c>
      <c r="J15" s="10">
        <v>16747</v>
      </c>
      <c r="K15" s="10">
        <v>0</v>
      </c>
      <c r="L15" s="10">
        <v>149313</v>
      </c>
      <c r="M15" s="10">
        <f t="shared" si="1"/>
        <v>149313</v>
      </c>
      <c r="N15" s="10">
        <v>0</v>
      </c>
      <c r="O15" s="10">
        <v>136781.46000000002</v>
      </c>
      <c r="P15" s="10">
        <v>828235.53299999994</v>
      </c>
      <c r="Q15" s="10">
        <v>201152.20600000001</v>
      </c>
      <c r="R15" s="10">
        <v>141.352</v>
      </c>
      <c r="S15" s="10">
        <v>52987.707840300005</v>
      </c>
      <c r="T15" s="10">
        <v>1172238.5321000004</v>
      </c>
      <c r="U15" s="10">
        <v>528.33000000000004</v>
      </c>
      <c r="V15" s="10">
        <v>1027216.7228000001</v>
      </c>
      <c r="W15" s="10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</row>
    <row r="16" spans="1:48" x14ac:dyDescent="0.25">
      <c r="A16" s="20">
        <v>42370</v>
      </c>
      <c r="B16" s="16">
        <v>2016</v>
      </c>
      <c r="C16" s="10">
        <v>102682</v>
      </c>
      <c r="D16" s="10">
        <v>38739</v>
      </c>
      <c r="E16" s="10">
        <v>182</v>
      </c>
      <c r="F16" s="10">
        <f t="shared" si="0"/>
        <v>38921</v>
      </c>
      <c r="G16" s="10">
        <v>64800</v>
      </c>
      <c r="H16" s="10">
        <v>0</v>
      </c>
      <c r="I16" s="10">
        <v>124606</v>
      </c>
      <c r="J16" s="10">
        <v>0</v>
      </c>
      <c r="K16" s="10">
        <v>0</v>
      </c>
      <c r="L16" s="10">
        <v>149225</v>
      </c>
      <c r="M16" s="10">
        <f t="shared" si="1"/>
        <v>149225</v>
      </c>
      <c r="N16" s="10">
        <v>0</v>
      </c>
      <c r="O16" s="10">
        <v>137492.03</v>
      </c>
      <c r="P16" s="10">
        <v>790320.70649999997</v>
      </c>
      <c r="Q16" s="10">
        <v>184645.011</v>
      </c>
      <c r="R16" s="10">
        <v>100.55449999999999</v>
      </c>
      <c r="S16" s="10">
        <v>44066.365583500003</v>
      </c>
      <c r="T16" s="10">
        <v>1068605.5066</v>
      </c>
      <c r="U16" s="10">
        <v>0</v>
      </c>
      <c r="V16" s="10">
        <v>1021195.9556999999</v>
      </c>
      <c r="W16" s="10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</row>
    <row r="17" spans="1:48" x14ac:dyDescent="0.25">
      <c r="A17" s="20">
        <v>42401</v>
      </c>
      <c r="B17" s="16">
        <v>2016</v>
      </c>
      <c r="C17" s="10">
        <v>151101</v>
      </c>
      <c r="D17" s="10">
        <v>72290</v>
      </c>
      <c r="E17" s="10">
        <v>2084</v>
      </c>
      <c r="F17" s="10">
        <f t="shared" si="0"/>
        <v>74374</v>
      </c>
      <c r="G17" s="10">
        <v>22400</v>
      </c>
      <c r="H17" s="10">
        <v>0</v>
      </c>
      <c r="I17" s="10">
        <v>121192</v>
      </c>
      <c r="J17" s="10">
        <v>0</v>
      </c>
      <c r="K17" s="10">
        <v>0</v>
      </c>
      <c r="L17" s="10">
        <v>138418</v>
      </c>
      <c r="M17" s="10">
        <f t="shared" si="1"/>
        <v>138418</v>
      </c>
      <c r="N17" s="10">
        <v>0</v>
      </c>
      <c r="O17" s="10">
        <v>145372.77000000002</v>
      </c>
      <c r="P17" s="10">
        <v>788793.04499999993</v>
      </c>
      <c r="Q17" s="10">
        <v>121200.70299999999</v>
      </c>
      <c r="R17" s="10">
        <v>82.421999999999997</v>
      </c>
      <c r="S17" s="10">
        <v>43861.0842576</v>
      </c>
      <c r="T17" s="10">
        <v>1017511.3163000001</v>
      </c>
      <c r="U17" s="10">
        <v>449.99</v>
      </c>
      <c r="V17" s="10">
        <v>1044418.4342</v>
      </c>
      <c r="W17" s="10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</row>
    <row r="18" spans="1:48" x14ac:dyDescent="0.25">
      <c r="A18" s="20">
        <v>42430</v>
      </c>
      <c r="B18" s="16">
        <v>2016</v>
      </c>
      <c r="C18" s="10">
        <v>146050</v>
      </c>
      <c r="D18" s="10">
        <v>87959</v>
      </c>
      <c r="E18" s="10">
        <v>29</v>
      </c>
      <c r="F18" s="10">
        <f t="shared" si="0"/>
        <v>87988</v>
      </c>
      <c r="G18" s="10">
        <v>98280</v>
      </c>
      <c r="H18" s="10">
        <v>0</v>
      </c>
      <c r="I18" s="10">
        <v>100428</v>
      </c>
      <c r="J18" s="10">
        <v>0</v>
      </c>
      <c r="K18" s="10">
        <v>1000.0129999999999</v>
      </c>
      <c r="L18" s="10">
        <v>144373</v>
      </c>
      <c r="M18" s="10">
        <f t="shared" si="1"/>
        <v>145373.01300000001</v>
      </c>
      <c r="N18" s="10">
        <v>0</v>
      </c>
      <c r="O18" s="10">
        <v>122569.43</v>
      </c>
      <c r="P18" s="10">
        <v>862901.576</v>
      </c>
      <c r="Q18" s="10">
        <v>175448.19900000002</v>
      </c>
      <c r="R18" s="10">
        <v>123.98099999999999</v>
      </c>
      <c r="S18" s="10">
        <v>51118.229062999999</v>
      </c>
      <c r="T18" s="10">
        <v>1145758.1407999999</v>
      </c>
      <c r="U18" s="10">
        <v>0</v>
      </c>
      <c r="V18" s="10">
        <v>1069585.7448</v>
      </c>
      <c r="W18" s="10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</row>
    <row r="19" spans="1:48" x14ac:dyDescent="0.25">
      <c r="A19" s="20">
        <v>42461</v>
      </c>
      <c r="B19" s="16">
        <v>2016</v>
      </c>
      <c r="C19" s="10">
        <v>191408</v>
      </c>
      <c r="D19" s="10">
        <v>92920</v>
      </c>
      <c r="E19" s="10">
        <v>16</v>
      </c>
      <c r="F19" s="10">
        <f t="shared" si="0"/>
        <v>92936</v>
      </c>
      <c r="G19" s="10">
        <v>78465</v>
      </c>
      <c r="H19" s="10">
        <v>0</v>
      </c>
      <c r="I19" s="10">
        <v>96871</v>
      </c>
      <c r="J19" s="10">
        <v>34917</v>
      </c>
      <c r="K19" s="10">
        <v>71.662999999999997</v>
      </c>
      <c r="L19" s="10">
        <v>131251</v>
      </c>
      <c r="M19" s="10">
        <f t="shared" si="1"/>
        <v>131322.663</v>
      </c>
      <c r="N19" s="10">
        <v>0</v>
      </c>
      <c r="O19" s="10">
        <v>141502</v>
      </c>
      <c r="P19" s="10">
        <v>808478.8949999999</v>
      </c>
      <c r="Q19" s="10">
        <v>181320.935</v>
      </c>
      <c r="R19" s="10">
        <v>114.10355000000001</v>
      </c>
      <c r="S19" s="10">
        <v>42610.415370799994</v>
      </c>
      <c r="T19" s="10">
        <v>1121562.3632</v>
      </c>
      <c r="U19" s="10">
        <v>0</v>
      </c>
      <c r="V19" s="10">
        <v>1044935.2858</v>
      </c>
      <c r="W19" s="10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</row>
    <row r="20" spans="1:48" x14ac:dyDescent="0.25">
      <c r="A20" s="20">
        <v>42491</v>
      </c>
      <c r="B20" s="16">
        <v>2016</v>
      </c>
      <c r="C20" s="10">
        <v>251535</v>
      </c>
      <c r="D20" s="10">
        <v>89766</v>
      </c>
      <c r="E20" s="10">
        <v>201</v>
      </c>
      <c r="F20" s="10">
        <f t="shared" si="0"/>
        <v>89967</v>
      </c>
      <c r="G20" s="10">
        <v>151500</v>
      </c>
      <c r="H20" s="10">
        <v>0</v>
      </c>
      <c r="I20" s="10">
        <v>89714</v>
      </c>
      <c r="J20" s="10">
        <v>29990</v>
      </c>
      <c r="K20" s="10">
        <v>0</v>
      </c>
      <c r="L20" s="10">
        <v>130049</v>
      </c>
      <c r="M20" s="10">
        <f t="shared" si="1"/>
        <v>130049</v>
      </c>
      <c r="N20" s="10">
        <v>0</v>
      </c>
      <c r="O20" s="10">
        <v>156683.85999999999</v>
      </c>
      <c r="P20" s="10">
        <v>835406.34500000009</v>
      </c>
      <c r="Q20" s="10">
        <v>179628.28100000002</v>
      </c>
      <c r="R20" s="10">
        <v>209.7603</v>
      </c>
      <c r="S20" s="10">
        <v>53799.075000000004</v>
      </c>
      <c r="T20" s="10">
        <v>1263050.9846999999</v>
      </c>
      <c r="U20" s="10">
        <v>0</v>
      </c>
      <c r="V20" s="10">
        <v>985987.01760000002</v>
      </c>
      <c r="W20" s="10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</row>
    <row r="21" spans="1:48" x14ac:dyDescent="0.25">
      <c r="A21" s="20">
        <v>42522</v>
      </c>
      <c r="B21" s="16">
        <v>2016</v>
      </c>
      <c r="C21" s="10">
        <v>261774</v>
      </c>
      <c r="D21" s="10">
        <v>91174</v>
      </c>
      <c r="E21" s="10">
        <v>140</v>
      </c>
      <c r="F21" s="10">
        <f t="shared" si="0"/>
        <v>91314</v>
      </c>
      <c r="G21" s="10">
        <v>174250</v>
      </c>
      <c r="H21" s="10">
        <v>0</v>
      </c>
      <c r="I21" s="10">
        <v>78478</v>
      </c>
      <c r="J21" s="10">
        <v>37250</v>
      </c>
      <c r="K21" s="10">
        <v>0</v>
      </c>
      <c r="L21" s="10">
        <v>126104</v>
      </c>
      <c r="M21" s="10">
        <f t="shared" si="1"/>
        <v>126104</v>
      </c>
      <c r="N21" s="10">
        <v>0</v>
      </c>
      <c r="O21" s="10">
        <v>148267</v>
      </c>
      <c r="P21" s="10">
        <v>894217.42400000012</v>
      </c>
      <c r="Q21" s="10">
        <v>283540.06699999998</v>
      </c>
      <c r="R21" s="10">
        <v>230.20699999999999</v>
      </c>
      <c r="S21" s="10">
        <v>52536.67</v>
      </c>
      <c r="T21" s="10">
        <v>1261264.8001999999</v>
      </c>
      <c r="U21" s="10">
        <v>0</v>
      </c>
      <c r="V21" s="10">
        <v>928690.48700000008</v>
      </c>
      <c r="W21" s="10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</row>
    <row r="22" spans="1:48" x14ac:dyDescent="0.25">
      <c r="A22" s="20">
        <v>42552</v>
      </c>
      <c r="B22" s="16">
        <v>2016</v>
      </c>
      <c r="C22" s="10">
        <v>248648</v>
      </c>
      <c r="D22" s="10">
        <v>84571</v>
      </c>
      <c r="E22" s="10">
        <v>0</v>
      </c>
      <c r="F22" s="10">
        <f t="shared" si="0"/>
        <v>84571</v>
      </c>
      <c r="G22" s="10">
        <v>160140</v>
      </c>
      <c r="H22" s="10">
        <v>0</v>
      </c>
      <c r="I22" s="10">
        <v>79912</v>
      </c>
      <c r="J22" s="10">
        <v>36872</v>
      </c>
      <c r="K22" s="10">
        <v>0</v>
      </c>
      <c r="L22" s="10">
        <v>145173</v>
      </c>
      <c r="M22" s="10">
        <f t="shared" si="1"/>
        <v>145173</v>
      </c>
      <c r="N22" s="10">
        <v>0</v>
      </c>
      <c r="O22" s="10">
        <v>135619</v>
      </c>
      <c r="P22" s="10">
        <v>858843.07780000009</v>
      </c>
      <c r="Q22" s="10">
        <v>324917.15399999998</v>
      </c>
      <c r="R22" s="10">
        <v>169.55820000000003</v>
      </c>
      <c r="S22" s="10">
        <v>50378.306000000004</v>
      </c>
      <c r="T22" s="10">
        <v>1142566.1084999996</v>
      </c>
      <c r="U22" s="10">
        <v>0</v>
      </c>
      <c r="V22" s="10">
        <v>1086613.6853999998</v>
      </c>
      <c r="W22" s="10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</row>
    <row r="23" spans="1:48" x14ac:dyDescent="0.25">
      <c r="A23" s="20">
        <v>42583</v>
      </c>
      <c r="B23" s="16">
        <v>2016</v>
      </c>
      <c r="C23" s="10">
        <v>285386</v>
      </c>
      <c r="D23" s="10">
        <v>90271</v>
      </c>
      <c r="E23" s="10">
        <v>0</v>
      </c>
      <c r="F23" s="10">
        <f t="shared" si="0"/>
        <v>90271</v>
      </c>
      <c r="G23" s="10">
        <v>179878</v>
      </c>
      <c r="H23" s="10">
        <v>0</v>
      </c>
      <c r="I23" s="10">
        <v>105785</v>
      </c>
      <c r="J23" s="10">
        <v>12431</v>
      </c>
      <c r="K23" s="10">
        <v>0</v>
      </c>
      <c r="L23" s="10">
        <v>147043</v>
      </c>
      <c r="M23" s="10">
        <f t="shared" si="1"/>
        <v>147043</v>
      </c>
      <c r="N23" s="10">
        <v>0</v>
      </c>
      <c r="O23" s="10">
        <v>115870</v>
      </c>
      <c r="P23" s="10">
        <v>808710.51899999985</v>
      </c>
      <c r="Q23" s="10">
        <v>240040.51300000001</v>
      </c>
      <c r="R23" s="10">
        <v>126.43790000000001</v>
      </c>
      <c r="S23" s="10">
        <v>57946.618900000001</v>
      </c>
      <c r="T23" s="10">
        <v>1182312.4678999998</v>
      </c>
      <c r="U23" s="10">
        <v>0</v>
      </c>
      <c r="V23" s="10">
        <v>1051382.3677999999</v>
      </c>
      <c r="W23" s="1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</row>
    <row r="24" spans="1:48" x14ac:dyDescent="0.25">
      <c r="A24" s="20">
        <v>42614</v>
      </c>
      <c r="B24" s="16">
        <v>2016</v>
      </c>
      <c r="C24" s="10">
        <v>292540</v>
      </c>
      <c r="D24" s="10">
        <v>98653</v>
      </c>
      <c r="E24" s="10">
        <v>30</v>
      </c>
      <c r="F24" s="10">
        <f t="shared" si="0"/>
        <v>98683</v>
      </c>
      <c r="G24" s="10">
        <v>167242</v>
      </c>
      <c r="H24" s="10">
        <v>0</v>
      </c>
      <c r="I24" s="10">
        <v>128093</v>
      </c>
      <c r="J24" s="10">
        <v>0</v>
      </c>
      <c r="K24" s="10">
        <v>0</v>
      </c>
      <c r="L24" s="10">
        <v>143422</v>
      </c>
      <c r="M24" s="10">
        <f t="shared" si="1"/>
        <v>143422</v>
      </c>
      <c r="N24" s="10">
        <v>0</v>
      </c>
      <c r="O24" s="10">
        <v>141992</v>
      </c>
      <c r="P24" s="10">
        <v>823283.44100000011</v>
      </c>
      <c r="Q24" s="10">
        <v>137432.20000000001</v>
      </c>
      <c r="R24" s="10">
        <v>139.80025000000001</v>
      </c>
      <c r="S24" s="10">
        <v>70036.5337</v>
      </c>
      <c r="T24" s="10">
        <v>1078574.574</v>
      </c>
      <c r="U24" s="10">
        <v>0</v>
      </c>
      <c r="V24" s="10">
        <v>1057218.9160000002</v>
      </c>
      <c r="W24" s="10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</row>
    <row r="25" spans="1:48" x14ac:dyDescent="0.25">
      <c r="A25" s="20">
        <v>42644</v>
      </c>
      <c r="B25" s="16">
        <v>2016</v>
      </c>
      <c r="C25" s="10">
        <v>294168.09999999998</v>
      </c>
      <c r="D25" s="10">
        <v>98070.37</v>
      </c>
      <c r="E25" s="10">
        <v>0</v>
      </c>
      <c r="F25" s="10">
        <f t="shared" si="0"/>
        <v>98070.37</v>
      </c>
      <c r="G25" s="10">
        <v>252797.09</v>
      </c>
      <c r="H25" s="10">
        <v>0</v>
      </c>
      <c r="I25" s="10">
        <v>122461</v>
      </c>
      <c r="J25" s="10">
        <v>0</v>
      </c>
      <c r="K25" s="10">
        <v>0</v>
      </c>
      <c r="L25" s="10">
        <v>154187</v>
      </c>
      <c r="M25" s="10">
        <f t="shared" si="1"/>
        <v>154187</v>
      </c>
      <c r="N25" s="10">
        <v>0</v>
      </c>
      <c r="O25" s="10">
        <v>136732</v>
      </c>
      <c r="P25" s="10">
        <v>876082.75199999998</v>
      </c>
      <c r="Q25" s="10">
        <v>127705.19899999999</v>
      </c>
      <c r="R25" s="10">
        <v>409.66249999999991</v>
      </c>
      <c r="S25" s="10">
        <v>59750.39699999999</v>
      </c>
      <c r="T25" s="10">
        <v>1085332.3425</v>
      </c>
      <c r="U25" s="10">
        <v>0</v>
      </c>
      <c r="V25" s="10">
        <v>1087172.6336000003</v>
      </c>
      <c r="W25" s="10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</row>
    <row r="26" spans="1:48" x14ac:dyDescent="0.25">
      <c r="A26" s="20">
        <v>42675</v>
      </c>
      <c r="B26" s="16">
        <v>2016</v>
      </c>
      <c r="C26" s="10">
        <v>280907.8</v>
      </c>
      <c r="D26" s="10">
        <v>87837.92</v>
      </c>
      <c r="E26" s="10">
        <v>115</v>
      </c>
      <c r="F26" s="10">
        <f t="shared" si="0"/>
        <v>87952.92</v>
      </c>
      <c r="G26" s="10">
        <v>185805.6</v>
      </c>
      <c r="H26" s="10">
        <v>0</v>
      </c>
      <c r="I26" s="10">
        <v>124524</v>
      </c>
      <c r="J26" s="10">
        <v>0</v>
      </c>
      <c r="K26" s="10">
        <v>0</v>
      </c>
      <c r="L26" s="10">
        <v>150736</v>
      </c>
      <c r="M26" s="10">
        <f t="shared" si="1"/>
        <v>150736</v>
      </c>
      <c r="N26" s="10">
        <v>2158</v>
      </c>
      <c r="O26" s="10">
        <v>135883</v>
      </c>
      <c r="P26" s="10">
        <v>853920.85899999994</v>
      </c>
      <c r="Q26" s="10">
        <v>158841.69900000002</v>
      </c>
      <c r="R26" s="10">
        <v>664.63660000000004</v>
      </c>
      <c r="S26" s="10">
        <v>70263.627000000008</v>
      </c>
      <c r="T26" s="10">
        <v>1133689.1975999996</v>
      </c>
      <c r="U26" s="10">
        <v>102</v>
      </c>
      <c r="V26" s="10">
        <v>1100070.6440000001</v>
      </c>
      <c r="W26" s="10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</row>
    <row r="27" spans="1:48" x14ac:dyDescent="0.25">
      <c r="A27" s="20">
        <v>42705</v>
      </c>
      <c r="B27" s="16">
        <v>2016</v>
      </c>
      <c r="C27" s="10">
        <v>153075.54999999999</v>
      </c>
      <c r="D27" s="10">
        <v>101078.33</v>
      </c>
      <c r="E27" s="10">
        <v>270.75</v>
      </c>
      <c r="F27" s="10">
        <f t="shared" si="0"/>
        <v>101349.08</v>
      </c>
      <c r="G27" s="10">
        <v>90706</v>
      </c>
      <c r="H27" s="10">
        <v>7</v>
      </c>
      <c r="I27" s="10">
        <v>125991</v>
      </c>
      <c r="J27" s="10">
        <v>0</v>
      </c>
      <c r="K27" s="10">
        <v>0</v>
      </c>
      <c r="L27" s="10">
        <v>158901</v>
      </c>
      <c r="M27" s="10">
        <f t="shared" si="1"/>
        <v>158901</v>
      </c>
      <c r="N27" s="10">
        <v>0</v>
      </c>
      <c r="O27" s="10">
        <v>129378</v>
      </c>
      <c r="P27" s="10">
        <v>911797.99700000009</v>
      </c>
      <c r="Q27" s="10">
        <v>75778.447</v>
      </c>
      <c r="R27" s="10">
        <v>513.89499999999998</v>
      </c>
      <c r="S27" s="10">
        <v>67206.231</v>
      </c>
      <c r="T27" s="10">
        <v>1174699.2657999997</v>
      </c>
      <c r="U27" s="10">
        <v>5315</v>
      </c>
      <c r="V27" s="10">
        <v>1037139.4586000001</v>
      </c>
      <c r="W27" s="10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</row>
    <row r="28" spans="1:48" x14ac:dyDescent="0.25">
      <c r="A28" s="20">
        <v>42736</v>
      </c>
      <c r="B28" s="16">
        <v>2017</v>
      </c>
      <c r="C28" s="10">
        <v>189763.36999999997</v>
      </c>
      <c r="D28" s="10">
        <v>100122.05</v>
      </c>
      <c r="E28" s="10">
        <v>16.61</v>
      </c>
      <c r="F28" s="10">
        <f t="shared" si="0"/>
        <v>100138.66</v>
      </c>
      <c r="G28" s="10">
        <v>68350</v>
      </c>
      <c r="H28" s="10">
        <v>0</v>
      </c>
      <c r="I28" s="10">
        <v>126917</v>
      </c>
      <c r="J28" s="10">
        <v>0</v>
      </c>
      <c r="K28" s="10">
        <v>0</v>
      </c>
      <c r="L28" s="10">
        <v>165325</v>
      </c>
      <c r="M28" s="10">
        <f t="shared" si="1"/>
        <v>165325</v>
      </c>
      <c r="N28" s="10">
        <v>0</v>
      </c>
      <c r="O28" s="10">
        <v>117941</v>
      </c>
      <c r="P28" s="10">
        <v>867111.87499999988</v>
      </c>
      <c r="Q28" s="10">
        <v>113504.946</v>
      </c>
      <c r="R28" s="10">
        <v>469.08100000000002</v>
      </c>
      <c r="S28" s="10">
        <v>30643.099000000002</v>
      </c>
      <c r="T28" s="10">
        <v>1055319.0360999997</v>
      </c>
      <c r="U28" s="10">
        <v>285</v>
      </c>
      <c r="V28" s="10">
        <v>1099967.7941999999</v>
      </c>
      <c r="W28" s="10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</row>
    <row r="29" spans="1:48" x14ac:dyDescent="0.25">
      <c r="A29" s="20">
        <v>42767</v>
      </c>
      <c r="B29" s="16">
        <v>2017</v>
      </c>
      <c r="C29" s="10">
        <v>162199.72000000003</v>
      </c>
      <c r="D29" s="10">
        <v>89024.43</v>
      </c>
      <c r="E29" s="10">
        <v>29.22</v>
      </c>
      <c r="F29" s="10">
        <f t="shared" si="0"/>
        <v>89053.65</v>
      </c>
      <c r="G29" s="10">
        <v>69400</v>
      </c>
      <c r="H29" s="10">
        <v>0</v>
      </c>
      <c r="I29" s="10">
        <v>115164</v>
      </c>
      <c r="J29" s="10">
        <v>0</v>
      </c>
      <c r="K29" s="10">
        <v>0</v>
      </c>
      <c r="L29" s="10">
        <v>146092</v>
      </c>
      <c r="M29" s="10">
        <f t="shared" si="1"/>
        <v>146092</v>
      </c>
      <c r="N29" s="10">
        <v>0</v>
      </c>
      <c r="O29" s="10">
        <v>108960</v>
      </c>
      <c r="P29" s="10">
        <v>731177.28600000008</v>
      </c>
      <c r="Q29" s="10">
        <v>143917.58900000001</v>
      </c>
      <c r="R29" s="10">
        <v>506.41300000000001</v>
      </c>
      <c r="S29" s="10">
        <v>19821.744299999998</v>
      </c>
      <c r="T29" s="10">
        <v>952188.79230000032</v>
      </c>
      <c r="U29" s="10">
        <v>0</v>
      </c>
      <c r="V29" s="10">
        <v>1132312.9726</v>
      </c>
      <c r="W29" s="10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</row>
    <row r="30" spans="1:48" x14ac:dyDescent="0.25">
      <c r="A30" s="20">
        <v>42795</v>
      </c>
      <c r="B30" s="16">
        <v>2017</v>
      </c>
      <c r="C30" s="10">
        <v>172221.30000000005</v>
      </c>
      <c r="D30" s="10">
        <v>84028.439999999988</v>
      </c>
      <c r="E30" s="10">
        <v>19.29</v>
      </c>
      <c r="F30" s="10">
        <f t="shared" si="0"/>
        <v>84047.729999999981</v>
      </c>
      <c r="G30" s="10">
        <v>43000</v>
      </c>
      <c r="H30" s="10">
        <v>0</v>
      </c>
      <c r="I30" s="10">
        <v>130616</v>
      </c>
      <c r="J30" s="10">
        <v>0</v>
      </c>
      <c r="K30" s="10">
        <v>0</v>
      </c>
      <c r="L30" s="10">
        <v>159425</v>
      </c>
      <c r="M30" s="10">
        <f t="shared" si="1"/>
        <v>159425</v>
      </c>
      <c r="N30" s="10">
        <v>0</v>
      </c>
      <c r="O30" s="10">
        <v>112990</v>
      </c>
      <c r="P30" s="10">
        <v>801941.58499999996</v>
      </c>
      <c r="Q30" s="10">
        <v>204829.52100000001</v>
      </c>
      <c r="R30" s="10">
        <v>539.63199999999995</v>
      </c>
      <c r="S30" s="10">
        <v>45975.157000000007</v>
      </c>
      <c r="T30" s="10">
        <v>1152341.0751</v>
      </c>
      <c r="U30" s="10">
        <v>0</v>
      </c>
      <c r="V30" s="10">
        <v>1080650.6971999998</v>
      </c>
      <c r="W30" s="10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</row>
    <row r="31" spans="1:48" x14ac:dyDescent="0.25">
      <c r="A31" s="20">
        <v>42826</v>
      </c>
      <c r="B31" s="16">
        <v>2017</v>
      </c>
      <c r="C31" s="10">
        <v>249430.87</v>
      </c>
      <c r="D31" s="10">
        <v>91804.770000000019</v>
      </c>
      <c r="E31" s="10">
        <v>28.42</v>
      </c>
      <c r="F31" s="10">
        <f t="shared" si="0"/>
        <v>91833.190000000017</v>
      </c>
      <c r="G31" s="10">
        <v>167600</v>
      </c>
      <c r="H31" s="10">
        <v>0</v>
      </c>
      <c r="I31" s="10">
        <v>115086</v>
      </c>
      <c r="J31" s="10">
        <v>4977</v>
      </c>
      <c r="K31" s="10">
        <v>265</v>
      </c>
      <c r="L31" s="10">
        <v>139266</v>
      </c>
      <c r="M31" s="10">
        <f t="shared" si="1"/>
        <v>139531</v>
      </c>
      <c r="N31" s="10">
        <v>0</v>
      </c>
      <c r="O31" s="10">
        <v>145047</v>
      </c>
      <c r="P31" s="10">
        <v>788597.94100000011</v>
      </c>
      <c r="Q31" s="10">
        <v>138036.891</v>
      </c>
      <c r="R31" s="10">
        <v>641.71710000000007</v>
      </c>
      <c r="S31" s="10">
        <v>47263.376000000004</v>
      </c>
      <c r="T31" s="10">
        <v>1060929.2794999995</v>
      </c>
      <c r="U31" s="10">
        <v>0</v>
      </c>
      <c r="V31" s="10">
        <v>1056618.0422000003</v>
      </c>
      <c r="W31" s="10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</row>
    <row r="32" spans="1:48" x14ac:dyDescent="0.25">
      <c r="A32" s="20">
        <v>42856</v>
      </c>
      <c r="B32" s="16">
        <v>2017</v>
      </c>
      <c r="C32" s="10">
        <v>296823.87999999995</v>
      </c>
      <c r="D32" s="10">
        <v>94494.43</v>
      </c>
      <c r="E32" s="10">
        <v>0</v>
      </c>
      <c r="F32" s="10">
        <f t="shared" si="0"/>
        <v>94494.43</v>
      </c>
      <c r="G32" s="10">
        <v>223953.44</v>
      </c>
      <c r="H32" s="10">
        <v>0</v>
      </c>
      <c r="I32" s="10">
        <v>100188</v>
      </c>
      <c r="J32" s="10">
        <v>17975</v>
      </c>
      <c r="K32" s="10">
        <v>1622</v>
      </c>
      <c r="L32" s="10">
        <v>144924</v>
      </c>
      <c r="M32" s="10">
        <f t="shared" si="1"/>
        <v>146546</v>
      </c>
      <c r="N32" s="10">
        <v>0</v>
      </c>
      <c r="O32" s="10">
        <v>138512</v>
      </c>
      <c r="P32" s="10">
        <v>855222.76800000004</v>
      </c>
      <c r="Q32" s="10">
        <v>258974.08899999998</v>
      </c>
      <c r="R32" s="10">
        <v>586.56600000000003</v>
      </c>
      <c r="S32" s="10">
        <v>44135.816000000006</v>
      </c>
      <c r="T32" s="10">
        <v>1192156.5673</v>
      </c>
      <c r="U32" s="10">
        <v>0</v>
      </c>
      <c r="V32" s="10">
        <v>1171972.29</v>
      </c>
      <c r="W32" s="10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</row>
    <row r="33" spans="1:48" x14ac:dyDescent="0.25">
      <c r="A33" s="20">
        <v>42887</v>
      </c>
      <c r="B33" s="16">
        <v>2017</v>
      </c>
      <c r="C33" s="10">
        <v>282713.99999999994</v>
      </c>
      <c r="D33" s="10">
        <v>104724.24</v>
      </c>
      <c r="E33" s="10">
        <v>0</v>
      </c>
      <c r="F33" s="10">
        <f t="shared" si="0"/>
        <v>104724.24</v>
      </c>
      <c r="G33" s="10">
        <v>169182</v>
      </c>
      <c r="H33" s="10">
        <v>0</v>
      </c>
      <c r="I33" s="10">
        <v>116282</v>
      </c>
      <c r="J33" s="10">
        <v>12482</v>
      </c>
      <c r="K33" s="10">
        <v>0</v>
      </c>
      <c r="L33" s="10">
        <v>139271</v>
      </c>
      <c r="M33" s="10">
        <f t="shared" si="1"/>
        <v>139271</v>
      </c>
      <c r="N33" s="10">
        <v>0</v>
      </c>
      <c r="O33" s="10">
        <v>152269</v>
      </c>
      <c r="P33" s="10">
        <v>835322.22799999989</v>
      </c>
      <c r="Q33" s="10">
        <v>206520.47700000001</v>
      </c>
      <c r="R33" s="10">
        <v>560.45000000000016</v>
      </c>
      <c r="S33" s="10">
        <v>41193.202000000005</v>
      </c>
      <c r="T33" s="10">
        <v>1172581.4598999999</v>
      </c>
      <c r="U33" s="10">
        <v>0</v>
      </c>
      <c r="V33" s="10">
        <v>1125602.8420000002</v>
      </c>
      <c r="W33" s="10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</row>
    <row r="34" spans="1:48" x14ac:dyDescent="0.25">
      <c r="A34" s="20">
        <v>42917</v>
      </c>
      <c r="B34" s="16">
        <v>2017</v>
      </c>
      <c r="C34" s="10">
        <v>272984.60000000003</v>
      </c>
      <c r="D34" s="10">
        <v>96979.28</v>
      </c>
      <c r="E34" s="10">
        <v>0</v>
      </c>
      <c r="F34" s="10">
        <f t="shared" si="0"/>
        <v>96979.28</v>
      </c>
      <c r="G34" s="10">
        <v>205860</v>
      </c>
      <c r="H34" s="10">
        <v>0</v>
      </c>
      <c r="I34" s="10">
        <v>111013</v>
      </c>
      <c r="J34" s="10">
        <v>9341</v>
      </c>
      <c r="K34" s="10">
        <v>0</v>
      </c>
      <c r="L34" s="10">
        <v>159555</v>
      </c>
      <c r="M34" s="10">
        <f t="shared" si="1"/>
        <v>159555</v>
      </c>
      <c r="N34" s="10">
        <v>1477</v>
      </c>
      <c r="O34" s="10">
        <v>131968</v>
      </c>
      <c r="P34" s="10">
        <v>811971.47100000002</v>
      </c>
      <c r="Q34" s="10">
        <v>168731.946</v>
      </c>
      <c r="R34" s="10">
        <v>570.47750000000008</v>
      </c>
      <c r="S34" s="10">
        <v>50299.320999999996</v>
      </c>
      <c r="T34" s="10">
        <v>1153593.5685000001</v>
      </c>
      <c r="U34" s="10">
        <v>3745</v>
      </c>
      <c r="V34" s="10">
        <v>1044436.3357999999</v>
      </c>
      <c r="W34" s="10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</row>
    <row r="35" spans="1:48" x14ac:dyDescent="0.25">
      <c r="A35" s="20">
        <v>42948</v>
      </c>
      <c r="B35" s="16">
        <v>2017</v>
      </c>
      <c r="C35" s="10">
        <v>169883.49000000005</v>
      </c>
      <c r="D35" s="10">
        <v>102130.66000000002</v>
      </c>
      <c r="E35" s="10">
        <v>27.32</v>
      </c>
      <c r="F35" s="10">
        <f t="shared" si="0"/>
        <v>102157.98000000003</v>
      </c>
      <c r="G35" s="10">
        <v>104982.84</v>
      </c>
      <c r="H35" s="10">
        <v>0</v>
      </c>
      <c r="I35" s="10">
        <v>129332</v>
      </c>
      <c r="J35" s="10">
        <v>5475</v>
      </c>
      <c r="K35" s="10">
        <v>0</v>
      </c>
      <c r="L35" s="10">
        <v>159197</v>
      </c>
      <c r="M35" s="10">
        <f t="shared" si="1"/>
        <v>159197</v>
      </c>
      <c r="N35" s="10">
        <v>1489</v>
      </c>
      <c r="O35" s="10">
        <v>130051</v>
      </c>
      <c r="P35" s="10">
        <v>875773.42400000012</v>
      </c>
      <c r="Q35" s="10">
        <v>146090.06900000002</v>
      </c>
      <c r="R35" s="10">
        <v>415.40539999999999</v>
      </c>
      <c r="S35" s="10">
        <v>47006.373999999996</v>
      </c>
      <c r="T35" s="10">
        <v>1190179.6003</v>
      </c>
      <c r="U35" s="10">
        <v>829</v>
      </c>
      <c r="V35" s="10">
        <v>998965.71199999994</v>
      </c>
      <c r="W35" s="10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</row>
    <row r="36" spans="1:48" x14ac:dyDescent="0.25">
      <c r="A36" s="20">
        <v>42979</v>
      </c>
      <c r="B36" s="16">
        <v>2017</v>
      </c>
      <c r="C36" s="10">
        <v>213971.21000000002</v>
      </c>
      <c r="D36" s="10">
        <v>94092.040000000008</v>
      </c>
      <c r="E36" s="10">
        <v>2.97</v>
      </c>
      <c r="F36" s="10">
        <f t="shared" si="0"/>
        <v>94095.010000000009</v>
      </c>
      <c r="G36" s="10">
        <v>42000</v>
      </c>
      <c r="H36" s="10">
        <v>0</v>
      </c>
      <c r="I36" s="10">
        <v>128535</v>
      </c>
      <c r="J36" s="10">
        <v>17980</v>
      </c>
      <c r="K36" s="10">
        <v>0</v>
      </c>
      <c r="L36" s="10">
        <v>153863</v>
      </c>
      <c r="M36" s="10">
        <f t="shared" si="1"/>
        <v>153863</v>
      </c>
      <c r="N36" s="10">
        <v>2989</v>
      </c>
      <c r="O36" s="10">
        <v>147850</v>
      </c>
      <c r="P36" s="10">
        <v>913384.62</v>
      </c>
      <c r="Q36" s="10">
        <v>157100.76500000001</v>
      </c>
      <c r="R36" s="10">
        <v>480.88199999999995</v>
      </c>
      <c r="S36" s="10">
        <v>34908.631999999998</v>
      </c>
      <c r="T36" s="10">
        <v>1166427.6102000002</v>
      </c>
      <c r="U36" s="10">
        <v>0</v>
      </c>
      <c r="V36" s="10">
        <v>1048866.0530000001</v>
      </c>
      <c r="W36" s="10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</row>
    <row r="37" spans="1:48" x14ac:dyDescent="0.25">
      <c r="A37" s="20">
        <v>43009</v>
      </c>
      <c r="B37" s="16">
        <v>2017</v>
      </c>
      <c r="C37" s="10">
        <v>293096.32000000001</v>
      </c>
      <c r="D37" s="10">
        <v>107860.53000000001</v>
      </c>
      <c r="E37" s="10">
        <v>28.6</v>
      </c>
      <c r="F37" s="10">
        <f t="shared" si="0"/>
        <v>107889.13000000002</v>
      </c>
      <c r="G37" s="10">
        <v>200000</v>
      </c>
      <c r="H37" s="10">
        <v>0</v>
      </c>
      <c r="I37" s="10">
        <v>104626</v>
      </c>
      <c r="J37" s="10">
        <v>24969</v>
      </c>
      <c r="K37" s="10">
        <v>1834</v>
      </c>
      <c r="L37" s="10">
        <v>159349</v>
      </c>
      <c r="M37" s="10">
        <f t="shared" si="1"/>
        <v>161183</v>
      </c>
      <c r="N37" s="10">
        <v>0</v>
      </c>
      <c r="O37" s="10">
        <v>139859</v>
      </c>
      <c r="P37" s="10">
        <v>854904.96799999999</v>
      </c>
      <c r="Q37" s="10">
        <v>213845.951</v>
      </c>
      <c r="R37" s="10">
        <v>552.95189999999991</v>
      </c>
      <c r="S37" s="10">
        <v>43267.603999999999</v>
      </c>
      <c r="T37" s="10">
        <v>1186285.6475000002</v>
      </c>
      <c r="U37" s="10">
        <v>0</v>
      </c>
      <c r="V37" s="10">
        <v>1015191.8856</v>
      </c>
      <c r="W37" s="10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</row>
    <row r="38" spans="1:48" x14ac:dyDescent="0.25">
      <c r="A38" s="20">
        <v>43040</v>
      </c>
      <c r="B38" s="16">
        <v>2017</v>
      </c>
      <c r="C38" s="10">
        <v>302618.48000000004</v>
      </c>
      <c r="D38" s="10">
        <v>102110.27</v>
      </c>
      <c r="E38" s="10">
        <v>57.56</v>
      </c>
      <c r="F38" s="10">
        <f t="shared" si="0"/>
        <v>102167.83</v>
      </c>
      <c r="G38" s="10">
        <v>185000</v>
      </c>
      <c r="H38" s="10">
        <v>7.0650000000000004</v>
      </c>
      <c r="I38" s="10">
        <v>113811</v>
      </c>
      <c r="J38" s="10">
        <v>17921</v>
      </c>
      <c r="K38" s="10">
        <v>294</v>
      </c>
      <c r="L38" s="10">
        <v>163465</v>
      </c>
      <c r="M38" s="10">
        <f t="shared" si="1"/>
        <v>163759</v>
      </c>
      <c r="N38" s="10">
        <v>0</v>
      </c>
      <c r="O38" s="10">
        <v>131750</v>
      </c>
      <c r="P38" s="10">
        <v>877762.83100000001</v>
      </c>
      <c r="Q38" s="10">
        <v>210694.69099999999</v>
      </c>
      <c r="R38" s="10">
        <v>454.62650000000002</v>
      </c>
      <c r="S38" s="10">
        <v>44178.058000000005</v>
      </c>
      <c r="T38" s="10">
        <v>1229479.9671999998</v>
      </c>
      <c r="U38" s="10">
        <v>0</v>
      </c>
      <c r="V38" s="10">
        <v>979791.55799999996</v>
      </c>
      <c r="W38" s="10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</row>
    <row r="39" spans="1:48" x14ac:dyDescent="0.25">
      <c r="A39" s="20">
        <v>43070</v>
      </c>
      <c r="B39" s="16">
        <v>2017</v>
      </c>
      <c r="C39" s="10">
        <v>265727.76</v>
      </c>
      <c r="D39" s="10">
        <v>105923.81999999998</v>
      </c>
      <c r="E39" s="10">
        <v>28.12</v>
      </c>
      <c r="F39" s="10">
        <f t="shared" si="0"/>
        <v>105951.93999999997</v>
      </c>
      <c r="G39" s="10">
        <v>170790.77</v>
      </c>
      <c r="H39" s="10">
        <v>0</v>
      </c>
      <c r="I39" s="10">
        <v>145176</v>
      </c>
      <c r="J39" s="10">
        <v>0</v>
      </c>
      <c r="K39" s="10">
        <v>1524</v>
      </c>
      <c r="L39" s="10">
        <v>169860</v>
      </c>
      <c r="M39" s="10">
        <f t="shared" si="1"/>
        <v>171384</v>
      </c>
      <c r="N39" s="10">
        <v>0</v>
      </c>
      <c r="O39" s="10">
        <v>139278</v>
      </c>
      <c r="P39" s="10">
        <v>924454.37699999998</v>
      </c>
      <c r="Q39" s="10">
        <v>169650.19199999998</v>
      </c>
      <c r="R39" s="10">
        <v>514.60789999999997</v>
      </c>
      <c r="S39" s="10">
        <v>26633.72</v>
      </c>
      <c r="T39" s="10">
        <v>1206070.4672999999</v>
      </c>
      <c r="U39" s="10">
        <v>0</v>
      </c>
      <c r="V39" s="10">
        <v>1041558.272</v>
      </c>
      <c r="W39" s="10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</row>
    <row r="40" spans="1:48" x14ac:dyDescent="0.25">
      <c r="A40" s="20">
        <v>43101</v>
      </c>
      <c r="B40" s="16">
        <v>2018</v>
      </c>
      <c r="C40" s="10">
        <v>244128.15999999997</v>
      </c>
      <c r="D40" s="10">
        <v>82481.539999999994</v>
      </c>
      <c r="E40" s="10">
        <v>59.760000000000005</v>
      </c>
      <c r="F40" s="10">
        <f t="shared" si="0"/>
        <v>82541.299999999988</v>
      </c>
      <c r="G40" s="10">
        <v>213909.22999999998</v>
      </c>
      <c r="H40" s="10">
        <v>0</v>
      </c>
      <c r="I40" s="10">
        <v>131134</v>
      </c>
      <c r="J40" s="10">
        <v>6997</v>
      </c>
      <c r="K40" s="10">
        <v>0</v>
      </c>
      <c r="L40" s="10">
        <v>175809</v>
      </c>
      <c r="M40" s="10">
        <f t="shared" si="1"/>
        <v>175809</v>
      </c>
      <c r="N40" s="10">
        <v>0</v>
      </c>
      <c r="O40" s="10">
        <v>128484</v>
      </c>
      <c r="P40" s="10">
        <v>872630.46699999995</v>
      </c>
      <c r="Q40" s="10">
        <v>181444.079</v>
      </c>
      <c r="R40" s="10">
        <v>525.06200000000001</v>
      </c>
      <c r="S40" s="10">
        <v>40816.817999999999</v>
      </c>
      <c r="T40" s="10">
        <v>1110467.9339000005</v>
      </c>
      <c r="U40" s="10">
        <v>0</v>
      </c>
      <c r="V40" s="10">
        <v>1106061.058</v>
      </c>
      <c r="W40" s="10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</row>
    <row r="41" spans="1:48" x14ac:dyDescent="0.25">
      <c r="A41" s="20">
        <v>43132</v>
      </c>
      <c r="B41" s="16">
        <v>2018</v>
      </c>
      <c r="C41" s="10">
        <v>157007.22</v>
      </c>
      <c r="D41" s="10">
        <v>83838.64</v>
      </c>
      <c r="E41" s="10">
        <v>29.84</v>
      </c>
      <c r="F41" s="10">
        <f t="shared" si="0"/>
        <v>83868.479999999996</v>
      </c>
      <c r="G41" s="10">
        <v>40000</v>
      </c>
      <c r="H41" s="10">
        <v>3.0000000000000001E-3</v>
      </c>
      <c r="I41" s="10">
        <v>124575</v>
      </c>
      <c r="J41" s="10">
        <v>6300</v>
      </c>
      <c r="K41" s="10">
        <v>0</v>
      </c>
      <c r="L41" s="10">
        <v>155761</v>
      </c>
      <c r="M41" s="10">
        <f t="shared" si="1"/>
        <v>155761</v>
      </c>
      <c r="N41" s="10">
        <v>0</v>
      </c>
      <c r="O41" s="10">
        <v>131494</v>
      </c>
      <c r="P41" s="10">
        <v>793752.32700000005</v>
      </c>
      <c r="Q41" s="10">
        <v>120366.73100000001</v>
      </c>
      <c r="R41" s="10">
        <v>397.017</v>
      </c>
      <c r="S41" s="10">
        <v>39845.937000000005</v>
      </c>
      <c r="T41" s="10">
        <v>988145.93640000001</v>
      </c>
      <c r="U41" s="10">
        <v>23521</v>
      </c>
      <c r="V41" s="10">
        <v>1235595.923</v>
      </c>
      <c r="W41" s="10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</row>
    <row r="42" spans="1:48" x14ac:dyDescent="0.25">
      <c r="A42" s="20">
        <v>43160</v>
      </c>
      <c r="B42" s="16">
        <v>2018</v>
      </c>
      <c r="C42" s="10">
        <v>177938.87999999995</v>
      </c>
      <c r="D42" s="10">
        <v>93996.75</v>
      </c>
      <c r="E42" s="10">
        <v>30.34</v>
      </c>
      <c r="F42" s="10">
        <f t="shared" si="0"/>
        <v>94027.09</v>
      </c>
      <c r="G42" s="10">
        <v>65200</v>
      </c>
      <c r="H42" s="10">
        <v>0</v>
      </c>
      <c r="I42" s="10">
        <v>132133</v>
      </c>
      <c r="J42" s="10">
        <v>16976</v>
      </c>
      <c r="K42" s="10">
        <v>0</v>
      </c>
      <c r="L42" s="10">
        <v>168897</v>
      </c>
      <c r="M42" s="10">
        <f t="shared" si="1"/>
        <v>168897</v>
      </c>
      <c r="N42" s="10">
        <v>0</v>
      </c>
      <c r="O42" s="10">
        <v>120770</v>
      </c>
      <c r="P42" s="10">
        <v>933977.29799999995</v>
      </c>
      <c r="Q42" s="10">
        <v>180527.53</v>
      </c>
      <c r="R42" s="10">
        <v>429.43500000000006</v>
      </c>
      <c r="S42" s="10">
        <v>32236.057000000001</v>
      </c>
      <c r="T42" s="10">
        <v>1218188.4632000003</v>
      </c>
      <c r="U42" s="10">
        <v>8050</v>
      </c>
      <c r="V42" s="10">
        <v>1009331.1590000001</v>
      </c>
      <c r="W42" s="10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</row>
    <row r="43" spans="1:48" x14ac:dyDescent="0.25">
      <c r="A43" s="20">
        <v>43191</v>
      </c>
      <c r="B43" s="16">
        <v>2018</v>
      </c>
      <c r="C43" s="10">
        <v>226424.78</v>
      </c>
      <c r="D43" s="10">
        <v>105104.77</v>
      </c>
      <c r="E43" s="10">
        <v>30.48</v>
      </c>
      <c r="F43" s="10">
        <f t="shared" si="0"/>
        <v>105135.25</v>
      </c>
      <c r="G43" s="10">
        <v>120000</v>
      </c>
      <c r="H43" s="10">
        <v>0</v>
      </c>
      <c r="I43" s="10">
        <v>126666</v>
      </c>
      <c r="J43" s="10">
        <v>14282</v>
      </c>
      <c r="K43" s="10">
        <v>0</v>
      </c>
      <c r="L43" s="10">
        <v>154826</v>
      </c>
      <c r="M43" s="10">
        <f t="shared" si="1"/>
        <v>154826</v>
      </c>
      <c r="N43" s="10">
        <v>0</v>
      </c>
      <c r="O43" s="10">
        <v>154369</v>
      </c>
      <c r="P43" s="10">
        <v>824528.69700000004</v>
      </c>
      <c r="Q43" s="10">
        <v>206835.19</v>
      </c>
      <c r="R43" s="10">
        <v>397.03489999999999</v>
      </c>
      <c r="S43" s="10">
        <v>23275.360999999997</v>
      </c>
      <c r="T43" s="10">
        <v>1157231.5249999999</v>
      </c>
      <c r="U43" s="10">
        <v>0</v>
      </c>
      <c r="V43" s="10">
        <v>1106194.1949999998</v>
      </c>
      <c r="W43" s="10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</row>
    <row r="44" spans="1:48" x14ac:dyDescent="0.25">
      <c r="A44" s="20">
        <v>43221</v>
      </c>
      <c r="B44" s="16">
        <v>2018</v>
      </c>
      <c r="C44" s="10">
        <v>290434.69000000006</v>
      </c>
      <c r="D44" s="10">
        <v>89503.65999999996</v>
      </c>
      <c r="E44" s="10">
        <v>58.32</v>
      </c>
      <c r="F44" s="10">
        <f t="shared" si="0"/>
        <v>89561.979999999967</v>
      </c>
      <c r="G44" s="10">
        <v>183670</v>
      </c>
      <c r="H44" s="10">
        <v>0</v>
      </c>
      <c r="I44" s="10">
        <v>111169</v>
      </c>
      <c r="J44" s="10">
        <v>5425</v>
      </c>
      <c r="K44" s="10">
        <v>0</v>
      </c>
      <c r="L44" s="10">
        <v>158243</v>
      </c>
      <c r="M44" s="10">
        <f t="shared" si="1"/>
        <v>158243</v>
      </c>
      <c r="N44" s="10">
        <v>0</v>
      </c>
      <c r="O44" s="10">
        <v>137658</v>
      </c>
      <c r="P44" s="10">
        <v>822504.40899999999</v>
      </c>
      <c r="Q44" s="10">
        <v>152475.48999999996</v>
      </c>
      <c r="R44" s="10">
        <v>493.49759999999998</v>
      </c>
      <c r="S44" s="10">
        <v>89090.102999999988</v>
      </c>
      <c r="T44" s="10">
        <v>1146132.7290000003</v>
      </c>
      <c r="U44" s="10">
        <v>0</v>
      </c>
      <c r="V44" s="10">
        <v>1065184.0583000001</v>
      </c>
      <c r="W44" s="10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</row>
    <row r="45" spans="1:48" x14ac:dyDescent="0.25">
      <c r="A45" s="20">
        <v>43252</v>
      </c>
      <c r="B45" s="16">
        <v>2018</v>
      </c>
      <c r="C45" s="10">
        <v>265426.92</v>
      </c>
      <c r="D45" s="10">
        <v>87048.240000000034</v>
      </c>
      <c r="E45" s="10">
        <v>0</v>
      </c>
      <c r="F45" s="10">
        <f t="shared" si="0"/>
        <v>87048.240000000034</v>
      </c>
      <c r="G45" s="10">
        <v>175330</v>
      </c>
      <c r="H45" s="10">
        <v>0</v>
      </c>
      <c r="I45" s="10">
        <v>103226</v>
      </c>
      <c r="J45" s="10">
        <v>0</v>
      </c>
      <c r="K45" s="10">
        <v>2591</v>
      </c>
      <c r="L45" s="10">
        <v>149918</v>
      </c>
      <c r="M45" s="10">
        <f t="shared" si="1"/>
        <v>152509</v>
      </c>
      <c r="N45" s="10">
        <v>0</v>
      </c>
      <c r="O45" s="10">
        <v>155758</v>
      </c>
      <c r="P45" s="10">
        <v>723168.45500000007</v>
      </c>
      <c r="Q45" s="10">
        <v>207274.93699999998</v>
      </c>
      <c r="R45" s="10">
        <v>593.90616</v>
      </c>
      <c r="S45" s="10">
        <v>26965.053</v>
      </c>
      <c r="T45" s="10">
        <v>1129722.7120000001</v>
      </c>
      <c r="U45" s="10">
        <v>0</v>
      </c>
      <c r="V45" s="10">
        <v>932432.42079999996</v>
      </c>
      <c r="W45" s="10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</row>
    <row r="46" spans="1:48" x14ac:dyDescent="0.25">
      <c r="A46" s="20">
        <v>43282</v>
      </c>
      <c r="B46" s="16">
        <v>2018</v>
      </c>
      <c r="C46" s="10">
        <v>260050.77</v>
      </c>
      <c r="D46" s="10">
        <v>93542.349999999991</v>
      </c>
      <c r="E46" s="10">
        <v>0</v>
      </c>
      <c r="F46" s="10">
        <f t="shared" si="0"/>
        <v>93542.349999999991</v>
      </c>
      <c r="G46" s="10">
        <v>246261.61</v>
      </c>
      <c r="H46" s="10">
        <v>0</v>
      </c>
      <c r="I46" s="10">
        <v>122485</v>
      </c>
      <c r="J46" s="10">
        <v>50407</v>
      </c>
      <c r="K46" s="10">
        <v>1088</v>
      </c>
      <c r="L46" s="10">
        <v>166761</v>
      </c>
      <c r="M46" s="10">
        <f t="shared" si="1"/>
        <v>167849</v>
      </c>
      <c r="N46" s="10">
        <v>0</v>
      </c>
      <c r="O46" s="10">
        <v>139556</v>
      </c>
      <c r="P46" s="10">
        <v>765030.76099999994</v>
      </c>
      <c r="Q46" s="10">
        <v>140108.75999999998</v>
      </c>
      <c r="R46" s="10">
        <v>416.88979999999998</v>
      </c>
      <c r="S46" s="10">
        <v>36332</v>
      </c>
      <c r="T46" s="10">
        <v>1141980.7169999997</v>
      </c>
      <c r="U46" s="10">
        <v>0</v>
      </c>
      <c r="V46" s="10">
        <v>793679.17500000005</v>
      </c>
      <c r="W46" s="10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</row>
    <row r="47" spans="1:48" x14ac:dyDescent="0.25">
      <c r="A47" s="20">
        <v>43313</v>
      </c>
      <c r="B47" s="16">
        <v>2018</v>
      </c>
      <c r="C47" s="10">
        <v>134849.91</v>
      </c>
      <c r="D47" s="10">
        <v>92877.099999999991</v>
      </c>
      <c r="E47" s="10">
        <v>41.22</v>
      </c>
      <c r="F47" s="10">
        <f t="shared" si="0"/>
        <v>92918.319999999992</v>
      </c>
      <c r="G47" s="10">
        <v>44590.35</v>
      </c>
      <c r="H47" s="10">
        <v>0</v>
      </c>
      <c r="I47" s="10">
        <v>136680</v>
      </c>
      <c r="J47" s="10">
        <v>0</v>
      </c>
      <c r="K47" s="10">
        <v>2517</v>
      </c>
      <c r="L47" s="10">
        <v>168864</v>
      </c>
      <c r="M47" s="10">
        <f t="shared" si="1"/>
        <v>171381</v>
      </c>
      <c r="N47" s="10">
        <v>0</v>
      </c>
      <c r="O47" s="10">
        <v>135343</v>
      </c>
      <c r="P47" s="10">
        <v>833711.55500000005</v>
      </c>
      <c r="Q47" s="10">
        <v>257632.13500000001</v>
      </c>
      <c r="R47" s="10">
        <v>395.42789999999997</v>
      </c>
      <c r="S47" s="10">
        <v>62165.675999999999</v>
      </c>
      <c r="T47" s="10">
        <v>1197860.1909999999</v>
      </c>
      <c r="U47" s="10">
        <v>0</v>
      </c>
      <c r="V47" s="10">
        <v>864792.60800000001</v>
      </c>
      <c r="W47" s="10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</row>
    <row r="48" spans="1:48" x14ac:dyDescent="0.25">
      <c r="A48" s="20">
        <v>43344</v>
      </c>
      <c r="B48" s="16">
        <v>2018</v>
      </c>
      <c r="C48" s="10">
        <v>174085</v>
      </c>
      <c r="D48" s="10">
        <v>101675.85</v>
      </c>
      <c r="E48" s="10">
        <v>184.39</v>
      </c>
      <c r="F48" s="10">
        <f t="shared" si="0"/>
        <v>101860.24</v>
      </c>
      <c r="G48" s="10">
        <v>50482.270000000004</v>
      </c>
      <c r="H48" s="10">
        <v>0</v>
      </c>
      <c r="I48" s="10">
        <v>104181</v>
      </c>
      <c r="J48" s="10">
        <v>23855</v>
      </c>
      <c r="K48" s="10">
        <v>1081</v>
      </c>
      <c r="L48" s="10">
        <v>159813</v>
      </c>
      <c r="M48" s="10">
        <f t="shared" si="1"/>
        <v>160894</v>
      </c>
      <c r="N48" s="10">
        <v>0</v>
      </c>
      <c r="O48" s="10">
        <v>126010</v>
      </c>
      <c r="P48" s="10">
        <v>779309.30199999991</v>
      </c>
      <c r="Q48" s="10">
        <v>310047.08</v>
      </c>
      <c r="R48" s="10">
        <v>591.91899999999998</v>
      </c>
      <c r="S48" s="10">
        <v>29674</v>
      </c>
      <c r="T48" s="10">
        <v>1050361.5839999998</v>
      </c>
      <c r="U48" s="10">
        <v>0</v>
      </c>
      <c r="V48" s="10">
        <v>1038589.5241999999</v>
      </c>
      <c r="W48" s="10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</row>
    <row r="49" spans="1:48" x14ac:dyDescent="0.25">
      <c r="A49" s="20">
        <v>43374</v>
      </c>
      <c r="B49" s="16">
        <v>2018</v>
      </c>
      <c r="C49" s="10">
        <v>132450.22000000003</v>
      </c>
      <c r="D49" s="10">
        <v>84474.61</v>
      </c>
      <c r="E49" s="10">
        <v>405.52</v>
      </c>
      <c r="F49" s="10">
        <f t="shared" si="0"/>
        <v>84880.13</v>
      </c>
      <c r="G49" s="10">
        <v>39559.729999999996</v>
      </c>
      <c r="H49" s="10">
        <v>0</v>
      </c>
      <c r="I49" s="10">
        <v>118205</v>
      </c>
      <c r="J49" s="10">
        <v>39308</v>
      </c>
      <c r="K49" s="10">
        <v>2978</v>
      </c>
      <c r="L49" s="10">
        <v>172506</v>
      </c>
      <c r="M49" s="10">
        <f t="shared" si="1"/>
        <v>175484</v>
      </c>
      <c r="N49" s="10">
        <v>0</v>
      </c>
      <c r="O49" s="10">
        <v>133465</v>
      </c>
      <c r="P49" s="10">
        <v>819076.33600000001</v>
      </c>
      <c r="Q49" s="10">
        <v>162529.28</v>
      </c>
      <c r="R49" s="10">
        <v>467.50189999999998</v>
      </c>
      <c r="S49" s="10">
        <v>33905</v>
      </c>
      <c r="T49" s="10">
        <v>1124974.7079999996</v>
      </c>
      <c r="U49" s="10">
        <v>6992.3180000000002</v>
      </c>
      <c r="V49" s="10">
        <v>1038922.7080000001</v>
      </c>
      <c r="W49" s="10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</row>
    <row r="50" spans="1:48" x14ac:dyDescent="0.25">
      <c r="A50" s="20">
        <v>43405</v>
      </c>
      <c r="B50" s="16">
        <v>2018</v>
      </c>
      <c r="C50" s="10">
        <v>259636.46000000005</v>
      </c>
      <c r="D50" s="10">
        <v>94142.06</v>
      </c>
      <c r="E50" s="10">
        <v>114.62</v>
      </c>
      <c r="F50" s="10">
        <f t="shared" si="0"/>
        <v>94256.68</v>
      </c>
      <c r="G50" s="10">
        <v>146000</v>
      </c>
      <c r="H50" s="10">
        <v>0</v>
      </c>
      <c r="I50" s="10">
        <v>126050</v>
      </c>
      <c r="J50" s="10">
        <v>11961</v>
      </c>
      <c r="K50" s="10">
        <v>4973</v>
      </c>
      <c r="L50" s="10">
        <v>169274</v>
      </c>
      <c r="M50" s="10">
        <f t="shared" si="1"/>
        <v>174247</v>
      </c>
      <c r="N50" s="10">
        <v>0</v>
      </c>
      <c r="O50" s="10">
        <v>130982</v>
      </c>
      <c r="P50" s="10">
        <v>769866.31799999997</v>
      </c>
      <c r="Q50" s="10">
        <v>131574.413</v>
      </c>
      <c r="R50" s="10">
        <v>227.17420000000001</v>
      </c>
      <c r="S50" s="10">
        <v>35629.387000000002</v>
      </c>
      <c r="T50" s="10">
        <v>1106083.4430000002</v>
      </c>
      <c r="U50" s="10">
        <v>0</v>
      </c>
      <c r="V50" s="10">
        <v>966791.05480000004</v>
      </c>
      <c r="W50" s="10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</row>
    <row r="51" spans="1:48" x14ac:dyDescent="0.25">
      <c r="A51" s="20">
        <v>43435</v>
      </c>
      <c r="B51" s="16">
        <v>2018</v>
      </c>
      <c r="C51" s="10">
        <v>106564.04999999999</v>
      </c>
      <c r="D51" s="10">
        <v>89772.640000000014</v>
      </c>
      <c r="E51" s="10">
        <v>478.8</v>
      </c>
      <c r="F51" s="10">
        <f t="shared" si="0"/>
        <v>90251.440000000017</v>
      </c>
      <c r="G51" s="10">
        <v>76313.67</v>
      </c>
      <c r="H51" s="10">
        <v>0</v>
      </c>
      <c r="I51" s="10">
        <v>127157</v>
      </c>
      <c r="J51" s="10">
        <v>23390</v>
      </c>
      <c r="K51" s="10">
        <v>11766</v>
      </c>
      <c r="L51" s="10">
        <v>184698</v>
      </c>
      <c r="M51" s="10">
        <f t="shared" si="1"/>
        <v>196464</v>
      </c>
      <c r="N51" s="10">
        <v>2917</v>
      </c>
      <c r="O51" s="10">
        <v>121284</v>
      </c>
      <c r="P51" s="10">
        <v>835077.745</v>
      </c>
      <c r="Q51" s="10">
        <v>152486.71000000002</v>
      </c>
      <c r="R51" s="10">
        <v>375.73399999999998</v>
      </c>
      <c r="S51" s="10">
        <v>51961</v>
      </c>
      <c r="T51" s="10">
        <v>1119805.9959999998</v>
      </c>
      <c r="U51" s="10">
        <v>0</v>
      </c>
      <c r="V51" s="10">
        <v>960531.42500000028</v>
      </c>
      <c r="W51" s="10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</row>
    <row r="52" spans="1:48" x14ac:dyDescent="0.25">
      <c r="A52" s="20">
        <v>43466</v>
      </c>
      <c r="B52" s="16">
        <v>2019</v>
      </c>
      <c r="C52" s="10">
        <v>83487.419999999984</v>
      </c>
      <c r="D52" s="10">
        <v>84564.650000000009</v>
      </c>
      <c r="E52" s="10">
        <v>581.92000000000007</v>
      </c>
      <c r="F52" s="10">
        <f t="shared" si="0"/>
        <v>85146.57</v>
      </c>
      <c r="G52" s="10">
        <v>0</v>
      </c>
      <c r="H52" s="10">
        <v>2E-3</v>
      </c>
      <c r="I52" s="10">
        <v>130543</v>
      </c>
      <c r="J52" s="10">
        <v>24636</v>
      </c>
      <c r="K52" s="10">
        <v>16256</v>
      </c>
      <c r="L52" s="10">
        <v>195677</v>
      </c>
      <c r="M52" s="10">
        <f t="shared" si="1"/>
        <v>211933</v>
      </c>
      <c r="N52" s="10">
        <v>0</v>
      </c>
      <c r="O52" s="10">
        <v>108640</v>
      </c>
      <c r="P52" s="10">
        <v>794360.69400000002</v>
      </c>
      <c r="Q52" s="10">
        <v>109501.62000000001</v>
      </c>
      <c r="R52" s="10">
        <v>276.959</v>
      </c>
      <c r="S52" s="10">
        <v>30490</v>
      </c>
      <c r="T52" s="10">
        <v>1039214.0379999999</v>
      </c>
      <c r="U52" s="10">
        <v>0</v>
      </c>
      <c r="V52" s="10">
        <v>947850.29379999987</v>
      </c>
      <c r="W52" s="10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</row>
    <row r="53" spans="1:48" x14ac:dyDescent="0.25">
      <c r="A53" s="20">
        <v>43497</v>
      </c>
      <c r="B53" s="16">
        <v>2019</v>
      </c>
      <c r="C53" s="10">
        <v>93137.39999999998</v>
      </c>
      <c r="D53" s="10">
        <v>77193.72</v>
      </c>
      <c r="E53" s="10">
        <v>942.33999999999992</v>
      </c>
      <c r="F53" s="10">
        <f t="shared" si="0"/>
        <v>78136.06</v>
      </c>
      <c r="G53" s="10">
        <v>0</v>
      </c>
      <c r="H53" s="10">
        <v>0</v>
      </c>
      <c r="I53" s="10">
        <v>119563</v>
      </c>
      <c r="J53" s="10">
        <v>54300</v>
      </c>
      <c r="K53" s="10">
        <v>17322</v>
      </c>
      <c r="L53" s="10">
        <v>170654</v>
      </c>
      <c r="M53" s="10">
        <f t="shared" si="1"/>
        <v>187976</v>
      </c>
      <c r="N53" s="10">
        <v>0</v>
      </c>
      <c r="O53" s="10">
        <v>137016</v>
      </c>
      <c r="P53" s="10">
        <v>721095.65</v>
      </c>
      <c r="Q53" s="10">
        <v>153336.72</v>
      </c>
      <c r="R53" s="10">
        <v>355.89600000000002</v>
      </c>
      <c r="S53" s="10">
        <v>42758</v>
      </c>
      <c r="T53" s="10">
        <v>1014941.3290000001</v>
      </c>
      <c r="U53" s="10">
        <v>80</v>
      </c>
      <c r="V53" s="10">
        <v>906244.75680000032</v>
      </c>
      <c r="W53" s="10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</row>
    <row r="54" spans="1:48" x14ac:dyDescent="0.25">
      <c r="A54" s="20">
        <v>43525</v>
      </c>
      <c r="B54" s="16">
        <v>2019</v>
      </c>
      <c r="C54" s="10">
        <v>198837.54999999996</v>
      </c>
      <c r="D54" s="10">
        <v>92469.239999999991</v>
      </c>
      <c r="E54" s="10">
        <v>1525.48</v>
      </c>
      <c r="F54" s="10">
        <f t="shared" si="0"/>
        <v>93994.719999999987</v>
      </c>
      <c r="G54" s="10">
        <v>60000</v>
      </c>
      <c r="H54" s="10">
        <v>0.105</v>
      </c>
      <c r="I54" s="10">
        <v>118068</v>
      </c>
      <c r="J54" s="10">
        <v>34882</v>
      </c>
      <c r="K54" s="10">
        <v>7136</v>
      </c>
      <c r="L54" s="10">
        <v>180581</v>
      </c>
      <c r="M54" s="10">
        <f t="shared" si="1"/>
        <v>187717</v>
      </c>
      <c r="N54" s="10">
        <v>0</v>
      </c>
      <c r="O54" s="10">
        <v>133216</v>
      </c>
      <c r="P54" s="10">
        <v>815822.84499999997</v>
      </c>
      <c r="Q54" s="10">
        <v>187455.23</v>
      </c>
      <c r="R54" s="10">
        <v>273.56950000000001</v>
      </c>
      <c r="S54" s="10">
        <v>25318</v>
      </c>
      <c r="T54" s="10">
        <v>1131906.6160000002</v>
      </c>
      <c r="U54" s="10">
        <v>0</v>
      </c>
      <c r="V54" s="10">
        <v>898099.44430000009</v>
      </c>
      <c r="W54" s="10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</row>
    <row r="55" spans="1:48" x14ac:dyDescent="0.25">
      <c r="A55" s="20">
        <v>43556</v>
      </c>
      <c r="B55" s="16">
        <v>2019</v>
      </c>
      <c r="C55" s="10">
        <v>274971.94999999995</v>
      </c>
      <c r="D55" s="10">
        <v>96412.830000000031</v>
      </c>
      <c r="E55" s="10">
        <v>2042.3</v>
      </c>
      <c r="F55" s="10">
        <f t="shared" si="0"/>
        <v>98455.130000000034</v>
      </c>
      <c r="G55" s="10">
        <v>166021.66999999998</v>
      </c>
      <c r="H55" s="10">
        <v>0</v>
      </c>
      <c r="I55" s="10">
        <v>110216</v>
      </c>
      <c r="J55" s="10">
        <v>38064</v>
      </c>
      <c r="K55" s="10">
        <v>4362</v>
      </c>
      <c r="L55" s="10">
        <v>159212</v>
      </c>
      <c r="M55" s="10">
        <f t="shared" si="1"/>
        <v>163574</v>
      </c>
      <c r="N55" s="10">
        <v>0</v>
      </c>
      <c r="O55" s="10">
        <v>147121</v>
      </c>
      <c r="P55" s="10">
        <v>747726.33700000006</v>
      </c>
      <c r="Q55" s="10">
        <v>335894.39</v>
      </c>
      <c r="R55" s="10">
        <v>423.05689999999998</v>
      </c>
      <c r="S55" s="10">
        <v>35760</v>
      </c>
      <c r="T55" s="10">
        <v>1138823.548</v>
      </c>
      <c r="U55" s="10">
        <v>0</v>
      </c>
      <c r="V55" s="10">
        <v>947203.02810000011</v>
      </c>
      <c r="W55" s="10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</row>
    <row r="56" spans="1:48" x14ac:dyDescent="0.25">
      <c r="A56" s="20">
        <v>43586</v>
      </c>
      <c r="B56" s="16">
        <v>2019</v>
      </c>
      <c r="C56" s="10">
        <v>273161.59999999998</v>
      </c>
      <c r="D56" s="10">
        <v>91443.08</v>
      </c>
      <c r="E56" s="10">
        <v>4168.78</v>
      </c>
      <c r="F56" s="10">
        <f t="shared" si="0"/>
        <v>95611.86</v>
      </c>
      <c r="G56" s="10">
        <v>190498.34</v>
      </c>
      <c r="H56" s="10">
        <v>0</v>
      </c>
      <c r="I56" s="10">
        <v>114353</v>
      </c>
      <c r="J56" s="10">
        <v>9893</v>
      </c>
      <c r="K56" s="10">
        <v>9510</v>
      </c>
      <c r="L56" s="10">
        <v>162775</v>
      </c>
      <c r="M56" s="10">
        <f t="shared" si="1"/>
        <v>172285</v>
      </c>
      <c r="N56" s="10">
        <v>0</v>
      </c>
      <c r="O56" s="10">
        <v>133936</v>
      </c>
      <c r="P56" s="10">
        <v>852358.55300000007</v>
      </c>
      <c r="Q56" s="10">
        <v>172547.973</v>
      </c>
      <c r="R56" s="10">
        <v>837.66700000000003</v>
      </c>
      <c r="S56" s="10">
        <v>51968</v>
      </c>
      <c r="T56" s="10">
        <v>1145372.777</v>
      </c>
      <c r="U56" s="10">
        <v>0</v>
      </c>
      <c r="V56" s="10">
        <v>950234.15980000014</v>
      </c>
      <c r="W56" s="10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</row>
    <row r="57" spans="1:48" x14ac:dyDescent="0.25">
      <c r="A57" s="20">
        <v>43617</v>
      </c>
      <c r="B57" s="16">
        <v>2019</v>
      </c>
      <c r="C57" s="10">
        <v>176760.43000000005</v>
      </c>
      <c r="D57" s="10">
        <v>94680.51999999999</v>
      </c>
      <c r="E57" s="10">
        <v>5228.5200000000004</v>
      </c>
      <c r="F57" s="10">
        <f t="shared" si="0"/>
        <v>99909.04</v>
      </c>
      <c r="G57" s="10">
        <v>78500</v>
      </c>
      <c r="H57" s="10">
        <v>18.72</v>
      </c>
      <c r="I57" s="10">
        <v>109030</v>
      </c>
      <c r="J57" s="10">
        <v>12383</v>
      </c>
      <c r="K57" s="10">
        <v>16656</v>
      </c>
      <c r="L57" s="10">
        <v>154262</v>
      </c>
      <c r="M57" s="10">
        <f t="shared" si="1"/>
        <v>170918</v>
      </c>
      <c r="N57" s="10">
        <v>0</v>
      </c>
      <c r="O57" s="10">
        <v>120117</v>
      </c>
      <c r="P57" s="10">
        <v>798718.33799999999</v>
      </c>
      <c r="Q57" s="10">
        <v>205521.38800000001</v>
      </c>
      <c r="R57" s="10">
        <v>471.94819999999999</v>
      </c>
      <c r="S57" s="10">
        <v>36957</v>
      </c>
      <c r="T57" s="10">
        <v>1066558.3090000004</v>
      </c>
      <c r="U57" s="10">
        <v>2028.97</v>
      </c>
      <c r="V57" s="10">
        <v>1000421.7804</v>
      </c>
      <c r="W57" s="10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</row>
    <row r="58" spans="1:48" x14ac:dyDescent="0.25">
      <c r="A58" s="20">
        <v>43647</v>
      </c>
      <c r="B58" s="16">
        <v>2019</v>
      </c>
      <c r="C58" s="10">
        <v>135786</v>
      </c>
      <c r="D58" s="10">
        <v>97079</v>
      </c>
      <c r="E58" s="10">
        <v>6548</v>
      </c>
      <c r="F58" s="10">
        <f t="shared" si="0"/>
        <v>103627</v>
      </c>
      <c r="G58" s="10">
        <v>71500</v>
      </c>
      <c r="H58" s="10">
        <v>0</v>
      </c>
      <c r="I58" s="10">
        <v>121553</v>
      </c>
      <c r="J58" s="10">
        <v>28686</v>
      </c>
      <c r="K58" s="10">
        <v>8155</v>
      </c>
      <c r="L58" s="10">
        <v>172618</v>
      </c>
      <c r="M58" s="10">
        <f t="shared" si="1"/>
        <v>180773</v>
      </c>
      <c r="N58" s="10">
        <v>0</v>
      </c>
      <c r="O58" s="10">
        <v>123112</v>
      </c>
      <c r="P58" s="10">
        <v>816583.44</v>
      </c>
      <c r="Q58" s="10">
        <v>204985.98</v>
      </c>
      <c r="R58" s="10">
        <v>359.77</v>
      </c>
      <c r="S58" s="10">
        <v>39687</v>
      </c>
      <c r="T58" s="10">
        <v>1189153.4229999997</v>
      </c>
      <c r="U58" s="10">
        <v>6456.47</v>
      </c>
      <c r="V58" s="10">
        <v>947893.8189999999</v>
      </c>
      <c r="W58" s="10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</row>
    <row r="59" spans="1:48" x14ac:dyDescent="0.25">
      <c r="A59" s="20">
        <v>43678</v>
      </c>
      <c r="B59" s="16">
        <v>2019</v>
      </c>
      <c r="C59" s="10">
        <v>203047.57999999996</v>
      </c>
      <c r="D59" s="10">
        <v>60849.850000000006</v>
      </c>
      <c r="E59" s="10">
        <v>6397.2300000000005</v>
      </c>
      <c r="F59" s="10">
        <f t="shared" si="0"/>
        <v>67247.08</v>
      </c>
      <c r="G59" s="10">
        <v>60000</v>
      </c>
      <c r="H59" s="10">
        <v>0</v>
      </c>
      <c r="I59" s="10">
        <v>135329</v>
      </c>
      <c r="J59" s="10">
        <v>9945</v>
      </c>
      <c r="K59" s="10">
        <v>8758</v>
      </c>
      <c r="L59" s="10">
        <v>167768</v>
      </c>
      <c r="M59" s="10">
        <f t="shared" si="1"/>
        <v>176526</v>
      </c>
      <c r="N59" s="10">
        <v>3142</v>
      </c>
      <c r="O59" s="10">
        <v>125380</v>
      </c>
      <c r="P59" s="10">
        <v>842222.53900000011</v>
      </c>
      <c r="Q59" s="10">
        <v>183181.84999999998</v>
      </c>
      <c r="R59" s="10">
        <v>162.81</v>
      </c>
      <c r="S59" s="10">
        <v>48158.41</v>
      </c>
      <c r="T59" s="10">
        <v>1175178.9879999999</v>
      </c>
      <c r="U59" s="10">
        <v>6542.78</v>
      </c>
      <c r="V59" s="10">
        <v>930519.57610000041</v>
      </c>
      <c r="W59" s="10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 spans="1:48" x14ac:dyDescent="0.25">
      <c r="A60" s="20">
        <v>43709</v>
      </c>
      <c r="B60" s="16">
        <v>2019</v>
      </c>
      <c r="C60" s="10">
        <v>208479.53000000003</v>
      </c>
      <c r="D60" s="10">
        <v>89337.180000000008</v>
      </c>
      <c r="E60" s="10">
        <v>8772.0300000000007</v>
      </c>
      <c r="F60" s="10">
        <f t="shared" si="0"/>
        <v>98109.21</v>
      </c>
      <c r="G60" s="10">
        <v>179816.82</v>
      </c>
      <c r="H60" s="10">
        <v>0</v>
      </c>
      <c r="I60" s="10">
        <v>111080.83</v>
      </c>
      <c r="J60" s="10">
        <v>37966</v>
      </c>
      <c r="K60" s="10">
        <v>1452</v>
      </c>
      <c r="L60" s="10">
        <v>162323</v>
      </c>
      <c r="M60" s="10">
        <f t="shared" si="1"/>
        <v>163775</v>
      </c>
      <c r="N60" s="10">
        <v>0</v>
      </c>
      <c r="O60" s="10">
        <v>131211</v>
      </c>
      <c r="P60" s="10">
        <v>768668.98</v>
      </c>
      <c r="Q60" s="10">
        <v>237938.70999999996</v>
      </c>
      <c r="R60" s="10">
        <v>484.17</v>
      </c>
      <c r="S60" s="10">
        <v>53432.58</v>
      </c>
      <c r="T60" s="10">
        <v>1083654.6920000003</v>
      </c>
      <c r="U60" s="10">
        <v>6902.45</v>
      </c>
      <c r="V60" s="10">
        <v>984576.96830000018</v>
      </c>
      <c r="W60" s="10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 spans="1:48" x14ac:dyDescent="0.25">
      <c r="A61" s="20">
        <v>43739</v>
      </c>
      <c r="B61" s="16">
        <v>2019</v>
      </c>
      <c r="C61" s="10">
        <v>172332.16000000003</v>
      </c>
      <c r="D61" s="10">
        <v>94013.51999999999</v>
      </c>
      <c r="E61" s="10">
        <v>7008.71</v>
      </c>
      <c r="F61" s="10">
        <f t="shared" si="0"/>
        <v>101022.23</v>
      </c>
      <c r="G61" s="10">
        <v>0</v>
      </c>
      <c r="H61" s="10">
        <v>0</v>
      </c>
      <c r="I61" s="10">
        <v>139175</v>
      </c>
      <c r="J61" s="10">
        <v>3980</v>
      </c>
      <c r="K61" s="10">
        <v>0</v>
      </c>
      <c r="L61" s="10">
        <v>164615</v>
      </c>
      <c r="M61" s="10">
        <f t="shared" si="1"/>
        <v>164615</v>
      </c>
      <c r="N61" s="10">
        <v>0</v>
      </c>
      <c r="O61" s="10">
        <v>146322</v>
      </c>
      <c r="P61" s="10">
        <v>897815.571</v>
      </c>
      <c r="Q61" s="10">
        <v>86716.914000000004</v>
      </c>
      <c r="R61" s="10">
        <v>433.66070000000002</v>
      </c>
      <c r="S61" s="10">
        <v>45853.1</v>
      </c>
      <c r="T61" s="10">
        <v>1133320.879</v>
      </c>
      <c r="U61" s="10">
        <v>4471.5999999999995</v>
      </c>
      <c r="V61" s="10">
        <v>948064.24110000022</v>
      </c>
      <c r="W61" s="10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 spans="1:48" x14ac:dyDescent="0.25">
      <c r="A62" s="20">
        <v>43770</v>
      </c>
      <c r="B62" s="16">
        <v>2019</v>
      </c>
      <c r="C62" s="10">
        <v>163012.43000000005</v>
      </c>
      <c r="D62" s="10">
        <v>99854.239999999991</v>
      </c>
      <c r="E62" s="10">
        <v>8243.1200000000008</v>
      </c>
      <c r="F62" s="10">
        <f t="shared" si="0"/>
        <v>108097.35999999999</v>
      </c>
      <c r="G62" s="10">
        <v>60000</v>
      </c>
      <c r="H62" s="10">
        <v>0</v>
      </c>
      <c r="I62" s="10">
        <v>117960.61</v>
      </c>
      <c r="J62" s="10">
        <v>9350</v>
      </c>
      <c r="K62" s="10">
        <v>0</v>
      </c>
      <c r="L62" s="10">
        <v>161190</v>
      </c>
      <c r="M62" s="10">
        <f t="shared" si="1"/>
        <v>161190</v>
      </c>
      <c r="N62" s="10">
        <v>0</v>
      </c>
      <c r="O62" s="10">
        <v>137661</v>
      </c>
      <c r="P62" s="10">
        <v>866291.12799999991</v>
      </c>
      <c r="Q62" s="10">
        <v>150730.52000000002</v>
      </c>
      <c r="R62" s="10">
        <v>308.25000000000006</v>
      </c>
      <c r="S62" s="10">
        <v>48211.35</v>
      </c>
      <c r="T62" s="10">
        <v>1143260.2220000005</v>
      </c>
      <c r="U62" s="10">
        <v>3323.91</v>
      </c>
      <c r="V62" s="10">
        <v>952507.61499999999</v>
      </c>
      <c r="W62" s="10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 spans="1:48" x14ac:dyDescent="0.25">
      <c r="A63" s="20">
        <v>43800</v>
      </c>
      <c r="B63" s="16">
        <v>2019</v>
      </c>
      <c r="C63" s="10">
        <v>164256.43000000002</v>
      </c>
      <c r="D63" s="10">
        <v>93063.66</v>
      </c>
      <c r="E63" s="10">
        <v>14308.750000000004</v>
      </c>
      <c r="F63" s="10">
        <f t="shared" si="0"/>
        <v>107372.41</v>
      </c>
      <c r="G63" s="10">
        <v>148669.99</v>
      </c>
      <c r="H63" s="10">
        <v>0</v>
      </c>
      <c r="I63" s="10">
        <v>136871.26</v>
      </c>
      <c r="J63" s="10">
        <v>3033</v>
      </c>
      <c r="K63" s="10">
        <v>4938</v>
      </c>
      <c r="L63" s="10">
        <v>170506</v>
      </c>
      <c r="M63" s="10">
        <f t="shared" si="1"/>
        <v>175444</v>
      </c>
      <c r="N63" s="10">
        <v>0</v>
      </c>
      <c r="O63" s="10">
        <v>134714</v>
      </c>
      <c r="P63" s="10">
        <v>899206.35699999996</v>
      </c>
      <c r="Q63" s="10">
        <v>115826.05</v>
      </c>
      <c r="R63" s="10">
        <v>308.39999999999998</v>
      </c>
      <c r="S63" s="10">
        <v>73488.600000000006</v>
      </c>
      <c r="T63" s="10">
        <v>1135496.7929999998</v>
      </c>
      <c r="U63" s="10">
        <v>4290.43</v>
      </c>
      <c r="V63" s="10">
        <v>968432.11499999999</v>
      </c>
      <c r="W63" s="10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spans="1:48" x14ac:dyDescent="0.25">
      <c r="A64" s="20">
        <v>43831</v>
      </c>
      <c r="B64" s="16">
        <v>2020</v>
      </c>
      <c r="C64" s="10">
        <v>105060.33</v>
      </c>
      <c r="D64" s="10">
        <v>45835.026999999987</v>
      </c>
      <c r="E64" s="10">
        <v>5861.4599999999991</v>
      </c>
      <c r="F64" s="10">
        <f t="shared" si="0"/>
        <v>51696.486999999986</v>
      </c>
      <c r="G64" s="10">
        <v>30312.67</v>
      </c>
      <c r="H64" s="10">
        <v>0</v>
      </c>
      <c r="I64" s="10">
        <v>140556.28</v>
      </c>
      <c r="J64" s="10">
        <v>9333</v>
      </c>
      <c r="K64" s="10">
        <v>3943</v>
      </c>
      <c r="L64" s="10">
        <v>173882</v>
      </c>
      <c r="M64" s="10">
        <f t="shared" si="1"/>
        <v>177825</v>
      </c>
      <c r="N64" s="10">
        <v>0</v>
      </c>
      <c r="O64" s="10">
        <v>142233</v>
      </c>
      <c r="P64" s="10">
        <v>819227.47700000007</v>
      </c>
      <c r="Q64" s="10">
        <v>198304</v>
      </c>
      <c r="R64" s="10">
        <v>536.39</v>
      </c>
      <c r="S64" s="10">
        <v>48477.26</v>
      </c>
      <c r="T64" s="10">
        <v>1053472.969</v>
      </c>
      <c r="U64" s="10">
        <v>4389.8599999999997</v>
      </c>
      <c r="V64" s="10">
        <v>1052854.2750000001</v>
      </c>
      <c r="W64" s="10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spans="1:48" x14ac:dyDescent="0.25">
      <c r="A65" s="20">
        <v>43862</v>
      </c>
      <c r="B65" s="16">
        <v>2020</v>
      </c>
      <c r="C65" s="10">
        <v>189691.69</v>
      </c>
      <c r="D65" s="10">
        <v>62679.504000000008</v>
      </c>
      <c r="E65" s="10">
        <v>4610.3500000000004</v>
      </c>
      <c r="F65" s="10">
        <f t="shared" si="0"/>
        <v>67289.854000000007</v>
      </c>
      <c r="G65" s="10">
        <v>43000</v>
      </c>
      <c r="H65" s="10">
        <v>0</v>
      </c>
      <c r="I65" s="10">
        <v>122893.68</v>
      </c>
      <c r="J65" s="10">
        <v>9823</v>
      </c>
      <c r="K65" s="10">
        <v>0</v>
      </c>
      <c r="L65" s="10">
        <v>160327</v>
      </c>
      <c r="M65" s="10">
        <f t="shared" si="1"/>
        <v>160327</v>
      </c>
      <c r="N65" s="10">
        <v>1996</v>
      </c>
      <c r="O65" s="10">
        <v>140776</v>
      </c>
      <c r="P65" s="10">
        <v>746642.07499999995</v>
      </c>
      <c r="Q65" s="10">
        <v>123628.64</v>
      </c>
      <c r="R65" s="10">
        <v>300.28000000000003</v>
      </c>
      <c r="S65" s="10">
        <v>45128.53</v>
      </c>
      <c r="T65" s="10">
        <v>1004937.5670000002</v>
      </c>
      <c r="U65" s="10">
        <v>0</v>
      </c>
      <c r="V65" s="10">
        <v>1043602.248</v>
      </c>
      <c r="W65" s="10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</row>
    <row r="66" spans="1:48" x14ac:dyDescent="0.25">
      <c r="A66" s="20">
        <v>43891</v>
      </c>
      <c r="B66" s="16">
        <v>2020</v>
      </c>
      <c r="C66" s="10">
        <v>173827.60000000003</v>
      </c>
      <c r="D66" s="10">
        <v>82110.02800000002</v>
      </c>
      <c r="E66" s="10">
        <v>4875.63</v>
      </c>
      <c r="F66" s="10">
        <f t="shared" si="0"/>
        <v>86985.658000000025</v>
      </c>
      <c r="G66" s="10">
        <v>166677.21</v>
      </c>
      <c r="H66" s="10">
        <v>5.76</v>
      </c>
      <c r="I66" s="10">
        <v>94512</v>
      </c>
      <c r="J66" s="10">
        <v>8141</v>
      </c>
      <c r="K66" s="10">
        <v>0</v>
      </c>
      <c r="L66" s="10">
        <v>99537</v>
      </c>
      <c r="M66" s="10">
        <f t="shared" si="1"/>
        <v>99537</v>
      </c>
      <c r="N66" s="10">
        <v>5655</v>
      </c>
      <c r="O66" s="10">
        <v>158902</v>
      </c>
      <c r="P66" s="10">
        <v>779107.78</v>
      </c>
      <c r="Q66" s="10">
        <v>88179.484000000011</v>
      </c>
      <c r="R66" s="10">
        <v>350.334</v>
      </c>
      <c r="S66" s="10">
        <v>35372.881999999998</v>
      </c>
      <c r="T66" s="10">
        <v>922078.87099999981</v>
      </c>
      <c r="U66" s="10">
        <v>1629.94</v>
      </c>
      <c r="V66" s="10">
        <v>1117776.4470000004</v>
      </c>
      <c r="W66" s="10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</row>
    <row r="67" spans="1:48" x14ac:dyDescent="0.25">
      <c r="A67" s="20">
        <v>43922</v>
      </c>
      <c r="B67" s="16">
        <v>2020</v>
      </c>
      <c r="C67" s="10">
        <v>44793.299999999996</v>
      </c>
      <c r="D67" s="10">
        <v>33421.817000000003</v>
      </c>
      <c r="E67" s="10">
        <v>1397.2500000000002</v>
      </c>
      <c r="F67" s="10">
        <f t="shared" si="0"/>
        <v>34819.067000000003</v>
      </c>
      <c r="G67" s="10">
        <v>27784</v>
      </c>
      <c r="H67" s="10">
        <v>5.76</v>
      </c>
      <c r="I67" s="10">
        <v>22875</v>
      </c>
      <c r="J67" s="10">
        <v>0</v>
      </c>
      <c r="K67" s="10">
        <v>4962</v>
      </c>
      <c r="L67" s="10">
        <v>13186</v>
      </c>
      <c r="M67" s="10">
        <f t="shared" si="1"/>
        <v>18148</v>
      </c>
      <c r="N67" s="10">
        <v>5060</v>
      </c>
      <c r="O67" s="10">
        <v>162175</v>
      </c>
      <c r="P67" s="10">
        <v>528350.30499999993</v>
      </c>
      <c r="Q67" s="10">
        <v>69846.581000000006</v>
      </c>
      <c r="R67" s="10">
        <v>414.86799999999999</v>
      </c>
      <c r="S67" s="10">
        <v>46794.34</v>
      </c>
      <c r="T67" s="10">
        <v>805583.77500000002</v>
      </c>
      <c r="U67" s="10">
        <v>0</v>
      </c>
      <c r="V67" s="10">
        <v>1026281.2120000001</v>
      </c>
      <c r="W67" s="10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</row>
    <row r="68" spans="1:48" x14ac:dyDescent="0.25">
      <c r="A68" s="20">
        <v>43952</v>
      </c>
      <c r="B68" s="16">
        <v>2020</v>
      </c>
      <c r="C68" s="10">
        <v>78667.629999999976</v>
      </c>
      <c r="D68" s="10">
        <v>76428.108999999997</v>
      </c>
      <c r="E68" s="10">
        <v>470.55</v>
      </c>
      <c r="F68" s="10">
        <f t="shared" si="0"/>
        <v>76898.659</v>
      </c>
      <c r="G68" s="10">
        <v>0</v>
      </c>
      <c r="H68" s="10">
        <v>0</v>
      </c>
      <c r="I68" s="10">
        <v>14601</v>
      </c>
      <c r="J68" s="10">
        <v>0</v>
      </c>
      <c r="K68" s="10">
        <v>0</v>
      </c>
      <c r="L68" s="10">
        <v>15203</v>
      </c>
      <c r="M68" s="10">
        <f t="shared" si="1"/>
        <v>15203</v>
      </c>
      <c r="N68" s="10">
        <v>8938</v>
      </c>
      <c r="O68" s="10">
        <v>149964</v>
      </c>
      <c r="P68" s="10">
        <v>722134.32499999995</v>
      </c>
      <c r="Q68" s="10">
        <v>169692.04</v>
      </c>
      <c r="R68" s="10">
        <v>202.48000000000002</v>
      </c>
      <c r="S68" s="10">
        <v>46900.34</v>
      </c>
      <c r="T68" s="10">
        <v>999860.2579999998</v>
      </c>
      <c r="U68" s="10">
        <v>0</v>
      </c>
      <c r="V68" s="10">
        <v>1057982.1910000001</v>
      </c>
      <c r="W68" s="10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</row>
    <row r="69" spans="1:48" x14ac:dyDescent="0.25">
      <c r="A69" s="20">
        <v>43983</v>
      </c>
      <c r="B69" s="16">
        <v>2020</v>
      </c>
      <c r="C69" s="10">
        <v>133137.00999999998</v>
      </c>
      <c r="D69" s="10">
        <v>84860.449999999983</v>
      </c>
      <c r="E69" s="10">
        <v>1390.2899999999997</v>
      </c>
      <c r="F69" s="10">
        <f t="shared" ref="F69:F125" si="2">E69+D69</f>
        <v>86250.739999999976</v>
      </c>
      <c r="G69" s="10">
        <v>0</v>
      </c>
      <c r="H69" s="10">
        <v>0</v>
      </c>
      <c r="I69" s="10">
        <v>17251</v>
      </c>
      <c r="J69" s="10">
        <v>0</v>
      </c>
      <c r="K69" s="10">
        <v>0</v>
      </c>
      <c r="L69" s="10">
        <v>16137</v>
      </c>
      <c r="M69" s="10">
        <f t="shared" ref="M69:M125" si="3">L69+K69</f>
        <v>16137</v>
      </c>
      <c r="N69" s="10">
        <v>0</v>
      </c>
      <c r="O69" s="10">
        <v>150196</v>
      </c>
      <c r="P69" s="10">
        <v>803339.64899999998</v>
      </c>
      <c r="Q69" s="10">
        <v>72318.182000000001</v>
      </c>
      <c r="R69" s="10">
        <v>545.26</v>
      </c>
      <c r="S69" s="10">
        <v>79760.11</v>
      </c>
      <c r="T69" s="10">
        <v>921885.17100000032</v>
      </c>
      <c r="U69" s="10">
        <v>0</v>
      </c>
      <c r="V69" s="10">
        <v>1124132.7479999999</v>
      </c>
      <c r="W69" s="10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</row>
    <row r="70" spans="1:48" x14ac:dyDescent="0.25">
      <c r="A70" s="20">
        <v>44013</v>
      </c>
      <c r="B70" s="16">
        <v>2020</v>
      </c>
      <c r="C70" s="10">
        <v>169827.24000000005</v>
      </c>
      <c r="D70" s="10">
        <v>72314.616999999998</v>
      </c>
      <c r="E70" s="10">
        <v>501.74999999999994</v>
      </c>
      <c r="F70" s="10">
        <f t="shared" si="2"/>
        <v>72816.366999999998</v>
      </c>
      <c r="G70" s="10">
        <v>119431</v>
      </c>
      <c r="H70" s="10">
        <v>0</v>
      </c>
      <c r="I70" s="10">
        <v>10185.24</v>
      </c>
      <c r="J70" s="10">
        <v>0</v>
      </c>
      <c r="K70" s="10">
        <v>54</v>
      </c>
      <c r="L70" s="10">
        <v>12732</v>
      </c>
      <c r="M70" s="10">
        <f t="shared" si="3"/>
        <v>12786</v>
      </c>
      <c r="N70" s="10">
        <v>0</v>
      </c>
      <c r="O70" s="10">
        <v>147851</v>
      </c>
      <c r="P70" s="10">
        <v>872855.973</v>
      </c>
      <c r="Q70" s="10">
        <v>60846.57</v>
      </c>
      <c r="R70" s="10">
        <v>294.72000000000003</v>
      </c>
      <c r="S70" s="10">
        <v>74482.733999999997</v>
      </c>
      <c r="T70" s="10">
        <v>1087974.2459999996</v>
      </c>
      <c r="U70" s="10">
        <v>0</v>
      </c>
      <c r="V70" s="10">
        <v>1068313.1430000002</v>
      </c>
      <c r="W70" s="10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</row>
    <row r="71" spans="1:48" x14ac:dyDescent="0.25">
      <c r="A71" s="20">
        <v>44044</v>
      </c>
      <c r="B71" s="16">
        <v>2020</v>
      </c>
      <c r="C71" s="10">
        <v>106755.03</v>
      </c>
      <c r="D71" s="10">
        <v>12190.569999999998</v>
      </c>
      <c r="E71" s="10">
        <v>845.06000000000006</v>
      </c>
      <c r="F71" s="10">
        <f t="shared" si="2"/>
        <v>13035.629999999997</v>
      </c>
      <c r="G71" s="10">
        <v>74243.520000000004</v>
      </c>
      <c r="H71" s="10">
        <v>0</v>
      </c>
      <c r="I71" s="10">
        <v>4487</v>
      </c>
      <c r="J71" s="10">
        <v>0</v>
      </c>
      <c r="K71" s="10">
        <v>0</v>
      </c>
      <c r="L71" s="10">
        <v>12366</v>
      </c>
      <c r="M71" s="10">
        <f t="shared" si="3"/>
        <v>12366</v>
      </c>
      <c r="N71" s="10">
        <v>0</v>
      </c>
      <c r="O71" s="10">
        <v>138023</v>
      </c>
      <c r="P71" s="10">
        <v>841143.87799999991</v>
      </c>
      <c r="Q71" s="10">
        <v>99475.69</v>
      </c>
      <c r="R71" s="10">
        <v>262.89000000000004</v>
      </c>
      <c r="S71" s="10">
        <v>60190.296999999999</v>
      </c>
      <c r="T71" s="10">
        <v>1149944.9630000002</v>
      </c>
      <c r="U71" s="10">
        <v>0</v>
      </c>
      <c r="V71" s="10">
        <v>1006192.0000000001</v>
      </c>
      <c r="W71" s="10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</row>
    <row r="72" spans="1:48" x14ac:dyDescent="0.25">
      <c r="A72" s="20">
        <v>44075</v>
      </c>
      <c r="B72" s="16">
        <v>2020</v>
      </c>
      <c r="C72" s="10">
        <v>105941.04</v>
      </c>
      <c r="D72" s="10">
        <v>4926.119999999999</v>
      </c>
      <c r="E72" s="10">
        <v>369.37999999999994</v>
      </c>
      <c r="F72" s="10">
        <f t="shared" si="2"/>
        <v>5295.4999999999991</v>
      </c>
      <c r="G72" s="10">
        <v>135756.47999999998</v>
      </c>
      <c r="H72" s="10">
        <v>0</v>
      </c>
      <c r="I72" s="10">
        <v>6420.76</v>
      </c>
      <c r="J72" s="10">
        <v>0</v>
      </c>
      <c r="K72" s="10">
        <v>0</v>
      </c>
      <c r="L72" s="10">
        <v>16818</v>
      </c>
      <c r="M72" s="10">
        <f t="shared" si="3"/>
        <v>16818</v>
      </c>
      <c r="N72" s="10">
        <v>0</v>
      </c>
      <c r="O72" s="10">
        <v>119539</v>
      </c>
      <c r="P72" s="10">
        <v>641959.69800000009</v>
      </c>
      <c r="Q72" s="10">
        <v>112255</v>
      </c>
      <c r="R72" s="10">
        <v>501.97799999999995</v>
      </c>
      <c r="S72" s="10">
        <v>47719.235000000001</v>
      </c>
      <c r="T72" s="10">
        <v>957010.20999999973</v>
      </c>
      <c r="U72" s="10">
        <v>0</v>
      </c>
      <c r="V72" s="10">
        <v>888400.40399999998</v>
      </c>
      <c r="W72" s="10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</row>
    <row r="73" spans="1:48" x14ac:dyDescent="0.25">
      <c r="A73" s="20">
        <v>44105</v>
      </c>
      <c r="B73" s="16">
        <v>2020</v>
      </c>
      <c r="C73" s="10">
        <v>12289.05</v>
      </c>
      <c r="D73" s="10">
        <v>1165.5200000000002</v>
      </c>
      <c r="E73" s="10">
        <v>396.54</v>
      </c>
      <c r="F73" s="10">
        <f t="shared" si="2"/>
        <v>1562.0600000000002</v>
      </c>
      <c r="G73" s="10">
        <v>0</v>
      </c>
      <c r="H73" s="10">
        <v>0</v>
      </c>
      <c r="I73" s="10">
        <v>18905</v>
      </c>
      <c r="J73" s="10">
        <v>0</v>
      </c>
      <c r="K73" s="10">
        <v>0</v>
      </c>
      <c r="L73" s="10">
        <v>22667</v>
      </c>
      <c r="M73" s="10">
        <f t="shared" si="3"/>
        <v>22667</v>
      </c>
      <c r="N73" s="10">
        <v>0</v>
      </c>
      <c r="O73" s="10">
        <v>103954</v>
      </c>
      <c r="P73" s="10">
        <v>692916.321</v>
      </c>
      <c r="Q73" s="10">
        <v>114294.75</v>
      </c>
      <c r="R73" s="10">
        <v>313.32000000000005</v>
      </c>
      <c r="S73" s="10">
        <v>52706.81</v>
      </c>
      <c r="T73" s="10">
        <v>965910.53399999987</v>
      </c>
      <c r="U73" s="10">
        <v>0</v>
      </c>
      <c r="V73" s="10">
        <v>849074.67500000016</v>
      </c>
      <c r="W73" s="10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</row>
    <row r="74" spans="1:48" x14ac:dyDescent="0.25">
      <c r="A74" s="20">
        <v>44136</v>
      </c>
      <c r="B74" s="16">
        <v>2020</v>
      </c>
      <c r="C74" s="10">
        <v>28315.760000000002</v>
      </c>
      <c r="D74" s="10">
        <v>200.51999999999998</v>
      </c>
      <c r="E74" s="10">
        <v>166.66</v>
      </c>
      <c r="F74" s="10">
        <f t="shared" si="2"/>
        <v>367.17999999999995</v>
      </c>
      <c r="G74" s="10">
        <v>0</v>
      </c>
      <c r="H74" s="10">
        <v>0</v>
      </c>
      <c r="I74" s="10">
        <v>31822</v>
      </c>
      <c r="J74" s="10">
        <v>0</v>
      </c>
      <c r="K74" s="10">
        <v>0</v>
      </c>
      <c r="L74" s="10">
        <v>30233</v>
      </c>
      <c r="M74" s="10">
        <f t="shared" si="3"/>
        <v>30233</v>
      </c>
      <c r="N74" s="10">
        <v>0</v>
      </c>
      <c r="O74" s="10">
        <v>107194</v>
      </c>
      <c r="P74" s="10">
        <v>724259.87899999996</v>
      </c>
      <c r="Q74" s="10">
        <v>139545.34299999999</v>
      </c>
      <c r="R74" s="10">
        <v>2119.44</v>
      </c>
      <c r="S74" s="10">
        <v>85228.508000000002</v>
      </c>
      <c r="T74" s="10">
        <v>1006082.1820000001</v>
      </c>
      <c r="U74" s="10">
        <v>0</v>
      </c>
      <c r="V74" s="10">
        <v>855835.28300000005</v>
      </c>
      <c r="W74" s="10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</row>
    <row r="75" spans="1:48" x14ac:dyDescent="0.25">
      <c r="A75" s="20">
        <v>44166</v>
      </c>
      <c r="B75" s="16">
        <v>2020</v>
      </c>
      <c r="C75" s="10">
        <v>9058.43</v>
      </c>
      <c r="D75" s="10">
        <v>1391.4099999999999</v>
      </c>
      <c r="E75" s="10">
        <v>450.66</v>
      </c>
      <c r="F75" s="10">
        <f t="shared" si="2"/>
        <v>1842.07</v>
      </c>
      <c r="G75" s="10">
        <v>0</v>
      </c>
      <c r="H75" s="10">
        <v>0</v>
      </c>
      <c r="I75" s="10">
        <v>37411</v>
      </c>
      <c r="J75" s="10">
        <v>0</v>
      </c>
      <c r="K75" s="10">
        <v>0</v>
      </c>
      <c r="L75" s="10">
        <v>43430</v>
      </c>
      <c r="M75" s="10">
        <f t="shared" si="3"/>
        <v>43430</v>
      </c>
      <c r="N75" s="10">
        <v>0</v>
      </c>
      <c r="O75" s="10">
        <v>108099</v>
      </c>
      <c r="P75" s="10">
        <v>773213.32200000004</v>
      </c>
      <c r="Q75" s="10">
        <v>89450.70199999999</v>
      </c>
      <c r="R75" s="10">
        <v>186.34</v>
      </c>
      <c r="S75" s="10">
        <v>95900.217000000004</v>
      </c>
      <c r="T75" s="10">
        <v>1057199.504</v>
      </c>
      <c r="U75" s="10">
        <v>0</v>
      </c>
      <c r="V75" s="10">
        <v>773367.53000000014</v>
      </c>
      <c r="W75" s="10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</row>
    <row r="76" spans="1:48" x14ac:dyDescent="0.25">
      <c r="A76" s="20">
        <v>44197</v>
      </c>
      <c r="B76" s="16">
        <v>2021</v>
      </c>
      <c r="C76" s="10">
        <v>28073.120000000003</v>
      </c>
      <c r="D76" s="10">
        <v>22283.05</v>
      </c>
      <c r="E76" s="10">
        <v>368.03999999999996</v>
      </c>
      <c r="F76" s="10">
        <f t="shared" si="2"/>
        <v>22651.09</v>
      </c>
      <c r="G76" s="10">
        <v>58500</v>
      </c>
      <c r="H76" s="10">
        <v>0</v>
      </c>
      <c r="I76" s="10">
        <v>49720</v>
      </c>
      <c r="J76" s="10">
        <v>0</v>
      </c>
      <c r="K76" s="10">
        <v>0</v>
      </c>
      <c r="L76" s="10">
        <v>56732</v>
      </c>
      <c r="M76" s="10">
        <f t="shared" si="3"/>
        <v>56732</v>
      </c>
      <c r="N76" s="10">
        <v>0</v>
      </c>
      <c r="O76" s="10">
        <v>110747</v>
      </c>
      <c r="P76" s="10">
        <v>860678.91200000001</v>
      </c>
      <c r="Q76" s="10">
        <v>161262.18</v>
      </c>
      <c r="R76" s="10">
        <v>479.15000000000003</v>
      </c>
      <c r="S76" s="10">
        <v>48417.37</v>
      </c>
      <c r="T76" s="10">
        <v>973046.26700000023</v>
      </c>
      <c r="U76" s="10">
        <v>0</v>
      </c>
      <c r="V76" s="10">
        <v>984109.7100000002</v>
      </c>
      <c r="W76" s="10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</row>
    <row r="77" spans="1:48" x14ac:dyDescent="0.25">
      <c r="A77" s="20">
        <v>44228</v>
      </c>
      <c r="B77" s="16">
        <v>2021</v>
      </c>
      <c r="C77" s="10">
        <v>164411.47000000006</v>
      </c>
      <c r="D77" s="10">
        <v>43545.139649000004</v>
      </c>
      <c r="E77" s="10">
        <v>342.6</v>
      </c>
      <c r="F77" s="10">
        <f t="shared" si="2"/>
        <v>43887.739649000003</v>
      </c>
      <c r="G77" s="10">
        <v>90000</v>
      </c>
      <c r="H77" s="10">
        <v>0</v>
      </c>
      <c r="I77" s="10">
        <v>41491</v>
      </c>
      <c r="J77" s="10">
        <v>0</v>
      </c>
      <c r="K77" s="10">
        <v>0</v>
      </c>
      <c r="L77" s="10">
        <v>49657</v>
      </c>
      <c r="M77" s="10">
        <f t="shared" si="3"/>
        <v>49657</v>
      </c>
      <c r="N77" s="10">
        <v>2991</v>
      </c>
      <c r="O77" s="10">
        <v>108462</v>
      </c>
      <c r="P77" s="10">
        <v>753273</v>
      </c>
      <c r="Q77" s="10">
        <v>59348.32</v>
      </c>
      <c r="R77" s="10">
        <v>206.74</v>
      </c>
      <c r="S77" s="10">
        <v>74959.83</v>
      </c>
      <c r="T77" s="10">
        <v>924062.9040000001</v>
      </c>
      <c r="U77" s="10">
        <v>0</v>
      </c>
      <c r="V77" s="10">
        <v>1022197.9249999999</v>
      </c>
      <c r="W77" s="10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</row>
    <row r="78" spans="1:48" x14ac:dyDescent="0.25">
      <c r="A78" s="20">
        <v>44256</v>
      </c>
      <c r="B78" s="16">
        <v>2021</v>
      </c>
      <c r="C78" s="10">
        <v>126450.01</v>
      </c>
      <c r="D78" s="10">
        <v>50760.49</v>
      </c>
      <c r="E78" s="10">
        <v>243.46</v>
      </c>
      <c r="F78" s="10">
        <f t="shared" si="2"/>
        <v>51003.95</v>
      </c>
      <c r="G78" s="10">
        <v>118883.58</v>
      </c>
      <c r="H78" s="10">
        <v>0</v>
      </c>
      <c r="I78" s="10">
        <v>42974</v>
      </c>
      <c r="J78" s="10">
        <v>0</v>
      </c>
      <c r="K78" s="10">
        <v>0</v>
      </c>
      <c r="L78" s="10">
        <v>55474</v>
      </c>
      <c r="M78" s="10">
        <f t="shared" si="3"/>
        <v>55474</v>
      </c>
      <c r="N78" s="10">
        <v>0</v>
      </c>
      <c r="O78" s="10">
        <v>104822</v>
      </c>
      <c r="P78" s="10">
        <v>867838.23099999991</v>
      </c>
      <c r="Q78" s="10">
        <v>123321.94</v>
      </c>
      <c r="R78" s="10">
        <v>298.27999999999997</v>
      </c>
      <c r="S78" s="10">
        <v>57786.8</v>
      </c>
      <c r="T78" s="10">
        <v>1172110.9890000001</v>
      </c>
      <c r="U78" s="10">
        <v>0</v>
      </c>
      <c r="V78" s="10">
        <v>940929.52099999995</v>
      </c>
      <c r="W78" s="10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</row>
    <row r="79" spans="1:48" x14ac:dyDescent="0.25">
      <c r="A79" s="20">
        <v>44287</v>
      </c>
      <c r="B79" s="16">
        <v>2021</v>
      </c>
      <c r="C79" s="10">
        <v>84848.989999999976</v>
      </c>
      <c r="D79" s="10">
        <v>36287.341999999997</v>
      </c>
      <c r="E79" s="10">
        <v>47.36</v>
      </c>
      <c r="F79" s="10">
        <f t="shared" si="2"/>
        <v>36334.701999999997</v>
      </c>
      <c r="G79" s="10">
        <v>0</v>
      </c>
      <c r="H79" s="10">
        <v>0</v>
      </c>
      <c r="I79" s="10">
        <v>38112.36</v>
      </c>
      <c r="J79" s="10">
        <v>0</v>
      </c>
      <c r="K79" s="10">
        <v>0</v>
      </c>
      <c r="L79" s="10">
        <v>46418</v>
      </c>
      <c r="M79" s="10">
        <f t="shared" si="3"/>
        <v>46418</v>
      </c>
      <c r="N79" s="10">
        <v>0</v>
      </c>
      <c r="O79" s="10">
        <v>104415</v>
      </c>
      <c r="P79" s="10">
        <v>798169.89500000002</v>
      </c>
      <c r="Q79" s="10">
        <v>134132.9</v>
      </c>
      <c r="R79" s="10">
        <v>354.34000000000003</v>
      </c>
      <c r="S79" s="10">
        <v>47830.46</v>
      </c>
      <c r="T79" s="10">
        <v>1119578.692</v>
      </c>
      <c r="U79" s="10">
        <v>3021.34</v>
      </c>
      <c r="V79" s="10">
        <v>872827.48900000006</v>
      </c>
      <c r="W79" s="10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</row>
    <row r="80" spans="1:48" x14ac:dyDescent="0.25">
      <c r="A80" s="20">
        <v>44317</v>
      </c>
      <c r="B80" s="16">
        <v>2021</v>
      </c>
      <c r="C80" s="10">
        <v>188078.56</v>
      </c>
      <c r="D80" s="10">
        <v>15070.599999999999</v>
      </c>
      <c r="E80" s="10">
        <v>33.28</v>
      </c>
      <c r="F80" s="10">
        <f t="shared" si="2"/>
        <v>15103.88</v>
      </c>
      <c r="G80" s="10">
        <v>141792.53</v>
      </c>
      <c r="H80" s="10">
        <v>0</v>
      </c>
      <c r="I80" s="10">
        <v>32675</v>
      </c>
      <c r="J80" s="10">
        <v>0</v>
      </c>
      <c r="K80" s="10">
        <v>0</v>
      </c>
      <c r="L80" s="10">
        <v>40854</v>
      </c>
      <c r="M80" s="10">
        <f t="shared" si="3"/>
        <v>40854</v>
      </c>
      <c r="N80" s="10">
        <v>2989</v>
      </c>
      <c r="O80" s="10">
        <v>96685</v>
      </c>
      <c r="P80" s="10">
        <v>869445.61800000013</v>
      </c>
      <c r="Q80" s="10">
        <v>132167.28</v>
      </c>
      <c r="R80" s="10">
        <v>418.61</v>
      </c>
      <c r="S80" s="10">
        <v>57420.42</v>
      </c>
      <c r="T80" s="10">
        <v>1156550.507</v>
      </c>
      <c r="U80" s="10">
        <v>0</v>
      </c>
      <c r="V80" s="10">
        <v>871895.30500000005</v>
      </c>
      <c r="W80" s="10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</row>
    <row r="81" spans="1:48" x14ac:dyDescent="0.25">
      <c r="A81" s="20">
        <v>44348</v>
      </c>
      <c r="B81" s="16">
        <v>2021</v>
      </c>
      <c r="C81" s="10">
        <v>170383.05000000002</v>
      </c>
      <c r="D81" s="10">
        <v>7390.9699999999993</v>
      </c>
      <c r="E81" s="10">
        <v>33.42</v>
      </c>
      <c r="F81" s="10">
        <f t="shared" si="2"/>
        <v>7424.3899999999994</v>
      </c>
      <c r="G81" s="10">
        <v>169289.47</v>
      </c>
      <c r="H81" s="10">
        <v>0</v>
      </c>
      <c r="I81" s="10">
        <v>25499</v>
      </c>
      <c r="J81" s="10">
        <v>0</v>
      </c>
      <c r="K81" s="10">
        <v>0</v>
      </c>
      <c r="L81" s="10">
        <v>38118</v>
      </c>
      <c r="M81" s="10">
        <f t="shared" si="3"/>
        <v>38118</v>
      </c>
      <c r="N81" s="10">
        <v>2503</v>
      </c>
      <c r="O81" s="10">
        <v>83687</v>
      </c>
      <c r="P81" s="10">
        <v>838807.03099999996</v>
      </c>
      <c r="Q81" s="10">
        <v>156881.83000000002</v>
      </c>
      <c r="R81" s="10">
        <v>518.52</v>
      </c>
      <c r="S81" s="10">
        <v>57275.06</v>
      </c>
      <c r="T81" s="10">
        <v>1128273.301</v>
      </c>
      <c r="U81" s="10">
        <v>0</v>
      </c>
      <c r="V81" s="10">
        <v>870326.53100000008</v>
      </c>
      <c r="W81" s="10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</row>
    <row r="82" spans="1:48" x14ac:dyDescent="0.25">
      <c r="A82" s="20">
        <v>44378</v>
      </c>
      <c r="B82" s="16">
        <v>2021</v>
      </c>
      <c r="C82" s="10">
        <v>218220.08000000002</v>
      </c>
      <c r="D82" s="10">
        <v>43387.99500000001</v>
      </c>
      <c r="E82" s="10">
        <v>49.82</v>
      </c>
      <c r="F82" s="10">
        <f t="shared" si="2"/>
        <v>43437.81500000001</v>
      </c>
      <c r="G82" s="10">
        <v>210528</v>
      </c>
      <c r="H82" s="10">
        <v>0</v>
      </c>
      <c r="I82" s="10">
        <v>34489</v>
      </c>
      <c r="J82" s="10">
        <v>0</v>
      </c>
      <c r="K82" s="10">
        <v>0</v>
      </c>
      <c r="L82" s="10">
        <v>47368</v>
      </c>
      <c r="M82" s="10">
        <f t="shared" si="3"/>
        <v>47368</v>
      </c>
      <c r="N82" s="10">
        <v>5007</v>
      </c>
      <c r="O82" s="10">
        <v>72882</v>
      </c>
      <c r="P82" s="10">
        <v>850122.56300000008</v>
      </c>
      <c r="Q82" s="10">
        <v>151181.13999999998</v>
      </c>
      <c r="R82" s="10">
        <v>232.23</v>
      </c>
      <c r="S82" s="10">
        <v>56621.52</v>
      </c>
      <c r="T82" s="10">
        <v>1241743.442</v>
      </c>
      <c r="U82" s="10">
        <v>0</v>
      </c>
      <c r="V82" s="10">
        <v>772645.63299999991</v>
      </c>
      <c r="W82" s="10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</row>
    <row r="83" spans="1:48" x14ac:dyDescent="0.25">
      <c r="A83" s="20">
        <v>44409</v>
      </c>
      <c r="B83" s="16">
        <v>2021</v>
      </c>
      <c r="C83" s="10">
        <v>182509.21000000008</v>
      </c>
      <c r="D83" s="10">
        <v>38230.685999999994</v>
      </c>
      <c r="E83" s="10">
        <v>33.76</v>
      </c>
      <c r="F83" s="10">
        <f t="shared" si="2"/>
        <v>38264.445999999996</v>
      </c>
      <c r="G83" s="10">
        <v>146795</v>
      </c>
      <c r="H83" s="10">
        <v>0</v>
      </c>
      <c r="I83" s="10">
        <v>51978</v>
      </c>
      <c r="J83" s="10">
        <v>0</v>
      </c>
      <c r="K83" s="10">
        <v>0</v>
      </c>
      <c r="L83" s="10">
        <v>53547</v>
      </c>
      <c r="M83" s="10">
        <f t="shared" si="3"/>
        <v>53547</v>
      </c>
      <c r="N83" s="10">
        <v>2479</v>
      </c>
      <c r="O83" s="10">
        <v>80213</v>
      </c>
      <c r="P83" s="10">
        <v>877004.49300000002</v>
      </c>
      <c r="Q83" s="10">
        <v>166057.99000000002</v>
      </c>
      <c r="R83" s="10">
        <v>546.43000000000006</v>
      </c>
      <c r="S83" s="10">
        <v>73743.41</v>
      </c>
      <c r="T83" s="10">
        <v>1164434.9990000003</v>
      </c>
      <c r="U83" s="10">
        <v>160</v>
      </c>
      <c r="V83" s="10">
        <v>812295.255</v>
      </c>
      <c r="W83" s="10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</row>
    <row r="84" spans="1:48" x14ac:dyDescent="0.25">
      <c r="A84" s="20">
        <v>44440</v>
      </c>
      <c r="B84" s="16">
        <v>2021</v>
      </c>
      <c r="C84" s="10">
        <v>170614</v>
      </c>
      <c r="D84" s="10">
        <v>50149</v>
      </c>
      <c r="E84" s="10">
        <v>66</v>
      </c>
      <c r="F84" s="10">
        <f t="shared" si="2"/>
        <v>50215</v>
      </c>
      <c r="G84" s="10">
        <v>93752</v>
      </c>
      <c r="H84" s="10">
        <v>0</v>
      </c>
      <c r="I84" s="10">
        <v>57156</v>
      </c>
      <c r="J84" s="10">
        <v>0</v>
      </c>
      <c r="K84" s="10">
        <v>0</v>
      </c>
      <c r="L84" s="10">
        <v>58136</v>
      </c>
      <c r="M84" s="10">
        <f t="shared" si="3"/>
        <v>58136</v>
      </c>
      <c r="N84" s="10">
        <v>0</v>
      </c>
      <c r="O84" s="10">
        <v>92290</v>
      </c>
      <c r="P84" s="10">
        <v>819282.39900000009</v>
      </c>
      <c r="Q84" s="10">
        <v>165931.28999999998</v>
      </c>
      <c r="R84" s="10">
        <v>360.09000000000003</v>
      </c>
      <c r="S84" s="10">
        <v>60249.07</v>
      </c>
      <c r="T84" s="10">
        <v>1159438.7000000002</v>
      </c>
      <c r="U84" s="10">
        <v>581.67999999999995</v>
      </c>
      <c r="V84" s="10">
        <v>765843.03200000012</v>
      </c>
      <c r="W84" s="10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</row>
    <row r="85" spans="1:48" x14ac:dyDescent="0.25">
      <c r="A85" s="20">
        <v>44470</v>
      </c>
      <c r="B85" s="16">
        <v>2021</v>
      </c>
      <c r="C85" s="10">
        <v>147626</v>
      </c>
      <c r="D85" s="10">
        <v>39684</v>
      </c>
      <c r="E85" s="10">
        <v>0</v>
      </c>
      <c r="F85" s="10">
        <f t="shared" si="2"/>
        <v>39684</v>
      </c>
      <c r="G85" s="10">
        <v>170029</v>
      </c>
      <c r="H85" s="10">
        <v>0</v>
      </c>
      <c r="I85" s="10">
        <v>69546</v>
      </c>
      <c r="J85" s="10">
        <v>0</v>
      </c>
      <c r="K85" s="10">
        <v>0</v>
      </c>
      <c r="L85" s="10">
        <v>71179</v>
      </c>
      <c r="M85" s="10">
        <f t="shared" si="3"/>
        <v>71179</v>
      </c>
      <c r="N85" s="10">
        <v>0</v>
      </c>
      <c r="O85" s="10">
        <v>106192</v>
      </c>
      <c r="P85" s="10">
        <v>861927.7159999999</v>
      </c>
      <c r="Q85" s="10">
        <v>263686.05</v>
      </c>
      <c r="R85" s="10">
        <v>362.94400000000002</v>
      </c>
      <c r="S85" s="10">
        <v>53461.41</v>
      </c>
      <c r="T85" s="10">
        <v>1191269</v>
      </c>
      <c r="U85" s="10">
        <v>0</v>
      </c>
      <c r="V85" s="10">
        <v>860556.28800000006</v>
      </c>
      <c r="W85" s="10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</row>
    <row r="86" spans="1:48" x14ac:dyDescent="0.25">
      <c r="A86" s="20">
        <v>44501</v>
      </c>
      <c r="B86" s="16">
        <v>2021</v>
      </c>
      <c r="C86" s="10">
        <v>99923</v>
      </c>
      <c r="D86" s="10">
        <v>45837</v>
      </c>
      <c r="E86" s="10">
        <v>41</v>
      </c>
      <c r="F86" s="10">
        <f t="shared" si="2"/>
        <v>45878</v>
      </c>
      <c r="G86" s="10">
        <v>25000</v>
      </c>
      <c r="H86" s="10">
        <v>0</v>
      </c>
      <c r="I86" s="10">
        <v>65471</v>
      </c>
      <c r="J86" s="10">
        <v>0</v>
      </c>
      <c r="K86" s="10">
        <v>0</v>
      </c>
      <c r="L86" s="10">
        <v>84996</v>
      </c>
      <c r="M86" s="10">
        <f t="shared" si="3"/>
        <v>84996</v>
      </c>
      <c r="N86" s="10">
        <v>0</v>
      </c>
      <c r="O86" s="10">
        <v>100409</v>
      </c>
      <c r="P86" s="10">
        <v>851715.69</v>
      </c>
      <c r="Q86" s="10">
        <v>224946.39</v>
      </c>
      <c r="R86" s="10">
        <v>353.17500000000001</v>
      </c>
      <c r="S86" s="10">
        <v>53153.440000000002</v>
      </c>
      <c r="T86" s="10">
        <v>1222614.23</v>
      </c>
      <c r="U86" s="10">
        <v>0</v>
      </c>
      <c r="V86" s="10">
        <v>842481.07500000007</v>
      </c>
      <c r="W86" s="10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</row>
    <row r="87" spans="1:48" x14ac:dyDescent="0.25">
      <c r="A87" s="20">
        <v>44531</v>
      </c>
      <c r="B87" s="16">
        <v>2021</v>
      </c>
      <c r="C87" s="10">
        <v>142528</v>
      </c>
      <c r="D87" s="10">
        <v>45530</v>
      </c>
      <c r="E87" s="10">
        <v>0</v>
      </c>
      <c r="F87" s="10">
        <f t="shared" si="2"/>
        <v>45530</v>
      </c>
      <c r="G87" s="10">
        <v>45000</v>
      </c>
      <c r="H87" s="10">
        <v>0</v>
      </c>
      <c r="I87" s="10">
        <v>80568</v>
      </c>
      <c r="J87" s="10">
        <v>0</v>
      </c>
      <c r="K87" s="10">
        <v>0</v>
      </c>
      <c r="L87" s="10">
        <v>95643</v>
      </c>
      <c r="M87" s="10">
        <f t="shared" si="3"/>
        <v>95643</v>
      </c>
      <c r="N87" s="10">
        <v>0</v>
      </c>
      <c r="O87" s="10">
        <v>103552</v>
      </c>
      <c r="P87" s="10">
        <v>893647.31799999997</v>
      </c>
      <c r="Q87" s="10">
        <v>232831.42</v>
      </c>
      <c r="R87" s="10">
        <v>498.21500000000003</v>
      </c>
      <c r="S87" s="10">
        <v>62921.68</v>
      </c>
      <c r="T87" s="10">
        <v>1262323.56</v>
      </c>
      <c r="U87" s="10">
        <v>0</v>
      </c>
      <c r="V87" s="10">
        <v>872148.18700000003</v>
      </c>
      <c r="W87" s="10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</row>
    <row r="88" spans="1:48" x14ac:dyDescent="0.25">
      <c r="A88" s="20">
        <v>44562</v>
      </c>
      <c r="B88" s="16">
        <v>2022</v>
      </c>
      <c r="C88" s="10">
        <v>189216.78999999998</v>
      </c>
      <c r="D88" s="10">
        <v>44817.705999999998</v>
      </c>
      <c r="E88" s="10">
        <v>37.64</v>
      </c>
      <c r="F88" s="10">
        <f t="shared" si="2"/>
        <v>44855.345999999998</v>
      </c>
      <c r="G88" s="10">
        <v>140870.5</v>
      </c>
      <c r="H88" s="10">
        <v>0</v>
      </c>
      <c r="I88" s="10">
        <v>83193</v>
      </c>
      <c r="J88" s="10">
        <v>0</v>
      </c>
      <c r="K88" s="10">
        <v>0</v>
      </c>
      <c r="L88" s="10">
        <v>100970</v>
      </c>
      <c r="M88" s="10">
        <f t="shared" si="3"/>
        <v>100970</v>
      </c>
      <c r="N88" s="10">
        <v>0</v>
      </c>
      <c r="O88" s="10">
        <v>104729</v>
      </c>
      <c r="P88" s="10">
        <v>878707.17600000009</v>
      </c>
      <c r="Q88" s="10">
        <v>146688.58000000002</v>
      </c>
      <c r="R88" s="10">
        <v>454.37</v>
      </c>
      <c r="S88" s="10">
        <v>52662.39</v>
      </c>
      <c r="T88" s="10">
        <v>1126382.8500000001</v>
      </c>
      <c r="U88" s="10">
        <v>0</v>
      </c>
      <c r="V88" s="10">
        <v>929556.24500000011</v>
      </c>
      <c r="W88" s="10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</row>
    <row r="89" spans="1:48" x14ac:dyDescent="0.25">
      <c r="A89" s="20">
        <v>44593</v>
      </c>
      <c r="B89" s="16">
        <v>2022</v>
      </c>
      <c r="C89" s="10">
        <v>177386.34999999998</v>
      </c>
      <c r="D89" s="10">
        <v>35840.686999999991</v>
      </c>
      <c r="E89" s="10">
        <v>0</v>
      </c>
      <c r="F89" s="10">
        <f t="shared" si="2"/>
        <v>35840.686999999991</v>
      </c>
      <c r="G89" s="10">
        <v>175224</v>
      </c>
      <c r="H89" s="10">
        <v>0</v>
      </c>
      <c r="I89" s="10">
        <v>60183</v>
      </c>
      <c r="J89" s="10">
        <v>13733</v>
      </c>
      <c r="K89" s="10">
        <v>5459</v>
      </c>
      <c r="L89" s="10">
        <v>97206</v>
      </c>
      <c r="M89" s="10">
        <f t="shared" si="3"/>
        <v>102665</v>
      </c>
      <c r="N89" s="10">
        <v>0</v>
      </c>
      <c r="O89" s="10">
        <v>95156</v>
      </c>
      <c r="P89" s="10">
        <v>685235.72000000009</v>
      </c>
      <c r="Q89" s="10">
        <v>382310.22</v>
      </c>
      <c r="R89" s="10">
        <v>323.21500000000003</v>
      </c>
      <c r="S89" s="10">
        <v>49351.280000000006</v>
      </c>
      <c r="T89" s="10">
        <v>1128413.8270000005</v>
      </c>
      <c r="U89" s="10">
        <v>0</v>
      </c>
      <c r="V89" s="10">
        <v>1006929.7030000001</v>
      </c>
      <c r="W89" s="10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</row>
    <row r="90" spans="1:48" x14ac:dyDescent="0.25">
      <c r="A90" s="20">
        <v>44621</v>
      </c>
      <c r="B90" s="16">
        <v>2022</v>
      </c>
      <c r="C90" s="10">
        <v>173267.24</v>
      </c>
      <c r="D90" s="10">
        <v>17775.177</v>
      </c>
      <c r="E90" s="10">
        <v>8</v>
      </c>
      <c r="F90" s="10">
        <f t="shared" si="2"/>
        <v>17783.177</v>
      </c>
      <c r="G90" s="10">
        <v>127601.19</v>
      </c>
      <c r="H90" s="10">
        <v>0</v>
      </c>
      <c r="I90" s="10">
        <v>96759</v>
      </c>
      <c r="J90" s="10">
        <v>0</v>
      </c>
      <c r="K90" s="10">
        <v>13896</v>
      </c>
      <c r="L90" s="10">
        <v>109045</v>
      </c>
      <c r="M90" s="10">
        <f t="shared" si="3"/>
        <v>122941</v>
      </c>
      <c r="N90" s="10">
        <v>0</v>
      </c>
      <c r="O90" s="10">
        <v>102443</v>
      </c>
      <c r="P90" s="10">
        <v>796303.72200000007</v>
      </c>
      <c r="Q90" s="10">
        <v>268326.44999999995</v>
      </c>
      <c r="R90" s="10">
        <v>321.16899999999998</v>
      </c>
      <c r="S90" s="10">
        <v>48919.05</v>
      </c>
      <c r="T90" s="10">
        <v>1234026.8760000002</v>
      </c>
      <c r="U90" s="10">
        <v>0</v>
      </c>
      <c r="V90" s="10">
        <v>969728.66300000018</v>
      </c>
      <c r="W90" s="10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</row>
    <row r="91" spans="1:48" x14ac:dyDescent="0.25">
      <c r="A91" s="20">
        <v>44652</v>
      </c>
      <c r="B91" s="16">
        <v>2022</v>
      </c>
      <c r="C91" s="10">
        <v>201273.25</v>
      </c>
      <c r="D91" s="10">
        <v>51183.381000000001</v>
      </c>
      <c r="E91" s="10">
        <v>0</v>
      </c>
      <c r="F91" s="10">
        <f t="shared" si="2"/>
        <v>51183.381000000001</v>
      </c>
      <c r="G91" s="10">
        <v>139640</v>
      </c>
      <c r="H91" s="10">
        <v>0</v>
      </c>
      <c r="I91" s="10">
        <v>94064</v>
      </c>
      <c r="J91" s="10">
        <v>0</v>
      </c>
      <c r="K91" s="10">
        <v>0</v>
      </c>
      <c r="L91" s="10">
        <v>106979</v>
      </c>
      <c r="M91" s="10">
        <f t="shared" si="3"/>
        <v>106979</v>
      </c>
      <c r="N91" s="10">
        <v>0</v>
      </c>
      <c r="O91" s="10">
        <v>108695</v>
      </c>
      <c r="P91" s="10">
        <v>856736.87599999993</v>
      </c>
      <c r="Q91" s="10">
        <v>220280.46600000001</v>
      </c>
      <c r="R91" s="10">
        <v>419.005</v>
      </c>
      <c r="S91" s="10">
        <v>46587</v>
      </c>
      <c r="T91" s="10">
        <v>1304684.6890000002</v>
      </c>
      <c r="U91" s="10">
        <v>0</v>
      </c>
      <c r="V91" s="10">
        <v>899323.99199999997</v>
      </c>
      <c r="W91" s="10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</row>
    <row r="92" spans="1:48" x14ac:dyDescent="0.25">
      <c r="A92" s="20">
        <v>44682</v>
      </c>
      <c r="B92" s="16">
        <v>2022</v>
      </c>
      <c r="C92" s="10">
        <v>169575.48</v>
      </c>
      <c r="D92" s="10">
        <v>53212.846000000012</v>
      </c>
      <c r="E92" s="10">
        <v>28.64</v>
      </c>
      <c r="F92" s="10">
        <f t="shared" si="2"/>
        <v>53241.486000000012</v>
      </c>
      <c r="G92" s="10">
        <v>143294</v>
      </c>
      <c r="H92" s="10">
        <v>0</v>
      </c>
      <c r="I92" s="10">
        <v>89099</v>
      </c>
      <c r="J92" s="10">
        <v>0</v>
      </c>
      <c r="K92" s="10">
        <v>0</v>
      </c>
      <c r="L92" s="10">
        <v>106320</v>
      </c>
      <c r="M92" s="10">
        <f t="shared" si="3"/>
        <v>106320</v>
      </c>
      <c r="N92" s="10">
        <v>0</v>
      </c>
      <c r="O92" s="10">
        <v>110894</v>
      </c>
      <c r="P92" s="10">
        <v>937819.99500000011</v>
      </c>
      <c r="Q92" s="10">
        <v>242200.92199999999</v>
      </c>
      <c r="R92" s="10">
        <v>320.93100000000004</v>
      </c>
      <c r="S92" s="10">
        <v>38887.11</v>
      </c>
      <c r="T92" s="10">
        <v>1280777.6600000001</v>
      </c>
      <c r="U92" s="10">
        <v>0</v>
      </c>
      <c r="V92" s="10">
        <v>946191.88</v>
      </c>
      <c r="W92" s="10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</row>
    <row r="93" spans="1:48" x14ac:dyDescent="0.25">
      <c r="A93" s="20">
        <v>44713</v>
      </c>
      <c r="B93" s="16">
        <v>2022</v>
      </c>
      <c r="C93" s="10">
        <v>186721.60999999993</v>
      </c>
      <c r="D93" s="10">
        <v>60720.961999999992</v>
      </c>
      <c r="E93" s="10">
        <v>0</v>
      </c>
      <c r="F93" s="10">
        <f t="shared" si="2"/>
        <v>60720.961999999992</v>
      </c>
      <c r="G93" s="10">
        <v>146890.25</v>
      </c>
      <c r="H93" s="10">
        <v>0</v>
      </c>
      <c r="I93" s="10">
        <v>81977</v>
      </c>
      <c r="J93" s="10">
        <v>0</v>
      </c>
      <c r="K93" s="10">
        <v>0</v>
      </c>
      <c r="L93" s="10">
        <v>109367</v>
      </c>
      <c r="M93" s="10">
        <f t="shared" si="3"/>
        <v>109367</v>
      </c>
      <c r="N93" s="10">
        <v>0</v>
      </c>
      <c r="O93" s="10">
        <v>100726</v>
      </c>
      <c r="P93" s="10">
        <v>930937.42</v>
      </c>
      <c r="Q93" s="10">
        <v>169517.39899999998</v>
      </c>
      <c r="R93" s="10">
        <v>481.24400000000003</v>
      </c>
      <c r="S93" s="10">
        <v>61828.759999999995</v>
      </c>
      <c r="T93" s="10">
        <v>1246762.0890000002</v>
      </c>
      <c r="U93" s="10">
        <v>0</v>
      </c>
      <c r="V93" s="10">
        <v>912062.78300000029</v>
      </c>
      <c r="W93" s="10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</row>
    <row r="94" spans="1:48" x14ac:dyDescent="0.25">
      <c r="A94" s="20">
        <v>44743</v>
      </c>
      <c r="B94" s="16">
        <v>2022</v>
      </c>
      <c r="C94" s="10">
        <v>120064.85000000002</v>
      </c>
      <c r="D94" s="10">
        <v>94356.460999999996</v>
      </c>
      <c r="E94" s="10">
        <v>0</v>
      </c>
      <c r="F94" s="10">
        <f t="shared" si="2"/>
        <v>94356.460999999996</v>
      </c>
      <c r="G94" s="10">
        <v>11760</v>
      </c>
      <c r="H94" s="10">
        <v>0</v>
      </c>
      <c r="I94" s="10">
        <v>98788</v>
      </c>
      <c r="J94" s="10">
        <v>0</v>
      </c>
      <c r="K94" s="10">
        <v>0</v>
      </c>
      <c r="L94" s="10">
        <v>121683</v>
      </c>
      <c r="M94" s="10">
        <f t="shared" si="3"/>
        <v>121683</v>
      </c>
      <c r="N94" s="10">
        <v>0</v>
      </c>
      <c r="O94" s="10">
        <v>97753</v>
      </c>
      <c r="P94" s="10">
        <v>910166.27399999998</v>
      </c>
      <c r="Q94" s="10">
        <v>278988.90600000002</v>
      </c>
      <c r="R94" s="10">
        <v>390.86099999999999</v>
      </c>
      <c r="S94" s="10">
        <v>43074.74</v>
      </c>
      <c r="T94" s="10">
        <v>1279728.5329999998</v>
      </c>
      <c r="U94" s="10">
        <v>0</v>
      </c>
      <c r="V94" s="10">
        <v>1035076.0900000001</v>
      </c>
      <c r="W94" s="10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</row>
    <row r="95" spans="1:48" x14ac:dyDescent="0.25">
      <c r="A95" s="20">
        <v>44774</v>
      </c>
      <c r="B95" s="16">
        <v>2022</v>
      </c>
      <c r="C95" s="10">
        <v>114334.24</v>
      </c>
      <c r="D95" s="10">
        <v>81139.450000000026</v>
      </c>
      <c r="E95" s="10">
        <v>43.96</v>
      </c>
      <c r="F95" s="10">
        <f t="shared" si="2"/>
        <v>81183.410000000033</v>
      </c>
      <c r="G95" s="10">
        <v>14700</v>
      </c>
      <c r="H95" s="10">
        <v>0</v>
      </c>
      <c r="I95" s="10">
        <v>121434</v>
      </c>
      <c r="J95" s="10">
        <v>0</v>
      </c>
      <c r="K95" s="10">
        <v>0</v>
      </c>
      <c r="L95" s="10">
        <v>128816</v>
      </c>
      <c r="M95" s="10">
        <f t="shared" si="3"/>
        <v>128816</v>
      </c>
      <c r="N95" s="10">
        <v>0</v>
      </c>
      <c r="O95" s="10">
        <v>116013</v>
      </c>
      <c r="P95" s="10">
        <v>931174.40299999993</v>
      </c>
      <c r="Q95" s="10">
        <v>199152.505</v>
      </c>
      <c r="R95" s="10">
        <v>363.77299999999997</v>
      </c>
      <c r="S95" s="10">
        <v>50757.14</v>
      </c>
      <c r="T95" s="10">
        <v>1267353.834</v>
      </c>
      <c r="U95" s="10">
        <v>0</v>
      </c>
      <c r="V95" s="10">
        <v>1014348.35</v>
      </c>
      <c r="W95" s="10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</row>
    <row r="96" spans="1:48" x14ac:dyDescent="0.25">
      <c r="A96" s="20">
        <v>44805</v>
      </c>
      <c r="B96" s="16">
        <v>2022</v>
      </c>
      <c r="C96" s="10">
        <v>113963.35000000002</v>
      </c>
      <c r="D96" s="10">
        <v>75892.921000000002</v>
      </c>
      <c r="E96" s="10">
        <v>0</v>
      </c>
      <c r="F96" s="10">
        <f t="shared" si="2"/>
        <v>75892.921000000002</v>
      </c>
      <c r="G96" s="10">
        <v>208.89</v>
      </c>
      <c r="H96" s="10">
        <v>2E-3</v>
      </c>
      <c r="I96" s="10">
        <v>99956</v>
      </c>
      <c r="J96" s="10">
        <v>0</v>
      </c>
      <c r="K96" s="10">
        <v>2557</v>
      </c>
      <c r="L96" s="10">
        <v>122549</v>
      </c>
      <c r="M96" s="10">
        <f t="shared" si="3"/>
        <v>125106</v>
      </c>
      <c r="N96" s="10">
        <v>497</v>
      </c>
      <c r="O96" s="10">
        <v>117356</v>
      </c>
      <c r="P96" s="10">
        <v>885098.91099999996</v>
      </c>
      <c r="Q96" s="10">
        <v>147733.22</v>
      </c>
      <c r="R96" s="10">
        <v>192.99</v>
      </c>
      <c r="S96" s="10">
        <v>66051</v>
      </c>
      <c r="T96" s="10">
        <v>1220788.6010000003</v>
      </c>
      <c r="U96" s="10">
        <v>0</v>
      </c>
      <c r="V96" s="10">
        <v>969456.38900000008</v>
      </c>
      <c r="W96" s="10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</row>
    <row r="97" spans="1:48" x14ac:dyDescent="0.25">
      <c r="A97" s="20">
        <v>44835</v>
      </c>
      <c r="B97" s="16">
        <v>2022</v>
      </c>
      <c r="C97" s="10">
        <v>200355.37000000002</v>
      </c>
      <c r="D97" s="10">
        <v>80688.895999999993</v>
      </c>
      <c r="E97" s="10">
        <v>1741.56</v>
      </c>
      <c r="F97" s="10">
        <f t="shared" si="2"/>
        <v>82430.455999999991</v>
      </c>
      <c r="G97" s="10">
        <v>119468.5</v>
      </c>
      <c r="H97" s="10">
        <v>4.0000000000000001E-3</v>
      </c>
      <c r="I97" s="10">
        <v>101562</v>
      </c>
      <c r="J97" s="10">
        <v>0</v>
      </c>
      <c r="K97" s="10">
        <v>16728</v>
      </c>
      <c r="L97" s="10">
        <v>132237</v>
      </c>
      <c r="M97" s="10">
        <f t="shared" si="3"/>
        <v>148965</v>
      </c>
      <c r="N97" s="10">
        <v>0</v>
      </c>
      <c r="O97" s="10">
        <v>106171</v>
      </c>
      <c r="P97" s="10">
        <v>904844.99699999997</v>
      </c>
      <c r="Q97" s="10">
        <v>212428.73200000002</v>
      </c>
      <c r="R97" s="10">
        <v>390</v>
      </c>
      <c r="S97" s="10">
        <v>60738.92</v>
      </c>
      <c r="T97" s="10">
        <v>1186891.808</v>
      </c>
      <c r="U97" s="10">
        <v>0</v>
      </c>
      <c r="V97" s="10">
        <v>1012226.6010000001</v>
      </c>
      <c r="W97" s="10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</row>
    <row r="98" spans="1:48" x14ac:dyDescent="0.25">
      <c r="A98" s="20">
        <v>44866</v>
      </c>
      <c r="B98" s="16">
        <v>2022</v>
      </c>
      <c r="C98" s="10">
        <v>164637.45000000001</v>
      </c>
      <c r="D98" s="10">
        <v>58791.306000000004</v>
      </c>
      <c r="E98" s="10">
        <v>40.439999999999969</v>
      </c>
      <c r="F98" s="10">
        <f t="shared" si="2"/>
        <v>58831.746000000006</v>
      </c>
      <c r="G98" s="10">
        <v>157444.01999999999</v>
      </c>
      <c r="H98" s="10">
        <v>0</v>
      </c>
      <c r="I98" s="10">
        <v>113186</v>
      </c>
      <c r="J98" s="10">
        <v>0</v>
      </c>
      <c r="K98" s="10">
        <v>8904</v>
      </c>
      <c r="L98" s="10">
        <v>134512</v>
      </c>
      <c r="M98" s="10">
        <f t="shared" si="3"/>
        <v>143416</v>
      </c>
      <c r="N98" s="10">
        <v>513</v>
      </c>
      <c r="O98" s="10">
        <v>108588</v>
      </c>
      <c r="P98" s="10">
        <v>901040.7300000001</v>
      </c>
      <c r="Q98" s="10">
        <v>150494</v>
      </c>
      <c r="R98" s="10">
        <v>342.7</v>
      </c>
      <c r="S98" s="10">
        <v>66679</v>
      </c>
      <c r="T98" s="10">
        <v>1237393.4819999998</v>
      </c>
      <c r="U98" s="10">
        <v>0</v>
      </c>
      <c r="V98" s="10">
        <v>959542.85100000014</v>
      </c>
      <c r="W98" s="10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</row>
    <row r="99" spans="1:48" x14ac:dyDescent="0.25">
      <c r="A99" s="20">
        <v>44896</v>
      </c>
      <c r="B99" s="16">
        <v>2022</v>
      </c>
      <c r="C99" s="10">
        <v>98822.42</v>
      </c>
      <c r="D99" s="10">
        <v>57381.635999999999</v>
      </c>
      <c r="E99" s="10">
        <v>612.52</v>
      </c>
      <c r="F99" s="10">
        <f t="shared" si="2"/>
        <v>57994.155999999995</v>
      </c>
      <c r="G99" s="10">
        <v>59308.5</v>
      </c>
      <c r="H99" s="10">
        <v>8.0000000000000002E-3</v>
      </c>
      <c r="I99" s="10">
        <v>121900</v>
      </c>
      <c r="J99" s="10">
        <v>0</v>
      </c>
      <c r="K99" s="10">
        <v>0</v>
      </c>
      <c r="L99" s="10">
        <v>147445</v>
      </c>
      <c r="M99" s="10">
        <f t="shared" si="3"/>
        <v>147445</v>
      </c>
      <c r="N99" s="10">
        <v>0</v>
      </c>
      <c r="O99" s="10">
        <v>110418</v>
      </c>
      <c r="P99" s="10">
        <v>941540.26399999997</v>
      </c>
      <c r="Q99" s="10">
        <v>139817</v>
      </c>
      <c r="R99" s="10">
        <v>287</v>
      </c>
      <c r="S99" s="10">
        <v>67533.36</v>
      </c>
      <c r="T99" s="10">
        <v>1266215.48</v>
      </c>
      <c r="U99" s="10">
        <v>0</v>
      </c>
      <c r="V99" s="10">
        <v>926200.06500000006</v>
      </c>
      <c r="W99" s="10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</row>
    <row r="100" spans="1:48" x14ac:dyDescent="0.25">
      <c r="A100" s="20">
        <v>44927</v>
      </c>
      <c r="B100" s="16">
        <v>2023</v>
      </c>
      <c r="C100" s="10">
        <v>60607.670000000006</v>
      </c>
      <c r="D100" s="10">
        <v>55125.219000000005</v>
      </c>
      <c r="E100" s="10">
        <v>31.220000000000002</v>
      </c>
      <c r="F100" s="10">
        <f t="shared" si="2"/>
        <v>55156.439000000006</v>
      </c>
      <c r="G100" s="10">
        <v>30000</v>
      </c>
      <c r="H100" s="10">
        <v>0</v>
      </c>
      <c r="I100" s="10">
        <v>121994.5</v>
      </c>
      <c r="J100" s="10">
        <v>0</v>
      </c>
      <c r="K100" s="10">
        <v>0</v>
      </c>
      <c r="L100" s="10">
        <v>151260</v>
      </c>
      <c r="M100" s="10">
        <f t="shared" si="3"/>
        <v>151260</v>
      </c>
      <c r="N100" s="10">
        <v>2198</v>
      </c>
      <c r="O100" s="10">
        <v>103830</v>
      </c>
      <c r="P100" s="10">
        <v>955024.44</v>
      </c>
      <c r="Q100" s="10">
        <v>119088</v>
      </c>
      <c r="R100" s="10">
        <v>480.5</v>
      </c>
      <c r="S100" s="10">
        <v>72314.540000000008</v>
      </c>
      <c r="T100" s="10">
        <v>1162373.0730000001</v>
      </c>
      <c r="U100" s="10">
        <v>0</v>
      </c>
      <c r="V100" s="10">
        <v>995446.6320000001</v>
      </c>
      <c r="W100" s="10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</row>
    <row r="101" spans="1:48" x14ac:dyDescent="0.25">
      <c r="A101" s="20">
        <v>44958</v>
      </c>
      <c r="B101" s="16">
        <v>2023</v>
      </c>
      <c r="C101" s="10">
        <v>44574.260000000009</v>
      </c>
      <c r="D101" s="10">
        <v>46059.049000000021</v>
      </c>
      <c r="E101" s="10">
        <v>10</v>
      </c>
      <c r="F101" s="10">
        <f t="shared" si="2"/>
        <v>46069.049000000021</v>
      </c>
      <c r="G101" s="10">
        <v>0</v>
      </c>
      <c r="H101" s="10">
        <v>0</v>
      </c>
      <c r="I101" s="10">
        <v>116985</v>
      </c>
      <c r="J101" s="10">
        <v>0</v>
      </c>
      <c r="K101" s="10">
        <v>0</v>
      </c>
      <c r="L101" s="10">
        <v>134633</v>
      </c>
      <c r="M101" s="10">
        <f t="shared" si="3"/>
        <v>134633</v>
      </c>
      <c r="N101" s="10">
        <v>5048</v>
      </c>
      <c r="O101" s="10">
        <v>109182</v>
      </c>
      <c r="P101" s="10">
        <v>906617.41199999989</v>
      </c>
      <c r="Q101" s="10">
        <v>168184</v>
      </c>
      <c r="R101" s="10">
        <v>213.38</v>
      </c>
      <c r="S101" s="10">
        <v>37572.069999999992</v>
      </c>
      <c r="T101" s="10">
        <v>1057448.3380000005</v>
      </c>
      <c r="U101" s="10">
        <v>0</v>
      </c>
      <c r="V101" s="10">
        <v>1202791.6200000001</v>
      </c>
      <c r="W101" s="10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</row>
    <row r="102" spans="1:48" x14ac:dyDescent="0.25">
      <c r="A102" s="20">
        <v>44986</v>
      </c>
      <c r="B102" s="16">
        <v>2023</v>
      </c>
      <c r="C102" s="10">
        <v>100427.18999999999</v>
      </c>
      <c r="D102" s="10">
        <v>52887.964999999989</v>
      </c>
      <c r="E102" s="10">
        <v>84.699999999999989</v>
      </c>
      <c r="F102" s="10">
        <f t="shared" si="2"/>
        <v>52972.664999999986</v>
      </c>
      <c r="G102" s="10">
        <v>0</v>
      </c>
      <c r="H102" s="10">
        <v>46.02</v>
      </c>
      <c r="I102" s="10">
        <v>136217</v>
      </c>
      <c r="J102" s="10">
        <v>0</v>
      </c>
      <c r="K102" s="10">
        <v>0</v>
      </c>
      <c r="L102" s="10">
        <v>151251</v>
      </c>
      <c r="M102" s="10">
        <f t="shared" si="3"/>
        <v>151251</v>
      </c>
      <c r="N102" s="10">
        <v>2197</v>
      </c>
      <c r="O102" s="10">
        <v>121346</v>
      </c>
      <c r="P102" s="10">
        <v>974066.27500000002</v>
      </c>
      <c r="Q102" s="10">
        <v>0</v>
      </c>
      <c r="R102" s="10">
        <v>286</v>
      </c>
      <c r="S102" s="10">
        <v>17325</v>
      </c>
      <c r="T102" s="10">
        <v>1297313.2799999998</v>
      </c>
      <c r="U102" s="10">
        <v>0</v>
      </c>
      <c r="V102" s="10">
        <v>1073789.7620000001</v>
      </c>
      <c r="W102" s="10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</row>
    <row r="103" spans="1:48" x14ac:dyDescent="0.25">
      <c r="A103" s="20">
        <v>45017</v>
      </c>
      <c r="B103" s="16">
        <v>2023</v>
      </c>
      <c r="C103" s="10">
        <v>97986.250000000015</v>
      </c>
      <c r="D103" s="10">
        <v>57523.631000000001</v>
      </c>
      <c r="E103" s="10">
        <v>10.5</v>
      </c>
      <c r="F103" s="10">
        <f t="shared" si="2"/>
        <v>57534.131000000001</v>
      </c>
      <c r="G103" s="10">
        <v>90000</v>
      </c>
      <c r="H103" s="10">
        <v>0</v>
      </c>
      <c r="I103" s="10">
        <v>128062</v>
      </c>
      <c r="J103" s="10">
        <v>0</v>
      </c>
      <c r="K103" s="10">
        <v>0</v>
      </c>
      <c r="L103" s="10">
        <v>138817</v>
      </c>
      <c r="M103" s="10">
        <f t="shared" si="3"/>
        <v>138817</v>
      </c>
      <c r="N103" s="10">
        <v>0</v>
      </c>
      <c r="O103" s="10">
        <v>139318</v>
      </c>
      <c r="P103" s="10">
        <v>983160.64099999995</v>
      </c>
      <c r="Q103" s="10">
        <v>113725.26</v>
      </c>
      <c r="R103" s="10">
        <v>205.5</v>
      </c>
      <c r="S103" s="10">
        <v>59264.7</v>
      </c>
      <c r="T103" s="10">
        <v>1222113.4599999997</v>
      </c>
      <c r="U103" s="10">
        <v>0</v>
      </c>
      <c r="V103" s="10">
        <v>1134903.584</v>
      </c>
      <c r="W103" s="10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</row>
    <row r="104" spans="1:48" x14ac:dyDescent="0.25">
      <c r="A104" s="20">
        <v>45047</v>
      </c>
      <c r="B104" s="16">
        <v>2023</v>
      </c>
      <c r="C104" s="10">
        <v>85583.62999999999</v>
      </c>
      <c r="D104" s="10">
        <v>61260.381999999998</v>
      </c>
      <c r="E104" s="10">
        <v>9.64</v>
      </c>
      <c r="F104" s="10">
        <f t="shared" si="2"/>
        <v>61270.021999999997</v>
      </c>
      <c r="G104" s="10">
        <v>10000</v>
      </c>
      <c r="H104" s="10">
        <v>3</v>
      </c>
      <c r="I104" s="10">
        <v>115803.45999999999</v>
      </c>
      <c r="J104" s="10">
        <v>0</v>
      </c>
      <c r="K104" s="10">
        <v>0</v>
      </c>
      <c r="L104" s="10">
        <v>136391</v>
      </c>
      <c r="M104" s="10">
        <f t="shared" si="3"/>
        <v>136391</v>
      </c>
      <c r="N104" s="10">
        <v>2245</v>
      </c>
      <c r="O104" s="10">
        <v>140383</v>
      </c>
      <c r="P104" s="10">
        <v>964148.02399999998</v>
      </c>
      <c r="Q104" s="10">
        <v>90854.97</v>
      </c>
      <c r="R104" s="10">
        <v>466.84</v>
      </c>
      <c r="S104" s="10">
        <v>48684.33</v>
      </c>
      <c r="T104" s="10">
        <v>1266990.33</v>
      </c>
      <c r="U104" s="10">
        <v>0</v>
      </c>
      <c r="V104" s="10">
        <v>1109969.8799999999</v>
      </c>
      <c r="W104" s="10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</row>
    <row r="105" spans="1:48" x14ac:dyDescent="0.25">
      <c r="A105" s="20">
        <v>45078</v>
      </c>
      <c r="B105" s="16">
        <v>2023</v>
      </c>
      <c r="C105" s="10">
        <v>63536.780000000013</v>
      </c>
      <c r="D105" s="10">
        <v>63554.289999999994</v>
      </c>
      <c r="E105" s="10">
        <v>19.82</v>
      </c>
      <c r="F105" s="10">
        <f t="shared" si="2"/>
        <v>63574.109999999993</v>
      </c>
      <c r="G105" s="10">
        <v>0</v>
      </c>
      <c r="H105" s="10">
        <v>0</v>
      </c>
      <c r="I105" s="10">
        <v>107407</v>
      </c>
      <c r="J105" s="10">
        <v>0</v>
      </c>
      <c r="K105" s="10">
        <v>0</v>
      </c>
      <c r="L105" s="10">
        <v>136455</v>
      </c>
      <c r="M105" s="10">
        <f t="shared" si="3"/>
        <v>136455</v>
      </c>
      <c r="N105" s="10">
        <v>746</v>
      </c>
      <c r="O105" s="10">
        <v>134742</v>
      </c>
      <c r="P105" s="10">
        <v>939465.50799999991</v>
      </c>
      <c r="Q105" s="10">
        <v>151162.56299999999</v>
      </c>
      <c r="R105" s="10">
        <v>355</v>
      </c>
      <c r="S105" s="10">
        <v>46467.040000000001</v>
      </c>
      <c r="T105" s="10">
        <v>1222756.0999999996</v>
      </c>
      <c r="U105" s="10">
        <v>567.65</v>
      </c>
      <c r="V105" s="10">
        <v>1150355.8659999999</v>
      </c>
      <c r="W105" s="10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</row>
    <row r="106" spans="1:48" x14ac:dyDescent="0.25">
      <c r="A106" s="20">
        <v>45108</v>
      </c>
      <c r="B106" s="16">
        <v>2023</v>
      </c>
      <c r="C106" s="10">
        <v>86327.24</v>
      </c>
      <c r="D106" s="10">
        <v>64505.84699999998</v>
      </c>
      <c r="E106" s="10">
        <v>4009.84</v>
      </c>
      <c r="F106" s="10">
        <f t="shared" si="2"/>
        <v>68515.686999999976</v>
      </c>
      <c r="G106" s="10">
        <v>20000</v>
      </c>
      <c r="H106" s="10">
        <v>2.56</v>
      </c>
      <c r="I106" s="10">
        <v>106174</v>
      </c>
      <c r="J106" s="10">
        <v>0</v>
      </c>
      <c r="K106" s="10">
        <v>0</v>
      </c>
      <c r="L106" s="10">
        <v>149973</v>
      </c>
      <c r="M106" s="10">
        <f t="shared" si="3"/>
        <v>149973</v>
      </c>
      <c r="N106" s="10">
        <v>215</v>
      </c>
      <c r="O106" s="10">
        <v>114297</v>
      </c>
      <c r="P106" s="10">
        <v>913644.19200000004</v>
      </c>
      <c r="Q106" s="10">
        <v>91085</v>
      </c>
      <c r="R106" s="10">
        <v>311.93</v>
      </c>
      <c r="S106" s="10">
        <v>44963.96</v>
      </c>
      <c r="T106" s="10">
        <v>1218089.6599999999</v>
      </c>
      <c r="U106" s="10">
        <v>0</v>
      </c>
      <c r="V106" s="10">
        <v>1059249.486</v>
      </c>
      <c r="W106" s="10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</row>
    <row r="107" spans="1:48" x14ac:dyDescent="0.25">
      <c r="A107" s="20">
        <v>45139</v>
      </c>
      <c r="B107" s="16">
        <v>2023</v>
      </c>
      <c r="C107" s="10">
        <v>92156.299999999974</v>
      </c>
      <c r="D107" s="10">
        <v>45086.111000000012</v>
      </c>
      <c r="E107" s="10">
        <v>4019.78</v>
      </c>
      <c r="F107" s="10">
        <f t="shared" si="2"/>
        <v>49105.891000000011</v>
      </c>
      <c r="G107" s="10">
        <v>50000</v>
      </c>
      <c r="H107" s="10">
        <v>0</v>
      </c>
      <c r="I107" s="10">
        <v>102702</v>
      </c>
      <c r="J107" s="10">
        <v>0</v>
      </c>
      <c r="K107" s="10">
        <v>0</v>
      </c>
      <c r="L107" s="10">
        <v>150923</v>
      </c>
      <c r="M107" s="10">
        <f t="shared" si="3"/>
        <v>150923</v>
      </c>
      <c r="N107" s="10">
        <v>708</v>
      </c>
      <c r="O107" s="10">
        <v>87809</v>
      </c>
      <c r="P107" s="10">
        <v>824265.9169999999</v>
      </c>
      <c r="Q107" s="10">
        <v>150506.82399999999</v>
      </c>
      <c r="R107" s="10">
        <v>356</v>
      </c>
      <c r="S107" s="10">
        <v>54880.19</v>
      </c>
      <c r="T107" s="10">
        <v>1250465.73</v>
      </c>
      <c r="U107" s="10">
        <v>0</v>
      </c>
      <c r="V107" s="10">
        <v>845413.76899999997</v>
      </c>
      <c r="W107" s="10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</row>
    <row r="108" spans="1:48" x14ac:dyDescent="0.25">
      <c r="A108" s="20">
        <v>45170</v>
      </c>
      <c r="B108" s="16">
        <v>2023</v>
      </c>
      <c r="C108" s="10">
        <v>89429.499999999985</v>
      </c>
      <c r="D108" s="10">
        <v>52125.676999999981</v>
      </c>
      <c r="E108" s="10">
        <v>18.86</v>
      </c>
      <c r="F108" s="10">
        <f t="shared" si="2"/>
        <v>52144.536999999982</v>
      </c>
      <c r="G108" s="10">
        <v>39082</v>
      </c>
      <c r="H108" s="10">
        <v>0</v>
      </c>
      <c r="I108" s="10">
        <v>117379.92</v>
      </c>
      <c r="J108" s="10">
        <v>15076</v>
      </c>
      <c r="K108" s="10">
        <v>0</v>
      </c>
      <c r="L108" s="10">
        <v>144404</v>
      </c>
      <c r="M108" s="10">
        <f t="shared" si="3"/>
        <v>144404</v>
      </c>
      <c r="N108" s="10">
        <v>1496</v>
      </c>
      <c r="O108" s="10">
        <v>98983</v>
      </c>
      <c r="P108" s="10">
        <v>943355.64500000002</v>
      </c>
      <c r="Q108" s="10">
        <v>200577.84599999999</v>
      </c>
      <c r="R108" s="10">
        <v>369.5</v>
      </c>
      <c r="S108" s="10">
        <v>50394.85</v>
      </c>
      <c r="T108" s="10">
        <v>1206758.7000000002</v>
      </c>
      <c r="U108" s="10">
        <v>0</v>
      </c>
      <c r="V108" s="10">
        <v>919406.14100000006</v>
      </c>
      <c r="W108" s="10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</row>
    <row r="109" spans="1:48" x14ac:dyDescent="0.25">
      <c r="A109" s="20">
        <v>45200</v>
      </c>
      <c r="B109" s="16">
        <v>2023</v>
      </c>
      <c r="C109" s="10">
        <v>57829.209999999992</v>
      </c>
      <c r="D109" s="10">
        <v>35133.241000000002</v>
      </c>
      <c r="E109" s="10">
        <v>20.02</v>
      </c>
      <c r="F109" s="10">
        <f t="shared" si="2"/>
        <v>35153.260999999999</v>
      </c>
      <c r="G109" s="10">
        <v>21518</v>
      </c>
      <c r="H109" s="10">
        <v>0</v>
      </c>
      <c r="I109" s="10">
        <v>114265.55</v>
      </c>
      <c r="J109" s="10">
        <v>29956</v>
      </c>
      <c r="K109" s="10">
        <v>3493</v>
      </c>
      <c r="L109" s="10">
        <v>155029</v>
      </c>
      <c r="M109" s="10">
        <f t="shared" si="3"/>
        <v>158522</v>
      </c>
      <c r="N109" s="10">
        <v>725</v>
      </c>
      <c r="O109" s="10">
        <v>111906</v>
      </c>
      <c r="P109" s="10">
        <v>811925.16200000001</v>
      </c>
      <c r="Q109" s="10">
        <v>221849.747</v>
      </c>
      <c r="R109" s="10">
        <v>189.75</v>
      </c>
      <c r="S109" s="10">
        <v>54430.16</v>
      </c>
      <c r="T109" s="10">
        <v>1253851.746</v>
      </c>
      <c r="U109" s="10">
        <v>2145.17</v>
      </c>
      <c r="V109" s="10">
        <v>859825.13299999991</v>
      </c>
      <c r="W109" s="10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</row>
    <row r="110" spans="1:48" x14ac:dyDescent="0.25">
      <c r="A110" s="20">
        <v>45231</v>
      </c>
      <c r="B110" s="16">
        <v>2023</v>
      </c>
      <c r="C110" s="10">
        <v>31182.840000000004</v>
      </c>
      <c r="D110" s="10">
        <v>32221.803000000004</v>
      </c>
      <c r="E110" s="10">
        <v>59.92</v>
      </c>
      <c r="F110" s="10">
        <f t="shared" si="2"/>
        <v>32281.723000000002</v>
      </c>
      <c r="G110" s="10">
        <v>24000</v>
      </c>
      <c r="H110" s="10">
        <v>0</v>
      </c>
      <c r="I110" s="10">
        <v>132255</v>
      </c>
      <c r="J110" s="10">
        <v>0</v>
      </c>
      <c r="K110" s="10">
        <v>0</v>
      </c>
      <c r="L110" s="10">
        <v>161111</v>
      </c>
      <c r="M110" s="10">
        <f t="shared" si="3"/>
        <v>161111</v>
      </c>
      <c r="N110" s="10">
        <v>292</v>
      </c>
      <c r="O110" s="10">
        <v>111203</v>
      </c>
      <c r="P110" s="10">
        <v>911507.38499999989</v>
      </c>
      <c r="Q110" s="10">
        <v>193256.62599999999</v>
      </c>
      <c r="R110" s="10">
        <v>438</v>
      </c>
      <c r="S110" s="10">
        <v>68881.400999999998</v>
      </c>
      <c r="T110" s="10">
        <v>1316160.7300000002</v>
      </c>
      <c r="U110" s="10">
        <v>0</v>
      </c>
      <c r="V110" s="10">
        <v>821336.31599999999</v>
      </c>
      <c r="W110" s="10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</row>
    <row r="111" spans="1:48" x14ac:dyDescent="0.25">
      <c r="A111" s="20">
        <v>45261</v>
      </c>
      <c r="B111" s="16">
        <v>2023</v>
      </c>
      <c r="C111" s="10">
        <v>21627.68</v>
      </c>
      <c r="D111" s="10">
        <v>15018.770000000002</v>
      </c>
      <c r="E111" s="10">
        <v>8.1</v>
      </c>
      <c r="F111" s="10">
        <f t="shared" si="2"/>
        <v>15026.870000000003</v>
      </c>
      <c r="G111" s="10">
        <v>0</v>
      </c>
      <c r="H111" s="10">
        <v>0</v>
      </c>
      <c r="I111" s="10">
        <v>145646</v>
      </c>
      <c r="J111" s="10">
        <v>0</v>
      </c>
      <c r="K111" s="10">
        <v>0</v>
      </c>
      <c r="L111" s="10">
        <v>167248</v>
      </c>
      <c r="M111" s="10">
        <f t="shared" si="3"/>
        <v>167248</v>
      </c>
      <c r="N111" s="10">
        <v>333</v>
      </c>
      <c r="O111" s="10">
        <v>122467</v>
      </c>
      <c r="P111" s="10">
        <v>975742.06199999992</v>
      </c>
      <c r="Q111" s="10">
        <v>107937</v>
      </c>
      <c r="R111" s="10">
        <v>210</v>
      </c>
      <c r="S111" s="10">
        <v>62893.61</v>
      </c>
      <c r="T111" s="10">
        <v>1193577.8430000003</v>
      </c>
      <c r="U111" s="10">
        <v>0</v>
      </c>
      <c r="V111" s="10">
        <v>960464.81799999997</v>
      </c>
      <c r="W111" s="10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</row>
    <row r="112" spans="1:48" x14ac:dyDescent="0.25">
      <c r="A112" s="20">
        <v>45292</v>
      </c>
      <c r="B112" s="16">
        <f>YEAR(A112)</f>
        <v>2024</v>
      </c>
      <c r="C112" s="10">
        <v>69904.540000000008</v>
      </c>
      <c r="D112" s="10">
        <v>69754.275000000009</v>
      </c>
      <c r="E112" s="10">
        <v>141.1</v>
      </c>
      <c r="F112" s="10">
        <f t="shared" si="2"/>
        <v>69895.375000000015</v>
      </c>
      <c r="G112" s="10">
        <v>0</v>
      </c>
      <c r="H112" s="10">
        <v>25.664999999999999</v>
      </c>
      <c r="I112" s="10">
        <v>139709.35</v>
      </c>
      <c r="J112" s="10">
        <v>0</v>
      </c>
      <c r="K112" s="10">
        <v>0</v>
      </c>
      <c r="L112" s="10">
        <v>163677</v>
      </c>
      <c r="M112" s="10">
        <f t="shared" si="3"/>
        <v>163677</v>
      </c>
      <c r="N112" s="10">
        <v>0</v>
      </c>
      <c r="O112" s="10">
        <v>130149</v>
      </c>
      <c r="P112" s="10">
        <v>967726.86300000001</v>
      </c>
      <c r="Q112" s="10">
        <v>115418</v>
      </c>
      <c r="R112" s="10">
        <v>284.5</v>
      </c>
      <c r="S112" s="10">
        <v>63083.345000000001</v>
      </c>
      <c r="T112" s="10">
        <v>1125507.682</v>
      </c>
      <c r="U112" s="10">
        <v>0</v>
      </c>
      <c r="V112" s="10">
        <v>1073184.885</v>
      </c>
      <c r="W112" s="10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</row>
    <row r="113" spans="1:48" x14ac:dyDescent="0.25">
      <c r="A113" s="20">
        <v>45323</v>
      </c>
      <c r="B113" s="16">
        <f>YEAR(A113)</f>
        <v>2024</v>
      </c>
      <c r="C113" s="10">
        <v>60788.639999999999</v>
      </c>
      <c r="D113" s="10">
        <v>55858.239999999991</v>
      </c>
      <c r="E113" s="10">
        <v>195.2</v>
      </c>
      <c r="F113" s="10">
        <f t="shared" si="2"/>
        <v>56053.439999999988</v>
      </c>
      <c r="G113" s="10">
        <v>0</v>
      </c>
      <c r="H113" s="10">
        <v>0</v>
      </c>
      <c r="I113" s="10">
        <v>119593.66</v>
      </c>
      <c r="J113" s="10">
        <v>0</v>
      </c>
      <c r="K113" s="10">
        <v>1350</v>
      </c>
      <c r="L113" s="10">
        <v>149745</v>
      </c>
      <c r="M113" s="10">
        <f t="shared" si="3"/>
        <v>151095</v>
      </c>
      <c r="N113" s="10">
        <v>0</v>
      </c>
      <c r="O113" s="10">
        <v>127145</v>
      </c>
      <c r="P113" s="10">
        <v>864071.299</v>
      </c>
      <c r="Q113" s="10">
        <v>24927</v>
      </c>
      <c r="R113" s="10">
        <v>282</v>
      </c>
      <c r="S113" s="10">
        <v>39026.879999999997</v>
      </c>
      <c r="T113" s="10">
        <v>1060932.5200000003</v>
      </c>
      <c r="U113" s="10">
        <v>0</v>
      </c>
      <c r="V113" s="10">
        <v>1047594.19</v>
      </c>
      <c r="W113" s="10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</row>
    <row r="114" spans="1:48" x14ac:dyDescent="0.25">
      <c r="A114" s="20">
        <v>45352</v>
      </c>
      <c r="B114" s="16">
        <f t="shared" ref="B114:B125" si="4">YEAR(A114)</f>
        <v>2024</v>
      </c>
      <c r="C114" s="10">
        <v>100482.88999999998</v>
      </c>
      <c r="D114" s="10">
        <v>58141.411000000007</v>
      </c>
      <c r="E114" s="10">
        <v>196.56</v>
      </c>
      <c r="F114" s="10">
        <f t="shared" si="2"/>
        <v>58337.971000000005</v>
      </c>
      <c r="G114" s="10">
        <v>0</v>
      </c>
      <c r="H114" s="10">
        <v>6.0000000000000001E-3</v>
      </c>
      <c r="I114" s="10">
        <v>121599</v>
      </c>
      <c r="J114" s="10">
        <v>0</v>
      </c>
      <c r="K114" s="10">
        <v>2393</v>
      </c>
      <c r="L114" s="10">
        <v>157527</v>
      </c>
      <c r="M114" s="10">
        <f t="shared" si="3"/>
        <v>159920</v>
      </c>
      <c r="N114" s="10">
        <v>8479</v>
      </c>
      <c r="O114" s="10">
        <v>110415</v>
      </c>
      <c r="P114" s="10">
        <v>923690.95</v>
      </c>
      <c r="Q114" s="10">
        <v>0</v>
      </c>
      <c r="R114" s="10">
        <v>329.5</v>
      </c>
      <c r="S114" s="10">
        <v>47046</v>
      </c>
      <c r="T114" s="10">
        <v>1122902.7800000003</v>
      </c>
      <c r="U114" s="10">
        <v>11590</v>
      </c>
      <c r="V114" s="10">
        <v>1009418.46</v>
      </c>
      <c r="W114" s="10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</row>
    <row r="115" spans="1:48" x14ac:dyDescent="0.25">
      <c r="A115" s="20">
        <v>45383</v>
      </c>
      <c r="B115" s="16">
        <f t="shared" si="4"/>
        <v>2024</v>
      </c>
      <c r="C115" s="10">
        <v>121657.58</v>
      </c>
      <c r="D115" s="10">
        <v>61995.193000000007</v>
      </c>
      <c r="E115" s="10">
        <v>186.33999999999997</v>
      </c>
      <c r="F115" s="10">
        <f t="shared" si="2"/>
        <v>62181.533000000003</v>
      </c>
      <c r="G115" s="10">
        <v>60786.99</v>
      </c>
      <c r="H115" s="10">
        <v>0</v>
      </c>
      <c r="I115" s="10">
        <v>118628</v>
      </c>
      <c r="J115" s="10">
        <v>0</v>
      </c>
      <c r="K115" s="10">
        <v>1059</v>
      </c>
      <c r="L115" s="10">
        <v>136922</v>
      </c>
      <c r="M115" s="10">
        <f t="shared" si="3"/>
        <v>137981</v>
      </c>
      <c r="N115" s="10">
        <v>0</v>
      </c>
      <c r="O115" s="10">
        <v>118139</v>
      </c>
      <c r="P115" s="10">
        <v>936792.9530000001</v>
      </c>
      <c r="Q115" s="10">
        <v>34231</v>
      </c>
      <c r="R115" s="10">
        <v>248</v>
      </c>
      <c r="S115" s="10">
        <v>67917.649999999994</v>
      </c>
      <c r="T115" s="10">
        <v>1146054.1259999999</v>
      </c>
      <c r="U115" s="10">
        <v>0</v>
      </c>
      <c r="V115" s="10">
        <v>1017179.999</v>
      </c>
      <c r="W115" s="10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</row>
    <row r="116" spans="1:48" x14ac:dyDescent="0.25">
      <c r="A116" s="20">
        <v>45413</v>
      </c>
      <c r="B116" s="16">
        <f t="shared" si="4"/>
        <v>2024</v>
      </c>
      <c r="C116" s="10">
        <v>109716.53999999996</v>
      </c>
      <c r="D116" s="10">
        <v>66509.26400000001</v>
      </c>
      <c r="E116" s="10">
        <v>157.92000000000002</v>
      </c>
      <c r="F116" s="10">
        <f t="shared" si="2"/>
        <v>66667.184000000008</v>
      </c>
      <c r="G116" s="10">
        <v>74589.649999999994</v>
      </c>
      <c r="H116" s="10">
        <v>9.7349999999999994</v>
      </c>
      <c r="I116" s="10">
        <v>111254</v>
      </c>
      <c r="J116" s="10">
        <v>0</v>
      </c>
      <c r="K116" s="10">
        <v>0</v>
      </c>
      <c r="L116" s="10">
        <v>130463</v>
      </c>
      <c r="M116" s="10">
        <f t="shared" si="3"/>
        <v>130463</v>
      </c>
      <c r="N116" s="10">
        <v>0</v>
      </c>
      <c r="O116" s="10">
        <v>122133</v>
      </c>
      <c r="P116" s="10">
        <v>977618.64300000004</v>
      </c>
      <c r="Q116" s="10">
        <v>23164</v>
      </c>
      <c r="R116" s="10">
        <v>354.1</v>
      </c>
      <c r="S116" s="10">
        <v>67878.309000000008</v>
      </c>
      <c r="T116" s="10">
        <v>1308312.7419999999</v>
      </c>
      <c r="U116" s="10">
        <v>4685</v>
      </c>
      <c r="V116" s="10">
        <v>868738.723</v>
      </c>
      <c r="W116" s="10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</row>
    <row r="117" spans="1:48" x14ac:dyDescent="0.25">
      <c r="A117" s="20">
        <v>45444</v>
      </c>
      <c r="B117" s="16">
        <f t="shared" si="4"/>
        <v>2024</v>
      </c>
      <c r="C117" s="10">
        <v>123483.22</v>
      </c>
      <c r="D117" s="10">
        <v>67860.622999999978</v>
      </c>
      <c r="E117" s="10">
        <v>90.079999999999984</v>
      </c>
      <c r="F117" s="10">
        <f t="shared" si="2"/>
        <v>67950.70299999998</v>
      </c>
      <c r="G117" s="10">
        <v>30300</v>
      </c>
      <c r="H117" s="10">
        <v>4.0000000000000001E-3</v>
      </c>
      <c r="I117" s="10">
        <v>116094</v>
      </c>
      <c r="J117" s="10">
        <v>14249</v>
      </c>
      <c r="K117" s="10">
        <v>1885</v>
      </c>
      <c r="L117" s="10">
        <v>131960</v>
      </c>
      <c r="M117" s="10">
        <f t="shared" si="3"/>
        <v>133845</v>
      </c>
      <c r="N117" s="10">
        <v>3000</v>
      </c>
      <c r="O117" s="10">
        <v>118579</v>
      </c>
      <c r="P117" s="10">
        <v>873030.1</v>
      </c>
      <c r="Q117" s="10">
        <v>99932</v>
      </c>
      <c r="R117" s="10">
        <v>301.31</v>
      </c>
      <c r="S117" s="10">
        <v>66304.77</v>
      </c>
      <c r="T117" s="10">
        <v>1118404.5400000003</v>
      </c>
      <c r="U117" s="10">
        <v>5620</v>
      </c>
      <c r="V117" s="10">
        <v>878486.89099999995</v>
      </c>
      <c r="W117" s="10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</row>
    <row r="118" spans="1:48" x14ac:dyDescent="0.25">
      <c r="A118" s="20">
        <v>45474</v>
      </c>
      <c r="B118" s="16">
        <f t="shared" si="4"/>
        <v>2024</v>
      </c>
      <c r="C118" s="10">
        <v>158400.20000000001</v>
      </c>
      <c r="D118" s="10">
        <v>69949.241000000009</v>
      </c>
      <c r="E118" s="10">
        <v>150.02000000000001</v>
      </c>
      <c r="F118" s="10">
        <f t="shared" si="2"/>
        <v>70099.261000000013</v>
      </c>
      <c r="G118" s="10">
        <v>102670</v>
      </c>
      <c r="H118" s="10">
        <v>0</v>
      </c>
      <c r="I118" s="10">
        <v>127878</v>
      </c>
      <c r="J118" s="10">
        <v>0</v>
      </c>
      <c r="K118" s="10">
        <v>102</v>
      </c>
      <c r="L118" s="10">
        <v>152935</v>
      </c>
      <c r="M118" s="10">
        <f t="shared" si="3"/>
        <v>153037</v>
      </c>
      <c r="N118" s="10">
        <v>2996</v>
      </c>
      <c r="O118" s="10">
        <v>128888</v>
      </c>
      <c r="P118" s="10">
        <v>936957.42100000009</v>
      </c>
      <c r="Q118" s="10">
        <v>166027</v>
      </c>
      <c r="R118" s="10">
        <v>381.62</v>
      </c>
      <c r="S118" s="10">
        <v>63611.579999999994</v>
      </c>
      <c r="T118" s="10">
        <v>1226034.5899999999</v>
      </c>
      <c r="U118" s="10">
        <v>1997</v>
      </c>
      <c r="V118" s="10">
        <v>934027.16200000001</v>
      </c>
      <c r="W118" s="10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</row>
    <row r="119" spans="1:48" x14ac:dyDescent="0.25">
      <c r="A119" s="20">
        <v>45505</v>
      </c>
      <c r="B119" s="16">
        <f t="shared" si="4"/>
        <v>2024</v>
      </c>
      <c r="C119" s="10">
        <v>106992.36</v>
      </c>
      <c r="D119" s="10">
        <v>72002.679999999978</v>
      </c>
      <c r="E119" s="10">
        <v>128.54</v>
      </c>
      <c r="F119" s="10">
        <f t="shared" si="2"/>
        <v>72131.219999999972</v>
      </c>
      <c r="G119" s="10">
        <v>26573.34</v>
      </c>
      <c r="H119" s="10">
        <v>0</v>
      </c>
      <c r="I119" s="10">
        <v>127998</v>
      </c>
      <c r="J119" s="10">
        <v>0</v>
      </c>
      <c r="K119" s="10">
        <v>5000</v>
      </c>
      <c r="L119" s="10">
        <v>149812</v>
      </c>
      <c r="M119" s="10">
        <f t="shared" si="3"/>
        <v>154812</v>
      </c>
      <c r="N119" s="10">
        <v>2832</v>
      </c>
      <c r="O119" s="10">
        <v>134946</v>
      </c>
      <c r="P119" s="10">
        <v>934342.44900000002</v>
      </c>
      <c r="Q119" s="10">
        <v>107256</v>
      </c>
      <c r="R119" s="10">
        <v>397.5</v>
      </c>
      <c r="S119" s="10">
        <v>46620.81</v>
      </c>
      <c r="T119" s="10">
        <v>1156847.6779999998</v>
      </c>
      <c r="U119" s="10">
        <v>4793</v>
      </c>
      <c r="V119" s="10">
        <v>931344.022</v>
      </c>
      <c r="W119" s="10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</row>
    <row r="120" spans="1:48" x14ac:dyDescent="0.25">
      <c r="A120" s="20">
        <v>45536</v>
      </c>
      <c r="B120" s="16">
        <f t="shared" si="4"/>
        <v>2024</v>
      </c>
      <c r="C120" s="10">
        <v>71382.269999999975</v>
      </c>
      <c r="D120" s="10">
        <v>71527.873999999996</v>
      </c>
      <c r="E120" s="10">
        <v>155.80000000000001</v>
      </c>
      <c r="F120" s="10">
        <f t="shared" si="2"/>
        <v>71683.673999999999</v>
      </c>
      <c r="G120" s="10">
        <v>27818</v>
      </c>
      <c r="H120" s="10">
        <v>1.77</v>
      </c>
      <c r="I120" s="10">
        <v>127635</v>
      </c>
      <c r="J120" s="10">
        <v>0</v>
      </c>
      <c r="K120" s="10">
        <v>0</v>
      </c>
      <c r="L120" s="10">
        <v>142869</v>
      </c>
      <c r="M120" s="10">
        <f t="shared" si="3"/>
        <v>142869</v>
      </c>
      <c r="N120" s="10">
        <v>0</v>
      </c>
      <c r="O120" s="10">
        <v>151074</v>
      </c>
      <c r="P120" s="10">
        <v>886395.9090000001</v>
      </c>
      <c r="Q120" s="10">
        <v>79424</v>
      </c>
      <c r="R120" s="10">
        <v>185.05</v>
      </c>
      <c r="S120" s="10">
        <v>62789.837999999996</v>
      </c>
      <c r="T120" s="10">
        <v>1083633.5619999999</v>
      </c>
      <c r="U120" s="10">
        <v>0</v>
      </c>
      <c r="V120" s="10">
        <v>1002901.95</v>
      </c>
      <c r="W120" s="10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</row>
    <row r="121" spans="1:48" x14ac:dyDescent="0.25">
      <c r="A121" s="20">
        <v>45566</v>
      </c>
      <c r="B121" s="16">
        <f t="shared" si="4"/>
        <v>2024</v>
      </c>
      <c r="C121" s="10">
        <v>78915.23</v>
      </c>
      <c r="D121" s="10">
        <v>68262.008000000002</v>
      </c>
      <c r="E121" s="10">
        <v>149.38</v>
      </c>
      <c r="F121" s="10">
        <f t="shared" si="2"/>
        <v>68411.388000000006</v>
      </c>
      <c r="G121" s="10">
        <v>0</v>
      </c>
      <c r="H121" s="10">
        <v>0</v>
      </c>
      <c r="I121" s="10">
        <v>116493</v>
      </c>
      <c r="J121" s="10">
        <v>0</v>
      </c>
      <c r="K121" s="10">
        <v>0</v>
      </c>
      <c r="L121" s="10">
        <v>153333</v>
      </c>
      <c r="M121" s="10">
        <f t="shared" si="3"/>
        <v>153333</v>
      </c>
      <c r="N121" s="10">
        <v>6081</v>
      </c>
      <c r="O121" s="10">
        <v>130337</v>
      </c>
      <c r="P121" s="10">
        <v>972906.60100000002</v>
      </c>
      <c r="Q121" s="10">
        <v>56582</v>
      </c>
      <c r="R121" s="10">
        <v>452.5</v>
      </c>
      <c r="S121" s="10">
        <v>72348</v>
      </c>
      <c r="T121" s="10">
        <v>1189252.0250000001</v>
      </c>
      <c r="U121" s="10">
        <v>1894</v>
      </c>
      <c r="V121" s="10">
        <v>1022054.682</v>
      </c>
      <c r="W121" s="10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</row>
    <row r="122" spans="1:48" x14ac:dyDescent="0.25">
      <c r="A122" s="20">
        <v>45597</v>
      </c>
      <c r="B122" s="16">
        <f t="shared" si="4"/>
        <v>2024</v>
      </c>
      <c r="C122" s="10">
        <v>77239</v>
      </c>
      <c r="D122" s="10">
        <v>41792</v>
      </c>
      <c r="E122" s="10">
        <v>159</v>
      </c>
      <c r="F122" s="10">
        <f t="shared" si="2"/>
        <v>41951</v>
      </c>
      <c r="G122" s="10">
        <v>30600</v>
      </c>
      <c r="H122" s="10">
        <v>0</v>
      </c>
      <c r="I122" s="10">
        <v>126746</v>
      </c>
      <c r="J122" s="10">
        <v>0</v>
      </c>
      <c r="K122" s="10">
        <v>0</v>
      </c>
      <c r="L122" s="10">
        <v>162142</v>
      </c>
      <c r="M122" s="10">
        <f t="shared" si="3"/>
        <v>162142</v>
      </c>
      <c r="N122" s="10">
        <v>3305</v>
      </c>
      <c r="O122" s="10">
        <v>122700</v>
      </c>
      <c r="P122" s="10">
        <v>957929.68099999998</v>
      </c>
      <c r="Q122" s="10">
        <v>30500</v>
      </c>
      <c r="R122" s="10">
        <v>221.6</v>
      </c>
      <c r="S122" s="10">
        <v>58163</v>
      </c>
      <c r="T122" s="10">
        <v>1236068.71</v>
      </c>
      <c r="U122" s="10">
        <v>6507.4</v>
      </c>
      <c r="V122" s="10">
        <v>931536.04200000002</v>
      </c>
      <c r="W122" s="10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</row>
    <row r="123" spans="1:48" x14ac:dyDescent="0.25">
      <c r="A123" s="20">
        <v>45627</v>
      </c>
      <c r="B123" s="16">
        <f t="shared" si="4"/>
        <v>2024</v>
      </c>
      <c r="C123" s="10">
        <v>83734</v>
      </c>
      <c r="D123" s="10">
        <v>71713</v>
      </c>
      <c r="E123" s="10">
        <v>140</v>
      </c>
      <c r="F123" s="10">
        <f t="shared" si="2"/>
        <v>71853</v>
      </c>
      <c r="G123" s="10">
        <v>30000</v>
      </c>
      <c r="H123" s="10">
        <v>4.0000000000000001E-3</v>
      </c>
      <c r="I123" s="10">
        <v>144190</v>
      </c>
      <c r="J123" s="10">
        <v>0</v>
      </c>
      <c r="K123" s="10">
        <v>0</v>
      </c>
      <c r="L123" s="10">
        <v>177691</v>
      </c>
      <c r="M123" s="10">
        <f t="shared" si="3"/>
        <v>177691</v>
      </c>
      <c r="N123" s="10">
        <v>0</v>
      </c>
      <c r="O123" s="10">
        <v>120526</v>
      </c>
      <c r="P123" s="10">
        <v>997284.27899999986</v>
      </c>
      <c r="Q123" s="10">
        <v>68492.558000000005</v>
      </c>
      <c r="R123" s="10">
        <v>308</v>
      </c>
      <c r="S123" s="10">
        <v>67415</v>
      </c>
      <c r="T123" s="10">
        <v>1216682.1910000001</v>
      </c>
      <c r="U123" s="10">
        <v>13781</v>
      </c>
      <c r="V123" s="10">
        <v>939239.40700000001</v>
      </c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</row>
    <row r="124" spans="1:48" x14ac:dyDescent="0.25">
      <c r="A124" s="22">
        <v>45658</v>
      </c>
      <c r="B124" s="16">
        <f t="shared" si="4"/>
        <v>2025</v>
      </c>
      <c r="C124" s="10">
        <v>66538</v>
      </c>
      <c r="D124" s="10">
        <v>65683</v>
      </c>
      <c r="E124" s="10">
        <v>174</v>
      </c>
      <c r="F124" s="10">
        <f t="shared" si="2"/>
        <v>65857</v>
      </c>
      <c r="G124" s="10">
        <v>0</v>
      </c>
      <c r="H124" s="10">
        <v>4.0000000000000001E-3</v>
      </c>
      <c r="I124" s="10">
        <v>148323</v>
      </c>
      <c r="J124" s="10">
        <v>11002</v>
      </c>
      <c r="K124" s="10">
        <v>2320</v>
      </c>
      <c r="L124" s="10">
        <v>180501</v>
      </c>
      <c r="M124" s="10">
        <f t="shared" si="3"/>
        <v>182821</v>
      </c>
      <c r="N124" s="10">
        <v>0</v>
      </c>
      <c r="O124" s="10">
        <v>135709</v>
      </c>
      <c r="P124" s="10">
        <v>990963.85700000008</v>
      </c>
      <c r="Q124" s="10">
        <v>89194.909</v>
      </c>
      <c r="R124" s="10">
        <v>281.2</v>
      </c>
      <c r="S124" s="10">
        <v>55416</v>
      </c>
      <c r="T124" s="10">
        <v>1134889.493</v>
      </c>
      <c r="U124" s="10">
        <v>8299</v>
      </c>
      <c r="V124" s="10">
        <v>1092388.7949999999</v>
      </c>
    </row>
    <row r="125" spans="1:48" x14ac:dyDescent="0.25">
      <c r="A125" s="22">
        <v>45689</v>
      </c>
      <c r="B125" s="16">
        <f t="shared" si="4"/>
        <v>2025</v>
      </c>
      <c r="C125" s="10"/>
      <c r="D125" s="10"/>
      <c r="E125" s="10"/>
      <c r="F125" s="10">
        <f t="shared" si="2"/>
        <v>0</v>
      </c>
      <c r="G125" s="10"/>
      <c r="H125" s="10">
        <v>51.33</v>
      </c>
      <c r="I125" s="10">
        <v>100633</v>
      </c>
      <c r="J125" s="10">
        <v>24093</v>
      </c>
      <c r="K125" s="10">
        <v>283</v>
      </c>
      <c r="L125" s="10">
        <v>159059</v>
      </c>
      <c r="M125" s="10">
        <f t="shared" si="3"/>
        <v>159342</v>
      </c>
      <c r="N125" s="10">
        <v>0</v>
      </c>
      <c r="O125" s="10">
        <v>120110</v>
      </c>
      <c r="P125" s="10">
        <v>766012.29700000002</v>
      </c>
      <c r="Q125" s="10">
        <v>72106.91</v>
      </c>
      <c r="R125" s="10">
        <v>299.87</v>
      </c>
      <c r="S125" s="10">
        <v>37366</v>
      </c>
      <c r="T125" s="10">
        <v>1030855.29</v>
      </c>
      <c r="U125" s="10">
        <v>0</v>
      </c>
      <c r="V125" s="10">
        <v>1023272.3739999998</v>
      </c>
    </row>
    <row r="126" spans="1:48" x14ac:dyDescent="0.25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48" x14ac:dyDescent="0.25">
      <c r="O127" s="10"/>
      <c r="P127" s="10"/>
      <c r="Q127" s="10"/>
      <c r="R127" s="10"/>
      <c r="S127" s="10"/>
      <c r="T127" s="10"/>
    </row>
    <row r="128" spans="1:48" x14ac:dyDescent="0.25">
      <c r="O128" s="10"/>
      <c r="P128" s="10"/>
      <c r="Q128" s="10"/>
      <c r="R128" s="10"/>
      <c r="S128" s="10"/>
      <c r="T128" s="10"/>
    </row>
    <row r="137" spans="1:1" x14ac:dyDescent="0.25">
      <c r="A137" s="22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D91B-D942-451B-A5E8-66EA63A5510F}">
  <sheetPr>
    <pageSetUpPr fitToPage="1"/>
  </sheetPr>
  <dimension ref="A1:V100"/>
  <sheetViews>
    <sheetView showGridLines="0" zoomScaleNormal="100" workbookViewId="0">
      <pane xSplit="1" ySplit="2" topLeftCell="B6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ColWidth="8.85546875" defaultRowHeight="15" x14ac:dyDescent="0.25"/>
  <cols>
    <col min="1" max="1" width="37.7109375" style="5" bestFit="1" customWidth="1"/>
    <col min="2" max="9" width="9.28515625" style="5" customWidth="1"/>
    <col min="10" max="10" width="9.28515625" style="4" customWidth="1"/>
    <col min="11" max="22" width="9.28515625" style="5" customWidth="1"/>
    <col min="23" max="16384" width="8.85546875" style="5"/>
  </cols>
  <sheetData>
    <row r="1" spans="1:22" s="26" customFormat="1" ht="15.75" thickBot="1" x14ac:dyDescent="0.3">
      <c r="A1" s="23" t="s">
        <v>72</v>
      </c>
      <c r="B1" s="24"/>
      <c r="C1" s="24"/>
      <c r="D1" s="24"/>
      <c r="E1" s="24"/>
      <c r="F1" s="24"/>
      <c r="G1" s="24"/>
      <c r="H1" s="24"/>
      <c r="I1" s="24"/>
      <c r="J1" s="25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16.5" thickTop="1" thickBot="1" x14ac:dyDescent="0.3">
      <c r="A2" s="27" t="s">
        <v>73</v>
      </c>
      <c r="B2" s="28">
        <v>2015</v>
      </c>
      <c r="C2" s="28">
        <v>2016</v>
      </c>
      <c r="D2" s="28">
        <v>2017</v>
      </c>
      <c r="E2" s="28">
        <v>2018</v>
      </c>
      <c r="F2" s="28">
        <v>2019</v>
      </c>
      <c r="G2" s="28">
        <v>2020</v>
      </c>
      <c r="H2" s="28">
        <v>2021</v>
      </c>
      <c r="I2" s="28">
        <v>2022</v>
      </c>
      <c r="J2" s="28">
        <v>2023</v>
      </c>
      <c r="K2" s="28">
        <v>2024</v>
      </c>
      <c r="L2" s="28">
        <v>2025</v>
      </c>
      <c r="M2" s="28">
        <v>2026</v>
      </c>
      <c r="N2" s="28">
        <v>2027</v>
      </c>
      <c r="O2" s="28">
        <v>2028</v>
      </c>
      <c r="P2" s="28">
        <v>2029</v>
      </c>
      <c r="Q2" s="28">
        <v>2030</v>
      </c>
      <c r="R2" s="28">
        <v>2031</v>
      </c>
      <c r="S2" s="28">
        <v>2032</v>
      </c>
      <c r="T2" s="28">
        <v>2033</v>
      </c>
      <c r="U2" s="28">
        <v>2034</v>
      </c>
      <c r="V2" s="28">
        <v>2035</v>
      </c>
    </row>
    <row r="3" spans="1:22" ht="15.75" thickTop="1" x14ac:dyDescent="0.25">
      <c r="A3" s="29" t="s">
        <v>74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25">
      <c r="A4" s="29" t="s">
        <v>75</v>
      </c>
      <c r="B4" s="30">
        <f>B35</f>
        <v>1810.6570000000002</v>
      </c>
      <c r="C4" s="30">
        <f t="shared" ref="C4:K4" si="0">C35</f>
        <v>2659.2754499999996</v>
      </c>
      <c r="D4" s="30">
        <f t="shared" si="0"/>
        <v>2871.4349999999995</v>
      </c>
      <c r="E4" s="30">
        <f t="shared" si="0"/>
        <v>2428.9970600000001</v>
      </c>
      <c r="F4" s="30">
        <f t="shared" si="0"/>
        <v>2147.2704800000001</v>
      </c>
      <c r="G4" s="30">
        <f t="shared" si="0"/>
        <v>1157.3641100000002</v>
      </c>
      <c r="H4" s="30">
        <f t="shared" si="0"/>
        <v>1723.6654900000003</v>
      </c>
      <c r="I4" s="30">
        <f t="shared" si="0"/>
        <v>1909.6183999999996</v>
      </c>
      <c r="J4" s="30">
        <f t="shared" si="0"/>
        <v>831.26855</v>
      </c>
      <c r="K4" s="30">
        <f t="shared" si="0"/>
        <v>1162.6964699999996</v>
      </c>
      <c r="L4" s="31">
        <f>L12*0.5</f>
        <v>1266.896</v>
      </c>
      <c r="M4" s="31">
        <f t="shared" ref="M4:V4" si="1">M12*0.5</f>
        <v>1266.896</v>
      </c>
      <c r="N4" s="31">
        <f t="shared" si="1"/>
        <v>1266.896</v>
      </c>
      <c r="O4" s="31">
        <f t="shared" si="1"/>
        <v>1266.896</v>
      </c>
      <c r="P4" s="31">
        <f t="shared" si="1"/>
        <v>1266.896</v>
      </c>
      <c r="Q4" s="31">
        <f t="shared" si="1"/>
        <v>1266.896</v>
      </c>
      <c r="R4" s="31">
        <f t="shared" si="1"/>
        <v>1266.896</v>
      </c>
      <c r="S4" s="31">
        <f t="shared" si="1"/>
        <v>1266.896</v>
      </c>
      <c r="T4" s="31">
        <f t="shared" si="1"/>
        <v>1266.896</v>
      </c>
      <c r="U4" s="31">
        <f t="shared" si="1"/>
        <v>1266.896</v>
      </c>
      <c r="V4" s="31">
        <f t="shared" si="1"/>
        <v>1266.896</v>
      </c>
    </row>
    <row r="5" spans="1:22" s="35" customFormat="1" x14ac:dyDescent="0.25">
      <c r="A5" s="32" t="s">
        <v>76</v>
      </c>
      <c r="B5" s="33">
        <f>B51</f>
        <v>3.9999999999999998E-6</v>
      </c>
      <c r="C5" s="33">
        <f t="shared" ref="C5:K5" si="2">C51</f>
        <v>7.0000000000000001E-3</v>
      </c>
      <c r="D5" s="33">
        <f t="shared" si="2"/>
        <v>7.0650000000000001E-3</v>
      </c>
      <c r="E5" s="33">
        <f t="shared" si="2"/>
        <v>3.0000000000000001E-6</v>
      </c>
      <c r="F5" s="33">
        <f t="shared" si="2"/>
        <v>1.8827E-2</v>
      </c>
      <c r="G5" s="33">
        <f t="shared" si="2"/>
        <v>1.1519999999999999E-2</v>
      </c>
      <c r="H5" s="33">
        <f t="shared" si="2"/>
        <v>0</v>
      </c>
      <c r="I5" s="33">
        <f t="shared" si="2"/>
        <v>1.4E-5</v>
      </c>
      <c r="J5" s="33">
        <f t="shared" si="2"/>
        <v>5.1580000000000008E-2</v>
      </c>
      <c r="K5" s="33">
        <f t="shared" si="2"/>
        <v>3.7183999999999995E-2</v>
      </c>
      <c r="L5" s="34">
        <f>AVERAGE(B5:K5)</f>
        <v>1.33197E-2</v>
      </c>
      <c r="M5" s="34">
        <f t="shared" ref="M5:V5" si="3">AVERAGE(C5:L5)</f>
        <v>1.4651269999999999E-2</v>
      </c>
      <c r="N5" s="34">
        <f t="shared" si="3"/>
        <v>1.5416396999999998E-2</v>
      </c>
      <c r="O5" s="34">
        <f t="shared" si="3"/>
        <v>1.6251536699999999E-2</v>
      </c>
      <c r="P5" s="34">
        <f t="shared" si="3"/>
        <v>1.7876390370000002E-2</v>
      </c>
      <c r="Q5" s="34">
        <f t="shared" si="3"/>
        <v>1.7781329407000002E-2</v>
      </c>
      <c r="R5" s="34">
        <f t="shared" si="3"/>
        <v>1.84074623477E-2</v>
      </c>
      <c r="S5" s="34">
        <f t="shared" si="3"/>
        <v>2.0248208582469999E-2</v>
      </c>
      <c r="T5" s="34">
        <f t="shared" si="3"/>
        <v>2.2271629440717002E-2</v>
      </c>
      <c r="U5" s="34">
        <f t="shared" si="3"/>
        <v>1.93407923847887E-2</v>
      </c>
      <c r="V5" s="34">
        <f t="shared" si="3"/>
        <v>1.755647162326757E-2</v>
      </c>
    </row>
    <row r="6" spans="1:22" x14ac:dyDescent="0.25">
      <c r="A6" s="36" t="s">
        <v>77</v>
      </c>
      <c r="B6" s="37">
        <f>SUM(B4:B5)</f>
        <v>1810.6570040000001</v>
      </c>
      <c r="C6" s="37">
        <f t="shared" ref="C6:V6" si="4">SUM(C4:C5)</f>
        <v>2659.2824499999997</v>
      </c>
      <c r="D6" s="37">
        <f t="shared" si="4"/>
        <v>2871.4420649999993</v>
      </c>
      <c r="E6" s="37">
        <f t="shared" si="4"/>
        <v>2428.9970630000003</v>
      </c>
      <c r="F6" s="37">
        <f t="shared" si="4"/>
        <v>2147.289307</v>
      </c>
      <c r="G6" s="37">
        <f t="shared" si="4"/>
        <v>1157.3756300000002</v>
      </c>
      <c r="H6" s="37">
        <f t="shared" si="4"/>
        <v>1723.6654900000003</v>
      </c>
      <c r="I6" s="37">
        <f t="shared" si="4"/>
        <v>1909.6184139999996</v>
      </c>
      <c r="J6" s="37">
        <f t="shared" si="4"/>
        <v>831.32012999999995</v>
      </c>
      <c r="K6" s="37">
        <f t="shared" si="4"/>
        <v>1162.7336539999997</v>
      </c>
      <c r="L6" s="38">
        <f t="shared" si="4"/>
        <v>1266.9093197</v>
      </c>
      <c r="M6" s="38">
        <f t="shared" si="4"/>
        <v>1266.91065127</v>
      </c>
      <c r="N6" s="38">
        <f t="shared" si="4"/>
        <v>1266.911416397</v>
      </c>
      <c r="O6" s="38">
        <f t="shared" si="4"/>
        <v>1266.9122515367001</v>
      </c>
      <c r="P6" s="38">
        <f t="shared" si="4"/>
        <v>1266.91387639037</v>
      </c>
      <c r="Q6" s="38">
        <f t="shared" si="4"/>
        <v>1266.9137813294069</v>
      </c>
      <c r="R6" s="38">
        <f t="shared" si="4"/>
        <v>1266.9144074623478</v>
      </c>
      <c r="S6" s="38">
        <f t="shared" si="4"/>
        <v>1266.9162482085824</v>
      </c>
      <c r="T6" s="38">
        <f t="shared" si="4"/>
        <v>1266.9182716294406</v>
      </c>
      <c r="U6" s="38">
        <f t="shared" si="4"/>
        <v>1266.9153407923848</v>
      </c>
      <c r="V6" s="38">
        <f t="shared" si="4"/>
        <v>1266.9135564716232</v>
      </c>
    </row>
    <row r="7" spans="1:22" x14ac:dyDescent="0.25">
      <c r="A7" s="39" t="s">
        <v>78</v>
      </c>
      <c r="B7" s="30">
        <f>B83</f>
        <v>1014.361</v>
      </c>
      <c r="C7" s="30">
        <f t="shared" ref="C7:K7" si="5">C83</f>
        <v>1036.3973699999999</v>
      </c>
      <c r="D7" s="30">
        <f t="shared" si="5"/>
        <v>1173.53307</v>
      </c>
      <c r="E7" s="30">
        <f t="shared" si="5"/>
        <v>1099.8915</v>
      </c>
      <c r="F7" s="30">
        <f t="shared" si="5"/>
        <v>1136.72867</v>
      </c>
      <c r="G7" s="30">
        <f t="shared" si="5"/>
        <v>498.85927199999998</v>
      </c>
      <c r="H7" s="30">
        <f t="shared" si="5"/>
        <v>439.415012649</v>
      </c>
      <c r="I7" s="30">
        <f t="shared" si="5"/>
        <v>714.31418900000017</v>
      </c>
      <c r="J7" s="30">
        <f t="shared" si="5"/>
        <v>588.80438500000002</v>
      </c>
      <c r="K7" s="30">
        <f t="shared" si="5"/>
        <v>777.21574899999996</v>
      </c>
      <c r="L7" s="40">
        <f>AVERAGE(B7:K7)</f>
        <v>847.9520217649</v>
      </c>
      <c r="M7" s="40">
        <f t="shared" ref="M7:V7" si="6">AVERAGE(C7:L7)</f>
        <v>831.31112394139018</v>
      </c>
      <c r="N7" s="40">
        <f t="shared" si="6"/>
        <v>810.80249933552909</v>
      </c>
      <c r="O7" s="40">
        <f t="shared" si="6"/>
        <v>774.52944226908198</v>
      </c>
      <c r="P7" s="40">
        <f t="shared" si="6"/>
        <v>741.99323649599012</v>
      </c>
      <c r="Q7" s="40">
        <f t="shared" si="6"/>
        <v>702.51969314558914</v>
      </c>
      <c r="R7" s="40">
        <f t="shared" si="6"/>
        <v>722.88573526014818</v>
      </c>
      <c r="S7" s="40">
        <f t="shared" si="6"/>
        <v>751.23280752126288</v>
      </c>
      <c r="T7" s="40">
        <f t="shared" si="6"/>
        <v>754.92466937338918</v>
      </c>
      <c r="U7" s="40">
        <f t="shared" si="6"/>
        <v>771.53669781072813</v>
      </c>
      <c r="V7" s="40">
        <f t="shared" si="6"/>
        <v>770.96879269180079</v>
      </c>
    </row>
    <row r="8" spans="1:22" x14ac:dyDescent="0.25">
      <c r="A8" s="29" t="s">
        <v>47</v>
      </c>
      <c r="B8" s="30">
        <f>B67</f>
        <v>788.226</v>
      </c>
      <c r="C8" s="30">
        <f t="shared" ref="C8:J8" si="7">C67</f>
        <v>1626.2636899999998</v>
      </c>
      <c r="D8" s="30">
        <f t="shared" si="7"/>
        <v>1650.11905</v>
      </c>
      <c r="E8" s="30">
        <f t="shared" si="7"/>
        <v>1401.3168599999999</v>
      </c>
      <c r="F8" s="30">
        <f t="shared" si="7"/>
        <v>1015.0068199999999</v>
      </c>
      <c r="G8" s="30">
        <f t="shared" si="7"/>
        <v>597.20488</v>
      </c>
      <c r="H8" s="30">
        <f t="shared" si="7"/>
        <v>1269.5695800000001</v>
      </c>
      <c r="I8" s="30">
        <f t="shared" si="7"/>
        <v>1236.40985</v>
      </c>
      <c r="J8" s="30">
        <f t="shared" si="7"/>
        <v>284.60000000000002</v>
      </c>
      <c r="K8" s="30">
        <f>K67</f>
        <v>383.33798000000002</v>
      </c>
      <c r="L8" s="40">
        <f>AVERAGE(B8:K8)-600</f>
        <v>425.20547099999999</v>
      </c>
      <c r="M8" s="40">
        <f>AVERAGE(C8:L8)-500</f>
        <v>488.90341809999995</v>
      </c>
      <c r="N8" s="40">
        <f>AVERAGE(D8:M8)-500</f>
        <v>375.16739091000022</v>
      </c>
      <c r="O8" s="40">
        <f>AVERAGE(E8:N8)-500</f>
        <v>247.67222500100002</v>
      </c>
      <c r="P8" s="40">
        <f>AVERAGE(F8:O8)-500</f>
        <v>132.3077615011</v>
      </c>
      <c r="Q8" s="40">
        <f>AVERAGE(G8:P8)-300</f>
        <v>244.03785565120995</v>
      </c>
      <c r="R8" s="40">
        <f>AVERAGE(H8:Q8)-300</f>
        <v>208.72115321633089</v>
      </c>
      <c r="S8" s="40">
        <f>AVERAGE(I8:R8)-300</f>
        <v>102.63631053796405</v>
      </c>
      <c r="T8" s="40">
        <f>AVERAGE(J8:S8)</f>
        <v>289.25895659176052</v>
      </c>
      <c r="U8" s="40">
        <f>AVERAGE(K8:T8)</f>
        <v>289.72485225093658</v>
      </c>
      <c r="V8" s="40">
        <f>AVERAGE(L8:U8)</f>
        <v>280.36353947603027</v>
      </c>
    </row>
    <row r="9" spans="1:22" x14ac:dyDescent="0.25">
      <c r="A9" s="41" t="s">
        <v>79</v>
      </c>
      <c r="B9" s="42">
        <f t="shared" ref="B9:D9" si="8">SUM(B7:B8)</f>
        <v>1802.587</v>
      </c>
      <c r="C9" s="42">
        <f t="shared" si="8"/>
        <v>2662.6610599999995</v>
      </c>
      <c r="D9" s="42">
        <f t="shared" si="8"/>
        <v>2823.6521199999997</v>
      </c>
      <c r="E9" s="42">
        <f>SUM(E7:E8)</f>
        <v>2501.2083599999996</v>
      </c>
      <c r="F9" s="42">
        <f t="shared" ref="F9:V9" si="9">SUM(F7:F8)</f>
        <v>2151.73549</v>
      </c>
      <c r="G9" s="42">
        <f t="shared" si="9"/>
        <v>1096.0641519999999</v>
      </c>
      <c r="H9" s="42">
        <f t="shared" si="9"/>
        <v>1708.9845926490002</v>
      </c>
      <c r="I9" s="42">
        <f t="shared" si="9"/>
        <v>1950.7240390000002</v>
      </c>
      <c r="J9" s="42">
        <f t="shared" si="9"/>
        <v>873.40438500000005</v>
      </c>
      <c r="K9" s="42">
        <f t="shared" si="9"/>
        <v>1160.553729</v>
      </c>
      <c r="L9" s="42">
        <f t="shared" si="9"/>
        <v>1273.1574927648999</v>
      </c>
      <c r="M9" s="42">
        <f t="shared" si="9"/>
        <v>1320.2145420413901</v>
      </c>
      <c r="N9" s="42">
        <f t="shared" si="9"/>
        <v>1185.9698902455293</v>
      </c>
      <c r="O9" s="42">
        <f t="shared" si="9"/>
        <v>1022.201667270082</v>
      </c>
      <c r="P9" s="42">
        <f t="shared" si="9"/>
        <v>874.30099799709012</v>
      </c>
      <c r="Q9" s="42">
        <f t="shared" si="9"/>
        <v>946.5575487967991</v>
      </c>
      <c r="R9" s="42">
        <f t="shared" si="9"/>
        <v>931.60688847647907</v>
      </c>
      <c r="S9" s="42">
        <f t="shared" si="9"/>
        <v>853.86911805922693</v>
      </c>
      <c r="T9" s="42">
        <f t="shared" si="9"/>
        <v>1044.1836259651498</v>
      </c>
      <c r="U9" s="42">
        <f t="shared" si="9"/>
        <v>1061.2615500616648</v>
      </c>
      <c r="V9" s="42">
        <f t="shared" si="9"/>
        <v>1051.3323321678311</v>
      </c>
    </row>
    <row r="10" spans="1:22" x14ac:dyDescent="0.25">
      <c r="A10" s="39" t="s">
        <v>80</v>
      </c>
      <c r="B10" s="31">
        <f t="shared" ref="B10:J10" si="10">B6-B9</f>
        <v>8.0700040000001536</v>
      </c>
      <c r="C10" s="31">
        <f t="shared" si="10"/>
        <v>-3.3786099999997532</v>
      </c>
      <c r="D10" s="31">
        <f t="shared" si="10"/>
        <v>47.789944999999534</v>
      </c>
      <c r="E10" s="31">
        <f t="shared" si="10"/>
        <v>-72.211296999999377</v>
      </c>
      <c r="F10" s="31">
        <f t="shared" si="10"/>
        <v>-4.4461830000000191</v>
      </c>
      <c r="G10" s="31">
        <f t="shared" si="10"/>
        <v>61.311478000000307</v>
      </c>
      <c r="H10" s="31">
        <f t="shared" si="10"/>
        <v>14.680897351000112</v>
      </c>
      <c r="I10" s="31">
        <f t="shared" si="10"/>
        <v>-41.1056250000006</v>
      </c>
      <c r="J10" s="31">
        <f t="shared" si="10"/>
        <v>-42.084255000000098</v>
      </c>
      <c r="K10" s="31">
        <f>K6-K9</f>
        <v>2.1799249999996846</v>
      </c>
      <c r="L10" s="31">
        <f t="shared" ref="L10:V10" si="11">L6-L9</f>
        <v>-6.2481730648999019</v>
      </c>
      <c r="M10" s="31">
        <f t="shared" si="11"/>
        <v>-53.303890771390115</v>
      </c>
      <c r="N10" s="31">
        <f t="shared" si="11"/>
        <v>80.941526151470725</v>
      </c>
      <c r="O10" s="31">
        <f t="shared" si="11"/>
        <v>244.71058426661807</v>
      </c>
      <c r="P10" s="31">
        <f t="shared" si="11"/>
        <v>392.61287839327986</v>
      </c>
      <c r="Q10" s="31">
        <f t="shared" si="11"/>
        <v>320.35623253260781</v>
      </c>
      <c r="R10" s="31">
        <f t="shared" si="11"/>
        <v>335.30751898586868</v>
      </c>
      <c r="S10" s="31">
        <f t="shared" si="11"/>
        <v>413.04713014935544</v>
      </c>
      <c r="T10" s="31">
        <f t="shared" si="11"/>
        <v>222.73464566429084</v>
      </c>
      <c r="U10" s="31">
        <f t="shared" si="11"/>
        <v>205.65379073071995</v>
      </c>
      <c r="V10" s="31">
        <f t="shared" si="11"/>
        <v>215.58122430379217</v>
      </c>
    </row>
    <row r="11" spans="1:22" s="35" customFormat="1" x14ac:dyDescent="0.2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</row>
    <row r="12" spans="1:22" x14ac:dyDescent="0.25">
      <c r="A12" s="45" t="s">
        <v>81</v>
      </c>
      <c r="B12" s="46">
        <f>2023.792+1500</f>
        <v>3523.7919999999999</v>
      </c>
      <c r="C12" s="46">
        <f>2373.792+1500</f>
        <v>3873.7919999999999</v>
      </c>
      <c r="D12" s="46">
        <f>2533.792+1500</f>
        <v>4033.7919999999999</v>
      </c>
      <c r="E12" s="46">
        <f>2533.792+1500</f>
        <v>4033.7919999999999</v>
      </c>
      <c r="F12" s="46">
        <f>2533.792+1500</f>
        <v>4033.7919999999999</v>
      </c>
      <c r="G12" s="47">
        <v>2533.7919999999999</v>
      </c>
      <c r="H12" s="47">
        <v>2533.7919999999999</v>
      </c>
      <c r="I12" s="47">
        <v>2533.7919999999999</v>
      </c>
      <c r="J12" s="47">
        <v>2533.7919999999999</v>
      </c>
      <c r="K12" s="47">
        <v>2533.7919999999999</v>
      </c>
      <c r="L12" s="47">
        <v>2533.7919999999999</v>
      </c>
      <c r="M12" s="47">
        <v>2533.7919999999999</v>
      </c>
      <c r="N12" s="47">
        <v>2533.7919999999999</v>
      </c>
      <c r="O12" s="47">
        <v>2533.7919999999999</v>
      </c>
      <c r="P12" s="47">
        <v>2533.7919999999999</v>
      </c>
      <c r="Q12" s="47">
        <v>2533.7919999999999</v>
      </c>
      <c r="R12" s="47">
        <v>2533.7919999999999</v>
      </c>
      <c r="S12" s="47">
        <v>2533.7919999999999</v>
      </c>
      <c r="T12" s="47">
        <v>2533.7919999999999</v>
      </c>
      <c r="U12" s="47">
        <v>2533.7919999999999</v>
      </c>
      <c r="V12" s="47">
        <v>2533.7919999999999</v>
      </c>
    </row>
    <row r="13" spans="1:22" x14ac:dyDescent="0.25">
      <c r="A13" s="5" t="s">
        <v>82</v>
      </c>
      <c r="B13" s="48">
        <f>B4/B12</f>
        <v>0.51383764989534009</v>
      </c>
      <c r="C13" s="48">
        <f t="shared" ref="C13:V13" si="12">C4/C12</f>
        <v>0.68647863643685558</v>
      </c>
      <c r="D13" s="48">
        <f t="shared" si="12"/>
        <v>0.71184508274100389</v>
      </c>
      <c r="E13" s="48">
        <f t="shared" si="12"/>
        <v>0.60216219874500232</v>
      </c>
      <c r="F13" s="48">
        <f t="shared" si="12"/>
        <v>0.53232057577584568</v>
      </c>
      <c r="G13" s="48">
        <f t="shared" si="12"/>
        <v>0.45677155425544019</v>
      </c>
      <c r="H13" s="48">
        <f t="shared" si="12"/>
        <v>0.68027110749422226</v>
      </c>
      <c r="I13" s="48">
        <f t="shared" si="12"/>
        <v>0.75366028466425017</v>
      </c>
      <c r="J13" s="48">
        <f t="shared" si="12"/>
        <v>0.32807292390219878</v>
      </c>
      <c r="K13" s="48">
        <f t="shared" si="12"/>
        <v>0.45887605217792132</v>
      </c>
      <c r="L13" s="48">
        <f t="shared" si="12"/>
        <v>0.5</v>
      </c>
      <c r="M13" s="48">
        <f t="shared" si="12"/>
        <v>0.5</v>
      </c>
      <c r="N13" s="48">
        <f t="shared" si="12"/>
        <v>0.5</v>
      </c>
      <c r="O13" s="48">
        <f t="shared" si="12"/>
        <v>0.5</v>
      </c>
      <c r="P13" s="48">
        <f t="shared" si="12"/>
        <v>0.5</v>
      </c>
      <c r="Q13" s="48">
        <f t="shared" si="12"/>
        <v>0.5</v>
      </c>
      <c r="R13" s="48">
        <f t="shared" si="12"/>
        <v>0.5</v>
      </c>
      <c r="S13" s="48">
        <f t="shared" si="12"/>
        <v>0.5</v>
      </c>
      <c r="T13" s="48">
        <f t="shared" si="12"/>
        <v>0.5</v>
      </c>
      <c r="U13" s="48">
        <f t="shared" si="12"/>
        <v>0.5</v>
      </c>
      <c r="V13" s="48">
        <f t="shared" si="12"/>
        <v>0.5</v>
      </c>
    </row>
    <row r="14" spans="1:22" x14ac:dyDescent="0.25">
      <c r="A14" s="39" t="s">
        <v>83</v>
      </c>
      <c r="B14" s="49">
        <v>0.1</v>
      </c>
      <c r="C14" s="49">
        <v>0.1</v>
      </c>
      <c r="D14" s="49">
        <v>0.1</v>
      </c>
      <c r="E14" s="49">
        <v>0.1</v>
      </c>
      <c r="F14" s="49">
        <v>0.1</v>
      </c>
      <c r="G14" s="49">
        <v>0.1</v>
      </c>
      <c r="H14" s="49">
        <v>0.05</v>
      </c>
      <c r="I14" s="49">
        <v>0.05</v>
      </c>
      <c r="J14" s="49">
        <v>7.4999999999999997E-2</v>
      </c>
      <c r="K14" s="49">
        <v>7.4999999999999997E-2</v>
      </c>
      <c r="L14" s="49">
        <v>7.4999999999999997E-2</v>
      </c>
      <c r="M14" s="49">
        <v>7.4999999999999997E-2</v>
      </c>
      <c r="N14" s="49">
        <v>7.4999999999999997E-2</v>
      </c>
      <c r="O14" s="49">
        <v>7.4999999999999997E-2</v>
      </c>
      <c r="P14" s="49">
        <v>7.4999999999999997E-2</v>
      </c>
      <c r="Q14" s="49">
        <v>7.4999999999999997E-2</v>
      </c>
      <c r="R14" s="49">
        <v>7.4999999999999997E-2</v>
      </c>
      <c r="S14" s="49">
        <v>7.4999999999999997E-2</v>
      </c>
      <c r="T14" s="49">
        <v>7.4999999999999997E-2</v>
      </c>
      <c r="U14" s="49">
        <v>7.4999999999999997E-2</v>
      </c>
      <c r="V14" s="49">
        <v>7.4999999999999997E-2</v>
      </c>
    </row>
    <row r="15" spans="1:22" x14ac:dyDescent="0.25">
      <c r="A15" s="39"/>
      <c r="B15" s="50"/>
      <c r="C15" s="50"/>
      <c r="D15" s="50"/>
      <c r="E15" s="50"/>
      <c r="F15" s="50"/>
      <c r="G15" s="50"/>
      <c r="H15" s="50"/>
      <c r="I15" s="50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 spans="1:22" x14ac:dyDescent="0.25">
      <c r="A16" s="39"/>
      <c r="B16" s="50"/>
      <c r="C16" s="50"/>
      <c r="D16" s="50"/>
      <c r="E16" s="50"/>
      <c r="F16" s="50"/>
      <c r="G16" s="50"/>
      <c r="H16" s="50"/>
      <c r="I16" s="50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spans="1:22" x14ac:dyDescent="0.25">
      <c r="A17" s="39"/>
      <c r="B17" s="50"/>
      <c r="C17" s="50"/>
      <c r="D17" s="50"/>
      <c r="E17" s="50"/>
      <c r="F17" s="50"/>
      <c r="G17" s="50"/>
      <c r="H17" s="50"/>
      <c r="I17" s="50"/>
      <c r="J17" s="51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</row>
    <row r="18" spans="1:22" x14ac:dyDescent="0.25">
      <c r="A18" s="39"/>
      <c r="B18" s="50"/>
      <c r="C18" s="50"/>
      <c r="D18" s="50"/>
      <c r="E18" s="50"/>
      <c r="F18" s="50"/>
      <c r="G18" s="50"/>
      <c r="H18" s="50"/>
      <c r="I18" s="50"/>
      <c r="J18" s="51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spans="1:22" x14ac:dyDescent="0.25">
      <c r="A19" s="39"/>
      <c r="B19" s="50"/>
      <c r="C19" s="50"/>
      <c r="D19" s="30"/>
      <c r="E19" s="30"/>
      <c r="F19" s="30"/>
      <c r="G19" s="30"/>
      <c r="H19" s="30"/>
      <c r="I19" s="30"/>
      <c r="J19" s="31"/>
      <c r="K19" s="31"/>
      <c r="L19" s="31"/>
      <c r="M19" s="31"/>
      <c r="N19" s="31"/>
      <c r="O19" s="31"/>
      <c r="P19" s="52"/>
      <c r="Q19" s="52"/>
      <c r="R19" s="52"/>
      <c r="S19" s="52"/>
      <c r="T19" s="52"/>
      <c r="U19" s="52"/>
      <c r="V19" s="52"/>
    </row>
    <row r="20" spans="1:22" x14ac:dyDescent="0.25">
      <c r="A20" s="39"/>
      <c r="B20" s="50"/>
      <c r="C20" s="50"/>
      <c r="D20" s="30"/>
      <c r="E20" s="30"/>
      <c r="F20" s="30"/>
      <c r="G20" s="30"/>
      <c r="H20" s="30"/>
      <c r="I20" s="30"/>
      <c r="J20" s="31"/>
      <c r="K20" s="31"/>
      <c r="L20" s="31"/>
      <c r="M20" s="31"/>
      <c r="N20" s="31"/>
      <c r="O20" s="31"/>
      <c r="P20" s="52"/>
      <c r="Q20" s="52"/>
      <c r="R20" s="52"/>
      <c r="S20" s="52"/>
      <c r="T20" s="52"/>
      <c r="U20" s="52"/>
      <c r="V20" s="52"/>
    </row>
    <row r="21" spans="1:22" ht="15.75" thickBot="1" x14ac:dyDescent="0.3">
      <c r="A21" s="4" t="s">
        <v>84</v>
      </c>
    </row>
    <row r="22" spans="1:22" ht="16.5" thickTop="1" thickBot="1" x14ac:dyDescent="0.3">
      <c r="A22" s="27" t="s">
        <v>73</v>
      </c>
      <c r="B22" s="53">
        <f t="shared" ref="B22:V22" si="13">B2</f>
        <v>2015</v>
      </c>
      <c r="C22" s="53">
        <f t="shared" si="13"/>
        <v>2016</v>
      </c>
      <c r="D22" s="53">
        <f t="shared" si="13"/>
        <v>2017</v>
      </c>
      <c r="E22" s="53">
        <f t="shared" si="13"/>
        <v>2018</v>
      </c>
      <c r="F22" s="53">
        <f t="shared" si="13"/>
        <v>2019</v>
      </c>
      <c r="G22" s="53">
        <f t="shared" si="13"/>
        <v>2020</v>
      </c>
      <c r="H22" s="53">
        <f t="shared" si="13"/>
        <v>2021</v>
      </c>
      <c r="I22" s="53">
        <f t="shared" si="13"/>
        <v>2022</v>
      </c>
      <c r="J22" s="53">
        <f t="shared" si="13"/>
        <v>2023</v>
      </c>
      <c r="K22" s="53">
        <f t="shared" si="13"/>
        <v>2024</v>
      </c>
      <c r="L22" s="53">
        <f t="shared" si="13"/>
        <v>2025</v>
      </c>
      <c r="M22" s="53">
        <f t="shared" si="13"/>
        <v>2026</v>
      </c>
      <c r="N22" s="53">
        <f t="shared" si="13"/>
        <v>2027</v>
      </c>
      <c r="O22" s="53">
        <f t="shared" si="13"/>
        <v>2028</v>
      </c>
      <c r="P22" s="53">
        <f t="shared" si="13"/>
        <v>2029</v>
      </c>
      <c r="Q22" s="53">
        <f t="shared" si="13"/>
        <v>2030</v>
      </c>
      <c r="R22" s="53">
        <f t="shared" si="13"/>
        <v>2031</v>
      </c>
      <c r="S22" s="53">
        <f t="shared" si="13"/>
        <v>2032</v>
      </c>
      <c r="T22" s="53">
        <f t="shared" si="13"/>
        <v>2033</v>
      </c>
      <c r="U22" s="53">
        <f t="shared" si="13"/>
        <v>2034</v>
      </c>
      <c r="V22" s="53">
        <f t="shared" si="13"/>
        <v>2035</v>
      </c>
    </row>
    <row r="23" spans="1:22" s="35" customFormat="1" ht="15.75" thickTop="1" x14ac:dyDescent="0.25">
      <c r="A23" s="35" t="s">
        <v>85</v>
      </c>
      <c r="B23" s="54">
        <f>monthly_data!$C4/1000</f>
        <v>134.435</v>
      </c>
      <c r="C23" s="54">
        <f>monthly_data!$C16/1000</f>
        <v>102.682</v>
      </c>
      <c r="D23" s="54">
        <f>monthly_data!$C28/1000</f>
        <v>189.76336999999995</v>
      </c>
      <c r="E23" s="54">
        <f>monthly_data!$C40/1000</f>
        <v>244.12815999999998</v>
      </c>
      <c r="F23" s="54">
        <f>monthly_data!$C52/1000</f>
        <v>83.487419999999986</v>
      </c>
      <c r="G23" s="54">
        <f>monthly_data!$C64/1000</f>
        <v>105.06033000000001</v>
      </c>
      <c r="H23" s="54">
        <f>monthly_data!$C76/1000</f>
        <v>28.073120000000003</v>
      </c>
      <c r="I23" s="54">
        <f>monthly_data!$C88/1000</f>
        <v>189.21678999999997</v>
      </c>
      <c r="J23" s="54">
        <f>monthly_data!$C100/1000</f>
        <v>60.607670000000006</v>
      </c>
      <c r="K23" s="54">
        <f>monthly_data!$C112/1000</f>
        <v>69.904540000000011</v>
      </c>
      <c r="L23" s="54">
        <f>monthly_data!$C124/1000</f>
        <v>66.537999999999997</v>
      </c>
      <c r="M23" s="55">
        <f>M$35*(SUM(H23:L23)/SUM(H$35:L$35))</f>
        <v>76.140819132784955</v>
      </c>
      <c r="N23" s="55">
        <f t="shared" ref="N23:V23" si="14">N$35*(SUM(I23:M23)/SUM(I$35:M$35))</f>
        <v>91.003332601665917</v>
      </c>
      <c r="O23" s="55">
        <f t="shared" si="14"/>
        <v>79.624505300220534</v>
      </c>
      <c r="P23" s="55">
        <f t="shared" si="14"/>
        <v>77.9240573544255</v>
      </c>
      <c r="Q23" s="55">
        <f t="shared" si="14"/>
        <v>78.246142877819381</v>
      </c>
      <c r="R23" s="55">
        <f t="shared" si="14"/>
        <v>80.587771453383269</v>
      </c>
      <c r="S23" s="55">
        <f t="shared" si="14"/>
        <v>81.477161917502912</v>
      </c>
      <c r="T23" s="55">
        <f t="shared" si="14"/>
        <v>79.571927780670336</v>
      </c>
      <c r="U23" s="55">
        <f t="shared" si="14"/>
        <v>79.561412276760294</v>
      </c>
      <c r="V23" s="55">
        <f t="shared" si="14"/>
        <v>79.888883261227235</v>
      </c>
    </row>
    <row r="24" spans="1:22" s="35" customFormat="1" x14ac:dyDescent="0.25">
      <c r="A24" s="35" t="s">
        <v>86</v>
      </c>
      <c r="B24" s="54">
        <f>monthly_data!$C5/1000</f>
        <v>99.064999999999998</v>
      </c>
      <c r="C24" s="54">
        <f>monthly_data!$C17/1000</f>
        <v>151.101</v>
      </c>
      <c r="D24" s="54">
        <f>monthly_data!$C29/1000</f>
        <v>162.19972000000004</v>
      </c>
      <c r="E24" s="54">
        <f>monthly_data!$C41/1000</f>
        <v>157.00721999999999</v>
      </c>
      <c r="F24" s="54">
        <f>monthly_data!$C53/1000</f>
        <v>93.137399999999985</v>
      </c>
      <c r="G24" s="54">
        <f>monthly_data!$C65/1000</f>
        <v>189.69168999999999</v>
      </c>
      <c r="H24" s="54">
        <f>monthly_data!$C77/1000</f>
        <v>164.41147000000007</v>
      </c>
      <c r="I24" s="54">
        <f>monthly_data!$C89/1000</f>
        <v>177.38634999999996</v>
      </c>
      <c r="J24" s="54">
        <f>monthly_data!$C101/1000</f>
        <v>44.57426000000001</v>
      </c>
      <c r="K24" s="54">
        <f>monthly_data!$C113/1000</f>
        <v>60.788640000000001</v>
      </c>
      <c r="L24" s="55">
        <f>L$35*(SUM(G24:K24)/SUM(G$35:K$35))</f>
        <v>118.91993964002975</v>
      </c>
      <c r="M24" s="55">
        <f>M$35*(SUM(H24:L24)/SUM(H$35:L$35))</f>
        <v>104.02527546745679</v>
      </c>
      <c r="N24" s="55">
        <f t="shared" ref="N24:V24" si="15">N$35*(SUM(I24:M24)/SUM(I$35:M$35))</f>
        <v>99.522282493633767</v>
      </c>
      <c r="O24" s="55">
        <f t="shared" si="15"/>
        <v>93.537372734574703</v>
      </c>
      <c r="P24" s="55">
        <f t="shared" si="15"/>
        <v>96.953547112181724</v>
      </c>
      <c r="Q24" s="55">
        <f t="shared" si="15"/>
        <v>102.59168348957536</v>
      </c>
      <c r="R24" s="55">
        <f t="shared" si="15"/>
        <v>99.326032259484492</v>
      </c>
      <c r="S24" s="55">
        <f t="shared" si="15"/>
        <v>98.386183617890012</v>
      </c>
      <c r="T24" s="55">
        <f t="shared" si="15"/>
        <v>98.158963842741258</v>
      </c>
      <c r="U24" s="55">
        <f t="shared" si="15"/>
        <v>99.083282064374572</v>
      </c>
      <c r="V24" s="55">
        <f t="shared" si="15"/>
        <v>99.509229054813147</v>
      </c>
    </row>
    <row r="25" spans="1:22" s="35" customFormat="1" x14ac:dyDescent="0.25">
      <c r="A25" s="35" t="s">
        <v>87</v>
      </c>
      <c r="B25" s="54">
        <f>monthly_data!$C6/1000</f>
        <v>96.673000000000002</v>
      </c>
      <c r="C25" s="54">
        <f>monthly_data!$C18/1000</f>
        <v>146.05000000000001</v>
      </c>
      <c r="D25" s="54">
        <f>monthly_data!$C30/1000</f>
        <v>172.22130000000004</v>
      </c>
      <c r="E25" s="54">
        <f>monthly_data!$C42/1000</f>
        <v>177.93887999999995</v>
      </c>
      <c r="F25" s="54">
        <f>monthly_data!$C54/1000</f>
        <v>198.83754999999996</v>
      </c>
      <c r="G25" s="54">
        <f>monthly_data!$C66/1000</f>
        <v>173.82760000000005</v>
      </c>
      <c r="H25" s="54">
        <f>monthly_data!$C78/1000</f>
        <v>126.45000999999999</v>
      </c>
      <c r="I25" s="54">
        <f>monthly_data!$C90/1000</f>
        <v>173.26723999999999</v>
      </c>
      <c r="J25" s="54">
        <f>monthly_data!$C102/1000</f>
        <v>100.42718999999998</v>
      </c>
      <c r="K25" s="54">
        <f>monthly_data!$C114/1000</f>
        <v>100.48288999999998</v>
      </c>
      <c r="L25" s="55">
        <f t="shared" ref="L25:L33" si="16">L$35*(SUM(G25:K25)/SUM(G$35:K$35))</f>
        <v>125.94148707943258</v>
      </c>
      <c r="M25" s="55">
        <f t="shared" ref="M25:V33" si="17">M$35*(SUM(H25:L25)/SUM(H$35:L$35))</f>
        <v>115.14082434374951</v>
      </c>
      <c r="N25" s="55">
        <f t="shared" si="17"/>
        <v>121.08505643306162</v>
      </c>
      <c r="O25" s="55">
        <f t="shared" si="17"/>
        <v>123.10669231050591</v>
      </c>
      <c r="P25" s="55">
        <f t="shared" si="17"/>
        <v>119.11071110069216</v>
      </c>
      <c r="Q25" s="55">
        <f t="shared" si="17"/>
        <v>120.87695425348835</v>
      </c>
      <c r="R25" s="55">
        <f t="shared" si="17"/>
        <v>119.86404768829954</v>
      </c>
      <c r="S25" s="55">
        <f t="shared" si="17"/>
        <v>120.80869235720952</v>
      </c>
      <c r="T25" s="55">
        <f t="shared" si="17"/>
        <v>120.7534195420391</v>
      </c>
      <c r="U25" s="55">
        <f t="shared" si="17"/>
        <v>120.28276498834573</v>
      </c>
      <c r="V25" s="55">
        <f t="shared" si="17"/>
        <v>120.51717576587646</v>
      </c>
    </row>
    <row r="26" spans="1:22" s="35" customFormat="1" x14ac:dyDescent="0.25">
      <c r="A26" s="35" t="s">
        <v>88</v>
      </c>
      <c r="B26" s="54">
        <f>monthly_data!$C7/1000</f>
        <v>128.43899999999999</v>
      </c>
      <c r="C26" s="54">
        <f>monthly_data!$C19/1000</f>
        <v>191.40799999999999</v>
      </c>
      <c r="D26" s="54">
        <f>monthly_data!$C31/1000</f>
        <v>249.43087</v>
      </c>
      <c r="E26" s="54">
        <f>monthly_data!$C43/1000</f>
        <v>226.42478</v>
      </c>
      <c r="F26" s="54">
        <f>monthly_data!$C55/1000</f>
        <v>274.97194999999994</v>
      </c>
      <c r="G26" s="54">
        <f>monthly_data!$C67/1000</f>
        <v>44.793299999999995</v>
      </c>
      <c r="H26" s="54">
        <f>monthly_data!$C79/1000</f>
        <v>84.848989999999972</v>
      </c>
      <c r="I26" s="54">
        <f>monthly_data!$C91/1000</f>
        <v>201.27324999999999</v>
      </c>
      <c r="J26" s="54">
        <f>monthly_data!$C103/1000</f>
        <v>97.986250000000013</v>
      </c>
      <c r="K26" s="54">
        <f>monthly_data!$C115/1000</f>
        <v>121.65758</v>
      </c>
      <c r="L26" s="55">
        <f t="shared" si="16"/>
        <v>102.80637400532535</v>
      </c>
      <c r="M26" s="55">
        <f t="shared" si="17"/>
        <v>111.83373791610231</v>
      </c>
      <c r="N26" s="55">
        <f t="shared" si="17"/>
        <v>125.07968103194597</v>
      </c>
      <c r="O26" s="55">
        <f t="shared" si="17"/>
        <v>122.29473171546987</v>
      </c>
      <c r="P26" s="55">
        <f t="shared" si="17"/>
        <v>118.68676832080712</v>
      </c>
      <c r="Q26" s="55">
        <f t="shared" si="17"/>
        <v>116.14025859793013</v>
      </c>
      <c r="R26" s="55">
        <f t="shared" si="17"/>
        <v>118.80703551645109</v>
      </c>
      <c r="S26" s="55">
        <f t="shared" si="17"/>
        <v>120.20169503652083</v>
      </c>
      <c r="T26" s="55">
        <f t="shared" si="17"/>
        <v>119.22609783743582</v>
      </c>
      <c r="U26" s="55">
        <f t="shared" si="17"/>
        <v>118.61237106182901</v>
      </c>
      <c r="V26" s="55">
        <f t="shared" si="17"/>
        <v>118.59749161003339</v>
      </c>
    </row>
    <row r="27" spans="1:22" s="35" customFormat="1" x14ac:dyDescent="0.25">
      <c r="A27" s="35" t="s">
        <v>89</v>
      </c>
      <c r="B27" s="54">
        <f>monthly_data!$C8/1000</f>
        <v>131.226</v>
      </c>
      <c r="C27" s="54">
        <f>monthly_data!$C20/1000</f>
        <v>251.535</v>
      </c>
      <c r="D27" s="54">
        <f>monthly_data!$C32/1000</f>
        <v>296.82387999999997</v>
      </c>
      <c r="E27" s="54">
        <f>monthly_data!$C44/1000</f>
        <v>290.43469000000005</v>
      </c>
      <c r="F27" s="54">
        <f>monthly_data!$C56/1000</f>
        <v>273.16159999999996</v>
      </c>
      <c r="G27" s="54">
        <f>monthly_data!$C68/1000</f>
        <v>78.667629999999974</v>
      </c>
      <c r="H27" s="54">
        <f>monthly_data!$C80/1000</f>
        <v>188.07856000000001</v>
      </c>
      <c r="I27" s="54">
        <f>monthly_data!$C92/1000</f>
        <v>169.57548</v>
      </c>
      <c r="J27" s="54">
        <f>monthly_data!$C104/1000</f>
        <v>85.583629999999985</v>
      </c>
      <c r="K27" s="54">
        <f>monthly_data!$C116/1000</f>
        <v>109.71653999999997</v>
      </c>
      <c r="L27" s="55">
        <f t="shared" si="16"/>
        <v>117.94323128670349</v>
      </c>
      <c r="M27" s="55">
        <f t="shared" si="17"/>
        <v>123.28683192363584</v>
      </c>
      <c r="N27" s="55">
        <f t="shared" si="17"/>
        <v>119.28353615320547</v>
      </c>
      <c r="O27" s="55">
        <f t="shared" si="17"/>
        <v>121.51862048016076</v>
      </c>
      <c r="P27" s="55">
        <f t="shared" si="17"/>
        <v>120.32911527190866</v>
      </c>
      <c r="Q27" s="55">
        <f t="shared" si="17"/>
        <v>120.47226702312284</v>
      </c>
      <c r="R27" s="55">
        <f t="shared" si="17"/>
        <v>120.97807417040671</v>
      </c>
      <c r="S27" s="55">
        <f t="shared" si="17"/>
        <v>120.51632261976087</v>
      </c>
      <c r="T27" s="55">
        <f t="shared" si="17"/>
        <v>120.76287991307197</v>
      </c>
      <c r="U27" s="55">
        <f t="shared" si="17"/>
        <v>120.61173179965422</v>
      </c>
      <c r="V27" s="55">
        <f t="shared" si="17"/>
        <v>120.66825510520331</v>
      </c>
    </row>
    <row r="28" spans="1:22" s="35" customFormat="1" x14ac:dyDescent="0.25">
      <c r="A28" s="35" t="s">
        <v>90</v>
      </c>
      <c r="B28" s="54">
        <f>monthly_data!$C9/1000</f>
        <v>190.44499999999999</v>
      </c>
      <c r="C28" s="54">
        <f>monthly_data!$C21/1000</f>
        <v>261.774</v>
      </c>
      <c r="D28" s="54">
        <f>monthly_data!$C33/1000</f>
        <v>282.71399999999994</v>
      </c>
      <c r="E28" s="54">
        <f>monthly_data!$C45/1000</f>
        <v>265.42692</v>
      </c>
      <c r="F28" s="54">
        <f>monthly_data!$C57/1000</f>
        <v>176.76043000000004</v>
      </c>
      <c r="G28" s="54">
        <f>monthly_data!$C69/1000</f>
        <v>133.13700999999998</v>
      </c>
      <c r="H28" s="54">
        <f>monthly_data!$C81/1000</f>
        <v>170.38305000000003</v>
      </c>
      <c r="I28" s="54">
        <f>monthly_data!$C93/1000</f>
        <v>186.72160999999994</v>
      </c>
      <c r="J28" s="54">
        <f>monthly_data!$C105/1000</f>
        <v>63.536780000000014</v>
      </c>
      <c r="K28" s="54">
        <f>monthly_data!$C117/1000</f>
        <v>123.48322</v>
      </c>
      <c r="L28" s="55">
        <f t="shared" si="16"/>
        <v>126.46559179528855</v>
      </c>
      <c r="M28" s="55">
        <f t="shared" si="17"/>
        <v>123.23038153812813</v>
      </c>
      <c r="N28" s="55">
        <f t="shared" si="17"/>
        <v>122.69450343394332</v>
      </c>
      <c r="O28" s="55">
        <f t="shared" si="17"/>
        <v>122.30497545384718</v>
      </c>
      <c r="P28" s="55">
        <f t="shared" si="17"/>
        <v>125.70350418307228</v>
      </c>
      <c r="Q28" s="55">
        <f t="shared" si="17"/>
        <v>124.0797912808559</v>
      </c>
      <c r="R28" s="55">
        <f t="shared" si="17"/>
        <v>123.60263117796937</v>
      </c>
      <c r="S28" s="55">
        <f t="shared" si="17"/>
        <v>123.6770811059376</v>
      </c>
      <c r="T28" s="55">
        <f t="shared" si="17"/>
        <v>123.87359664033649</v>
      </c>
      <c r="U28" s="55">
        <f t="shared" si="17"/>
        <v>124.18732087763433</v>
      </c>
      <c r="V28" s="55">
        <f t="shared" si="17"/>
        <v>123.88408421654674</v>
      </c>
    </row>
    <row r="29" spans="1:22" s="35" customFormat="1" x14ac:dyDescent="0.25">
      <c r="A29" s="35" t="s">
        <v>91</v>
      </c>
      <c r="B29" s="54">
        <f>monthly_data!$C10/1000</f>
        <v>176.76499999999999</v>
      </c>
      <c r="C29" s="54">
        <f>monthly_data!$C22/1000</f>
        <v>248.648</v>
      </c>
      <c r="D29" s="54">
        <f>monthly_data!$C34/1000</f>
        <v>272.98460000000006</v>
      </c>
      <c r="E29" s="54">
        <f>monthly_data!$C46/1000</f>
        <v>260.05077</v>
      </c>
      <c r="F29" s="54">
        <f>monthly_data!$C58/1000</f>
        <v>135.786</v>
      </c>
      <c r="G29" s="54">
        <f>monthly_data!$C70/1000</f>
        <v>169.82724000000005</v>
      </c>
      <c r="H29" s="54">
        <f>monthly_data!$C82/1000</f>
        <v>218.22008000000002</v>
      </c>
      <c r="I29" s="54">
        <f>monthly_data!$C94/1000</f>
        <v>120.06485000000002</v>
      </c>
      <c r="J29" s="54">
        <f>monthly_data!$C106/1000</f>
        <v>86.327240000000003</v>
      </c>
      <c r="K29" s="54">
        <f>monthly_data!$C118/1000</f>
        <v>158.40020000000001</v>
      </c>
      <c r="L29" s="55">
        <f>L$35*(SUM(G29:K29)/SUM(G$35:K$35))</f>
        <v>140.57831857749201</v>
      </c>
      <c r="M29" s="55">
        <f t="shared" si="17"/>
        <v>132.96995653026829</v>
      </c>
      <c r="N29" s="55">
        <f t="shared" si="17"/>
        <v>125.62745774624425</v>
      </c>
      <c r="O29" s="55">
        <f t="shared" si="17"/>
        <v>140.77777414117662</v>
      </c>
      <c r="P29" s="55">
        <f t="shared" si="17"/>
        <v>142.0066917111626</v>
      </c>
      <c r="Q29" s="55">
        <f t="shared" si="17"/>
        <v>136.39203974126877</v>
      </c>
      <c r="R29" s="55">
        <f t="shared" si="17"/>
        <v>135.55478397402413</v>
      </c>
      <c r="S29" s="55">
        <f t="shared" si="17"/>
        <v>136.0717494627753</v>
      </c>
      <c r="T29" s="55">
        <f t="shared" si="17"/>
        <v>138.16060780608149</v>
      </c>
      <c r="U29" s="55">
        <f t="shared" si="17"/>
        <v>137.63717453906247</v>
      </c>
      <c r="V29" s="55">
        <f t="shared" si="17"/>
        <v>136.76327110464246</v>
      </c>
    </row>
    <row r="30" spans="1:22" s="35" customFormat="1" x14ac:dyDescent="0.25">
      <c r="A30" s="35" t="s">
        <v>92</v>
      </c>
      <c r="B30" s="54">
        <f>monthly_data!$C11/1000</f>
        <v>208.49299999999999</v>
      </c>
      <c r="C30" s="54">
        <f>monthly_data!$C23/1000</f>
        <v>285.38600000000002</v>
      </c>
      <c r="D30" s="54">
        <f>monthly_data!$C35/1000</f>
        <v>169.88349000000005</v>
      </c>
      <c r="E30" s="54">
        <f>monthly_data!$C47/1000</f>
        <v>134.84990999999999</v>
      </c>
      <c r="F30" s="54">
        <f>monthly_data!$C59/1000</f>
        <v>203.04757999999995</v>
      </c>
      <c r="G30" s="54">
        <f>monthly_data!$C71/1000</f>
        <v>106.75503</v>
      </c>
      <c r="H30" s="54">
        <f>monthly_data!$C83/1000</f>
        <v>182.50921000000008</v>
      </c>
      <c r="I30" s="54">
        <f>monthly_data!$C95/1000</f>
        <v>114.33424000000001</v>
      </c>
      <c r="J30" s="54">
        <f>monthly_data!$C107/1000</f>
        <v>92.156299999999973</v>
      </c>
      <c r="K30" s="54">
        <f>monthly_data!$C119/1000</f>
        <v>106.99236000000001</v>
      </c>
      <c r="L30" s="55">
        <f>L$35*(SUM(G30:K30)/SUM(G$35:K$35))</f>
        <v>112.55143637911422</v>
      </c>
      <c r="M30" s="55">
        <f t="shared" si="17"/>
        <v>111.82842757123225</v>
      </c>
      <c r="N30" s="55">
        <f t="shared" si="17"/>
        <v>105.85310623341557</v>
      </c>
      <c r="O30" s="55">
        <f t="shared" si="17"/>
        <v>115.73971166841108</v>
      </c>
      <c r="P30" s="55">
        <f t="shared" si="17"/>
        <v>112.44264251595575</v>
      </c>
      <c r="Q30" s="55">
        <f t="shared" si="17"/>
        <v>111.6830648736258</v>
      </c>
      <c r="R30" s="55">
        <f t="shared" si="17"/>
        <v>111.50939057252809</v>
      </c>
      <c r="S30" s="55">
        <f t="shared" si="17"/>
        <v>111.44558317278728</v>
      </c>
      <c r="T30" s="55">
        <f t="shared" si="17"/>
        <v>112.56407856066161</v>
      </c>
      <c r="U30" s="55">
        <f t="shared" si="17"/>
        <v>111.9289519391117</v>
      </c>
      <c r="V30" s="55">
        <f t="shared" si="17"/>
        <v>111.82621382374289</v>
      </c>
    </row>
    <row r="31" spans="1:22" s="35" customFormat="1" x14ac:dyDescent="0.25">
      <c r="A31" s="35" t="s">
        <v>93</v>
      </c>
      <c r="B31" s="54">
        <f>monthly_data!$C12/1000</f>
        <v>182.87100000000001</v>
      </c>
      <c r="C31" s="54">
        <f>monthly_data!$C24/1000</f>
        <v>292.54000000000002</v>
      </c>
      <c r="D31" s="54">
        <f>monthly_data!$C36/1000</f>
        <v>213.97121000000001</v>
      </c>
      <c r="E31" s="54">
        <f>monthly_data!$C48/1000</f>
        <v>174.08500000000001</v>
      </c>
      <c r="F31" s="54">
        <f>monthly_data!$C60/1000</f>
        <v>208.47953000000004</v>
      </c>
      <c r="G31" s="54">
        <f>monthly_data!$C72/1000</f>
        <v>105.94103999999999</v>
      </c>
      <c r="H31" s="54">
        <f>monthly_data!$C84/1000</f>
        <v>170.614</v>
      </c>
      <c r="I31" s="54">
        <f>monthly_data!$C96/1000</f>
        <v>113.96335000000002</v>
      </c>
      <c r="J31" s="54">
        <f>monthly_data!$C108/1000</f>
        <v>89.42949999999999</v>
      </c>
      <c r="K31" s="54">
        <f>monthly_data!$C120/1000</f>
        <v>71.382269999999977</v>
      </c>
      <c r="L31" s="55">
        <f t="shared" si="16"/>
        <v>102.95030421401394</v>
      </c>
      <c r="M31" s="55">
        <f t="shared" si="17"/>
        <v>100.76507416770231</v>
      </c>
      <c r="N31" s="55">
        <f t="shared" si="17"/>
        <v>94.168455136923342</v>
      </c>
      <c r="O31" s="55">
        <f t="shared" si="17"/>
        <v>100.28549135032603</v>
      </c>
      <c r="P31" s="55">
        <f t="shared" si="17"/>
        <v>95.480940255826567</v>
      </c>
      <c r="Q31" s="55">
        <f t="shared" si="17"/>
        <v>98.730053024958437</v>
      </c>
      <c r="R31" s="55">
        <f t="shared" si="17"/>
        <v>97.886002787147348</v>
      </c>
      <c r="S31" s="55">
        <f t="shared" si="17"/>
        <v>97.310188511036358</v>
      </c>
      <c r="T31" s="55">
        <f t="shared" si="17"/>
        <v>97.938535185858953</v>
      </c>
      <c r="U31" s="55">
        <f t="shared" si="17"/>
        <v>97.469143952965538</v>
      </c>
      <c r="V31" s="55">
        <f t="shared" si="17"/>
        <v>97.866784692393324</v>
      </c>
    </row>
    <row r="32" spans="1:22" s="35" customFormat="1" x14ac:dyDescent="0.25">
      <c r="A32" s="35" t="s">
        <v>94</v>
      </c>
      <c r="B32" s="54">
        <f>monthly_data!$C13/1000</f>
        <v>199.68</v>
      </c>
      <c r="C32" s="54">
        <f>monthly_data!$C25/1000</f>
        <v>294.16809999999998</v>
      </c>
      <c r="D32" s="54">
        <f>monthly_data!$C37/1000</f>
        <v>293.09631999999999</v>
      </c>
      <c r="E32" s="54">
        <f>monthly_data!$C49/1000</f>
        <v>132.45022000000003</v>
      </c>
      <c r="F32" s="54">
        <f>monthly_data!$C61/1000</f>
        <v>172.33216000000004</v>
      </c>
      <c r="G32" s="54">
        <f>monthly_data!$C73/1000</f>
        <v>12.28905</v>
      </c>
      <c r="H32" s="54">
        <f>monthly_data!$C85/1000</f>
        <v>147.626</v>
      </c>
      <c r="I32" s="54">
        <f>monthly_data!$C97/1000</f>
        <v>200.35537000000002</v>
      </c>
      <c r="J32" s="54">
        <f>monthly_data!$C109/1000</f>
        <v>57.829209999999989</v>
      </c>
      <c r="K32" s="54">
        <f>monthly_data!$C121/1000</f>
        <v>78.915229999999994</v>
      </c>
      <c r="L32" s="55">
        <f t="shared" si="16"/>
        <v>92.807966529321689</v>
      </c>
      <c r="M32" s="55">
        <f t="shared" si="17"/>
        <v>106.1299466288549</v>
      </c>
      <c r="N32" s="55">
        <f t="shared" si="17"/>
        <v>105.49393238870653</v>
      </c>
      <c r="O32" s="55">
        <f t="shared" si="17"/>
        <v>96.455209574257495</v>
      </c>
      <c r="P32" s="55">
        <f t="shared" si="17"/>
        <v>97.565366236366671</v>
      </c>
      <c r="Q32" s="55">
        <f t="shared" si="17"/>
        <v>99.690484271501447</v>
      </c>
      <c r="R32" s="55">
        <f t="shared" si="17"/>
        <v>101.06698781993742</v>
      </c>
      <c r="S32" s="55">
        <f t="shared" si="17"/>
        <v>100.05439605815393</v>
      </c>
      <c r="T32" s="55">
        <f t="shared" si="17"/>
        <v>98.966488792043393</v>
      </c>
      <c r="U32" s="55">
        <f t="shared" si="17"/>
        <v>99.468744635600572</v>
      </c>
      <c r="V32" s="55">
        <f t="shared" si="17"/>
        <v>99.849420315447347</v>
      </c>
    </row>
    <row r="33" spans="1:22" s="35" customFormat="1" x14ac:dyDescent="0.25">
      <c r="A33" s="35" t="s">
        <v>95</v>
      </c>
      <c r="B33" s="54">
        <f>monthly_data!$C14/1000</f>
        <v>182.761</v>
      </c>
      <c r="C33" s="54">
        <f>monthly_data!$C26/1000</f>
        <v>280.90780000000001</v>
      </c>
      <c r="D33" s="54">
        <f>monthly_data!$C38/1000</f>
        <v>302.61848000000003</v>
      </c>
      <c r="E33" s="54">
        <f>monthly_data!$C50/1000</f>
        <v>259.63646000000006</v>
      </c>
      <c r="F33" s="54">
        <f>monthly_data!$C62/1000</f>
        <v>163.01243000000005</v>
      </c>
      <c r="G33" s="54">
        <f>monthly_data!$C74/1000</f>
        <v>28.315760000000001</v>
      </c>
      <c r="H33" s="54">
        <f>monthly_data!$C86/1000</f>
        <v>99.923000000000002</v>
      </c>
      <c r="I33" s="54">
        <f>monthly_data!$C98/1000</f>
        <v>164.63745</v>
      </c>
      <c r="J33" s="54">
        <f>monthly_data!$C110/1000</f>
        <v>31.182840000000002</v>
      </c>
      <c r="K33" s="54">
        <f>monthly_data!$C122/1000</f>
        <v>77.239000000000004</v>
      </c>
      <c r="L33" s="55">
        <f t="shared" si="16"/>
        <v>74.93469308479439</v>
      </c>
      <c r="M33" s="55">
        <f t="shared" si="17"/>
        <v>82.311039528496622</v>
      </c>
      <c r="N33" s="55">
        <f t="shared" si="17"/>
        <v>84.685399927892973</v>
      </c>
      <c r="O33" s="55">
        <f t="shared" si="17"/>
        <v>76.598336081309625</v>
      </c>
      <c r="P33" s="55">
        <f t="shared" si="17"/>
        <v>80.477514975174586</v>
      </c>
      <c r="Q33" s="55">
        <f t="shared" si="17"/>
        <v>79.801396719533628</v>
      </c>
      <c r="R33" s="55">
        <f t="shared" si="17"/>
        <v>80.774737446481495</v>
      </c>
      <c r="S33" s="55">
        <f t="shared" si="17"/>
        <v>80.467477030078456</v>
      </c>
      <c r="T33" s="55">
        <f t="shared" si="17"/>
        <v>79.623892450515555</v>
      </c>
      <c r="U33" s="55">
        <f t="shared" si="17"/>
        <v>80.229003724356744</v>
      </c>
      <c r="V33" s="55">
        <f t="shared" si="17"/>
        <v>80.179301474193181</v>
      </c>
    </row>
    <row r="34" spans="1:22" s="35" customFormat="1" x14ac:dyDescent="0.25">
      <c r="A34" s="35" t="s">
        <v>96</v>
      </c>
      <c r="B34" s="54">
        <f>monthly_data!$C15/1000</f>
        <v>79.804000000000002</v>
      </c>
      <c r="C34" s="54">
        <f>monthly_data!$C27/1000</f>
        <v>153.07554999999999</v>
      </c>
      <c r="D34" s="54">
        <f>monthly_data!$C39/1000</f>
        <v>265.72775999999999</v>
      </c>
      <c r="E34" s="54">
        <f>monthly_data!$C51/1000</f>
        <v>106.56404999999999</v>
      </c>
      <c r="F34" s="54">
        <f>monthly_data!$C63/1000</f>
        <v>164.25643000000002</v>
      </c>
      <c r="G34" s="54">
        <f>monthly_data!$C75/1000</f>
        <v>9.0584299999999995</v>
      </c>
      <c r="H34" s="54">
        <f>monthly_data!$C87/1000</f>
        <v>142.52799999999999</v>
      </c>
      <c r="I34" s="54">
        <f>monthly_data!$C99/1000</f>
        <v>98.822419999999994</v>
      </c>
      <c r="J34" s="54">
        <f>monthly_data!$C111/1000</f>
        <v>21.627680000000002</v>
      </c>
      <c r="K34" s="54">
        <f>monthly_data!$C123/1000</f>
        <v>83.733999999999995</v>
      </c>
      <c r="L34" s="55">
        <f t="shared" ref="L34:V34" si="18">L35-SUM(L23:L33)</f>
        <v>84.458657408483987</v>
      </c>
      <c r="M34" s="55">
        <f t="shared" si="18"/>
        <v>79.233685251587985</v>
      </c>
      <c r="N34" s="55">
        <f t="shared" si="18"/>
        <v>72.399256419361336</v>
      </c>
      <c r="O34" s="55">
        <f t="shared" si="18"/>
        <v>74.652579189740436</v>
      </c>
      <c r="P34" s="55">
        <f t="shared" si="18"/>
        <v>80.215140962426403</v>
      </c>
      <c r="Q34" s="55">
        <f t="shared" si="18"/>
        <v>78.191863846319848</v>
      </c>
      <c r="R34" s="55">
        <f t="shared" si="18"/>
        <v>76.938505133886792</v>
      </c>
      <c r="S34" s="55">
        <f t="shared" si="18"/>
        <v>76.479469110346827</v>
      </c>
      <c r="T34" s="55">
        <f t="shared" si="18"/>
        <v>77.295511648543879</v>
      </c>
      <c r="U34" s="55">
        <f t="shared" si="18"/>
        <v>77.824098140304841</v>
      </c>
      <c r="V34" s="55">
        <f t="shared" si="18"/>
        <v>77.345889575880392</v>
      </c>
    </row>
    <row r="35" spans="1:22" x14ac:dyDescent="0.25">
      <c r="A35" s="56" t="s">
        <v>97</v>
      </c>
      <c r="B35" s="57">
        <f>SUM(B23:B34)</f>
        <v>1810.6570000000002</v>
      </c>
      <c r="C35" s="57">
        <f t="shared" ref="C35:K35" si="19">SUM(C23:C34)</f>
        <v>2659.2754499999996</v>
      </c>
      <c r="D35" s="57">
        <f t="shared" si="19"/>
        <v>2871.4349999999995</v>
      </c>
      <c r="E35" s="57">
        <f t="shared" si="19"/>
        <v>2428.9970600000001</v>
      </c>
      <c r="F35" s="57">
        <f t="shared" si="19"/>
        <v>2147.2704800000001</v>
      </c>
      <c r="G35" s="57">
        <f t="shared" si="19"/>
        <v>1157.3641100000002</v>
      </c>
      <c r="H35" s="57">
        <f t="shared" si="19"/>
        <v>1723.6654900000003</v>
      </c>
      <c r="I35" s="57">
        <f t="shared" si="19"/>
        <v>1909.6183999999996</v>
      </c>
      <c r="J35" s="57">
        <f t="shared" si="19"/>
        <v>831.26855</v>
      </c>
      <c r="K35" s="57">
        <f t="shared" si="19"/>
        <v>1162.6964699999996</v>
      </c>
      <c r="L35" s="58">
        <f>L4</f>
        <v>1266.896</v>
      </c>
      <c r="M35" s="58">
        <f>M4</f>
        <v>1266.896</v>
      </c>
      <c r="N35" s="58">
        <f t="shared" ref="N35:V35" si="20">N4</f>
        <v>1266.896</v>
      </c>
      <c r="O35" s="58">
        <f t="shared" si="20"/>
        <v>1266.896</v>
      </c>
      <c r="P35" s="58">
        <f t="shared" si="20"/>
        <v>1266.896</v>
      </c>
      <c r="Q35" s="58">
        <f t="shared" si="20"/>
        <v>1266.896</v>
      </c>
      <c r="R35" s="58">
        <f t="shared" si="20"/>
        <v>1266.896</v>
      </c>
      <c r="S35" s="58">
        <f t="shared" si="20"/>
        <v>1266.896</v>
      </c>
      <c r="T35" s="58">
        <f t="shared" si="20"/>
        <v>1266.896</v>
      </c>
      <c r="U35" s="58">
        <f t="shared" si="20"/>
        <v>1266.896</v>
      </c>
      <c r="V35" s="58">
        <f t="shared" si="20"/>
        <v>1266.896</v>
      </c>
    </row>
    <row r="36" spans="1:22" x14ac:dyDescent="0.25">
      <c r="J36" s="59"/>
    </row>
    <row r="37" spans="1:22" ht="15.75" thickBot="1" x14ac:dyDescent="0.3">
      <c r="A37" s="4" t="s">
        <v>98</v>
      </c>
      <c r="B37" s="52"/>
      <c r="C37" s="52"/>
      <c r="D37" s="52"/>
      <c r="E37" s="52"/>
      <c r="F37" s="52"/>
      <c r="G37" s="52"/>
      <c r="H37" s="52"/>
      <c r="I37" s="52"/>
      <c r="J37" s="60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 spans="1:22" ht="16.5" thickTop="1" thickBot="1" x14ac:dyDescent="0.3">
      <c r="A38" s="27" t="s">
        <v>73</v>
      </c>
      <c r="B38" s="62">
        <f t="shared" ref="B38:V38" si="21">B2</f>
        <v>2015</v>
      </c>
      <c r="C38" s="62">
        <f t="shared" si="21"/>
        <v>2016</v>
      </c>
      <c r="D38" s="62">
        <f t="shared" si="21"/>
        <v>2017</v>
      </c>
      <c r="E38" s="62">
        <f t="shared" si="21"/>
        <v>2018</v>
      </c>
      <c r="F38" s="62">
        <f t="shared" si="21"/>
        <v>2019</v>
      </c>
      <c r="G38" s="62">
        <f t="shared" si="21"/>
        <v>2020</v>
      </c>
      <c r="H38" s="62">
        <f t="shared" si="21"/>
        <v>2021</v>
      </c>
      <c r="I38" s="62">
        <f t="shared" si="21"/>
        <v>2022</v>
      </c>
      <c r="J38" s="62">
        <f t="shared" si="21"/>
        <v>2023</v>
      </c>
      <c r="K38" s="62">
        <f t="shared" si="21"/>
        <v>2024</v>
      </c>
      <c r="L38" s="62">
        <f t="shared" si="21"/>
        <v>2025</v>
      </c>
      <c r="M38" s="62">
        <f t="shared" si="21"/>
        <v>2026</v>
      </c>
      <c r="N38" s="62">
        <f t="shared" si="21"/>
        <v>2027</v>
      </c>
      <c r="O38" s="62">
        <f t="shared" si="21"/>
        <v>2028</v>
      </c>
      <c r="P38" s="62">
        <f t="shared" si="21"/>
        <v>2029</v>
      </c>
      <c r="Q38" s="62">
        <f t="shared" si="21"/>
        <v>2030</v>
      </c>
      <c r="R38" s="62">
        <f t="shared" si="21"/>
        <v>2031</v>
      </c>
      <c r="S38" s="62">
        <f t="shared" si="21"/>
        <v>2032</v>
      </c>
      <c r="T38" s="62">
        <f t="shared" si="21"/>
        <v>2033</v>
      </c>
      <c r="U38" s="62">
        <f t="shared" si="21"/>
        <v>2034</v>
      </c>
      <c r="V38" s="62">
        <f t="shared" si="21"/>
        <v>2035</v>
      </c>
    </row>
    <row r="39" spans="1:22" ht="15.75" thickTop="1" x14ac:dyDescent="0.25">
      <c r="A39" s="5" t="s">
        <v>85</v>
      </c>
      <c r="B39" s="63">
        <f>monthly_data!$H4/1000</f>
        <v>0</v>
      </c>
      <c r="C39" s="63">
        <f>monthly_data!$H16/1000</f>
        <v>0</v>
      </c>
      <c r="D39" s="63">
        <f>monthly_data!$H28/1000</f>
        <v>0</v>
      </c>
      <c r="E39" s="63">
        <f>monthly_data!$H40/1000</f>
        <v>0</v>
      </c>
      <c r="F39" s="63">
        <f>monthly_data!$H52/1000</f>
        <v>1.9999999999999999E-6</v>
      </c>
      <c r="G39" s="63">
        <f>monthly_data!$H64/1000</f>
        <v>0</v>
      </c>
      <c r="H39" s="63">
        <f>monthly_data!$H76/1000</f>
        <v>0</v>
      </c>
      <c r="I39" s="63">
        <f>monthly_data!$H88/1000</f>
        <v>0</v>
      </c>
      <c r="J39" s="63">
        <f>monthly_data!$H100/1000</f>
        <v>0</v>
      </c>
      <c r="K39" s="63">
        <f>monthly_data!$H112/1000</f>
        <v>2.5665E-2</v>
      </c>
      <c r="L39" s="63">
        <f>monthly_data!$H124/1000</f>
        <v>3.9999999999999998E-6</v>
      </c>
      <c r="M39" s="55">
        <f t="shared" ref="M39" si="22">M$51*(SUM(H39:L39)/SUM(H$51:L$51))</f>
        <v>3.6835643665822045E-3</v>
      </c>
      <c r="N39" s="55">
        <f t="shared" ref="N39" si="23">N$51*(SUM(I39:M39)/SUM(I$51:M$51))</f>
        <v>3.8759295713125764E-3</v>
      </c>
      <c r="O39" s="55">
        <f t="shared" ref="O39:V39" si="24">O$51*(SUM(J39:N39)/SUM(J$51:N$51))</f>
        <v>4.0863299485765026E-3</v>
      </c>
      <c r="P39" s="55">
        <f t="shared" si="24"/>
        <v>6.8894273244395716E-3</v>
      </c>
      <c r="Q39" s="55">
        <f t="shared" si="24"/>
        <v>4.252741819474202E-3</v>
      </c>
      <c r="R39" s="55">
        <f t="shared" si="24"/>
        <v>5.1169171261245495E-3</v>
      </c>
      <c r="S39" s="55">
        <f t="shared" si="24"/>
        <v>5.7205300073939983E-3</v>
      </c>
      <c r="T39" s="55">
        <f t="shared" si="24"/>
        <v>6.4101094318479374E-3</v>
      </c>
      <c r="U39" s="55">
        <f t="shared" si="24"/>
        <v>5.6849373739691648E-3</v>
      </c>
      <c r="V39" s="55">
        <f t="shared" si="24"/>
        <v>4.8677168069335966E-3</v>
      </c>
    </row>
    <row r="40" spans="1:22" x14ac:dyDescent="0.25">
      <c r="A40" s="5" t="s">
        <v>86</v>
      </c>
      <c r="B40" s="63">
        <f>monthly_data!H5/1000</f>
        <v>0</v>
      </c>
      <c r="C40" s="63">
        <f>monthly_data!$H17/1000</f>
        <v>0</v>
      </c>
      <c r="D40" s="63">
        <f>monthly_data!$H29/1000</f>
        <v>0</v>
      </c>
      <c r="E40" s="63">
        <f>monthly_data!$H41/1000</f>
        <v>3.0000000000000001E-6</v>
      </c>
      <c r="F40" s="63">
        <f>monthly_data!$H53/1000</f>
        <v>0</v>
      </c>
      <c r="G40" s="63">
        <f>monthly_data!$H65/1000</f>
        <v>0</v>
      </c>
      <c r="H40" s="63">
        <f>monthly_data!$H77/1000</f>
        <v>0</v>
      </c>
      <c r="I40" s="63">
        <f>monthly_data!$H89/1000</f>
        <v>0</v>
      </c>
      <c r="J40" s="63">
        <f>monthly_data!$H101/1000</f>
        <v>0</v>
      </c>
      <c r="K40" s="63">
        <f>monthly_data!$H113/1000</f>
        <v>0</v>
      </c>
      <c r="L40" s="55">
        <f>L$51*(SUM(G40:K40)/SUM(G$51:K$51))</f>
        <v>0</v>
      </c>
      <c r="M40" s="55">
        <f t="shared" ref="M40:V49" si="25">M$51*(SUM(H40:L40)/SUM(H$51:L$51))</f>
        <v>0</v>
      </c>
      <c r="N40" s="55">
        <f t="shared" si="25"/>
        <v>0</v>
      </c>
      <c r="O40" s="55">
        <f t="shared" si="25"/>
        <v>0</v>
      </c>
      <c r="P40" s="55">
        <f t="shared" si="25"/>
        <v>0</v>
      </c>
      <c r="Q40" s="55">
        <f t="shared" si="25"/>
        <v>0</v>
      </c>
      <c r="R40" s="55">
        <f t="shared" si="25"/>
        <v>0</v>
      </c>
      <c r="S40" s="55">
        <f t="shared" si="25"/>
        <v>0</v>
      </c>
      <c r="T40" s="55">
        <f t="shared" si="25"/>
        <v>0</v>
      </c>
      <c r="U40" s="55">
        <f t="shared" si="25"/>
        <v>0</v>
      </c>
      <c r="V40" s="55">
        <f t="shared" si="25"/>
        <v>0</v>
      </c>
    </row>
    <row r="41" spans="1:22" x14ac:dyDescent="0.25">
      <c r="A41" s="5" t="s">
        <v>87</v>
      </c>
      <c r="B41" s="63">
        <f>monthly_data!H6/1000</f>
        <v>0</v>
      </c>
      <c r="C41" s="63">
        <f>monthly_data!$H18/1000</f>
        <v>0</v>
      </c>
      <c r="D41" s="63">
        <f>monthly_data!$H30/1000</f>
        <v>0</v>
      </c>
      <c r="E41" s="63">
        <f>monthly_data!$H42/1000</f>
        <v>0</v>
      </c>
      <c r="F41" s="63">
        <f>monthly_data!$H54/1000</f>
        <v>1.0499999999999999E-4</v>
      </c>
      <c r="G41" s="63">
        <f>monthly_data!$H66/1000</f>
        <v>5.7599999999999995E-3</v>
      </c>
      <c r="H41" s="63">
        <f>monthly_data!$H78/1000</f>
        <v>0</v>
      </c>
      <c r="I41" s="63">
        <f>monthly_data!$H90/1000</f>
        <v>0</v>
      </c>
      <c r="J41" s="63">
        <f>monthly_data!$H102/1000</f>
        <v>4.6020000000000005E-2</v>
      </c>
      <c r="K41" s="63">
        <f>monthly_data!$H114/1000</f>
        <v>6.0000000000000002E-6</v>
      </c>
      <c r="L41" s="55">
        <f t="shared" ref="L41:L49" si="26">L$51*(SUM(G41:K41)/SUM(G$51:K$51))</f>
        <v>6.8772456499631108E-3</v>
      </c>
      <c r="M41" s="55">
        <f t="shared" si="25"/>
        <v>7.5917453174159169E-3</v>
      </c>
      <c r="N41" s="55">
        <f t="shared" si="25"/>
        <v>7.9882057825823149E-3</v>
      </c>
      <c r="O41" s="55">
        <f t="shared" si="25"/>
        <v>8.4218363425277096E-3</v>
      </c>
      <c r="P41" s="55">
        <f t="shared" si="25"/>
        <v>5.7022965337043766E-3</v>
      </c>
      <c r="Q41" s="55">
        <f t="shared" si="25"/>
        <v>8.3914365549847894E-3</v>
      </c>
      <c r="R41" s="55">
        <f t="shared" si="25"/>
        <v>8.5541373114730208E-3</v>
      </c>
      <c r="S41" s="55">
        <f t="shared" si="25"/>
        <v>9.224589028405894E-3</v>
      </c>
      <c r="T41" s="55">
        <f t="shared" si="25"/>
        <v>9.9091298329406826E-3</v>
      </c>
      <c r="U41" s="55">
        <f t="shared" si="25"/>
        <v>8.3666084261932692E-3</v>
      </c>
      <c r="V41" s="55">
        <f t="shared" si="25"/>
        <v>7.9583661501449986E-3</v>
      </c>
    </row>
    <row r="42" spans="1:22" x14ac:dyDescent="0.25">
      <c r="A42" s="5" t="s">
        <v>88</v>
      </c>
      <c r="B42" s="63">
        <f>monthly_data!H7/1000</f>
        <v>0</v>
      </c>
      <c r="C42" s="63">
        <f>monthly_data!$H19/1000</f>
        <v>0</v>
      </c>
      <c r="D42" s="63">
        <f>monthly_data!$H31/1000</f>
        <v>0</v>
      </c>
      <c r="E42" s="63">
        <f>monthly_data!$H43/1000</f>
        <v>0</v>
      </c>
      <c r="F42" s="63">
        <f>monthly_data!$H55/1000</f>
        <v>0</v>
      </c>
      <c r="G42" s="63">
        <f>monthly_data!$H67/1000</f>
        <v>5.7599999999999995E-3</v>
      </c>
      <c r="H42" s="63">
        <f>monthly_data!$H79/1000</f>
        <v>0</v>
      </c>
      <c r="I42" s="63">
        <f>monthly_data!$H91/1000</f>
        <v>0</v>
      </c>
      <c r="J42" s="63">
        <f>monthly_data!$H103/1000</f>
        <v>0</v>
      </c>
      <c r="K42" s="63">
        <f>monthly_data!$H115/1000</f>
        <v>0</v>
      </c>
      <c r="L42" s="55">
        <f t="shared" si="26"/>
        <v>7.6493521306506614E-4</v>
      </c>
      <c r="M42" s="55">
        <f t="shared" si="25"/>
        <v>1.0977007649656956E-4</v>
      </c>
      <c r="N42" s="55">
        <f t="shared" si="25"/>
        <v>1.1550255220137814E-4</v>
      </c>
      <c r="O42" s="55">
        <f t="shared" si="25"/>
        <v>1.2177247535426105E-4</v>
      </c>
      <c r="P42" s="55">
        <f t="shared" si="25"/>
        <v>2.0530466938004877E-4</v>
      </c>
      <c r="Q42" s="55">
        <f t="shared" si="25"/>
        <v>3.0217363616852572E-4</v>
      </c>
      <c r="R42" s="55">
        <f t="shared" si="25"/>
        <v>1.9187848019043855E-4</v>
      </c>
      <c r="S42" s="55">
        <f t="shared" si="25"/>
        <v>2.2121109373121958E-4</v>
      </c>
      <c r="T42" s="55">
        <f t="shared" si="25"/>
        <v>2.563312178166523E-4</v>
      </c>
      <c r="U42" s="55">
        <f t="shared" si="25"/>
        <v>2.3566968318294493E-4</v>
      </c>
      <c r="V42" s="55">
        <f t="shared" si="25"/>
        <v>2.1616953614445129E-4</v>
      </c>
    </row>
    <row r="43" spans="1:22" x14ac:dyDescent="0.25">
      <c r="A43" s="5" t="s">
        <v>89</v>
      </c>
      <c r="B43" s="63">
        <f>monthly_data!H8/1000</f>
        <v>0</v>
      </c>
      <c r="C43" s="63">
        <f>monthly_data!$H20/1000</f>
        <v>0</v>
      </c>
      <c r="D43" s="63">
        <f>monthly_data!$H32/1000</f>
        <v>0</v>
      </c>
      <c r="E43" s="63">
        <f>monthly_data!$H44/1000</f>
        <v>0</v>
      </c>
      <c r="F43" s="63">
        <f>monthly_data!$H56/1000</f>
        <v>0</v>
      </c>
      <c r="G43" s="63">
        <f>monthly_data!$H68/1000</f>
        <v>0</v>
      </c>
      <c r="H43" s="63">
        <f>monthly_data!$H80/1000</f>
        <v>0</v>
      </c>
      <c r="I43" s="63">
        <f>monthly_data!$H92/1000</f>
        <v>0</v>
      </c>
      <c r="J43" s="63">
        <f>monthly_data!$H104/1000</f>
        <v>3.0000000000000001E-3</v>
      </c>
      <c r="K43" s="63">
        <f>monthly_data!$H116/1000</f>
        <v>9.7349999999999989E-3</v>
      </c>
      <c r="L43" s="55">
        <f t="shared" si="26"/>
        <v>1.6912239476360444E-3</v>
      </c>
      <c r="M43" s="55">
        <f t="shared" si="25"/>
        <v>2.0701984681073277E-3</v>
      </c>
      <c r="N43" s="55">
        <f t="shared" si="25"/>
        <v>2.1783095563138494E-3</v>
      </c>
      <c r="O43" s="55">
        <f t="shared" si="25"/>
        <v>2.296556584288313E-3</v>
      </c>
      <c r="P43" s="55">
        <f t="shared" si="25"/>
        <v>3.3180348596088074E-3</v>
      </c>
      <c r="Q43" s="55">
        <f t="shared" si="25"/>
        <v>2.6504605729620974E-3</v>
      </c>
      <c r="R43" s="55">
        <f t="shared" si="25"/>
        <v>2.8098503276983641E-3</v>
      </c>
      <c r="S43" s="55">
        <f t="shared" si="25"/>
        <v>3.130106684857064E-3</v>
      </c>
      <c r="T43" s="55">
        <f t="shared" si="25"/>
        <v>3.4932805266083087E-3</v>
      </c>
      <c r="U43" s="55">
        <f t="shared" si="25"/>
        <v>3.0841399558251392E-3</v>
      </c>
      <c r="V43" s="55">
        <f t="shared" si="25"/>
        <v>2.7159131869689736E-3</v>
      </c>
    </row>
    <row r="44" spans="1:22" x14ac:dyDescent="0.25">
      <c r="A44" s="5" t="s">
        <v>90</v>
      </c>
      <c r="B44" s="63">
        <f>monthly_data!H9/1000</f>
        <v>0</v>
      </c>
      <c r="C44" s="63">
        <f>monthly_data!$H21/1000</f>
        <v>0</v>
      </c>
      <c r="D44" s="63">
        <f>monthly_data!$H33/1000</f>
        <v>0</v>
      </c>
      <c r="E44" s="63">
        <f>monthly_data!$H45/1000</f>
        <v>0</v>
      </c>
      <c r="F44" s="63">
        <f>monthly_data!$H57/1000</f>
        <v>1.8720000000000001E-2</v>
      </c>
      <c r="G44" s="63">
        <f>monthly_data!$H69/1000</f>
        <v>0</v>
      </c>
      <c r="H44" s="63">
        <f>monthly_data!$H81/1000</f>
        <v>0</v>
      </c>
      <c r="I44" s="63">
        <f>monthly_data!$H93/1000</f>
        <v>0</v>
      </c>
      <c r="J44" s="63">
        <f>monthly_data!$H105/1000</f>
        <v>0</v>
      </c>
      <c r="K44" s="63">
        <f>monthly_data!$H117/1000</f>
        <v>3.9999999999999998E-6</v>
      </c>
      <c r="L44" s="55">
        <f t="shared" si="26"/>
        <v>5.3120500907296252E-7</v>
      </c>
      <c r="M44" s="55">
        <f t="shared" si="25"/>
        <v>6.5023901628812811E-7</v>
      </c>
      <c r="N44" s="55">
        <f t="shared" si="25"/>
        <v>6.841961700239808E-7</v>
      </c>
      <c r="O44" s="55">
        <f t="shared" si="25"/>
        <v>7.2133697190053001E-7</v>
      </c>
      <c r="P44" s="55">
        <f t="shared" si="25"/>
        <v>1.2161520745702879E-6</v>
      </c>
      <c r="Q44" s="55">
        <f t="shared" si="25"/>
        <v>8.7240453175299104E-7</v>
      </c>
      <c r="R44" s="55">
        <f t="shared" si="25"/>
        <v>9.3058598022513543E-7</v>
      </c>
      <c r="S44" s="55">
        <f t="shared" si="25"/>
        <v>1.0450075936013107E-6</v>
      </c>
      <c r="T44" s="55">
        <f t="shared" si="25"/>
        <v>1.1768418481097072E-6</v>
      </c>
      <c r="U44" s="55">
        <f t="shared" si="25"/>
        <v>1.0494892329441201E-6</v>
      </c>
      <c r="V44" s="55">
        <f t="shared" si="25"/>
        <v>9.0859603664403884E-7</v>
      </c>
    </row>
    <row r="45" spans="1:22" x14ac:dyDescent="0.25">
      <c r="A45" s="5" t="s">
        <v>91</v>
      </c>
      <c r="B45" s="63">
        <f>monthly_data!H10/1000</f>
        <v>0</v>
      </c>
      <c r="C45" s="63">
        <f>monthly_data!$H22/1000</f>
        <v>0</v>
      </c>
      <c r="D45" s="63">
        <f>monthly_data!$H34/1000</f>
        <v>0</v>
      </c>
      <c r="E45" s="63">
        <f>monthly_data!$H46/1000</f>
        <v>0</v>
      </c>
      <c r="F45" s="63">
        <f>monthly_data!$H58/1000</f>
        <v>0</v>
      </c>
      <c r="G45" s="63">
        <f>monthly_data!$H70/1000</f>
        <v>0</v>
      </c>
      <c r="H45" s="63">
        <f>monthly_data!$H82/1000</f>
        <v>0</v>
      </c>
      <c r="I45" s="63">
        <f>monthly_data!$H94/1000</f>
        <v>0</v>
      </c>
      <c r="J45" s="63">
        <f>monthly_data!$H106/1000</f>
        <v>2.5600000000000002E-3</v>
      </c>
      <c r="K45" s="63">
        <f>monthly_data!$H118/1000</f>
        <v>0</v>
      </c>
      <c r="L45" s="55">
        <f t="shared" si="26"/>
        <v>3.3997120580669607E-4</v>
      </c>
      <c r="M45" s="55">
        <f t="shared" si="25"/>
        <v>4.1615297042440206E-4</v>
      </c>
      <c r="N45" s="55">
        <f t="shared" si="25"/>
        <v>4.3788554881534782E-4</v>
      </c>
      <c r="O45" s="55">
        <f t="shared" si="25"/>
        <v>4.6165566201633937E-4</v>
      </c>
      <c r="P45" s="55">
        <f t="shared" si="25"/>
        <v>3.056851183986078E-4</v>
      </c>
      <c r="Q45" s="55">
        <f t="shared" si="25"/>
        <v>4.4991662404971107E-4</v>
      </c>
      <c r="R45" s="55">
        <f t="shared" si="25"/>
        <v>4.6509798257104187E-4</v>
      </c>
      <c r="S45" s="55">
        <f t="shared" si="25"/>
        <v>5.0075260068682616E-4</v>
      </c>
      <c r="T45" s="55">
        <f t="shared" si="25"/>
        <v>5.3686756588484962E-4</v>
      </c>
      <c r="U45" s="55">
        <f t="shared" si="25"/>
        <v>4.5222018999243647E-4</v>
      </c>
      <c r="V45" s="55">
        <f t="shared" si="25"/>
        <v>4.3060700397785077E-4</v>
      </c>
    </row>
    <row r="46" spans="1:22" x14ac:dyDescent="0.25">
      <c r="A46" s="5" t="s">
        <v>92</v>
      </c>
      <c r="B46" s="63">
        <f>monthly_data!H11/1000</f>
        <v>0</v>
      </c>
      <c r="C46" s="63">
        <f>monthly_data!$H23/1000</f>
        <v>0</v>
      </c>
      <c r="D46" s="63">
        <f>monthly_data!$H35/1000</f>
        <v>0</v>
      </c>
      <c r="E46" s="63">
        <f>monthly_data!$H47/1000</f>
        <v>0</v>
      </c>
      <c r="F46" s="63">
        <f>monthly_data!$H59/1000</f>
        <v>0</v>
      </c>
      <c r="G46" s="63">
        <f>monthly_data!$H71/1000</f>
        <v>0</v>
      </c>
      <c r="H46" s="63">
        <f>monthly_data!$H83/1000</f>
        <v>0</v>
      </c>
      <c r="I46" s="63">
        <f>monthly_data!$H95/1000</f>
        <v>0</v>
      </c>
      <c r="J46" s="63">
        <f>monthly_data!$H107/1000</f>
        <v>0</v>
      </c>
      <c r="K46" s="63">
        <f>monthly_data!$H119/1000</f>
        <v>0</v>
      </c>
      <c r="L46" s="55">
        <f t="shared" si="26"/>
        <v>0</v>
      </c>
      <c r="M46" s="55">
        <f t="shared" si="25"/>
        <v>0</v>
      </c>
      <c r="N46" s="55">
        <f t="shared" si="25"/>
        <v>0</v>
      </c>
      <c r="O46" s="55">
        <f t="shared" si="25"/>
        <v>0</v>
      </c>
      <c r="P46" s="55">
        <f t="shared" si="25"/>
        <v>0</v>
      </c>
      <c r="Q46" s="55">
        <f t="shared" si="25"/>
        <v>0</v>
      </c>
      <c r="R46" s="55">
        <f t="shared" si="25"/>
        <v>0</v>
      </c>
      <c r="S46" s="55">
        <f t="shared" si="25"/>
        <v>0</v>
      </c>
      <c r="T46" s="55">
        <f t="shared" si="25"/>
        <v>0</v>
      </c>
      <c r="U46" s="55">
        <f t="shared" si="25"/>
        <v>0</v>
      </c>
      <c r="V46" s="55">
        <f t="shared" si="25"/>
        <v>0</v>
      </c>
    </row>
    <row r="47" spans="1:22" x14ac:dyDescent="0.25">
      <c r="A47" s="5" t="s">
        <v>93</v>
      </c>
      <c r="B47" s="63">
        <f>monthly_data!H12/1000</f>
        <v>0</v>
      </c>
      <c r="C47" s="63">
        <f>monthly_data!$H24/1000</f>
        <v>0</v>
      </c>
      <c r="D47" s="63">
        <f>monthly_data!$H36/1000</f>
        <v>0</v>
      </c>
      <c r="E47" s="63">
        <f>monthly_data!$H48/1000</f>
        <v>0</v>
      </c>
      <c r="F47" s="63">
        <f>monthly_data!$H60/1000</f>
        <v>0</v>
      </c>
      <c r="G47" s="63">
        <f>monthly_data!$H72/1000</f>
        <v>0</v>
      </c>
      <c r="H47" s="63">
        <f>monthly_data!$H84/1000</f>
        <v>0</v>
      </c>
      <c r="I47" s="63">
        <f>monthly_data!$H96/1000</f>
        <v>1.9999999999999999E-6</v>
      </c>
      <c r="J47" s="63">
        <f>monthly_data!$H108/1000</f>
        <v>0</v>
      </c>
      <c r="K47" s="63">
        <f>monthly_data!$H120/1000</f>
        <v>1.7700000000000001E-3</v>
      </c>
      <c r="L47" s="55">
        <f t="shared" si="26"/>
        <v>2.3532381901932245E-4</v>
      </c>
      <c r="M47" s="55">
        <f t="shared" si="25"/>
        <v>2.8805588421564082E-4</v>
      </c>
      <c r="N47" s="55">
        <f t="shared" si="25"/>
        <v>3.0309890332062351E-4</v>
      </c>
      <c r="O47" s="55">
        <f t="shared" si="25"/>
        <v>3.193063251869576E-4</v>
      </c>
      <c r="P47" s="55">
        <f t="shared" si="25"/>
        <v>5.3834069918307515E-4</v>
      </c>
      <c r="Q47" s="55">
        <f t="shared" si="25"/>
        <v>3.863236663879195E-4</v>
      </c>
      <c r="R47" s="55">
        <f t="shared" si="25"/>
        <v>4.1206722224069911E-4</v>
      </c>
      <c r="S47" s="55">
        <f t="shared" si="25"/>
        <v>4.6270347830983788E-4</v>
      </c>
      <c r="T47" s="55">
        <f t="shared" si="25"/>
        <v>5.2103860179537886E-4</v>
      </c>
      <c r="U47" s="55">
        <f t="shared" si="25"/>
        <v>4.6466625338827892E-4</v>
      </c>
      <c r="V47" s="55">
        <f t="shared" si="25"/>
        <v>4.0230595873294535E-4</v>
      </c>
    </row>
    <row r="48" spans="1:22" x14ac:dyDescent="0.25">
      <c r="A48" s="5" t="s">
        <v>94</v>
      </c>
      <c r="B48" s="63">
        <f>monthly_data!H13/1000</f>
        <v>3.9999999999999998E-6</v>
      </c>
      <c r="C48" s="63">
        <f>monthly_data!$H25/1000</f>
        <v>0</v>
      </c>
      <c r="D48" s="63">
        <f>monthly_data!$H37/1000</f>
        <v>0</v>
      </c>
      <c r="E48" s="63">
        <f>monthly_data!$H49/1000</f>
        <v>0</v>
      </c>
      <c r="F48" s="63">
        <f>monthly_data!$H61/1000</f>
        <v>0</v>
      </c>
      <c r="G48" s="63">
        <f>monthly_data!$H73/1000</f>
        <v>0</v>
      </c>
      <c r="H48" s="63">
        <f>monthly_data!$H85/1000</f>
        <v>0</v>
      </c>
      <c r="I48" s="63">
        <f>monthly_data!$H97/1000</f>
        <v>3.9999999999999998E-6</v>
      </c>
      <c r="J48" s="63">
        <f>monthly_data!$H109/1000</f>
        <v>0</v>
      </c>
      <c r="K48" s="63">
        <f>monthly_data!$H121/1000</f>
        <v>0</v>
      </c>
      <c r="L48" s="55">
        <f t="shared" si="26"/>
        <v>5.3120500907296252E-7</v>
      </c>
      <c r="M48" s="55">
        <f t="shared" si="25"/>
        <v>6.5023901628812811E-7</v>
      </c>
      <c r="N48" s="55">
        <f t="shared" si="25"/>
        <v>6.841961700239808E-7</v>
      </c>
      <c r="O48" s="55">
        <f t="shared" si="25"/>
        <v>2.29430241945932E-7</v>
      </c>
      <c r="P48" s="55">
        <f t="shared" si="25"/>
        <v>3.8681237144487375E-7</v>
      </c>
      <c r="Q48" s="55">
        <f t="shared" si="25"/>
        <v>5.6932217444162335E-7</v>
      </c>
      <c r="R48" s="55">
        <f t="shared" si="25"/>
        <v>5.6585198215306483E-7</v>
      </c>
      <c r="S48" s="55">
        <f t="shared" si="25"/>
        <v>5.7523628251554228E-7</v>
      </c>
      <c r="T48" s="55">
        <f t="shared" si="25"/>
        <v>5.7216801366655449E-7</v>
      </c>
      <c r="U48" s="55">
        <f t="shared" si="25"/>
        <v>5.3453562101121076E-7</v>
      </c>
      <c r="V48" s="55">
        <f t="shared" si="25"/>
        <v>5.0442503591616234E-7</v>
      </c>
    </row>
    <row r="49" spans="1:22" x14ac:dyDescent="0.25">
      <c r="A49" s="5" t="s">
        <v>95</v>
      </c>
      <c r="B49" s="63">
        <f>monthly_data!H14/1000</f>
        <v>0</v>
      </c>
      <c r="C49" s="63">
        <f>monthly_data!$H26/1000</f>
        <v>0</v>
      </c>
      <c r="D49" s="63">
        <f>monthly_data!$H38/1000</f>
        <v>7.0650000000000001E-3</v>
      </c>
      <c r="E49" s="63">
        <f>monthly_data!$H50/1000</f>
        <v>0</v>
      </c>
      <c r="F49" s="63">
        <f>monthly_data!$H62/1000</f>
        <v>0</v>
      </c>
      <c r="G49" s="63">
        <f>monthly_data!$H74/1000</f>
        <v>0</v>
      </c>
      <c r="H49" s="63">
        <f>monthly_data!$H86/1000</f>
        <v>0</v>
      </c>
      <c r="I49" s="63">
        <f>monthly_data!$H98/1000</f>
        <v>0</v>
      </c>
      <c r="J49" s="63">
        <f>monthly_data!$H110/1000</f>
        <v>0</v>
      </c>
      <c r="K49" s="63">
        <f>monthly_data!$H122/1000</f>
        <v>0</v>
      </c>
      <c r="L49" s="55">
        <f t="shared" si="26"/>
        <v>0</v>
      </c>
      <c r="M49" s="55">
        <f t="shared" si="25"/>
        <v>0</v>
      </c>
      <c r="N49" s="55">
        <f t="shared" si="25"/>
        <v>0</v>
      </c>
      <c r="O49" s="55">
        <f t="shared" si="25"/>
        <v>0</v>
      </c>
      <c r="P49" s="55">
        <f t="shared" si="25"/>
        <v>0</v>
      </c>
      <c r="Q49" s="55">
        <f t="shared" si="25"/>
        <v>0</v>
      </c>
      <c r="R49" s="55">
        <f t="shared" si="25"/>
        <v>0</v>
      </c>
      <c r="S49" s="55">
        <f t="shared" si="25"/>
        <v>0</v>
      </c>
      <c r="T49" s="55">
        <f t="shared" si="25"/>
        <v>0</v>
      </c>
      <c r="U49" s="55">
        <f t="shared" si="25"/>
        <v>0</v>
      </c>
      <c r="V49" s="55">
        <f t="shared" si="25"/>
        <v>0</v>
      </c>
    </row>
    <row r="50" spans="1:22" x14ac:dyDescent="0.25">
      <c r="A50" s="5" t="s">
        <v>96</v>
      </c>
      <c r="B50" s="63">
        <f>monthly_data!H15/1000</f>
        <v>0</v>
      </c>
      <c r="C50" s="63">
        <f>monthly_data!$H27/1000</f>
        <v>7.0000000000000001E-3</v>
      </c>
      <c r="D50" s="63">
        <f>monthly_data!$H39/1000</f>
        <v>0</v>
      </c>
      <c r="E50" s="63">
        <f>monthly_data!$H51/1000</f>
        <v>0</v>
      </c>
      <c r="F50" s="63">
        <f>monthly_data!$H63/1000</f>
        <v>0</v>
      </c>
      <c r="G50" s="63">
        <f>monthly_data!$H75/1000</f>
        <v>0</v>
      </c>
      <c r="H50" s="63">
        <f>monthly_data!$H87/1000</f>
        <v>0</v>
      </c>
      <c r="I50" s="63">
        <f>monthly_data!$H99/1000</f>
        <v>7.9999999999999996E-6</v>
      </c>
      <c r="J50" s="63">
        <f>monthly_data!$H111/1000</f>
        <v>0</v>
      </c>
      <c r="K50" s="63">
        <f>monthly_data!$H123/1000</f>
        <v>3.9999999999999998E-6</v>
      </c>
      <c r="L50" s="55">
        <f t="shared" ref="L50:V50" si="27">L51-SUM(L39:L49)</f>
        <v>3.4059377544916145E-3</v>
      </c>
      <c r="M50" s="55">
        <f t="shared" si="27"/>
        <v>4.9048243872536375E-4</v>
      </c>
      <c r="N50" s="55">
        <f t="shared" si="27"/>
        <v>5.1609669311386205E-4</v>
      </c>
      <c r="O50" s="55">
        <f t="shared" si="27"/>
        <v>5.4312859483606965E-4</v>
      </c>
      <c r="P50" s="55">
        <f t="shared" si="27"/>
        <v>9.1569820083950079E-4</v>
      </c>
      <c r="Q50" s="55">
        <f t="shared" si="27"/>
        <v>1.3468348062665655E-3</v>
      </c>
      <c r="R50" s="55">
        <f t="shared" si="27"/>
        <v>8.5601745943950439E-4</v>
      </c>
      <c r="S50" s="55">
        <f t="shared" si="27"/>
        <v>9.8669544520904248E-4</v>
      </c>
      <c r="T50" s="55">
        <f t="shared" si="27"/>
        <v>1.1431232539614172E-3</v>
      </c>
      <c r="U50" s="55">
        <f t="shared" si="27"/>
        <v>1.0509664773835081E-3</v>
      </c>
      <c r="V50" s="55">
        <f t="shared" si="27"/>
        <v>9.6397995929219452E-4</v>
      </c>
    </row>
    <row r="51" spans="1:22" x14ac:dyDescent="0.25">
      <c r="A51" s="56" t="s">
        <v>97</v>
      </c>
      <c r="B51" s="64">
        <f>SUM(B39:B50)</f>
        <v>3.9999999999999998E-6</v>
      </c>
      <c r="C51" s="64">
        <f t="shared" ref="C51:K51" si="28">SUM(C39:C50)</f>
        <v>7.0000000000000001E-3</v>
      </c>
      <c r="D51" s="64">
        <f t="shared" si="28"/>
        <v>7.0650000000000001E-3</v>
      </c>
      <c r="E51" s="64">
        <f t="shared" si="28"/>
        <v>3.0000000000000001E-6</v>
      </c>
      <c r="F51" s="64">
        <f t="shared" si="28"/>
        <v>1.8827E-2</v>
      </c>
      <c r="G51" s="64">
        <f t="shared" si="28"/>
        <v>1.1519999999999999E-2</v>
      </c>
      <c r="H51" s="64">
        <f t="shared" si="28"/>
        <v>0</v>
      </c>
      <c r="I51" s="64">
        <f t="shared" si="28"/>
        <v>1.4E-5</v>
      </c>
      <c r="J51" s="64">
        <f t="shared" si="28"/>
        <v>5.1580000000000008E-2</v>
      </c>
      <c r="K51" s="64">
        <f t="shared" si="28"/>
        <v>3.7183999999999995E-2</v>
      </c>
      <c r="L51" s="58">
        <f>L5</f>
        <v>1.33197E-2</v>
      </c>
      <c r="M51" s="58">
        <f t="shared" ref="M51:V51" si="29">M5</f>
        <v>1.4651269999999999E-2</v>
      </c>
      <c r="N51" s="58">
        <f t="shared" si="29"/>
        <v>1.5416396999999998E-2</v>
      </c>
      <c r="O51" s="58">
        <f t="shared" si="29"/>
        <v>1.6251536699999999E-2</v>
      </c>
      <c r="P51" s="58">
        <f t="shared" si="29"/>
        <v>1.7876390370000002E-2</v>
      </c>
      <c r="Q51" s="58">
        <f t="shared" si="29"/>
        <v>1.7781329407000002E-2</v>
      </c>
      <c r="R51" s="58">
        <f t="shared" si="29"/>
        <v>1.84074623477E-2</v>
      </c>
      <c r="S51" s="58">
        <f t="shared" si="29"/>
        <v>2.0248208582469999E-2</v>
      </c>
      <c r="T51" s="58">
        <f t="shared" si="29"/>
        <v>2.2271629440717002E-2</v>
      </c>
      <c r="U51" s="58">
        <f t="shared" si="29"/>
        <v>1.93407923847887E-2</v>
      </c>
      <c r="V51" s="58">
        <f t="shared" si="29"/>
        <v>1.755647162326757E-2</v>
      </c>
    </row>
    <row r="52" spans="1:22" x14ac:dyDescent="0.25">
      <c r="J52" s="59"/>
    </row>
    <row r="53" spans="1:22" ht="15.75" thickBot="1" x14ac:dyDescent="0.3">
      <c r="A53" s="4" t="s">
        <v>99</v>
      </c>
    </row>
    <row r="54" spans="1:22" ht="16.5" thickTop="1" thickBot="1" x14ac:dyDescent="0.3">
      <c r="A54" s="27" t="s">
        <v>73</v>
      </c>
      <c r="B54" s="62">
        <f t="shared" ref="B54:V54" si="30">B2</f>
        <v>2015</v>
      </c>
      <c r="C54" s="62">
        <f t="shared" si="30"/>
        <v>2016</v>
      </c>
      <c r="D54" s="62">
        <f t="shared" si="30"/>
        <v>2017</v>
      </c>
      <c r="E54" s="62">
        <f t="shared" si="30"/>
        <v>2018</v>
      </c>
      <c r="F54" s="62">
        <f t="shared" si="30"/>
        <v>2019</v>
      </c>
      <c r="G54" s="62">
        <f t="shared" si="30"/>
        <v>2020</v>
      </c>
      <c r="H54" s="62">
        <f t="shared" si="30"/>
        <v>2021</v>
      </c>
      <c r="I54" s="62">
        <f t="shared" si="30"/>
        <v>2022</v>
      </c>
      <c r="J54" s="62">
        <f t="shared" si="30"/>
        <v>2023</v>
      </c>
      <c r="K54" s="62">
        <f t="shared" si="30"/>
        <v>2024</v>
      </c>
      <c r="L54" s="62">
        <f t="shared" si="30"/>
        <v>2025</v>
      </c>
      <c r="M54" s="62">
        <f t="shared" si="30"/>
        <v>2026</v>
      </c>
      <c r="N54" s="62">
        <f t="shared" si="30"/>
        <v>2027</v>
      </c>
      <c r="O54" s="62">
        <f t="shared" si="30"/>
        <v>2028</v>
      </c>
      <c r="P54" s="62">
        <f t="shared" si="30"/>
        <v>2029</v>
      </c>
      <c r="Q54" s="62">
        <f t="shared" si="30"/>
        <v>2030</v>
      </c>
      <c r="R54" s="62">
        <f t="shared" si="30"/>
        <v>2031</v>
      </c>
      <c r="S54" s="62">
        <f t="shared" si="30"/>
        <v>2032</v>
      </c>
      <c r="T54" s="62">
        <f t="shared" si="30"/>
        <v>2033</v>
      </c>
      <c r="U54" s="62">
        <f t="shared" si="30"/>
        <v>2034</v>
      </c>
      <c r="V54" s="62">
        <f t="shared" si="30"/>
        <v>2035</v>
      </c>
    </row>
    <row r="55" spans="1:22" ht="15.75" thickTop="1" x14ac:dyDescent="0.25">
      <c r="A55" s="5" t="s">
        <v>85</v>
      </c>
      <c r="B55" s="63">
        <f>monthly_data!$G4/1000</f>
        <v>25.25</v>
      </c>
      <c r="C55" s="63">
        <f>monthly_data!$G16/1000</f>
        <v>64.8</v>
      </c>
      <c r="D55" s="63">
        <f>monthly_data!$G28/1000</f>
        <v>68.349999999999994</v>
      </c>
      <c r="E55" s="63">
        <f>monthly_data!$G40/1000</f>
        <v>213.90922999999998</v>
      </c>
      <c r="F55" s="63">
        <f>monthly_data!$G52/1000</f>
        <v>0</v>
      </c>
      <c r="G55" s="63">
        <f>monthly_data!$G64/1000</f>
        <v>30.312669999999997</v>
      </c>
      <c r="H55" s="63">
        <f>monthly_data!$G76/1000</f>
        <v>58.5</v>
      </c>
      <c r="I55" s="63">
        <f>monthly_data!$G88/1000</f>
        <v>140.87049999999999</v>
      </c>
      <c r="J55" s="63">
        <f>monthly_data!$G100/1000</f>
        <v>30</v>
      </c>
      <c r="K55" s="63">
        <f>monthly_data!$G112/1000</f>
        <v>0</v>
      </c>
      <c r="L55" s="63">
        <f>monthly_data!$G124/1000</f>
        <v>0</v>
      </c>
      <c r="M55" s="55">
        <f t="shared" ref="M55" si="31">M$67*(SUM(H55:L55)/SUM(H$67:L$67))</f>
        <v>31.157597328310292</v>
      </c>
      <c r="N55" s="55">
        <f t="shared" ref="N55" si="32">N$67*(SUM(I55:M55)/SUM(I$67:M$67))</f>
        <v>26.892147625164419</v>
      </c>
      <c r="O55" s="55">
        <f t="shared" ref="O55:V55" si="33">O$67*(SUM(J55:N55)/SUM(J$67:N$67))</f>
        <v>11.142099610129671</v>
      </c>
      <c r="P55" s="55">
        <f t="shared" si="33"/>
        <v>4.7673189077775078</v>
      </c>
      <c r="Q55" s="55">
        <f t="shared" si="33"/>
        <v>10.812501364470691</v>
      </c>
      <c r="R55" s="55">
        <f t="shared" si="33"/>
        <v>11.890178472079249</v>
      </c>
      <c r="S55" s="55">
        <f t="shared" si="33"/>
        <v>5.5659231611705042</v>
      </c>
      <c r="T55" s="55">
        <f t="shared" si="33"/>
        <v>13.661776537386025</v>
      </c>
      <c r="U55" s="55">
        <f t="shared" si="33"/>
        <v>13.848525595188224</v>
      </c>
      <c r="V55" s="55">
        <f t="shared" si="33"/>
        <v>13.785841859217856</v>
      </c>
    </row>
    <row r="56" spans="1:22" x14ac:dyDescent="0.25">
      <c r="A56" s="5" t="s">
        <v>86</v>
      </c>
      <c r="B56" s="63">
        <f>monthly_data!$G5/1000</f>
        <v>32.75</v>
      </c>
      <c r="C56" s="63">
        <f>monthly_data!$G17/1000</f>
        <v>22.4</v>
      </c>
      <c r="D56" s="63">
        <f>monthly_data!$G29/1000</f>
        <v>69.400000000000006</v>
      </c>
      <c r="E56" s="63">
        <f>monthly_data!$G41/1000</f>
        <v>40</v>
      </c>
      <c r="F56" s="63">
        <f>monthly_data!$G53/1000</f>
        <v>0</v>
      </c>
      <c r="G56" s="63">
        <f>monthly_data!$G65/1000</f>
        <v>43</v>
      </c>
      <c r="H56" s="63">
        <f>monthly_data!$G77/1000</f>
        <v>90</v>
      </c>
      <c r="I56" s="63">
        <f>monthly_data!$G89/1000</f>
        <v>175.22399999999999</v>
      </c>
      <c r="J56" s="63">
        <f>monthly_data!$G101/1000</f>
        <v>0</v>
      </c>
      <c r="K56" s="63">
        <f>monthly_data!$G113/1000</f>
        <v>0</v>
      </c>
      <c r="L56" s="55">
        <f>L$67*(SUM(G56:K56)/SUM(G$67:K$67))</f>
        <v>34.753190433796298</v>
      </c>
      <c r="M56" s="55">
        <f t="shared" ref="M56:V65" si="34">M$67*(SUM(H56:L56)/SUM(H$67:L$67))</f>
        <v>40.748782023904894</v>
      </c>
      <c r="N56" s="55">
        <f t="shared" si="34"/>
        <v>33.374367001230823</v>
      </c>
      <c r="O56" s="55">
        <f t="shared" si="34"/>
        <v>13.777564263005159</v>
      </c>
      <c r="P56" s="55">
        <f t="shared" si="34"/>
        <v>8.4508554153199622</v>
      </c>
      <c r="Q56" s="55">
        <f t="shared" si="34"/>
        <v>19.16693375809632</v>
      </c>
      <c r="R56" s="55">
        <f t="shared" si="34"/>
        <v>16.202767914902733</v>
      </c>
      <c r="S56" s="55">
        <f t="shared" si="34"/>
        <v>7.729970361132386</v>
      </c>
      <c r="T56" s="55">
        <f t="shared" si="34"/>
        <v>20.20230331667813</v>
      </c>
      <c r="U56" s="55">
        <f t="shared" si="34"/>
        <v>21.278798453146774</v>
      </c>
      <c r="V56" s="55">
        <f t="shared" si="34"/>
        <v>20.904267827916364</v>
      </c>
    </row>
    <row r="57" spans="1:22" x14ac:dyDescent="0.25">
      <c r="A57" s="5" t="s">
        <v>87</v>
      </c>
      <c r="B57" s="63">
        <f>monthly_data!$G6/1000</f>
        <v>37.805</v>
      </c>
      <c r="C57" s="63">
        <f>monthly_data!$G18/1000</f>
        <v>98.28</v>
      </c>
      <c r="D57" s="63">
        <f>monthly_data!$G30/1000</f>
        <v>43</v>
      </c>
      <c r="E57" s="63">
        <f>monthly_data!$G42/1000</f>
        <v>65.2</v>
      </c>
      <c r="F57" s="63">
        <f>monthly_data!$G54/1000</f>
        <v>60</v>
      </c>
      <c r="G57" s="63">
        <f>monthly_data!$G66/1000</f>
        <v>166.67721</v>
      </c>
      <c r="H57" s="63">
        <f>monthly_data!$G78/1000</f>
        <v>118.88357999999999</v>
      </c>
      <c r="I57" s="63">
        <f>monthly_data!$G90/1000</f>
        <v>127.60119</v>
      </c>
      <c r="J57" s="63">
        <f>monthly_data!$G102/1000</f>
        <v>0</v>
      </c>
      <c r="K57" s="63">
        <f>monthly_data!$G114/1000</f>
        <v>0</v>
      </c>
      <c r="L57" s="55">
        <f t="shared" ref="L57:L65" si="35">L$67*(SUM(G57:K57)/SUM(G$67:K$67))</f>
        <v>46.585265816238632</v>
      </c>
      <c r="M57" s="55">
        <f t="shared" si="34"/>
        <v>39.810516892781926</v>
      </c>
      <c r="N57" s="55">
        <f t="shared" si="34"/>
        <v>28.485335740588763</v>
      </c>
      <c r="O57" s="55">
        <f t="shared" si="34"/>
        <v>14.537428424863815</v>
      </c>
      <c r="P57" s="55">
        <f t="shared" si="34"/>
        <v>8.9169394084386493</v>
      </c>
      <c r="Q57" s="55">
        <f t="shared" si="34"/>
        <v>20.224033966629079</v>
      </c>
      <c r="R57" s="55">
        <f t="shared" si="34"/>
        <v>15.705647306420323</v>
      </c>
      <c r="S57" s="55">
        <f t="shared" si="34"/>
        <v>7.4662983591864123</v>
      </c>
      <c r="T57" s="55">
        <f t="shared" si="34"/>
        <v>20.673051376864478</v>
      </c>
      <c r="U57" s="55">
        <f t="shared" si="34"/>
        <v>21.644494549408812</v>
      </c>
      <c r="V57" s="55">
        <f t="shared" si="34"/>
        <v>21.184229159490339</v>
      </c>
    </row>
    <row r="58" spans="1:22" x14ac:dyDescent="0.25">
      <c r="A58" s="5" t="s">
        <v>88</v>
      </c>
      <c r="B58" s="63">
        <f>monthly_data!$G7/1000</f>
        <v>12.17</v>
      </c>
      <c r="C58" s="63">
        <f>monthly_data!$G19/1000</f>
        <v>78.465000000000003</v>
      </c>
      <c r="D58" s="63">
        <f>monthly_data!$G31/1000</f>
        <v>167.6</v>
      </c>
      <c r="E58" s="63">
        <f>monthly_data!$G43/1000</f>
        <v>120</v>
      </c>
      <c r="F58" s="63">
        <f>monthly_data!$G55/1000</f>
        <v>166.02166999999997</v>
      </c>
      <c r="G58" s="63">
        <f>monthly_data!$G67/1000</f>
        <v>27.783999999999999</v>
      </c>
      <c r="H58" s="63">
        <f>monthly_data!$G79/1000</f>
        <v>0</v>
      </c>
      <c r="I58" s="63">
        <f>monthly_data!$G91/1000</f>
        <v>139.63999999999999</v>
      </c>
      <c r="J58" s="63">
        <f>monthly_data!$G103/1000</f>
        <v>90</v>
      </c>
      <c r="K58" s="63">
        <f>monthly_data!$G115/1000</f>
        <v>60.786989999999996</v>
      </c>
      <c r="L58" s="55">
        <f t="shared" si="35"/>
        <v>35.879253833565357</v>
      </c>
      <c r="M58" s="55">
        <f t="shared" si="34"/>
        <v>44.325310147031388</v>
      </c>
      <c r="N58" s="55">
        <f t="shared" si="34"/>
        <v>49.335110294055191</v>
      </c>
      <c r="O58" s="55">
        <f t="shared" si="34"/>
        <v>35.473443090311761</v>
      </c>
      <c r="P58" s="55">
        <f t="shared" si="34"/>
        <v>15.55763006476362</v>
      </c>
      <c r="Q58" s="55">
        <f t="shared" si="34"/>
        <v>26.398641646655435</v>
      </c>
      <c r="R58" s="55">
        <f t="shared" si="34"/>
        <v>23.997313805130183</v>
      </c>
      <c r="S58" s="55">
        <f t="shared" si="34"/>
        <v>12.810321959850794</v>
      </c>
      <c r="T58" s="55">
        <f t="shared" si="34"/>
        <v>35.327185376859063</v>
      </c>
      <c r="U58" s="55">
        <f t="shared" si="34"/>
        <v>33.834503032175071</v>
      </c>
      <c r="V58" s="55">
        <f t="shared" si="34"/>
        <v>32.714945547380943</v>
      </c>
    </row>
    <row r="59" spans="1:22" x14ac:dyDescent="0.25">
      <c r="A59" s="5" t="s">
        <v>89</v>
      </c>
      <c r="B59" s="63">
        <f>monthly_data!$G8/1000</f>
        <v>35.375</v>
      </c>
      <c r="C59" s="63">
        <f>monthly_data!$G20/1000</f>
        <v>151.5</v>
      </c>
      <c r="D59" s="63">
        <f>monthly_data!$G32/1000</f>
        <v>223.95344</v>
      </c>
      <c r="E59" s="63">
        <f>monthly_data!$G44/1000</f>
        <v>183.67</v>
      </c>
      <c r="F59" s="63">
        <f>monthly_data!$G56/1000</f>
        <v>190.49833999999998</v>
      </c>
      <c r="G59" s="63">
        <f>monthly_data!$G68/1000</f>
        <v>0</v>
      </c>
      <c r="H59" s="63">
        <f>monthly_data!$G80/1000</f>
        <v>141.79253</v>
      </c>
      <c r="I59" s="63">
        <f>monthly_data!$G92/1000</f>
        <v>143.29400000000001</v>
      </c>
      <c r="J59" s="63">
        <f>monthly_data!$G104/1000</f>
        <v>10</v>
      </c>
      <c r="K59" s="63">
        <f>monthly_data!$G116/1000</f>
        <v>74.589649999999992</v>
      </c>
      <c r="L59" s="55">
        <f t="shared" si="35"/>
        <v>41.682110031595073</v>
      </c>
      <c r="M59" s="55">
        <f t="shared" si="34"/>
        <v>55.878746213949562</v>
      </c>
      <c r="N59" s="55">
        <f t="shared" si="34"/>
        <v>43.320220412368961</v>
      </c>
      <c r="O59" s="55">
        <f t="shared" si="34"/>
        <v>28.53179525867159</v>
      </c>
      <c r="P59" s="55">
        <f t="shared" si="34"/>
        <v>16.811776642390701</v>
      </c>
      <c r="Q59" s="55">
        <f t="shared" si="34"/>
        <v>27.22521689176671</v>
      </c>
      <c r="R59" s="55">
        <f t="shared" si="34"/>
        <v>24.092357648476291</v>
      </c>
      <c r="S59" s="55">
        <f t="shared" si="34"/>
        <v>11.894275252715031</v>
      </c>
      <c r="T59" s="55">
        <f t="shared" si="34"/>
        <v>33.570084449816122</v>
      </c>
      <c r="U59" s="55">
        <f t="shared" si="34"/>
        <v>33.687000967931738</v>
      </c>
      <c r="V59" s="55">
        <f t="shared" si="34"/>
        <v>32.24559722271173</v>
      </c>
    </row>
    <row r="60" spans="1:22" x14ac:dyDescent="0.25">
      <c r="A60" s="5" t="s">
        <v>90</v>
      </c>
      <c r="B60" s="63">
        <f>monthly_data!$G9/1000</f>
        <v>93.2</v>
      </c>
      <c r="C60" s="63">
        <f>monthly_data!$G21/1000</f>
        <v>174.25</v>
      </c>
      <c r="D60" s="63">
        <f>monthly_data!$G33/1000</f>
        <v>169.18199999999999</v>
      </c>
      <c r="E60" s="63">
        <f>monthly_data!$G45/1000</f>
        <v>175.33</v>
      </c>
      <c r="F60" s="63">
        <f>monthly_data!$G57/1000</f>
        <v>78.5</v>
      </c>
      <c r="G60" s="63">
        <f>monthly_data!$G69/1000</f>
        <v>0</v>
      </c>
      <c r="H60" s="63">
        <f>monthly_data!$G81/1000</f>
        <v>169.28946999999999</v>
      </c>
      <c r="I60" s="63">
        <f>monthly_data!$G93/1000</f>
        <v>146.89025000000001</v>
      </c>
      <c r="J60" s="63">
        <f>monthly_data!$G105/1000</f>
        <v>0</v>
      </c>
      <c r="K60" s="63">
        <f>monthly_data!$G117/1000</f>
        <v>30.3</v>
      </c>
      <c r="L60" s="55">
        <f t="shared" si="35"/>
        <v>39.066638842557424</v>
      </c>
      <c r="M60" s="55">
        <f t="shared" si="34"/>
        <v>52.372463765883701</v>
      </c>
      <c r="N60" s="55">
        <f t="shared" si="34"/>
        <v>35.757502556978451</v>
      </c>
      <c r="O60" s="55">
        <f t="shared" si="34"/>
        <v>19.93012999569304</v>
      </c>
      <c r="P60" s="55">
        <f t="shared" si="34"/>
        <v>12.224704148496285</v>
      </c>
      <c r="Q60" s="55">
        <f t="shared" si="34"/>
        <v>23.296473000701468</v>
      </c>
      <c r="R60" s="55">
        <f t="shared" si="34"/>
        <v>20.138886856660719</v>
      </c>
      <c r="S60" s="55">
        <f t="shared" si="34"/>
        <v>9.4612603190778355</v>
      </c>
      <c r="T60" s="55">
        <f t="shared" si="34"/>
        <v>26.301629707367077</v>
      </c>
      <c r="U60" s="55">
        <f t="shared" si="34"/>
        <v>27.112109613980351</v>
      </c>
      <c r="V60" s="55">
        <f t="shared" si="34"/>
        <v>26.27476822303403</v>
      </c>
    </row>
    <row r="61" spans="1:22" x14ac:dyDescent="0.25">
      <c r="A61" s="5" t="s">
        <v>91</v>
      </c>
      <c r="B61" s="63">
        <f>monthly_data!$G10/1000</f>
        <v>81.8</v>
      </c>
      <c r="C61" s="63">
        <f>monthly_data!$G22/1000</f>
        <v>160.13999999999999</v>
      </c>
      <c r="D61" s="63">
        <f>monthly_data!$G34/1000</f>
        <v>205.86</v>
      </c>
      <c r="E61" s="63">
        <f>monthly_data!$G46/1000</f>
        <v>246.26160999999999</v>
      </c>
      <c r="F61" s="63">
        <f>monthly_data!$G58/1000</f>
        <v>71.5</v>
      </c>
      <c r="G61" s="63">
        <f>monthly_data!$G70/1000</f>
        <v>119.431</v>
      </c>
      <c r="H61" s="63">
        <f>monthly_data!$G82/1000</f>
        <v>210.52799999999999</v>
      </c>
      <c r="I61" s="63">
        <f>monthly_data!$G94/1000</f>
        <v>11.76</v>
      </c>
      <c r="J61" s="63">
        <f>monthly_data!$G106/1000</f>
        <v>20</v>
      </c>
      <c r="K61" s="63">
        <f>monthly_data!$G118/1000</f>
        <v>102.67</v>
      </c>
      <c r="L61" s="55">
        <f t="shared" si="35"/>
        <v>52.361267624715239</v>
      </c>
      <c r="M61" s="55">
        <f t="shared" si="34"/>
        <v>53.971691003987125</v>
      </c>
      <c r="N61" s="55">
        <f t="shared" si="34"/>
        <v>32.048180979463815</v>
      </c>
      <c r="O61" s="55">
        <f t="shared" si="34"/>
        <v>33.034255833324487</v>
      </c>
      <c r="P61" s="55">
        <f t="shared" si="34"/>
        <v>18.884486983617812</v>
      </c>
      <c r="Q61" s="55">
        <f t="shared" si="34"/>
        <v>27.820997991361565</v>
      </c>
      <c r="R61" s="55">
        <f t="shared" si="34"/>
        <v>23.249648138597781</v>
      </c>
      <c r="S61" s="55">
        <f t="shared" si="34"/>
        <v>11.474198761331678</v>
      </c>
      <c r="T61" s="55">
        <f t="shared" si="34"/>
        <v>35.397147796313064</v>
      </c>
      <c r="U61" s="55">
        <f t="shared" si="34"/>
        <v>34.64570092038857</v>
      </c>
      <c r="V61" s="55">
        <f t="shared" si="34"/>
        <v>32.769251606652325</v>
      </c>
    </row>
    <row r="62" spans="1:22" x14ac:dyDescent="0.25">
      <c r="A62" s="5" t="s">
        <v>92</v>
      </c>
      <c r="B62" s="63">
        <f>monthly_data!$G11/1000</f>
        <v>83.8</v>
      </c>
      <c r="C62" s="63">
        <f>monthly_data!$G23/1000</f>
        <v>179.87799999999999</v>
      </c>
      <c r="D62" s="63">
        <f>monthly_data!$G35/1000</f>
        <v>104.98284</v>
      </c>
      <c r="E62" s="63">
        <f>monthly_data!$G47/1000</f>
        <v>44.590350000000001</v>
      </c>
      <c r="F62" s="63">
        <f>monthly_data!$G59/1000</f>
        <v>60</v>
      </c>
      <c r="G62" s="63">
        <f>monthly_data!$G71/1000</f>
        <v>74.243520000000004</v>
      </c>
      <c r="H62" s="63">
        <f>monthly_data!$G83/1000</f>
        <v>146.79499999999999</v>
      </c>
      <c r="I62" s="63">
        <f>monthly_data!$G95/1000</f>
        <v>14.7</v>
      </c>
      <c r="J62" s="63">
        <f>monthly_data!$G107/1000</f>
        <v>50</v>
      </c>
      <c r="K62" s="63">
        <f>monthly_data!$G119/1000</f>
        <v>26.573340000000002</v>
      </c>
      <c r="L62" s="55">
        <f t="shared" si="35"/>
        <v>35.214109041843365</v>
      </c>
      <c r="M62" s="55">
        <f t="shared" si="34"/>
        <v>37.122578989626959</v>
      </c>
      <c r="N62" s="55">
        <f t="shared" si="34"/>
        <v>21.77828274860974</v>
      </c>
      <c r="O62" s="55">
        <f t="shared" si="34"/>
        <v>21.59945110575099</v>
      </c>
      <c r="P62" s="55">
        <f t="shared" si="34"/>
        <v>9.8036284747418829</v>
      </c>
      <c r="Q62" s="55">
        <f t="shared" si="34"/>
        <v>18.350181736635555</v>
      </c>
      <c r="R62" s="55">
        <f t="shared" si="34"/>
        <v>15.239961576278489</v>
      </c>
      <c r="S62" s="55">
        <f t="shared" si="34"/>
        <v>7.3730111042387705</v>
      </c>
      <c r="T62" s="55">
        <f t="shared" si="34"/>
        <v>22.37880474973953</v>
      </c>
      <c r="U62" s="55">
        <f t="shared" si="34"/>
        <v>21.691830141676174</v>
      </c>
      <c r="V62" s="55">
        <f t="shared" si="34"/>
        <v>21.016231303925242</v>
      </c>
    </row>
    <row r="63" spans="1:22" x14ac:dyDescent="0.25">
      <c r="A63" s="5" t="s">
        <v>93</v>
      </c>
      <c r="B63" s="63">
        <f>monthly_data!$G12/1000</f>
        <v>94.805000000000007</v>
      </c>
      <c r="C63" s="63">
        <f>monthly_data!$G24/1000</f>
        <v>167.24199999999999</v>
      </c>
      <c r="D63" s="63">
        <f>monthly_data!$G36/1000</f>
        <v>42</v>
      </c>
      <c r="E63" s="63">
        <f>monthly_data!$G48/1000</f>
        <v>50.482270000000007</v>
      </c>
      <c r="F63" s="63">
        <f>monthly_data!$G60/1000</f>
        <v>179.81682000000001</v>
      </c>
      <c r="G63" s="63">
        <f>monthly_data!$G72/1000</f>
        <v>135.75647999999998</v>
      </c>
      <c r="H63" s="63">
        <f>monthly_data!$G84/1000</f>
        <v>93.751999999999995</v>
      </c>
      <c r="I63" s="63">
        <f>monthly_data!$G96/1000</f>
        <v>0.20888999999999999</v>
      </c>
      <c r="J63" s="63">
        <f>monthly_data!$G108/1000</f>
        <v>39.082000000000001</v>
      </c>
      <c r="K63" s="63">
        <f>monthly_data!$G120/1000</f>
        <v>27.818000000000001</v>
      </c>
      <c r="L63" s="55">
        <f t="shared" si="35"/>
        <v>33.444507713811433</v>
      </c>
      <c r="M63" s="55">
        <f t="shared" si="34"/>
        <v>26.394367805293701</v>
      </c>
      <c r="N63" s="55">
        <f t="shared" si="34"/>
        <v>16.898134943461361</v>
      </c>
      <c r="O63" s="55">
        <f t="shared" si="34"/>
        <v>18.176292039469402</v>
      </c>
      <c r="P63" s="55">
        <f t="shared" si="34"/>
        <v>8.4561881921830544</v>
      </c>
      <c r="Q63" s="55">
        <f t="shared" si="34"/>
        <v>15.112160639950506</v>
      </c>
      <c r="R63" s="55">
        <f t="shared" si="34"/>
        <v>11.927414854476982</v>
      </c>
      <c r="S63" s="55">
        <f t="shared" si="34"/>
        <v>5.9963785989997573</v>
      </c>
      <c r="T63" s="55">
        <f t="shared" si="34"/>
        <v>18.452089707018015</v>
      </c>
      <c r="U63" s="55">
        <f t="shared" si="34"/>
        <v>17.77687677796709</v>
      </c>
      <c r="V63" s="55">
        <f t="shared" si="34"/>
        <v>17.118931238516986</v>
      </c>
    </row>
    <row r="64" spans="1:22" x14ac:dyDescent="0.25">
      <c r="A64" s="5" t="s">
        <v>94</v>
      </c>
      <c r="B64" s="63">
        <f>monthly_data!$G13/1000</f>
        <v>103.3</v>
      </c>
      <c r="C64" s="63">
        <f>monthly_data!$G25/1000</f>
        <v>252.79709</v>
      </c>
      <c r="D64" s="63">
        <f>monthly_data!$G37/1000</f>
        <v>200</v>
      </c>
      <c r="E64" s="63">
        <f>monthly_data!$G49/1000</f>
        <v>39.559729999999995</v>
      </c>
      <c r="F64" s="63">
        <f>monthly_data!$G61/1000</f>
        <v>0</v>
      </c>
      <c r="G64" s="63">
        <f>monthly_data!$G73/1000</f>
        <v>0</v>
      </c>
      <c r="H64" s="63">
        <f>monthly_data!$G85/1000</f>
        <v>170.029</v>
      </c>
      <c r="I64" s="63">
        <f>monthly_data!$G97/1000</f>
        <v>119.46850000000001</v>
      </c>
      <c r="J64" s="63">
        <f>monthly_data!$G109/1000</f>
        <v>21.518000000000001</v>
      </c>
      <c r="K64" s="63">
        <f>monthly_data!$G121/1000</f>
        <v>0</v>
      </c>
      <c r="L64" s="55">
        <f t="shared" si="35"/>
        <v>35.067940521706198</v>
      </c>
      <c r="M64" s="55">
        <f t="shared" si="34"/>
        <v>47.011836665009426</v>
      </c>
      <c r="N64" s="55">
        <f t="shared" si="34"/>
        <v>29.692559280764943</v>
      </c>
      <c r="O64" s="55">
        <f t="shared" si="34"/>
        <v>16.866990435612387</v>
      </c>
      <c r="P64" s="55">
        <f t="shared" si="34"/>
        <v>8.863251143205833</v>
      </c>
      <c r="Q64" s="55">
        <f t="shared" si="34"/>
        <v>20.102266480057366</v>
      </c>
      <c r="R64" s="55">
        <f t="shared" si="34"/>
        <v>17.187177588791737</v>
      </c>
      <c r="S64" s="55">
        <f t="shared" si="34"/>
        <v>7.8777982045898396</v>
      </c>
      <c r="T64" s="55">
        <f t="shared" si="34"/>
        <v>21.924602963712221</v>
      </c>
      <c r="U64" s="55">
        <f t="shared" si="34"/>
        <v>22.525009398373268</v>
      </c>
      <c r="V64" s="55">
        <f t="shared" si="34"/>
        <v>22.148942920983561</v>
      </c>
    </row>
    <row r="65" spans="1:22" x14ac:dyDescent="0.25">
      <c r="A65" s="5" t="s">
        <v>95</v>
      </c>
      <c r="B65" s="63">
        <f>monthly_data!$G14/1000</f>
        <v>126.646</v>
      </c>
      <c r="C65" s="63">
        <f>monthly_data!$G26/1000</f>
        <v>185.8056</v>
      </c>
      <c r="D65" s="63">
        <f>monthly_data!$G38/1000</f>
        <v>185</v>
      </c>
      <c r="E65" s="63">
        <f>monthly_data!$G50/1000</f>
        <v>146</v>
      </c>
      <c r="F65" s="63">
        <f>monthly_data!$G62/1000</f>
        <v>60</v>
      </c>
      <c r="G65" s="63">
        <f>monthly_data!$G74/1000</f>
        <v>0</v>
      </c>
      <c r="H65" s="63">
        <f>monthly_data!$G86/1000</f>
        <v>25</v>
      </c>
      <c r="I65" s="63">
        <f>monthly_data!$G98/1000</f>
        <v>157.44401999999999</v>
      </c>
      <c r="J65" s="63">
        <f>monthly_data!$G110/1000</f>
        <v>24</v>
      </c>
      <c r="K65" s="63">
        <f>monthly_data!$G122/1000</f>
        <v>30.6</v>
      </c>
      <c r="L65" s="55">
        <f t="shared" si="35"/>
        <v>26.727431894507298</v>
      </c>
      <c r="M65" s="55">
        <f t="shared" si="34"/>
        <v>35.830608926748759</v>
      </c>
      <c r="N65" s="55">
        <f t="shared" si="34"/>
        <v>36.552535293044031</v>
      </c>
      <c r="O65" s="55">
        <f t="shared" si="34"/>
        <v>19.451033629920396</v>
      </c>
      <c r="P65" s="55">
        <f t="shared" si="34"/>
        <v>10.277236673383882</v>
      </c>
      <c r="Q65" s="55">
        <f t="shared" si="34"/>
        <v>18.835667377798536</v>
      </c>
      <c r="R65" s="55">
        <f t="shared" si="34"/>
        <v>16.964187175791135</v>
      </c>
      <c r="S65" s="55">
        <f t="shared" si="34"/>
        <v>8.6738363618882666</v>
      </c>
      <c r="T65" s="55">
        <f t="shared" si="34"/>
        <v>22.946491898651178</v>
      </c>
      <c r="U65" s="55">
        <f t="shared" si="34"/>
        <v>23.041707371701641</v>
      </c>
      <c r="V65" s="55">
        <f t="shared" si="34"/>
        <v>22.357794751881425</v>
      </c>
    </row>
    <row r="66" spans="1:22" x14ac:dyDescent="0.25">
      <c r="A66" s="5" t="s">
        <v>96</v>
      </c>
      <c r="B66" s="63">
        <f>monthly_data!$G15/1000</f>
        <v>61.325000000000003</v>
      </c>
      <c r="C66" s="63">
        <f>monthly_data!$G27/1000</f>
        <v>90.706000000000003</v>
      </c>
      <c r="D66" s="63">
        <f>monthly_data!$G39/1000</f>
        <v>170.79076999999998</v>
      </c>
      <c r="E66" s="63">
        <f>monthly_data!$G51/1000</f>
        <v>76.313670000000002</v>
      </c>
      <c r="F66" s="63">
        <f>monthly_data!$G63/1000</f>
        <v>148.66998999999998</v>
      </c>
      <c r="G66" s="63">
        <f>monthly_data!$G75/1000</f>
        <v>0</v>
      </c>
      <c r="H66" s="63">
        <f>monthly_data!$G87/1000</f>
        <v>45</v>
      </c>
      <c r="I66" s="63">
        <f>monthly_data!$G99/1000</f>
        <v>59.308500000000002</v>
      </c>
      <c r="J66" s="63">
        <f>monthly_data!$G111/1000</f>
        <v>0</v>
      </c>
      <c r="K66" s="63">
        <f>monthly_data!$G123/1000</f>
        <v>30</v>
      </c>
      <c r="L66" s="55">
        <f t="shared" ref="L66:V66" si="36">L67-SUM(L55:L65)</f>
        <v>44.423755245663642</v>
      </c>
      <c r="M66" s="55">
        <f t="shared" si="36"/>
        <v>24.278918337472192</v>
      </c>
      <c r="N66" s="55">
        <f t="shared" si="36"/>
        <v>21.03301403426974</v>
      </c>
      <c r="O66" s="55">
        <f t="shared" si="36"/>
        <v>15.151741314247289</v>
      </c>
      <c r="P66" s="55">
        <f t="shared" si="36"/>
        <v>9.2937454467808323</v>
      </c>
      <c r="Q66" s="55">
        <f t="shared" si="36"/>
        <v>16.692780797086755</v>
      </c>
      <c r="R66" s="55">
        <f t="shared" si="36"/>
        <v>12.125611878725266</v>
      </c>
      <c r="S66" s="55">
        <f t="shared" si="36"/>
        <v>6.3130380937827795</v>
      </c>
      <c r="T66" s="55">
        <f t="shared" si="36"/>
        <v>18.423788711355598</v>
      </c>
      <c r="U66" s="55">
        <f t="shared" si="36"/>
        <v>18.638295428998845</v>
      </c>
      <c r="V66" s="55">
        <f t="shared" si="36"/>
        <v>17.842737814319491</v>
      </c>
    </row>
    <row r="67" spans="1:22" x14ac:dyDescent="0.25">
      <c r="A67" s="56" t="s">
        <v>97</v>
      </c>
      <c r="B67" s="64">
        <f>SUM(B55:B66)</f>
        <v>788.226</v>
      </c>
      <c r="C67" s="64">
        <f t="shared" ref="C67:K67" si="37">SUM(C55:C66)</f>
        <v>1626.2636899999998</v>
      </c>
      <c r="D67" s="64">
        <f t="shared" si="37"/>
        <v>1650.11905</v>
      </c>
      <c r="E67" s="64">
        <f t="shared" si="37"/>
        <v>1401.3168599999999</v>
      </c>
      <c r="F67" s="64">
        <f t="shared" si="37"/>
        <v>1015.0068199999999</v>
      </c>
      <c r="G67" s="64">
        <f t="shared" si="37"/>
        <v>597.20488</v>
      </c>
      <c r="H67" s="64">
        <f t="shared" si="37"/>
        <v>1269.5695800000001</v>
      </c>
      <c r="I67" s="64">
        <f t="shared" si="37"/>
        <v>1236.40985</v>
      </c>
      <c r="J67" s="64">
        <f t="shared" si="37"/>
        <v>284.60000000000002</v>
      </c>
      <c r="K67" s="64">
        <f t="shared" si="37"/>
        <v>383.33798000000002</v>
      </c>
      <c r="L67" s="58">
        <f>L8</f>
        <v>425.20547099999999</v>
      </c>
      <c r="M67" s="58">
        <f t="shared" ref="M67:V67" si="38">M8</f>
        <v>488.90341809999995</v>
      </c>
      <c r="N67" s="58">
        <f t="shared" si="38"/>
        <v>375.16739091000022</v>
      </c>
      <c r="O67" s="58">
        <f t="shared" si="38"/>
        <v>247.67222500100002</v>
      </c>
      <c r="P67" s="58">
        <f t="shared" si="38"/>
        <v>132.3077615011</v>
      </c>
      <c r="Q67" s="58">
        <f t="shared" si="38"/>
        <v>244.03785565120995</v>
      </c>
      <c r="R67" s="58">
        <f t="shared" si="38"/>
        <v>208.72115321633089</v>
      </c>
      <c r="S67" s="58">
        <f t="shared" si="38"/>
        <v>102.63631053796405</v>
      </c>
      <c r="T67" s="58">
        <f t="shared" si="38"/>
        <v>289.25895659176052</v>
      </c>
      <c r="U67" s="58">
        <f t="shared" si="38"/>
        <v>289.72485225093658</v>
      </c>
      <c r="V67" s="58">
        <f t="shared" si="38"/>
        <v>280.36353947603027</v>
      </c>
    </row>
    <row r="68" spans="1:22" x14ac:dyDescent="0.25">
      <c r="A68" s="65"/>
      <c r="B68" s="65"/>
      <c r="C68" s="65"/>
      <c r="D68" s="65"/>
      <c r="E68" s="65"/>
      <c r="F68" s="65"/>
      <c r="G68" s="65"/>
      <c r="H68" s="65"/>
      <c r="I68" s="65"/>
      <c r="J68" s="66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spans="1:22" ht="15.75" thickBot="1" x14ac:dyDescent="0.3">
      <c r="A69" s="4" t="s">
        <v>100</v>
      </c>
    </row>
    <row r="70" spans="1:22" ht="16.5" thickTop="1" thickBot="1" x14ac:dyDescent="0.3">
      <c r="A70" s="27" t="s">
        <v>73</v>
      </c>
      <c r="B70" s="53">
        <f t="shared" ref="B70:V70" si="39">B2</f>
        <v>2015</v>
      </c>
      <c r="C70" s="53">
        <f t="shared" si="39"/>
        <v>2016</v>
      </c>
      <c r="D70" s="53">
        <f t="shared" si="39"/>
        <v>2017</v>
      </c>
      <c r="E70" s="53">
        <f t="shared" si="39"/>
        <v>2018</v>
      </c>
      <c r="F70" s="53">
        <f t="shared" si="39"/>
        <v>2019</v>
      </c>
      <c r="G70" s="53">
        <f t="shared" si="39"/>
        <v>2020</v>
      </c>
      <c r="H70" s="53">
        <f t="shared" si="39"/>
        <v>2021</v>
      </c>
      <c r="I70" s="53">
        <f t="shared" si="39"/>
        <v>2022</v>
      </c>
      <c r="J70" s="53">
        <f t="shared" si="39"/>
        <v>2023</v>
      </c>
      <c r="K70" s="53">
        <f t="shared" si="39"/>
        <v>2024</v>
      </c>
      <c r="L70" s="53">
        <f t="shared" si="39"/>
        <v>2025</v>
      </c>
      <c r="M70" s="53">
        <f t="shared" si="39"/>
        <v>2026</v>
      </c>
      <c r="N70" s="53">
        <f t="shared" si="39"/>
        <v>2027</v>
      </c>
      <c r="O70" s="53">
        <f t="shared" si="39"/>
        <v>2028</v>
      </c>
      <c r="P70" s="53">
        <f t="shared" si="39"/>
        <v>2029</v>
      </c>
      <c r="Q70" s="53">
        <f t="shared" si="39"/>
        <v>2030</v>
      </c>
      <c r="R70" s="53">
        <f t="shared" si="39"/>
        <v>2031</v>
      </c>
      <c r="S70" s="53">
        <f t="shared" si="39"/>
        <v>2032</v>
      </c>
      <c r="T70" s="53">
        <f t="shared" si="39"/>
        <v>2033</v>
      </c>
      <c r="U70" s="53">
        <f t="shared" si="39"/>
        <v>2034</v>
      </c>
      <c r="V70" s="53">
        <f t="shared" si="39"/>
        <v>2035</v>
      </c>
    </row>
    <row r="71" spans="1:22" ht="15.75" thickTop="1" x14ac:dyDescent="0.25">
      <c r="A71" s="5" t="s">
        <v>85</v>
      </c>
      <c r="B71" s="67">
        <f>(monthly_data!$F4)/1000</f>
        <v>87.284000000000006</v>
      </c>
      <c r="C71" s="67">
        <f>(monthly_data!$F16)/1000</f>
        <v>38.920999999999999</v>
      </c>
      <c r="D71" s="67">
        <f>(monthly_data!$F28)/1000</f>
        <v>100.13866</v>
      </c>
      <c r="E71" s="67">
        <f>(monthly_data!$F40)/1000</f>
        <v>82.541299999999993</v>
      </c>
      <c r="F71" s="67">
        <f>(monthly_data!$F52)/1000</f>
        <v>85.146570000000011</v>
      </c>
      <c r="G71" s="67">
        <f>(monthly_data!$F64)/1000</f>
        <v>51.696486999999983</v>
      </c>
      <c r="H71" s="67">
        <f>(monthly_data!$F76)/1000</f>
        <v>22.65109</v>
      </c>
      <c r="I71" s="67">
        <f>(monthly_data!$F88)/1000</f>
        <v>44.855345999999997</v>
      </c>
      <c r="J71" s="67">
        <f>(monthly_data!$F100)/1000</f>
        <v>55.156439000000006</v>
      </c>
      <c r="K71" s="67">
        <f>(monthly_data!$F112)/1000</f>
        <v>69.895375000000016</v>
      </c>
      <c r="L71" s="67">
        <f>(monthly_data!$F124)/1000</f>
        <v>65.856999999999999</v>
      </c>
      <c r="M71" s="55">
        <f t="shared" ref="M71" si="40">M$83*(SUM(H71:L71)/SUM(H$83:L$83))</f>
        <v>63.789347427784087</v>
      </c>
      <c r="N71" s="55">
        <f t="shared" ref="N71" si="41">N$83*(SUM(I71:M71)/SUM(I$83:M$83))</f>
        <v>64.602323660662535</v>
      </c>
      <c r="O71" s="55">
        <f t="shared" ref="O71:V71" si="42">O$83*(SUM(J71:N71)/SUM(J$83:N$83))</f>
        <v>64.134368580683955</v>
      </c>
      <c r="P71" s="55">
        <f t="shared" si="42"/>
        <v>60.265156692598957</v>
      </c>
      <c r="Q71" s="55">
        <f t="shared" si="42"/>
        <v>55.872132357421378</v>
      </c>
      <c r="R71" s="55">
        <f t="shared" si="42"/>
        <v>57.787957183570953</v>
      </c>
      <c r="S71" s="55">
        <f t="shared" si="42"/>
        <v>60.587769709914873</v>
      </c>
      <c r="T71" s="55">
        <f t="shared" si="42"/>
        <v>61.046968499055971</v>
      </c>
      <c r="U71" s="55">
        <f t="shared" si="42"/>
        <v>62.074830382283089</v>
      </c>
      <c r="V71" s="55">
        <f t="shared" si="42"/>
        <v>61.911034237582726</v>
      </c>
    </row>
    <row r="72" spans="1:22" x14ac:dyDescent="0.25">
      <c r="A72" s="5" t="s">
        <v>86</v>
      </c>
      <c r="B72" s="67">
        <f>(monthly_data!$F5)/1000</f>
        <v>84.191999999999993</v>
      </c>
      <c r="C72" s="67">
        <f>(monthly_data!$F17)/1000</f>
        <v>74.373999999999995</v>
      </c>
      <c r="D72" s="67">
        <f>(monthly_data!$F29)/1000</f>
        <v>89.05364999999999</v>
      </c>
      <c r="E72" s="67">
        <f>(monthly_data!$F41)/1000</f>
        <v>83.868479999999991</v>
      </c>
      <c r="F72" s="67">
        <f>(monthly_data!$F53)/1000</f>
        <v>78.136060000000001</v>
      </c>
      <c r="G72" s="67">
        <f>(monthly_data!$F65)/1000</f>
        <v>67.289854000000005</v>
      </c>
      <c r="H72" s="67">
        <f>(monthly_data!$F77)/1000</f>
        <v>43.887739649000004</v>
      </c>
      <c r="I72" s="67">
        <f>(monthly_data!$F89)/1000</f>
        <v>35.840686999999988</v>
      </c>
      <c r="J72" s="67">
        <f>(monthly_data!$F101)/1000</f>
        <v>46.069049000000021</v>
      </c>
      <c r="K72" s="67">
        <f>(monthly_data!$F113)/1000</f>
        <v>56.053439999999988</v>
      </c>
      <c r="L72" s="55">
        <f>L$83*(SUM(G72:K72)/SUM(G$83:K$83))</f>
        <v>69.985694333678182</v>
      </c>
      <c r="M72" s="55">
        <f t="shared" ref="M72:V81" si="43">M$83*(SUM(H72:L72)/SUM(H$83:L$83))</f>
        <v>62.165421774529236</v>
      </c>
      <c r="N72" s="55">
        <f t="shared" si="43"/>
        <v>58.253402118324324</v>
      </c>
      <c r="O72" s="55">
        <f t="shared" si="43"/>
        <v>58.756675224198176</v>
      </c>
      <c r="P72" s="55">
        <f t="shared" si="43"/>
        <v>56.031121413576265</v>
      </c>
      <c r="Q72" s="55">
        <f t="shared" si="43"/>
        <v>53.51276299461361</v>
      </c>
      <c r="R72" s="55">
        <f t="shared" si="43"/>
        <v>54.054051197007254</v>
      </c>
      <c r="S72" s="55">
        <f t="shared" si="43"/>
        <v>56.172949109162836</v>
      </c>
      <c r="T72" s="55">
        <f t="shared" si="43"/>
        <v>56.934244392523176</v>
      </c>
      <c r="U72" s="55">
        <f t="shared" si="43"/>
        <v>58.114849300770302</v>
      </c>
      <c r="V72" s="55">
        <f t="shared" si="43"/>
        <v>58.042594455756316</v>
      </c>
    </row>
    <row r="73" spans="1:22" x14ac:dyDescent="0.25">
      <c r="A73" s="5" t="s">
        <v>87</v>
      </c>
      <c r="B73" s="67">
        <f>(monthly_data!$F6)/1000</f>
        <v>84.492000000000004</v>
      </c>
      <c r="C73" s="67">
        <f>(monthly_data!$F18)/1000</f>
        <v>87.988</v>
      </c>
      <c r="D73" s="67">
        <f>(monthly_data!$F30)/1000</f>
        <v>84.047729999999987</v>
      </c>
      <c r="E73" s="67">
        <f>(monthly_data!$F42)/1000</f>
        <v>94.027090000000001</v>
      </c>
      <c r="F73" s="67">
        <f>(monthly_data!$F54)/1000</f>
        <v>93.994719999999987</v>
      </c>
      <c r="G73" s="67">
        <f>(monthly_data!$F66)/1000</f>
        <v>86.985658000000029</v>
      </c>
      <c r="H73" s="67">
        <f>(monthly_data!$F78)/1000</f>
        <v>51.003949999999996</v>
      </c>
      <c r="I73" s="67">
        <f>(monthly_data!$F90)/1000</f>
        <v>17.783176999999998</v>
      </c>
      <c r="J73" s="67">
        <f>(monthly_data!$F102)/1000</f>
        <v>52.972664999999985</v>
      </c>
      <c r="K73" s="67">
        <f>(monthly_data!$F114)/1000</f>
        <v>58.337971000000003</v>
      </c>
      <c r="L73" s="55">
        <f t="shared" ref="L73:L81" si="44">L$83*(SUM(G73:K73)/SUM(G$83:K$83))</f>
        <v>75.025932889398959</v>
      </c>
      <c r="M73" s="55">
        <f t="shared" si="43"/>
        <v>62.976833117043988</v>
      </c>
      <c r="N73" s="55">
        <f t="shared" si="43"/>
        <v>57.602595922832812</v>
      </c>
      <c r="O73" s="55">
        <f t="shared" si="43"/>
        <v>61.646833167360057</v>
      </c>
      <c r="P73" s="55">
        <f t="shared" si="43"/>
        <v>57.935855543917775</v>
      </c>
      <c r="Q73" s="55">
        <f t="shared" si="43"/>
        <v>55.265426523473884</v>
      </c>
      <c r="R73" s="55">
        <f t="shared" si="43"/>
        <v>55.309953243339436</v>
      </c>
      <c r="S73" s="55">
        <f t="shared" si="43"/>
        <v>57.604788214025739</v>
      </c>
      <c r="T73" s="55">
        <f t="shared" si="43"/>
        <v>58.822045522582187</v>
      </c>
      <c r="U73" s="55">
        <f t="shared" si="43"/>
        <v>59.84396818442162</v>
      </c>
      <c r="V73" s="55">
        <f t="shared" si="43"/>
        <v>59.720093458553734</v>
      </c>
    </row>
    <row r="74" spans="1:22" x14ac:dyDescent="0.25">
      <c r="A74" s="5" t="s">
        <v>88</v>
      </c>
      <c r="B74" s="67">
        <f>(monthly_data!$F7)/1000</f>
        <v>90.888000000000005</v>
      </c>
      <c r="C74" s="67">
        <f>(monthly_data!$F19)/1000</f>
        <v>92.936000000000007</v>
      </c>
      <c r="D74" s="67">
        <f>(monthly_data!$F31)/1000</f>
        <v>91.833190000000016</v>
      </c>
      <c r="E74" s="67">
        <f>(monthly_data!$F43)/1000</f>
        <v>105.13525</v>
      </c>
      <c r="F74" s="67">
        <f>(monthly_data!$F55)/1000</f>
        <v>98.45513000000004</v>
      </c>
      <c r="G74" s="67">
        <f>(monthly_data!$F67)/1000</f>
        <v>34.819067000000004</v>
      </c>
      <c r="H74" s="67">
        <f>(monthly_data!$F79)/1000</f>
        <v>36.334702</v>
      </c>
      <c r="I74" s="67">
        <f>(monthly_data!$F91)/1000</f>
        <v>51.183381000000004</v>
      </c>
      <c r="J74" s="67">
        <f>(monthly_data!$F103)/1000</f>
        <v>57.534131000000002</v>
      </c>
      <c r="K74" s="67">
        <f>(monthly_data!$F115)/1000</f>
        <v>62.181533000000002</v>
      </c>
      <c r="L74" s="55">
        <f t="shared" si="44"/>
        <v>67.994629209329219</v>
      </c>
      <c r="M74" s="55">
        <f t="shared" si="43"/>
        <v>67.939637896764083</v>
      </c>
      <c r="N74" s="55">
        <f t="shared" si="43"/>
        <v>66.172301265174184</v>
      </c>
      <c r="O74" s="55">
        <f t="shared" si="43"/>
        <v>64.640884158507063</v>
      </c>
      <c r="P74" s="55">
        <f t="shared" si="43"/>
        <v>60.384588105401001</v>
      </c>
      <c r="Q74" s="55">
        <f t="shared" si="43"/>
        <v>57.359699133439243</v>
      </c>
      <c r="R74" s="55">
        <f t="shared" si="43"/>
        <v>59.25459804253429</v>
      </c>
      <c r="S74" s="55">
        <f t="shared" si="43"/>
        <v>61.618738543017237</v>
      </c>
      <c r="T74" s="55">
        <f t="shared" si="43"/>
        <v>61.989535295606132</v>
      </c>
      <c r="U74" s="55">
        <f t="shared" si="43"/>
        <v>63.134860591049275</v>
      </c>
      <c r="V74" s="55">
        <f t="shared" si="43"/>
        <v>63.157661922622786</v>
      </c>
    </row>
    <row r="75" spans="1:22" x14ac:dyDescent="0.25">
      <c r="A75" s="5" t="s">
        <v>89</v>
      </c>
      <c r="B75" s="67">
        <f>(monthly_data!$F8)/1000</f>
        <v>88.887</v>
      </c>
      <c r="C75" s="67">
        <f>(monthly_data!$F20)/1000</f>
        <v>89.966999999999999</v>
      </c>
      <c r="D75" s="67">
        <f>(monthly_data!$F32)/1000</f>
        <v>94.494429999999994</v>
      </c>
      <c r="E75" s="67">
        <f>(monthly_data!$F44)/1000</f>
        <v>89.561979999999963</v>
      </c>
      <c r="F75" s="67">
        <f>(monthly_data!$F56)/1000</f>
        <v>95.611860000000007</v>
      </c>
      <c r="G75" s="67">
        <f>(monthly_data!$F68)/1000</f>
        <v>76.898658999999995</v>
      </c>
      <c r="H75" s="67">
        <f>(monthly_data!$F80)/1000</f>
        <v>15.103879999999998</v>
      </c>
      <c r="I75" s="67">
        <f>(monthly_data!$F92)/1000</f>
        <v>53.241486000000009</v>
      </c>
      <c r="J75" s="67">
        <f>(monthly_data!$F104)/1000</f>
        <v>61.270021999999997</v>
      </c>
      <c r="K75" s="67">
        <f>(monthly_data!$F116)/1000</f>
        <v>66.667184000000006</v>
      </c>
      <c r="L75" s="55">
        <f t="shared" si="44"/>
        <v>76.738857945246252</v>
      </c>
      <c r="M75" s="55">
        <f t="shared" si="43"/>
        <v>67.394857114693224</v>
      </c>
      <c r="N75" s="55">
        <f t="shared" si="43"/>
        <v>70.157540775188195</v>
      </c>
      <c r="O75" s="55">
        <f t="shared" si="43"/>
        <v>68.73965851963807</v>
      </c>
      <c r="P75" s="55">
        <f t="shared" si="43"/>
        <v>64.197369521522717</v>
      </c>
      <c r="Q75" s="55">
        <f t="shared" si="43"/>
        <v>60.883396976623544</v>
      </c>
      <c r="R75" s="55">
        <f t="shared" si="43"/>
        <v>62.039629331578304</v>
      </c>
      <c r="S75" s="55">
        <f t="shared" si="43"/>
        <v>65.263174729921303</v>
      </c>
      <c r="T75" s="55">
        <f t="shared" si="43"/>
        <v>65.641290249874288</v>
      </c>
      <c r="U75" s="55">
        <f t="shared" si="43"/>
        <v>66.793004233415104</v>
      </c>
      <c r="V75" s="55">
        <f t="shared" si="43"/>
        <v>66.751754702119754</v>
      </c>
    </row>
    <row r="76" spans="1:22" x14ac:dyDescent="0.25">
      <c r="A76" s="5" t="s">
        <v>90</v>
      </c>
      <c r="B76" s="67">
        <f>(monthly_data!$F9)/1000</f>
        <v>90.14</v>
      </c>
      <c r="C76" s="67">
        <f>(monthly_data!$F21)/1000</f>
        <v>91.313999999999993</v>
      </c>
      <c r="D76" s="67">
        <f>(monthly_data!$F33)/1000</f>
        <v>104.72424000000001</v>
      </c>
      <c r="E76" s="67">
        <f>(monthly_data!$F45)/1000</f>
        <v>87.048240000000035</v>
      </c>
      <c r="F76" s="67">
        <f>(monthly_data!$F57)/1000</f>
        <v>99.90903999999999</v>
      </c>
      <c r="G76" s="67">
        <f>(monthly_data!$F69)/1000</f>
        <v>86.250739999999979</v>
      </c>
      <c r="H76" s="67">
        <f>(monthly_data!$F81)/1000</f>
        <v>7.4243899999999998</v>
      </c>
      <c r="I76" s="67">
        <f>(monthly_data!$F93)/1000</f>
        <v>60.720961999999993</v>
      </c>
      <c r="J76" s="67">
        <f>(monthly_data!$F105)/1000</f>
        <v>63.57410999999999</v>
      </c>
      <c r="K76" s="67">
        <f>(monthly_data!$F117)/1000</f>
        <v>67.950702999999976</v>
      </c>
      <c r="L76" s="55">
        <f t="shared" si="44"/>
        <v>80.317537306840975</v>
      </c>
      <c r="M76" s="55">
        <f t="shared" si="43"/>
        <v>69.114469126562994</v>
      </c>
      <c r="N76" s="55">
        <f t="shared" si="43"/>
        <v>73.686930970552027</v>
      </c>
      <c r="O76" s="55">
        <f t="shared" si="43"/>
        <v>71.233380672575706</v>
      </c>
      <c r="P76" s="55">
        <f t="shared" si="43"/>
        <v>66.51137375994017</v>
      </c>
      <c r="Q76" s="55">
        <f t="shared" si="43"/>
        <v>63.274244710887707</v>
      </c>
      <c r="R76" s="55">
        <f t="shared" si="43"/>
        <v>64.370064926720332</v>
      </c>
      <c r="S76" s="55">
        <f t="shared" si="43"/>
        <v>67.877244179435763</v>
      </c>
      <c r="T76" s="55">
        <f t="shared" si="43"/>
        <v>68.123475629700792</v>
      </c>
      <c r="U76" s="55">
        <f t="shared" si="43"/>
        <v>69.340925048879257</v>
      </c>
      <c r="V76" s="55">
        <f t="shared" si="43"/>
        <v>69.32618801426139</v>
      </c>
    </row>
    <row r="77" spans="1:22" x14ac:dyDescent="0.25">
      <c r="A77" s="5" t="s">
        <v>91</v>
      </c>
      <c r="B77" s="67">
        <f>(monthly_data!$F10)/1000</f>
        <v>96.558999999999997</v>
      </c>
      <c r="C77" s="67">
        <f>(monthly_data!$F22)/1000</f>
        <v>84.570999999999998</v>
      </c>
      <c r="D77" s="67">
        <f>(monthly_data!$F34)/1000</f>
        <v>96.979280000000003</v>
      </c>
      <c r="E77" s="67">
        <f>(monthly_data!$F46)/1000</f>
        <v>93.542349999999985</v>
      </c>
      <c r="F77" s="67">
        <f>(monthly_data!$F58)/1000</f>
        <v>103.627</v>
      </c>
      <c r="G77" s="67">
        <f>(monthly_data!$F70)/1000</f>
        <v>72.816367</v>
      </c>
      <c r="H77" s="67">
        <f>(monthly_data!$F82)/1000</f>
        <v>43.437815000000008</v>
      </c>
      <c r="I77" s="67">
        <f>(monthly_data!$F94)/1000</f>
        <v>94.356460999999996</v>
      </c>
      <c r="J77" s="67">
        <f>(monthly_data!$F106)/1000</f>
        <v>68.515686999999971</v>
      </c>
      <c r="K77" s="67">
        <f>(monthly_data!$F118)/1000</f>
        <v>70.099261000000013</v>
      </c>
      <c r="L77" s="55">
        <f t="shared" si="44"/>
        <v>98.100345036492143</v>
      </c>
      <c r="M77" s="55">
        <f t="shared" si="43"/>
        <v>92.447024756853494</v>
      </c>
      <c r="N77" s="55">
        <f t="shared" si="43"/>
        <v>91.336928280074403</v>
      </c>
      <c r="O77" s="55">
        <f t="shared" si="43"/>
        <v>84.461048119304124</v>
      </c>
      <c r="P77" s="55">
        <f t="shared" si="43"/>
        <v>80.122242172453909</v>
      </c>
      <c r="Q77" s="55">
        <f t="shared" si="43"/>
        <v>78.284127998390645</v>
      </c>
      <c r="R77" s="55">
        <f t="shared" si="43"/>
        <v>79.877681877118974</v>
      </c>
      <c r="S77" s="55">
        <f t="shared" si="43"/>
        <v>82.892175696084252</v>
      </c>
      <c r="T77" s="55">
        <f t="shared" si="43"/>
        <v>82.916935774025333</v>
      </c>
      <c r="U77" s="55">
        <f t="shared" si="43"/>
        <v>84.869454271132199</v>
      </c>
      <c r="V77" s="55">
        <f t="shared" si="43"/>
        <v>85.11873958996263</v>
      </c>
    </row>
    <row r="78" spans="1:22" x14ac:dyDescent="0.25">
      <c r="A78" s="5" t="s">
        <v>92</v>
      </c>
      <c r="B78" s="67">
        <f>(monthly_data!$F11)/1000</f>
        <v>97.296000000000006</v>
      </c>
      <c r="C78" s="67">
        <f>(monthly_data!$F23)/1000</f>
        <v>90.271000000000001</v>
      </c>
      <c r="D78" s="67">
        <f>(monthly_data!$F35)/1000</f>
        <v>102.15798000000002</v>
      </c>
      <c r="E78" s="67">
        <f>(monthly_data!$F47)/1000</f>
        <v>92.918319999999994</v>
      </c>
      <c r="F78" s="67">
        <f>(monthly_data!$F59)/1000</f>
        <v>67.247079999999997</v>
      </c>
      <c r="G78" s="67">
        <f>(monthly_data!$F71)/1000</f>
        <v>13.035629999999998</v>
      </c>
      <c r="H78" s="67">
        <f>(monthly_data!$F83)/1000</f>
        <v>38.264446</v>
      </c>
      <c r="I78" s="67">
        <f>(monthly_data!$F95)/1000</f>
        <v>81.183410000000038</v>
      </c>
      <c r="J78" s="67">
        <f>(monthly_data!$F107)/1000</f>
        <v>49.105891000000014</v>
      </c>
      <c r="K78" s="67">
        <f>(monthly_data!$F119)/1000</f>
        <v>72.131219999999971</v>
      </c>
      <c r="L78" s="55">
        <f t="shared" si="44"/>
        <v>71.272205560000828</v>
      </c>
      <c r="M78" s="55">
        <f t="shared" si="43"/>
        <v>77.006076317164286</v>
      </c>
      <c r="N78" s="55">
        <f t="shared" si="43"/>
        <v>75.632422953149273</v>
      </c>
      <c r="O78" s="55">
        <f t="shared" si="43"/>
        <v>69.326036974694077</v>
      </c>
      <c r="P78" s="55">
        <f t="shared" si="43"/>
        <v>67.074033761333638</v>
      </c>
      <c r="Q78" s="55">
        <f t="shared" si="43"/>
        <v>63.177295751565211</v>
      </c>
      <c r="R78" s="55">
        <f t="shared" si="43"/>
        <v>65.941864406937654</v>
      </c>
      <c r="S78" s="55">
        <f t="shared" si="43"/>
        <v>68.292755751286492</v>
      </c>
      <c r="T78" s="55">
        <f t="shared" si="43"/>
        <v>68.235018585015851</v>
      </c>
      <c r="U78" s="55">
        <f t="shared" si="43"/>
        <v>69.879546475421293</v>
      </c>
      <c r="V78" s="55">
        <f t="shared" si="43"/>
        <v>69.855114275731751</v>
      </c>
    </row>
    <row r="79" spans="1:22" x14ac:dyDescent="0.25">
      <c r="A79" s="5" t="s">
        <v>93</v>
      </c>
      <c r="B79" s="67">
        <f>(monthly_data!$F12)/1000</f>
        <v>91.027000000000001</v>
      </c>
      <c r="C79" s="67">
        <f>(monthly_data!$F24)/1000</f>
        <v>98.683000000000007</v>
      </c>
      <c r="D79" s="67">
        <f>(monthly_data!$F36)/1000</f>
        <v>94.095010000000016</v>
      </c>
      <c r="E79" s="67">
        <f>(monthly_data!$F48)/1000</f>
        <v>101.86024</v>
      </c>
      <c r="F79" s="67">
        <f>(monthly_data!$F60)/1000</f>
        <v>98.109210000000004</v>
      </c>
      <c r="G79" s="67">
        <f>(monthly_data!$F72)/1000</f>
        <v>5.2954999999999988</v>
      </c>
      <c r="H79" s="67">
        <f>(monthly_data!$F84)/1000</f>
        <v>50.215000000000003</v>
      </c>
      <c r="I79" s="67">
        <f>(monthly_data!$F96)/1000</f>
        <v>75.892921000000001</v>
      </c>
      <c r="J79" s="67">
        <f>(monthly_data!$F108)/1000</f>
        <v>52.144536999999985</v>
      </c>
      <c r="K79" s="67">
        <f>(monthly_data!$F120)/1000</f>
        <v>71.683673999999996</v>
      </c>
      <c r="L79" s="55">
        <f t="shared" si="44"/>
        <v>71.696667737694483</v>
      </c>
      <c r="M79" s="55">
        <f t="shared" si="43"/>
        <v>79.394487773607381</v>
      </c>
      <c r="N79" s="55">
        <f t="shared" si="43"/>
        <v>75.656897282052867</v>
      </c>
      <c r="O79" s="55">
        <f t="shared" si="43"/>
        <v>70.416389475681527</v>
      </c>
      <c r="P79" s="55">
        <f t="shared" si="43"/>
        <v>67.712918454073701</v>
      </c>
      <c r="Q79" s="55">
        <f t="shared" si="43"/>
        <v>63.978005917866376</v>
      </c>
      <c r="R79" s="55">
        <f t="shared" si="43"/>
        <v>66.867261769027223</v>
      </c>
      <c r="S79" s="55">
        <f t="shared" si="43"/>
        <v>68.989356309512758</v>
      </c>
      <c r="T79" s="55">
        <f t="shared" si="43"/>
        <v>69.08372406804834</v>
      </c>
      <c r="U79" s="55">
        <f t="shared" si="43"/>
        <v>70.700804812674775</v>
      </c>
      <c r="V79" s="55">
        <f t="shared" si="43"/>
        <v>70.707190281545294</v>
      </c>
    </row>
    <row r="80" spans="1:22" x14ac:dyDescent="0.25">
      <c r="A80" s="5" t="s">
        <v>94</v>
      </c>
      <c r="B80" s="67">
        <f>(monthly_data!$F13)/1000</f>
        <v>104.70699999999999</v>
      </c>
      <c r="C80" s="67">
        <f>(monthly_data!$F25)/1000</f>
        <v>98.070369999999997</v>
      </c>
      <c r="D80" s="67">
        <f>(monthly_data!$F37)/1000</f>
        <v>107.88913000000002</v>
      </c>
      <c r="E80" s="67">
        <f>(monthly_data!$F49)/1000</f>
        <v>84.880130000000008</v>
      </c>
      <c r="F80" s="67">
        <f>(monthly_data!$F61)/1000</f>
        <v>101.02222999999999</v>
      </c>
      <c r="G80" s="67">
        <f>(monthly_data!$F73)/1000</f>
        <v>1.5620600000000002</v>
      </c>
      <c r="H80" s="67">
        <f>(monthly_data!$F85)/1000</f>
        <v>39.683999999999997</v>
      </c>
      <c r="I80" s="67">
        <f>(monthly_data!$F97)/1000</f>
        <v>82.430455999999992</v>
      </c>
      <c r="J80" s="67">
        <f>(monthly_data!$F109)/1000</f>
        <v>35.153261000000001</v>
      </c>
      <c r="K80" s="67">
        <f>(monthly_data!$F121)/1000</f>
        <v>68.411388000000002</v>
      </c>
      <c r="L80" s="55">
        <f t="shared" si="44"/>
        <v>63.833915003652869</v>
      </c>
      <c r="M80" s="55">
        <f t="shared" si="43"/>
        <v>71.465776953488685</v>
      </c>
      <c r="N80" s="55">
        <f t="shared" si="43"/>
        <v>69.291094742117252</v>
      </c>
      <c r="O80" s="55">
        <f t="shared" si="43"/>
        <v>61.89578536907969</v>
      </c>
      <c r="P80" s="55">
        <f t="shared" si="43"/>
        <v>61.480368911529396</v>
      </c>
      <c r="Q80" s="55">
        <f t="shared" si="43"/>
        <v>57.506091496856087</v>
      </c>
      <c r="R80" s="55">
        <f t="shared" si="43"/>
        <v>60.217284723211648</v>
      </c>
      <c r="S80" s="55">
        <f t="shared" si="43"/>
        <v>62.134921282426603</v>
      </c>
      <c r="T80" s="55">
        <f t="shared" si="43"/>
        <v>61.984617931024296</v>
      </c>
      <c r="U80" s="55">
        <f t="shared" si="43"/>
        <v>63.70531336380882</v>
      </c>
      <c r="V80" s="55">
        <f t="shared" si="43"/>
        <v>63.613776109906333</v>
      </c>
    </row>
    <row r="81" spans="1:22" x14ac:dyDescent="0.25">
      <c r="A81" s="5" t="s">
        <v>95</v>
      </c>
      <c r="B81" s="67">
        <f>(monthly_data!$F14)/1000</f>
        <v>87.102999999999994</v>
      </c>
      <c r="C81" s="67">
        <f>(monthly_data!$F26)/1000</f>
        <v>87.952919999999992</v>
      </c>
      <c r="D81" s="67">
        <f>(monthly_data!$F38)/1000</f>
        <v>102.16783</v>
      </c>
      <c r="E81" s="67">
        <f>(monthly_data!$F50)/1000</f>
        <v>94.256679999999989</v>
      </c>
      <c r="F81" s="67">
        <f>(monthly_data!$F62)/1000</f>
        <v>108.09735999999998</v>
      </c>
      <c r="G81" s="67">
        <f>(monthly_data!$F74)/1000</f>
        <v>0.36717999999999995</v>
      </c>
      <c r="H81" s="67">
        <f>(monthly_data!$F86)/1000</f>
        <v>45.878</v>
      </c>
      <c r="I81" s="67">
        <f>(monthly_data!$F98)/1000</f>
        <v>58.83174600000001</v>
      </c>
      <c r="J81" s="67">
        <f>(monthly_data!$F110)/1000</f>
        <v>32.281723</v>
      </c>
      <c r="K81" s="67">
        <f>(monthly_data!$F122)/1000</f>
        <v>41.951000000000001</v>
      </c>
      <c r="L81" s="55">
        <f t="shared" si="44"/>
        <v>50.369557353751603</v>
      </c>
      <c r="M81" s="55">
        <f t="shared" si="43"/>
        <v>56.605268142838476</v>
      </c>
      <c r="N81" s="55">
        <f t="shared" si="43"/>
        <v>51.76736646318264</v>
      </c>
      <c r="O81" s="55">
        <f t="shared" si="43"/>
        <v>46.795102932413947</v>
      </c>
      <c r="P81" s="55">
        <f t="shared" si="43"/>
        <v>45.433754413290956</v>
      </c>
      <c r="Q81" s="55">
        <f t="shared" si="43"/>
        <v>44.005545440961683</v>
      </c>
      <c r="R81" s="55">
        <f t="shared" si="43"/>
        <v>45.795336499174333</v>
      </c>
      <c r="S81" s="55">
        <f t="shared" si="43"/>
        <v>46.802202065257127</v>
      </c>
      <c r="T81" s="55">
        <f t="shared" si="43"/>
        <v>46.775887013022846</v>
      </c>
      <c r="U81" s="55">
        <f t="shared" si="43"/>
        <v>48.056272391776936</v>
      </c>
      <c r="V81" s="55">
        <f t="shared" si="43"/>
        <v>48.183783673651135</v>
      </c>
    </row>
    <row r="82" spans="1:22" x14ac:dyDescent="0.25">
      <c r="A82" s="5" t="s">
        <v>96</v>
      </c>
      <c r="B82" s="67">
        <f>(monthly_data!$F15)/1000</f>
        <v>11.786</v>
      </c>
      <c r="C82" s="67">
        <f>(monthly_data!$F27)/1000</f>
        <v>101.34908</v>
      </c>
      <c r="D82" s="67">
        <f>(monthly_data!$F39)/1000</f>
        <v>105.95193999999998</v>
      </c>
      <c r="E82" s="67">
        <f>(monthly_data!$F51)/1000</f>
        <v>90.251440000000017</v>
      </c>
      <c r="F82" s="67">
        <f>(monthly_data!$F63)/1000</f>
        <v>107.37241</v>
      </c>
      <c r="G82" s="67">
        <f>(monthly_data!$F75)/1000</f>
        <v>1.8420699999999999</v>
      </c>
      <c r="H82" s="67">
        <f>(monthly_data!$F87)/1000</f>
        <v>45.53</v>
      </c>
      <c r="I82" s="67">
        <f>(monthly_data!$F99)/1000</f>
        <v>57.994155999999997</v>
      </c>
      <c r="J82" s="67">
        <f>(monthly_data!$F111)/1000</f>
        <v>15.026870000000002</v>
      </c>
      <c r="K82" s="67">
        <f>(monthly_data!$F123)/1000</f>
        <v>71.852999999999994</v>
      </c>
      <c r="L82" s="55">
        <f t="shared" ref="L82:V82" si="45">L83-SUM(L71:L81)</f>
        <v>56.759679388814334</v>
      </c>
      <c r="M82" s="55">
        <f t="shared" si="45"/>
        <v>61.011923540060366</v>
      </c>
      <c r="N82" s="55">
        <f t="shared" si="45"/>
        <v>56.642694902218523</v>
      </c>
      <c r="O82" s="55">
        <f t="shared" si="45"/>
        <v>52.483279074945699</v>
      </c>
      <c r="P82" s="55">
        <f t="shared" si="45"/>
        <v>54.844453746351633</v>
      </c>
      <c r="Q82" s="55">
        <f t="shared" si="45"/>
        <v>49.400963843489649</v>
      </c>
      <c r="R82" s="55">
        <f t="shared" si="45"/>
        <v>51.37005205992773</v>
      </c>
      <c r="S82" s="55">
        <f t="shared" si="45"/>
        <v>52.996731931217937</v>
      </c>
      <c r="T82" s="55">
        <f t="shared" si="45"/>
        <v>53.370926412909967</v>
      </c>
      <c r="U82" s="55">
        <f t="shared" si="45"/>
        <v>55.022868755095487</v>
      </c>
      <c r="V82" s="55">
        <f t="shared" si="45"/>
        <v>54.580861970106866</v>
      </c>
    </row>
    <row r="83" spans="1:22" x14ac:dyDescent="0.25">
      <c r="A83" s="56" t="s">
        <v>97</v>
      </c>
      <c r="B83" s="57">
        <f>SUM(B71:B82)</f>
        <v>1014.361</v>
      </c>
      <c r="C83" s="57">
        <f t="shared" ref="C83:K83" si="46">SUM(C71:C82)</f>
        <v>1036.3973699999999</v>
      </c>
      <c r="D83" s="57">
        <f t="shared" si="46"/>
        <v>1173.53307</v>
      </c>
      <c r="E83" s="57">
        <f t="shared" si="46"/>
        <v>1099.8915</v>
      </c>
      <c r="F83" s="57">
        <f t="shared" si="46"/>
        <v>1136.72867</v>
      </c>
      <c r="G83" s="57">
        <f t="shared" si="46"/>
        <v>498.85927199999998</v>
      </c>
      <c r="H83" s="57">
        <f t="shared" si="46"/>
        <v>439.415012649</v>
      </c>
      <c r="I83" s="57">
        <f t="shared" si="46"/>
        <v>714.31418900000017</v>
      </c>
      <c r="J83" s="57">
        <f t="shared" si="46"/>
        <v>588.80438500000002</v>
      </c>
      <c r="K83" s="57">
        <f t="shared" si="46"/>
        <v>777.21574899999996</v>
      </c>
      <c r="L83" s="58">
        <f>L7</f>
        <v>847.9520217649</v>
      </c>
      <c r="M83" s="58">
        <f t="shared" ref="M83:V83" si="47">M7</f>
        <v>831.31112394139018</v>
      </c>
      <c r="N83" s="58">
        <f t="shared" si="47"/>
        <v>810.80249933552909</v>
      </c>
      <c r="O83" s="58">
        <f t="shared" si="47"/>
        <v>774.52944226908198</v>
      </c>
      <c r="P83" s="58">
        <f t="shared" si="47"/>
        <v>741.99323649599012</v>
      </c>
      <c r="Q83" s="58">
        <f t="shared" si="47"/>
        <v>702.51969314558914</v>
      </c>
      <c r="R83" s="58">
        <f t="shared" si="47"/>
        <v>722.88573526014818</v>
      </c>
      <c r="S83" s="58">
        <f t="shared" si="47"/>
        <v>751.23280752126288</v>
      </c>
      <c r="T83" s="58">
        <f t="shared" si="47"/>
        <v>754.92466937338918</v>
      </c>
      <c r="U83" s="58">
        <f t="shared" si="47"/>
        <v>771.53669781072813</v>
      </c>
      <c r="V83" s="58">
        <f t="shared" si="47"/>
        <v>770.96879269180079</v>
      </c>
    </row>
    <row r="84" spans="1:22" x14ac:dyDescent="0.25">
      <c r="J84" s="59"/>
    </row>
    <row r="85" spans="1:22" ht="15.75" thickBot="1" x14ac:dyDescent="0.3">
      <c r="A85" s="4" t="s">
        <v>101</v>
      </c>
      <c r="B85" s="52"/>
      <c r="C85" s="52"/>
      <c r="D85" s="52"/>
      <c r="E85" s="52"/>
      <c r="F85" s="52"/>
      <c r="G85" s="52"/>
      <c r="H85" s="52"/>
      <c r="I85" s="52"/>
      <c r="J85" s="68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</row>
    <row r="86" spans="1:22" ht="16.5" thickTop="1" thickBot="1" x14ac:dyDescent="0.3">
      <c r="A86" s="27" t="s">
        <v>73</v>
      </c>
      <c r="B86" s="62">
        <f t="shared" ref="B86:V86" si="48">B2</f>
        <v>2015</v>
      </c>
      <c r="C86" s="62">
        <f t="shared" si="48"/>
        <v>2016</v>
      </c>
      <c r="D86" s="62">
        <f t="shared" si="48"/>
        <v>2017</v>
      </c>
      <c r="E86" s="62">
        <f t="shared" si="48"/>
        <v>2018</v>
      </c>
      <c r="F86" s="62">
        <f t="shared" si="48"/>
        <v>2019</v>
      </c>
      <c r="G86" s="62">
        <f t="shared" si="48"/>
        <v>2020</v>
      </c>
      <c r="H86" s="62">
        <f t="shared" si="48"/>
        <v>2021</v>
      </c>
      <c r="I86" s="62">
        <f t="shared" si="48"/>
        <v>2022</v>
      </c>
      <c r="J86" s="62">
        <f t="shared" si="48"/>
        <v>2023</v>
      </c>
      <c r="K86" s="62">
        <f t="shared" si="48"/>
        <v>2024</v>
      </c>
      <c r="L86" s="62">
        <f t="shared" si="48"/>
        <v>2025</v>
      </c>
      <c r="M86" s="62">
        <f t="shared" si="48"/>
        <v>2026</v>
      </c>
      <c r="N86" s="62">
        <f t="shared" si="48"/>
        <v>2027</v>
      </c>
      <c r="O86" s="62">
        <f t="shared" si="48"/>
        <v>2028</v>
      </c>
      <c r="P86" s="62">
        <f t="shared" si="48"/>
        <v>2029</v>
      </c>
      <c r="Q86" s="62">
        <f t="shared" si="48"/>
        <v>2030</v>
      </c>
      <c r="R86" s="62">
        <f t="shared" si="48"/>
        <v>2031</v>
      </c>
      <c r="S86" s="62">
        <f t="shared" si="48"/>
        <v>2032</v>
      </c>
      <c r="T86" s="62">
        <f t="shared" si="48"/>
        <v>2033</v>
      </c>
      <c r="U86" s="62">
        <f t="shared" si="48"/>
        <v>2034</v>
      </c>
      <c r="V86" s="62">
        <f t="shared" si="48"/>
        <v>2035</v>
      </c>
    </row>
    <row r="87" spans="1:22" ht="15.75" thickTop="1" x14ac:dyDescent="0.25">
      <c r="A87" s="5" t="s">
        <v>85</v>
      </c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</row>
    <row r="88" spans="1:22" x14ac:dyDescent="0.25">
      <c r="A88" s="5" t="s">
        <v>86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</row>
    <row r="89" spans="1:22" x14ac:dyDescent="0.25">
      <c r="A89" s="5" t="s">
        <v>87</v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</row>
    <row r="90" spans="1:22" x14ac:dyDescent="0.25">
      <c r="A90" s="5" t="s">
        <v>88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</row>
    <row r="91" spans="1:22" x14ac:dyDescent="0.25">
      <c r="A91" s="5" t="s">
        <v>89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</row>
    <row r="92" spans="1:22" x14ac:dyDescent="0.25">
      <c r="A92" s="5" t="s">
        <v>90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</row>
    <row r="93" spans="1:22" x14ac:dyDescent="0.25">
      <c r="A93" s="5" t="s">
        <v>91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</row>
    <row r="94" spans="1:22" x14ac:dyDescent="0.25">
      <c r="A94" s="5" t="s">
        <v>92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</row>
    <row r="95" spans="1:22" x14ac:dyDescent="0.25">
      <c r="A95" s="5" t="s">
        <v>93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</row>
    <row r="96" spans="1:22" x14ac:dyDescent="0.25">
      <c r="A96" s="5" t="s">
        <v>94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</row>
    <row r="97" spans="1:22" x14ac:dyDescent="0.25">
      <c r="A97" s="5" t="s">
        <v>95</v>
      </c>
      <c r="B97" s="63"/>
      <c r="C97" s="63"/>
      <c r="D97" s="63"/>
      <c r="E97" s="63"/>
      <c r="F97" s="63"/>
      <c r="G97" s="63"/>
      <c r="H97" s="63"/>
      <c r="I97" s="63"/>
      <c r="J97" s="63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</row>
    <row r="98" spans="1:22" x14ac:dyDescent="0.25">
      <c r="A98" s="56" t="s">
        <v>96</v>
      </c>
      <c r="B98" s="63"/>
      <c r="C98" s="63"/>
      <c r="D98" s="63"/>
      <c r="E98" s="63"/>
      <c r="F98" s="63"/>
      <c r="G98" s="63"/>
      <c r="H98" s="63"/>
      <c r="I98" s="63"/>
      <c r="J98" s="63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</row>
    <row r="99" spans="1:22" x14ac:dyDescent="0.25">
      <c r="A99" s="65"/>
      <c r="B99" s="70"/>
      <c r="C99" s="70"/>
      <c r="D99" s="71"/>
      <c r="E99" s="71"/>
      <c r="F99" s="71"/>
      <c r="G99" s="71"/>
      <c r="H99" s="71"/>
      <c r="I99" s="71"/>
      <c r="J99" s="72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</row>
    <row r="100" spans="1:22" x14ac:dyDescent="0.25">
      <c r="A100" s="65"/>
      <c r="B100" s="65"/>
      <c r="C100" s="65"/>
      <c r="D100" s="65"/>
      <c r="E100" s="65"/>
      <c r="F100" s="65"/>
      <c r="G100" s="65"/>
      <c r="H100" s="65"/>
      <c r="I100" s="65"/>
      <c r="J100" s="73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0B07-844B-4163-95DB-52B9B922B634}">
  <sheetPr>
    <pageSetUpPr fitToPage="1"/>
  </sheetPr>
  <dimension ref="A1:Y102"/>
  <sheetViews>
    <sheetView showGridLines="0" zoomScaleNormal="100" workbookViewId="0">
      <pane xSplit="1" ySplit="2" topLeftCell="B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ColWidth="8.85546875" defaultRowHeight="15" x14ac:dyDescent="0.25"/>
  <cols>
    <col min="1" max="1" width="43" style="5" bestFit="1" customWidth="1"/>
    <col min="2" max="8" width="8.85546875" style="52" customWidth="1"/>
    <col min="9" max="9" width="9.28515625" style="52" bestFit="1" customWidth="1"/>
    <col min="10" max="20" width="8.85546875" style="68" customWidth="1"/>
    <col min="21" max="21" width="8.85546875" style="68"/>
    <col min="22" max="22" width="8.85546875" style="68" customWidth="1"/>
    <col min="23" max="23" width="10.5703125" style="5" bestFit="1" customWidth="1"/>
    <col min="24" max="24" width="9.5703125" style="5" bestFit="1" customWidth="1"/>
    <col min="25" max="16384" width="8.85546875" style="5"/>
  </cols>
  <sheetData>
    <row r="1" spans="1:22" ht="15.75" thickBot="1" x14ac:dyDescent="0.3">
      <c r="A1" s="23" t="s">
        <v>102</v>
      </c>
      <c r="B1" s="74"/>
      <c r="C1" s="74"/>
      <c r="D1" s="74"/>
      <c r="E1" s="74"/>
      <c r="F1" s="74"/>
      <c r="G1" s="74"/>
      <c r="H1" s="74"/>
      <c r="I1" s="74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16.5" thickTop="1" thickBot="1" x14ac:dyDescent="0.3">
      <c r="A2" s="27" t="s">
        <v>73</v>
      </c>
      <c r="B2" s="76">
        <v>2015</v>
      </c>
      <c r="C2" s="76">
        <v>2016</v>
      </c>
      <c r="D2" s="76">
        <v>2017</v>
      </c>
      <c r="E2" s="76">
        <v>2018</v>
      </c>
      <c r="F2" s="76">
        <v>2019</v>
      </c>
      <c r="G2" s="76">
        <v>2020</v>
      </c>
      <c r="H2" s="76">
        <v>2021</v>
      </c>
      <c r="I2" s="76">
        <v>2022</v>
      </c>
      <c r="J2" s="76">
        <v>2023</v>
      </c>
      <c r="K2" s="76">
        <v>2024</v>
      </c>
      <c r="L2" s="76">
        <v>2025</v>
      </c>
      <c r="M2" s="76">
        <v>2026</v>
      </c>
      <c r="N2" s="76">
        <v>2027</v>
      </c>
      <c r="O2" s="76">
        <v>2028</v>
      </c>
      <c r="P2" s="76">
        <v>2029</v>
      </c>
      <c r="Q2" s="76">
        <v>2030</v>
      </c>
      <c r="R2" s="76">
        <v>2031</v>
      </c>
      <c r="S2" s="76">
        <v>2032</v>
      </c>
      <c r="T2" s="76">
        <v>2033</v>
      </c>
      <c r="U2" s="76">
        <v>2034</v>
      </c>
      <c r="V2" s="76">
        <v>2035</v>
      </c>
    </row>
    <row r="3" spans="1:22" ht="15.75" thickTop="1" x14ac:dyDescent="0.25">
      <c r="A3" s="29" t="s">
        <v>74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25">
      <c r="A4" s="29" t="s">
        <v>75</v>
      </c>
      <c r="B4" s="30"/>
      <c r="C4" s="30"/>
      <c r="D4" s="30"/>
      <c r="E4" s="30"/>
      <c r="F4" s="30"/>
      <c r="G4" s="30"/>
      <c r="H4" s="30"/>
      <c r="I4" s="30"/>
      <c r="J4" s="3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x14ac:dyDescent="0.25">
      <c r="A5" s="45" t="s">
        <v>76</v>
      </c>
      <c r="B5" s="77"/>
      <c r="C5" s="77"/>
      <c r="D5" s="77"/>
      <c r="E5" s="77"/>
      <c r="F5" s="77"/>
      <c r="G5" s="77"/>
      <c r="H5" s="77"/>
      <c r="I5" s="77"/>
      <c r="J5" s="77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spans="1:22" x14ac:dyDescent="0.25">
      <c r="A6" s="36" t="s">
        <v>77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38"/>
      <c r="M6" s="38"/>
      <c r="N6" s="38"/>
      <c r="O6" s="38"/>
      <c r="P6" s="38"/>
      <c r="Q6" s="38"/>
      <c r="R6" s="38"/>
      <c r="S6" s="38"/>
      <c r="T6" s="38"/>
      <c r="U6" s="79"/>
      <c r="V6" s="79"/>
    </row>
    <row r="7" spans="1:22" x14ac:dyDescent="0.25">
      <c r="A7" s="39" t="s">
        <v>103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79"/>
      <c r="V7" s="79"/>
    </row>
    <row r="8" spans="1:22" x14ac:dyDescent="0.25">
      <c r="A8" s="80" t="s">
        <v>47</v>
      </c>
      <c r="B8" s="81"/>
      <c r="C8" s="81"/>
      <c r="D8" s="81"/>
      <c r="E8" s="81"/>
      <c r="F8" s="81"/>
      <c r="G8" s="81"/>
      <c r="H8" s="81"/>
      <c r="I8" s="81"/>
      <c r="J8" s="81"/>
      <c r="K8" s="82"/>
      <c r="L8" s="82"/>
      <c r="M8" s="82"/>
      <c r="N8" s="82"/>
      <c r="O8" s="82"/>
      <c r="P8" s="82"/>
      <c r="Q8" s="82"/>
      <c r="R8" s="82"/>
      <c r="S8" s="82"/>
      <c r="T8" s="82"/>
      <c r="U8" s="79"/>
      <c r="V8" s="79"/>
    </row>
    <row r="9" spans="1:22" x14ac:dyDescent="0.25">
      <c r="A9" s="45" t="s">
        <v>79</v>
      </c>
      <c r="B9" s="77"/>
      <c r="C9" s="77"/>
      <c r="D9" s="77"/>
      <c r="E9" s="77"/>
      <c r="F9" s="77"/>
      <c r="G9" s="77"/>
      <c r="H9" s="77"/>
      <c r="I9" s="77"/>
      <c r="J9" s="77"/>
      <c r="K9" s="78"/>
      <c r="L9" s="78"/>
      <c r="M9" s="78"/>
      <c r="N9" s="78"/>
      <c r="O9" s="78"/>
      <c r="P9" s="78"/>
      <c r="Q9" s="78"/>
      <c r="R9" s="78"/>
      <c r="S9" s="78"/>
      <c r="T9" s="78"/>
      <c r="U9" s="79"/>
      <c r="V9" s="79"/>
    </row>
    <row r="10" spans="1:22" x14ac:dyDescent="0.25">
      <c r="A10" s="83" t="s">
        <v>104</v>
      </c>
      <c r="B10" s="37"/>
      <c r="C10" s="37"/>
      <c r="D10" s="37"/>
      <c r="E10" s="37"/>
      <c r="F10" s="37"/>
      <c r="G10" s="37"/>
      <c r="H10" s="37"/>
      <c r="I10" s="37"/>
      <c r="J10" s="37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2" x14ac:dyDescent="0.25">
      <c r="A11" s="39"/>
      <c r="B11" s="84"/>
      <c r="C11" s="84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79"/>
      <c r="V11" s="79"/>
    </row>
    <row r="12" spans="1:22" x14ac:dyDescent="0.25">
      <c r="A12" s="45" t="s">
        <v>82</v>
      </c>
      <c r="B12" s="86" t="e">
        <f>B4/B13</f>
        <v>#DIV/0!</v>
      </c>
      <c r="C12" s="86" t="e">
        <f t="shared" ref="C12:V12" si="0">C4/C13</f>
        <v>#DIV/0!</v>
      </c>
      <c r="D12" s="86" t="e">
        <f t="shared" si="0"/>
        <v>#DIV/0!</v>
      </c>
      <c r="E12" s="86" t="e">
        <f t="shared" si="0"/>
        <v>#DIV/0!</v>
      </c>
      <c r="F12" s="86" t="e">
        <f t="shared" si="0"/>
        <v>#DIV/0!</v>
      </c>
      <c r="G12" s="86" t="e">
        <f t="shared" si="0"/>
        <v>#DIV/0!</v>
      </c>
      <c r="H12" s="86" t="e">
        <f t="shared" si="0"/>
        <v>#DIV/0!</v>
      </c>
      <c r="I12" s="86" t="e">
        <f t="shared" si="0"/>
        <v>#DIV/0!</v>
      </c>
      <c r="J12" s="86" t="e">
        <f t="shared" si="0"/>
        <v>#DIV/0!</v>
      </c>
      <c r="K12" s="86" t="e">
        <f t="shared" si="0"/>
        <v>#DIV/0!</v>
      </c>
      <c r="L12" s="86" t="e">
        <f t="shared" si="0"/>
        <v>#DIV/0!</v>
      </c>
      <c r="M12" s="86" t="e">
        <f t="shared" si="0"/>
        <v>#DIV/0!</v>
      </c>
      <c r="N12" s="86" t="e">
        <f t="shared" si="0"/>
        <v>#DIV/0!</v>
      </c>
      <c r="O12" s="86" t="e">
        <f t="shared" si="0"/>
        <v>#DIV/0!</v>
      </c>
      <c r="P12" s="86" t="e">
        <f t="shared" si="0"/>
        <v>#DIV/0!</v>
      </c>
      <c r="Q12" s="86">
        <f t="shared" si="0"/>
        <v>0</v>
      </c>
      <c r="R12" s="86">
        <f t="shared" si="0"/>
        <v>0</v>
      </c>
      <c r="S12" s="86">
        <f t="shared" si="0"/>
        <v>0</v>
      </c>
      <c r="T12" s="86">
        <f t="shared" si="0"/>
        <v>0</v>
      </c>
      <c r="U12" s="86">
        <f t="shared" si="0"/>
        <v>0</v>
      </c>
      <c r="V12" s="86">
        <f t="shared" si="0"/>
        <v>0</v>
      </c>
    </row>
    <row r="13" spans="1:22" x14ac:dyDescent="0.25">
      <c r="A13" s="29" t="s">
        <v>105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f>15+50</f>
        <v>65</v>
      </c>
      <c r="R13" s="87">
        <f t="shared" ref="R13:V13" si="1">15+50</f>
        <v>65</v>
      </c>
      <c r="S13" s="87">
        <f t="shared" si="1"/>
        <v>65</v>
      </c>
      <c r="T13" s="87">
        <f t="shared" si="1"/>
        <v>65</v>
      </c>
      <c r="U13" s="87">
        <f t="shared" si="1"/>
        <v>65</v>
      </c>
      <c r="V13" s="87">
        <f t="shared" si="1"/>
        <v>65</v>
      </c>
    </row>
    <row r="14" spans="1:22" x14ac:dyDescent="0.25">
      <c r="A14" s="39"/>
      <c r="B14" s="50"/>
      <c r="C14" s="50"/>
      <c r="D14" s="50"/>
      <c r="E14" s="50"/>
      <c r="F14" s="50"/>
      <c r="G14" s="50"/>
      <c r="H14" s="50"/>
      <c r="I14" s="50"/>
      <c r="J14" s="51"/>
      <c r="K14" s="31"/>
      <c r="L14" s="31"/>
      <c r="M14" s="31"/>
      <c r="N14" s="31"/>
      <c r="O14" s="31"/>
      <c r="P14" s="31"/>
    </row>
    <row r="15" spans="1:22" x14ac:dyDescent="0.25">
      <c r="A15" s="39"/>
      <c r="B15" s="50"/>
      <c r="C15" s="50"/>
      <c r="D15" s="50"/>
      <c r="E15" s="50"/>
      <c r="F15" s="50"/>
      <c r="G15" s="50"/>
      <c r="H15" s="50"/>
      <c r="I15" s="50"/>
      <c r="J15" s="51"/>
      <c r="K15" s="31"/>
      <c r="L15" s="31"/>
      <c r="M15" s="31"/>
      <c r="N15" s="31"/>
      <c r="O15" s="31"/>
    </row>
    <row r="16" spans="1:22" x14ac:dyDescent="0.25">
      <c r="A16" s="39"/>
      <c r="B16" s="50"/>
      <c r="C16" s="50"/>
      <c r="D16" s="50"/>
      <c r="E16" s="50"/>
      <c r="F16" s="50"/>
      <c r="G16" s="50"/>
      <c r="H16" s="50"/>
      <c r="I16" s="50"/>
      <c r="J16" s="31"/>
      <c r="K16" s="31"/>
      <c r="L16" s="31"/>
      <c r="M16" s="31"/>
      <c r="N16" s="31"/>
      <c r="O16" s="31"/>
    </row>
    <row r="17" spans="1:25" x14ac:dyDescent="0.25">
      <c r="A17" s="39"/>
      <c r="B17" s="50"/>
      <c r="C17" s="50"/>
      <c r="D17" s="50"/>
      <c r="E17" s="50"/>
      <c r="F17" s="50"/>
      <c r="G17" s="50"/>
      <c r="H17" s="50"/>
      <c r="I17" s="50"/>
      <c r="J17" s="31"/>
      <c r="K17" s="31"/>
      <c r="L17" s="31"/>
      <c r="M17" s="31"/>
      <c r="N17" s="31"/>
      <c r="O17" s="31"/>
    </row>
    <row r="18" spans="1:25" x14ac:dyDescent="0.25">
      <c r="A18" s="39"/>
      <c r="B18" s="50"/>
      <c r="C18" s="50"/>
      <c r="D18" s="50"/>
      <c r="E18" s="50"/>
      <c r="F18" s="50"/>
      <c r="G18" s="50"/>
      <c r="H18" s="50"/>
      <c r="I18" s="50"/>
      <c r="J18" s="31"/>
      <c r="K18" s="31"/>
      <c r="L18" s="31"/>
      <c r="M18" s="31"/>
      <c r="N18" s="31"/>
      <c r="O18" s="31"/>
    </row>
    <row r="19" spans="1:25" x14ac:dyDescent="0.25">
      <c r="A19" s="39" t="s">
        <v>106</v>
      </c>
      <c r="B19" s="30"/>
      <c r="C19" s="30"/>
      <c r="D19" s="30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</row>
    <row r="20" spans="1:25" x14ac:dyDescent="0.25">
      <c r="A20" s="39"/>
      <c r="B20" s="30"/>
      <c r="C20" s="30"/>
      <c r="D20" s="30"/>
      <c r="E20" s="30"/>
      <c r="F20" s="30"/>
      <c r="G20" s="30"/>
      <c r="H20" s="30"/>
      <c r="I20" s="30"/>
      <c r="J20" s="31"/>
      <c r="K20" s="31"/>
      <c r="L20" s="88"/>
      <c r="M20" s="31"/>
      <c r="N20" s="31"/>
      <c r="O20" s="31"/>
    </row>
    <row r="21" spans="1:25" ht="15.75" thickBot="1" x14ac:dyDescent="0.3">
      <c r="A21" s="4" t="s">
        <v>107</v>
      </c>
    </row>
    <row r="22" spans="1:25" ht="16.5" thickTop="1" thickBot="1" x14ac:dyDescent="0.3">
      <c r="A22" s="27" t="s">
        <v>73</v>
      </c>
      <c r="B22" s="89">
        <f t="shared" ref="B22:V22" si="2">B2</f>
        <v>2015</v>
      </c>
      <c r="C22" s="89">
        <f t="shared" si="2"/>
        <v>2016</v>
      </c>
      <c r="D22" s="89">
        <f t="shared" si="2"/>
        <v>2017</v>
      </c>
      <c r="E22" s="89">
        <f t="shared" si="2"/>
        <v>2018</v>
      </c>
      <c r="F22" s="89">
        <f t="shared" si="2"/>
        <v>2019</v>
      </c>
      <c r="G22" s="89">
        <f t="shared" si="2"/>
        <v>2020</v>
      </c>
      <c r="H22" s="89">
        <f t="shared" si="2"/>
        <v>2021</v>
      </c>
      <c r="I22" s="89">
        <f t="shared" si="2"/>
        <v>2022</v>
      </c>
      <c r="J22" s="89">
        <f t="shared" si="2"/>
        <v>2023</v>
      </c>
      <c r="K22" s="89">
        <f t="shared" si="2"/>
        <v>2024</v>
      </c>
      <c r="L22" s="89">
        <f t="shared" si="2"/>
        <v>2025</v>
      </c>
      <c r="M22" s="89">
        <f t="shared" si="2"/>
        <v>2026</v>
      </c>
      <c r="N22" s="89">
        <f t="shared" si="2"/>
        <v>2027</v>
      </c>
      <c r="O22" s="89">
        <f t="shared" si="2"/>
        <v>2028</v>
      </c>
      <c r="P22" s="89">
        <f t="shared" si="2"/>
        <v>2029</v>
      </c>
      <c r="Q22" s="89">
        <f t="shared" si="2"/>
        <v>2030</v>
      </c>
      <c r="R22" s="89">
        <f t="shared" si="2"/>
        <v>2031</v>
      </c>
      <c r="S22" s="89">
        <f t="shared" si="2"/>
        <v>2032</v>
      </c>
      <c r="T22" s="89">
        <f t="shared" si="2"/>
        <v>2033</v>
      </c>
      <c r="U22" s="89">
        <f t="shared" si="2"/>
        <v>2034</v>
      </c>
      <c r="V22" s="89">
        <f t="shared" si="2"/>
        <v>2035</v>
      </c>
    </row>
    <row r="23" spans="1:25" ht="15.75" thickTop="1" x14ac:dyDescent="0.25">
      <c r="A23" s="5" t="s">
        <v>85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7"/>
      <c r="X23" s="7"/>
      <c r="Y23" s="4"/>
    </row>
    <row r="24" spans="1:25" x14ac:dyDescent="0.25">
      <c r="A24" s="5" t="s">
        <v>86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63"/>
      <c r="X24" s="63"/>
      <c r="Y24" s="92"/>
    </row>
    <row r="25" spans="1:25" x14ac:dyDescent="0.25">
      <c r="A25" s="5" t="s">
        <v>87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63"/>
      <c r="X25" s="63"/>
      <c r="Y25" s="92"/>
    </row>
    <row r="26" spans="1:25" x14ac:dyDescent="0.25">
      <c r="A26" s="5" t="s">
        <v>88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63"/>
      <c r="X26" s="63"/>
      <c r="Y26" s="92"/>
    </row>
    <row r="27" spans="1:25" x14ac:dyDescent="0.25">
      <c r="A27" s="5" t="s">
        <v>89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63"/>
      <c r="X27" s="63"/>
      <c r="Y27" s="92"/>
    </row>
    <row r="28" spans="1:25" x14ac:dyDescent="0.25">
      <c r="A28" s="5" t="s">
        <v>90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63"/>
      <c r="X28" s="63"/>
      <c r="Y28" s="92"/>
    </row>
    <row r="29" spans="1:25" x14ac:dyDescent="0.25">
      <c r="A29" s="5" t="s">
        <v>91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63"/>
      <c r="X29" s="63"/>
      <c r="Y29" s="92"/>
    </row>
    <row r="30" spans="1:25" x14ac:dyDescent="0.25">
      <c r="A30" s="5" t="s">
        <v>92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63"/>
      <c r="X30" s="63"/>
      <c r="Y30" s="93"/>
    </row>
    <row r="31" spans="1:25" x14ac:dyDescent="0.25">
      <c r="A31" s="5" t="s">
        <v>93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63"/>
      <c r="X31" s="63"/>
      <c r="Y31" s="93"/>
    </row>
    <row r="32" spans="1:25" x14ac:dyDescent="0.25">
      <c r="A32" s="5" t="s">
        <v>94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63"/>
      <c r="X32" s="63"/>
      <c r="Y32" s="93"/>
    </row>
    <row r="33" spans="1:25" x14ac:dyDescent="0.25">
      <c r="A33" s="5" t="s">
        <v>95</v>
      </c>
      <c r="B33" s="90"/>
      <c r="C33" s="90"/>
      <c r="D33" s="90"/>
      <c r="E33" s="90"/>
      <c r="F33" s="90"/>
      <c r="G33" s="90"/>
      <c r="H33" s="90"/>
      <c r="I33" s="90"/>
      <c r="J33" s="90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63"/>
      <c r="X33" s="63"/>
      <c r="Y33" s="93"/>
    </row>
    <row r="34" spans="1:25" x14ac:dyDescent="0.25">
      <c r="A34" s="5" t="s">
        <v>96</v>
      </c>
      <c r="B34" s="90"/>
      <c r="C34" s="90"/>
      <c r="D34" s="90"/>
      <c r="E34" s="90"/>
      <c r="F34" s="90"/>
      <c r="G34" s="90"/>
      <c r="H34" s="90"/>
      <c r="I34" s="90"/>
      <c r="J34" s="90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63"/>
      <c r="X34" s="63"/>
      <c r="Y34" s="93"/>
    </row>
    <row r="35" spans="1:25" x14ac:dyDescent="0.25">
      <c r="A35" s="56" t="s">
        <v>97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63"/>
      <c r="X35" s="63"/>
      <c r="Y35" s="93"/>
    </row>
    <row r="36" spans="1:25" x14ac:dyDescent="0.25">
      <c r="B36" s="96"/>
      <c r="C36" s="96"/>
      <c r="D36" s="96"/>
      <c r="E36" s="96"/>
      <c r="F36" s="96"/>
      <c r="G36" s="96"/>
      <c r="H36" s="96"/>
      <c r="I36" s="96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63"/>
      <c r="X36" s="63"/>
      <c r="Y36" s="92"/>
    </row>
    <row r="37" spans="1:25" ht="15.75" thickBot="1" x14ac:dyDescent="0.3">
      <c r="A37" s="4" t="s">
        <v>108</v>
      </c>
    </row>
    <row r="38" spans="1:25" ht="16.5" thickTop="1" thickBot="1" x14ac:dyDescent="0.3">
      <c r="A38" s="27" t="s">
        <v>73</v>
      </c>
      <c r="B38" s="89">
        <f t="shared" ref="B38:V38" si="3">B2</f>
        <v>2015</v>
      </c>
      <c r="C38" s="89">
        <f t="shared" si="3"/>
        <v>2016</v>
      </c>
      <c r="D38" s="89">
        <f t="shared" si="3"/>
        <v>2017</v>
      </c>
      <c r="E38" s="89">
        <f t="shared" si="3"/>
        <v>2018</v>
      </c>
      <c r="F38" s="89">
        <f t="shared" si="3"/>
        <v>2019</v>
      </c>
      <c r="G38" s="89">
        <f t="shared" si="3"/>
        <v>2020</v>
      </c>
      <c r="H38" s="89">
        <f t="shared" si="3"/>
        <v>2021</v>
      </c>
      <c r="I38" s="89">
        <f t="shared" si="3"/>
        <v>2022</v>
      </c>
      <c r="J38" s="89">
        <f t="shared" si="3"/>
        <v>2023</v>
      </c>
      <c r="K38" s="89">
        <f t="shared" si="3"/>
        <v>2024</v>
      </c>
      <c r="L38" s="89">
        <f t="shared" si="3"/>
        <v>2025</v>
      </c>
      <c r="M38" s="89">
        <f t="shared" si="3"/>
        <v>2026</v>
      </c>
      <c r="N38" s="89">
        <f t="shared" si="3"/>
        <v>2027</v>
      </c>
      <c r="O38" s="89">
        <f t="shared" si="3"/>
        <v>2028</v>
      </c>
      <c r="P38" s="89">
        <f t="shared" si="3"/>
        <v>2029</v>
      </c>
      <c r="Q38" s="89">
        <f t="shared" si="3"/>
        <v>2030</v>
      </c>
      <c r="R38" s="89">
        <f t="shared" si="3"/>
        <v>2031</v>
      </c>
      <c r="S38" s="89">
        <f t="shared" si="3"/>
        <v>2032</v>
      </c>
      <c r="T38" s="89">
        <f t="shared" si="3"/>
        <v>2033</v>
      </c>
      <c r="U38" s="89">
        <f t="shared" si="3"/>
        <v>2034</v>
      </c>
      <c r="V38" s="89">
        <f t="shared" si="3"/>
        <v>2035</v>
      </c>
      <c r="W38" s="7"/>
      <c r="X38" s="7"/>
      <c r="Y38" s="4"/>
    </row>
    <row r="39" spans="1:25" ht="15.75" thickTop="1" x14ac:dyDescent="0.25">
      <c r="A39" s="5" t="s">
        <v>85</v>
      </c>
      <c r="B39" s="90"/>
      <c r="C39" s="90"/>
      <c r="D39" s="90"/>
      <c r="E39" s="90"/>
      <c r="F39" s="98"/>
      <c r="G39" s="98"/>
      <c r="H39" s="98"/>
      <c r="I39" s="98"/>
      <c r="J39" s="98"/>
      <c r="K39" s="98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63"/>
      <c r="X39" s="63"/>
      <c r="Y39" s="92"/>
    </row>
    <row r="40" spans="1:25" x14ac:dyDescent="0.25">
      <c r="A40" s="5" t="s">
        <v>86</v>
      </c>
      <c r="B40" s="90"/>
      <c r="C40" s="90"/>
      <c r="D40" s="90"/>
      <c r="E40" s="90"/>
      <c r="F40" s="98"/>
      <c r="G40" s="98"/>
      <c r="H40" s="98"/>
      <c r="I40" s="98"/>
      <c r="J40" s="98"/>
      <c r="K40" s="98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63"/>
      <c r="X40" s="63"/>
      <c r="Y40" s="92"/>
    </row>
    <row r="41" spans="1:25" x14ac:dyDescent="0.25">
      <c r="A41" s="5" t="s">
        <v>87</v>
      </c>
      <c r="B41" s="90"/>
      <c r="C41" s="90"/>
      <c r="D41" s="90"/>
      <c r="E41" s="90"/>
      <c r="F41" s="98"/>
      <c r="G41" s="98"/>
      <c r="H41" s="98"/>
      <c r="I41" s="98"/>
      <c r="J41" s="98"/>
      <c r="K41" s="98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63"/>
      <c r="X41" s="63"/>
      <c r="Y41" s="92"/>
    </row>
    <row r="42" spans="1:25" x14ac:dyDescent="0.25">
      <c r="A42" s="5" t="s">
        <v>88</v>
      </c>
      <c r="B42" s="90"/>
      <c r="C42" s="90"/>
      <c r="D42" s="90"/>
      <c r="E42" s="90"/>
      <c r="F42" s="98"/>
      <c r="G42" s="98"/>
      <c r="H42" s="98"/>
      <c r="I42" s="98"/>
      <c r="J42" s="98"/>
      <c r="K42" s="98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63"/>
      <c r="X42" s="63"/>
      <c r="Y42" s="92"/>
    </row>
    <row r="43" spans="1:25" x14ac:dyDescent="0.25">
      <c r="A43" s="5" t="s">
        <v>89</v>
      </c>
      <c r="B43" s="90"/>
      <c r="C43" s="90"/>
      <c r="D43" s="90"/>
      <c r="E43" s="90"/>
      <c r="F43" s="98"/>
      <c r="G43" s="98"/>
      <c r="H43" s="98"/>
      <c r="I43" s="98"/>
      <c r="J43" s="98"/>
      <c r="K43" s="98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63"/>
      <c r="X43" s="63"/>
      <c r="Y43" s="92"/>
    </row>
    <row r="44" spans="1:25" x14ac:dyDescent="0.25">
      <c r="A44" s="5" t="s">
        <v>90</v>
      </c>
      <c r="B44" s="90"/>
      <c r="C44" s="90"/>
      <c r="D44" s="90"/>
      <c r="E44" s="90"/>
      <c r="F44" s="98"/>
      <c r="G44" s="98"/>
      <c r="H44" s="98"/>
      <c r="I44" s="98"/>
      <c r="J44" s="98"/>
      <c r="K44" s="98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63"/>
      <c r="X44" s="63"/>
      <c r="Y44" s="92"/>
    </row>
    <row r="45" spans="1:25" x14ac:dyDescent="0.25">
      <c r="A45" s="5" t="s">
        <v>91</v>
      </c>
      <c r="B45" s="90"/>
      <c r="C45" s="90"/>
      <c r="D45" s="90"/>
      <c r="E45" s="90"/>
      <c r="F45" s="98"/>
      <c r="G45" s="98"/>
      <c r="H45" s="98"/>
      <c r="I45" s="98"/>
      <c r="J45" s="98"/>
      <c r="K45" s="98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63"/>
      <c r="X45" s="63"/>
      <c r="Y45" s="93"/>
    </row>
    <row r="46" spans="1:25" x14ac:dyDescent="0.25">
      <c r="A46" s="5" t="s">
        <v>92</v>
      </c>
      <c r="B46" s="90"/>
      <c r="C46" s="90"/>
      <c r="D46" s="90"/>
      <c r="E46" s="90"/>
      <c r="F46" s="98"/>
      <c r="G46" s="98"/>
      <c r="H46" s="98"/>
      <c r="I46" s="98"/>
      <c r="J46" s="98"/>
      <c r="K46" s="98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63"/>
      <c r="X46" s="63"/>
      <c r="Y46" s="93"/>
    </row>
    <row r="47" spans="1:25" x14ac:dyDescent="0.25">
      <c r="A47" s="5" t="s">
        <v>93</v>
      </c>
      <c r="B47" s="90"/>
      <c r="C47" s="90"/>
      <c r="D47" s="90"/>
      <c r="E47" s="90"/>
      <c r="F47" s="98"/>
      <c r="G47" s="98"/>
      <c r="H47" s="98"/>
      <c r="I47" s="98"/>
      <c r="J47" s="98"/>
      <c r="K47" s="98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63"/>
      <c r="X47" s="63"/>
      <c r="Y47" s="93"/>
    </row>
    <row r="48" spans="1:25" x14ac:dyDescent="0.25">
      <c r="A48" s="5" t="s">
        <v>94</v>
      </c>
      <c r="B48" s="90"/>
      <c r="C48" s="90"/>
      <c r="D48" s="90"/>
      <c r="E48" s="90"/>
      <c r="F48" s="98"/>
      <c r="G48" s="98"/>
      <c r="H48" s="98"/>
      <c r="I48" s="98"/>
      <c r="J48" s="98"/>
      <c r="K48" s="98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63"/>
      <c r="X48" s="63"/>
      <c r="Y48" s="93"/>
    </row>
    <row r="49" spans="1:25" x14ac:dyDescent="0.25">
      <c r="A49" s="5" t="s">
        <v>95</v>
      </c>
      <c r="B49" s="90"/>
      <c r="C49" s="90"/>
      <c r="D49" s="90"/>
      <c r="E49" s="90"/>
      <c r="F49" s="98"/>
      <c r="G49" s="98"/>
      <c r="H49" s="98"/>
      <c r="I49" s="98"/>
      <c r="J49" s="98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63"/>
      <c r="X49" s="63"/>
      <c r="Y49" s="93"/>
    </row>
    <row r="50" spans="1:25" x14ac:dyDescent="0.25">
      <c r="A50" s="5" t="s">
        <v>96</v>
      </c>
      <c r="B50" s="90"/>
      <c r="C50" s="90"/>
      <c r="D50" s="90"/>
      <c r="E50" s="90"/>
      <c r="F50" s="98"/>
      <c r="G50" s="98"/>
      <c r="H50" s="98"/>
      <c r="I50" s="98"/>
      <c r="J50" s="98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63"/>
      <c r="X50" s="63"/>
      <c r="Y50" s="93"/>
    </row>
    <row r="51" spans="1:25" x14ac:dyDescent="0.25">
      <c r="A51" s="56" t="s">
        <v>97</v>
      </c>
      <c r="B51" s="94"/>
      <c r="C51" s="94"/>
      <c r="D51" s="94"/>
      <c r="E51" s="94"/>
      <c r="F51" s="94"/>
      <c r="G51" s="94"/>
      <c r="H51" s="94"/>
      <c r="I51" s="94"/>
      <c r="J51" s="94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63"/>
      <c r="X51" s="63"/>
      <c r="Y51" s="92"/>
    </row>
    <row r="52" spans="1:25" x14ac:dyDescent="0.25">
      <c r="J52" s="82"/>
    </row>
    <row r="53" spans="1:25" ht="15.75" thickBot="1" x14ac:dyDescent="0.3">
      <c r="A53" s="4" t="s">
        <v>109</v>
      </c>
    </row>
    <row r="54" spans="1:25" ht="16.5" thickTop="1" thickBot="1" x14ac:dyDescent="0.3">
      <c r="A54" s="27" t="s">
        <v>73</v>
      </c>
      <c r="B54" s="89">
        <f t="shared" ref="B54:V54" si="4">B2</f>
        <v>2015</v>
      </c>
      <c r="C54" s="89">
        <f t="shared" si="4"/>
        <v>2016</v>
      </c>
      <c r="D54" s="89">
        <f t="shared" si="4"/>
        <v>2017</v>
      </c>
      <c r="E54" s="89">
        <f t="shared" si="4"/>
        <v>2018</v>
      </c>
      <c r="F54" s="89">
        <f t="shared" si="4"/>
        <v>2019</v>
      </c>
      <c r="G54" s="89">
        <f t="shared" si="4"/>
        <v>2020</v>
      </c>
      <c r="H54" s="89">
        <f t="shared" si="4"/>
        <v>2021</v>
      </c>
      <c r="I54" s="89">
        <f t="shared" si="4"/>
        <v>2022</v>
      </c>
      <c r="J54" s="89">
        <f t="shared" si="4"/>
        <v>2023</v>
      </c>
      <c r="K54" s="89">
        <f t="shared" si="4"/>
        <v>2024</v>
      </c>
      <c r="L54" s="89">
        <f t="shared" si="4"/>
        <v>2025</v>
      </c>
      <c r="M54" s="89">
        <f t="shared" si="4"/>
        <v>2026</v>
      </c>
      <c r="N54" s="89">
        <f t="shared" si="4"/>
        <v>2027</v>
      </c>
      <c r="O54" s="89">
        <f t="shared" si="4"/>
        <v>2028</v>
      </c>
      <c r="P54" s="89">
        <f t="shared" si="4"/>
        <v>2029</v>
      </c>
      <c r="Q54" s="89">
        <f t="shared" si="4"/>
        <v>2030</v>
      </c>
      <c r="R54" s="89">
        <f t="shared" si="4"/>
        <v>2031</v>
      </c>
      <c r="S54" s="89">
        <f t="shared" si="4"/>
        <v>2032</v>
      </c>
      <c r="T54" s="89">
        <f t="shared" si="4"/>
        <v>2033</v>
      </c>
      <c r="U54" s="89">
        <f t="shared" si="4"/>
        <v>2034</v>
      </c>
      <c r="V54" s="89">
        <f t="shared" si="4"/>
        <v>2035</v>
      </c>
    </row>
    <row r="55" spans="1:25" ht="15.75" thickTop="1" x14ac:dyDescent="0.25">
      <c r="A55" s="5" t="s">
        <v>85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</row>
    <row r="56" spans="1:25" x14ac:dyDescent="0.25">
      <c r="A56" s="5" t="s">
        <v>86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</row>
    <row r="57" spans="1:25" x14ac:dyDescent="0.25">
      <c r="A57" s="5" t="s">
        <v>87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</row>
    <row r="58" spans="1:25" x14ac:dyDescent="0.25">
      <c r="A58" s="5" t="s">
        <v>88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</row>
    <row r="59" spans="1:25" x14ac:dyDescent="0.25">
      <c r="A59" s="5" t="s">
        <v>89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</row>
    <row r="60" spans="1:25" x14ac:dyDescent="0.25">
      <c r="A60" s="5" t="s">
        <v>90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</row>
    <row r="61" spans="1:25" x14ac:dyDescent="0.25">
      <c r="A61" s="5" t="s">
        <v>91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</row>
    <row r="62" spans="1:25" x14ac:dyDescent="0.25">
      <c r="A62" s="5" t="s">
        <v>92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</row>
    <row r="63" spans="1:25" x14ac:dyDescent="0.25">
      <c r="A63" s="5" t="s">
        <v>93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</row>
    <row r="64" spans="1:25" x14ac:dyDescent="0.25">
      <c r="A64" s="5" t="s">
        <v>94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</row>
    <row r="65" spans="1:22" x14ac:dyDescent="0.25">
      <c r="A65" s="5" t="s">
        <v>95</v>
      </c>
      <c r="B65" s="90"/>
      <c r="C65" s="90"/>
      <c r="D65" s="90"/>
      <c r="E65" s="90"/>
      <c r="F65" s="90"/>
      <c r="G65" s="90"/>
      <c r="H65" s="90"/>
      <c r="I65" s="90"/>
      <c r="J65" s="90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</row>
    <row r="66" spans="1:22" x14ac:dyDescent="0.25">
      <c r="A66" s="5" t="s">
        <v>96</v>
      </c>
      <c r="B66" s="90"/>
      <c r="C66" s="90"/>
      <c r="D66" s="90"/>
      <c r="E66" s="90"/>
      <c r="F66" s="90"/>
      <c r="G66" s="90"/>
      <c r="H66" s="90"/>
      <c r="I66" s="90"/>
      <c r="J66" s="90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</row>
    <row r="67" spans="1:22" x14ac:dyDescent="0.25">
      <c r="A67" s="56" t="s">
        <v>97</v>
      </c>
      <c r="B67" s="94"/>
      <c r="C67" s="94"/>
      <c r="D67" s="94"/>
      <c r="E67" s="94"/>
      <c r="F67" s="94"/>
      <c r="G67" s="94"/>
      <c r="H67" s="94"/>
      <c r="I67" s="94"/>
      <c r="J67" s="94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</row>
    <row r="68" spans="1:22" x14ac:dyDescent="0.25"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</row>
    <row r="69" spans="1:22" x14ac:dyDescent="0.25"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spans="1:22" ht="15.75" thickBot="1" x14ac:dyDescent="0.3">
      <c r="A70" s="4" t="s">
        <v>110</v>
      </c>
    </row>
    <row r="71" spans="1:22" ht="16.5" thickTop="1" thickBot="1" x14ac:dyDescent="0.3">
      <c r="A71" s="27" t="s">
        <v>73</v>
      </c>
      <c r="B71" s="89">
        <f t="shared" ref="B71:V71" si="5">B2</f>
        <v>2015</v>
      </c>
      <c r="C71" s="89">
        <f t="shared" si="5"/>
        <v>2016</v>
      </c>
      <c r="D71" s="89">
        <f t="shared" si="5"/>
        <v>2017</v>
      </c>
      <c r="E71" s="89">
        <f t="shared" si="5"/>
        <v>2018</v>
      </c>
      <c r="F71" s="89">
        <f t="shared" si="5"/>
        <v>2019</v>
      </c>
      <c r="G71" s="89">
        <f t="shared" si="5"/>
        <v>2020</v>
      </c>
      <c r="H71" s="89">
        <f t="shared" si="5"/>
        <v>2021</v>
      </c>
      <c r="I71" s="89">
        <f t="shared" si="5"/>
        <v>2022</v>
      </c>
      <c r="J71" s="89">
        <f t="shared" si="5"/>
        <v>2023</v>
      </c>
      <c r="K71" s="89">
        <f t="shared" si="5"/>
        <v>2024</v>
      </c>
      <c r="L71" s="89">
        <f t="shared" si="5"/>
        <v>2025</v>
      </c>
      <c r="M71" s="89">
        <f t="shared" si="5"/>
        <v>2026</v>
      </c>
      <c r="N71" s="89">
        <f t="shared" si="5"/>
        <v>2027</v>
      </c>
      <c r="O71" s="89">
        <f t="shared" si="5"/>
        <v>2028</v>
      </c>
      <c r="P71" s="89">
        <f t="shared" si="5"/>
        <v>2029</v>
      </c>
      <c r="Q71" s="89">
        <f t="shared" si="5"/>
        <v>2030</v>
      </c>
      <c r="R71" s="89">
        <f t="shared" si="5"/>
        <v>2031</v>
      </c>
      <c r="S71" s="89">
        <f t="shared" si="5"/>
        <v>2032</v>
      </c>
      <c r="T71" s="89">
        <f t="shared" si="5"/>
        <v>2033</v>
      </c>
      <c r="U71" s="89">
        <f t="shared" si="5"/>
        <v>2034</v>
      </c>
      <c r="V71" s="89">
        <f t="shared" si="5"/>
        <v>2035</v>
      </c>
    </row>
    <row r="72" spans="1:22" ht="15.75" thickTop="1" x14ac:dyDescent="0.25">
      <c r="A72" s="5" t="s">
        <v>85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</row>
    <row r="73" spans="1:22" x14ac:dyDescent="0.25">
      <c r="A73" s="5" t="s">
        <v>86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</row>
    <row r="74" spans="1:22" x14ac:dyDescent="0.25">
      <c r="A74" s="5" t="s">
        <v>87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</row>
    <row r="75" spans="1:22" x14ac:dyDescent="0.25">
      <c r="A75" s="5" t="s">
        <v>88</v>
      </c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</row>
    <row r="76" spans="1:22" x14ac:dyDescent="0.25">
      <c r="A76" s="5" t="s">
        <v>89</v>
      </c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</row>
    <row r="77" spans="1:22" x14ac:dyDescent="0.25">
      <c r="A77" s="5" t="s">
        <v>90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</row>
    <row r="78" spans="1:22" x14ac:dyDescent="0.25">
      <c r="A78" s="5" t="s">
        <v>91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</row>
    <row r="79" spans="1:22" x14ac:dyDescent="0.25">
      <c r="A79" s="5" t="s">
        <v>92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</row>
    <row r="80" spans="1:22" x14ac:dyDescent="0.25">
      <c r="A80" s="5" t="s">
        <v>93</v>
      </c>
      <c r="B80" s="90"/>
      <c r="C80" s="90"/>
      <c r="D80" s="90"/>
      <c r="E80" s="90"/>
      <c r="F80" s="90"/>
      <c r="G80" s="90"/>
      <c r="H80" s="90"/>
      <c r="I80" s="90"/>
      <c r="J80" s="90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</row>
    <row r="81" spans="1:23" x14ac:dyDescent="0.25">
      <c r="A81" s="5" t="s">
        <v>94</v>
      </c>
      <c r="B81" s="90"/>
      <c r="C81" s="90"/>
      <c r="D81" s="90"/>
      <c r="E81" s="90"/>
      <c r="F81" s="90"/>
      <c r="G81" s="90"/>
      <c r="H81" s="90"/>
      <c r="I81" s="90"/>
      <c r="J81" s="90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</row>
    <row r="82" spans="1:23" x14ac:dyDescent="0.25">
      <c r="A82" s="5" t="s">
        <v>95</v>
      </c>
      <c r="B82" s="90"/>
      <c r="C82" s="90"/>
      <c r="D82" s="90"/>
      <c r="E82" s="90"/>
      <c r="F82" s="90"/>
      <c r="G82" s="90"/>
      <c r="H82" s="90"/>
      <c r="I82" s="90"/>
      <c r="J82" s="90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</row>
    <row r="83" spans="1:23" x14ac:dyDescent="0.25">
      <c r="A83" s="5" t="s">
        <v>96</v>
      </c>
      <c r="B83" s="90"/>
      <c r="C83" s="90"/>
      <c r="D83" s="90"/>
      <c r="E83" s="90"/>
      <c r="F83" s="90"/>
      <c r="G83" s="90"/>
      <c r="H83" s="90"/>
      <c r="I83" s="90"/>
      <c r="J83" s="90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</row>
    <row r="84" spans="1:23" x14ac:dyDescent="0.25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</row>
    <row r="85" spans="1:23" x14ac:dyDescent="0.2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spans="1:23" ht="15.75" thickBot="1" x14ac:dyDescent="0.3">
      <c r="A86" s="4" t="s">
        <v>111</v>
      </c>
      <c r="J86" s="100"/>
    </row>
    <row r="87" spans="1:23" ht="16.5" thickTop="1" thickBot="1" x14ac:dyDescent="0.3">
      <c r="A87" s="27" t="s">
        <v>73</v>
      </c>
      <c r="B87" s="89">
        <f t="shared" ref="B87:V87" si="6">B2</f>
        <v>2015</v>
      </c>
      <c r="C87" s="89">
        <f t="shared" si="6"/>
        <v>2016</v>
      </c>
      <c r="D87" s="89">
        <f t="shared" si="6"/>
        <v>2017</v>
      </c>
      <c r="E87" s="89">
        <f t="shared" si="6"/>
        <v>2018</v>
      </c>
      <c r="F87" s="89">
        <f t="shared" si="6"/>
        <v>2019</v>
      </c>
      <c r="G87" s="89">
        <f t="shared" si="6"/>
        <v>2020</v>
      </c>
      <c r="H87" s="89">
        <f t="shared" si="6"/>
        <v>2021</v>
      </c>
      <c r="I87" s="89">
        <f t="shared" si="6"/>
        <v>2022</v>
      </c>
      <c r="J87" s="89">
        <f t="shared" si="6"/>
        <v>2023</v>
      </c>
      <c r="K87" s="89">
        <f t="shared" si="6"/>
        <v>2024</v>
      </c>
      <c r="L87" s="89">
        <f t="shared" si="6"/>
        <v>2025</v>
      </c>
      <c r="M87" s="89">
        <f t="shared" si="6"/>
        <v>2026</v>
      </c>
      <c r="N87" s="89">
        <f t="shared" si="6"/>
        <v>2027</v>
      </c>
      <c r="O87" s="89">
        <f t="shared" si="6"/>
        <v>2028</v>
      </c>
      <c r="P87" s="89">
        <f t="shared" si="6"/>
        <v>2029</v>
      </c>
      <c r="Q87" s="89">
        <f t="shared" si="6"/>
        <v>2030</v>
      </c>
      <c r="R87" s="89">
        <f t="shared" si="6"/>
        <v>2031</v>
      </c>
      <c r="S87" s="89">
        <f t="shared" si="6"/>
        <v>2032</v>
      </c>
      <c r="T87" s="89">
        <f t="shared" si="6"/>
        <v>2033</v>
      </c>
      <c r="U87" s="89">
        <f t="shared" si="6"/>
        <v>2034</v>
      </c>
      <c r="V87" s="89">
        <f t="shared" si="6"/>
        <v>2035</v>
      </c>
    </row>
    <row r="88" spans="1:23" ht="15.75" thickTop="1" x14ac:dyDescent="0.25">
      <c r="A88" s="5" t="s">
        <v>85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</row>
    <row r="89" spans="1:23" x14ac:dyDescent="0.25">
      <c r="A89" s="5" t="s">
        <v>86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68"/>
    </row>
    <row r="90" spans="1:23" x14ac:dyDescent="0.25">
      <c r="A90" s="5" t="s">
        <v>87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68"/>
    </row>
    <row r="91" spans="1:23" x14ac:dyDescent="0.25">
      <c r="A91" s="5" t="s">
        <v>88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68"/>
    </row>
    <row r="92" spans="1:23" x14ac:dyDescent="0.25">
      <c r="A92" s="5" t="s">
        <v>89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68"/>
    </row>
    <row r="93" spans="1:23" x14ac:dyDescent="0.25">
      <c r="A93" s="5" t="s">
        <v>90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68"/>
    </row>
    <row r="94" spans="1:23" x14ac:dyDescent="0.25">
      <c r="A94" s="5" t="s">
        <v>91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68"/>
    </row>
    <row r="95" spans="1:23" x14ac:dyDescent="0.25">
      <c r="A95" s="5" t="s">
        <v>92</v>
      </c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68"/>
    </row>
    <row r="96" spans="1:23" x14ac:dyDescent="0.25">
      <c r="A96" s="5" t="s">
        <v>93</v>
      </c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68"/>
    </row>
    <row r="97" spans="1:23" x14ac:dyDescent="0.25">
      <c r="A97" s="5" t="s">
        <v>94</v>
      </c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68"/>
    </row>
    <row r="98" spans="1:23" x14ac:dyDescent="0.25">
      <c r="A98" s="5" t="s">
        <v>95</v>
      </c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68"/>
    </row>
    <row r="99" spans="1:23" x14ac:dyDescent="0.25">
      <c r="A99" s="5" t="s">
        <v>96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68"/>
    </row>
    <row r="100" spans="1:23" x14ac:dyDescent="0.25">
      <c r="A100" s="5" t="s">
        <v>112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68"/>
    </row>
    <row r="101" spans="1:23" x14ac:dyDescent="0.25">
      <c r="A101" s="65"/>
      <c r="B101" s="101"/>
      <c r="C101" s="101"/>
      <c r="D101" s="101"/>
      <c r="E101" s="101"/>
      <c r="F101" s="101"/>
      <c r="G101" s="101"/>
      <c r="H101" s="101"/>
      <c r="I101" s="101"/>
      <c r="J101" s="101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8"/>
    </row>
    <row r="102" spans="1:23" x14ac:dyDescent="0.2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</sheetData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A69E-B339-43A3-9CC0-A8926E416A10}">
  <dimension ref="A1:V96"/>
  <sheetViews>
    <sheetView workbookViewId="0">
      <selection activeCell="B14" sqref="B14"/>
    </sheetView>
  </sheetViews>
  <sheetFormatPr defaultRowHeight="15" x14ac:dyDescent="0.25"/>
  <sheetData>
    <row r="1" spans="1:22" ht="15.75" thickBot="1" x14ac:dyDescent="0.3">
      <c r="A1" s="102" t="s">
        <v>113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2" ht="15.75" thickBot="1" x14ac:dyDescent="0.3">
      <c r="A2" s="104" t="s">
        <v>73</v>
      </c>
      <c r="B2" s="105">
        <v>2015</v>
      </c>
      <c r="C2" s="105">
        <v>2016</v>
      </c>
      <c r="D2" s="105">
        <v>2017</v>
      </c>
      <c r="E2" s="105">
        <v>2018</v>
      </c>
      <c r="F2" s="105">
        <v>2019</v>
      </c>
      <c r="G2" s="105">
        <v>2020</v>
      </c>
      <c r="H2" s="105">
        <v>2021</v>
      </c>
      <c r="I2" s="105">
        <v>2022</v>
      </c>
      <c r="J2" s="105">
        <v>2023</v>
      </c>
      <c r="K2" s="105">
        <v>2024</v>
      </c>
      <c r="L2" s="105">
        <v>2025</v>
      </c>
      <c r="M2" s="105">
        <v>2026</v>
      </c>
      <c r="N2" s="105">
        <v>2027</v>
      </c>
      <c r="O2" s="105">
        <v>2028</v>
      </c>
      <c r="P2" s="105">
        <v>2029</v>
      </c>
      <c r="Q2" s="105">
        <v>2030</v>
      </c>
      <c r="R2" s="105">
        <v>2031</v>
      </c>
      <c r="S2" s="105">
        <v>2032</v>
      </c>
      <c r="T2" s="105">
        <v>2033</v>
      </c>
      <c r="U2" s="105">
        <v>2034</v>
      </c>
      <c r="V2" s="105">
        <v>2035</v>
      </c>
    </row>
    <row r="3" spans="1:22" x14ac:dyDescent="0.25">
      <c r="A3" s="106" t="s">
        <v>74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</row>
    <row r="4" spans="1:22" x14ac:dyDescent="0.25">
      <c r="A4" s="106" t="s">
        <v>44</v>
      </c>
      <c r="B4" s="107"/>
      <c r="C4" s="107"/>
      <c r="D4" s="107"/>
      <c r="E4" s="107"/>
      <c r="F4" s="107"/>
      <c r="G4" s="107"/>
      <c r="H4" s="107"/>
      <c r="I4" s="107"/>
      <c r="J4" s="10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</row>
    <row r="5" spans="1:22" x14ac:dyDescent="0.25">
      <c r="A5" s="106" t="s">
        <v>49</v>
      </c>
      <c r="B5" s="107"/>
      <c r="C5" s="107"/>
      <c r="D5" s="107"/>
      <c r="E5" s="107"/>
      <c r="F5" s="107"/>
      <c r="G5" s="107"/>
      <c r="H5" s="107"/>
      <c r="I5" s="107"/>
      <c r="J5" s="107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</row>
    <row r="6" spans="1:22" x14ac:dyDescent="0.25">
      <c r="A6" s="106" t="s">
        <v>114</v>
      </c>
      <c r="B6" s="107"/>
      <c r="C6" s="107"/>
      <c r="D6" s="107"/>
      <c r="E6" s="107"/>
      <c r="F6" s="107"/>
      <c r="G6" s="107"/>
      <c r="H6" s="107"/>
      <c r="I6" s="107"/>
      <c r="J6" s="107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</row>
    <row r="7" spans="1:22" x14ac:dyDescent="0.25">
      <c r="A7" s="83" t="s">
        <v>115</v>
      </c>
      <c r="B7" s="107"/>
      <c r="C7" s="107"/>
      <c r="D7" s="107"/>
      <c r="E7" s="107"/>
      <c r="F7" s="107"/>
      <c r="G7" s="107"/>
      <c r="H7" s="107"/>
      <c r="I7" s="107"/>
      <c r="J7" s="107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</row>
    <row r="8" spans="1:22" x14ac:dyDescent="0.25">
      <c r="A8" s="106" t="s">
        <v>47</v>
      </c>
      <c r="B8" s="107"/>
      <c r="C8" s="107"/>
      <c r="D8" s="107"/>
      <c r="E8" s="107"/>
      <c r="F8" s="107"/>
      <c r="G8" s="107"/>
      <c r="H8" s="107"/>
      <c r="I8" s="107"/>
      <c r="J8" s="107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spans="1:22" x14ac:dyDescent="0.25">
      <c r="A9" s="106" t="s">
        <v>116</v>
      </c>
      <c r="B9" s="107"/>
      <c r="C9" s="107"/>
      <c r="D9" s="107"/>
      <c r="E9" s="107"/>
      <c r="F9" s="107"/>
      <c r="G9" s="107"/>
      <c r="H9" s="107"/>
      <c r="I9" s="107"/>
      <c r="J9" s="107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</row>
    <row r="10" spans="1:22" x14ac:dyDescent="0.25">
      <c r="A10" s="83" t="s">
        <v>104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</row>
    <row r="11" spans="1:22" x14ac:dyDescent="0.25">
      <c r="A11" s="106"/>
      <c r="B11" s="110"/>
      <c r="C11" s="110"/>
      <c r="D11" s="110"/>
      <c r="E11" s="110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</row>
    <row r="12" spans="1:22" s="5" customFormat="1" x14ac:dyDescent="0.25">
      <c r="A12" s="45" t="s">
        <v>82</v>
      </c>
      <c r="B12" s="86" t="e">
        <f>B4/B13</f>
        <v>#DIV/0!</v>
      </c>
      <c r="C12" s="86" t="e">
        <f t="shared" ref="C12:U12" si="0">C4/C13</f>
        <v>#DIV/0!</v>
      </c>
      <c r="D12" s="86" t="e">
        <f t="shared" si="0"/>
        <v>#DIV/0!</v>
      </c>
      <c r="E12" s="86" t="e">
        <f t="shared" si="0"/>
        <v>#DIV/0!</v>
      </c>
      <c r="F12" s="86" t="e">
        <f t="shared" si="0"/>
        <v>#DIV/0!</v>
      </c>
      <c r="G12" s="86" t="e">
        <f t="shared" si="0"/>
        <v>#DIV/0!</v>
      </c>
      <c r="H12" s="86" t="e">
        <f t="shared" si="0"/>
        <v>#DIV/0!</v>
      </c>
      <c r="I12" s="86" t="e">
        <f t="shared" si="0"/>
        <v>#DIV/0!</v>
      </c>
      <c r="J12" s="86" t="e">
        <f t="shared" si="0"/>
        <v>#DIV/0!</v>
      </c>
      <c r="K12" s="86" t="e">
        <f t="shared" si="0"/>
        <v>#DIV/0!</v>
      </c>
      <c r="L12" s="86" t="e">
        <f t="shared" si="0"/>
        <v>#DIV/0!</v>
      </c>
      <c r="M12" s="86" t="e">
        <f t="shared" si="0"/>
        <v>#DIV/0!</v>
      </c>
      <c r="N12" s="86" t="e">
        <f t="shared" si="0"/>
        <v>#DIV/0!</v>
      </c>
      <c r="O12" s="86" t="e">
        <f t="shared" si="0"/>
        <v>#DIV/0!</v>
      </c>
      <c r="P12" s="86" t="e">
        <f t="shared" si="0"/>
        <v>#DIV/0!</v>
      </c>
      <c r="Q12" s="86">
        <f t="shared" si="0"/>
        <v>0</v>
      </c>
      <c r="R12" s="86">
        <f t="shared" si="0"/>
        <v>0</v>
      </c>
      <c r="S12" s="86">
        <f t="shared" si="0"/>
        <v>0</v>
      </c>
      <c r="T12" s="86">
        <f t="shared" si="0"/>
        <v>0</v>
      </c>
      <c r="U12" s="86">
        <f t="shared" si="0"/>
        <v>0</v>
      </c>
      <c r="V12" s="86">
        <f>V4/V13</f>
        <v>0</v>
      </c>
    </row>
    <row r="13" spans="1:22" s="5" customFormat="1" x14ac:dyDescent="0.25">
      <c r="A13" s="29" t="s">
        <v>105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250</v>
      </c>
      <c r="R13" s="87">
        <v>250</v>
      </c>
      <c r="S13" s="87">
        <v>250</v>
      </c>
      <c r="T13" s="87">
        <v>250</v>
      </c>
      <c r="U13" s="87">
        <v>250</v>
      </c>
      <c r="V13" s="87">
        <v>250</v>
      </c>
    </row>
    <row r="14" spans="1:22" x14ac:dyDescent="0.25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</row>
    <row r="15" spans="1:22" x14ac:dyDescent="0.25">
      <c r="A15" s="106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</row>
    <row r="16" spans="1:22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</row>
    <row r="17" spans="1:22" ht="15.75" thickBot="1" x14ac:dyDescent="0.3">
      <c r="A17" s="106" t="s">
        <v>117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</row>
    <row r="18" spans="1:22" ht="15.75" thickBot="1" x14ac:dyDescent="0.3">
      <c r="A18" s="104" t="s">
        <v>73</v>
      </c>
      <c r="B18" s="113">
        <f t="shared" ref="B18:V18" si="1">B2</f>
        <v>2015</v>
      </c>
      <c r="C18" s="113">
        <f t="shared" si="1"/>
        <v>2016</v>
      </c>
      <c r="D18" s="113">
        <f t="shared" si="1"/>
        <v>2017</v>
      </c>
      <c r="E18" s="113">
        <f t="shared" si="1"/>
        <v>2018</v>
      </c>
      <c r="F18" s="113">
        <f t="shared" si="1"/>
        <v>2019</v>
      </c>
      <c r="G18" s="113">
        <f t="shared" si="1"/>
        <v>2020</v>
      </c>
      <c r="H18" s="113">
        <f t="shared" si="1"/>
        <v>2021</v>
      </c>
      <c r="I18" s="113">
        <f t="shared" si="1"/>
        <v>2022</v>
      </c>
      <c r="J18" s="113">
        <f t="shared" si="1"/>
        <v>2023</v>
      </c>
      <c r="K18" s="113">
        <f t="shared" si="1"/>
        <v>2024</v>
      </c>
      <c r="L18" s="113">
        <f t="shared" si="1"/>
        <v>2025</v>
      </c>
      <c r="M18" s="113">
        <f t="shared" si="1"/>
        <v>2026</v>
      </c>
      <c r="N18" s="113">
        <f t="shared" si="1"/>
        <v>2027</v>
      </c>
      <c r="O18" s="113">
        <f t="shared" si="1"/>
        <v>2028</v>
      </c>
      <c r="P18" s="113">
        <f t="shared" si="1"/>
        <v>2029</v>
      </c>
      <c r="Q18" s="113">
        <f t="shared" si="1"/>
        <v>2030</v>
      </c>
      <c r="R18" s="113">
        <f t="shared" si="1"/>
        <v>2031</v>
      </c>
      <c r="S18" s="113">
        <f t="shared" si="1"/>
        <v>2032</v>
      </c>
      <c r="T18" s="113">
        <f t="shared" si="1"/>
        <v>2033</v>
      </c>
      <c r="U18" s="113">
        <f t="shared" si="1"/>
        <v>2034</v>
      </c>
      <c r="V18" s="113">
        <f t="shared" si="1"/>
        <v>2035</v>
      </c>
    </row>
    <row r="19" spans="1:22" x14ac:dyDescent="0.25">
      <c r="A19" s="106" t="s">
        <v>85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</row>
    <row r="20" spans="1:22" x14ac:dyDescent="0.25">
      <c r="A20" s="106" t="s">
        <v>86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</row>
    <row r="21" spans="1:22" x14ac:dyDescent="0.25">
      <c r="A21" s="106" t="s">
        <v>87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</row>
    <row r="22" spans="1:22" x14ac:dyDescent="0.25">
      <c r="A22" s="106" t="s">
        <v>88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</row>
    <row r="23" spans="1:22" x14ac:dyDescent="0.25">
      <c r="A23" s="106" t="s">
        <v>89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</row>
    <row r="24" spans="1:22" x14ac:dyDescent="0.25">
      <c r="A24" s="106" t="s">
        <v>90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</row>
    <row r="25" spans="1:22" x14ac:dyDescent="0.25">
      <c r="A25" s="106" t="s">
        <v>91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</row>
    <row r="26" spans="1:22" x14ac:dyDescent="0.25">
      <c r="A26" s="106" t="s">
        <v>92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</row>
    <row r="27" spans="1:22" x14ac:dyDescent="0.25">
      <c r="A27" s="106" t="s">
        <v>93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</row>
    <row r="28" spans="1:22" x14ac:dyDescent="0.25">
      <c r="A28" s="106" t="s">
        <v>94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</row>
    <row r="29" spans="1:22" x14ac:dyDescent="0.25">
      <c r="A29" s="106" t="s">
        <v>95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</row>
    <row r="30" spans="1:22" x14ac:dyDescent="0.25">
      <c r="A30" s="106" t="s">
        <v>96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</row>
    <row r="31" spans="1:22" ht="15.75" thickBot="1" x14ac:dyDescent="0.3">
      <c r="A31" s="106" t="s">
        <v>118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</row>
    <row r="32" spans="1:22" x14ac:dyDescent="0.2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</row>
    <row r="33" spans="1:22" ht="15.75" thickBot="1" x14ac:dyDescent="0.3">
      <c r="A33" s="106" t="s">
        <v>119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</row>
    <row r="34" spans="1:22" ht="15.75" thickBot="1" x14ac:dyDescent="0.3">
      <c r="A34" s="104" t="s">
        <v>73</v>
      </c>
      <c r="B34" s="113">
        <f t="shared" ref="B34:V34" si="2">B18</f>
        <v>2015</v>
      </c>
      <c r="C34" s="113">
        <f t="shared" si="2"/>
        <v>2016</v>
      </c>
      <c r="D34" s="113">
        <f t="shared" si="2"/>
        <v>2017</v>
      </c>
      <c r="E34" s="113">
        <f t="shared" si="2"/>
        <v>2018</v>
      </c>
      <c r="F34" s="113">
        <f t="shared" si="2"/>
        <v>2019</v>
      </c>
      <c r="G34" s="113">
        <f t="shared" si="2"/>
        <v>2020</v>
      </c>
      <c r="H34" s="113">
        <f t="shared" si="2"/>
        <v>2021</v>
      </c>
      <c r="I34" s="113">
        <f t="shared" si="2"/>
        <v>2022</v>
      </c>
      <c r="J34" s="113">
        <f t="shared" si="2"/>
        <v>2023</v>
      </c>
      <c r="K34" s="113">
        <f t="shared" si="2"/>
        <v>2024</v>
      </c>
      <c r="L34" s="113">
        <f t="shared" si="2"/>
        <v>2025</v>
      </c>
      <c r="M34" s="113">
        <f t="shared" si="2"/>
        <v>2026</v>
      </c>
      <c r="N34" s="113">
        <f t="shared" si="2"/>
        <v>2027</v>
      </c>
      <c r="O34" s="113">
        <f t="shared" si="2"/>
        <v>2028</v>
      </c>
      <c r="P34" s="113">
        <f t="shared" si="2"/>
        <v>2029</v>
      </c>
      <c r="Q34" s="113">
        <f t="shared" si="2"/>
        <v>2030</v>
      </c>
      <c r="R34" s="113">
        <f t="shared" si="2"/>
        <v>2031</v>
      </c>
      <c r="S34" s="113">
        <f t="shared" si="2"/>
        <v>2032</v>
      </c>
      <c r="T34" s="113">
        <f t="shared" si="2"/>
        <v>2033</v>
      </c>
      <c r="U34" s="113">
        <f t="shared" si="2"/>
        <v>2034</v>
      </c>
      <c r="V34" s="113">
        <f t="shared" si="2"/>
        <v>2035</v>
      </c>
    </row>
    <row r="35" spans="1:22" x14ac:dyDescent="0.25">
      <c r="A35" s="106" t="s">
        <v>85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</row>
    <row r="36" spans="1:22" x14ac:dyDescent="0.25">
      <c r="A36" s="106" t="s">
        <v>86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</row>
    <row r="37" spans="1:22" x14ac:dyDescent="0.25">
      <c r="A37" s="106" t="s">
        <v>87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</row>
    <row r="38" spans="1:22" x14ac:dyDescent="0.25">
      <c r="A38" s="106" t="s">
        <v>88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</row>
    <row r="39" spans="1:22" x14ac:dyDescent="0.25">
      <c r="A39" s="106" t="s">
        <v>89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</row>
    <row r="40" spans="1:22" x14ac:dyDescent="0.25">
      <c r="A40" s="106" t="s">
        <v>90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</row>
    <row r="41" spans="1:22" x14ac:dyDescent="0.25">
      <c r="A41" s="106" t="s">
        <v>91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</row>
    <row r="42" spans="1:22" x14ac:dyDescent="0.25">
      <c r="A42" s="106" t="s">
        <v>92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</row>
    <row r="43" spans="1:22" x14ac:dyDescent="0.25">
      <c r="A43" s="106" t="s">
        <v>93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</row>
    <row r="44" spans="1:22" x14ac:dyDescent="0.25">
      <c r="A44" s="106" t="s">
        <v>94</v>
      </c>
      <c r="B44" s="114"/>
      <c r="C44" s="114"/>
      <c r="D44" s="114"/>
      <c r="E44" s="114"/>
      <c r="F44" s="114"/>
      <c r="G44" s="114"/>
      <c r="H44" s="114"/>
      <c r="I44" s="114"/>
      <c r="J44" s="114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</row>
    <row r="45" spans="1:22" x14ac:dyDescent="0.25">
      <c r="A45" s="106" t="s">
        <v>95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</row>
    <row r="46" spans="1:22" x14ac:dyDescent="0.25">
      <c r="A46" s="106" t="s">
        <v>96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</row>
    <row r="47" spans="1:22" ht="15.75" thickBot="1" x14ac:dyDescent="0.3">
      <c r="A47" s="106" t="s">
        <v>118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</row>
    <row r="48" spans="1:22" x14ac:dyDescent="0.2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</row>
    <row r="49" spans="1:22" ht="15.75" thickBot="1" x14ac:dyDescent="0.3">
      <c r="A49" s="106" t="s">
        <v>120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</row>
    <row r="50" spans="1:22" ht="15.75" thickBot="1" x14ac:dyDescent="0.3">
      <c r="A50" s="104" t="s">
        <v>73</v>
      </c>
      <c r="B50" s="113">
        <f t="shared" ref="B50:V50" si="3">B2</f>
        <v>2015</v>
      </c>
      <c r="C50" s="113">
        <f t="shared" si="3"/>
        <v>2016</v>
      </c>
      <c r="D50" s="113">
        <f t="shared" si="3"/>
        <v>2017</v>
      </c>
      <c r="E50" s="113">
        <f t="shared" si="3"/>
        <v>2018</v>
      </c>
      <c r="F50" s="113">
        <f t="shared" si="3"/>
        <v>2019</v>
      </c>
      <c r="G50" s="113">
        <f t="shared" si="3"/>
        <v>2020</v>
      </c>
      <c r="H50" s="113">
        <f t="shared" si="3"/>
        <v>2021</v>
      </c>
      <c r="I50" s="113">
        <f t="shared" si="3"/>
        <v>2022</v>
      </c>
      <c r="J50" s="113">
        <f t="shared" si="3"/>
        <v>2023</v>
      </c>
      <c r="K50" s="113">
        <f t="shared" si="3"/>
        <v>2024</v>
      </c>
      <c r="L50" s="113">
        <f t="shared" si="3"/>
        <v>2025</v>
      </c>
      <c r="M50" s="113">
        <f t="shared" si="3"/>
        <v>2026</v>
      </c>
      <c r="N50" s="113">
        <f t="shared" si="3"/>
        <v>2027</v>
      </c>
      <c r="O50" s="113">
        <f t="shared" si="3"/>
        <v>2028</v>
      </c>
      <c r="P50" s="113">
        <f t="shared" si="3"/>
        <v>2029</v>
      </c>
      <c r="Q50" s="113">
        <f t="shared" si="3"/>
        <v>2030</v>
      </c>
      <c r="R50" s="113">
        <f t="shared" si="3"/>
        <v>2031</v>
      </c>
      <c r="S50" s="113">
        <f t="shared" si="3"/>
        <v>2032</v>
      </c>
      <c r="T50" s="113">
        <f t="shared" si="3"/>
        <v>2033</v>
      </c>
      <c r="U50" s="113">
        <f t="shared" si="3"/>
        <v>2034</v>
      </c>
      <c r="V50" s="113">
        <f t="shared" si="3"/>
        <v>2035</v>
      </c>
    </row>
    <row r="51" spans="1:22" x14ac:dyDescent="0.25">
      <c r="A51" s="106" t="s">
        <v>85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</row>
    <row r="52" spans="1:22" x14ac:dyDescent="0.25">
      <c r="A52" s="106" t="s">
        <v>86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</row>
    <row r="53" spans="1:22" x14ac:dyDescent="0.25">
      <c r="A53" s="106" t="s">
        <v>87</v>
      </c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</row>
    <row r="54" spans="1:22" x14ac:dyDescent="0.25">
      <c r="A54" s="106" t="s">
        <v>88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</row>
    <row r="55" spans="1:22" x14ac:dyDescent="0.25">
      <c r="A55" s="106" t="s">
        <v>89</v>
      </c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</row>
    <row r="56" spans="1:22" x14ac:dyDescent="0.25">
      <c r="A56" s="106" t="s">
        <v>90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</row>
    <row r="57" spans="1:22" x14ac:dyDescent="0.25">
      <c r="A57" s="106" t="s">
        <v>91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</row>
    <row r="58" spans="1:22" x14ac:dyDescent="0.25">
      <c r="A58" s="106" t="s">
        <v>92</v>
      </c>
      <c r="B58" s="114"/>
      <c r="C58" s="114"/>
      <c r="D58" s="114"/>
      <c r="E58" s="114"/>
      <c r="F58" s="114"/>
      <c r="G58" s="114"/>
      <c r="H58" s="114"/>
      <c r="I58" s="114"/>
      <c r="J58" s="114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</row>
    <row r="59" spans="1:22" x14ac:dyDescent="0.25">
      <c r="A59" s="106" t="s">
        <v>93</v>
      </c>
      <c r="B59" s="114"/>
      <c r="C59" s="114"/>
      <c r="D59" s="114"/>
      <c r="E59" s="114"/>
      <c r="F59" s="114"/>
      <c r="G59" s="114"/>
      <c r="H59" s="114"/>
      <c r="I59" s="114"/>
      <c r="J59" s="114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</row>
    <row r="60" spans="1:22" x14ac:dyDescent="0.25">
      <c r="A60" s="106" t="s">
        <v>94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</row>
    <row r="61" spans="1:22" x14ac:dyDescent="0.25">
      <c r="A61" s="106" t="s">
        <v>95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</row>
    <row r="62" spans="1:22" x14ac:dyDescent="0.25">
      <c r="A62" s="106" t="s">
        <v>96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</row>
    <row r="63" spans="1:22" ht="15.75" thickBot="1" x14ac:dyDescent="0.3">
      <c r="A63" s="106" t="s">
        <v>118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</row>
    <row r="64" spans="1:22" x14ac:dyDescent="0.2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</row>
    <row r="65" spans="1:22" ht="15.75" thickBot="1" x14ac:dyDescent="0.3">
      <c r="A65" s="106" t="s">
        <v>121</v>
      </c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</row>
    <row r="66" spans="1:22" ht="15.75" thickBot="1" x14ac:dyDescent="0.3">
      <c r="A66" s="104" t="s">
        <v>73</v>
      </c>
      <c r="B66" s="113">
        <f t="shared" ref="B66:V66" si="4">B2</f>
        <v>2015</v>
      </c>
      <c r="C66" s="113">
        <f t="shared" si="4"/>
        <v>2016</v>
      </c>
      <c r="D66" s="113">
        <f t="shared" si="4"/>
        <v>2017</v>
      </c>
      <c r="E66" s="113">
        <f t="shared" si="4"/>
        <v>2018</v>
      </c>
      <c r="F66" s="113">
        <f t="shared" si="4"/>
        <v>2019</v>
      </c>
      <c r="G66" s="113">
        <f t="shared" si="4"/>
        <v>2020</v>
      </c>
      <c r="H66" s="113">
        <f t="shared" si="4"/>
        <v>2021</v>
      </c>
      <c r="I66" s="113">
        <f t="shared" si="4"/>
        <v>2022</v>
      </c>
      <c r="J66" s="113">
        <f t="shared" si="4"/>
        <v>2023</v>
      </c>
      <c r="K66" s="113">
        <f t="shared" si="4"/>
        <v>2024</v>
      </c>
      <c r="L66" s="113">
        <f t="shared" si="4"/>
        <v>2025</v>
      </c>
      <c r="M66" s="113">
        <f t="shared" si="4"/>
        <v>2026</v>
      </c>
      <c r="N66" s="113">
        <f t="shared" si="4"/>
        <v>2027</v>
      </c>
      <c r="O66" s="113">
        <f t="shared" si="4"/>
        <v>2028</v>
      </c>
      <c r="P66" s="113">
        <f t="shared" si="4"/>
        <v>2029</v>
      </c>
      <c r="Q66" s="113">
        <f t="shared" si="4"/>
        <v>2030</v>
      </c>
      <c r="R66" s="113">
        <f t="shared" si="4"/>
        <v>2031</v>
      </c>
      <c r="S66" s="113">
        <f t="shared" si="4"/>
        <v>2032</v>
      </c>
      <c r="T66" s="113">
        <f t="shared" si="4"/>
        <v>2033</v>
      </c>
      <c r="U66" s="113">
        <f t="shared" si="4"/>
        <v>2034</v>
      </c>
      <c r="V66" s="113">
        <f t="shared" si="4"/>
        <v>2035</v>
      </c>
    </row>
    <row r="67" spans="1:22" x14ac:dyDescent="0.25">
      <c r="A67" s="106" t="s">
        <v>85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</row>
    <row r="68" spans="1:22" x14ac:dyDescent="0.25">
      <c r="A68" s="106" t="s">
        <v>86</v>
      </c>
      <c r="B68" s="114"/>
      <c r="C68" s="114"/>
      <c r="D68" s="114"/>
      <c r="E68" s="114"/>
      <c r="F68" s="114"/>
      <c r="G68" s="114"/>
      <c r="H68" s="114"/>
      <c r="I68" s="114"/>
      <c r="J68" s="114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</row>
    <row r="69" spans="1:22" x14ac:dyDescent="0.25">
      <c r="A69" s="106" t="s">
        <v>87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</row>
    <row r="70" spans="1:22" x14ac:dyDescent="0.25">
      <c r="A70" s="106" t="s">
        <v>88</v>
      </c>
      <c r="B70" s="114"/>
      <c r="C70" s="114"/>
      <c r="D70" s="114"/>
      <c r="E70" s="114"/>
      <c r="F70" s="114"/>
      <c r="G70" s="114"/>
      <c r="H70" s="114"/>
      <c r="I70" s="114"/>
      <c r="J70" s="114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</row>
    <row r="71" spans="1:22" x14ac:dyDescent="0.25">
      <c r="A71" s="106" t="s">
        <v>89</v>
      </c>
      <c r="B71" s="114"/>
      <c r="C71" s="114"/>
      <c r="D71" s="114"/>
      <c r="E71" s="114"/>
      <c r="F71" s="114"/>
      <c r="G71" s="114"/>
      <c r="H71" s="114"/>
      <c r="I71" s="114"/>
      <c r="J71" s="114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</row>
    <row r="72" spans="1:22" x14ac:dyDescent="0.25">
      <c r="A72" s="106" t="s">
        <v>90</v>
      </c>
      <c r="B72" s="114"/>
      <c r="C72" s="114"/>
      <c r="D72" s="114"/>
      <c r="E72" s="114"/>
      <c r="F72" s="114"/>
      <c r="G72" s="114"/>
      <c r="H72" s="114"/>
      <c r="I72" s="114"/>
      <c r="J72" s="114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</row>
    <row r="73" spans="1:22" x14ac:dyDescent="0.25">
      <c r="A73" s="106" t="s">
        <v>91</v>
      </c>
      <c r="B73" s="114"/>
      <c r="C73" s="114"/>
      <c r="D73" s="114"/>
      <c r="E73" s="114"/>
      <c r="F73" s="114"/>
      <c r="G73" s="114"/>
      <c r="H73" s="114"/>
      <c r="I73" s="114"/>
      <c r="J73" s="114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</row>
    <row r="74" spans="1:22" x14ac:dyDescent="0.25">
      <c r="A74" s="106" t="s">
        <v>92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</row>
    <row r="75" spans="1:22" x14ac:dyDescent="0.25">
      <c r="A75" s="106" t="s">
        <v>93</v>
      </c>
      <c r="B75" s="114"/>
      <c r="C75" s="114"/>
      <c r="D75" s="114"/>
      <c r="E75" s="114"/>
      <c r="F75" s="114"/>
      <c r="G75" s="114"/>
      <c r="H75" s="114"/>
      <c r="I75" s="114"/>
      <c r="J75" s="114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</row>
    <row r="76" spans="1:22" x14ac:dyDescent="0.25">
      <c r="A76" s="106" t="s">
        <v>94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</row>
    <row r="77" spans="1:22" x14ac:dyDescent="0.25">
      <c r="A77" s="106" t="s">
        <v>95</v>
      </c>
      <c r="B77" s="114"/>
      <c r="C77" s="114"/>
      <c r="D77" s="114"/>
      <c r="E77" s="114"/>
      <c r="F77" s="114"/>
      <c r="G77" s="114"/>
      <c r="H77" s="114"/>
      <c r="I77" s="114"/>
      <c r="J77" s="114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</row>
    <row r="78" spans="1:22" x14ac:dyDescent="0.25">
      <c r="A78" s="106" t="s">
        <v>96</v>
      </c>
      <c r="B78" s="114"/>
      <c r="C78" s="114"/>
      <c r="D78" s="114"/>
      <c r="E78" s="114"/>
      <c r="F78" s="114"/>
      <c r="G78" s="114"/>
      <c r="H78" s="114"/>
      <c r="I78" s="114"/>
      <c r="J78" s="114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</row>
    <row r="79" spans="1:22" ht="15.75" thickBot="1" x14ac:dyDescent="0.3">
      <c r="A79" s="106" t="s">
        <v>118</v>
      </c>
      <c r="B79" s="114"/>
      <c r="C79" s="114"/>
      <c r="D79" s="114"/>
      <c r="E79" s="114"/>
      <c r="F79" s="114"/>
      <c r="G79" s="114"/>
      <c r="H79" s="114"/>
      <c r="I79" s="114"/>
      <c r="J79" s="114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</row>
    <row r="80" spans="1:22" x14ac:dyDescent="0.2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</row>
    <row r="81" spans="1:22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</row>
    <row r="82" spans="1:22" x14ac:dyDescent="0.25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</row>
    <row r="83" spans="1:22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</row>
    <row r="84" spans="1:22" x14ac:dyDescent="0.25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</row>
    <row r="85" spans="1:22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</row>
    <row r="86" spans="1:22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</row>
    <row r="87" spans="1:22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</row>
    <row r="88" spans="1:22" x14ac:dyDescent="0.25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</row>
    <row r="89" spans="1:22" x14ac:dyDescent="0.25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</row>
    <row r="90" spans="1:22" x14ac:dyDescent="0.25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</row>
    <row r="91" spans="1:22" x14ac:dyDescent="0.25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</row>
    <row r="92" spans="1:22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</row>
    <row r="93" spans="1:22" x14ac:dyDescent="0.25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</row>
    <row r="94" spans="1:22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</row>
    <row r="95" spans="1:22" x14ac:dyDescent="0.2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</row>
    <row r="96" spans="1:22" x14ac:dyDescent="0.25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83D4-E497-4EFF-A4CD-3A255759F392}">
  <dimension ref="A1:W93"/>
  <sheetViews>
    <sheetView workbookViewId="0">
      <pane xSplit="1" ySplit="2" topLeftCell="B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RowHeight="11.25" x14ac:dyDescent="0.2"/>
  <cols>
    <col min="1" max="1" width="28.42578125" style="119" customWidth="1"/>
    <col min="2" max="16384" width="9.140625" style="119"/>
  </cols>
  <sheetData>
    <row r="1" spans="1:23" ht="12" thickBot="1" x14ac:dyDescent="0.25">
      <c r="A1" s="117" t="s">
        <v>122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</row>
    <row r="2" spans="1:23" ht="12" thickBot="1" x14ac:dyDescent="0.25">
      <c r="A2" s="120" t="s">
        <v>73</v>
      </c>
      <c r="B2" s="121">
        <v>2015</v>
      </c>
      <c r="C2" s="121">
        <v>2016</v>
      </c>
      <c r="D2" s="121">
        <v>2017</v>
      </c>
      <c r="E2" s="121">
        <v>2018</v>
      </c>
      <c r="F2" s="121">
        <v>2019</v>
      </c>
      <c r="G2" s="121">
        <v>2020</v>
      </c>
      <c r="H2" s="121">
        <v>2021</v>
      </c>
      <c r="I2" s="121">
        <v>2022</v>
      </c>
      <c r="J2" s="121">
        <v>2023</v>
      </c>
      <c r="K2" s="121">
        <v>2024</v>
      </c>
      <c r="L2" s="121">
        <v>2025</v>
      </c>
      <c r="M2" s="121">
        <v>2026</v>
      </c>
      <c r="N2" s="121">
        <v>2027</v>
      </c>
      <c r="O2" s="121">
        <v>2028</v>
      </c>
      <c r="P2" s="121">
        <v>2029</v>
      </c>
      <c r="Q2" s="121">
        <v>2030</v>
      </c>
      <c r="R2" s="121">
        <v>2031</v>
      </c>
      <c r="S2" s="121">
        <v>2032</v>
      </c>
      <c r="T2" s="121">
        <v>2033</v>
      </c>
      <c r="U2" s="121">
        <v>2034</v>
      </c>
      <c r="V2" s="121">
        <v>2035</v>
      </c>
      <c r="W2" s="122"/>
    </row>
    <row r="3" spans="1:23" x14ac:dyDescent="0.2">
      <c r="A3" s="122" t="s">
        <v>74</v>
      </c>
      <c r="B3" s="123">
        <v>0</v>
      </c>
      <c r="C3" s="123">
        <f>B10</f>
        <v>109.42516800000001</v>
      </c>
      <c r="D3" s="123">
        <f t="shared" ref="D3:L3" si="0">C10</f>
        <v>103.50240000000001</v>
      </c>
      <c r="E3" s="123">
        <f t="shared" si="0"/>
        <v>111.42240000000001</v>
      </c>
      <c r="F3" s="123">
        <f t="shared" si="0"/>
        <v>97.027200000000008</v>
      </c>
      <c r="G3" s="123">
        <f t="shared" si="0"/>
        <v>107.77120000000001</v>
      </c>
      <c r="H3" s="123">
        <f t="shared" si="0"/>
        <v>86.479200000000006</v>
      </c>
      <c r="I3" s="123">
        <f t="shared" si="0"/>
        <v>82.8416</v>
      </c>
      <c r="J3" s="123">
        <f t="shared" si="0"/>
        <v>88.334400000000002</v>
      </c>
      <c r="K3" s="123">
        <f t="shared" si="0"/>
        <v>97.973600000000005</v>
      </c>
      <c r="L3" s="123">
        <f t="shared" si="0"/>
        <v>96.4208</v>
      </c>
      <c r="M3" s="123">
        <f>L11</f>
        <v>119.81938568800001</v>
      </c>
      <c r="N3" s="123">
        <f t="shared" ref="N3:V3" si="1">M11</f>
        <v>140.33383617679988</v>
      </c>
      <c r="O3" s="123">
        <f t="shared" si="1"/>
        <v>158.74636579447974</v>
      </c>
      <c r="P3" s="123">
        <f t="shared" si="1"/>
        <v>176.12282837392763</v>
      </c>
      <c r="Q3" s="123">
        <f t="shared" si="1"/>
        <v>194.18123721132065</v>
      </c>
      <c r="R3" s="123">
        <f t="shared" si="1"/>
        <v>215.89121693245283</v>
      </c>
      <c r="S3" s="123">
        <f t="shared" si="1"/>
        <v>237.16651862569847</v>
      </c>
      <c r="T3" s="123">
        <f t="shared" si="1"/>
        <v>258.72869448826896</v>
      </c>
      <c r="U3" s="123">
        <f t="shared" si="1"/>
        <v>282.392987937096</v>
      </c>
      <c r="V3" s="123">
        <f t="shared" si="1"/>
        <v>304.10728773080564</v>
      </c>
      <c r="W3" s="122"/>
    </row>
    <row r="4" spans="1:23" x14ac:dyDescent="0.2">
      <c r="A4" s="122" t="s">
        <v>44</v>
      </c>
      <c r="B4" s="123">
        <f>B28</f>
        <v>1299.7130000000002</v>
      </c>
      <c r="C4" s="123">
        <f t="shared" ref="C4:K4" si="2">C28</f>
        <v>1298.0549999999998</v>
      </c>
      <c r="D4" s="123">
        <f t="shared" si="2"/>
        <v>1436.7459999999999</v>
      </c>
      <c r="E4" s="123">
        <f t="shared" si="2"/>
        <v>1463.6609999999998</v>
      </c>
      <c r="F4" s="123">
        <f t="shared" si="2"/>
        <v>1463.7427000000002</v>
      </c>
      <c r="G4" s="123">
        <f t="shared" si="2"/>
        <v>521.91995999999995</v>
      </c>
      <c r="H4" s="123">
        <f t="shared" si="2"/>
        <v>589.67935999999997</v>
      </c>
      <c r="I4" s="123">
        <f t="shared" si="2"/>
        <v>1162.1010000000001</v>
      </c>
      <c r="J4" s="123">
        <f t="shared" si="2"/>
        <v>1444.8914299999999</v>
      </c>
      <c r="K4" s="123">
        <f t="shared" si="2"/>
        <v>1497.8180100000002</v>
      </c>
      <c r="L4" s="124">
        <f>AVERAGE(B4:K4)</f>
        <v>1217.832746</v>
      </c>
      <c r="M4" s="124">
        <f t="shared" ref="M4:V5" si="3">AVERAGE(C4:L4)</f>
        <v>1209.6447206</v>
      </c>
      <c r="N4" s="124">
        <f t="shared" si="3"/>
        <v>1200.80369266</v>
      </c>
      <c r="O4" s="124">
        <f t="shared" si="3"/>
        <v>1177.2094619260001</v>
      </c>
      <c r="P4" s="124">
        <f t="shared" si="3"/>
        <v>1148.5643081186001</v>
      </c>
      <c r="Q4" s="124">
        <f t="shared" si="3"/>
        <v>1117.0464689304602</v>
      </c>
      <c r="R4" s="124">
        <f t="shared" si="3"/>
        <v>1176.5591198235063</v>
      </c>
      <c r="S4" s="124">
        <f t="shared" si="3"/>
        <v>1235.247095805857</v>
      </c>
      <c r="T4" s="124">
        <f t="shared" si="3"/>
        <v>1242.5617053864426</v>
      </c>
      <c r="U4" s="124">
        <f t="shared" si="3"/>
        <v>1222.3287329250866</v>
      </c>
      <c r="V4" s="124">
        <f t="shared" si="3"/>
        <v>1194.7798052175954</v>
      </c>
      <c r="W4" s="122"/>
    </row>
    <row r="5" spans="1:23" x14ac:dyDescent="0.2">
      <c r="A5" s="122" t="s">
        <v>49</v>
      </c>
      <c r="B5" s="123">
        <f>B44</f>
        <v>88.488799999999998</v>
      </c>
      <c r="C5" s="123">
        <f t="shared" ref="C5:K5" si="4">C44</f>
        <v>121.16800000000001</v>
      </c>
      <c r="D5" s="123">
        <f t="shared" si="4"/>
        <v>88.896000000000001</v>
      </c>
      <c r="E5" s="123">
        <f t="shared" si="4"/>
        <v>159.12080000000003</v>
      </c>
      <c r="F5" s="123">
        <f t="shared" si="4"/>
        <v>213.6944</v>
      </c>
      <c r="G5" s="123">
        <f t="shared" si="4"/>
        <v>21.837600000000002</v>
      </c>
      <c r="H5" s="123">
        <f t="shared" si="4"/>
        <v>0</v>
      </c>
      <c r="I5" s="123">
        <f t="shared" si="4"/>
        <v>10.986400000000001</v>
      </c>
      <c r="J5" s="123">
        <f>J44</f>
        <v>36.025600000000004</v>
      </c>
      <c r="K5" s="123">
        <f t="shared" si="4"/>
        <v>11.3992</v>
      </c>
      <c r="L5" s="124">
        <f>AVERAGE(B5:K5)</f>
        <v>75.161680000000004</v>
      </c>
      <c r="M5" s="124">
        <f t="shared" si="3"/>
        <v>73.828968000000003</v>
      </c>
      <c r="N5" s="124">
        <f t="shared" si="3"/>
        <v>69.095064800000017</v>
      </c>
      <c r="O5" s="124">
        <f t="shared" si="3"/>
        <v>67.114971280000006</v>
      </c>
      <c r="P5" s="124">
        <f t="shared" si="3"/>
        <v>57.914388408000001</v>
      </c>
      <c r="Q5" s="124">
        <f t="shared" si="3"/>
        <v>42.336387248800001</v>
      </c>
      <c r="R5" s="124">
        <f t="shared" si="3"/>
        <v>44.386265973680004</v>
      </c>
      <c r="S5" s="124">
        <f t="shared" si="3"/>
        <v>48.824892571048004</v>
      </c>
      <c r="T5" s="124">
        <f t="shared" si="3"/>
        <v>52.608741828152802</v>
      </c>
      <c r="U5" s="124">
        <f t="shared" si="3"/>
        <v>54.267056010968076</v>
      </c>
      <c r="V5" s="124">
        <f t="shared" si="3"/>
        <v>58.553841612064886</v>
      </c>
      <c r="W5" s="122"/>
    </row>
    <row r="6" spans="1:23" x14ac:dyDescent="0.2">
      <c r="A6" s="122" t="s">
        <v>114</v>
      </c>
      <c r="B6" s="123">
        <f>SUM(B3:B5)</f>
        <v>1388.2018000000003</v>
      </c>
      <c r="C6" s="123">
        <f t="shared" ref="C6:V6" si="5">SUM(C3:C5)</f>
        <v>1528.6481679999997</v>
      </c>
      <c r="D6" s="123">
        <f t="shared" si="5"/>
        <v>1629.1443999999999</v>
      </c>
      <c r="E6" s="123">
        <f t="shared" si="5"/>
        <v>1734.2041999999997</v>
      </c>
      <c r="F6" s="123">
        <f t="shared" si="5"/>
        <v>1774.4643000000003</v>
      </c>
      <c r="G6" s="123">
        <f t="shared" si="5"/>
        <v>651.52875999999992</v>
      </c>
      <c r="H6" s="123">
        <f t="shared" si="5"/>
        <v>676.15855999999997</v>
      </c>
      <c r="I6" s="123">
        <f t="shared" si="5"/>
        <v>1255.9290000000001</v>
      </c>
      <c r="J6" s="123">
        <f t="shared" si="5"/>
        <v>1569.2514299999998</v>
      </c>
      <c r="K6" s="123">
        <f t="shared" si="5"/>
        <v>1607.1908100000003</v>
      </c>
      <c r="L6" s="123">
        <f t="shared" si="5"/>
        <v>1389.4152260000001</v>
      </c>
      <c r="M6" s="123">
        <f t="shared" si="5"/>
        <v>1403.2930742880001</v>
      </c>
      <c r="N6" s="123">
        <f t="shared" si="5"/>
        <v>1410.2325936367999</v>
      </c>
      <c r="O6" s="123">
        <f t="shared" si="5"/>
        <v>1403.0707990004798</v>
      </c>
      <c r="P6" s="123">
        <f t="shared" si="5"/>
        <v>1382.6015249005277</v>
      </c>
      <c r="Q6" s="123">
        <f t="shared" si="5"/>
        <v>1353.5640933905809</v>
      </c>
      <c r="R6" s="123">
        <f t="shared" si="5"/>
        <v>1436.8366027296393</v>
      </c>
      <c r="S6" s="123">
        <f t="shared" si="5"/>
        <v>1521.2385070026035</v>
      </c>
      <c r="T6" s="123">
        <f t="shared" si="5"/>
        <v>1553.8991417028642</v>
      </c>
      <c r="U6" s="123">
        <f t="shared" si="5"/>
        <v>1558.9887768731505</v>
      </c>
      <c r="V6" s="123">
        <f t="shared" si="5"/>
        <v>1557.4409345604658</v>
      </c>
      <c r="W6" s="122"/>
    </row>
    <row r="7" spans="1:23" x14ac:dyDescent="0.2">
      <c r="A7" s="122" t="s">
        <v>115</v>
      </c>
      <c r="B7" s="123">
        <f>B76</f>
        <v>1335.9618623200001</v>
      </c>
      <c r="C7" s="123">
        <f t="shared" ref="C7:K7" si="6">C76</f>
        <v>1375.9629408000001</v>
      </c>
      <c r="D7" s="123">
        <f t="shared" si="6"/>
        <v>1492.1048000000001</v>
      </c>
      <c r="E7" s="123">
        <f t="shared" si="6"/>
        <v>1609.8912</v>
      </c>
      <c r="F7" s="123">
        <f t="shared" si="6"/>
        <v>1693.3808000000001</v>
      </c>
      <c r="G7" s="123">
        <f t="shared" si="6"/>
        <v>500.38160000000005</v>
      </c>
      <c r="H7" s="123">
        <f t="shared" si="6"/>
        <v>558.49760000000003</v>
      </c>
      <c r="I7" s="123">
        <f t="shared" si="6"/>
        <v>1171.7384</v>
      </c>
      <c r="J7" s="123">
        <f t="shared" si="6"/>
        <v>1424.7904000000001</v>
      </c>
      <c r="K7" s="123">
        <f t="shared" si="6"/>
        <v>1456.6920000000002</v>
      </c>
      <c r="L7" s="124">
        <f>AVERAGE(B7:K7)</f>
        <v>1261.940160312</v>
      </c>
      <c r="M7" s="124">
        <f t="shared" ref="M7:V8" si="7">AVERAGE(C7:L7)</f>
        <v>1254.5379901112001</v>
      </c>
      <c r="N7" s="124">
        <f t="shared" si="7"/>
        <v>1242.3954950423201</v>
      </c>
      <c r="O7" s="124">
        <f t="shared" si="7"/>
        <v>1217.4245645465521</v>
      </c>
      <c r="P7" s="124">
        <f t="shared" si="7"/>
        <v>1178.1779010012071</v>
      </c>
      <c r="Q7" s="124">
        <f t="shared" si="7"/>
        <v>1126.657611101328</v>
      </c>
      <c r="R7" s="124">
        <f t="shared" si="7"/>
        <v>1189.2852122114607</v>
      </c>
      <c r="S7" s="124">
        <f t="shared" si="7"/>
        <v>1252.3639734326066</v>
      </c>
      <c r="T7" s="124">
        <f t="shared" si="7"/>
        <v>1260.4265307758674</v>
      </c>
      <c r="U7" s="124">
        <f t="shared" si="7"/>
        <v>1243.9901438534539</v>
      </c>
      <c r="V7" s="124">
        <f t="shared" si="7"/>
        <v>1222.7199582387996</v>
      </c>
      <c r="W7" s="122"/>
    </row>
    <row r="8" spans="1:23" x14ac:dyDescent="0.2">
      <c r="A8" s="122" t="s">
        <v>47</v>
      </c>
      <c r="B8" s="123">
        <f>B60</f>
        <v>0</v>
      </c>
      <c r="C8" s="123">
        <f t="shared" ref="C8:K8" si="8">C60</f>
        <v>1.7264000000000002</v>
      </c>
      <c r="D8" s="123">
        <f t="shared" si="8"/>
        <v>4.7640000000000011</v>
      </c>
      <c r="E8" s="123">
        <f t="shared" si="8"/>
        <v>2.3336000000000001</v>
      </c>
      <c r="F8" s="123">
        <f t="shared" si="8"/>
        <v>2.5136000000000003</v>
      </c>
      <c r="G8" s="123">
        <f t="shared" si="8"/>
        <v>17.319200000000002</v>
      </c>
      <c r="H8" s="123">
        <f t="shared" si="8"/>
        <v>12.775200000000002</v>
      </c>
      <c r="I8" s="123">
        <f t="shared" si="8"/>
        <v>0.80800000000000005</v>
      </c>
      <c r="J8" s="123">
        <f t="shared" si="8"/>
        <v>12.962400000000002</v>
      </c>
      <c r="K8" s="123">
        <f t="shared" si="8"/>
        <v>21.354399999999998</v>
      </c>
      <c r="L8" s="124">
        <f>AVERAGE(B8:K8)</f>
        <v>7.6556800000000012</v>
      </c>
      <c r="M8" s="124">
        <f t="shared" si="7"/>
        <v>8.4212480000000021</v>
      </c>
      <c r="N8" s="124">
        <f t="shared" si="7"/>
        <v>9.0907328000000014</v>
      </c>
      <c r="O8" s="124">
        <f t="shared" si="7"/>
        <v>9.5234060800000027</v>
      </c>
      <c r="P8" s="124">
        <f t="shared" si="7"/>
        <v>10.242386688</v>
      </c>
      <c r="Q8" s="124">
        <f t="shared" si="7"/>
        <v>11.015265356800001</v>
      </c>
      <c r="R8" s="124">
        <f t="shared" si="7"/>
        <v>10.384871892480001</v>
      </c>
      <c r="S8" s="124">
        <f t="shared" si="7"/>
        <v>10.145839081728001</v>
      </c>
      <c r="T8" s="124">
        <f t="shared" si="7"/>
        <v>11.079622989900802</v>
      </c>
      <c r="U8" s="124">
        <f t="shared" si="7"/>
        <v>10.89134528889088</v>
      </c>
      <c r="V8" s="124">
        <f t="shared" si="7"/>
        <v>9.8450398177799681</v>
      </c>
      <c r="W8" s="122"/>
    </row>
    <row r="9" spans="1:23" x14ac:dyDescent="0.2">
      <c r="A9" s="122" t="s">
        <v>116</v>
      </c>
      <c r="B9" s="123">
        <f>SUM(B7:B8)</f>
        <v>1335.9618623200001</v>
      </c>
      <c r="C9" s="123">
        <f t="shared" ref="C9:V9" si="9">SUM(C7:C8)</f>
        <v>1377.6893408000001</v>
      </c>
      <c r="D9" s="123">
        <f t="shared" si="9"/>
        <v>1496.8688</v>
      </c>
      <c r="E9" s="123">
        <f t="shared" si="9"/>
        <v>1612.2248</v>
      </c>
      <c r="F9" s="123">
        <f t="shared" si="9"/>
        <v>1695.8944000000001</v>
      </c>
      <c r="G9" s="123">
        <f t="shared" si="9"/>
        <v>517.70080000000007</v>
      </c>
      <c r="H9" s="123">
        <f t="shared" si="9"/>
        <v>571.27280000000007</v>
      </c>
      <c r="I9" s="123">
        <f t="shared" si="9"/>
        <v>1172.5463999999999</v>
      </c>
      <c r="J9" s="123">
        <f t="shared" si="9"/>
        <v>1437.7528000000002</v>
      </c>
      <c r="K9" s="123">
        <f t="shared" si="9"/>
        <v>1478.0464000000002</v>
      </c>
      <c r="L9" s="123">
        <f t="shared" si="9"/>
        <v>1269.5958403120001</v>
      </c>
      <c r="M9" s="123">
        <f t="shared" si="9"/>
        <v>1262.9592381112002</v>
      </c>
      <c r="N9" s="123">
        <f t="shared" si="9"/>
        <v>1251.4862278423202</v>
      </c>
      <c r="O9" s="123">
        <f t="shared" si="9"/>
        <v>1226.9479706265522</v>
      </c>
      <c r="P9" s="123">
        <f t="shared" si="9"/>
        <v>1188.420287689207</v>
      </c>
      <c r="Q9" s="123">
        <f t="shared" si="9"/>
        <v>1137.672876458128</v>
      </c>
      <c r="R9" s="123">
        <f t="shared" si="9"/>
        <v>1199.6700841039408</v>
      </c>
      <c r="S9" s="123">
        <f t="shared" si="9"/>
        <v>1262.5098125143345</v>
      </c>
      <c r="T9" s="123">
        <f t="shared" si="9"/>
        <v>1271.5061537657682</v>
      </c>
      <c r="U9" s="123">
        <f t="shared" si="9"/>
        <v>1254.8814891423449</v>
      </c>
      <c r="V9" s="123">
        <f t="shared" si="9"/>
        <v>1232.5649980565795</v>
      </c>
      <c r="W9" s="122"/>
    </row>
    <row r="10" spans="1:23" x14ac:dyDescent="0.2">
      <c r="A10" s="122" t="s">
        <v>123</v>
      </c>
      <c r="B10" s="123">
        <f>B91</f>
        <v>109.42516800000001</v>
      </c>
      <c r="C10" s="123">
        <f t="shared" ref="C10:V10" si="10">C91</f>
        <v>103.50240000000001</v>
      </c>
      <c r="D10" s="123">
        <f t="shared" si="10"/>
        <v>111.42240000000001</v>
      </c>
      <c r="E10" s="123">
        <f t="shared" si="10"/>
        <v>97.027200000000008</v>
      </c>
      <c r="F10" s="123">
        <f t="shared" si="10"/>
        <v>107.77120000000001</v>
      </c>
      <c r="G10" s="123">
        <f t="shared" si="10"/>
        <v>86.479200000000006</v>
      </c>
      <c r="H10" s="123">
        <f t="shared" si="10"/>
        <v>82.8416</v>
      </c>
      <c r="I10" s="123">
        <f t="shared" si="10"/>
        <v>88.334400000000002</v>
      </c>
      <c r="J10" s="123">
        <f t="shared" si="10"/>
        <v>97.973600000000005</v>
      </c>
      <c r="K10" s="123">
        <f t="shared" si="10"/>
        <v>96.4208</v>
      </c>
      <c r="L10" s="123">
        <f t="shared" si="10"/>
        <v>0</v>
      </c>
      <c r="M10" s="123">
        <f t="shared" si="10"/>
        <v>0</v>
      </c>
      <c r="N10" s="123">
        <f t="shared" si="10"/>
        <v>0</v>
      </c>
      <c r="O10" s="123">
        <f t="shared" si="10"/>
        <v>0</v>
      </c>
      <c r="P10" s="123">
        <f t="shared" si="10"/>
        <v>0</v>
      </c>
      <c r="Q10" s="123">
        <f t="shared" si="10"/>
        <v>0</v>
      </c>
      <c r="R10" s="123">
        <f t="shared" si="10"/>
        <v>0</v>
      </c>
      <c r="S10" s="123">
        <f t="shared" si="10"/>
        <v>0</v>
      </c>
      <c r="T10" s="123">
        <f t="shared" si="10"/>
        <v>0</v>
      </c>
      <c r="U10" s="123">
        <f t="shared" si="10"/>
        <v>0</v>
      </c>
      <c r="V10" s="123">
        <f t="shared" si="10"/>
        <v>0</v>
      </c>
      <c r="W10" s="122"/>
    </row>
    <row r="11" spans="1:23" x14ac:dyDescent="0.2">
      <c r="A11" s="122" t="s">
        <v>124</v>
      </c>
      <c r="B11" s="123">
        <f>B6-B9</f>
        <v>52.239937680000139</v>
      </c>
      <c r="C11" s="123">
        <f t="shared" ref="C11:V11" si="11">C6-C9</f>
        <v>150.95882719999963</v>
      </c>
      <c r="D11" s="123">
        <f t="shared" si="11"/>
        <v>132.27559999999994</v>
      </c>
      <c r="E11" s="123">
        <f t="shared" si="11"/>
        <v>121.97939999999971</v>
      </c>
      <c r="F11" s="123">
        <f t="shared" si="11"/>
        <v>78.569900000000189</v>
      </c>
      <c r="G11" s="123">
        <f t="shared" si="11"/>
        <v>133.82795999999985</v>
      </c>
      <c r="H11" s="123">
        <f t="shared" si="11"/>
        <v>104.88575999999989</v>
      </c>
      <c r="I11" s="123">
        <f t="shared" si="11"/>
        <v>83.382600000000139</v>
      </c>
      <c r="J11" s="123">
        <f t="shared" si="11"/>
        <v>131.49862999999959</v>
      </c>
      <c r="K11" s="123">
        <f t="shared" si="11"/>
        <v>129.14441000000011</v>
      </c>
      <c r="L11" s="123">
        <f t="shared" si="11"/>
        <v>119.81938568800001</v>
      </c>
      <c r="M11" s="123">
        <f t="shared" si="11"/>
        <v>140.33383617679988</v>
      </c>
      <c r="N11" s="123">
        <f t="shared" si="11"/>
        <v>158.74636579447974</v>
      </c>
      <c r="O11" s="123">
        <f t="shared" si="11"/>
        <v>176.12282837392763</v>
      </c>
      <c r="P11" s="123">
        <f t="shared" si="11"/>
        <v>194.18123721132065</v>
      </c>
      <c r="Q11" s="123">
        <f t="shared" si="11"/>
        <v>215.89121693245283</v>
      </c>
      <c r="R11" s="123">
        <f t="shared" si="11"/>
        <v>237.16651862569847</v>
      </c>
      <c r="S11" s="123">
        <f t="shared" si="11"/>
        <v>258.72869448826896</v>
      </c>
      <c r="T11" s="123">
        <f t="shared" si="11"/>
        <v>282.392987937096</v>
      </c>
      <c r="U11" s="123">
        <f t="shared" si="11"/>
        <v>304.10728773080564</v>
      </c>
      <c r="V11" s="123">
        <f t="shared" si="11"/>
        <v>324.87593650388635</v>
      </c>
      <c r="W11" s="122"/>
    </row>
    <row r="12" spans="1:23" x14ac:dyDescent="0.2">
      <c r="A12" s="122" t="s">
        <v>125</v>
      </c>
      <c r="B12" s="125"/>
      <c r="C12" s="125"/>
      <c r="D12" s="125"/>
      <c r="E12" s="125"/>
      <c r="F12" s="125"/>
      <c r="G12" s="125"/>
      <c r="H12" s="125"/>
      <c r="I12" s="125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2"/>
    </row>
    <row r="13" spans="1:23" x14ac:dyDescent="0.2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</row>
    <row r="14" spans="1:23" ht="12" thickBot="1" x14ac:dyDescent="0.25">
      <c r="A14" s="122" t="s">
        <v>126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</row>
    <row r="15" spans="1:23" ht="12" thickBot="1" x14ac:dyDescent="0.25">
      <c r="A15" s="120" t="s">
        <v>73</v>
      </c>
      <c r="B15" s="127">
        <f t="shared" ref="B15:V15" si="12">B2</f>
        <v>2015</v>
      </c>
      <c r="C15" s="127">
        <f t="shared" si="12"/>
        <v>2016</v>
      </c>
      <c r="D15" s="127">
        <f t="shared" si="12"/>
        <v>2017</v>
      </c>
      <c r="E15" s="127">
        <f t="shared" si="12"/>
        <v>2018</v>
      </c>
      <c r="F15" s="127">
        <f t="shared" si="12"/>
        <v>2019</v>
      </c>
      <c r="G15" s="127">
        <f t="shared" si="12"/>
        <v>2020</v>
      </c>
      <c r="H15" s="127">
        <f t="shared" si="12"/>
        <v>2021</v>
      </c>
      <c r="I15" s="127">
        <f t="shared" si="12"/>
        <v>2022</v>
      </c>
      <c r="J15" s="127">
        <f t="shared" si="12"/>
        <v>2023</v>
      </c>
      <c r="K15" s="127">
        <f t="shared" si="12"/>
        <v>2024</v>
      </c>
      <c r="L15" s="127">
        <f t="shared" si="12"/>
        <v>2025</v>
      </c>
      <c r="M15" s="127">
        <f t="shared" si="12"/>
        <v>2026</v>
      </c>
      <c r="N15" s="127">
        <f t="shared" si="12"/>
        <v>2027</v>
      </c>
      <c r="O15" s="127">
        <f t="shared" si="12"/>
        <v>2028</v>
      </c>
      <c r="P15" s="127">
        <f t="shared" si="12"/>
        <v>2029</v>
      </c>
      <c r="Q15" s="127">
        <f t="shared" si="12"/>
        <v>2030</v>
      </c>
      <c r="R15" s="127">
        <f t="shared" si="12"/>
        <v>2031</v>
      </c>
      <c r="S15" s="127">
        <f t="shared" si="12"/>
        <v>2032</v>
      </c>
      <c r="T15" s="127">
        <f t="shared" si="12"/>
        <v>2033</v>
      </c>
      <c r="U15" s="127">
        <f t="shared" si="12"/>
        <v>2034</v>
      </c>
      <c r="V15" s="127">
        <f t="shared" si="12"/>
        <v>2035</v>
      </c>
      <c r="W15" s="122"/>
    </row>
    <row r="16" spans="1:23" x14ac:dyDescent="0.2">
      <c r="A16" s="122" t="s">
        <v>85</v>
      </c>
      <c r="B16" s="128">
        <f>monthly_data!I4/1000</f>
        <v>126.28100000000001</v>
      </c>
      <c r="C16" s="128">
        <f>monthly_data!$I16/1000</f>
        <v>124.60599999999999</v>
      </c>
      <c r="D16" s="128">
        <f>monthly_data!$I28/1000</f>
        <v>126.917</v>
      </c>
      <c r="E16" s="128">
        <f>monthly_data!$I40/1000</f>
        <v>131.13399999999999</v>
      </c>
      <c r="F16" s="128">
        <f>monthly_data!$I52/1000</f>
        <v>130.54300000000001</v>
      </c>
      <c r="G16" s="128">
        <f>monthly_data!$I64/1000</f>
        <v>140.55627999999999</v>
      </c>
      <c r="H16" s="128">
        <f>monthly_data!$I76/1000</f>
        <v>49.72</v>
      </c>
      <c r="I16" s="128">
        <f>monthly_data!$I88/1000</f>
        <v>83.192999999999998</v>
      </c>
      <c r="J16" s="128">
        <f>monthly_data!$I100/1000</f>
        <v>121.9945</v>
      </c>
      <c r="K16" s="128">
        <f>monthly_data!$I112/1000</f>
        <v>139.70935</v>
      </c>
      <c r="L16" s="128">
        <f>monthly_data!$I124/1000</f>
        <v>148.32300000000001</v>
      </c>
      <c r="M16" s="129">
        <f>M$28*(SUM(H16:L16)/SUM(H$28:L$28))</f>
        <v>111.08398062622476</v>
      </c>
      <c r="N16" s="129">
        <f t="shared" ref="N16:V16" si="13">N$28*(SUM(I16:M16)/SUM(I$28:M$28))</f>
        <v>111.08669453643977</v>
      </c>
      <c r="O16" s="129">
        <f t="shared" si="13"/>
        <v>113.25977372597387</v>
      </c>
      <c r="P16" s="129">
        <f t="shared" si="13"/>
        <v>113.60495894177394</v>
      </c>
      <c r="Q16" s="129">
        <f t="shared" si="13"/>
        <v>112.07103529876539</v>
      </c>
      <c r="R16" s="129">
        <f t="shared" si="13"/>
        <v>112.78739146942742</v>
      </c>
      <c r="S16" s="129">
        <f t="shared" si="13"/>
        <v>119.44800214420724</v>
      </c>
      <c r="T16" s="129">
        <f t="shared" si="13"/>
        <v>121.22300510605963</v>
      </c>
      <c r="U16" s="129">
        <f t="shared" si="13"/>
        <v>119.57688445261111</v>
      </c>
      <c r="V16" s="129">
        <f t="shared" si="13"/>
        <v>116.6338294590699</v>
      </c>
      <c r="W16" s="122"/>
    </row>
    <row r="17" spans="1:23" x14ac:dyDescent="0.2">
      <c r="A17" s="122" t="s">
        <v>86</v>
      </c>
      <c r="B17" s="128">
        <f>monthly_data!I5/1000</f>
        <v>103.533</v>
      </c>
      <c r="C17" s="128">
        <f>monthly_data!$I17/1000</f>
        <v>121.19199999999999</v>
      </c>
      <c r="D17" s="128">
        <f>monthly_data!$I29/1000</f>
        <v>115.164</v>
      </c>
      <c r="E17" s="128">
        <f>monthly_data!$I41/1000</f>
        <v>124.575</v>
      </c>
      <c r="F17" s="128">
        <f>monthly_data!$I53/1000</f>
        <v>119.563</v>
      </c>
      <c r="G17" s="128">
        <f>monthly_data!$I65/1000</f>
        <v>122.89367999999999</v>
      </c>
      <c r="H17" s="128">
        <f>monthly_data!$I77/1000</f>
        <v>41.491</v>
      </c>
      <c r="I17" s="128">
        <f>monthly_data!$I89/1000</f>
        <v>60.183</v>
      </c>
      <c r="J17" s="128">
        <f>monthly_data!$I101/1000</f>
        <v>116.985</v>
      </c>
      <c r="K17" s="128">
        <f>monthly_data!$I113/1000</f>
        <v>119.59366</v>
      </c>
      <c r="L17" s="129">
        <f>L$28*(SUM(G17:K17)/SUM(G$28:K$28))</f>
        <v>107.66008411694439</v>
      </c>
      <c r="M17" s="129">
        <f>M$28*(SUM(H17:L17)/SUM(H$28:L$28))</f>
        <v>91.232505089603151</v>
      </c>
      <c r="N17" s="129">
        <f t="shared" ref="N17:V26" si="14">N$28*(SUM(I17:M17)/SUM(I$28:M$28))</f>
        <v>91.114087627474149</v>
      </c>
      <c r="O17" s="129">
        <f t="shared" si="14"/>
        <v>94.339085053981236</v>
      </c>
      <c r="P17" s="129">
        <f t="shared" si="14"/>
        <v>91.825875472890473</v>
      </c>
      <c r="Q17" s="129">
        <f t="shared" si="14"/>
        <v>89.335058617093594</v>
      </c>
      <c r="R17" s="129">
        <f t="shared" si="14"/>
        <v>92.031245902186171</v>
      </c>
      <c r="S17" s="129">
        <f t="shared" si="14"/>
        <v>97.340639441395453</v>
      </c>
      <c r="T17" s="129">
        <f t="shared" si="14"/>
        <v>98.662490409103</v>
      </c>
      <c r="U17" s="129">
        <f t="shared" si="14"/>
        <v>96.877191257774797</v>
      </c>
      <c r="V17" s="129">
        <f t="shared" si="14"/>
        <v>94.535297789162769</v>
      </c>
      <c r="W17" s="122"/>
    </row>
    <row r="18" spans="1:23" x14ac:dyDescent="0.2">
      <c r="A18" s="122" t="s">
        <v>87</v>
      </c>
      <c r="B18" s="128">
        <f>monthly_data!I6/1000</f>
        <v>109.035</v>
      </c>
      <c r="C18" s="128">
        <f>monthly_data!$I18/1000</f>
        <v>100.428</v>
      </c>
      <c r="D18" s="128">
        <f>monthly_data!$I30/1000</f>
        <v>130.61600000000001</v>
      </c>
      <c r="E18" s="128">
        <f>monthly_data!$I42/1000</f>
        <v>132.13300000000001</v>
      </c>
      <c r="F18" s="128">
        <f>monthly_data!$I54/1000</f>
        <v>118.068</v>
      </c>
      <c r="G18" s="128">
        <f>monthly_data!$I66/1000</f>
        <v>94.512</v>
      </c>
      <c r="H18" s="128">
        <f>monthly_data!$I78/1000</f>
        <v>42.973999999999997</v>
      </c>
      <c r="I18" s="128">
        <f>monthly_data!$I90/1000</f>
        <v>96.759</v>
      </c>
      <c r="J18" s="128">
        <f>monthly_data!$I102/1000</f>
        <v>136.21700000000001</v>
      </c>
      <c r="K18" s="128">
        <f>monthly_data!$I114/1000</f>
        <v>121.599</v>
      </c>
      <c r="L18" s="129">
        <f t="shared" ref="L18:L26" si="15">L$28*(SUM(G18:K18)/SUM(G$28:K$28))</f>
        <v>114.87747826572314</v>
      </c>
      <c r="M18" s="129">
        <f t="shared" ref="M18:M26" si="16">M$28*(SUM(H18:L18)/SUM(H$28:L$28))</f>
        <v>104.84102978264384</v>
      </c>
      <c r="N18" s="129">
        <f t="shared" si="14"/>
        <v>105.57002002902878</v>
      </c>
      <c r="O18" s="129">
        <f t="shared" si="14"/>
        <v>104.46464005319214</v>
      </c>
      <c r="P18" s="129">
        <f t="shared" si="14"/>
        <v>100.46524112519094</v>
      </c>
      <c r="Q18" s="129">
        <f t="shared" si="14"/>
        <v>99.47482998620373</v>
      </c>
      <c r="R18" s="129">
        <f t="shared" si="14"/>
        <v>103.48255215899012</v>
      </c>
      <c r="S18" s="129">
        <f t="shared" si="14"/>
        <v>108.97365468990292</v>
      </c>
      <c r="T18" s="129">
        <f t="shared" si="14"/>
        <v>109.69642362568547</v>
      </c>
      <c r="U18" s="129">
        <f t="shared" si="14"/>
        <v>107.79919032607732</v>
      </c>
      <c r="V18" s="129">
        <f t="shared" si="14"/>
        <v>105.53476479337347</v>
      </c>
      <c r="W18" s="122"/>
    </row>
    <row r="19" spans="1:23" x14ac:dyDescent="0.2">
      <c r="A19" s="122" t="s">
        <v>88</v>
      </c>
      <c r="B19" s="128">
        <f>monthly_data!I7/1000</f>
        <v>106.867</v>
      </c>
      <c r="C19" s="128">
        <f>monthly_data!$I19/1000</f>
        <v>96.870999999999995</v>
      </c>
      <c r="D19" s="128">
        <f>monthly_data!$I31/1000</f>
        <v>115.086</v>
      </c>
      <c r="E19" s="128">
        <f>monthly_data!$I43/1000</f>
        <v>126.666</v>
      </c>
      <c r="F19" s="128">
        <f>monthly_data!$I55/1000</f>
        <v>110.21599999999999</v>
      </c>
      <c r="G19" s="128">
        <f>monthly_data!$I67/1000</f>
        <v>22.875</v>
      </c>
      <c r="H19" s="128">
        <f>monthly_data!$I79/1000</f>
        <v>38.112360000000002</v>
      </c>
      <c r="I19" s="128">
        <f>monthly_data!$I91/1000</f>
        <v>94.063999999999993</v>
      </c>
      <c r="J19" s="128">
        <f>monthly_data!$I103/1000</f>
        <v>128.06200000000001</v>
      </c>
      <c r="K19" s="128">
        <f>monthly_data!$I115/1000</f>
        <v>118.628</v>
      </c>
      <c r="L19" s="129">
        <f t="shared" si="15"/>
        <v>93.791286754776451</v>
      </c>
      <c r="M19" s="129">
        <f t="shared" si="16"/>
        <v>96.704437655376708</v>
      </c>
      <c r="N19" s="129">
        <f t="shared" si="14"/>
        <v>97.657457833691026</v>
      </c>
      <c r="O19" s="129">
        <f t="shared" si="14"/>
        <v>95.818498789964934</v>
      </c>
      <c r="P19" s="129">
        <f t="shared" si="14"/>
        <v>91.58175312107636</v>
      </c>
      <c r="Q19" s="129">
        <f t="shared" si="14"/>
        <v>89.219076867420142</v>
      </c>
      <c r="R19" s="129">
        <f t="shared" si="14"/>
        <v>94.67141995370487</v>
      </c>
      <c r="S19" s="129">
        <f t="shared" si="14"/>
        <v>99.52726660352603</v>
      </c>
      <c r="T19" s="129">
        <f t="shared" si="14"/>
        <v>99.924468383816944</v>
      </c>
      <c r="U19" s="129">
        <f t="shared" si="14"/>
        <v>98.060020541023576</v>
      </c>
      <c r="V19" s="129">
        <f t="shared" si="14"/>
        <v>95.961684960882579</v>
      </c>
      <c r="W19" s="122"/>
    </row>
    <row r="20" spans="1:23" x14ac:dyDescent="0.2">
      <c r="A20" s="122" t="s">
        <v>89</v>
      </c>
      <c r="B20" s="128">
        <f>monthly_data!I8/1000</f>
        <v>98.742000000000004</v>
      </c>
      <c r="C20" s="128">
        <f>monthly_data!$I20/1000</f>
        <v>89.713999999999999</v>
      </c>
      <c r="D20" s="128">
        <f>monthly_data!$I32/1000</f>
        <v>100.188</v>
      </c>
      <c r="E20" s="128">
        <f>monthly_data!$I44/1000</f>
        <v>111.169</v>
      </c>
      <c r="F20" s="128">
        <f>monthly_data!$I56/1000</f>
        <v>114.35299999999999</v>
      </c>
      <c r="G20" s="128">
        <f>monthly_data!$I68/1000</f>
        <v>14.601000000000001</v>
      </c>
      <c r="H20" s="128">
        <f>monthly_data!$I80/1000</f>
        <v>32.674999999999997</v>
      </c>
      <c r="I20" s="128">
        <f>monthly_data!$I92/1000</f>
        <v>89.099000000000004</v>
      </c>
      <c r="J20" s="128">
        <f>monthly_data!$I104/1000</f>
        <v>115.80345999999999</v>
      </c>
      <c r="K20" s="128">
        <f>monthly_data!$I116/1000</f>
        <v>111.254</v>
      </c>
      <c r="L20" s="129">
        <f t="shared" si="15"/>
        <v>84.847619552673933</v>
      </c>
      <c r="M20" s="129">
        <f t="shared" si="16"/>
        <v>88.729531403945046</v>
      </c>
      <c r="N20" s="129">
        <f t="shared" si="14"/>
        <v>90.025720982422428</v>
      </c>
      <c r="O20" s="129">
        <f t="shared" si="14"/>
        <v>87.903030239525791</v>
      </c>
      <c r="P20" s="129">
        <f t="shared" si="14"/>
        <v>84.322304042210732</v>
      </c>
      <c r="Q20" s="129">
        <f t="shared" si="14"/>
        <v>81.766185330788787</v>
      </c>
      <c r="R20" s="129">
        <f t="shared" si="14"/>
        <v>86.985954587111252</v>
      </c>
      <c r="S20" s="129">
        <f t="shared" si="14"/>
        <v>91.474003553593121</v>
      </c>
      <c r="T20" s="129">
        <f t="shared" si="14"/>
        <v>91.781713122164845</v>
      </c>
      <c r="U20" s="129">
        <f t="shared" si="14"/>
        <v>90.091353295135974</v>
      </c>
      <c r="V20" s="129">
        <f t="shared" si="14"/>
        <v>88.12710138714489</v>
      </c>
      <c r="W20" s="122"/>
    </row>
    <row r="21" spans="1:23" x14ac:dyDescent="0.2">
      <c r="A21" s="122" t="s">
        <v>90</v>
      </c>
      <c r="B21" s="128">
        <f>monthly_data!I9/1000</f>
        <v>90.555000000000007</v>
      </c>
      <c r="C21" s="128">
        <f>monthly_data!$I21/1000</f>
        <v>78.477999999999994</v>
      </c>
      <c r="D21" s="128">
        <f>monthly_data!$I33/1000</f>
        <v>116.282</v>
      </c>
      <c r="E21" s="128">
        <f>monthly_data!$I45/1000</f>
        <v>103.226</v>
      </c>
      <c r="F21" s="128">
        <f>monthly_data!$I57/1000</f>
        <v>109.03</v>
      </c>
      <c r="G21" s="128">
        <f>monthly_data!$I69/1000</f>
        <v>17.251000000000001</v>
      </c>
      <c r="H21" s="128">
        <f>monthly_data!$I81/1000</f>
        <v>25.498999999999999</v>
      </c>
      <c r="I21" s="128">
        <f>monthly_data!$I93/1000</f>
        <v>81.977000000000004</v>
      </c>
      <c r="J21" s="128">
        <f>monthly_data!$I105/1000</f>
        <v>107.407</v>
      </c>
      <c r="K21" s="128">
        <f>monthly_data!$I117/1000</f>
        <v>116.09399999999999</v>
      </c>
      <c r="L21" s="129">
        <f t="shared" si="15"/>
        <v>81.297957979836312</v>
      </c>
      <c r="M21" s="129">
        <f t="shared" si="16"/>
        <v>84.350307764128502</v>
      </c>
      <c r="N21" s="129">
        <f t="shared" si="14"/>
        <v>86.605209032944657</v>
      </c>
      <c r="O21" s="129">
        <f t="shared" si="14"/>
        <v>85.232608508690376</v>
      </c>
      <c r="P21" s="129">
        <f t="shared" si="14"/>
        <v>82.64959325611818</v>
      </c>
      <c r="Q21" s="129">
        <f t="shared" si="14"/>
        <v>78.822093434641701</v>
      </c>
      <c r="R21" s="129">
        <f t="shared" si="14"/>
        <v>83.953341284043049</v>
      </c>
      <c r="S21" s="129">
        <f t="shared" si="14"/>
        <v>88.557819153591851</v>
      </c>
      <c r="T21" s="129">
        <f t="shared" si="14"/>
        <v>88.972554529265267</v>
      </c>
      <c r="U21" s="129">
        <f t="shared" si="14"/>
        <v>87.329797379342537</v>
      </c>
      <c r="V21" s="129">
        <f t="shared" si="14"/>
        <v>85.243957791475722</v>
      </c>
      <c r="W21" s="122"/>
    </row>
    <row r="22" spans="1:23" x14ac:dyDescent="0.2">
      <c r="A22" s="122" t="s">
        <v>91</v>
      </c>
      <c r="B22" s="128">
        <f>monthly_data!I10/1000</f>
        <v>107.30200000000001</v>
      </c>
      <c r="C22" s="128">
        <f>monthly_data!$I22/1000</f>
        <v>79.912000000000006</v>
      </c>
      <c r="D22" s="128">
        <f>monthly_data!$I34/1000</f>
        <v>111.01300000000001</v>
      </c>
      <c r="E22" s="128">
        <f>monthly_data!$I46/1000</f>
        <v>122.485</v>
      </c>
      <c r="F22" s="128">
        <f>monthly_data!$I58/1000</f>
        <v>121.553</v>
      </c>
      <c r="G22" s="128">
        <f>monthly_data!$I70/1000</f>
        <v>10.18524</v>
      </c>
      <c r="H22" s="128">
        <f>monthly_data!$I82/1000</f>
        <v>34.488999999999997</v>
      </c>
      <c r="I22" s="128">
        <f>monthly_data!$I94/1000</f>
        <v>98.787999999999997</v>
      </c>
      <c r="J22" s="128">
        <f>monthly_data!$I106/1000</f>
        <v>106.17400000000001</v>
      </c>
      <c r="K22" s="128">
        <f>monthly_data!$I118/1000</f>
        <v>127.878</v>
      </c>
      <c r="L22" s="129">
        <f t="shared" si="15"/>
        <v>88.135178160026896</v>
      </c>
      <c r="M22" s="129">
        <f t="shared" si="16"/>
        <v>93.186701883584007</v>
      </c>
      <c r="N22" s="129">
        <f t="shared" si="14"/>
        <v>94.516269492281324</v>
      </c>
      <c r="O22" s="129">
        <f t="shared" si="14"/>
        <v>91.348100337278368</v>
      </c>
      <c r="P22" s="129">
        <f t="shared" si="14"/>
        <v>90.208676252434174</v>
      </c>
      <c r="Q22" s="129">
        <f t="shared" si="14"/>
        <v>85.812340195354807</v>
      </c>
      <c r="R22" s="129">
        <f t="shared" si="14"/>
        <v>91.473541932578655</v>
      </c>
      <c r="S22" s="129">
        <f t="shared" si="14"/>
        <v>96.218674649524544</v>
      </c>
      <c r="T22" s="129">
        <f t="shared" si="14"/>
        <v>96.580335368696865</v>
      </c>
      <c r="U22" s="129">
        <f t="shared" si="14"/>
        <v>95.03920249208457</v>
      </c>
      <c r="V22" s="129">
        <f t="shared" si="14"/>
        <v>92.716832170088622</v>
      </c>
      <c r="W22" s="122"/>
    </row>
    <row r="23" spans="1:23" x14ac:dyDescent="0.2">
      <c r="A23" s="122" t="s">
        <v>92</v>
      </c>
      <c r="B23" s="128">
        <f>monthly_data!I11/1000</f>
        <v>120.633</v>
      </c>
      <c r="C23" s="128">
        <f>monthly_data!$I23/1000</f>
        <v>105.785</v>
      </c>
      <c r="D23" s="128">
        <f>monthly_data!$I35/1000</f>
        <v>129.33199999999999</v>
      </c>
      <c r="E23" s="128">
        <f>monthly_data!$I47/1000</f>
        <v>136.68</v>
      </c>
      <c r="F23" s="128">
        <f>monthly_data!$I59/1000</f>
        <v>135.32900000000001</v>
      </c>
      <c r="G23" s="128">
        <f>monthly_data!$I71/1000</f>
        <v>4.4870000000000001</v>
      </c>
      <c r="H23" s="128">
        <f>monthly_data!$I83/1000</f>
        <v>51.978000000000002</v>
      </c>
      <c r="I23" s="128">
        <f>monthly_data!$I95/1000</f>
        <v>121.434</v>
      </c>
      <c r="J23" s="128">
        <f>monthly_data!$I107/1000</f>
        <v>102.702</v>
      </c>
      <c r="K23" s="128">
        <f>monthly_data!$I119/1000</f>
        <v>127.998</v>
      </c>
      <c r="L23" s="129">
        <f t="shared" si="15"/>
        <v>95.392284171873428</v>
      </c>
      <c r="M23" s="129">
        <f t="shared" si="16"/>
        <v>102.19718487354476</v>
      </c>
      <c r="N23" s="129">
        <f t="shared" si="14"/>
        <v>101.05341053701119</v>
      </c>
      <c r="O23" s="129">
        <f t="shared" si="14"/>
        <v>94.833105760000251</v>
      </c>
      <c r="P23" s="129">
        <f t="shared" si="14"/>
        <v>95.020955219192842</v>
      </c>
      <c r="Q23" s="129">
        <f t="shared" si="14"/>
        <v>91.647421633952732</v>
      </c>
      <c r="R23" s="129">
        <f t="shared" si="14"/>
        <v>97.439484181953461</v>
      </c>
      <c r="S23" s="129">
        <f t="shared" si="14"/>
        <v>101.87165169213081</v>
      </c>
      <c r="T23" s="129">
        <f t="shared" si="14"/>
        <v>102.0456816214042</v>
      </c>
      <c r="U23" s="129">
        <f t="shared" si="14"/>
        <v>100.76509525932566</v>
      </c>
      <c r="V23" s="129">
        <f t="shared" si="14"/>
        <v>98.426912376720978</v>
      </c>
      <c r="W23" s="122"/>
    </row>
    <row r="24" spans="1:23" x14ac:dyDescent="0.2">
      <c r="A24" s="122" t="s">
        <v>93</v>
      </c>
      <c r="B24" s="128">
        <f>monthly_data!I12/1000</f>
        <v>95.341999999999999</v>
      </c>
      <c r="C24" s="128">
        <f>monthly_data!$I24/1000</f>
        <v>128.09299999999999</v>
      </c>
      <c r="D24" s="128">
        <f>monthly_data!$I36/1000</f>
        <v>128.535</v>
      </c>
      <c r="E24" s="128">
        <f>monthly_data!$I48/1000</f>
        <v>104.181</v>
      </c>
      <c r="F24" s="128">
        <f>monthly_data!$I60/1000</f>
        <v>111.08083000000001</v>
      </c>
      <c r="G24" s="128">
        <f>monthly_data!$I72/1000</f>
        <v>6.4207600000000005</v>
      </c>
      <c r="H24" s="128">
        <f>monthly_data!$I84/1000</f>
        <v>57.155999999999999</v>
      </c>
      <c r="I24" s="128">
        <f>monthly_data!$I96/1000</f>
        <v>99.956000000000003</v>
      </c>
      <c r="J24" s="128">
        <f>monthly_data!$I108/1000</f>
        <v>117.37992</v>
      </c>
      <c r="K24" s="128">
        <f>monthly_data!$I120/1000</f>
        <v>127.63500000000001</v>
      </c>
      <c r="L24" s="129">
        <f t="shared" si="15"/>
        <v>95.380302909012528</v>
      </c>
      <c r="M24" s="129">
        <f t="shared" si="16"/>
        <v>101.78859170317233</v>
      </c>
      <c r="N24" s="129">
        <f t="shared" si="14"/>
        <v>99.659338448106027</v>
      </c>
      <c r="O24" s="129">
        <f t="shared" si="14"/>
        <v>97.072561134728446</v>
      </c>
      <c r="P24" s="129">
        <f t="shared" si="14"/>
        <v>95.032217787181196</v>
      </c>
      <c r="Q24" s="129">
        <f t="shared" si="14"/>
        <v>91.729233448983322</v>
      </c>
      <c r="R24" s="129">
        <f t="shared" si="14"/>
        <v>97.545991664350836</v>
      </c>
      <c r="S24" s="129">
        <f t="shared" si="14"/>
        <v>102.09342996901222</v>
      </c>
      <c r="T24" s="129">
        <f t="shared" si="14"/>
        <v>102.61040210223939</v>
      </c>
      <c r="U24" s="129">
        <f t="shared" si="14"/>
        <v>100.9686964444161</v>
      </c>
      <c r="V24" s="129">
        <f t="shared" si="14"/>
        <v>98.661815922209968</v>
      </c>
      <c r="W24" s="122"/>
    </row>
    <row r="25" spans="1:23" x14ac:dyDescent="0.2">
      <c r="A25" s="122" t="s">
        <v>94</v>
      </c>
      <c r="B25" s="128">
        <f>monthly_data!I13/1000</f>
        <v>117.232</v>
      </c>
      <c r="C25" s="128">
        <f>monthly_data!$I25/1000</f>
        <v>122.461</v>
      </c>
      <c r="D25" s="128">
        <f>monthly_data!$I37/1000</f>
        <v>104.626</v>
      </c>
      <c r="E25" s="128">
        <f>monthly_data!$I49/1000</f>
        <v>118.205</v>
      </c>
      <c r="F25" s="128">
        <f>monthly_data!$I61/1000</f>
        <v>139.17500000000001</v>
      </c>
      <c r="G25" s="128">
        <f>monthly_data!$I73/1000</f>
        <v>18.905000000000001</v>
      </c>
      <c r="H25" s="128">
        <f>monthly_data!$I85/1000</f>
        <v>69.546000000000006</v>
      </c>
      <c r="I25" s="128">
        <f>monthly_data!$I97/1000</f>
        <v>101.562</v>
      </c>
      <c r="J25" s="128">
        <f>monthly_data!$I109/1000</f>
        <v>114.26555</v>
      </c>
      <c r="K25" s="128">
        <f>monthly_data!$I121/1000</f>
        <v>116.49299999999999</v>
      </c>
      <c r="L25" s="129">
        <f t="shared" si="15"/>
        <v>98.234110384606055</v>
      </c>
      <c r="M25" s="129">
        <f t="shared" si="16"/>
        <v>102.31920178510713</v>
      </c>
      <c r="N25" s="129">
        <f t="shared" si="14"/>
        <v>97.956016416373473</v>
      </c>
      <c r="O25" s="129">
        <f t="shared" si="14"/>
        <v>94.819669143220068</v>
      </c>
      <c r="P25" s="129">
        <f t="shared" si="14"/>
        <v>92.897775493412084</v>
      </c>
      <c r="Q25" s="129">
        <f t="shared" si="14"/>
        <v>91.221513166544653</v>
      </c>
      <c r="R25" s="129">
        <f t="shared" si="14"/>
        <v>96.326316563599278</v>
      </c>
      <c r="S25" s="129">
        <f t="shared" si="14"/>
        <v>100.43416503315898</v>
      </c>
      <c r="T25" s="129">
        <f t="shared" si="14"/>
        <v>100.96048163880602</v>
      </c>
      <c r="U25" s="129">
        <f t="shared" si="14"/>
        <v>99.488058084445385</v>
      </c>
      <c r="V25" s="129">
        <f t="shared" si="14"/>
        <v>97.362687538168757</v>
      </c>
      <c r="W25" s="122"/>
    </row>
    <row r="26" spans="1:23" x14ac:dyDescent="0.2">
      <c r="A26" s="122" t="s">
        <v>95</v>
      </c>
      <c r="B26" s="128">
        <f>monthly_data!I14/1000</f>
        <v>107.366</v>
      </c>
      <c r="C26" s="128">
        <f>monthly_data!$I26/1000</f>
        <v>124.524</v>
      </c>
      <c r="D26" s="128">
        <f>monthly_data!$I38/1000</f>
        <v>113.81100000000001</v>
      </c>
      <c r="E26" s="128">
        <f>monthly_data!$I50/1000</f>
        <v>126.05</v>
      </c>
      <c r="F26" s="128">
        <f>monthly_data!$I62/1000</f>
        <v>117.96061</v>
      </c>
      <c r="G26" s="128">
        <f>monthly_data!$I74/1000</f>
        <v>31.821999999999999</v>
      </c>
      <c r="H26" s="128">
        <f>monthly_data!$I86/1000</f>
        <v>65.471000000000004</v>
      </c>
      <c r="I26" s="128">
        <f>monthly_data!$I98/1000</f>
        <v>113.18600000000001</v>
      </c>
      <c r="J26" s="128">
        <f>monthly_data!$I110/1000</f>
        <v>132.255</v>
      </c>
      <c r="K26" s="128">
        <f>monthly_data!$I122/1000</f>
        <v>126.746</v>
      </c>
      <c r="L26" s="129">
        <f t="shared" si="15"/>
        <v>109.60567591455469</v>
      </c>
      <c r="M26" s="129">
        <f t="shared" si="16"/>
        <v>111.96862336173878</v>
      </c>
      <c r="N26" s="129">
        <f t="shared" si="14"/>
        <v>109.14870424023887</v>
      </c>
      <c r="O26" s="129">
        <f t="shared" si="14"/>
        <v>105.65053569590025</v>
      </c>
      <c r="P26" s="129">
        <f t="shared" si="14"/>
        <v>102.60944557650474</v>
      </c>
      <c r="Q26" s="129">
        <f t="shared" si="14"/>
        <v>101.11916116339904</v>
      </c>
      <c r="R26" s="129">
        <f t="shared" si="14"/>
        <v>106.63451431001633</v>
      </c>
      <c r="S26" s="129">
        <f t="shared" si="14"/>
        <v>111.45788293926736</v>
      </c>
      <c r="T26" s="129">
        <f t="shared" si="14"/>
        <v>111.94837808626671</v>
      </c>
      <c r="U26" s="129">
        <f t="shared" si="14"/>
        <v>110.21013516142681</v>
      </c>
      <c r="V26" s="129">
        <f t="shared" si="14"/>
        <v>107.91554050770804</v>
      </c>
      <c r="W26" s="122"/>
    </row>
    <row r="27" spans="1:23" x14ac:dyDescent="0.2">
      <c r="A27" s="122" t="s">
        <v>96</v>
      </c>
      <c r="B27" s="128">
        <f>monthly_data!I15/1000</f>
        <v>116.825</v>
      </c>
      <c r="C27" s="128">
        <f>monthly_data!$I27/1000</f>
        <v>125.991</v>
      </c>
      <c r="D27" s="128">
        <f>monthly_data!$I39/1000</f>
        <v>145.17599999999999</v>
      </c>
      <c r="E27" s="128">
        <f>monthly_data!$I51/1000</f>
        <v>127.157</v>
      </c>
      <c r="F27" s="128">
        <f>monthly_data!$I63/1000</f>
        <v>136.87126000000001</v>
      </c>
      <c r="G27" s="128">
        <f>monthly_data!$I75/1000</f>
        <v>37.411000000000001</v>
      </c>
      <c r="H27" s="128">
        <f>monthly_data!$I87/1000</f>
        <v>80.567999999999998</v>
      </c>
      <c r="I27" s="128">
        <f>monthly_data!$I99/1000</f>
        <v>121.9</v>
      </c>
      <c r="J27" s="128">
        <f>monthly_data!$I111/1000</f>
        <v>145.64599999999999</v>
      </c>
      <c r="K27" s="128">
        <f>monthly_data!$I123/1000</f>
        <v>144.19</v>
      </c>
      <c r="L27" s="129">
        <f t="shared" ref="L27:M27" si="17">L28-SUM(L16:L26)</f>
        <v>100.28776778997235</v>
      </c>
      <c r="M27" s="129">
        <f t="shared" si="17"/>
        <v>121.24262467093104</v>
      </c>
      <c r="N27" s="129">
        <f t="shared" ref="N27:V27" si="18">N28-SUM(N16:N26)</f>
        <v>116.41076348398815</v>
      </c>
      <c r="O27" s="129">
        <f t="shared" si="18"/>
        <v>112.46785348354456</v>
      </c>
      <c r="P27" s="129">
        <f t="shared" si="18"/>
        <v>108.34551183061444</v>
      </c>
      <c r="Q27" s="129">
        <f t="shared" si="18"/>
        <v>104.82851978731219</v>
      </c>
      <c r="R27" s="129">
        <f t="shared" si="18"/>
        <v>113.22736581554477</v>
      </c>
      <c r="S27" s="129">
        <f t="shared" si="18"/>
        <v>117.84990593654652</v>
      </c>
      <c r="T27" s="129">
        <f t="shared" si="18"/>
        <v>118.15577139293418</v>
      </c>
      <c r="U27" s="129">
        <f t="shared" si="18"/>
        <v>116.12310823142298</v>
      </c>
      <c r="V27" s="129">
        <f t="shared" si="18"/>
        <v>113.65938052158958</v>
      </c>
      <c r="W27" s="122"/>
    </row>
    <row r="28" spans="1:23" ht="12" thickBot="1" x14ac:dyDescent="0.25">
      <c r="A28" s="122" t="s">
        <v>118</v>
      </c>
      <c r="B28" s="130">
        <f>SUM(B16:B27)</f>
        <v>1299.7130000000002</v>
      </c>
      <c r="C28" s="130">
        <f t="shared" ref="C28:K28" si="19">SUM(C16:C27)</f>
        <v>1298.0549999999998</v>
      </c>
      <c r="D28" s="130">
        <f t="shared" si="19"/>
        <v>1436.7459999999999</v>
      </c>
      <c r="E28" s="130">
        <f t="shared" si="19"/>
        <v>1463.6609999999998</v>
      </c>
      <c r="F28" s="130">
        <f t="shared" si="19"/>
        <v>1463.7427000000002</v>
      </c>
      <c r="G28" s="130">
        <f t="shared" si="19"/>
        <v>521.91995999999995</v>
      </c>
      <c r="H28" s="130">
        <f t="shared" si="19"/>
        <v>589.67935999999997</v>
      </c>
      <c r="I28" s="130">
        <f t="shared" si="19"/>
        <v>1162.1010000000001</v>
      </c>
      <c r="J28" s="130">
        <f t="shared" si="19"/>
        <v>1444.8914299999999</v>
      </c>
      <c r="K28" s="130">
        <f t="shared" si="19"/>
        <v>1497.8180100000002</v>
      </c>
      <c r="L28" s="131">
        <f>L4</f>
        <v>1217.832746</v>
      </c>
      <c r="M28" s="131">
        <f t="shared" ref="M28:V28" si="20">M4</f>
        <v>1209.6447206</v>
      </c>
      <c r="N28" s="131">
        <f t="shared" si="20"/>
        <v>1200.80369266</v>
      </c>
      <c r="O28" s="131">
        <f t="shared" si="20"/>
        <v>1177.2094619260001</v>
      </c>
      <c r="P28" s="131">
        <f t="shared" si="20"/>
        <v>1148.5643081186001</v>
      </c>
      <c r="Q28" s="131">
        <f t="shared" si="20"/>
        <v>1117.0464689304602</v>
      </c>
      <c r="R28" s="131">
        <f t="shared" si="20"/>
        <v>1176.5591198235063</v>
      </c>
      <c r="S28" s="131">
        <f t="shared" si="20"/>
        <v>1235.247095805857</v>
      </c>
      <c r="T28" s="131">
        <f t="shared" si="20"/>
        <v>1242.5617053864426</v>
      </c>
      <c r="U28" s="131">
        <f t="shared" si="20"/>
        <v>1222.3287329250866</v>
      </c>
      <c r="V28" s="131">
        <f t="shared" si="20"/>
        <v>1194.7798052175954</v>
      </c>
      <c r="W28" s="122"/>
    </row>
    <row r="29" spans="1:23" x14ac:dyDescent="0.2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22"/>
    </row>
    <row r="30" spans="1:23" ht="12" thickBot="1" x14ac:dyDescent="0.25">
      <c r="A30" s="122" t="s">
        <v>127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</row>
    <row r="31" spans="1:23" ht="12" thickBot="1" x14ac:dyDescent="0.25">
      <c r="A31" s="120" t="s">
        <v>73</v>
      </c>
      <c r="B31" s="127">
        <f t="shared" ref="B31:V31" si="21">B2</f>
        <v>2015</v>
      </c>
      <c r="C31" s="127">
        <f t="shared" si="21"/>
        <v>2016</v>
      </c>
      <c r="D31" s="127">
        <f t="shared" si="21"/>
        <v>2017</v>
      </c>
      <c r="E31" s="127">
        <f t="shared" si="21"/>
        <v>2018</v>
      </c>
      <c r="F31" s="127">
        <f t="shared" si="21"/>
        <v>2019</v>
      </c>
      <c r="G31" s="127">
        <f t="shared" si="21"/>
        <v>2020</v>
      </c>
      <c r="H31" s="127">
        <f t="shared" si="21"/>
        <v>2021</v>
      </c>
      <c r="I31" s="127">
        <f t="shared" si="21"/>
        <v>2022</v>
      </c>
      <c r="J31" s="127">
        <f t="shared" si="21"/>
        <v>2023</v>
      </c>
      <c r="K31" s="127">
        <f t="shared" si="21"/>
        <v>2024</v>
      </c>
      <c r="L31" s="127">
        <f t="shared" si="21"/>
        <v>2025</v>
      </c>
      <c r="M31" s="127">
        <f t="shared" si="21"/>
        <v>2026</v>
      </c>
      <c r="N31" s="127">
        <f t="shared" si="21"/>
        <v>2027</v>
      </c>
      <c r="O31" s="127">
        <f t="shared" si="21"/>
        <v>2028</v>
      </c>
      <c r="P31" s="127">
        <f t="shared" si="21"/>
        <v>2029</v>
      </c>
      <c r="Q31" s="127">
        <f t="shared" si="21"/>
        <v>2030</v>
      </c>
      <c r="R31" s="127">
        <f t="shared" si="21"/>
        <v>2031</v>
      </c>
      <c r="S31" s="127">
        <f t="shared" si="21"/>
        <v>2032</v>
      </c>
      <c r="T31" s="127">
        <f t="shared" si="21"/>
        <v>2033</v>
      </c>
      <c r="U31" s="127">
        <f t="shared" si="21"/>
        <v>2034</v>
      </c>
      <c r="V31" s="127">
        <f t="shared" si="21"/>
        <v>2035</v>
      </c>
      <c r="W31" s="122"/>
    </row>
    <row r="32" spans="1:23" x14ac:dyDescent="0.2">
      <c r="A32" s="122" t="s">
        <v>85</v>
      </c>
      <c r="B32" s="128">
        <f>monthly_data!J4*0.8/1000</f>
        <v>0</v>
      </c>
      <c r="C32" s="128">
        <f>monthly_data!$J16*0.8/1000</f>
        <v>0</v>
      </c>
      <c r="D32" s="128">
        <f>monthly_data!$J28*0.8/1000</f>
        <v>0</v>
      </c>
      <c r="E32" s="128">
        <f>monthly_data!$J40*0.8/1000</f>
        <v>5.5976000000000008</v>
      </c>
      <c r="F32" s="128">
        <f>monthly_data!$J52*0.8/1000</f>
        <v>19.708800000000004</v>
      </c>
      <c r="G32" s="128">
        <f>monthly_data!$J64*0.8/1000</f>
        <v>7.4664000000000001</v>
      </c>
      <c r="H32" s="128">
        <f>monthly_data!$J76*0.8/1000</f>
        <v>0</v>
      </c>
      <c r="I32" s="128">
        <f>monthly_data!$J88*0.8/1000</f>
        <v>0</v>
      </c>
      <c r="J32" s="128">
        <f>monthly_data!$J100*0.8/1000</f>
        <v>0</v>
      </c>
      <c r="K32" s="128">
        <f>monthly_data!$J112*0.8/1000</f>
        <v>0</v>
      </c>
      <c r="L32" s="128">
        <f>monthly_data!$I140/1000</f>
        <v>0</v>
      </c>
      <c r="M32" s="129">
        <f>M$28*(SUM(H32:L32)/SUM(H$28:L$28))</f>
        <v>0</v>
      </c>
      <c r="N32" s="129">
        <f t="shared" ref="N32" si="22">N$28*(SUM(I32:M32)/SUM(I$28:M$28))</f>
        <v>0</v>
      </c>
      <c r="O32" s="129">
        <f t="shared" ref="O32:O42" si="23">O$28*(SUM(J32:N32)/SUM(J$28:N$28))</f>
        <v>0</v>
      </c>
      <c r="P32" s="129">
        <f t="shared" ref="P32:V42" si="24">P$28*(SUM(K32:O32)/SUM(K$28:O$28))</f>
        <v>0</v>
      </c>
      <c r="Q32" s="129">
        <f t="shared" si="24"/>
        <v>0</v>
      </c>
      <c r="R32" s="129">
        <f t="shared" si="24"/>
        <v>0</v>
      </c>
      <c r="S32" s="129">
        <f t="shared" si="24"/>
        <v>0</v>
      </c>
      <c r="T32" s="129">
        <f t="shared" si="24"/>
        <v>0</v>
      </c>
      <c r="U32" s="129">
        <f t="shared" si="24"/>
        <v>0</v>
      </c>
      <c r="V32" s="129">
        <f t="shared" si="24"/>
        <v>0</v>
      </c>
      <c r="W32" s="122"/>
    </row>
    <row r="33" spans="1:23" x14ac:dyDescent="0.2">
      <c r="A33" s="122" t="s">
        <v>86</v>
      </c>
      <c r="B33" s="128">
        <f>monthly_data!J5*0.8/1000</f>
        <v>0</v>
      </c>
      <c r="C33" s="128">
        <f>monthly_data!$J17*0.8/1000</f>
        <v>0</v>
      </c>
      <c r="D33" s="128">
        <f>monthly_data!$J29*0.8/1000</f>
        <v>0</v>
      </c>
      <c r="E33" s="128">
        <f>monthly_data!$J41*0.8/1000</f>
        <v>5.04</v>
      </c>
      <c r="F33" s="128">
        <f>monthly_data!$J53*0.8/1000</f>
        <v>43.44</v>
      </c>
      <c r="G33" s="128">
        <f>monthly_data!$J65*0.8/1000</f>
        <v>7.8584000000000005</v>
      </c>
      <c r="H33" s="128">
        <f>monthly_data!$J77*0.8/1000</f>
        <v>0</v>
      </c>
      <c r="I33" s="128">
        <f>monthly_data!$J89*0.8/1000</f>
        <v>10.986400000000001</v>
      </c>
      <c r="J33" s="128">
        <f>monthly_data!$J101*0.8/1000</f>
        <v>0</v>
      </c>
      <c r="K33" s="128">
        <f>monthly_data!$J113*0.8/1000</f>
        <v>0</v>
      </c>
      <c r="L33" s="129">
        <f>L$28*(SUM(G33:K33)/SUM(G$28:K$28))</f>
        <v>4.3995421348611243</v>
      </c>
      <c r="M33" s="129">
        <f>M$28*(SUM(H33:L33)/SUM(H$28:L$28))</f>
        <v>3.1479208940458663</v>
      </c>
      <c r="N33" s="129">
        <f t="shared" ref="N33:N42" si="25">N$28*(SUM(I33:M33)/SUM(I$28:M$28))</f>
        <v>3.4070040210383166</v>
      </c>
      <c r="O33" s="129">
        <f t="shared" si="23"/>
        <v>1.9625202725148438</v>
      </c>
      <c r="P33" s="129">
        <f t="shared" si="24"/>
        <v>2.3536830377615039</v>
      </c>
      <c r="Q33" s="129">
        <f t="shared" si="24"/>
        <v>2.8649464283795116</v>
      </c>
      <c r="R33" s="129">
        <f t="shared" si="24"/>
        <v>2.7610733189673757</v>
      </c>
      <c r="S33" s="129">
        <f t="shared" si="24"/>
        <v>2.8331744610742464</v>
      </c>
      <c r="T33" s="129">
        <f t="shared" si="24"/>
        <v>2.7113975333709028</v>
      </c>
      <c r="U33" s="129">
        <f t="shared" si="24"/>
        <v>2.7924272194469388</v>
      </c>
      <c r="V33" s="129">
        <f t="shared" si="24"/>
        <v>2.7833580339970747</v>
      </c>
      <c r="W33" s="122"/>
    </row>
    <row r="34" spans="1:23" x14ac:dyDescent="0.2">
      <c r="A34" s="122" t="s">
        <v>87</v>
      </c>
      <c r="B34" s="128">
        <f>monthly_data!J6*0.8/1000</f>
        <v>0</v>
      </c>
      <c r="C34" s="128">
        <f>monthly_data!$J18*0.8/1000</f>
        <v>0</v>
      </c>
      <c r="D34" s="128">
        <f>monthly_data!$J30*0.8/1000</f>
        <v>0</v>
      </c>
      <c r="E34" s="128">
        <f>monthly_data!$J42*0.8/1000</f>
        <v>13.580800000000002</v>
      </c>
      <c r="F34" s="128">
        <f>monthly_data!$J54*0.8/1000</f>
        <v>27.905600000000003</v>
      </c>
      <c r="G34" s="128">
        <f>monthly_data!$J66*0.8/1000</f>
        <v>6.5128000000000004</v>
      </c>
      <c r="H34" s="128">
        <f>monthly_data!$J78*0.8/1000</f>
        <v>0</v>
      </c>
      <c r="I34" s="128">
        <f>monthly_data!$J90*0.8/1000</f>
        <v>0</v>
      </c>
      <c r="J34" s="128">
        <f>monthly_data!$J102*0.8/1000</f>
        <v>0</v>
      </c>
      <c r="K34" s="128">
        <f>monthly_data!$J114*0.8/1000</f>
        <v>0</v>
      </c>
      <c r="L34" s="129">
        <f t="shared" ref="L34:M42" si="26">L$28*(SUM(G34:K34)/SUM(G$28:K$28))</f>
        <v>1.5204904279123963</v>
      </c>
      <c r="M34" s="129">
        <f t="shared" si="26"/>
        <v>0.31108810531512993</v>
      </c>
      <c r="N34" s="129">
        <f t="shared" si="25"/>
        <v>0.33669156925466126</v>
      </c>
      <c r="O34" s="129">
        <f t="shared" si="23"/>
        <v>0.38845103216868743</v>
      </c>
      <c r="P34" s="129">
        <f t="shared" si="24"/>
        <v>0.46587575079914123</v>
      </c>
      <c r="Q34" s="129">
        <f t="shared" si="24"/>
        <v>0.56707256113381033</v>
      </c>
      <c r="R34" s="129">
        <f t="shared" si="24"/>
        <v>0.41592340786129989</v>
      </c>
      <c r="S34" s="129">
        <f t="shared" si="24"/>
        <v>0.46140213336613128</v>
      </c>
      <c r="T34" s="129">
        <f t="shared" si="24"/>
        <v>0.48787186268431781</v>
      </c>
      <c r="U34" s="129">
        <f t="shared" si="24"/>
        <v>0.49515759493803146</v>
      </c>
      <c r="V34" s="129">
        <f t="shared" si="24"/>
        <v>0.48387816558738889</v>
      </c>
      <c r="W34" s="122"/>
    </row>
    <row r="35" spans="1:23" x14ac:dyDescent="0.2">
      <c r="A35" s="122" t="s">
        <v>88</v>
      </c>
      <c r="B35" s="128">
        <f>monthly_data!J7*0.8/1000</f>
        <v>15.8896</v>
      </c>
      <c r="C35" s="128">
        <f>monthly_data!$J19*0.8/1000</f>
        <v>27.933600000000002</v>
      </c>
      <c r="D35" s="128">
        <f>monthly_data!$J31*0.8/1000</f>
        <v>3.9816000000000003</v>
      </c>
      <c r="E35" s="128">
        <f>monthly_data!$J43*0.8/1000</f>
        <v>11.425600000000001</v>
      </c>
      <c r="F35" s="128">
        <f>monthly_data!$J55*0.8/1000</f>
        <v>30.4512</v>
      </c>
      <c r="G35" s="128">
        <f>monthly_data!$J67*0.8/1000</f>
        <v>0</v>
      </c>
      <c r="H35" s="128">
        <f>monthly_data!$J79*0.8/1000</f>
        <v>0</v>
      </c>
      <c r="I35" s="128">
        <f>monthly_data!$J91*0.8/1000</f>
        <v>0</v>
      </c>
      <c r="J35" s="128">
        <f>monthly_data!$J103*0.8/1000</f>
        <v>0</v>
      </c>
      <c r="K35" s="128">
        <f>monthly_data!$J115*0.8/1000</f>
        <v>0</v>
      </c>
      <c r="L35" s="129">
        <f t="shared" si="26"/>
        <v>0</v>
      </c>
      <c r="M35" s="129">
        <f t="shared" si="26"/>
        <v>0</v>
      </c>
      <c r="N35" s="129">
        <f t="shared" si="25"/>
        <v>0</v>
      </c>
      <c r="O35" s="129">
        <f t="shared" si="23"/>
        <v>0</v>
      </c>
      <c r="P35" s="129">
        <f t="shared" si="24"/>
        <v>0</v>
      </c>
      <c r="Q35" s="129">
        <f t="shared" si="24"/>
        <v>0</v>
      </c>
      <c r="R35" s="129">
        <f t="shared" si="24"/>
        <v>0</v>
      </c>
      <c r="S35" s="129">
        <f t="shared" si="24"/>
        <v>0</v>
      </c>
      <c r="T35" s="129">
        <f t="shared" si="24"/>
        <v>0</v>
      </c>
      <c r="U35" s="129">
        <f t="shared" si="24"/>
        <v>0</v>
      </c>
      <c r="V35" s="129">
        <f t="shared" si="24"/>
        <v>0</v>
      </c>
      <c r="W35" s="122"/>
    </row>
    <row r="36" spans="1:23" x14ac:dyDescent="0.2">
      <c r="A36" s="122" t="s">
        <v>89</v>
      </c>
      <c r="B36" s="128">
        <f>monthly_data!J8*0.8/1000</f>
        <v>3.8184</v>
      </c>
      <c r="C36" s="128">
        <f>monthly_data!$J20*0.8/1000</f>
        <v>23.992000000000001</v>
      </c>
      <c r="D36" s="128">
        <f>monthly_data!$J32*0.8/1000</f>
        <v>14.38</v>
      </c>
      <c r="E36" s="128">
        <f>monthly_data!$J44*0.8/1000</f>
        <v>4.34</v>
      </c>
      <c r="F36" s="128">
        <f>monthly_data!$J56*0.8/1000</f>
        <v>7.9144000000000005</v>
      </c>
      <c r="G36" s="128">
        <f>monthly_data!$J68*0.8/1000</f>
        <v>0</v>
      </c>
      <c r="H36" s="128">
        <f>monthly_data!$J80*0.8/1000</f>
        <v>0</v>
      </c>
      <c r="I36" s="128">
        <f>monthly_data!$J92*0.8/1000</f>
        <v>0</v>
      </c>
      <c r="J36" s="128">
        <f>monthly_data!$J104*0.8/1000</f>
        <v>0</v>
      </c>
      <c r="K36" s="128">
        <f>monthly_data!$J116*0.8/1000</f>
        <v>0</v>
      </c>
      <c r="L36" s="129">
        <f t="shared" si="26"/>
        <v>0</v>
      </c>
      <c r="M36" s="129">
        <f t="shared" si="26"/>
        <v>0</v>
      </c>
      <c r="N36" s="129">
        <f t="shared" si="25"/>
        <v>0</v>
      </c>
      <c r="O36" s="129">
        <f t="shared" si="23"/>
        <v>0</v>
      </c>
      <c r="P36" s="129">
        <f t="shared" si="24"/>
        <v>0</v>
      </c>
      <c r="Q36" s="129">
        <f t="shared" si="24"/>
        <v>0</v>
      </c>
      <c r="R36" s="129">
        <f t="shared" si="24"/>
        <v>0</v>
      </c>
      <c r="S36" s="129">
        <f t="shared" si="24"/>
        <v>0</v>
      </c>
      <c r="T36" s="129">
        <f t="shared" si="24"/>
        <v>0</v>
      </c>
      <c r="U36" s="129">
        <f t="shared" si="24"/>
        <v>0</v>
      </c>
      <c r="V36" s="129">
        <f t="shared" si="24"/>
        <v>0</v>
      </c>
      <c r="W36" s="122"/>
    </row>
    <row r="37" spans="1:23" x14ac:dyDescent="0.2">
      <c r="A37" s="122" t="s">
        <v>90</v>
      </c>
      <c r="B37" s="128">
        <f>monthly_data!J9*0.8/1000</f>
        <v>0</v>
      </c>
      <c r="C37" s="128">
        <f>monthly_data!$J21*0.8/1000</f>
        <v>29.8</v>
      </c>
      <c r="D37" s="128">
        <f>monthly_data!$J33*0.8/1000</f>
        <v>9.9855999999999998</v>
      </c>
      <c r="E37" s="128">
        <f>monthly_data!$J45*0.8/1000</f>
        <v>0</v>
      </c>
      <c r="F37" s="128">
        <f>monthly_data!$J57*0.8/1000</f>
        <v>9.9064000000000014</v>
      </c>
      <c r="G37" s="128">
        <f>monthly_data!$J69*0.8/1000</f>
        <v>0</v>
      </c>
      <c r="H37" s="128">
        <f>monthly_data!$J81*0.8/1000</f>
        <v>0</v>
      </c>
      <c r="I37" s="128">
        <f>monthly_data!$J93*0.8/1000</f>
        <v>0</v>
      </c>
      <c r="J37" s="128">
        <f>monthly_data!$J105*0.8/1000</f>
        <v>0</v>
      </c>
      <c r="K37" s="128">
        <f>monthly_data!$J117*0.8/1000</f>
        <v>11.3992</v>
      </c>
      <c r="L37" s="129">
        <f t="shared" si="26"/>
        <v>2.6612784802019087</v>
      </c>
      <c r="M37" s="129">
        <f t="shared" si="26"/>
        <v>2.8767347231745819</v>
      </c>
      <c r="N37" s="129">
        <f t="shared" si="25"/>
        <v>3.1134984325224102</v>
      </c>
      <c r="O37" s="129">
        <f t="shared" si="23"/>
        <v>3.5921353256521336</v>
      </c>
      <c r="P37" s="129">
        <f t="shared" si="24"/>
        <v>4.3081073371522969</v>
      </c>
      <c r="Q37" s="129">
        <f t="shared" si="24"/>
        <v>3.1052919251671298</v>
      </c>
      <c r="R37" s="129">
        <f t="shared" si="24"/>
        <v>3.4163006561436018</v>
      </c>
      <c r="S37" s="129">
        <f t="shared" si="24"/>
        <v>3.7216131875139196</v>
      </c>
      <c r="T37" s="129">
        <f t="shared" si="24"/>
        <v>3.8506904581531072</v>
      </c>
      <c r="U37" s="129">
        <f t="shared" si="24"/>
        <v>3.7995572023221418</v>
      </c>
      <c r="V37" s="129">
        <f t="shared" si="24"/>
        <v>3.5668423495412309</v>
      </c>
      <c r="W37" s="122"/>
    </row>
    <row r="38" spans="1:23" x14ac:dyDescent="0.2">
      <c r="A38" s="122" t="s">
        <v>91</v>
      </c>
      <c r="B38" s="128">
        <f>monthly_data!J10*0.8/1000</f>
        <v>15.2416</v>
      </c>
      <c r="C38" s="128">
        <f>monthly_data!$J22*0.8/1000</f>
        <v>29.497600000000002</v>
      </c>
      <c r="D38" s="128">
        <f>monthly_data!$J34*0.8/1000</f>
        <v>7.4728000000000003</v>
      </c>
      <c r="E38" s="128">
        <f>monthly_data!$J46*0.8/1000</f>
        <v>40.325600000000009</v>
      </c>
      <c r="F38" s="128">
        <f>monthly_data!$J58*0.8/1000</f>
        <v>22.948800000000002</v>
      </c>
      <c r="G38" s="128">
        <f>monthly_data!$J70*0.8/1000</f>
        <v>0</v>
      </c>
      <c r="H38" s="128">
        <f>monthly_data!$J82*0.8/1000</f>
        <v>0</v>
      </c>
      <c r="I38" s="128">
        <f>monthly_data!$J94*0.8/1000</f>
        <v>0</v>
      </c>
      <c r="J38" s="128">
        <f>monthly_data!$J106*0.8/1000</f>
        <v>0</v>
      </c>
      <c r="K38" s="128">
        <f>monthly_data!$J118*0.8/1000</f>
        <v>0</v>
      </c>
      <c r="L38" s="129">
        <f t="shared" si="26"/>
        <v>0</v>
      </c>
      <c r="M38" s="129">
        <f t="shared" si="26"/>
        <v>0</v>
      </c>
      <c r="N38" s="129">
        <f t="shared" si="25"/>
        <v>0</v>
      </c>
      <c r="O38" s="129">
        <f t="shared" si="23"/>
        <v>0</v>
      </c>
      <c r="P38" s="129">
        <f t="shared" si="24"/>
        <v>0</v>
      </c>
      <c r="Q38" s="129">
        <f t="shared" si="24"/>
        <v>0</v>
      </c>
      <c r="R38" s="129">
        <f t="shared" si="24"/>
        <v>0</v>
      </c>
      <c r="S38" s="129">
        <f t="shared" si="24"/>
        <v>0</v>
      </c>
      <c r="T38" s="129">
        <f t="shared" si="24"/>
        <v>0</v>
      </c>
      <c r="U38" s="129">
        <f t="shared" si="24"/>
        <v>0</v>
      </c>
      <c r="V38" s="129">
        <f t="shared" si="24"/>
        <v>0</v>
      </c>
      <c r="W38" s="122"/>
    </row>
    <row r="39" spans="1:23" x14ac:dyDescent="0.2">
      <c r="A39" s="122" t="s">
        <v>92</v>
      </c>
      <c r="B39" s="128">
        <f>monthly_data!J11*0.8/1000</f>
        <v>0</v>
      </c>
      <c r="C39" s="128">
        <f>monthly_data!$J23*0.8/1000</f>
        <v>9.9448000000000008</v>
      </c>
      <c r="D39" s="128">
        <f>monthly_data!$J35*0.8/1000</f>
        <v>4.38</v>
      </c>
      <c r="E39" s="128">
        <f>monthly_data!$J47*0.8/1000</f>
        <v>0</v>
      </c>
      <c r="F39" s="128">
        <f>monthly_data!$J59*0.8/1000</f>
        <v>7.9560000000000004</v>
      </c>
      <c r="G39" s="128">
        <f>monthly_data!$J71*0.8/1000</f>
        <v>0</v>
      </c>
      <c r="H39" s="128">
        <f>monthly_data!$J83*0.8/1000</f>
        <v>0</v>
      </c>
      <c r="I39" s="128">
        <f>monthly_data!$J95*0.8/1000</f>
        <v>0</v>
      </c>
      <c r="J39" s="128">
        <f>monthly_data!$J107*0.8/1000</f>
        <v>0</v>
      </c>
      <c r="K39" s="128">
        <f>monthly_data!$J119*0.8/1000</f>
        <v>0</v>
      </c>
      <c r="L39" s="129">
        <f t="shared" si="26"/>
        <v>0</v>
      </c>
      <c r="M39" s="129">
        <f t="shared" si="26"/>
        <v>0</v>
      </c>
      <c r="N39" s="129">
        <f t="shared" si="25"/>
        <v>0</v>
      </c>
      <c r="O39" s="129">
        <f t="shared" si="23"/>
        <v>0</v>
      </c>
      <c r="P39" s="129">
        <f t="shared" si="24"/>
        <v>0</v>
      </c>
      <c r="Q39" s="129">
        <f t="shared" si="24"/>
        <v>0</v>
      </c>
      <c r="R39" s="129">
        <f t="shared" si="24"/>
        <v>0</v>
      </c>
      <c r="S39" s="129">
        <f t="shared" si="24"/>
        <v>0</v>
      </c>
      <c r="T39" s="129">
        <f t="shared" si="24"/>
        <v>0</v>
      </c>
      <c r="U39" s="129">
        <f t="shared" si="24"/>
        <v>0</v>
      </c>
      <c r="V39" s="129">
        <f t="shared" si="24"/>
        <v>0</v>
      </c>
      <c r="W39" s="122"/>
    </row>
    <row r="40" spans="1:23" x14ac:dyDescent="0.2">
      <c r="A40" s="122" t="s">
        <v>93</v>
      </c>
      <c r="B40" s="128">
        <f>monthly_data!J12*0.8/1000</f>
        <v>19.975200000000001</v>
      </c>
      <c r="C40" s="128">
        <f>monthly_data!$J24*0.8/1000</f>
        <v>0</v>
      </c>
      <c r="D40" s="128">
        <f>monthly_data!$J36*0.8/1000</f>
        <v>14.384</v>
      </c>
      <c r="E40" s="128">
        <f>monthly_data!$J48*0.8/1000</f>
        <v>19.084</v>
      </c>
      <c r="F40" s="128">
        <f>monthly_data!$J60*0.8/1000</f>
        <v>30.372800000000002</v>
      </c>
      <c r="G40" s="128">
        <f>monthly_data!$J72*0.8/1000</f>
        <v>0</v>
      </c>
      <c r="H40" s="128">
        <f>monthly_data!$J84*0.8/1000</f>
        <v>0</v>
      </c>
      <c r="I40" s="128">
        <f>monthly_data!$J96*0.8/1000</f>
        <v>0</v>
      </c>
      <c r="J40" s="128">
        <f>monthly_data!$J108*0.8/1000</f>
        <v>12.0608</v>
      </c>
      <c r="K40" s="128">
        <f>monthly_data!$J120*0.8/1000</f>
        <v>0</v>
      </c>
      <c r="L40" s="129">
        <f t="shared" si="26"/>
        <v>2.8157368494297121</v>
      </c>
      <c r="M40" s="129">
        <f t="shared" si="26"/>
        <v>3.0436979918997826</v>
      </c>
      <c r="N40" s="129">
        <f t="shared" si="25"/>
        <v>3.2942032682088471</v>
      </c>
      <c r="O40" s="129">
        <f t="shared" si="23"/>
        <v>3.8006198448685229</v>
      </c>
      <c r="P40" s="129">
        <f t="shared" si="24"/>
        <v>2.3604743469135303</v>
      </c>
      <c r="Q40" s="129">
        <f t="shared" si="24"/>
        <v>2.8732129352060314</v>
      </c>
      <c r="R40" s="129">
        <f t="shared" si="24"/>
        <v>3.0899507684069496</v>
      </c>
      <c r="S40" s="129">
        <f t="shared" si="24"/>
        <v>3.2723385511670755</v>
      </c>
      <c r="T40" s="129">
        <f t="shared" si="24"/>
        <v>3.2677099531672322</v>
      </c>
      <c r="U40" s="129">
        <f t="shared" si="24"/>
        <v>3.0689825217002156</v>
      </c>
      <c r="V40" s="129">
        <f t="shared" si="24"/>
        <v>3.1041276552048278</v>
      </c>
      <c r="W40" s="122"/>
    </row>
    <row r="41" spans="1:23" x14ac:dyDescent="0.2">
      <c r="A41" s="122" t="s">
        <v>94</v>
      </c>
      <c r="B41" s="128">
        <f>monthly_data!J13*0.8/1000</f>
        <v>15.843999999999999</v>
      </c>
      <c r="C41" s="128">
        <f>monthly_data!$J25*0.8/1000</f>
        <v>0</v>
      </c>
      <c r="D41" s="128">
        <f>monthly_data!$J37*0.8/1000</f>
        <v>19.975200000000001</v>
      </c>
      <c r="E41" s="128">
        <f>monthly_data!$J49*0.8/1000</f>
        <v>31.446400000000001</v>
      </c>
      <c r="F41" s="128">
        <f>monthly_data!$J61*0.8/1000</f>
        <v>3.1840000000000002</v>
      </c>
      <c r="G41" s="128">
        <f>monthly_data!$J73*0.8/1000</f>
        <v>0</v>
      </c>
      <c r="H41" s="128">
        <f>monthly_data!$J85*0.8/1000</f>
        <v>0</v>
      </c>
      <c r="I41" s="128">
        <f>monthly_data!$J97*0.8/1000</f>
        <v>0</v>
      </c>
      <c r="J41" s="128">
        <f>monthly_data!$J109*0.8/1000</f>
        <v>23.964800000000004</v>
      </c>
      <c r="K41" s="128">
        <f>monthly_data!$J121*0.8/1000</f>
        <v>0</v>
      </c>
      <c r="L41" s="129">
        <f t="shared" si="26"/>
        <v>5.5948668785829447</v>
      </c>
      <c r="M41" s="129">
        <f t="shared" si="26"/>
        <v>6.0478254872214041</v>
      </c>
      <c r="N41" s="129">
        <f t="shared" si="25"/>
        <v>6.5455792718535575</v>
      </c>
      <c r="O41" s="129">
        <f t="shared" si="23"/>
        <v>7.5518286065853992</v>
      </c>
      <c r="P41" s="129">
        <f t="shared" si="24"/>
        <v>4.6902606484572642</v>
      </c>
      <c r="Q41" s="129">
        <f t="shared" si="24"/>
        <v>5.7090718152714164</v>
      </c>
      <c r="R41" s="129">
        <f t="shared" si="24"/>
        <v>6.1397297173254559</v>
      </c>
      <c r="S41" s="129">
        <f t="shared" si="24"/>
        <v>6.5021340964951513</v>
      </c>
      <c r="T41" s="129">
        <f t="shared" si="24"/>
        <v>6.4929370759536731</v>
      </c>
      <c r="U41" s="129">
        <f t="shared" si="24"/>
        <v>6.0980658278092088</v>
      </c>
      <c r="V41" s="129">
        <f t="shared" si="24"/>
        <v>6.1678991801085035</v>
      </c>
      <c r="W41" s="122"/>
    </row>
    <row r="42" spans="1:23" x14ac:dyDescent="0.2">
      <c r="A42" s="122" t="s">
        <v>95</v>
      </c>
      <c r="B42" s="128">
        <f>monthly_data!J14*0.8/1000</f>
        <v>4.3224000000000009</v>
      </c>
      <c r="C42" s="128">
        <f>monthly_data!$J26*0.8/1000</f>
        <v>0</v>
      </c>
      <c r="D42" s="128">
        <f>monthly_data!$J38*0.8/1000</f>
        <v>14.3368</v>
      </c>
      <c r="E42" s="128">
        <f>monthly_data!$J50*0.8/1000</f>
        <v>9.5688000000000013</v>
      </c>
      <c r="F42" s="128">
        <f>monthly_data!$J62*0.8/1000</f>
        <v>7.48</v>
      </c>
      <c r="G42" s="128">
        <f>monthly_data!$J74*0.8/1000</f>
        <v>0</v>
      </c>
      <c r="H42" s="128">
        <f>monthly_data!$J86*0.8/1000</f>
        <v>0</v>
      </c>
      <c r="I42" s="128">
        <f>monthly_data!$J98*0.8/1000</f>
        <v>0</v>
      </c>
      <c r="J42" s="128">
        <f>monthly_data!$J110*0.8/1000</f>
        <v>0</v>
      </c>
      <c r="K42" s="128">
        <f>monthly_data!$J122*0.8/1000</f>
        <v>0</v>
      </c>
      <c r="L42" s="129">
        <f t="shared" si="26"/>
        <v>0</v>
      </c>
      <c r="M42" s="129">
        <f t="shared" si="26"/>
        <v>0</v>
      </c>
      <c r="N42" s="129">
        <f t="shared" si="25"/>
        <v>0</v>
      </c>
      <c r="O42" s="129">
        <f t="shared" si="23"/>
        <v>0</v>
      </c>
      <c r="P42" s="129">
        <f t="shared" si="24"/>
        <v>0</v>
      </c>
      <c r="Q42" s="129">
        <f t="shared" si="24"/>
        <v>0</v>
      </c>
      <c r="R42" s="129">
        <f t="shared" si="24"/>
        <v>0</v>
      </c>
      <c r="S42" s="129">
        <f t="shared" si="24"/>
        <v>0</v>
      </c>
      <c r="T42" s="129">
        <f t="shared" si="24"/>
        <v>0</v>
      </c>
      <c r="U42" s="129">
        <f t="shared" si="24"/>
        <v>0</v>
      </c>
      <c r="V42" s="129">
        <f t="shared" si="24"/>
        <v>0</v>
      </c>
      <c r="W42" s="122"/>
    </row>
    <row r="43" spans="1:23" x14ac:dyDescent="0.2">
      <c r="A43" s="122" t="s">
        <v>96</v>
      </c>
      <c r="B43" s="128">
        <f>monthly_data!J15*0.8/1000</f>
        <v>13.397600000000001</v>
      </c>
      <c r="C43" s="128">
        <f>monthly_data!$J27*0.8/1000</f>
        <v>0</v>
      </c>
      <c r="D43" s="128">
        <f>monthly_data!$J39*0.8/1000</f>
        <v>0</v>
      </c>
      <c r="E43" s="128">
        <f>monthly_data!$J51*0.8/1000</f>
        <v>18.712</v>
      </c>
      <c r="F43" s="128">
        <f>monthly_data!$J63*0.8/1000</f>
        <v>2.4264000000000001</v>
      </c>
      <c r="G43" s="128">
        <f>monthly_data!$J75*0.8/1000</f>
        <v>0</v>
      </c>
      <c r="H43" s="128">
        <f>monthly_data!$J87*0.8/1000</f>
        <v>0</v>
      </c>
      <c r="I43" s="128">
        <f>monthly_data!$J99*0.8/1000</f>
        <v>0</v>
      </c>
      <c r="J43" s="128">
        <f>monthly_data!$J111*0.8/1000</f>
        <v>0</v>
      </c>
      <c r="K43" s="128">
        <f>monthly_data!$J123*0.8/1000</f>
        <v>0</v>
      </c>
      <c r="L43" s="129">
        <f t="shared" ref="L43:M43" si="27">L44-SUM(L32:L42)</f>
        <v>67.855704781685844</v>
      </c>
      <c r="M43" s="129">
        <f t="shared" si="27"/>
        <v>73.302264202288285</v>
      </c>
      <c r="N43" s="129">
        <f t="shared" ref="N43:V43" si="28">N44-SUM(N32:N42)</f>
        <v>73.328744419544634</v>
      </c>
      <c r="O43" s="129">
        <f t="shared" si="28"/>
        <v>70.607475157736204</v>
      </c>
      <c r="P43" s="129">
        <f t="shared" si="28"/>
        <v>70.143902921126994</v>
      </c>
      <c r="Q43" s="129">
        <f t="shared" si="28"/>
        <v>66.646589665630884</v>
      </c>
      <c r="R43" s="129">
        <f t="shared" si="28"/>
        <v>71.162976718406568</v>
      </c>
      <c r="S43" s="129">
        <f t="shared" si="28"/>
        <v>74.683341123976589</v>
      </c>
      <c r="T43" s="129">
        <f t="shared" si="28"/>
        <v>74.971106238835603</v>
      </c>
      <c r="U43" s="129">
        <f t="shared" si="28"/>
        <v>73.83716292891944</v>
      </c>
      <c r="V43" s="129">
        <f t="shared" si="28"/>
        <v>72.020996002705857</v>
      </c>
      <c r="W43" s="122"/>
    </row>
    <row r="44" spans="1:23" ht="12" thickBot="1" x14ac:dyDescent="0.25">
      <c r="A44" s="122" t="s">
        <v>118</v>
      </c>
      <c r="B44" s="130">
        <f>SUM(B32:B43)</f>
        <v>88.488799999999998</v>
      </c>
      <c r="C44" s="130">
        <f t="shared" ref="C44:K44" si="29">SUM(C32:C43)</f>
        <v>121.16800000000001</v>
      </c>
      <c r="D44" s="130">
        <f t="shared" si="29"/>
        <v>88.896000000000001</v>
      </c>
      <c r="E44" s="130">
        <f t="shared" si="29"/>
        <v>159.12080000000003</v>
      </c>
      <c r="F44" s="130">
        <f t="shared" si="29"/>
        <v>213.6944</v>
      </c>
      <c r="G44" s="130">
        <f t="shared" si="29"/>
        <v>21.837600000000002</v>
      </c>
      <c r="H44" s="130">
        <f t="shared" si="29"/>
        <v>0</v>
      </c>
      <c r="I44" s="130">
        <f t="shared" si="29"/>
        <v>10.986400000000001</v>
      </c>
      <c r="J44" s="130">
        <f t="shared" si="29"/>
        <v>36.025600000000004</v>
      </c>
      <c r="K44" s="130">
        <f t="shared" si="29"/>
        <v>11.3992</v>
      </c>
      <c r="L44" s="131">
        <f>L20</f>
        <v>84.847619552673933</v>
      </c>
      <c r="M44" s="131">
        <f t="shared" ref="M44:V44" si="30">M20</f>
        <v>88.729531403945046</v>
      </c>
      <c r="N44" s="131">
        <f t="shared" si="30"/>
        <v>90.025720982422428</v>
      </c>
      <c r="O44" s="131">
        <f t="shared" si="30"/>
        <v>87.903030239525791</v>
      </c>
      <c r="P44" s="131">
        <f t="shared" si="30"/>
        <v>84.322304042210732</v>
      </c>
      <c r="Q44" s="131">
        <f t="shared" si="30"/>
        <v>81.766185330788787</v>
      </c>
      <c r="R44" s="131">
        <f t="shared" si="30"/>
        <v>86.985954587111252</v>
      </c>
      <c r="S44" s="131">
        <f t="shared" si="30"/>
        <v>91.474003553593121</v>
      </c>
      <c r="T44" s="131">
        <f t="shared" si="30"/>
        <v>91.781713122164845</v>
      </c>
      <c r="U44" s="131">
        <f t="shared" si="30"/>
        <v>90.091353295135974</v>
      </c>
      <c r="V44" s="131">
        <f t="shared" si="30"/>
        <v>88.12710138714489</v>
      </c>
      <c r="W44" s="122"/>
    </row>
    <row r="45" spans="1:23" x14ac:dyDescent="0.2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22"/>
    </row>
    <row r="46" spans="1:23" ht="12" thickBot="1" x14ac:dyDescent="0.25">
      <c r="A46" s="122" t="s">
        <v>128</v>
      </c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</row>
    <row r="47" spans="1:23" ht="12" thickBot="1" x14ac:dyDescent="0.25">
      <c r="A47" s="120" t="s">
        <v>73</v>
      </c>
      <c r="B47" s="127">
        <f t="shared" ref="B47:V47" si="31">B2</f>
        <v>2015</v>
      </c>
      <c r="C47" s="127">
        <f t="shared" si="31"/>
        <v>2016</v>
      </c>
      <c r="D47" s="127">
        <f t="shared" si="31"/>
        <v>2017</v>
      </c>
      <c r="E47" s="127">
        <f t="shared" si="31"/>
        <v>2018</v>
      </c>
      <c r="F47" s="127">
        <f t="shared" si="31"/>
        <v>2019</v>
      </c>
      <c r="G47" s="127">
        <f t="shared" si="31"/>
        <v>2020</v>
      </c>
      <c r="H47" s="127">
        <f t="shared" si="31"/>
        <v>2021</v>
      </c>
      <c r="I47" s="127">
        <f t="shared" si="31"/>
        <v>2022</v>
      </c>
      <c r="J47" s="127">
        <f t="shared" si="31"/>
        <v>2023</v>
      </c>
      <c r="K47" s="127">
        <f t="shared" si="31"/>
        <v>2024</v>
      </c>
      <c r="L47" s="127">
        <f t="shared" si="31"/>
        <v>2025</v>
      </c>
      <c r="M47" s="127">
        <f t="shared" si="31"/>
        <v>2026</v>
      </c>
      <c r="N47" s="127">
        <f t="shared" si="31"/>
        <v>2027</v>
      </c>
      <c r="O47" s="127">
        <f t="shared" si="31"/>
        <v>2028</v>
      </c>
      <c r="P47" s="127">
        <f t="shared" si="31"/>
        <v>2029</v>
      </c>
      <c r="Q47" s="127">
        <f t="shared" si="31"/>
        <v>2030</v>
      </c>
      <c r="R47" s="127">
        <f t="shared" si="31"/>
        <v>2031</v>
      </c>
      <c r="S47" s="127">
        <f t="shared" si="31"/>
        <v>2032</v>
      </c>
      <c r="T47" s="127">
        <f t="shared" si="31"/>
        <v>2033</v>
      </c>
      <c r="U47" s="127">
        <f t="shared" si="31"/>
        <v>2034</v>
      </c>
      <c r="V47" s="127">
        <f t="shared" si="31"/>
        <v>2035</v>
      </c>
      <c r="W47" s="122"/>
    </row>
    <row r="48" spans="1:23" x14ac:dyDescent="0.2">
      <c r="A48" s="122" t="s">
        <v>85</v>
      </c>
      <c r="B48" s="128">
        <f>monthly_data!$N4*0.8/1000</f>
        <v>0</v>
      </c>
      <c r="C48" s="128">
        <f>monthly_data!$N16*0.8/1000</f>
        <v>0</v>
      </c>
      <c r="D48" s="128">
        <f>monthly_data!$N28*0.8/1000</f>
        <v>0</v>
      </c>
      <c r="E48" s="128">
        <f>monthly_data!$N40*0.8/1000</f>
        <v>0</v>
      </c>
      <c r="F48" s="128">
        <f>monthly_data!$N52*0.8/1000</f>
        <v>0</v>
      </c>
      <c r="G48" s="128">
        <f>monthly_data!$N64*0.8/1000</f>
        <v>0</v>
      </c>
      <c r="H48" s="128">
        <f>monthly_data!$N76*0.8/1000</f>
        <v>0</v>
      </c>
      <c r="I48" s="128">
        <f>monthly_data!$N88*0.8/1000</f>
        <v>0</v>
      </c>
      <c r="J48" s="128">
        <f>monthly_data!$N100*0.8/1000</f>
        <v>1.7584000000000002</v>
      </c>
      <c r="K48" s="128">
        <f>monthly_data!$N112*0.8/1000</f>
        <v>0</v>
      </c>
      <c r="L48" s="128">
        <f>monthly_data!$N124*0.8/1000</f>
        <v>0</v>
      </c>
      <c r="M48" s="129">
        <f t="shared" ref="M48:M49" si="32">M$60*(SUM(H48:L48)/SUM(H$60:L$60))</f>
        <v>0.26654200764350294</v>
      </c>
      <c r="N48" s="129">
        <f t="shared" ref="N48:N58" si="33">N$60*(SUM(I48:M48)/SUM(I$60:M$60))</f>
        <v>0.35952315372994142</v>
      </c>
      <c r="O48" s="129">
        <f t="shared" ref="O48:V58" si="34">O$60*(SUM(J48:N48)/SUM(J$60:N$60))</f>
        <v>0.3817506237758827</v>
      </c>
      <c r="P48" s="129">
        <f t="shared" si="34"/>
        <v>0.18417973042978306</v>
      </c>
      <c r="Q48" s="129">
        <f t="shared" si="34"/>
        <v>0.29221317004598873</v>
      </c>
      <c r="R48" s="129">
        <f t="shared" si="34"/>
        <v>0.31916229347098612</v>
      </c>
      <c r="S48" s="129">
        <f t="shared" si="34"/>
        <v>0.3102557664281328</v>
      </c>
      <c r="T48" s="129">
        <f t="shared" si="34"/>
        <v>0.32120548201813609</v>
      </c>
      <c r="U48" s="129">
        <f t="shared" si="34"/>
        <v>0.29397996746855659</v>
      </c>
      <c r="V48" s="129">
        <f t="shared" si="34"/>
        <v>0.28271459650676606</v>
      </c>
      <c r="W48" s="122"/>
    </row>
    <row r="49" spans="1:23" x14ac:dyDescent="0.2">
      <c r="A49" s="122" t="s">
        <v>86</v>
      </c>
      <c r="B49" s="128">
        <f>monthly_data!$N5*0.8/1000</f>
        <v>0</v>
      </c>
      <c r="C49" s="128">
        <f>monthly_data!$N17*0.8/1000</f>
        <v>0</v>
      </c>
      <c r="D49" s="128">
        <f>monthly_data!$N29*0.8/1000</f>
        <v>0</v>
      </c>
      <c r="E49" s="128">
        <f>monthly_data!$N41*0.8/1000</f>
        <v>0</v>
      </c>
      <c r="F49" s="128">
        <f>monthly_data!$N53*0.8/1000</f>
        <v>0</v>
      </c>
      <c r="G49" s="128">
        <f>monthly_data!$N65*0.8/1000</f>
        <v>1.5968000000000002</v>
      </c>
      <c r="H49" s="128">
        <f>monthly_data!$N77*0.8/1000</f>
        <v>2.3928000000000003</v>
      </c>
      <c r="I49" s="128">
        <f>monthly_data!$N89*0.8/1000</f>
        <v>0</v>
      </c>
      <c r="J49" s="128">
        <f>monthly_data!$N101*0.8/1000</f>
        <v>4.0384000000000002</v>
      </c>
      <c r="K49" s="128">
        <f>monthly_data!$N113*0.8/1000</f>
        <v>0</v>
      </c>
      <c r="L49" s="128">
        <f>monthly_data!$N125*0.8/1000</f>
        <v>0</v>
      </c>
      <c r="M49" s="129">
        <f t="shared" si="32"/>
        <v>0.97485495880169237</v>
      </c>
      <c r="N49" s="129">
        <f t="shared" si="33"/>
        <v>0.89009029712319854</v>
      </c>
      <c r="O49" s="129">
        <f t="shared" si="34"/>
        <v>0.94512000859582923</v>
      </c>
      <c r="P49" s="129">
        <f t="shared" si="34"/>
        <v>0.51354331866595782</v>
      </c>
      <c r="Q49" s="129">
        <f t="shared" si="34"/>
        <v>0.81477001162474605</v>
      </c>
      <c r="R49" s="129">
        <f t="shared" si="34"/>
        <v>0.88991151740563257</v>
      </c>
      <c r="S49" s="129">
        <f t="shared" si="34"/>
        <v>0.81830942385277805</v>
      </c>
      <c r="T49" s="129">
        <f t="shared" si="34"/>
        <v>0.85974872967269633</v>
      </c>
      <c r="U49" s="129">
        <f t="shared" si="34"/>
        <v>0.80267410796378591</v>
      </c>
      <c r="V49" s="129">
        <f t="shared" si="34"/>
        <v>0.76995362351097152</v>
      </c>
      <c r="W49" s="122"/>
    </row>
    <row r="50" spans="1:23" x14ac:dyDescent="0.2">
      <c r="A50" s="122" t="s">
        <v>87</v>
      </c>
      <c r="B50" s="128">
        <f>monthly_data!$N6*0.8/1000</f>
        <v>0</v>
      </c>
      <c r="C50" s="128">
        <f>monthly_data!$N18*0.8/1000</f>
        <v>0</v>
      </c>
      <c r="D50" s="128">
        <f>monthly_data!$N30*0.8/1000</f>
        <v>0</v>
      </c>
      <c r="E50" s="128">
        <f>monthly_data!$N42*0.8/1000</f>
        <v>0</v>
      </c>
      <c r="F50" s="128">
        <f>monthly_data!$N54*0.8/1000</f>
        <v>0</v>
      </c>
      <c r="G50" s="128">
        <f>monthly_data!$N66*0.8/1000</f>
        <v>4.524</v>
      </c>
      <c r="H50" s="128">
        <f>monthly_data!$N78*0.8/1000</f>
        <v>0</v>
      </c>
      <c r="I50" s="128">
        <f>monthly_data!$N90*0.8/1000</f>
        <v>0</v>
      </c>
      <c r="J50" s="128">
        <f>monthly_data!$N102*0.8/1000</f>
        <v>1.7576000000000001</v>
      </c>
      <c r="K50" s="128">
        <f>monthly_data!$N114*0.8/1000</f>
        <v>6.7832000000000008</v>
      </c>
      <c r="L50" s="129">
        <f>L$60*(SUM(G50:K50)/SUM(G$60:K$60))</f>
        <v>1.5335963652421378</v>
      </c>
      <c r="M50" s="129">
        <f>M$60*(SUM(H50:L50)/SUM(H$60:L$60))</f>
        <v>1.5270984036556232</v>
      </c>
      <c r="N50" s="129">
        <f t="shared" si="33"/>
        <v>2.0598150325052957</v>
      </c>
      <c r="O50" s="129">
        <f t="shared" si="34"/>
        <v>2.187162816535869</v>
      </c>
      <c r="P50" s="129">
        <f t="shared" si="34"/>
        <v>2.575126484953663</v>
      </c>
      <c r="Q50" s="129">
        <f t="shared" si="34"/>
        <v>2.4227306370199471</v>
      </c>
      <c r="R50" s="129">
        <f t="shared" si="34"/>
        <v>2.3163824563716902</v>
      </c>
      <c r="S50" s="129">
        <f t="shared" si="34"/>
        <v>2.3339840934842413</v>
      </c>
      <c r="T50" s="129">
        <f t="shared" si="34"/>
        <v>2.555585639189935</v>
      </c>
      <c r="U50" s="129">
        <f t="shared" si="34"/>
        <v>2.5141094087392877</v>
      </c>
      <c r="V50" s="129">
        <f t="shared" si="34"/>
        <v>2.2338022830398105</v>
      </c>
      <c r="W50" s="122"/>
    </row>
    <row r="51" spans="1:23" x14ac:dyDescent="0.2">
      <c r="A51" s="122" t="s">
        <v>88</v>
      </c>
      <c r="B51" s="128">
        <f>monthly_data!$N7*0.8/1000</f>
        <v>0</v>
      </c>
      <c r="C51" s="128">
        <f>monthly_data!$N19*0.8/1000</f>
        <v>0</v>
      </c>
      <c r="D51" s="128">
        <f>monthly_data!$N31*0.8/1000</f>
        <v>0</v>
      </c>
      <c r="E51" s="128">
        <f>monthly_data!$N43*0.8/1000</f>
        <v>0</v>
      </c>
      <c r="F51" s="128">
        <f>monthly_data!$N55*0.8/1000</f>
        <v>0</v>
      </c>
      <c r="G51" s="128">
        <f>monthly_data!$N67*0.8/1000</f>
        <v>4.048</v>
      </c>
      <c r="H51" s="128">
        <f>monthly_data!$N79*0.8/1000</f>
        <v>0</v>
      </c>
      <c r="I51" s="128">
        <f>monthly_data!$N91*0.8/1000</f>
        <v>0</v>
      </c>
      <c r="J51" s="128">
        <f>monthly_data!$N103*0.8/1000</f>
        <v>0</v>
      </c>
      <c r="K51" s="128">
        <f>monthly_data!$N115*0.8/1000</f>
        <v>0</v>
      </c>
      <c r="L51" s="129">
        <f t="shared" ref="L51:L58" si="35">L$60*(SUM(G51:K51)/SUM(G$60:K$60))</f>
        <v>0.47516977577155201</v>
      </c>
      <c r="M51" s="129">
        <f t="shared" ref="M51:M58" si="36">M$60*(SUM(H51:L51)/SUM(H$60:L$60))</f>
        <v>7.2027244088752607E-2</v>
      </c>
      <c r="N51" s="129">
        <f t="shared" si="33"/>
        <v>9.7153398738931696E-2</v>
      </c>
      <c r="O51" s="129">
        <f t="shared" si="34"/>
        <v>0.10315989439276406</v>
      </c>
      <c r="P51" s="129">
        <f t="shared" si="34"/>
        <v>0.13660854490381896</v>
      </c>
      <c r="Q51" s="129">
        <f t="shared" si="34"/>
        <v>0.21673837760846029</v>
      </c>
      <c r="R51" s="129">
        <f t="shared" si="34"/>
        <v>0.13454701254509063</v>
      </c>
      <c r="S51" s="129">
        <f t="shared" si="34"/>
        <v>0.13893560377207367</v>
      </c>
      <c r="T51" s="129">
        <f t="shared" si="34"/>
        <v>0.15762480711018384</v>
      </c>
      <c r="U51" s="129">
        <f t="shared" si="34"/>
        <v>0.16160561031320214</v>
      </c>
      <c r="V51" s="129">
        <f t="shared" si="34"/>
        <v>0.14890762978703295</v>
      </c>
      <c r="W51" s="122"/>
    </row>
    <row r="52" spans="1:23" x14ac:dyDescent="0.2">
      <c r="A52" s="122" t="s">
        <v>89</v>
      </c>
      <c r="B52" s="128">
        <f>monthly_data!$N8*0.8/1000</f>
        <v>0</v>
      </c>
      <c r="C52" s="128">
        <f>monthly_data!$N20*0.8/1000</f>
        <v>0</v>
      </c>
      <c r="D52" s="128">
        <f>monthly_data!$N32*0.8/1000</f>
        <v>0</v>
      </c>
      <c r="E52" s="128">
        <f>monthly_data!$N44*0.8/1000</f>
        <v>0</v>
      </c>
      <c r="F52" s="128">
        <f>monthly_data!$N56*0.8/1000</f>
        <v>0</v>
      </c>
      <c r="G52" s="128">
        <f>monthly_data!$N68*0.8/1000</f>
        <v>7.1504000000000003</v>
      </c>
      <c r="H52" s="128">
        <f>monthly_data!$N80*0.8/1000</f>
        <v>2.3912000000000004</v>
      </c>
      <c r="I52" s="128">
        <f>monthly_data!$N92*0.8/1000</f>
        <v>0</v>
      </c>
      <c r="J52" s="128">
        <f>monthly_data!$N104*0.8/1000</f>
        <v>1.796</v>
      </c>
      <c r="K52" s="128">
        <f>monthly_data!$N116*0.8/1000</f>
        <v>0</v>
      </c>
      <c r="L52" s="129">
        <f t="shared" si="35"/>
        <v>1.3308510004415881</v>
      </c>
      <c r="M52" s="129">
        <f t="shared" si="36"/>
        <v>0.83643789350371966</v>
      </c>
      <c r="N52" s="129">
        <f t="shared" si="33"/>
        <v>0.70367157030450878</v>
      </c>
      <c r="O52" s="129">
        <f t="shared" si="34"/>
        <v>0.74717596936436104</v>
      </c>
      <c r="P52" s="129">
        <f t="shared" si="34"/>
        <v>0.66121944389122467</v>
      </c>
      <c r="Q52" s="129">
        <f t="shared" si="34"/>
        <v>1.0490678281732142</v>
      </c>
      <c r="R52" s="129">
        <f t="shared" si="34"/>
        <v>0.85963280317491808</v>
      </c>
      <c r="S52" s="129">
        <f t="shared" si="34"/>
        <v>0.81171448558370518</v>
      </c>
      <c r="T52" s="129">
        <f t="shared" si="34"/>
        <v>0.89152381362921063</v>
      </c>
      <c r="U52" s="129">
        <f t="shared" si="34"/>
        <v>0.88031428551927104</v>
      </c>
      <c r="V52" s="129">
        <f t="shared" si="34"/>
        <v>0.82640016365512747</v>
      </c>
      <c r="W52" s="122"/>
    </row>
    <row r="53" spans="1:23" x14ac:dyDescent="0.2">
      <c r="A53" s="122" t="s">
        <v>90</v>
      </c>
      <c r="B53" s="128">
        <f>monthly_data!$N9*0.8/1000</f>
        <v>0</v>
      </c>
      <c r="C53" s="128">
        <f>monthly_data!$N21*0.8/1000</f>
        <v>0</v>
      </c>
      <c r="D53" s="128">
        <f>monthly_data!$N33*0.8/1000</f>
        <v>0</v>
      </c>
      <c r="E53" s="128">
        <f>monthly_data!$N45*0.8/1000</f>
        <v>0</v>
      </c>
      <c r="F53" s="128">
        <f>monthly_data!$N57*0.8/1000</f>
        <v>0</v>
      </c>
      <c r="G53" s="128">
        <f>monthly_data!$N69*0.8/1000</f>
        <v>0</v>
      </c>
      <c r="H53" s="128">
        <f>monthly_data!$N81*0.8/1000</f>
        <v>2.0024000000000002</v>
      </c>
      <c r="I53" s="128">
        <f>monthly_data!$N93*0.8/1000</f>
        <v>0</v>
      </c>
      <c r="J53" s="128">
        <f>monthly_data!$N105*0.8/1000</f>
        <v>0.59680000000000011</v>
      </c>
      <c r="K53" s="128">
        <f>monthly_data!$N117*0.8/1000</f>
        <v>2.4</v>
      </c>
      <c r="L53" s="129">
        <f t="shared" si="35"/>
        <v>0.58682528237083564</v>
      </c>
      <c r="M53" s="129">
        <f t="shared" si="36"/>
        <v>0.84674157956692875</v>
      </c>
      <c r="N53" s="129">
        <f t="shared" si="33"/>
        <v>0.78660004107382286</v>
      </c>
      <c r="O53" s="129">
        <f t="shared" si="34"/>
        <v>0.83523148155188998</v>
      </c>
      <c r="P53" s="129">
        <f t="shared" si="34"/>
        <v>0.99698160979597972</v>
      </c>
      <c r="Q53" s="129">
        <f t="shared" si="34"/>
        <v>0.99342555312166614</v>
      </c>
      <c r="R53" s="129">
        <f t="shared" si="34"/>
        <v>0.9588532810364786</v>
      </c>
      <c r="S53" s="129">
        <f t="shared" si="34"/>
        <v>0.92281422842012462</v>
      </c>
      <c r="T53" s="129">
        <f t="shared" si="34"/>
        <v>1.0164369383348717</v>
      </c>
      <c r="U53" s="129">
        <f t="shared" si="34"/>
        <v>1.007083339471514</v>
      </c>
      <c r="V53" s="129">
        <f t="shared" si="34"/>
        <v>0.9011546481142727</v>
      </c>
      <c r="W53" s="122"/>
    </row>
    <row r="54" spans="1:23" x14ac:dyDescent="0.2">
      <c r="A54" s="122" t="s">
        <v>91</v>
      </c>
      <c r="B54" s="128">
        <f>monthly_data!$N10*0.8/1000</f>
        <v>0</v>
      </c>
      <c r="C54" s="128">
        <f>monthly_data!$N22*0.8/1000</f>
        <v>0</v>
      </c>
      <c r="D54" s="128">
        <f>monthly_data!$N34*0.8/1000</f>
        <v>1.1816000000000002</v>
      </c>
      <c r="E54" s="128">
        <f>monthly_data!$N46*0.8/1000</f>
        <v>0</v>
      </c>
      <c r="F54" s="128">
        <f>monthly_data!$N58*0.8/1000</f>
        <v>0</v>
      </c>
      <c r="G54" s="128">
        <f>monthly_data!$N70*0.8/1000</f>
        <v>0</v>
      </c>
      <c r="H54" s="128">
        <f>monthly_data!$N82*0.8/1000</f>
        <v>4.0056000000000003</v>
      </c>
      <c r="I54" s="128">
        <f>monthly_data!$N94*0.8/1000</f>
        <v>0</v>
      </c>
      <c r="J54" s="128">
        <f>monthly_data!$N106*0.8/1000</f>
        <v>0.17199999999999999</v>
      </c>
      <c r="K54" s="128">
        <f>monthly_data!$N118*0.8/1000</f>
        <v>2.3968000000000003</v>
      </c>
      <c r="L54" s="129">
        <f t="shared" si="35"/>
        <v>0.77172830381237445</v>
      </c>
      <c r="M54" s="129">
        <f t="shared" si="36"/>
        <v>1.1135417348185346</v>
      </c>
      <c r="N54" s="129">
        <f t="shared" si="33"/>
        <v>0.79080847805916399</v>
      </c>
      <c r="O54" s="129">
        <f t="shared" si="34"/>
        <v>0.83970010458105449</v>
      </c>
      <c r="P54" s="129">
        <f t="shared" si="34"/>
        <v>1.0805319311894506</v>
      </c>
      <c r="Q54" s="129">
        <f t="shared" si="34"/>
        <v>1.1267680620407474</v>
      </c>
      <c r="R54" s="129">
        <f t="shared" si="34"/>
        <v>1.0647318913055699</v>
      </c>
      <c r="S54" s="129">
        <f t="shared" si="34"/>
        <v>0.98972720995164609</v>
      </c>
      <c r="T54" s="129">
        <f t="shared" si="34"/>
        <v>1.1015454274238357</v>
      </c>
      <c r="U54" s="129">
        <f t="shared" si="34"/>
        <v>1.1048955303075465</v>
      </c>
      <c r="V54" s="129">
        <f t="shared" si="34"/>
        <v>0.9911217384186205</v>
      </c>
      <c r="W54" s="122"/>
    </row>
    <row r="55" spans="1:23" x14ac:dyDescent="0.2">
      <c r="A55" s="122" t="s">
        <v>92</v>
      </c>
      <c r="B55" s="128">
        <f>monthly_data!$N11*0.8/1000</f>
        <v>0</v>
      </c>
      <c r="C55" s="128">
        <f>monthly_data!$N23*0.8/1000</f>
        <v>0</v>
      </c>
      <c r="D55" s="128">
        <f>monthly_data!$N35*0.8/1000</f>
        <v>1.1912</v>
      </c>
      <c r="E55" s="128">
        <f>monthly_data!$N47*0.8/1000</f>
        <v>0</v>
      </c>
      <c r="F55" s="128">
        <f>monthly_data!$N59*0.8/1000</f>
        <v>2.5136000000000003</v>
      </c>
      <c r="G55" s="128">
        <f>monthly_data!$N71*0.8/1000</f>
        <v>0</v>
      </c>
      <c r="H55" s="128">
        <f>monthly_data!$N83*0.8/1000</f>
        <v>1.9832000000000001</v>
      </c>
      <c r="I55" s="128">
        <f>monthly_data!$N95*0.8/1000</f>
        <v>0</v>
      </c>
      <c r="J55" s="128">
        <f>monthly_data!$N107*0.8/1000</f>
        <v>0.56640000000000001</v>
      </c>
      <c r="K55" s="128">
        <f>monthly_data!$N119*0.8/1000</f>
        <v>2.2656000000000001</v>
      </c>
      <c r="L55" s="129">
        <f t="shared" si="35"/>
        <v>0.56522665619940149</v>
      </c>
      <c r="M55" s="129">
        <f t="shared" si="36"/>
        <v>0.81557650302661933</v>
      </c>
      <c r="N55" s="129">
        <f t="shared" si="33"/>
        <v>0.74797217507033387</v>
      </c>
      <c r="O55" s="129">
        <f t="shared" si="34"/>
        <v>0.7942154529902361</v>
      </c>
      <c r="P55" s="129">
        <f t="shared" si="34"/>
        <v>0.94822215189981862</v>
      </c>
      <c r="Q55" s="129">
        <f t="shared" si="34"/>
        <v>0.94901313813511057</v>
      </c>
      <c r="R55" s="129">
        <f t="shared" si="34"/>
        <v>0.91498950728151462</v>
      </c>
      <c r="S55" s="129">
        <f t="shared" si="34"/>
        <v>0.87907085920081762</v>
      </c>
      <c r="T55" s="129">
        <f t="shared" si="34"/>
        <v>0.96854528469796064</v>
      </c>
      <c r="U55" s="129">
        <f t="shared" si="34"/>
        <v>0.95997484514604037</v>
      </c>
      <c r="V55" s="129">
        <f t="shared" si="34"/>
        <v>0.85939183709188394</v>
      </c>
      <c r="W55" s="122"/>
    </row>
    <row r="56" spans="1:23" x14ac:dyDescent="0.2">
      <c r="A56" s="122" t="s">
        <v>93</v>
      </c>
      <c r="B56" s="128">
        <f>monthly_data!$N12*0.8/1000</f>
        <v>0</v>
      </c>
      <c r="C56" s="128">
        <f>monthly_data!$N24*0.8/1000</f>
        <v>0</v>
      </c>
      <c r="D56" s="128">
        <f>monthly_data!$N36*0.8/1000</f>
        <v>2.3912000000000004</v>
      </c>
      <c r="E56" s="128">
        <f>monthly_data!$N48*0.8/1000</f>
        <v>0</v>
      </c>
      <c r="F56" s="128">
        <f>monthly_data!$N60*0.8/1000</f>
        <v>0</v>
      </c>
      <c r="G56" s="128">
        <f>monthly_data!$N72*0.8/1000</f>
        <v>0</v>
      </c>
      <c r="H56" s="128">
        <f>monthly_data!$N84*0.8/1000</f>
        <v>0</v>
      </c>
      <c r="I56" s="128">
        <f>monthly_data!$N96*0.8/1000</f>
        <v>0.39760000000000001</v>
      </c>
      <c r="J56" s="128">
        <f>monthly_data!$N108*0.8/1000</f>
        <v>1.1967999999999999</v>
      </c>
      <c r="K56" s="128">
        <f>monthly_data!$N120*0.8/1000</f>
        <v>0</v>
      </c>
      <c r="L56" s="129">
        <f t="shared" si="35"/>
        <v>0.18715679112899269</v>
      </c>
      <c r="M56" s="129">
        <f t="shared" si="36"/>
        <v>0.27005216323842041</v>
      </c>
      <c r="N56" s="129">
        <f t="shared" si="33"/>
        <v>0.36425780032739413</v>
      </c>
      <c r="O56" s="129">
        <f t="shared" si="34"/>
        <v>0.32312260419316763</v>
      </c>
      <c r="P56" s="129">
        <f t="shared" si="34"/>
        <v>0.20917529044412603</v>
      </c>
      <c r="Q56" s="129">
        <f t="shared" si="34"/>
        <v>0.33187025832504086</v>
      </c>
      <c r="R56" s="129">
        <f t="shared" si="34"/>
        <v>0.32223077321891669</v>
      </c>
      <c r="S56" s="129">
        <f t="shared" si="34"/>
        <v>0.31304732022012333</v>
      </c>
      <c r="T56" s="129">
        <f t="shared" si="34"/>
        <v>0.32377170765040553</v>
      </c>
      <c r="U56" s="129">
        <f t="shared" si="34"/>
        <v>0.30903496907971079</v>
      </c>
      <c r="V56" s="129">
        <f t="shared" si="34"/>
        <v>0.29432960115772971</v>
      </c>
      <c r="W56" s="122"/>
    </row>
    <row r="57" spans="1:23" x14ac:dyDescent="0.2">
      <c r="A57" s="122" t="s">
        <v>94</v>
      </c>
      <c r="B57" s="128">
        <f>monthly_data!$N13*0.8/1000</f>
        <v>0</v>
      </c>
      <c r="C57" s="128">
        <f>monthly_data!$N25*0.8/1000</f>
        <v>0</v>
      </c>
      <c r="D57" s="128">
        <f>monthly_data!$N37*0.8/1000</f>
        <v>0</v>
      </c>
      <c r="E57" s="128">
        <f>monthly_data!$N49*0.8/1000</f>
        <v>0</v>
      </c>
      <c r="F57" s="128">
        <f>monthly_data!$N61*0.8/1000</f>
        <v>0</v>
      </c>
      <c r="G57" s="128">
        <f>monthly_data!$N73*0.8/1000</f>
        <v>0</v>
      </c>
      <c r="H57" s="128">
        <f>monthly_data!$N85*0.8/1000</f>
        <v>0</v>
      </c>
      <c r="I57" s="128">
        <f>monthly_data!$N97*0.8/1000</f>
        <v>0</v>
      </c>
      <c r="J57" s="128">
        <f>monthly_data!$N109*0.8/1000</f>
        <v>0.57999999999999996</v>
      </c>
      <c r="K57" s="128">
        <f>monthly_data!$N121*0.8/1000</f>
        <v>4.8647999999999998</v>
      </c>
      <c r="L57" s="129">
        <f t="shared" si="35"/>
        <v>0.6391315205338306</v>
      </c>
      <c r="M57" s="129">
        <f t="shared" si="36"/>
        <v>0.92221526492759132</v>
      </c>
      <c r="N57" s="129">
        <f t="shared" si="33"/>
        <v>1.2439230251019793</v>
      </c>
      <c r="O57" s="129">
        <f t="shared" si="34"/>
        <v>1.3208283968229892</v>
      </c>
      <c r="P57" s="129">
        <f t="shared" si="34"/>
        <v>1.6430990986241458</v>
      </c>
      <c r="Q57" s="129">
        <f t="shared" si="34"/>
        <v>1.414296791704861</v>
      </c>
      <c r="R57" s="129">
        <f t="shared" si="34"/>
        <v>1.4072911644222499</v>
      </c>
      <c r="S57" s="129">
        <f t="shared" si="34"/>
        <v>1.4191063954756269</v>
      </c>
      <c r="T57" s="129">
        <f t="shared" si="34"/>
        <v>1.5556761197629136</v>
      </c>
      <c r="U57" s="129">
        <f t="shared" si="34"/>
        <v>1.532606743129987</v>
      </c>
      <c r="V57" s="129">
        <f t="shared" si="34"/>
        <v>1.3482472332155389</v>
      </c>
      <c r="W57" s="122"/>
    </row>
    <row r="58" spans="1:23" x14ac:dyDescent="0.2">
      <c r="A58" s="122" t="s">
        <v>95</v>
      </c>
      <c r="B58" s="128">
        <f>monthly_data!$N14*0.8/1000</f>
        <v>0</v>
      </c>
      <c r="C58" s="128">
        <f>monthly_data!$N26*0.8/1000</f>
        <v>1.7264000000000002</v>
      </c>
      <c r="D58" s="128">
        <f>monthly_data!$N38*0.8/1000</f>
        <v>0</v>
      </c>
      <c r="E58" s="128">
        <f>monthly_data!$N50*0.8/1000</f>
        <v>0</v>
      </c>
      <c r="F58" s="128">
        <f>monthly_data!$N62*0.8/1000</f>
        <v>0</v>
      </c>
      <c r="G58" s="128">
        <f>monthly_data!$N74*0.8/1000</f>
        <v>0</v>
      </c>
      <c r="H58" s="128">
        <f>monthly_data!$N86*0.8/1000</f>
        <v>0</v>
      </c>
      <c r="I58" s="128">
        <f>monthly_data!$N98*0.8/1000</f>
        <v>0.41040000000000004</v>
      </c>
      <c r="J58" s="128">
        <f>monthly_data!$N110*0.8/1000</f>
        <v>0.23360000000000003</v>
      </c>
      <c r="K58" s="128">
        <f>monthly_data!$N122*0.8/1000</f>
        <v>2.6440000000000001</v>
      </c>
      <c r="L58" s="129">
        <f t="shared" si="35"/>
        <v>0.38595805897649782</v>
      </c>
      <c r="M58" s="129">
        <f t="shared" si="36"/>
        <v>0.55690636774205127</v>
      </c>
      <c r="N58" s="129">
        <f t="shared" si="33"/>
        <v>0.75117890584324654</v>
      </c>
      <c r="O58" s="129">
        <f t="shared" si="34"/>
        <v>0.73191578646553812</v>
      </c>
      <c r="P58" s="129">
        <f t="shared" si="34"/>
        <v>0.92654205023601299</v>
      </c>
      <c r="Q58" s="129">
        <f t="shared" si="34"/>
        <v>0.82185291928500526</v>
      </c>
      <c r="R58" s="129">
        <f t="shared" si="34"/>
        <v>0.81465172457557278</v>
      </c>
      <c r="S58" s="129">
        <f t="shared" si="34"/>
        <v>0.81683695468680884</v>
      </c>
      <c r="T58" s="129">
        <f t="shared" si="34"/>
        <v>0.88785065010603992</v>
      </c>
      <c r="U58" s="129">
        <f t="shared" si="34"/>
        <v>0.87919687053361439</v>
      </c>
      <c r="V58" s="129">
        <f t="shared" si="34"/>
        <v>0.77638772594116656</v>
      </c>
      <c r="W58" s="122"/>
    </row>
    <row r="59" spans="1:23" x14ac:dyDescent="0.2">
      <c r="A59" s="122" t="s">
        <v>96</v>
      </c>
      <c r="B59" s="128">
        <f>monthly_data!$N15*0.8/1000</f>
        <v>0</v>
      </c>
      <c r="C59" s="128">
        <f>monthly_data!$N27*0.8/1000</f>
        <v>0</v>
      </c>
      <c r="D59" s="128">
        <f>monthly_data!$N39*0.8/1000</f>
        <v>0</v>
      </c>
      <c r="E59" s="128">
        <f>monthly_data!$N51*0.8/1000</f>
        <v>2.3336000000000001</v>
      </c>
      <c r="F59" s="128">
        <f>monthly_data!$N63*0.8/1000</f>
        <v>0</v>
      </c>
      <c r="G59" s="128">
        <f>monthly_data!$N75*0.8/1000</f>
        <v>0</v>
      </c>
      <c r="H59" s="128">
        <f>monthly_data!$N87*0.8/1000</f>
        <v>0</v>
      </c>
      <c r="I59" s="128">
        <f>monthly_data!$N99*0.8/1000</f>
        <v>0</v>
      </c>
      <c r="J59" s="128">
        <f>monthly_data!$N111*0.8/1000</f>
        <v>0.26640000000000003</v>
      </c>
      <c r="K59" s="128">
        <f>monthly_data!$N123*0.8/1000</f>
        <v>0</v>
      </c>
      <c r="L59" s="129">
        <f t="shared" ref="L59:M59" si="37">L60-SUM(L48:L58)</f>
        <v>1.1800362455227908</v>
      </c>
      <c r="M59" s="129">
        <f t="shared" si="37"/>
        <v>0.21925387898656545</v>
      </c>
      <c r="N59" s="129">
        <f t="shared" ref="N59:V59" si="38">N60-SUM(N48:N58)</f>
        <v>0.29573892212218489</v>
      </c>
      <c r="O59" s="129">
        <f t="shared" si="38"/>
        <v>0.31402294073042114</v>
      </c>
      <c r="P59" s="129">
        <f t="shared" si="38"/>
        <v>0.36715703296601987</v>
      </c>
      <c r="Q59" s="129">
        <f t="shared" si="38"/>
        <v>0.58251860971521374</v>
      </c>
      <c r="R59" s="129">
        <f t="shared" si="38"/>
        <v>0.38248746767138009</v>
      </c>
      <c r="S59" s="129">
        <f t="shared" si="38"/>
        <v>0.39203674065192295</v>
      </c>
      <c r="T59" s="129">
        <f t="shared" si="38"/>
        <v>0.44010839030461213</v>
      </c>
      <c r="U59" s="129">
        <f t="shared" si="38"/>
        <v>0.44586961121836488</v>
      </c>
      <c r="V59" s="129">
        <f t="shared" si="38"/>
        <v>0.41262873734104666</v>
      </c>
      <c r="W59" s="122"/>
    </row>
    <row r="60" spans="1:23" ht="12" thickBot="1" x14ac:dyDescent="0.25">
      <c r="A60" s="122" t="s">
        <v>118</v>
      </c>
      <c r="B60" s="130">
        <f>SUM(B48:B59)</f>
        <v>0</v>
      </c>
      <c r="C60" s="130">
        <f t="shared" ref="C60:K60" si="39">SUM(C48:C59)</f>
        <v>1.7264000000000002</v>
      </c>
      <c r="D60" s="130">
        <f t="shared" si="39"/>
        <v>4.7640000000000011</v>
      </c>
      <c r="E60" s="130">
        <f t="shared" si="39"/>
        <v>2.3336000000000001</v>
      </c>
      <c r="F60" s="130">
        <f t="shared" si="39"/>
        <v>2.5136000000000003</v>
      </c>
      <c r="G60" s="130">
        <f t="shared" si="39"/>
        <v>17.319200000000002</v>
      </c>
      <c r="H60" s="130">
        <f t="shared" si="39"/>
        <v>12.775200000000002</v>
      </c>
      <c r="I60" s="130">
        <f t="shared" si="39"/>
        <v>0.80800000000000005</v>
      </c>
      <c r="J60" s="130">
        <f t="shared" si="39"/>
        <v>12.962400000000002</v>
      </c>
      <c r="K60" s="130">
        <f t="shared" si="39"/>
        <v>21.354399999999998</v>
      </c>
      <c r="L60" s="131">
        <f>L8</f>
        <v>7.6556800000000012</v>
      </c>
      <c r="M60" s="131">
        <f t="shared" ref="M60:V60" si="40">M8</f>
        <v>8.4212480000000021</v>
      </c>
      <c r="N60" s="131">
        <f t="shared" si="40"/>
        <v>9.0907328000000014</v>
      </c>
      <c r="O60" s="131">
        <f t="shared" si="40"/>
        <v>9.5234060800000027</v>
      </c>
      <c r="P60" s="131">
        <f t="shared" si="40"/>
        <v>10.242386688</v>
      </c>
      <c r="Q60" s="131">
        <f t="shared" si="40"/>
        <v>11.015265356800001</v>
      </c>
      <c r="R60" s="131">
        <f t="shared" si="40"/>
        <v>10.384871892480001</v>
      </c>
      <c r="S60" s="131">
        <f t="shared" si="40"/>
        <v>10.145839081728001</v>
      </c>
      <c r="T60" s="131">
        <f t="shared" si="40"/>
        <v>11.079622989900802</v>
      </c>
      <c r="U60" s="131">
        <f t="shared" si="40"/>
        <v>10.89134528889088</v>
      </c>
      <c r="V60" s="131">
        <f t="shared" si="40"/>
        <v>9.8450398177799681</v>
      </c>
      <c r="W60" s="122"/>
    </row>
    <row r="61" spans="1:23" x14ac:dyDescent="0.2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22"/>
    </row>
    <row r="62" spans="1:23" ht="12" thickBot="1" x14ac:dyDescent="0.25">
      <c r="A62" s="122" t="s">
        <v>129</v>
      </c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</row>
    <row r="63" spans="1:23" ht="12" thickBot="1" x14ac:dyDescent="0.25">
      <c r="A63" s="120" t="s">
        <v>73</v>
      </c>
      <c r="B63" s="127">
        <f t="shared" ref="B63:V63" si="41">B2</f>
        <v>2015</v>
      </c>
      <c r="C63" s="127">
        <f t="shared" si="41"/>
        <v>2016</v>
      </c>
      <c r="D63" s="127">
        <f t="shared" si="41"/>
        <v>2017</v>
      </c>
      <c r="E63" s="127">
        <f t="shared" si="41"/>
        <v>2018</v>
      </c>
      <c r="F63" s="127">
        <f t="shared" si="41"/>
        <v>2019</v>
      </c>
      <c r="G63" s="127">
        <f t="shared" si="41"/>
        <v>2020</v>
      </c>
      <c r="H63" s="127">
        <f t="shared" si="41"/>
        <v>2021</v>
      </c>
      <c r="I63" s="127">
        <f t="shared" si="41"/>
        <v>2022</v>
      </c>
      <c r="J63" s="127">
        <f t="shared" si="41"/>
        <v>2023</v>
      </c>
      <c r="K63" s="127">
        <f t="shared" si="41"/>
        <v>2024</v>
      </c>
      <c r="L63" s="127">
        <f t="shared" si="41"/>
        <v>2025</v>
      </c>
      <c r="M63" s="127">
        <f t="shared" si="41"/>
        <v>2026</v>
      </c>
      <c r="N63" s="127">
        <f t="shared" si="41"/>
        <v>2027</v>
      </c>
      <c r="O63" s="127">
        <f t="shared" si="41"/>
        <v>2028</v>
      </c>
      <c r="P63" s="127">
        <f t="shared" si="41"/>
        <v>2029</v>
      </c>
      <c r="Q63" s="127">
        <f t="shared" si="41"/>
        <v>2030</v>
      </c>
      <c r="R63" s="127">
        <f t="shared" si="41"/>
        <v>2031</v>
      </c>
      <c r="S63" s="127">
        <f t="shared" si="41"/>
        <v>2032</v>
      </c>
      <c r="T63" s="127">
        <f t="shared" si="41"/>
        <v>2033</v>
      </c>
      <c r="U63" s="127">
        <f t="shared" si="41"/>
        <v>2034</v>
      </c>
      <c r="V63" s="127">
        <f t="shared" si="41"/>
        <v>2035</v>
      </c>
      <c r="W63" s="122"/>
    </row>
    <row r="64" spans="1:23" x14ac:dyDescent="0.2">
      <c r="A64" s="122" t="s">
        <v>85</v>
      </c>
      <c r="B64" s="128">
        <f>monthly_data!$M4*0.8/1000</f>
        <v>115.65120000000002</v>
      </c>
      <c r="C64" s="128">
        <f>monthly_data!$M16*0.8/1000</f>
        <v>119.38</v>
      </c>
      <c r="D64" s="128">
        <f>monthly_data!$M28*0.8/1000</f>
        <v>132.26</v>
      </c>
      <c r="E64" s="128">
        <f>monthly_data!$M40*0.8/1000</f>
        <v>140.6472</v>
      </c>
      <c r="F64" s="128">
        <f>monthly_data!$M52*0.8/1000</f>
        <v>169.54640000000003</v>
      </c>
      <c r="G64" s="128">
        <f>monthly_data!$M64*0.8/1000</f>
        <v>142.26</v>
      </c>
      <c r="H64" s="128">
        <f>monthly_data!$M76*0.8/1000</f>
        <v>45.385600000000004</v>
      </c>
      <c r="I64" s="128">
        <f>monthly_data!$M88*0.8/1000</f>
        <v>80.775999999999996</v>
      </c>
      <c r="J64" s="128">
        <f>monthly_data!$M100*0.8/1000</f>
        <v>121.008</v>
      </c>
      <c r="K64" s="128">
        <f>monthly_data!$M112*0.8/1000</f>
        <v>130.94159999999999</v>
      </c>
      <c r="L64" s="128">
        <f>monthly_data!$M124*0.8/1000</f>
        <v>146.25680000000003</v>
      </c>
      <c r="M64" s="129">
        <f t="shared" ref="M64:V65" si="42">M$76*(SUM(H64:L64)/SUM(H$76:L$76))</f>
        <v>111.99826650524378</v>
      </c>
      <c r="N64" s="129">
        <f t="shared" si="42"/>
        <v>111.76032924247247</v>
      </c>
      <c r="O64" s="129">
        <f t="shared" si="42"/>
        <v>114.0293470601513</v>
      </c>
      <c r="P64" s="129">
        <f t="shared" si="42"/>
        <v>112.63242984360495</v>
      </c>
      <c r="Q64" s="129">
        <f t="shared" si="42"/>
        <v>109.22958604636175</v>
      </c>
      <c r="R64" s="129">
        <f t="shared" si="42"/>
        <v>110.57684273817608</v>
      </c>
      <c r="S64" s="129">
        <f t="shared" si="42"/>
        <v>117.41892159550279</v>
      </c>
      <c r="T64" s="129">
        <f t="shared" si="42"/>
        <v>119.17322419459538</v>
      </c>
      <c r="U64" s="129">
        <f t="shared" si="42"/>
        <v>117.84242085718965</v>
      </c>
      <c r="V64" s="129">
        <f t="shared" si="42"/>
        <v>115.62125778707031</v>
      </c>
      <c r="W64" s="122"/>
    </row>
    <row r="65" spans="1:23" x14ac:dyDescent="0.2">
      <c r="A65" s="122" t="s">
        <v>86</v>
      </c>
      <c r="B65" s="128">
        <f>monthly_data!M5*0.8/1000</f>
        <v>103.96560000000001</v>
      </c>
      <c r="C65" s="128">
        <f>monthly_data!$M17*0.8/1000</f>
        <v>110.73440000000001</v>
      </c>
      <c r="D65" s="128">
        <f>monthly_data!$M29*0.8/1000</f>
        <v>116.87360000000001</v>
      </c>
      <c r="E65" s="128">
        <f>monthly_data!$M41*0.8/1000</f>
        <v>124.6088</v>
      </c>
      <c r="F65" s="128">
        <f>monthly_data!$M53*0.8/1000</f>
        <v>150.38080000000002</v>
      </c>
      <c r="G65" s="128">
        <f>monthly_data!$M65*0.8/1000</f>
        <v>128.26160000000002</v>
      </c>
      <c r="H65" s="128">
        <f>monthly_data!$M77*0.8/1000</f>
        <v>39.725600000000007</v>
      </c>
      <c r="I65" s="128">
        <f>monthly_data!$M89*0.8/1000</f>
        <v>82.132000000000005</v>
      </c>
      <c r="J65" s="128">
        <f>monthly_data!$M101*0.8/1000</f>
        <v>107.7064</v>
      </c>
      <c r="K65" s="128">
        <f>monthly_data!$M113*0.8/1000</f>
        <v>120.876</v>
      </c>
      <c r="L65" s="128">
        <f>monthly_data!$M125*0.8/1000</f>
        <v>127.4736</v>
      </c>
      <c r="M65" s="129">
        <f t="shared" si="42"/>
        <v>102.07620361898604</v>
      </c>
      <c r="N65" s="129">
        <f t="shared" si="42"/>
        <v>102.16934105719061</v>
      </c>
      <c r="O65" s="129">
        <f t="shared" si="42"/>
        <v>102.72413999667313</v>
      </c>
      <c r="P65" s="129">
        <f t="shared" si="42"/>
        <v>101.70463312427802</v>
      </c>
      <c r="Q65" s="129">
        <f t="shared" si="42"/>
        <v>98.148911680934447</v>
      </c>
      <c r="R65" s="129">
        <f t="shared" si="42"/>
        <v>100.13922393999293</v>
      </c>
      <c r="S65" s="129">
        <f t="shared" si="42"/>
        <v>106.19879721332565</v>
      </c>
      <c r="T65" s="129">
        <f t="shared" si="42"/>
        <v>107.55543545406459</v>
      </c>
      <c r="U65" s="129">
        <f t="shared" si="42"/>
        <v>106.3934827531545</v>
      </c>
      <c r="V65" s="129">
        <f t="shared" si="42"/>
        <v>104.38510251997781</v>
      </c>
      <c r="W65" s="122"/>
    </row>
    <row r="66" spans="1:23" x14ac:dyDescent="0.2">
      <c r="A66" s="122" t="s">
        <v>87</v>
      </c>
      <c r="B66" s="128">
        <f>monthly_data!M6*0.8/1000</f>
        <v>117.56640000000002</v>
      </c>
      <c r="C66" s="128">
        <f>monthly_data!$M18*0.8/1000</f>
        <v>116.29841040000001</v>
      </c>
      <c r="D66" s="128">
        <f>monthly_data!$M30*0.8/1000</f>
        <v>127.54</v>
      </c>
      <c r="E66" s="128">
        <f>monthly_data!$M42*0.8/1000</f>
        <v>135.11760000000001</v>
      </c>
      <c r="F66" s="128">
        <f>monthly_data!$M54*0.8/1000</f>
        <v>150.17359999999999</v>
      </c>
      <c r="G66" s="128">
        <f>monthly_data!$M66*0.8/1000</f>
        <v>79.629600000000011</v>
      </c>
      <c r="H66" s="128">
        <f>monthly_data!$M78*0.8/1000</f>
        <v>44.379200000000004</v>
      </c>
      <c r="I66" s="128">
        <f>monthly_data!$M90*0.8/1000</f>
        <v>98.352800000000002</v>
      </c>
      <c r="J66" s="128">
        <f>monthly_data!$M102*0.8/1000</f>
        <v>121.0008</v>
      </c>
      <c r="K66" s="128">
        <f>monthly_data!$M114*0.8/1000</f>
        <v>127.93600000000001</v>
      </c>
      <c r="L66" s="129">
        <f t="shared" ref="L66:V66" si="43">L$76*(SUM(G66:K66)/SUM(G$76:K$76))</f>
        <v>116.34169489070814</v>
      </c>
      <c r="M66" s="129">
        <f t="shared" si="43"/>
        <v>108.50451361301664</v>
      </c>
      <c r="N66" s="129">
        <f t="shared" si="43"/>
        <v>108.1965789302468</v>
      </c>
      <c r="O66" s="129">
        <f t="shared" si="43"/>
        <v>106.69853257200074</v>
      </c>
      <c r="P66" s="129">
        <f t="shared" si="43"/>
        <v>103.9679606988508</v>
      </c>
      <c r="Q66" s="129">
        <f t="shared" si="43"/>
        <v>99.533118381324357</v>
      </c>
      <c r="R66" s="129">
        <f t="shared" si="43"/>
        <v>104.10617458458646</v>
      </c>
      <c r="S66" s="129">
        <f t="shared" si="43"/>
        <v>109.9042066285968</v>
      </c>
      <c r="T66" s="129">
        <f t="shared" si="43"/>
        <v>110.78776581709317</v>
      </c>
      <c r="U66" s="129">
        <f t="shared" si="43"/>
        <v>109.40714874663823</v>
      </c>
      <c r="V66" s="129">
        <f t="shared" si="43"/>
        <v>107.46621586611936</v>
      </c>
      <c r="W66" s="122"/>
    </row>
    <row r="67" spans="1:23" x14ac:dyDescent="0.2">
      <c r="A67" s="122" t="s">
        <v>88</v>
      </c>
      <c r="B67" s="128">
        <f>monthly_data!M7*0.8/1000</f>
        <v>104.148</v>
      </c>
      <c r="C67" s="128">
        <f>monthly_data!$M19*0.8/1000</f>
        <v>105.05813040000001</v>
      </c>
      <c r="D67" s="128">
        <f>monthly_data!$M31*0.8/1000</f>
        <v>111.62480000000001</v>
      </c>
      <c r="E67" s="128">
        <f>monthly_data!$M43*0.8/1000</f>
        <v>123.8608</v>
      </c>
      <c r="F67" s="128">
        <f>monthly_data!$M55*0.8/1000</f>
        <v>130.85920000000002</v>
      </c>
      <c r="G67" s="128">
        <f>monthly_data!$M67*0.8/1000</f>
        <v>14.518400000000002</v>
      </c>
      <c r="H67" s="128">
        <f>monthly_data!$M79*0.8/1000</f>
        <v>37.134399999999999</v>
      </c>
      <c r="I67" s="128">
        <f>monthly_data!$M91*0.8/1000</f>
        <v>85.583200000000005</v>
      </c>
      <c r="J67" s="128">
        <f>monthly_data!$M103*0.8/1000</f>
        <v>111.0536</v>
      </c>
      <c r="K67" s="128">
        <f>monthly_data!$M115*0.8/1000</f>
        <v>110.3848</v>
      </c>
      <c r="L67" s="129">
        <f t="shared" ref="L67:V74" si="44">L$76*(SUM(G67:K67)/SUM(G$76:K$76))</f>
        <v>88.540057869722887</v>
      </c>
      <c r="M67" s="129">
        <f t="shared" si="44"/>
        <v>92.418317679686027</v>
      </c>
      <c r="N67" s="129">
        <f t="shared" si="44"/>
        <v>92.281872863351452</v>
      </c>
      <c r="O67" s="129">
        <f t="shared" si="44"/>
        <v>90.693019171107153</v>
      </c>
      <c r="P67" s="129">
        <f t="shared" si="44"/>
        <v>86.869565634215547</v>
      </c>
      <c r="Q67" s="129">
        <f t="shared" si="44"/>
        <v>82.525374051305661</v>
      </c>
      <c r="R67" s="129">
        <f t="shared" si="44"/>
        <v>87.88219937049297</v>
      </c>
      <c r="S67" s="129">
        <f t="shared" si="44"/>
        <v>92.603504633249102</v>
      </c>
      <c r="T67" s="129">
        <f t="shared" si="44"/>
        <v>93.11186824073063</v>
      </c>
      <c r="U67" s="129">
        <f t="shared" si="44"/>
        <v>91.740712934981346</v>
      </c>
      <c r="V67" s="129">
        <f t="shared" si="44"/>
        <v>90.175657971685055</v>
      </c>
      <c r="W67" s="122"/>
    </row>
    <row r="68" spans="1:23" x14ac:dyDescent="0.2">
      <c r="A68" s="122" t="s">
        <v>89</v>
      </c>
      <c r="B68" s="128">
        <f>monthly_data!M8*0.8/1000</f>
        <v>103.73978480000001</v>
      </c>
      <c r="C68" s="128">
        <f>monthly_data!$M20*0.8/1000</f>
        <v>104.03920000000001</v>
      </c>
      <c r="D68" s="128">
        <f>monthly_data!$M32*0.8/1000</f>
        <v>117.2368</v>
      </c>
      <c r="E68" s="128">
        <f>monthly_data!$M44*0.8/1000</f>
        <v>126.59440000000001</v>
      </c>
      <c r="F68" s="128">
        <f>monthly_data!$M56*0.8/1000</f>
        <v>137.828</v>
      </c>
      <c r="G68" s="128">
        <f>monthly_data!$M68*0.8/1000</f>
        <v>12.162400000000002</v>
      </c>
      <c r="H68" s="128">
        <f>monthly_data!$M80*0.8/1000</f>
        <v>32.683199999999999</v>
      </c>
      <c r="I68" s="128">
        <f>monthly_data!$M92*0.8/1000</f>
        <v>85.055999999999997</v>
      </c>
      <c r="J68" s="128">
        <f>monthly_data!$M104*0.8/1000</f>
        <v>109.11280000000001</v>
      </c>
      <c r="K68" s="128">
        <f>monthly_data!$M116*0.8/1000</f>
        <v>104.3704</v>
      </c>
      <c r="L68" s="129">
        <f t="shared" si="44"/>
        <v>84.76576545073533</v>
      </c>
      <c r="M68" s="129">
        <f t="shared" si="44"/>
        <v>88.849726560695714</v>
      </c>
      <c r="N68" s="129">
        <f t="shared" si="44"/>
        <v>89.289154152232342</v>
      </c>
      <c r="O68" s="129">
        <f t="shared" si="44"/>
        <v>87.339633929284204</v>
      </c>
      <c r="P68" s="129">
        <f t="shared" si="44"/>
        <v>83.26096450801829</v>
      </c>
      <c r="Q68" s="129">
        <f t="shared" si="44"/>
        <v>79.358823476139634</v>
      </c>
      <c r="R68" s="129">
        <f t="shared" si="44"/>
        <v>84.584583542433194</v>
      </c>
      <c r="S68" s="129">
        <f t="shared" si="44"/>
        <v>89.149925923745144</v>
      </c>
      <c r="T68" s="129">
        <f t="shared" si="44"/>
        <v>89.544466314409362</v>
      </c>
      <c r="U68" s="129">
        <f t="shared" si="44"/>
        <v>88.200714851088847</v>
      </c>
      <c r="V68" s="129">
        <f t="shared" si="44"/>
        <v>86.747709237997299</v>
      </c>
      <c r="W68" s="122"/>
    </row>
    <row r="69" spans="1:23" x14ac:dyDescent="0.2">
      <c r="A69" s="122" t="s">
        <v>90</v>
      </c>
      <c r="B69" s="128">
        <f>monthly_data!M9*0.8/1000</f>
        <v>101.24640000000001</v>
      </c>
      <c r="C69" s="128">
        <f>monthly_data!$M21*0.8/1000</f>
        <v>100.88320000000002</v>
      </c>
      <c r="D69" s="128">
        <f>monthly_data!$M33*0.8/1000</f>
        <v>111.41680000000001</v>
      </c>
      <c r="E69" s="128">
        <f>monthly_data!$M45*0.8/1000</f>
        <v>122.00720000000001</v>
      </c>
      <c r="F69" s="128">
        <f>monthly_data!$M57*0.8/1000</f>
        <v>136.73439999999999</v>
      </c>
      <c r="G69" s="128">
        <f>monthly_data!$M69*0.8/1000</f>
        <v>12.909600000000001</v>
      </c>
      <c r="H69" s="128">
        <f>monthly_data!$M81*0.8/1000</f>
        <v>30.494400000000002</v>
      </c>
      <c r="I69" s="128">
        <f>monthly_data!$M93*0.8/1000</f>
        <v>87.493600000000001</v>
      </c>
      <c r="J69" s="128">
        <f>monthly_data!$M105*0.8/1000</f>
        <v>109.164</v>
      </c>
      <c r="K69" s="128">
        <f>monthly_data!$M117*0.8/1000</f>
        <v>107.07599999999999</v>
      </c>
      <c r="L69" s="129">
        <f t="shared" si="44"/>
        <v>85.692157546668284</v>
      </c>
      <c r="M69" s="129">
        <f t="shared" si="44"/>
        <v>89.689549545044116</v>
      </c>
      <c r="N69" s="129">
        <f t="shared" si="44"/>
        <v>90.60547578031975</v>
      </c>
      <c r="O69" s="129">
        <f t="shared" si="44"/>
        <v>88.410201817625207</v>
      </c>
      <c r="P69" s="129">
        <f t="shared" si="44"/>
        <v>84.517110393762408</v>
      </c>
      <c r="Q69" s="129">
        <f t="shared" si="44"/>
        <v>80.349057757089142</v>
      </c>
      <c r="R69" s="129">
        <f t="shared" si="44"/>
        <v>85.665968965190118</v>
      </c>
      <c r="S69" s="129">
        <f t="shared" si="44"/>
        <v>90.35195806261774</v>
      </c>
      <c r="T69" s="129">
        <f t="shared" si="44"/>
        <v>90.728060680929673</v>
      </c>
      <c r="U69" s="129">
        <f t="shared" si="44"/>
        <v>89.383919194147495</v>
      </c>
      <c r="V69" s="129">
        <f t="shared" si="44"/>
        <v>87.883392674941504</v>
      </c>
      <c r="W69" s="122"/>
    </row>
    <row r="70" spans="1:23" x14ac:dyDescent="0.2">
      <c r="A70" s="122" t="s">
        <v>91</v>
      </c>
      <c r="B70" s="128">
        <f>monthly_data!M10*0.8/1000</f>
        <v>113.29600000000001</v>
      </c>
      <c r="C70" s="128">
        <f>monthly_data!$M22*0.8/1000</f>
        <v>116.1384</v>
      </c>
      <c r="D70" s="128">
        <f>monthly_data!$M34*0.8/1000</f>
        <v>127.64400000000001</v>
      </c>
      <c r="E70" s="128">
        <f>monthly_data!$M46*0.8/1000</f>
        <v>134.2792</v>
      </c>
      <c r="F70" s="128">
        <f>monthly_data!$M58*0.8/1000</f>
        <v>144.61840000000001</v>
      </c>
      <c r="G70" s="128">
        <f>monthly_data!$M70*0.8/1000</f>
        <v>10.228800000000001</v>
      </c>
      <c r="H70" s="128">
        <f>monthly_data!$M82*0.8/1000</f>
        <v>37.894400000000005</v>
      </c>
      <c r="I70" s="128">
        <f>monthly_data!$M94*0.8/1000</f>
        <v>97.346400000000003</v>
      </c>
      <c r="J70" s="128">
        <f>monthly_data!$M106*0.8/1000</f>
        <v>119.97840000000001</v>
      </c>
      <c r="K70" s="128">
        <f>monthly_data!$M118*0.8/1000</f>
        <v>122.42960000000001</v>
      </c>
      <c r="L70" s="129">
        <f t="shared" si="44"/>
        <v>95.748972188617955</v>
      </c>
      <c r="M70" s="129">
        <f t="shared" si="44"/>
        <v>101.11168082829141</v>
      </c>
      <c r="N70" s="129">
        <f t="shared" si="44"/>
        <v>101.47925033873248</v>
      </c>
      <c r="O70" s="129">
        <f t="shared" si="44"/>
        <v>99.13922932216083</v>
      </c>
      <c r="P70" s="129">
        <f t="shared" si="44"/>
        <v>95.219324043924175</v>
      </c>
      <c r="Q70" s="129">
        <f t="shared" si="44"/>
        <v>90.194917687643638</v>
      </c>
      <c r="R70" s="129">
        <f t="shared" si="44"/>
        <v>96.251038918115441</v>
      </c>
      <c r="S70" s="129">
        <f t="shared" si="44"/>
        <v>101.44454375789876</v>
      </c>
      <c r="T70" s="129">
        <f t="shared" si="44"/>
        <v>101.91964280972429</v>
      </c>
      <c r="U70" s="129">
        <f t="shared" si="44"/>
        <v>100.44627825226466</v>
      </c>
      <c r="V70" s="129">
        <f t="shared" si="44"/>
        <v>98.711280689382377</v>
      </c>
      <c r="W70" s="122"/>
    </row>
    <row r="71" spans="1:23" x14ac:dyDescent="0.2">
      <c r="A71" s="122" t="s">
        <v>92</v>
      </c>
      <c r="B71" s="128">
        <f>monthly_data!M11*0.8/1000</f>
        <v>113.03840000000001</v>
      </c>
      <c r="C71" s="128">
        <f>monthly_data!$M23*0.8/1000</f>
        <v>117.63440000000001</v>
      </c>
      <c r="D71" s="128">
        <f>monthly_data!$M35*0.8/1000</f>
        <v>127.35760000000001</v>
      </c>
      <c r="E71" s="128">
        <f>monthly_data!$M47*0.8/1000</f>
        <v>137.10480000000001</v>
      </c>
      <c r="F71" s="128">
        <f>monthly_data!$M59*0.8/1000</f>
        <v>141.22080000000003</v>
      </c>
      <c r="G71" s="128">
        <f>monthly_data!$M71*0.8/1000</f>
        <v>9.8928000000000011</v>
      </c>
      <c r="H71" s="128">
        <f>monthly_data!$M83*0.8/1000</f>
        <v>42.837600000000009</v>
      </c>
      <c r="I71" s="128">
        <f>monthly_data!$M95*0.8/1000</f>
        <v>103.0528</v>
      </c>
      <c r="J71" s="128">
        <f>monthly_data!$M107*0.8/1000</f>
        <v>120.73840000000001</v>
      </c>
      <c r="K71" s="128">
        <f>monthly_data!$M119*0.8/1000</f>
        <v>123.84960000000001</v>
      </c>
      <c r="L71" s="129">
        <f t="shared" si="44"/>
        <v>98.833062012149171</v>
      </c>
      <c r="M71" s="129">
        <f t="shared" si="44"/>
        <v>104.51064047864695</v>
      </c>
      <c r="N71" s="129">
        <f t="shared" si="44"/>
        <v>104.1966563305923</v>
      </c>
      <c r="O71" s="129">
        <f t="shared" si="44"/>
        <v>101.22569064213614</v>
      </c>
      <c r="P71" s="129">
        <f t="shared" si="44"/>
        <v>97.546547941062784</v>
      </c>
      <c r="Q71" s="129">
        <f t="shared" si="44"/>
        <v>92.687164784273236</v>
      </c>
      <c r="R71" s="129">
        <f t="shared" si="44"/>
        <v>98.82401256134807</v>
      </c>
      <c r="S71" s="129">
        <f t="shared" si="44"/>
        <v>104.00994073577321</v>
      </c>
      <c r="T71" s="129">
        <f t="shared" si="44"/>
        <v>104.4651139589534</v>
      </c>
      <c r="U71" s="129">
        <f t="shared" si="44"/>
        <v>103.03562862758041</v>
      </c>
      <c r="V71" s="129">
        <f t="shared" si="44"/>
        <v>101.28155371610544</v>
      </c>
      <c r="W71" s="122"/>
    </row>
    <row r="72" spans="1:23" x14ac:dyDescent="0.2">
      <c r="A72" s="122" t="s">
        <v>93</v>
      </c>
      <c r="B72" s="128">
        <f>monthly_data!M12*0.8/1000</f>
        <v>112.0447984</v>
      </c>
      <c r="C72" s="128">
        <f>monthly_data!$M24*0.8/1000</f>
        <v>114.7376</v>
      </c>
      <c r="D72" s="128">
        <f>monthly_data!$M36*0.8/1000</f>
        <v>123.0904</v>
      </c>
      <c r="E72" s="128">
        <f>monthly_data!$M48*0.8/1000</f>
        <v>128.71520000000001</v>
      </c>
      <c r="F72" s="128">
        <f>monthly_data!$M60*0.8/1000</f>
        <v>131.02000000000001</v>
      </c>
      <c r="G72" s="128">
        <f>monthly_data!$M72*0.8/1000</f>
        <v>13.454400000000001</v>
      </c>
      <c r="H72" s="128">
        <f>monthly_data!$M84*0.8/1000</f>
        <v>46.508800000000001</v>
      </c>
      <c r="I72" s="128">
        <f>monthly_data!$M96*0.8/1000</f>
        <v>100.0848</v>
      </c>
      <c r="J72" s="128">
        <f>monthly_data!$M108*0.8/1000</f>
        <v>115.52320000000002</v>
      </c>
      <c r="K72" s="128">
        <f>monthly_data!$M120*0.8/1000</f>
        <v>114.29520000000001</v>
      </c>
      <c r="L72" s="129">
        <f t="shared" si="44"/>
        <v>96.239914578404637</v>
      </c>
      <c r="M72" s="129">
        <f t="shared" si="44"/>
        <v>100.95237522725618</v>
      </c>
      <c r="N72" s="129">
        <f t="shared" si="44"/>
        <v>99.679006136117394</v>
      </c>
      <c r="O72" s="129">
        <f t="shared" si="44"/>
        <v>96.561836344744336</v>
      </c>
      <c r="P72" s="129">
        <f t="shared" si="44"/>
        <v>92.98852963916697</v>
      </c>
      <c r="Q72" s="129">
        <f t="shared" si="44"/>
        <v>89.045868036183975</v>
      </c>
      <c r="R72" s="129">
        <f t="shared" si="44"/>
        <v>94.68682314450075</v>
      </c>
      <c r="S72" s="129">
        <f t="shared" si="44"/>
        <v>99.483799113281293</v>
      </c>
      <c r="T72" s="129">
        <f t="shared" si="44"/>
        <v>99.915653025045501</v>
      </c>
      <c r="U72" s="129">
        <f t="shared" si="44"/>
        <v>98.601328022377686</v>
      </c>
      <c r="V72" s="129">
        <f t="shared" si="44"/>
        <v>96.995216847480521</v>
      </c>
      <c r="W72" s="122"/>
    </row>
    <row r="73" spans="1:23" x14ac:dyDescent="0.2">
      <c r="A73" s="122" t="s">
        <v>94</v>
      </c>
      <c r="B73" s="128">
        <f>monthly_data!M13*0.8/1000</f>
        <v>116.86287912</v>
      </c>
      <c r="C73" s="128">
        <f>monthly_data!$M25*0.8/1000</f>
        <v>123.34960000000001</v>
      </c>
      <c r="D73" s="128">
        <f>monthly_data!$M37*0.8/1000</f>
        <v>128.94640000000001</v>
      </c>
      <c r="E73" s="128">
        <f>monthly_data!$M49*0.8/1000</f>
        <v>140.38720000000001</v>
      </c>
      <c r="F73" s="128">
        <f>monthly_data!$M61*0.8/1000</f>
        <v>131.69200000000001</v>
      </c>
      <c r="G73" s="128">
        <f>monthly_data!$M73*0.8/1000</f>
        <v>18.133600000000001</v>
      </c>
      <c r="H73" s="128">
        <f>monthly_data!$M85*0.8/1000</f>
        <v>56.943200000000004</v>
      </c>
      <c r="I73" s="128">
        <f>monthly_data!$M97*0.8/1000</f>
        <v>119.172</v>
      </c>
      <c r="J73" s="128">
        <f>monthly_data!$M109*0.8/1000</f>
        <v>126.8176</v>
      </c>
      <c r="K73" s="128">
        <f>monthly_data!$M121*0.8/1000</f>
        <v>122.66640000000001</v>
      </c>
      <c r="L73" s="129">
        <f t="shared" si="44"/>
        <v>109.53702798609038</v>
      </c>
      <c r="M73" s="129">
        <f t="shared" si="44"/>
        <v>114.29822162793505</v>
      </c>
      <c r="N73" s="129">
        <f t="shared" si="44"/>
        <v>112.04599555129421</v>
      </c>
      <c r="O73" s="129">
        <f t="shared" si="44"/>
        <v>107.31924972347109</v>
      </c>
      <c r="P73" s="129">
        <f t="shared" si="44"/>
        <v>103.63638816495184</v>
      </c>
      <c r="Q73" s="129">
        <f t="shared" si="44"/>
        <v>100.10566703166404</v>
      </c>
      <c r="R73" s="129">
        <f t="shared" si="44"/>
        <v>106.18173910361706</v>
      </c>
      <c r="S73" s="129">
        <f t="shared" si="44"/>
        <v>111.33172948051389</v>
      </c>
      <c r="T73" s="129">
        <f t="shared" si="44"/>
        <v>111.71022876484749</v>
      </c>
      <c r="U73" s="129">
        <f t="shared" si="44"/>
        <v>110.37355438682562</v>
      </c>
      <c r="V73" s="129">
        <f t="shared" si="44"/>
        <v>108.66714636478095</v>
      </c>
      <c r="W73" s="122"/>
    </row>
    <row r="74" spans="1:23" x14ac:dyDescent="0.2">
      <c r="A74" s="122" t="s">
        <v>95</v>
      </c>
      <c r="B74" s="128">
        <f>monthly_data!M14*0.8/1000</f>
        <v>114.952</v>
      </c>
      <c r="C74" s="128">
        <f>monthly_data!$M26*0.8/1000</f>
        <v>120.58880000000001</v>
      </c>
      <c r="D74" s="128">
        <f>monthly_data!$M38*0.8/1000</f>
        <v>131.00720000000001</v>
      </c>
      <c r="E74" s="128">
        <f>monthly_data!$M50*0.8/1000</f>
        <v>139.39760000000001</v>
      </c>
      <c r="F74" s="128">
        <f>monthly_data!$M62*0.8/1000</f>
        <v>128.952</v>
      </c>
      <c r="G74" s="128">
        <f>monthly_data!$M74*0.8/1000</f>
        <v>24.186400000000003</v>
      </c>
      <c r="H74" s="128">
        <f>monthly_data!$M86*0.8/1000</f>
        <v>67.996800000000007</v>
      </c>
      <c r="I74" s="128">
        <f>monthly_data!$M98*0.8/1000</f>
        <v>114.7328</v>
      </c>
      <c r="J74" s="128">
        <f>monthly_data!$M110*0.8/1000</f>
        <v>128.8888</v>
      </c>
      <c r="K74" s="128">
        <f>monthly_data!$M122*0.8/1000</f>
        <v>129.71360000000001</v>
      </c>
      <c r="L74" s="129">
        <f t="shared" si="44"/>
        <v>114.91488122771185</v>
      </c>
      <c r="M74" s="129">
        <f t="shared" si="44"/>
        <v>118.80718588176994</v>
      </c>
      <c r="N74" s="129">
        <f t="shared" si="44"/>
        <v>114.80057451353063</v>
      </c>
      <c r="O74" s="129">
        <f t="shared" si="44"/>
        <v>111.30863079667691</v>
      </c>
      <c r="P74" s="129">
        <f t="shared" si="44"/>
        <v>107.97292047054904</v>
      </c>
      <c r="Q74" s="129">
        <f t="shared" si="44"/>
        <v>103.94400823008627</v>
      </c>
      <c r="R74" s="129">
        <f t="shared" si="44"/>
        <v>110.02032518398939</v>
      </c>
      <c r="S74" s="129">
        <f t="shared" si="44"/>
        <v>115.27720314561127</v>
      </c>
      <c r="T74" s="129">
        <f t="shared" si="44"/>
        <v>115.92615216521679</v>
      </c>
      <c r="U74" s="129">
        <f t="shared" si="44"/>
        <v>114.55162891985869</v>
      </c>
      <c r="V74" s="129">
        <f t="shared" si="44"/>
        <v>112.6973727557409</v>
      </c>
      <c r="W74" s="122"/>
    </row>
    <row r="75" spans="1:23" x14ac:dyDescent="0.2">
      <c r="A75" s="122" t="s">
        <v>96</v>
      </c>
      <c r="B75" s="128">
        <f>monthly_data!M15*0.8/1000</f>
        <v>119.4504</v>
      </c>
      <c r="C75" s="128">
        <f>monthly_data!$M27*0.8/1000</f>
        <v>127.1208</v>
      </c>
      <c r="D75" s="128">
        <f>monthly_data!$M39*0.8/1000</f>
        <v>137.10720000000001</v>
      </c>
      <c r="E75" s="128">
        <f>monthly_data!$M51*0.8/1000</f>
        <v>157.1712</v>
      </c>
      <c r="F75" s="128">
        <f>monthly_data!$M63*0.8/1000</f>
        <v>140.35520000000002</v>
      </c>
      <c r="G75" s="128">
        <f>monthly_data!$M75*0.8/1000</f>
        <v>34.744</v>
      </c>
      <c r="H75" s="128">
        <f>monthly_data!$M87*0.8/1000</f>
        <v>76.514400000000009</v>
      </c>
      <c r="I75" s="128">
        <f>monthly_data!$M99*0.8/1000</f>
        <v>117.956</v>
      </c>
      <c r="J75" s="128">
        <f>monthly_data!$M111*0.8/1000</f>
        <v>133.79839999999999</v>
      </c>
      <c r="K75" s="128">
        <f>monthly_data!$M123*0.8/1000</f>
        <v>142.15280000000001</v>
      </c>
      <c r="L75" s="129">
        <f t="shared" ref="L75:M75" si="45">L76-SUM(L64:L74)</f>
        <v>97.596226561191315</v>
      </c>
      <c r="M75" s="129">
        <f t="shared" si="45"/>
        <v>121.32130854462821</v>
      </c>
      <c r="N75" s="129">
        <f t="shared" ref="N75:V75" si="46">N76-SUM(N64:N74)</f>
        <v>115.89126014623957</v>
      </c>
      <c r="O75" s="129">
        <f t="shared" si="46"/>
        <v>111.97505317052105</v>
      </c>
      <c r="P75" s="129">
        <f t="shared" si="46"/>
        <v>107.86152653882255</v>
      </c>
      <c r="Q75" s="129">
        <f t="shared" si="46"/>
        <v>101.53511393832196</v>
      </c>
      <c r="R75" s="129">
        <f t="shared" si="46"/>
        <v>110.36628015901829</v>
      </c>
      <c r="S75" s="129">
        <f t="shared" si="46"/>
        <v>115.18944314249097</v>
      </c>
      <c r="T75" s="129">
        <f t="shared" si="46"/>
        <v>115.58891935025713</v>
      </c>
      <c r="U75" s="129">
        <f t="shared" si="46"/>
        <v>114.01332630734669</v>
      </c>
      <c r="V75" s="129">
        <f t="shared" si="46"/>
        <v>112.08805180751801</v>
      </c>
      <c r="W75" s="122"/>
    </row>
    <row r="76" spans="1:23" ht="12" thickBot="1" x14ac:dyDescent="0.25">
      <c r="A76" s="122" t="s">
        <v>118</v>
      </c>
      <c r="B76" s="130">
        <f>SUM(B64:B75)</f>
        <v>1335.9618623200001</v>
      </c>
      <c r="C76" s="130">
        <f t="shared" ref="C76:K76" si="47">SUM(C64:C75)</f>
        <v>1375.9629408000001</v>
      </c>
      <c r="D76" s="130">
        <f t="shared" si="47"/>
        <v>1492.1048000000001</v>
      </c>
      <c r="E76" s="130">
        <f t="shared" si="47"/>
        <v>1609.8912</v>
      </c>
      <c r="F76" s="130">
        <f t="shared" si="47"/>
        <v>1693.3808000000001</v>
      </c>
      <c r="G76" s="130">
        <f t="shared" si="47"/>
        <v>500.38160000000005</v>
      </c>
      <c r="H76" s="130">
        <f t="shared" si="47"/>
        <v>558.49760000000003</v>
      </c>
      <c r="I76" s="130">
        <f t="shared" si="47"/>
        <v>1171.7384</v>
      </c>
      <c r="J76" s="130">
        <f t="shared" si="47"/>
        <v>1424.7904000000001</v>
      </c>
      <c r="K76" s="130">
        <f t="shared" si="47"/>
        <v>1456.6920000000002</v>
      </c>
      <c r="L76" s="131">
        <f>L7</f>
        <v>1261.940160312</v>
      </c>
      <c r="M76" s="131">
        <f t="shared" ref="M76:V76" si="48">M7</f>
        <v>1254.5379901112001</v>
      </c>
      <c r="N76" s="131">
        <f t="shared" si="48"/>
        <v>1242.3954950423201</v>
      </c>
      <c r="O76" s="131">
        <f t="shared" si="48"/>
        <v>1217.4245645465521</v>
      </c>
      <c r="P76" s="131">
        <f t="shared" si="48"/>
        <v>1178.1779010012071</v>
      </c>
      <c r="Q76" s="131">
        <f t="shared" si="48"/>
        <v>1126.657611101328</v>
      </c>
      <c r="R76" s="131">
        <f t="shared" si="48"/>
        <v>1189.2852122114607</v>
      </c>
      <c r="S76" s="131">
        <f t="shared" si="48"/>
        <v>1252.3639734326066</v>
      </c>
      <c r="T76" s="131">
        <f t="shared" si="48"/>
        <v>1260.4265307758674</v>
      </c>
      <c r="U76" s="131">
        <f t="shared" si="48"/>
        <v>1243.9901438534539</v>
      </c>
      <c r="V76" s="131">
        <f t="shared" si="48"/>
        <v>1222.7199582387996</v>
      </c>
      <c r="W76" s="122"/>
    </row>
    <row r="77" spans="1:23" x14ac:dyDescent="0.2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22"/>
    </row>
    <row r="78" spans="1:23" ht="12" thickBot="1" x14ac:dyDescent="0.25">
      <c r="A78" s="122" t="s">
        <v>130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</row>
    <row r="79" spans="1:23" ht="12" thickBot="1" x14ac:dyDescent="0.25">
      <c r="A79" s="120" t="s">
        <v>73</v>
      </c>
      <c r="B79" s="127">
        <f t="shared" ref="B79:V79" si="49">B2</f>
        <v>2015</v>
      </c>
      <c r="C79" s="127">
        <f t="shared" si="49"/>
        <v>2016</v>
      </c>
      <c r="D79" s="127">
        <f t="shared" si="49"/>
        <v>2017</v>
      </c>
      <c r="E79" s="127">
        <f t="shared" si="49"/>
        <v>2018</v>
      </c>
      <c r="F79" s="127">
        <f t="shared" si="49"/>
        <v>2019</v>
      </c>
      <c r="G79" s="127">
        <f t="shared" si="49"/>
        <v>2020</v>
      </c>
      <c r="H79" s="127">
        <f t="shared" si="49"/>
        <v>2021</v>
      </c>
      <c r="I79" s="127">
        <f t="shared" si="49"/>
        <v>2022</v>
      </c>
      <c r="J79" s="127">
        <f t="shared" si="49"/>
        <v>2023</v>
      </c>
      <c r="K79" s="127">
        <f t="shared" si="49"/>
        <v>2024</v>
      </c>
      <c r="L79" s="127">
        <f t="shared" si="49"/>
        <v>2025</v>
      </c>
      <c r="M79" s="127">
        <f t="shared" si="49"/>
        <v>2026</v>
      </c>
      <c r="N79" s="127">
        <f t="shared" si="49"/>
        <v>2027</v>
      </c>
      <c r="O79" s="127">
        <f t="shared" si="49"/>
        <v>2028</v>
      </c>
      <c r="P79" s="127">
        <f t="shared" si="49"/>
        <v>2029</v>
      </c>
      <c r="Q79" s="127">
        <f t="shared" si="49"/>
        <v>2030</v>
      </c>
      <c r="R79" s="127">
        <f t="shared" si="49"/>
        <v>2031</v>
      </c>
      <c r="S79" s="127">
        <f t="shared" si="49"/>
        <v>2032</v>
      </c>
      <c r="T79" s="127">
        <f t="shared" si="49"/>
        <v>2033</v>
      </c>
      <c r="U79" s="127">
        <f t="shared" si="49"/>
        <v>2034</v>
      </c>
      <c r="V79" s="127">
        <f t="shared" si="49"/>
        <v>2035</v>
      </c>
      <c r="W79" s="122"/>
    </row>
    <row r="80" spans="1:23" x14ac:dyDescent="0.2">
      <c r="A80" s="122" t="s">
        <v>85</v>
      </c>
      <c r="B80" s="133">
        <f>monthly_data!$O4*0.8/1000</f>
        <v>100.876</v>
      </c>
      <c r="C80" s="133">
        <f>monthly_data!$O16*0.8/1000</f>
        <v>109.99362400000001</v>
      </c>
      <c r="D80" s="133">
        <f>monthly_data!$O28*0.8/1000</f>
        <v>94.352800000000002</v>
      </c>
      <c r="E80" s="133">
        <f>monthly_data!$O40*0.8/1000</f>
        <v>102.78720000000001</v>
      </c>
      <c r="F80" s="133">
        <f>monthly_data!$O52*0.8/1000</f>
        <v>86.912000000000006</v>
      </c>
      <c r="G80" s="133">
        <f>monthly_data!$O64*0.8/1000</f>
        <v>113.78640000000001</v>
      </c>
      <c r="H80" s="133">
        <f>monthly_data!$O76*0.8/1000</f>
        <v>88.5976</v>
      </c>
      <c r="I80" s="133">
        <f>monthly_data!$O88*0.8/1000</f>
        <v>83.783200000000008</v>
      </c>
      <c r="J80" s="133">
        <f>monthly_data!$O100*0.8/1000</f>
        <v>83.063999999999993</v>
      </c>
      <c r="K80" s="133">
        <f>monthly_data!$O112*0.8/1000</f>
        <v>104.11920000000001</v>
      </c>
      <c r="L80" s="133">
        <f>monthly_data!$O124*0.8/1000</f>
        <v>108.56720000000001</v>
      </c>
      <c r="M80" s="129"/>
      <c r="N80" s="129"/>
      <c r="O80" s="129"/>
      <c r="P80" s="129"/>
      <c r="Q80" s="129"/>
      <c r="R80" s="129"/>
      <c r="S80" s="129"/>
      <c r="T80" s="129"/>
      <c r="U80" s="122"/>
      <c r="V80" s="122"/>
      <c r="W80" s="122"/>
    </row>
    <row r="81" spans="1:23" x14ac:dyDescent="0.2">
      <c r="A81" s="122" t="s">
        <v>86</v>
      </c>
      <c r="B81" s="133">
        <f>monthly_data!$O5*0.8/1000</f>
        <v>99.887200000000007</v>
      </c>
      <c r="C81" s="133">
        <f>monthly_data!$O17*0.8/1000</f>
        <v>116.29821600000001</v>
      </c>
      <c r="D81" s="133">
        <f>monthly_data!$O29*0.8/1000</f>
        <v>87.168000000000006</v>
      </c>
      <c r="E81" s="133">
        <f>monthly_data!$O41*0.8/1000</f>
        <v>105.19520000000001</v>
      </c>
      <c r="F81" s="133">
        <f>monthly_data!$O53*0.8/1000</f>
        <v>109.61280000000001</v>
      </c>
      <c r="G81" s="133">
        <f>monthly_data!$O65*0.8/1000</f>
        <v>112.6208</v>
      </c>
      <c r="H81" s="133">
        <f>monthly_data!$O77*0.8/1000</f>
        <v>86.769600000000011</v>
      </c>
      <c r="I81" s="133">
        <f>monthly_data!$O89*0.8/1000</f>
        <v>76.124800000000008</v>
      </c>
      <c r="J81" s="133">
        <f>monthly_data!$O101*0.8/1000</f>
        <v>87.345600000000005</v>
      </c>
      <c r="K81" s="133">
        <f>monthly_data!$O113*0.8/1000</f>
        <v>101.71599999999999</v>
      </c>
      <c r="L81" s="133">
        <f>monthly_data!$O125*0.8/1000</f>
        <v>96.087999999999994</v>
      </c>
      <c r="M81" s="129"/>
      <c r="N81" s="129"/>
      <c r="O81" s="129"/>
      <c r="P81" s="129"/>
      <c r="Q81" s="129"/>
      <c r="R81" s="129"/>
      <c r="S81" s="129"/>
      <c r="T81" s="129"/>
      <c r="U81" s="122"/>
      <c r="V81" s="122"/>
      <c r="W81" s="122"/>
    </row>
    <row r="82" spans="1:23" x14ac:dyDescent="0.2">
      <c r="A82" s="122" t="s">
        <v>87</v>
      </c>
      <c r="B82" s="133">
        <f>monthly_data!$O6*0.8/1000</f>
        <v>111.9616</v>
      </c>
      <c r="C82" s="133">
        <f>monthly_data!$O18*0.8/1000</f>
        <v>98.055543999999998</v>
      </c>
      <c r="D82" s="133">
        <f>monthly_data!$O30*0.8/1000</f>
        <v>90.391999999999996</v>
      </c>
      <c r="E82" s="133">
        <f>monthly_data!$O42*0.8/1000</f>
        <v>96.616</v>
      </c>
      <c r="F82" s="133">
        <f>monthly_data!$O54*0.8/1000</f>
        <v>106.5728</v>
      </c>
      <c r="G82" s="133">
        <f>monthly_data!$O66*0.8/1000</f>
        <v>127.1216</v>
      </c>
      <c r="H82" s="133">
        <f>monthly_data!$O78*0.8/1000</f>
        <v>83.857600000000005</v>
      </c>
      <c r="I82" s="133">
        <f>monthly_data!$O90*0.8/1000</f>
        <v>81.954400000000007</v>
      </c>
      <c r="J82" s="133">
        <f>monthly_data!$O102*0.8/1000</f>
        <v>97.076800000000006</v>
      </c>
      <c r="K82" s="133">
        <f>monthly_data!$O114*0.8/1000</f>
        <v>88.331999999999994</v>
      </c>
      <c r="L82" s="129"/>
      <c r="M82" s="129"/>
      <c r="N82" s="129"/>
      <c r="O82" s="129"/>
      <c r="P82" s="129"/>
      <c r="Q82" s="129"/>
      <c r="R82" s="129"/>
      <c r="S82" s="129"/>
      <c r="T82" s="129"/>
      <c r="U82" s="122"/>
      <c r="V82" s="122"/>
      <c r="W82" s="122"/>
    </row>
    <row r="83" spans="1:23" x14ac:dyDescent="0.2">
      <c r="A83" s="122" t="s">
        <v>88</v>
      </c>
      <c r="B83" s="133">
        <f>monthly_data!$O7*0.8/1000</f>
        <v>107.764</v>
      </c>
      <c r="C83" s="133">
        <f>monthly_data!$O19*0.8/1000</f>
        <v>113.2016</v>
      </c>
      <c r="D83" s="133">
        <f>monthly_data!$O31*0.8/1000</f>
        <v>116.03760000000001</v>
      </c>
      <c r="E83" s="133">
        <f>monthly_data!$O43*0.8/1000</f>
        <v>123.49520000000001</v>
      </c>
      <c r="F83" s="133">
        <f>monthly_data!$O55*0.8/1000</f>
        <v>117.6968</v>
      </c>
      <c r="G83" s="133">
        <f>monthly_data!$O67*0.8/1000</f>
        <v>129.74</v>
      </c>
      <c r="H83" s="133">
        <f>monthly_data!$O79*0.8/1000</f>
        <v>83.531999999999996</v>
      </c>
      <c r="I83" s="133">
        <f>monthly_data!$O91*0.8/1000</f>
        <v>86.956000000000003</v>
      </c>
      <c r="J83" s="133">
        <f>monthly_data!$O103*0.8/1000</f>
        <v>111.45440000000001</v>
      </c>
      <c r="K83" s="133">
        <f>monthly_data!$O115*0.8/1000</f>
        <v>94.511200000000017</v>
      </c>
      <c r="L83" s="129"/>
      <c r="M83" s="129"/>
      <c r="N83" s="129"/>
      <c r="O83" s="129"/>
      <c r="P83" s="129"/>
      <c r="Q83" s="129"/>
      <c r="R83" s="129"/>
      <c r="S83" s="129"/>
      <c r="T83" s="129"/>
      <c r="U83" s="122"/>
      <c r="V83" s="122"/>
      <c r="W83" s="122"/>
    </row>
    <row r="84" spans="1:23" x14ac:dyDescent="0.2">
      <c r="A84" s="122" t="s">
        <v>89</v>
      </c>
      <c r="B84" s="133">
        <f>monthly_data!$O8*0.8/1000</f>
        <v>102.81779200000001</v>
      </c>
      <c r="C84" s="133">
        <f>monthly_data!$O20*0.8/1000</f>
        <v>125.34708799999999</v>
      </c>
      <c r="D84" s="133">
        <f>monthly_data!$O32*0.8/1000</f>
        <v>110.8096</v>
      </c>
      <c r="E84" s="133">
        <f>monthly_data!$O44*0.8/1000</f>
        <v>110.1264</v>
      </c>
      <c r="F84" s="133">
        <f>monthly_data!$O56*0.8/1000</f>
        <v>107.14880000000001</v>
      </c>
      <c r="G84" s="133">
        <f>monthly_data!$O68*0.8/1000</f>
        <v>119.97120000000001</v>
      </c>
      <c r="H84" s="133">
        <f>monthly_data!$O80*0.8/1000</f>
        <v>77.347999999999999</v>
      </c>
      <c r="I84" s="133">
        <f>monthly_data!$O92*0.8/1000</f>
        <v>88.71520000000001</v>
      </c>
      <c r="J84" s="133">
        <f>monthly_data!$O104*0.8/1000</f>
        <v>112.30640000000001</v>
      </c>
      <c r="K84" s="133">
        <f>monthly_data!$O116*0.8/1000</f>
        <v>97.706400000000002</v>
      </c>
      <c r="L84" s="129"/>
      <c r="M84" s="129"/>
      <c r="N84" s="129"/>
      <c r="O84" s="129"/>
      <c r="P84" s="129"/>
      <c r="Q84" s="129"/>
      <c r="R84" s="129"/>
      <c r="S84" s="129"/>
      <c r="T84" s="129"/>
      <c r="U84" s="122"/>
      <c r="V84" s="122"/>
      <c r="W84" s="122"/>
    </row>
    <row r="85" spans="1:23" x14ac:dyDescent="0.2">
      <c r="A85" s="122" t="s">
        <v>90</v>
      </c>
      <c r="B85" s="133">
        <f>monthly_data!$O9*0.8/1000</f>
        <v>101.881736</v>
      </c>
      <c r="C85" s="133">
        <f>monthly_data!$O21*0.8/1000</f>
        <v>118.61360000000001</v>
      </c>
      <c r="D85" s="133">
        <f>monthly_data!$O33*0.8/1000</f>
        <v>121.81520000000002</v>
      </c>
      <c r="E85" s="133">
        <f>monthly_data!$O45*0.8/1000</f>
        <v>124.60640000000001</v>
      </c>
      <c r="F85" s="133">
        <f>monthly_data!$O57*0.8/1000</f>
        <v>96.093600000000009</v>
      </c>
      <c r="G85" s="133">
        <f>monthly_data!$O69*0.8/1000</f>
        <v>120.1568</v>
      </c>
      <c r="H85" s="133">
        <f>monthly_data!$O81*0.8/1000</f>
        <v>66.949600000000004</v>
      </c>
      <c r="I85" s="133">
        <f>monthly_data!$O93*0.8/1000</f>
        <v>80.580799999999996</v>
      </c>
      <c r="J85" s="133">
        <f>monthly_data!$O105*0.8/1000</f>
        <v>107.79360000000001</v>
      </c>
      <c r="K85" s="133">
        <f>monthly_data!$O117*0.8/1000</f>
        <v>94.863200000000006</v>
      </c>
      <c r="L85" s="129"/>
      <c r="M85" s="129"/>
      <c r="N85" s="129"/>
      <c r="O85" s="129"/>
      <c r="P85" s="129"/>
      <c r="Q85" s="129"/>
      <c r="R85" s="129"/>
      <c r="S85" s="129"/>
      <c r="T85" s="129"/>
      <c r="U85" s="122"/>
      <c r="V85" s="122"/>
      <c r="W85" s="122"/>
    </row>
    <row r="86" spans="1:23" x14ac:dyDescent="0.2">
      <c r="A86" s="122" t="s">
        <v>91</v>
      </c>
      <c r="B86" s="133">
        <f>monthly_data!$O10*0.8/1000</f>
        <v>91.657600000000002</v>
      </c>
      <c r="C86" s="133">
        <f>monthly_data!$O22*0.8/1000</f>
        <v>108.49520000000001</v>
      </c>
      <c r="D86" s="133">
        <f>monthly_data!$O34*0.8/1000</f>
        <v>105.57440000000001</v>
      </c>
      <c r="E86" s="133">
        <f>monthly_data!$O46*0.8/1000</f>
        <v>111.6448</v>
      </c>
      <c r="F86" s="133">
        <f>monthly_data!$O58*0.8/1000</f>
        <v>98.48960000000001</v>
      </c>
      <c r="G86" s="133">
        <f>monthly_data!$O70*0.8/1000</f>
        <v>118.2808</v>
      </c>
      <c r="H86" s="133">
        <f>monthly_data!$O82*0.8/1000</f>
        <v>58.305600000000005</v>
      </c>
      <c r="I86" s="133">
        <f>monthly_data!$O94*0.8/1000</f>
        <v>78.202400000000011</v>
      </c>
      <c r="J86" s="133">
        <f>monthly_data!$O106*0.8/1000</f>
        <v>91.437600000000003</v>
      </c>
      <c r="K86" s="133">
        <f>monthly_data!$O118*0.8/1000</f>
        <v>103.11040000000001</v>
      </c>
      <c r="L86" s="129"/>
      <c r="M86" s="129"/>
      <c r="N86" s="129"/>
      <c r="O86" s="129"/>
      <c r="P86" s="129"/>
      <c r="Q86" s="129"/>
      <c r="R86" s="129"/>
      <c r="S86" s="129"/>
      <c r="T86" s="129"/>
      <c r="U86" s="122"/>
      <c r="V86" s="122"/>
      <c r="W86" s="122"/>
    </row>
    <row r="87" spans="1:23" x14ac:dyDescent="0.2">
      <c r="A87" s="122" t="s">
        <v>92</v>
      </c>
      <c r="B87" s="133">
        <f>monthly_data!$O11*0.8/1000</f>
        <v>127.2496</v>
      </c>
      <c r="C87" s="133">
        <f>monthly_data!$O23*0.8/1000</f>
        <v>92.695999999999998</v>
      </c>
      <c r="D87" s="133">
        <f>monthly_data!$O35*0.8/1000</f>
        <v>104.0408</v>
      </c>
      <c r="E87" s="133">
        <f>monthly_data!$O47*0.8/1000</f>
        <v>108.27440000000001</v>
      </c>
      <c r="F87" s="133">
        <f>monthly_data!$O59*0.8/1000</f>
        <v>100.304</v>
      </c>
      <c r="G87" s="133">
        <f>monthly_data!$O71*0.8/1000</f>
        <v>110.41840000000001</v>
      </c>
      <c r="H87" s="133">
        <f>monthly_data!$O83*0.8/1000</f>
        <v>64.170400000000001</v>
      </c>
      <c r="I87" s="133">
        <f>monthly_data!$O95*0.8/1000</f>
        <v>92.810400000000016</v>
      </c>
      <c r="J87" s="133">
        <f>monthly_data!$O107*0.8/1000</f>
        <v>70.247199999999992</v>
      </c>
      <c r="K87" s="133">
        <f>monthly_data!$O119*0.8/1000</f>
        <v>107.9568</v>
      </c>
      <c r="L87" s="129"/>
      <c r="M87" s="129"/>
      <c r="N87" s="129"/>
      <c r="O87" s="129"/>
      <c r="P87" s="129"/>
      <c r="Q87" s="129"/>
      <c r="R87" s="129"/>
      <c r="S87" s="129"/>
      <c r="T87" s="129"/>
      <c r="U87" s="122"/>
      <c r="V87" s="122"/>
      <c r="W87" s="122"/>
    </row>
    <row r="88" spans="1:23" x14ac:dyDescent="0.2">
      <c r="A88" s="122" t="s">
        <v>93</v>
      </c>
      <c r="B88" s="133">
        <f>monthly_data!$O12*0.8/1000</f>
        <v>110.08880000000001</v>
      </c>
      <c r="C88" s="133">
        <f>monthly_data!$O24*0.8/1000</f>
        <v>113.59360000000001</v>
      </c>
      <c r="D88" s="133">
        <f>monthly_data!$O36*0.8/1000</f>
        <v>118.28</v>
      </c>
      <c r="E88" s="133">
        <f>monthly_data!$O48*0.8/1000</f>
        <v>100.80800000000001</v>
      </c>
      <c r="F88" s="133">
        <f>monthly_data!$O60*0.8/1000</f>
        <v>104.9688</v>
      </c>
      <c r="G88" s="133">
        <f>monthly_data!$O72*0.8/1000</f>
        <v>95.631200000000007</v>
      </c>
      <c r="H88" s="133">
        <f>monthly_data!$O84*0.8/1000</f>
        <v>73.831999999999994</v>
      </c>
      <c r="I88" s="133">
        <f>monthly_data!$O96*0.8/1000</f>
        <v>93.884799999999998</v>
      </c>
      <c r="J88" s="133">
        <f>monthly_data!$O108*0.8/1000</f>
        <v>79.186400000000006</v>
      </c>
      <c r="K88" s="133">
        <f>monthly_data!$O120*0.8/1000</f>
        <v>120.85920000000002</v>
      </c>
      <c r="L88" s="129"/>
      <c r="M88" s="129"/>
      <c r="N88" s="129"/>
      <c r="O88" s="129"/>
      <c r="P88" s="129"/>
      <c r="Q88" s="129"/>
      <c r="R88" s="129"/>
      <c r="S88" s="129"/>
      <c r="T88" s="129"/>
      <c r="U88" s="122"/>
      <c r="V88" s="122"/>
      <c r="W88" s="122"/>
    </row>
    <row r="89" spans="1:23" x14ac:dyDescent="0.2">
      <c r="A89" s="122" t="s">
        <v>94</v>
      </c>
      <c r="B89" s="133">
        <f>monthly_data!$O13*0.8/1000</f>
        <v>107.04960000000001</v>
      </c>
      <c r="C89" s="133">
        <f>monthly_data!$O25*0.8/1000</f>
        <v>109.38560000000001</v>
      </c>
      <c r="D89" s="133">
        <f>monthly_data!$O37*0.8/1000</f>
        <v>111.88720000000001</v>
      </c>
      <c r="E89" s="133">
        <f>monthly_data!$O49*0.8/1000</f>
        <v>106.77200000000001</v>
      </c>
      <c r="F89" s="133">
        <f>monthly_data!$O61*0.8/1000</f>
        <v>117.05760000000001</v>
      </c>
      <c r="G89" s="133">
        <f>monthly_data!$O73*0.8/1000</f>
        <v>83.163200000000018</v>
      </c>
      <c r="H89" s="133">
        <f>monthly_data!$O85*0.8/1000</f>
        <v>84.953600000000009</v>
      </c>
      <c r="I89" s="133">
        <f>monthly_data!$O97*0.8/1000</f>
        <v>84.936800000000005</v>
      </c>
      <c r="J89" s="133">
        <f>monthly_data!$O109*0.8/1000</f>
        <v>89.524799999999999</v>
      </c>
      <c r="K89" s="133">
        <f>monthly_data!$O121*0.8/1000</f>
        <v>104.26960000000001</v>
      </c>
      <c r="L89" s="129"/>
      <c r="M89" s="129"/>
      <c r="N89" s="129"/>
      <c r="O89" s="129"/>
      <c r="P89" s="129"/>
      <c r="Q89" s="129"/>
      <c r="R89" s="129"/>
      <c r="S89" s="129"/>
      <c r="T89" s="129"/>
      <c r="U89" s="122"/>
      <c r="V89" s="122"/>
      <c r="W89" s="122"/>
    </row>
    <row r="90" spans="1:23" x14ac:dyDescent="0.2">
      <c r="A90" s="122" t="s">
        <v>95</v>
      </c>
      <c r="B90" s="133">
        <f>monthly_data!$O14*0.8/1000</f>
        <v>113.19136800000001</v>
      </c>
      <c r="C90" s="133">
        <f>monthly_data!$O26*0.8/1000</f>
        <v>108.7064</v>
      </c>
      <c r="D90" s="133">
        <f>monthly_data!$O38*0.8/1000</f>
        <v>105.4</v>
      </c>
      <c r="E90" s="133">
        <f>monthly_data!$O50*0.8/1000</f>
        <v>104.7856</v>
      </c>
      <c r="F90" s="133">
        <f>monthly_data!$O62*0.8/1000</f>
        <v>110.1288</v>
      </c>
      <c r="G90" s="133">
        <f>monthly_data!$O74*0.8/1000</f>
        <v>85.755200000000016</v>
      </c>
      <c r="H90" s="133">
        <f>monthly_data!$O86*0.8/1000</f>
        <v>80.327200000000005</v>
      </c>
      <c r="I90" s="133">
        <f>monthly_data!$O98*0.8/1000</f>
        <v>86.870400000000004</v>
      </c>
      <c r="J90" s="133">
        <f>monthly_data!$O110*0.8/1000</f>
        <v>88.962400000000002</v>
      </c>
      <c r="K90" s="133">
        <f>monthly_data!$O122*0.8/1000</f>
        <v>98.16</v>
      </c>
      <c r="L90" s="129"/>
      <c r="M90" s="129"/>
      <c r="N90" s="129"/>
      <c r="O90" s="129"/>
      <c r="P90" s="129"/>
      <c r="Q90" s="129"/>
      <c r="R90" s="129"/>
      <c r="S90" s="129"/>
      <c r="T90" s="129"/>
      <c r="U90" s="122"/>
      <c r="V90" s="122"/>
      <c r="W90" s="122"/>
    </row>
    <row r="91" spans="1:23" ht="12" thickBot="1" x14ac:dyDescent="0.25">
      <c r="A91" s="122" t="s">
        <v>96</v>
      </c>
      <c r="B91" s="133">
        <f>monthly_data!$O15*0.8/1000</f>
        <v>109.42516800000001</v>
      </c>
      <c r="C91" s="133">
        <f>monthly_data!$O27*0.8/1000</f>
        <v>103.50240000000001</v>
      </c>
      <c r="D91" s="133">
        <f>monthly_data!$O39*0.8/1000</f>
        <v>111.42240000000001</v>
      </c>
      <c r="E91" s="133">
        <f>monthly_data!$O51*0.8/1000</f>
        <v>97.027200000000008</v>
      </c>
      <c r="F91" s="133">
        <f>monthly_data!$O63*0.8/1000</f>
        <v>107.77120000000001</v>
      </c>
      <c r="G91" s="133">
        <f>monthly_data!$O75*0.8/1000</f>
        <v>86.479200000000006</v>
      </c>
      <c r="H91" s="133">
        <f>monthly_data!$O87*0.8/1000</f>
        <v>82.8416</v>
      </c>
      <c r="I91" s="133">
        <f>monthly_data!$O99*0.8/1000</f>
        <v>88.334400000000002</v>
      </c>
      <c r="J91" s="133">
        <f>monthly_data!$O111*0.8/1000</f>
        <v>97.973600000000005</v>
      </c>
      <c r="K91" s="133">
        <f>monthly_data!$O123*0.8/1000</f>
        <v>96.4208</v>
      </c>
      <c r="L91" s="129"/>
      <c r="M91" s="129"/>
      <c r="N91" s="129"/>
      <c r="O91" s="129"/>
      <c r="P91" s="129"/>
      <c r="Q91" s="129"/>
      <c r="R91" s="129"/>
      <c r="S91" s="129"/>
      <c r="T91" s="129"/>
      <c r="U91" s="122"/>
      <c r="V91" s="122"/>
      <c r="W91" s="122"/>
    </row>
    <row r="92" spans="1:23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22"/>
    </row>
    <row r="93" spans="1:23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4A76-6EE1-474A-89DB-F185278E5191}">
  <dimension ref="A1:V454"/>
  <sheetViews>
    <sheetView zoomScaleNormal="100" workbookViewId="0">
      <pane xSplit="1" ySplit="2" topLeftCell="B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defaultColWidth="8.85546875" defaultRowHeight="15" x14ac:dyDescent="0.25"/>
  <cols>
    <col min="1" max="1" width="39.5703125" customWidth="1"/>
    <col min="2" max="9" width="9.5703125" style="157" bestFit="1" customWidth="1"/>
    <col min="10" max="10" width="11" style="160" bestFit="1" customWidth="1"/>
    <col min="11" max="12" width="9.5703125" style="160" bestFit="1" customWidth="1"/>
    <col min="13" max="22" width="9.5703125" style="160" customWidth="1"/>
  </cols>
  <sheetData>
    <row r="1" spans="1:22" ht="16.5" customHeight="1" thickBot="1" x14ac:dyDescent="0.3">
      <c r="A1" s="102" t="s">
        <v>131</v>
      </c>
      <c r="B1" s="103"/>
      <c r="C1" s="103"/>
      <c r="D1" s="103"/>
      <c r="E1" s="103"/>
      <c r="F1" s="103"/>
      <c r="G1" s="103"/>
      <c r="H1" s="103"/>
      <c r="I1" s="103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s="137" customFormat="1" ht="17.25" thickTop="1" x14ac:dyDescent="0.3">
      <c r="A2" s="135" t="s">
        <v>73</v>
      </c>
      <c r="B2" s="136">
        <v>2015</v>
      </c>
      <c r="C2" s="136">
        <v>2016</v>
      </c>
      <c r="D2" s="136">
        <v>2017</v>
      </c>
      <c r="E2" s="136">
        <v>2018</v>
      </c>
      <c r="F2" s="136">
        <v>2019</v>
      </c>
      <c r="G2" s="136">
        <v>2020</v>
      </c>
      <c r="H2" s="136">
        <v>2021</v>
      </c>
      <c r="I2" s="136">
        <v>2022</v>
      </c>
      <c r="J2" s="136">
        <v>2023</v>
      </c>
      <c r="K2" s="136">
        <v>2024</v>
      </c>
      <c r="L2" s="136">
        <v>2025</v>
      </c>
      <c r="M2" s="136">
        <v>2026</v>
      </c>
      <c r="N2" s="136">
        <v>2027</v>
      </c>
      <c r="O2" s="136">
        <v>2028</v>
      </c>
      <c r="P2" s="136">
        <v>2029</v>
      </c>
      <c r="Q2" s="136">
        <v>2030</v>
      </c>
      <c r="R2" s="136">
        <v>2031</v>
      </c>
      <c r="S2" s="136">
        <v>2032</v>
      </c>
      <c r="T2" s="136">
        <v>2033</v>
      </c>
      <c r="U2" s="136">
        <v>2034</v>
      </c>
      <c r="V2" s="136">
        <v>2035</v>
      </c>
    </row>
    <row r="3" spans="1:22" ht="16.5" x14ac:dyDescent="0.3">
      <c r="A3" s="138" t="s">
        <v>74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</row>
    <row r="4" spans="1:22" ht="16.5" x14ac:dyDescent="0.3">
      <c r="A4" s="138" t="s">
        <v>75</v>
      </c>
      <c r="B4" s="139"/>
      <c r="C4" s="139"/>
      <c r="D4" s="139"/>
      <c r="E4" s="139"/>
      <c r="F4" s="139"/>
      <c r="G4" s="139"/>
      <c r="H4" s="139"/>
      <c r="I4" s="139"/>
      <c r="J4" s="139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</row>
    <row r="5" spans="1:22" ht="16.5" x14ac:dyDescent="0.3">
      <c r="A5" s="141" t="s">
        <v>76</v>
      </c>
      <c r="B5" s="142"/>
      <c r="C5" s="142"/>
      <c r="D5" s="142"/>
      <c r="E5" s="142"/>
      <c r="F5" s="142"/>
      <c r="G5" s="142"/>
      <c r="H5" s="142"/>
      <c r="I5" s="142"/>
      <c r="J5" s="142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</row>
    <row r="6" spans="1:22" ht="16.5" x14ac:dyDescent="0.3">
      <c r="A6" s="144" t="s">
        <v>114</v>
      </c>
      <c r="B6" s="145"/>
      <c r="C6" s="145"/>
      <c r="D6" s="145"/>
      <c r="E6" s="145"/>
      <c r="F6" s="145"/>
      <c r="G6" s="145"/>
      <c r="H6" s="145"/>
      <c r="I6" s="145"/>
      <c r="J6" s="145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</row>
    <row r="7" spans="1:22" ht="16.5" x14ac:dyDescent="0.3">
      <c r="A7" s="144" t="s">
        <v>132</v>
      </c>
      <c r="B7" s="145"/>
      <c r="C7" s="145"/>
      <c r="D7" s="145"/>
      <c r="E7" s="145"/>
      <c r="F7" s="145"/>
      <c r="G7" s="145"/>
      <c r="H7" s="145"/>
      <c r="I7" s="145"/>
      <c r="J7" s="145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</row>
    <row r="8" spans="1:22" ht="16.5" x14ac:dyDescent="0.3">
      <c r="A8" s="138" t="s">
        <v>133</v>
      </c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</row>
    <row r="9" spans="1:22" ht="16.5" x14ac:dyDescent="0.3">
      <c r="A9" s="138" t="s">
        <v>61</v>
      </c>
      <c r="B9" s="139"/>
      <c r="C9" s="139"/>
      <c r="D9" s="139"/>
      <c r="E9" s="139"/>
      <c r="F9" s="139"/>
      <c r="G9" s="139"/>
      <c r="H9" s="139"/>
      <c r="I9" s="139"/>
      <c r="J9" s="139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</row>
    <row r="10" spans="1:22" ht="16.5" x14ac:dyDescent="0.3">
      <c r="A10" s="138" t="s">
        <v>47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</row>
    <row r="11" spans="1:22" ht="16.5" x14ac:dyDescent="0.3">
      <c r="A11" s="144" t="s">
        <v>116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</row>
    <row r="12" spans="1:22" ht="16.5" x14ac:dyDescent="0.3">
      <c r="A12" s="147" t="s">
        <v>104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</row>
    <row r="13" spans="1:22" ht="16.5" x14ac:dyDescent="0.3">
      <c r="A13" s="148" t="s">
        <v>134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</row>
    <row r="14" spans="1:22" ht="16.5" x14ac:dyDescent="0.3">
      <c r="A14" s="141" t="s">
        <v>135</v>
      </c>
      <c r="B14" s="149"/>
      <c r="C14" s="149"/>
      <c r="D14" s="149"/>
      <c r="E14" s="150"/>
      <c r="F14" s="150"/>
      <c r="G14" s="150"/>
      <c r="H14" s="150"/>
      <c r="I14" s="150"/>
      <c r="J14" s="150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</row>
    <row r="15" spans="1:22" s="152" customFormat="1" x14ac:dyDescent="0.25">
      <c r="B15" s="153"/>
      <c r="C15" s="153"/>
      <c r="D15" s="153"/>
      <c r="E15" s="153"/>
      <c r="F15" s="153"/>
      <c r="G15" s="153"/>
      <c r="H15" s="153"/>
      <c r="I15" s="153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</row>
    <row r="16" spans="1:22" s="152" customFormat="1" ht="16.5" x14ac:dyDescent="0.3">
      <c r="A16" s="148" t="s">
        <v>136</v>
      </c>
      <c r="B16" s="139"/>
      <c r="C16" s="139"/>
      <c r="D16" s="139"/>
      <c r="E16" s="155"/>
      <c r="F16" s="155"/>
      <c r="G16" s="155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</row>
    <row r="17" spans="1:22" ht="16.5" x14ac:dyDescent="0.3">
      <c r="A17" s="148" t="s">
        <v>137</v>
      </c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</row>
    <row r="18" spans="1:22" s="137" customFormat="1" ht="15.75" thickBot="1" x14ac:dyDescent="0.3">
      <c r="A18" s="158" t="s">
        <v>138</v>
      </c>
      <c r="B18" s="157"/>
      <c r="C18" s="157"/>
      <c r="D18" s="157"/>
      <c r="E18" s="159"/>
      <c r="F18" s="157"/>
      <c r="G18" s="157"/>
      <c r="H18" s="157"/>
      <c r="I18" s="157"/>
      <c r="J18" s="160"/>
      <c r="K18" s="160"/>
      <c r="L18" s="160"/>
      <c r="M18" s="160"/>
      <c r="N18" s="160"/>
      <c r="O18" s="160"/>
      <c r="P18" s="161"/>
      <c r="Q18" s="161"/>
      <c r="R18" s="161"/>
      <c r="S18" s="161"/>
      <c r="T18" s="161"/>
      <c r="U18" s="161"/>
      <c r="V18" s="161"/>
    </row>
    <row r="19" spans="1:22" s="158" customFormat="1" ht="15.75" thickBot="1" x14ac:dyDescent="0.3">
      <c r="A19" s="162" t="s">
        <v>73</v>
      </c>
      <c r="B19" s="163">
        <f t="shared" ref="B19:V19" si="0">B2</f>
        <v>2015</v>
      </c>
      <c r="C19" s="163">
        <f t="shared" si="0"/>
        <v>2016</v>
      </c>
      <c r="D19" s="163">
        <f t="shared" si="0"/>
        <v>2017</v>
      </c>
      <c r="E19" s="163">
        <f t="shared" si="0"/>
        <v>2018</v>
      </c>
      <c r="F19" s="163">
        <f t="shared" si="0"/>
        <v>2019</v>
      </c>
      <c r="G19" s="163">
        <f t="shared" si="0"/>
        <v>2020</v>
      </c>
      <c r="H19" s="163">
        <f t="shared" si="0"/>
        <v>2021</v>
      </c>
      <c r="I19" s="163">
        <f t="shared" si="0"/>
        <v>2022</v>
      </c>
      <c r="J19" s="163">
        <f t="shared" si="0"/>
        <v>2023</v>
      </c>
      <c r="K19" s="163">
        <f t="shared" si="0"/>
        <v>2024</v>
      </c>
      <c r="L19" s="163">
        <f t="shared" si="0"/>
        <v>2025</v>
      </c>
      <c r="M19" s="163">
        <f t="shared" si="0"/>
        <v>2026</v>
      </c>
      <c r="N19" s="163">
        <f t="shared" si="0"/>
        <v>2027</v>
      </c>
      <c r="O19" s="163">
        <f t="shared" si="0"/>
        <v>2028</v>
      </c>
      <c r="P19" s="163">
        <f t="shared" si="0"/>
        <v>2029</v>
      </c>
      <c r="Q19" s="163">
        <f t="shared" si="0"/>
        <v>2030</v>
      </c>
      <c r="R19" s="163">
        <f t="shared" si="0"/>
        <v>2031</v>
      </c>
      <c r="S19" s="163">
        <f t="shared" si="0"/>
        <v>2032</v>
      </c>
      <c r="T19" s="163">
        <f t="shared" si="0"/>
        <v>2033</v>
      </c>
      <c r="U19" s="163">
        <f t="shared" si="0"/>
        <v>2034</v>
      </c>
      <c r="V19" s="163">
        <f t="shared" si="0"/>
        <v>2035</v>
      </c>
    </row>
    <row r="20" spans="1:22" x14ac:dyDescent="0.25">
      <c r="A20" s="137" t="s">
        <v>85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</row>
    <row r="21" spans="1:22" x14ac:dyDescent="0.25">
      <c r="A21" s="137" t="s">
        <v>86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</row>
    <row r="22" spans="1:22" x14ac:dyDescent="0.25">
      <c r="A22" s="137" t="s">
        <v>87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</row>
    <row r="23" spans="1:22" x14ac:dyDescent="0.25">
      <c r="A23" s="137" t="s">
        <v>88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22" x14ac:dyDescent="0.25">
      <c r="A24" s="137" t="s">
        <v>89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</row>
    <row r="25" spans="1:22" x14ac:dyDescent="0.25">
      <c r="A25" s="137" t="s">
        <v>90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</row>
    <row r="26" spans="1:22" x14ac:dyDescent="0.25">
      <c r="A26" s="137" t="s">
        <v>91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</row>
    <row r="27" spans="1:22" x14ac:dyDescent="0.25">
      <c r="A27" s="137" t="s">
        <v>92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</row>
    <row r="28" spans="1:22" x14ac:dyDescent="0.25">
      <c r="A28" s="137" t="s">
        <v>93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</row>
    <row r="29" spans="1:22" x14ac:dyDescent="0.25">
      <c r="A29" s="137" t="s">
        <v>94</v>
      </c>
      <c r="B29" s="164"/>
      <c r="C29" s="164"/>
      <c r="D29" s="164"/>
      <c r="E29" s="164"/>
      <c r="F29" s="164"/>
      <c r="G29" s="164"/>
      <c r="H29" s="164"/>
      <c r="I29" s="164"/>
      <c r="J29" s="164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</row>
    <row r="30" spans="1:22" x14ac:dyDescent="0.25">
      <c r="A30" s="137" t="s">
        <v>95</v>
      </c>
      <c r="B30" s="164"/>
      <c r="C30" s="164"/>
      <c r="D30" s="164"/>
      <c r="E30" s="164"/>
      <c r="F30" s="164"/>
      <c r="G30" s="164"/>
      <c r="H30" s="164"/>
      <c r="I30" s="164"/>
      <c r="J30" s="164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</row>
    <row r="31" spans="1:22" x14ac:dyDescent="0.25">
      <c r="A31" s="137" t="s">
        <v>96</v>
      </c>
      <c r="B31" s="164"/>
      <c r="C31" s="164"/>
      <c r="D31" s="164"/>
      <c r="E31" s="164"/>
      <c r="F31" s="164"/>
      <c r="G31" s="164"/>
      <c r="H31" s="164"/>
      <c r="I31" s="164"/>
      <c r="J31" s="164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</row>
    <row r="32" spans="1:22" x14ac:dyDescent="0.25">
      <c r="A32" s="166" t="s">
        <v>97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</row>
    <row r="33" spans="1:22" x14ac:dyDescent="0.25">
      <c r="J33" s="169"/>
      <c r="K33" s="169"/>
      <c r="L33" s="169"/>
    </row>
    <row r="34" spans="1:22" s="137" customFormat="1" ht="15.75" thickBot="1" x14ac:dyDescent="0.3">
      <c r="A34" s="158" t="s">
        <v>139</v>
      </c>
      <c r="B34" s="157"/>
      <c r="C34" s="157"/>
      <c r="D34" s="157"/>
      <c r="E34" s="157"/>
      <c r="F34" s="157"/>
      <c r="G34" s="157"/>
      <c r="H34" s="157"/>
      <c r="I34" s="157"/>
      <c r="J34" s="160"/>
      <c r="K34" s="160"/>
      <c r="L34" s="160"/>
      <c r="M34" s="160"/>
      <c r="N34" s="160"/>
      <c r="O34" s="160"/>
      <c r="P34" s="161"/>
      <c r="Q34" s="161"/>
      <c r="R34" s="161"/>
      <c r="S34" s="161"/>
      <c r="T34" s="161"/>
      <c r="U34" s="161"/>
      <c r="V34" s="161"/>
    </row>
    <row r="35" spans="1:22" s="158" customFormat="1" ht="15.75" thickBot="1" x14ac:dyDescent="0.3">
      <c r="A35" s="162" t="s">
        <v>73</v>
      </c>
      <c r="B35" s="163">
        <f t="shared" ref="B35:V35" si="1">B2</f>
        <v>2015</v>
      </c>
      <c r="C35" s="163">
        <f t="shared" si="1"/>
        <v>2016</v>
      </c>
      <c r="D35" s="163">
        <f t="shared" si="1"/>
        <v>2017</v>
      </c>
      <c r="E35" s="163">
        <f t="shared" si="1"/>
        <v>2018</v>
      </c>
      <c r="F35" s="163">
        <f t="shared" si="1"/>
        <v>2019</v>
      </c>
      <c r="G35" s="163">
        <f t="shared" si="1"/>
        <v>2020</v>
      </c>
      <c r="H35" s="163">
        <f t="shared" si="1"/>
        <v>2021</v>
      </c>
      <c r="I35" s="163">
        <f t="shared" si="1"/>
        <v>2022</v>
      </c>
      <c r="J35" s="163">
        <f t="shared" si="1"/>
        <v>2023</v>
      </c>
      <c r="K35" s="163">
        <f t="shared" si="1"/>
        <v>2024</v>
      </c>
      <c r="L35" s="163">
        <f t="shared" si="1"/>
        <v>2025</v>
      </c>
      <c r="M35" s="163">
        <f t="shared" si="1"/>
        <v>2026</v>
      </c>
      <c r="N35" s="163">
        <f t="shared" si="1"/>
        <v>2027</v>
      </c>
      <c r="O35" s="163">
        <f t="shared" si="1"/>
        <v>2028</v>
      </c>
      <c r="P35" s="163">
        <f t="shared" si="1"/>
        <v>2029</v>
      </c>
      <c r="Q35" s="163">
        <f t="shared" si="1"/>
        <v>2030</v>
      </c>
      <c r="R35" s="163">
        <f t="shared" si="1"/>
        <v>2031</v>
      </c>
      <c r="S35" s="163">
        <f t="shared" si="1"/>
        <v>2032</v>
      </c>
      <c r="T35" s="163">
        <f t="shared" si="1"/>
        <v>2033</v>
      </c>
      <c r="U35" s="163">
        <f t="shared" si="1"/>
        <v>2034</v>
      </c>
      <c r="V35" s="163">
        <f t="shared" si="1"/>
        <v>2035</v>
      </c>
    </row>
    <row r="36" spans="1:22" x14ac:dyDescent="0.25">
      <c r="A36" s="137" t="s">
        <v>85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</row>
    <row r="37" spans="1:22" x14ac:dyDescent="0.25">
      <c r="A37" s="137" t="s">
        <v>86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</row>
    <row r="38" spans="1:22" x14ac:dyDescent="0.25">
      <c r="A38" s="137" t="s">
        <v>87</v>
      </c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</row>
    <row r="39" spans="1:22" x14ac:dyDescent="0.25">
      <c r="A39" s="137" t="s">
        <v>88</v>
      </c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</row>
    <row r="40" spans="1:22" x14ac:dyDescent="0.25">
      <c r="A40" s="137" t="s">
        <v>89</v>
      </c>
      <c r="B40" s="170"/>
      <c r="C40" s="170"/>
      <c r="D40" s="170"/>
      <c r="E40" s="170"/>
      <c r="F40" s="170"/>
      <c r="G40" s="170"/>
      <c r="H40" s="170"/>
      <c r="I40" s="170"/>
      <c r="J40" s="170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</row>
    <row r="41" spans="1:22" x14ac:dyDescent="0.25">
      <c r="A41" s="137" t="s">
        <v>90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</row>
    <row r="42" spans="1:22" x14ac:dyDescent="0.25">
      <c r="A42" s="137" t="s">
        <v>91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</row>
    <row r="43" spans="1:22" x14ac:dyDescent="0.25">
      <c r="A43" s="137" t="s">
        <v>92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</row>
    <row r="44" spans="1:22" x14ac:dyDescent="0.25">
      <c r="A44" s="137" t="s">
        <v>93</v>
      </c>
      <c r="B44" s="170"/>
      <c r="C44" s="170"/>
      <c r="D44" s="170"/>
      <c r="E44" s="170"/>
      <c r="F44" s="170"/>
      <c r="G44" s="170"/>
      <c r="H44" s="170"/>
      <c r="I44" s="170"/>
      <c r="J44" s="170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</row>
    <row r="45" spans="1:22" x14ac:dyDescent="0.25">
      <c r="A45" s="137" t="s">
        <v>94</v>
      </c>
      <c r="B45" s="170"/>
      <c r="C45" s="170"/>
      <c r="D45" s="170"/>
      <c r="E45" s="170"/>
      <c r="F45" s="170"/>
      <c r="G45" s="170"/>
      <c r="H45" s="170"/>
      <c r="I45" s="170"/>
      <c r="J45" s="170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</row>
    <row r="46" spans="1:22" x14ac:dyDescent="0.25">
      <c r="A46" s="137" t="s">
        <v>95</v>
      </c>
      <c r="B46" s="170"/>
      <c r="C46" s="170"/>
      <c r="D46" s="170"/>
      <c r="E46" s="170"/>
      <c r="F46" s="170"/>
      <c r="G46" s="170"/>
      <c r="H46" s="170"/>
      <c r="I46" s="170"/>
      <c r="J46" s="170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</row>
    <row r="47" spans="1:22" x14ac:dyDescent="0.25">
      <c r="A47" s="137" t="s">
        <v>96</v>
      </c>
      <c r="B47" s="170"/>
      <c r="C47" s="170"/>
      <c r="D47" s="170"/>
      <c r="E47" s="170"/>
      <c r="F47" s="170"/>
      <c r="G47" s="170"/>
      <c r="H47" s="170"/>
      <c r="I47" s="170"/>
      <c r="J47" s="170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</row>
    <row r="48" spans="1:22" x14ac:dyDescent="0.25">
      <c r="A48" s="166" t="s">
        <v>97</v>
      </c>
      <c r="B48" s="167"/>
      <c r="C48" s="167"/>
      <c r="D48" s="167"/>
      <c r="E48" s="167"/>
      <c r="F48" s="167"/>
      <c r="G48" s="167"/>
      <c r="H48" s="167"/>
      <c r="I48" s="167"/>
      <c r="J48" s="167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</row>
    <row r="50" spans="1:22" ht="15.75" thickBot="1" x14ac:dyDescent="0.3">
      <c r="A50" s="158" t="s">
        <v>140</v>
      </c>
    </row>
    <row r="51" spans="1:22" ht="15.75" thickBot="1" x14ac:dyDescent="0.3">
      <c r="A51" s="162" t="s">
        <v>73</v>
      </c>
      <c r="B51" s="163">
        <f t="shared" ref="B51:V51" si="2">B35</f>
        <v>2015</v>
      </c>
      <c r="C51" s="163">
        <f t="shared" si="2"/>
        <v>2016</v>
      </c>
      <c r="D51" s="163">
        <f t="shared" si="2"/>
        <v>2017</v>
      </c>
      <c r="E51" s="163">
        <f t="shared" si="2"/>
        <v>2018</v>
      </c>
      <c r="F51" s="163">
        <f t="shared" si="2"/>
        <v>2019</v>
      </c>
      <c r="G51" s="163">
        <f t="shared" si="2"/>
        <v>2020</v>
      </c>
      <c r="H51" s="163">
        <f t="shared" si="2"/>
        <v>2021</v>
      </c>
      <c r="I51" s="163">
        <f t="shared" si="2"/>
        <v>2022</v>
      </c>
      <c r="J51" s="163">
        <f t="shared" si="2"/>
        <v>2023</v>
      </c>
      <c r="K51" s="163">
        <f t="shared" si="2"/>
        <v>2024</v>
      </c>
      <c r="L51" s="163">
        <f t="shared" si="2"/>
        <v>2025</v>
      </c>
      <c r="M51" s="163">
        <f t="shared" si="2"/>
        <v>2026</v>
      </c>
      <c r="N51" s="163">
        <f t="shared" si="2"/>
        <v>2027</v>
      </c>
      <c r="O51" s="163">
        <f t="shared" si="2"/>
        <v>2028</v>
      </c>
      <c r="P51" s="163">
        <f t="shared" si="2"/>
        <v>2029</v>
      </c>
      <c r="Q51" s="163">
        <f t="shared" si="2"/>
        <v>2030</v>
      </c>
      <c r="R51" s="163">
        <f t="shared" si="2"/>
        <v>2031</v>
      </c>
      <c r="S51" s="163">
        <f t="shared" si="2"/>
        <v>2032</v>
      </c>
      <c r="T51" s="163">
        <f t="shared" si="2"/>
        <v>2033</v>
      </c>
      <c r="U51" s="163">
        <f t="shared" si="2"/>
        <v>2034</v>
      </c>
      <c r="V51" s="163">
        <f t="shared" si="2"/>
        <v>2035</v>
      </c>
    </row>
    <row r="52" spans="1:22" x14ac:dyDescent="0.25">
      <c r="A52" s="171" t="s">
        <v>85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</row>
    <row r="53" spans="1:22" x14ac:dyDescent="0.25">
      <c r="A53" s="171" t="s">
        <v>86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</row>
    <row r="54" spans="1:22" x14ac:dyDescent="0.25">
      <c r="A54" s="171" t="s">
        <v>87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</row>
    <row r="55" spans="1:22" x14ac:dyDescent="0.25">
      <c r="A55" s="171" t="s">
        <v>88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</row>
    <row r="56" spans="1:22" x14ac:dyDescent="0.25">
      <c r="A56" s="171" t="s">
        <v>89</v>
      </c>
      <c r="B56" s="96"/>
      <c r="C56" s="96"/>
      <c r="D56" s="96"/>
      <c r="E56" s="96"/>
      <c r="F56" s="96"/>
      <c r="G56" s="96"/>
      <c r="H56" s="96"/>
      <c r="I56" s="96"/>
      <c r="J56" s="96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</row>
    <row r="57" spans="1:22" x14ac:dyDescent="0.25">
      <c r="A57" s="171" t="s">
        <v>90</v>
      </c>
      <c r="B57" s="96"/>
      <c r="C57" s="96"/>
      <c r="D57" s="96"/>
      <c r="E57" s="96"/>
      <c r="F57" s="96"/>
      <c r="G57" s="96"/>
      <c r="H57" s="96"/>
      <c r="I57" s="96"/>
      <c r="J57" s="96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</row>
    <row r="58" spans="1:22" x14ac:dyDescent="0.25">
      <c r="A58" s="171" t="s">
        <v>91</v>
      </c>
      <c r="B58" s="96"/>
      <c r="C58" s="96"/>
      <c r="D58" s="96"/>
      <c r="E58" s="96"/>
      <c r="F58" s="96"/>
      <c r="G58" s="96"/>
      <c r="H58" s="96"/>
      <c r="I58" s="96"/>
      <c r="J58" s="96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</row>
    <row r="59" spans="1:22" x14ac:dyDescent="0.25">
      <c r="A59" s="171" t="s">
        <v>92</v>
      </c>
      <c r="B59" s="96"/>
      <c r="C59" s="96"/>
      <c r="D59" s="96"/>
      <c r="E59" s="96"/>
      <c r="F59" s="96"/>
      <c r="G59" s="96"/>
      <c r="H59" s="96"/>
      <c r="I59" s="96"/>
      <c r="J59" s="96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</row>
    <row r="60" spans="1:22" x14ac:dyDescent="0.25">
      <c r="A60" s="171" t="s">
        <v>93</v>
      </c>
      <c r="B60" s="96"/>
      <c r="C60" s="96"/>
      <c r="D60" s="96"/>
      <c r="E60" s="96"/>
      <c r="F60" s="96"/>
      <c r="G60" s="96"/>
      <c r="H60" s="96"/>
      <c r="I60" s="96"/>
      <c r="J60" s="96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</row>
    <row r="61" spans="1:22" x14ac:dyDescent="0.25">
      <c r="A61" s="171" t="s">
        <v>94</v>
      </c>
      <c r="B61" s="96"/>
      <c r="C61" s="96"/>
      <c r="D61" s="96"/>
      <c r="E61" s="96"/>
      <c r="F61" s="96"/>
      <c r="G61" s="96"/>
      <c r="H61" s="96"/>
      <c r="I61" s="96"/>
      <c r="J61" s="96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</row>
    <row r="62" spans="1:22" x14ac:dyDescent="0.25">
      <c r="A62" s="171" t="s">
        <v>95</v>
      </c>
      <c r="B62" s="96"/>
      <c r="C62" s="96"/>
      <c r="D62" s="96"/>
      <c r="E62" s="96"/>
      <c r="F62" s="96"/>
      <c r="G62" s="96"/>
      <c r="H62" s="96"/>
      <c r="I62" s="96"/>
      <c r="J62" s="96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</row>
    <row r="63" spans="1:22" x14ac:dyDescent="0.25">
      <c r="A63" s="171" t="s">
        <v>96</v>
      </c>
      <c r="B63" s="96"/>
      <c r="C63" s="96"/>
      <c r="D63" s="96"/>
      <c r="E63" s="96"/>
      <c r="F63" s="96"/>
      <c r="G63" s="96"/>
      <c r="H63" s="96"/>
      <c r="I63" s="96"/>
      <c r="J63" s="96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</row>
    <row r="64" spans="1:22" x14ac:dyDescent="0.25">
      <c r="A64" s="166" t="s">
        <v>97</v>
      </c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</row>
    <row r="65" spans="1:22" x14ac:dyDescent="0.25">
      <c r="A65" s="171"/>
      <c r="B65" s="96"/>
      <c r="C65" s="96"/>
      <c r="D65" s="96"/>
      <c r="E65" s="96"/>
      <c r="F65" s="96"/>
      <c r="G65" s="96"/>
      <c r="H65" s="96"/>
      <c r="I65" s="96"/>
      <c r="J65" s="96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</row>
    <row r="66" spans="1:22" s="137" customFormat="1" ht="15.75" thickBot="1" x14ac:dyDescent="0.3">
      <c r="A66" s="158" t="s">
        <v>141</v>
      </c>
      <c r="B66" s="157"/>
      <c r="C66" s="157"/>
      <c r="D66" s="157"/>
      <c r="E66" s="157"/>
      <c r="F66" s="157"/>
      <c r="G66" s="157"/>
      <c r="H66" s="157"/>
      <c r="I66" s="157"/>
      <c r="J66" s="160"/>
      <c r="K66" s="160"/>
      <c r="L66" s="160"/>
      <c r="M66" s="160"/>
      <c r="N66" s="160"/>
      <c r="O66" s="160"/>
      <c r="P66" s="161"/>
      <c r="Q66" s="161"/>
      <c r="R66" s="161"/>
      <c r="S66" s="161"/>
      <c r="T66" s="161"/>
      <c r="U66" s="161"/>
      <c r="V66" s="161"/>
    </row>
    <row r="67" spans="1:22" s="158" customFormat="1" ht="15.75" thickBot="1" x14ac:dyDescent="0.3">
      <c r="A67" s="162" t="s">
        <v>73</v>
      </c>
      <c r="B67" s="163">
        <f t="shared" ref="B67:V67" si="3">B$2</f>
        <v>2015</v>
      </c>
      <c r="C67" s="163">
        <f t="shared" si="3"/>
        <v>2016</v>
      </c>
      <c r="D67" s="163">
        <f t="shared" si="3"/>
        <v>2017</v>
      </c>
      <c r="E67" s="163">
        <f t="shared" si="3"/>
        <v>2018</v>
      </c>
      <c r="F67" s="163">
        <f t="shared" si="3"/>
        <v>2019</v>
      </c>
      <c r="G67" s="163">
        <f t="shared" si="3"/>
        <v>2020</v>
      </c>
      <c r="H67" s="163">
        <f t="shared" si="3"/>
        <v>2021</v>
      </c>
      <c r="I67" s="163">
        <f t="shared" si="3"/>
        <v>2022</v>
      </c>
      <c r="J67" s="163">
        <f t="shared" si="3"/>
        <v>2023</v>
      </c>
      <c r="K67" s="163">
        <f t="shared" si="3"/>
        <v>2024</v>
      </c>
      <c r="L67" s="163">
        <f t="shared" si="3"/>
        <v>2025</v>
      </c>
      <c r="M67" s="163">
        <f t="shared" si="3"/>
        <v>2026</v>
      </c>
      <c r="N67" s="163">
        <f t="shared" si="3"/>
        <v>2027</v>
      </c>
      <c r="O67" s="163">
        <f t="shared" si="3"/>
        <v>2028</v>
      </c>
      <c r="P67" s="163">
        <f t="shared" si="3"/>
        <v>2029</v>
      </c>
      <c r="Q67" s="163">
        <f t="shared" si="3"/>
        <v>2030</v>
      </c>
      <c r="R67" s="163">
        <f t="shared" si="3"/>
        <v>2031</v>
      </c>
      <c r="S67" s="163">
        <f t="shared" si="3"/>
        <v>2032</v>
      </c>
      <c r="T67" s="163">
        <f t="shared" si="3"/>
        <v>2033</v>
      </c>
      <c r="U67" s="163">
        <f t="shared" si="3"/>
        <v>2034</v>
      </c>
      <c r="V67" s="163">
        <f t="shared" si="3"/>
        <v>2035</v>
      </c>
    </row>
    <row r="68" spans="1:22" x14ac:dyDescent="0.25">
      <c r="A68" s="137" t="s">
        <v>85</v>
      </c>
      <c r="B68" s="164"/>
      <c r="C68" s="164"/>
      <c r="D68" s="164"/>
      <c r="E68" s="172"/>
      <c r="F68" s="170"/>
      <c r="G68" s="170"/>
      <c r="H68" s="170"/>
      <c r="I68" s="170"/>
      <c r="J68" s="170"/>
      <c r="K68" s="170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</row>
    <row r="69" spans="1:22" x14ac:dyDescent="0.25">
      <c r="A69" s="137" t="s">
        <v>86</v>
      </c>
      <c r="B69" s="164"/>
      <c r="C69" s="164"/>
      <c r="D69" s="164"/>
      <c r="E69" s="170"/>
      <c r="F69" s="170"/>
      <c r="G69" s="170"/>
      <c r="H69" s="170"/>
      <c r="I69" s="170"/>
      <c r="J69" s="170"/>
      <c r="K69" s="170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</row>
    <row r="70" spans="1:22" x14ac:dyDescent="0.25">
      <c r="A70" s="137" t="s">
        <v>87</v>
      </c>
      <c r="B70" s="164"/>
      <c r="C70" s="164"/>
      <c r="D70" s="164"/>
      <c r="E70" s="170"/>
      <c r="F70" s="170"/>
      <c r="G70" s="170"/>
      <c r="H70" s="170"/>
      <c r="I70" s="170"/>
      <c r="J70" s="170"/>
      <c r="K70" s="170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</row>
    <row r="71" spans="1:22" x14ac:dyDescent="0.25">
      <c r="A71" s="137" t="s">
        <v>88</v>
      </c>
      <c r="B71" s="164"/>
      <c r="C71" s="164"/>
      <c r="D71" s="164"/>
      <c r="E71" s="170"/>
      <c r="F71" s="170"/>
      <c r="G71" s="170"/>
      <c r="H71" s="170"/>
      <c r="I71" s="170"/>
      <c r="J71" s="170"/>
      <c r="K71" s="170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</row>
    <row r="72" spans="1:22" x14ac:dyDescent="0.25">
      <c r="A72" s="137" t="s">
        <v>89</v>
      </c>
      <c r="B72" s="164"/>
      <c r="C72" s="164"/>
      <c r="D72" s="164"/>
      <c r="E72" s="170"/>
      <c r="F72" s="170"/>
      <c r="G72" s="170"/>
      <c r="H72" s="170"/>
      <c r="I72" s="170"/>
      <c r="J72" s="170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</row>
    <row r="73" spans="1:22" x14ac:dyDescent="0.25">
      <c r="A73" s="137" t="s">
        <v>90</v>
      </c>
      <c r="B73" s="164"/>
      <c r="C73" s="164"/>
      <c r="D73" s="164"/>
      <c r="E73" s="170"/>
      <c r="F73" s="170"/>
      <c r="G73" s="170"/>
      <c r="H73" s="170"/>
      <c r="I73" s="170"/>
      <c r="J73" s="170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</row>
    <row r="74" spans="1:22" x14ac:dyDescent="0.25">
      <c r="A74" s="137" t="s">
        <v>91</v>
      </c>
      <c r="B74" s="164"/>
      <c r="C74" s="164"/>
      <c r="D74" s="164"/>
      <c r="E74" s="170"/>
      <c r="F74" s="170"/>
      <c r="G74" s="170"/>
      <c r="H74" s="170"/>
      <c r="I74" s="170"/>
      <c r="J74" s="170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</row>
    <row r="75" spans="1:22" x14ac:dyDescent="0.25">
      <c r="A75" s="137" t="s">
        <v>92</v>
      </c>
      <c r="B75" s="164"/>
      <c r="C75" s="164"/>
      <c r="D75" s="164"/>
      <c r="E75" s="170"/>
      <c r="F75" s="170"/>
      <c r="G75" s="170"/>
      <c r="H75" s="170"/>
      <c r="I75" s="170"/>
      <c r="J75" s="170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</row>
    <row r="76" spans="1:22" x14ac:dyDescent="0.25">
      <c r="A76" s="137" t="s">
        <v>93</v>
      </c>
      <c r="B76" s="164"/>
      <c r="C76" s="164"/>
      <c r="D76" s="164"/>
      <c r="E76" s="170"/>
      <c r="F76" s="170"/>
      <c r="G76" s="170"/>
      <c r="H76" s="170"/>
      <c r="I76" s="170"/>
      <c r="J76" s="170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</row>
    <row r="77" spans="1:22" x14ac:dyDescent="0.25">
      <c r="A77" s="137" t="s">
        <v>94</v>
      </c>
      <c r="B77" s="164"/>
      <c r="C77" s="164"/>
      <c r="D77" s="164"/>
      <c r="E77" s="170"/>
      <c r="F77" s="170"/>
      <c r="G77" s="170"/>
      <c r="H77" s="170"/>
      <c r="I77" s="170"/>
      <c r="J77" s="170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</row>
    <row r="78" spans="1:22" x14ac:dyDescent="0.25">
      <c r="A78" s="137" t="s">
        <v>95</v>
      </c>
      <c r="B78" s="164"/>
      <c r="C78" s="164"/>
      <c r="D78" s="164"/>
      <c r="E78" s="170"/>
      <c r="F78" s="170"/>
      <c r="G78" s="170"/>
      <c r="H78" s="170"/>
      <c r="I78" s="170"/>
      <c r="J78" s="170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</row>
    <row r="79" spans="1:22" x14ac:dyDescent="0.25">
      <c r="A79" s="137" t="s">
        <v>96</v>
      </c>
      <c r="B79" s="164"/>
      <c r="C79" s="164"/>
      <c r="D79" s="164"/>
      <c r="E79" s="170"/>
      <c r="F79" s="170"/>
      <c r="G79" s="170"/>
      <c r="H79" s="170"/>
      <c r="I79" s="170"/>
      <c r="J79" s="170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</row>
    <row r="80" spans="1:22" x14ac:dyDescent="0.25">
      <c r="A80" s="166" t="s">
        <v>97</v>
      </c>
      <c r="B80" s="167"/>
      <c r="C80" s="167"/>
      <c r="D80" s="167"/>
      <c r="E80" s="167"/>
      <c r="F80" s="167"/>
      <c r="G80" s="167"/>
      <c r="H80" s="167"/>
      <c r="I80" s="167"/>
      <c r="J80" s="167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</row>
    <row r="81" spans="1:22" x14ac:dyDescent="0.25">
      <c r="A81" s="137"/>
      <c r="B81" s="170"/>
      <c r="C81" s="170"/>
      <c r="D81" s="170"/>
      <c r="E81" s="170"/>
      <c r="F81" s="170"/>
      <c r="G81" s="170"/>
      <c r="H81" s="170"/>
      <c r="I81" s="170"/>
      <c r="J81" s="170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</row>
    <row r="82" spans="1:22" s="137" customFormat="1" ht="15.75" thickBot="1" x14ac:dyDescent="0.3">
      <c r="A82" s="158" t="s">
        <v>142</v>
      </c>
      <c r="B82" s="174"/>
      <c r="C82" s="174"/>
      <c r="D82" s="174"/>
      <c r="E82" s="159"/>
      <c r="F82" s="174"/>
      <c r="G82" s="174"/>
      <c r="H82" s="174"/>
      <c r="J82" s="175"/>
      <c r="K82" s="175"/>
      <c r="L82" s="175"/>
      <c r="M82" s="175"/>
      <c r="N82" s="175"/>
      <c r="O82" s="175"/>
      <c r="P82" s="175"/>
      <c r="Q82" s="161"/>
      <c r="R82" s="161"/>
      <c r="S82" s="161"/>
      <c r="T82" s="161"/>
      <c r="U82" s="161"/>
      <c r="V82" s="161"/>
    </row>
    <row r="83" spans="1:22" s="137" customFormat="1" ht="15.75" thickBot="1" x14ac:dyDescent="0.3">
      <c r="A83" s="162" t="s">
        <v>73</v>
      </c>
      <c r="B83" s="163">
        <f t="shared" ref="B83:V83" si="4">B2</f>
        <v>2015</v>
      </c>
      <c r="C83" s="163">
        <f t="shared" si="4"/>
        <v>2016</v>
      </c>
      <c r="D83" s="163">
        <f t="shared" si="4"/>
        <v>2017</v>
      </c>
      <c r="E83" s="163">
        <f t="shared" si="4"/>
        <v>2018</v>
      </c>
      <c r="F83" s="163">
        <f t="shared" si="4"/>
        <v>2019</v>
      </c>
      <c r="G83" s="163">
        <f t="shared" si="4"/>
        <v>2020</v>
      </c>
      <c r="H83" s="163">
        <f t="shared" si="4"/>
        <v>2021</v>
      </c>
      <c r="I83" s="163">
        <f t="shared" si="4"/>
        <v>2022</v>
      </c>
      <c r="J83" s="163">
        <f t="shared" si="4"/>
        <v>2023</v>
      </c>
      <c r="K83" s="163">
        <f t="shared" si="4"/>
        <v>2024</v>
      </c>
      <c r="L83" s="163">
        <f t="shared" si="4"/>
        <v>2025</v>
      </c>
      <c r="M83" s="163">
        <f t="shared" si="4"/>
        <v>2026</v>
      </c>
      <c r="N83" s="163">
        <f t="shared" si="4"/>
        <v>2027</v>
      </c>
      <c r="O83" s="163">
        <f t="shared" si="4"/>
        <v>2028</v>
      </c>
      <c r="P83" s="163">
        <f t="shared" si="4"/>
        <v>2029</v>
      </c>
      <c r="Q83" s="163">
        <f t="shared" si="4"/>
        <v>2030</v>
      </c>
      <c r="R83" s="163">
        <f t="shared" si="4"/>
        <v>2031</v>
      </c>
      <c r="S83" s="163">
        <f t="shared" si="4"/>
        <v>2032</v>
      </c>
      <c r="T83" s="163">
        <f t="shared" si="4"/>
        <v>2033</v>
      </c>
      <c r="U83" s="163">
        <f t="shared" si="4"/>
        <v>2034</v>
      </c>
      <c r="V83" s="163">
        <f t="shared" si="4"/>
        <v>2035</v>
      </c>
    </row>
    <row r="84" spans="1:22" s="137" customFormat="1" x14ac:dyDescent="0.25">
      <c r="A84" s="137" t="s">
        <v>85</v>
      </c>
      <c r="B84" s="174"/>
      <c r="C84" s="174"/>
      <c r="D84" s="174"/>
      <c r="E84" s="170"/>
      <c r="F84" s="170"/>
      <c r="G84" s="170"/>
      <c r="H84" s="170"/>
      <c r="I84" s="170"/>
      <c r="J84" s="173"/>
      <c r="K84" s="173"/>
      <c r="L84" s="176"/>
      <c r="M84" s="176"/>
      <c r="N84" s="176"/>
      <c r="O84" s="176"/>
      <c r="P84" s="176"/>
      <c r="Q84" s="176"/>
      <c r="R84" s="176"/>
      <c r="S84" s="176"/>
      <c r="T84" s="161"/>
      <c r="U84" s="161"/>
      <c r="V84" s="161"/>
    </row>
    <row r="85" spans="1:22" s="137" customFormat="1" x14ac:dyDescent="0.25">
      <c r="A85" s="137" t="s">
        <v>86</v>
      </c>
      <c r="B85" s="174"/>
      <c r="C85" s="174"/>
      <c r="D85" s="174"/>
      <c r="E85" s="170"/>
      <c r="F85" s="170"/>
      <c r="G85" s="170"/>
      <c r="H85" s="170"/>
      <c r="I85" s="170"/>
      <c r="J85" s="173"/>
      <c r="K85" s="173"/>
      <c r="L85" s="176"/>
      <c r="M85" s="176"/>
      <c r="N85" s="176"/>
      <c r="O85" s="176"/>
      <c r="P85" s="176"/>
      <c r="Q85" s="176"/>
      <c r="R85" s="176"/>
      <c r="S85" s="176"/>
      <c r="T85" s="161"/>
      <c r="U85" s="161"/>
      <c r="V85" s="161"/>
    </row>
    <row r="86" spans="1:22" s="137" customFormat="1" x14ac:dyDescent="0.25">
      <c r="A86" s="137" t="s">
        <v>87</v>
      </c>
      <c r="B86" s="174"/>
      <c r="C86" s="174"/>
      <c r="D86" s="174"/>
      <c r="E86" s="170"/>
      <c r="F86" s="170"/>
      <c r="G86" s="170"/>
      <c r="H86" s="170"/>
      <c r="I86" s="170"/>
      <c r="J86" s="173"/>
      <c r="K86" s="173"/>
      <c r="L86" s="176"/>
      <c r="M86" s="176"/>
      <c r="N86" s="176"/>
      <c r="O86" s="176"/>
      <c r="P86" s="176"/>
      <c r="Q86" s="176"/>
      <c r="R86" s="176"/>
      <c r="S86" s="176"/>
      <c r="T86" s="161"/>
      <c r="U86" s="161"/>
      <c r="V86" s="161"/>
    </row>
    <row r="87" spans="1:22" s="137" customFormat="1" x14ac:dyDescent="0.25">
      <c r="A87" s="137" t="s">
        <v>88</v>
      </c>
      <c r="B87" s="174"/>
      <c r="C87" s="174"/>
      <c r="D87" s="174"/>
      <c r="E87" s="170"/>
      <c r="F87" s="170"/>
      <c r="G87" s="170"/>
      <c r="H87" s="170"/>
      <c r="I87" s="170"/>
      <c r="J87" s="173"/>
      <c r="K87" s="173"/>
      <c r="L87" s="176"/>
      <c r="M87" s="176"/>
      <c r="N87" s="176"/>
      <c r="O87" s="176"/>
      <c r="P87" s="176"/>
      <c r="Q87" s="176"/>
      <c r="R87" s="176"/>
      <c r="S87" s="176"/>
      <c r="T87" s="161"/>
      <c r="U87" s="161"/>
      <c r="V87" s="161"/>
    </row>
    <row r="88" spans="1:22" s="137" customFormat="1" x14ac:dyDescent="0.25">
      <c r="A88" s="137" t="s">
        <v>89</v>
      </c>
      <c r="B88" s="174"/>
      <c r="C88" s="174"/>
      <c r="D88" s="174"/>
      <c r="E88" s="170"/>
      <c r="F88" s="170"/>
      <c r="G88" s="170"/>
      <c r="H88" s="170"/>
      <c r="I88" s="170"/>
      <c r="J88" s="173"/>
      <c r="K88" s="173"/>
      <c r="L88" s="176"/>
      <c r="M88" s="176"/>
      <c r="N88" s="176"/>
      <c r="O88" s="176"/>
      <c r="P88" s="176"/>
      <c r="Q88" s="176"/>
      <c r="R88" s="176"/>
      <c r="S88" s="176"/>
      <c r="T88" s="161"/>
      <c r="U88" s="161"/>
      <c r="V88" s="161"/>
    </row>
    <row r="89" spans="1:22" s="137" customFormat="1" x14ac:dyDescent="0.25">
      <c r="A89" s="137" t="s">
        <v>90</v>
      </c>
      <c r="B89" s="174"/>
      <c r="C89" s="174"/>
      <c r="D89" s="174"/>
      <c r="E89" s="170"/>
      <c r="F89" s="170"/>
      <c r="G89" s="170"/>
      <c r="H89" s="170"/>
      <c r="I89" s="170"/>
      <c r="J89" s="173"/>
      <c r="K89" s="173"/>
      <c r="L89" s="176"/>
      <c r="M89" s="176"/>
      <c r="N89" s="176"/>
      <c r="O89" s="176"/>
      <c r="P89" s="176"/>
      <c r="Q89" s="176"/>
      <c r="R89" s="176"/>
      <c r="S89" s="176"/>
      <c r="T89" s="161"/>
      <c r="U89" s="161"/>
      <c r="V89" s="161"/>
    </row>
    <row r="90" spans="1:22" s="137" customFormat="1" x14ac:dyDescent="0.25">
      <c r="A90" s="137" t="s">
        <v>91</v>
      </c>
      <c r="B90" s="174"/>
      <c r="C90" s="174"/>
      <c r="D90" s="174"/>
      <c r="E90" s="170"/>
      <c r="F90" s="170"/>
      <c r="G90" s="170"/>
      <c r="H90" s="170"/>
      <c r="I90" s="170"/>
      <c r="J90" s="173"/>
      <c r="K90" s="173"/>
      <c r="L90" s="176"/>
      <c r="M90" s="176"/>
      <c r="N90" s="176"/>
      <c r="O90" s="176"/>
      <c r="P90" s="176"/>
      <c r="Q90" s="176"/>
      <c r="R90" s="176"/>
      <c r="S90" s="176"/>
      <c r="T90" s="161"/>
      <c r="U90" s="161"/>
      <c r="V90" s="161"/>
    </row>
    <row r="91" spans="1:22" s="137" customFormat="1" x14ac:dyDescent="0.25">
      <c r="A91" s="137" t="s">
        <v>92</v>
      </c>
      <c r="B91" s="174"/>
      <c r="C91" s="174"/>
      <c r="D91" s="174"/>
      <c r="E91" s="170"/>
      <c r="F91" s="170"/>
      <c r="G91" s="170"/>
      <c r="H91" s="170"/>
      <c r="I91" s="170"/>
      <c r="J91" s="173"/>
      <c r="K91" s="173"/>
      <c r="L91" s="176"/>
      <c r="M91" s="176"/>
      <c r="N91" s="176"/>
      <c r="O91" s="176"/>
      <c r="P91" s="176"/>
      <c r="Q91" s="176"/>
      <c r="R91" s="176"/>
      <c r="S91" s="176"/>
      <c r="T91" s="161"/>
      <c r="U91" s="161"/>
      <c r="V91" s="161"/>
    </row>
    <row r="92" spans="1:22" s="137" customFormat="1" x14ac:dyDescent="0.25">
      <c r="A92" s="137" t="s">
        <v>93</v>
      </c>
      <c r="B92" s="174"/>
      <c r="C92" s="174"/>
      <c r="D92" s="174"/>
      <c r="E92" s="170"/>
      <c r="F92" s="170"/>
      <c r="G92" s="170"/>
      <c r="H92" s="170"/>
      <c r="I92" s="170"/>
      <c r="J92" s="173"/>
      <c r="K92" s="173"/>
      <c r="L92" s="176"/>
      <c r="M92" s="176"/>
      <c r="N92" s="176"/>
      <c r="O92" s="176"/>
      <c r="P92" s="176"/>
      <c r="Q92" s="176"/>
      <c r="R92" s="176"/>
      <c r="S92" s="176"/>
      <c r="T92" s="161"/>
      <c r="U92" s="161"/>
      <c r="V92" s="161"/>
    </row>
    <row r="93" spans="1:22" s="137" customFormat="1" x14ac:dyDescent="0.25">
      <c r="A93" s="137" t="s">
        <v>94</v>
      </c>
      <c r="B93" s="174"/>
      <c r="C93" s="174"/>
      <c r="D93" s="174"/>
      <c r="E93" s="170"/>
      <c r="F93" s="170"/>
      <c r="G93" s="170"/>
      <c r="H93" s="170"/>
      <c r="I93" s="170"/>
      <c r="J93" s="173"/>
      <c r="K93" s="173"/>
      <c r="L93" s="176"/>
      <c r="M93" s="176"/>
      <c r="N93" s="176"/>
      <c r="O93" s="176"/>
      <c r="P93" s="176"/>
      <c r="Q93" s="176"/>
      <c r="R93" s="176"/>
      <c r="S93" s="176"/>
      <c r="T93" s="161"/>
      <c r="U93" s="161"/>
      <c r="V93" s="161"/>
    </row>
    <row r="94" spans="1:22" s="137" customFormat="1" x14ac:dyDescent="0.25">
      <c r="A94" s="137" t="s">
        <v>95</v>
      </c>
      <c r="B94" s="174"/>
      <c r="C94" s="174"/>
      <c r="D94" s="174"/>
      <c r="E94" s="170"/>
      <c r="F94" s="170"/>
      <c r="G94" s="170"/>
      <c r="H94" s="170"/>
      <c r="I94" s="170"/>
      <c r="J94" s="173"/>
      <c r="K94" s="173"/>
      <c r="L94" s="176"/>
      <c r="M94" s="176"/>
      <c r="N94" s="176"/>
      <c r="O94" s="176"/>
      <c r="P94" s="176"/>
      <c r="Q94" s="176"/>
      <c r="R94" s="176"/>
      <c r="S94" s="176"/>
      <c r="T94" s="161"/>
      <c r="U94" s="161"/>
      <c r="V94" s="161"/>
    </row>
    <row r="95" spans="1:22" s="137" customFormat="1" x14ac:dyDescent="0.25">
      <c r="A95" s="137" t="s">
        <v>96</v>
      </c>
      <c r="B95" s="174"/>
      <c r="C95" s="174"/>
      <c r="D95" s="174"/>
      <c r="E95" s="170"/>
      <c r="F95" s="170"/>
      <c r="G95" s="170"/>
      <c r="H95" s="170"/>
      <c r="I95" s="170"/>
      <c r="J95" s="173"/>
      <c r="K95" s="173"/>
      <c r="L95" s="176"/>
      <c r="M95" s="176"/>
      <c r="N95" s="176"/>
      <c r="O95" s="176"/>
      <c r="P95" s="176"/>
      <c r="Q95" s="176"/>
      <c r="R95" s="176"/>
      <c r="S95" s="176"/>
      <c r="T95" s="161"/>
      <c r="U95" s="161"/>
      <c r="V95" s="161"/>
    </row>
    <row r="96" spans="1:22" s="137" customFormat="1" x14ac:dyDescent="0.25">
      <c r="A96" s="166" t="s">
        <v>97</v>
      </c>
      <c r="B96" s="174"/>
      <c r="C96" s="174"/>
      <c r="D96" s="174"/>
      <c r="E96" s="167"/>
      <c r="F96" s="167"/>
      <c r="G96" s="167"/>
      <c r="H96" s="167"/>
      <c r="I96" s="167"/>
      <c r="J96" s="167"/>
      <c r="K96" s="167"/>
      <c r="L96" s="175"/>
      <c r="M96" s="175"/>
      <c r="N96" s="175"/>
      <c r="O96" s="175"/>
      <c r="P96" s="175"/>
      <c r="Q96" s="175"/>
      <c r="R96" s="175"/>
      <c r="S96" s="175"/>
      <c r="T96" s="161"/>
      <c r="U96" s="161"/>
      <c r="V96" s="161"/>
    </row>
    <row r="97" spans="1:22" s="137" customFormat="1" x14ac:dyDescent="0.25">
      <c r="A97" s="177"/>
      <c r="B97" s="177"/>
      <c r="C97" s="177"/>
      <c r="D97" s="177"/>
      <c r="E97" s="177"/>
      <c r="F97" s="177"/>
      <c r="G97" s="177"/>
      <c r="H97" s="177"/>
      <c r="I97" s="177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</row>
    <row r="98" spans="1:22" s="137" customFormat="1" ht="15.75" thickBot="1" x14ac:dyDescent="0.3">
      <c r="A98" s="158" t="s">
        <v>143</v>
      </c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</row>
    <row r="99" spans="1:22" s="137" customFormat="1" ht="15.75" thickBot="1" x14ac:dyDescent="0.3">
      <c r="A99" s="162" t="s">
        <v>73</v>
      </c>
      <c r="B99" s="163">
        <f t="shared" ref="B99:V99" si="5">B2</f>
        <v>2015</v>
      </c>
      <c r="C99" s="163">
        <f t="shared" si="5"/>
        <v>2016</v>
      </c>
      <c r="D99" s="163">
        <f t="shared" si="5"/>
        <v>2017</v>
      </c>
      <c r="E99" s="163">
        <f t="shared" si="5"/>
        <v>2018</v>
      </c>
      <c r="F99" s="163">
        <f t="shared" si="5"/>
        <v>2019</v>
      </c>
      <c r="G99" s="163">
        <f t="shared" si="5"/>
        <v>2020</v>
      </c>
      <c r="H99" s="163">
        <f t="shared" si="5"/>
        <v>2021</v>
      </c>
      <c r="I99" s="163">
        <f t="shared" si="5"/>
        <v>2022</v>
      </c>
      <c r="J99" s="163">
        <f t="shared" si="5"/>
        <v>2023</v>
      </c>
      <c r="K99" s="163">
        <f t="shared" si="5"/>
        <v>2024</v>
      </c>
      <c r="L99" s="163">
        <f t="shared" si="5"/>
        <v>2025</v>
      </c>
      <c r="M99" s="163">
        <f t="shared" si="5"/>
        <v>2026</v>
      </c>
      <c r="N99" s="163">
        <f t="shared" si="5"/>
        <v>2027</v>
      </c>
      <c r="O99" s="163">
        <f t="shared" si="5"/>
        <v>2028</v>
      </c>
      <c r="P99" s="163">
        <f t="shared" si="5"/>
        <v>2029</v>
      </c>
      <c r="Q99" s="163">
        <f t="shared" si="5"/>
        <v>2030</v>
      </c>
      <c r="R99" s="163">
        <f t="shared" si="5"/>
        <v>2031</v>
      </c>
      <c r="S99" s="163">
        <f t="shared" si="5"/>
        <v>2032</v>
      </c>
      <c r="T99" s="163">
        <f t="shared" si="5"/>
        <v>2033</v>
      </c>
      <c r="U99" s="163">
        <f t="shared" si="5"/>
        <v>2034</v>
      </c>
      <c r="V99" s="163">
        <f t="shared" si="5"/>
        <v>2035</v>
      </c>
    </row>
    <row r="100" spans="1:22" s="137" customFormat="1" x14ac:dyDescent="0.25">
      <c r="A100" s="137" t="s">
        <v>85</v>
      </c>
      <c r="E100" s="170"/>
      <c r="F100" s="170"/>
      <c r="G100" s="170"/>
      <c r="H100" s="170"/>
      <c r="I100" s="170"/>
      <c r="J100" s="170"/>
      <c r="K100" s="170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</row>
    <row r="101" spans="1:22" s="137" customFormat="1" x14ac:dyDescent="0.25">
      <c r="A101" s="137" t="s">
        <v>86</v>
      </c>
      <c r="E101" s="170"/>
      <c r="F101" s="170"/>
      <c r="G101" s="170"/>
      <c r="H101" s="170"/>
      <c r="I101" s="170"/>
      <c r="J101" s="170"/>
      <c r="K101" s="170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</row>
    <row r="102" spans="1:22" s="137" customFormat="1" x14ac:dyDescent="0.25">
      <c r="A102" s="137" t="s">
        <v>87</v>
      </c>
      <c r="E102" s="170"/>
      <c r="F102" s="170"/>
      <c r="G102" s="170"/>
      <c r="H102" s="170"/>
      <c r="I102" s="170"/>
      <c r="J102" s="170"/>
      <c r="K102" s="170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</row>
    <row r="103" spans="1:22" s="137" customFormat="1" x14ac:dyDescent="0.25">
      <c r="A103" s="137" t="s">
        <v>88</v>
      </c>
      <c r="E103" s="170"/>
      <c r="F103" s="170"/>
      <c r="G103" s="170"/>
      <c r="H103" s="170"/>
      <c r="I103" s="170"/>
      <c r="J103" s="170"/>
      <c r="K103" s="170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</row>
    <row r="104" spans="1:22" s="137" customFormat="1" x14ac:dyDescent="0.25">
      <c r="A104" s="137" t="s">
        <v>89</v>
      </c>
      <c r="E104" s="170"/>
      <c r="F104" s="170"/>
      <c r="G104" s="170"/>
      <c r="H104" s="170"/>
      <c r="I104" s="170"/>
      <c r="J104" s="170"/>
      <c r="K104" s="173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</row>
    <row r="105" spans="1:22" s="137" customFormat="1" x14ac:dyDescent="0.25">
      <c r="A105" s="137" t="s">
        <v>90</v>
      </c>
      <c r="E105" s="170"/>
      <c r="F105" s="170"/>
      <c r="G105" s="170"/>
      <c r="H105" s="170"/>
      <c r="I105" s="170"/>
      <c r="J105" s="170"/>
      <c r="K105" s="173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</row>
    <row r="106" spans="1:22" s="137" customFormat="1" x14ac:dyDescent="0.25">
      <c r="A106" s="137" t="s">
        <v>91</v>
      </c>
      <c r="E106" s="170"/>
      <c r="F106" s="170"/>
      <c r="G106" s="170"/>
      <c r="H106" s="170"/>
      <c r="I106" s="170"/>
      <c r="J106" s="170"/>
      <c r="K106" s="173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</row>
    <row r="107" spans="1:22" s="137" customFormat="1" x14ac:dyDescent="0.25">
      <c r="A107" s="137" t="s">
        <v>92</v>
      </c>
      <c r="E107" s="170"/>
      <c r="F107" s="170"/>
      <c r="G107" s="170"/>
      <c r="H107" s="170"/>
      <c r="I107" s="170"/>
      <c r="J107" s="170"/>
      <c r="K107" s="173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</row>
    <row r="108" spans="1:22" s="137" customFormat="1" x14ac:dyDescent="0.25">
      <c r="A108" s="137" t="s">
        <v>93</v>
      </c>
      <c r="E108" s="170"/>
      <c r="F108" s="170"/>
      <c r="G108" s="170"/>
      <c r="H108" s="170"/>
      <c r="I108" s="170"/>
      <c r="J108" s="170"/>
      <c r="K108" s="173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</row>
    <row r="109" spans="1:22" s="137" customFormat="1" x14ac:dyDescent="0.25">
      <c r="A109" s="137" t="s">
        <v>94</v>
      </c>
      <c r="E109" s="170"/>
      <c r="F109" s="170"/>
      <c r="G109" s="170"/>
      <c r="H109" s="170"/>
      <c r="I109" s="170"/>
      <c r="J109" s="170"/>
      <c r="K109" s="173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</row>
    <row r="110" spans="1:22" s="137" customFormat="1" x14ac:dyDescent="0.25">
      <c r="A110" s="137" t="s">
        <v>95</v>
      </c>
      <c r="E110" s="170"/>
      <c r="F110" s="170"/>
      <c r="G110" s="170"/>
      <c r="H110" s="170"/>
      <c r="I110" s="170"/>
      <c r="J110" s="170"/>
      <c r="K110" s="173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</row>
    <row r="111" spans="1:22" s="137" customFormat="1" x14ac:dyDescent="0.25">
      <c r="A111" s="137" t="s">
        <v>96</v>
      </c>
      <c r="E111" s="170"/>
      <c r="F111" s="170"/>
      <c r="G111" s="170"/>
      <c r="H111" s="170"/>
      <c r="I111" s="170"/>
      <c r="J111" s="170"/>
      <c r="K111" s="173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</row>
    <row r="112" spans="1:22" s="137" customFormat="1" x14ac:dyDescent="0.25">
      <c r="A112" s="166" t="s">
        <v>97</v>
      </c>
      <c r="E112" s="167"/>
      <c r="F112" s="167"/>
      <c r="G112" s="167"/>
      <c r="H112" s="167"/>
      <c r="I112" s="167"/>
      <c r="J112" s="167"/>
      <c r="K112" s="16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</row>
    <row r="113" spans="1:22" s="137" customFormat="1" x14ac:dyDescent="0.25">
      <c r="A113" s="177"/>
      <c r="B113" s="177"/>
      <c r="C113" s="177"/>
      <c r="D113" s="177"/>
      <c r="E113" s="177"/>
      <c r="F113" s="177"/>
      <c r="G113" s="177"/>
      <c r="H113" s="177"/>
      <c r="I113" s="177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</row>
    <row r="114" spans="1:22" s="137" customFormat="1" ht="15.75" thickBot="1" x14ac:dyDescent="0.3">
      <c r="A114" s="158" t="s">
        <v>144</v>
      </c>
      <c r="B114" s="157"/>
      <c r="C114" s="157"/>
      <c r="D114" s="157"/>
      <c r="E114" s="157"/>
      <c r="F114" s="157"/>
      <c r="G114" s="157"/>
      <c r="H114" s="157"/>
      <c r="I114" s="157"/>
      <c r="J114" s="160"/>
      <c r="K114" s="160"/>
      <c r="L114" s="160"/>
      <c r="M114" s="160"/>
      <c r="N114" s="160"/>
      <c r="O114" s="160"/>
      <c r="P114" s="161"/>
      <c r="Q114" s="161"/>
      <c r="R114" s="161"/>
      <c r="S114" s="161"/>
      <c r="T114" s="161"/>
      <c r="U114" s="161"/>
      <c r="V114" s="161"/>
    </row>
    <row r="115" spans="1:22" s="158" customFormat="1" ht="15.75" thickBot="1" x14ac:dyDescent="0.3">
      <c r="A115" s="162" t="s">
        <v>73</v>
      </c>
      <c r="B115" s="163">
        <f t="shared" ref="B115:V115" si="6">B2</f>
        <v>2015</v>
      </c>
      <c r="C115" s="163">
        <f t="shared" si="6"/>
        <v>2016</v>
      </c>
      <c r="D115" s="163">
        <f t="shared" si="6"/>
        <v>2017</v>
      </c>
      <c r="E115" s="163">
        <f t="shared" si="6"/>
        <v>2018</v>
      </c>
      <c r="F115" s="163">
        <f t="shared" si="6"/>
        <v>2019</v>
      </c>
      <c r="G115" s="163">
        <f t="shared" si="6"/>
        <v>2020</v>
      </c>
      <c r="H115" s="163">
        <f t="shared" si="6"/>
        <v>2021</v>
      </c>
      <c r="I115" s="163">
        <f t="shared" si="6"/>
        <v>2022</v>
      </c>
      <c r="J115" s="163">
        <f t="shared" si="6"/>
        <v>2023</v>
      </c>
      <c r="K115" s="163">
        <f t="shared" si="6"/>
        <v>2024</v>
      </c>
      <c r="L115" s="163">
        <f t="shared" si="6"/>
        <v>2025</v>
      </c>
      <c r="M115" s="163">
        <f t="shared" si="6"/>
        <v>2026</v>
      </c>
      <c r="N115" s="163">
        <f t="shared" si="6"/>
        <v>2027</v>
      </c>
      <c r="O115" s="163">
        <f t="shared" si="6"/>
        <v>2028</v>
      </c>
      <c r="P115" s="163">
        <f t="shared" si="6"/>
        <v>2029</v>
      </c>
      <c r="Q115" s="163">
        <f t="shared" si="6"/>
        <v>2030</v>
      </c>
      <c r="R115" s="163">
        <f t="shared" si="6"/>
        <v>2031</v>
      </c>
      <c r="S115" s="163">
        <f t="shared" si="6"/>
        <v>2032</v>
      </c>
      <c r="T115" s="163">
        <f t="shared" si="6"/>
        <v>2033</v>
      </c>
      <c r="U115" s="163">
        <f t="shared" si="6"/>
        <v>2034</v>
      </c>
      <c r="V115" s="163">
        <f t="shared" si="6"/>
        <v>2035</v>
      </c>
    </row>
    <row r="116" spans="1:22" x14ac:dyDescent="0.25">
      <c r="A116" s="137" t="s">
        <v>85</v>
      </c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</row>
    <row r="117" spans="1:22" x14ac:dyDescent="0.25">
      <c r="A117" s="137" t="s">
        <v>86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</row>
    <row r="118" spans="1:22" x14ac:dyDescent="0.25">
      <c r="A118" s="137" t="s">
        <v>87</v>
      </c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</row>
    <row r="119" spans="1:22" x14ac:dyDescent="0.25">
      <c r="A119" s="137" t="s">
        <v>88</v>
      </c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</row>
    <row r="120" spans="1:22" x14ac:dyDescent="0.25">
      <c r="A120" s="137" t="s">
        <v>89</v>
      </c>
      <c r="B120" s="164"/>
      <c r="C120" s="164"/>
      <c r="D120" s="164"/>
      <c r="E120" s="164"/>
      <c r="F120" s="164"/>
      <c r="G120" s="164"/>
      <c r="H120" s="164"/>
      <c r="I120" s="164"/>
      <c r="J120" s="164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</row>
    <row r="121" spans="1:22" x14ac:dyDescent="0.25">
      <c r="A121" s="137" t="s">
        <v>90</v>
      </c>
      <c r="B121" s="164"/>
      <c r="C121" s="164"/>
      <c r="D121" s="164"/>
      <c r="E121" s="164"/>
      <c r="F121" s="164"/>
      <c r="G121" s="164"/>
      <c r="H121" s="164"/>
      <c r="I121" s="164"/>
      <c r="J121" s="164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</row>
    <row r="122" spans="1:22" x14ac:dyDescent="0.25">
      <c r="A122" s="137" t="s">
        <v>91</v>
      </c>
      <c r="B122" s="164"/>
      <c r="C122" s="164"/>
      <c r="D122" s="164"/>
      <c r="E122" s="164"/>
      <c r="F122" s="164"/>
      <c r="G122" s="164"/>
      <c r="H122" s="164"/>
      <c r="I122" s="164"/>
      <c r="J122" s="164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</row>
    <row r="123" spans="1:22" x14ac:dyDescent="0.25">
      <c r="A123" s="137" t="s">
        <v>92</v>
      </c>
      <c r="B123" s="164"/>
      <c r="C123" s="164"/>
      <c r="D123" s="164"/>
      <c r="E123" s="164"/>
      <c r="F123" s="164"/>
      <c r="G123" s="164"/>
      <c r="H123" s="164"/>
      <c r="I123" s="164"/>
      <c r="J123" s="164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</row>
    <row r="124" spans="1:22" x14ac:dyDescent="0.25">
      <c r="A124" s="137" t="s">
        <v>93</v>
      </c>
      <c r="B124" s="164"/>
      <c r="C124" s="164"/>
      <c r="D124" s="164"/>
      <c r="E124" s="164"/>
      <c r="F124" s="164"/>
      <c r="G124" s="164"/>
      <c r="H124" s="164"/>
      <c r="I124" s="164"/>
      <c r="J124" s="164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</row>
    <row r="125" spans="1:22" x14ac:dyDescent="0.25">
      <c r="A125" s="137" t="s">
        <v>94</v>
      </c>
      <c r="B125" s="164"/>
      <c r="C125" s="164"/>
      <c r="D125" s="164"/>
      <c r="E125" s="164"/>
      <c r="F125" s="164"/>
      <c r="G125" s="164"/>
      <c r="H125" s="164"/>
      <c r="I125" s="164"/>
      <c r="J125" s="164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</row>
    <row r="126" spans="1:22" x14ac:dyDescent="0.25">
      <c r="A126" s="137" t="s">
        <v>95</v>
      </c>
      <c r="B126" s="164"/>
      <c r="C126" s="164"/>
      <c r="D126" s="164"/>
      <c r="E126" s="164"/>
      <c r="F126" s="164"/>
      <c r="G126" s="164"/>
      <c r="H126" s="164"/>
      <c r="I126" s="164"/>
      <c r="J126" s="164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</row>
    <row r="127" spans="1:22" x14ac:dyDescent="0.25">
      <c r="A127" s="137" t="s">
        <v>96</v>
      </c>
      <c r="B127" s="164"/>
      <c r="C127" s="164"/>
      <c r="D127" s="164"/>
      <c r="E127" s="164"/>
      <c r="F127" s="164"/>
      <c r="G127" s="164"/>
      <c r="H127" s="164"/>
      <c r="I127" s="164"/>
      <c r="J127" s="164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</row>
    <row r="128" spans="1:22" x14ac:dyDescent="0.25">
      <c r="A128" s="177"/>
      <c r="B128" s="179"/>
      <c r="C128" s="179"/>
      <c r="D128" s="179"/>
      <c r="E128" s="179"/>
      <c r="F128" s="179"/>
      <c r="G128" s="179"/>
      <c r="H128" s="179"/>
      <c r="I128" s="179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</row>
    <row r="139" spans="1:22" x14ac:dyDescent="0.25">
      <c r="A139" s="137"/>
      <c r="P139" s="181"/>
    </row>
    <row r="140" spans="1:22" s="137" customFormat="1" x14ac:dyDescent="0.25">
      <c r="A140" s="158"/>
      <c r="B140" s="157"/>
      <c r="C140" s="157"/>
      <c r="D140" s="157"/>
      <c r="E140" s="157"/>
      <c r="F140" s="157"/>
      <c r="G140" s="157"/>
      <c r="H140" s="157"/>
      <c r="I140" s="157"/>
      <c r="J140" s="160"/>
      <c r="K140" s="160"/>
      <c r="L140" s="160"/>
      <c r="M140" s="160"/>
      <c r="N140" s="160"/>
      <c r="O140" s="160"/>
      <c r="P140" s="161"/>
      <c r="Q140" s="161"/>
      <c r="R140" s="161"/>
      <c r="S140" s="161"/>
      <c r="T140" s="161"/>
      <c r="U140" s="161"/>
      <c r="V140" s="161"/>
    </row>
    <row r="187" spans="2:22" s="137" customFormat="1" x14ac:dyDescent="0.25">
      <c r="B187" s="182"/>
      <c r="C187" s="182"/>
      <c r="D187" s="182"/>
      <c r="E187" s="182"/>
      <c r="F187" s="182"/>
      <c r="G187" s="182"/>
      <c r="H187" s="182"/>
      <c r="I187" s="182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</row>
    <row r="188" spans="2:22" s="137" customFormat="1" x14ac:dyDescent="0.25">
      <c r="B188" s="182"/>
      <c r="C188" s="182"/>
      <c r="D188" s="182"/>
      <c r="E188" s="182"/>
      <c r="F188" s="182"/>
      <c r="G188" s="182"/>
      <c r="H188" s="182"/>
      <c r="I188" s="182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</row>
    <row r="189" spans="2:22" s="137" customFormat="1" x14ac:dyDescent="0.25">
      <c r="B189" s="182"/>
      <c r="C189" s="182"/>
      <c r="D189" s="182"/>
      <c r="E189" s="182"/>
      <c r="F189" s="182"/>
      <c r="G189" s="182"/>
      <c r="H189" s="182"/>
      <c r="I189" s="182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</row>
    <row r="190" spans="2:22" s="137" customFormat="1" x14ac:dyDescent="0.25">
      <c r="B190" s="182"/>
      <c r="C190" s="182"/>
      <c r="D190" s="182"/>
      <c r="E190" s="182"/>
      <c r="F190" s="182"/>
      <c r="G190" s="182"/>
      <c r="H190" s="182"/>
      <c r="I190" s="182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</row>
    <row r="191" spans="2:22" s="137" customFormat="1" x14ac:dyDescent="0.25">
      <c r="B191" s="182"/>
      <c r="C191" s="182"/>
      <c r="D191" s="182"/>
      <c r="E191" s="182"/>
      <c r="F191" s="182"/>
      <c r="G191" s="182"/>
      <c r="H191" s="182"/>
      <c r="I191" s="182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</row>
    <row r="192" spans="2:22" s="137" customFormat="1" x14ac:dyDescent="0.25">
      <c r="B192" s="182"/>
      <c r="C192" s="182"/>
      <c r="D192" s="182"/>
      <c r="E192" s="182"/>
      <c r="F192" s="182"/>
      <c r="G192" s="182"/>
      <c r="H192" s="182"/>
      <c r="I192" s="182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</row>
    <row r="193" spans="2:22" s="137" customFormat="1" x14ac:dyDescent="0.25">
      <c r="B193" s="182"/>
      <c r="C193" s="182"/>
      <c r="D193" s="182"/>
      <c r="E193" s="182"/>
      <c r="F193" s="182"/>
      <c r="G193" s="182"/>
      <c r="H193" s="182"/>
      <c r="I193" s="182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</row>
    <row r="194" spans="2:22" s="137" customFormat="1" x14ac:dyDescent="0.25">
      <c r="B194" s="182"/>
      <c r="C194" s="182"/>
      <c r="D194" s="182"/>
      <c r="E194" s="182"/>
      <c r="F194" s="182"/>
      <c r="G194" s="182"/>
      <c r="H194" s="182"/>
      <c r="I194" s="182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</row>
    <row r="195" spans="2:22" s="137" customFormat="1" x14ac:dyDescent="0.25">
      <c r="B195" s="182"/>
      <c r="C195" s="182"/>
      <c r="D195" s="182"/>
      <c r="E195" s="182"/>
      <c r="F195" s="182"/>
      <c r="G195" s="182"/>
      <c r="H195" s="182"/>
      <c r="I195" s="182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</row>
    <row r="196" spans="2:22" s="137" customFormat="1" x14ac:dyDescent="0.25">
      <c r="B196" s="182"/>
      <c r="C196" s="182"/>
      <c r="D196" s="182"/>
      <c r="E196" s="182"/>
      <c r="F196" s="182"/>
      <c r="G196" s="182"/>
      <c r="H196" s="182"/>
      <c r="I196" s="182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</row>
    <row r="197" spans="2:22" s="137" customFormat="1" x14ac:dyDescent="0.25">
      <c r="B197" s="182"/>
      <c r="C197" s="182"/>
      <c r="D197" s="182"/>
      <c r="E197" s="182"/>
      <c r="F197" s="182"/>
      <c r="G197" s="182"/>
      <c r="H197" s="182"/>
      <c r="I197" s="182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</row>
    <row r="198" spans="2:22" s="137" customFormat="1" x14ac:dyDescent="0.25">
      <c r="B198" s="182"/>
      <c r="C198" s="182"/>
      <c r="D198" s="182"/>
      <c r="E198" s="182"/>
      <c r="F198" s="182"/>
      <c r="G198" s="182"/>
      <c r="H198" s="182"/>
      <c r="I198" s="182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</row>
    <row r="199" spans="2:22" s="137" customFormat="1" x14ac:dyDescent="0.25">
      <c r="B199" s="182"/>
      <c r="C199" s="182"/>
      <c r="D199" s="182"/>
      <c r="E199" s="182"/>
      <c r="F199" s="182"/>
      <c r="G199" s="182"/>
      <c r="H199" s="182"/>
      <c r="I199" s="182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</row>
    <row r="200" spans="2:22" s="137" customFormat="1" x14ac:dyDescent="0.25">
      <c r="B200" s="182"/>
      <c r="C200" s="182"/>
      <c r="D200" s="182"/>
      <c r="E200" s="182"/>
      <c r="F200" s="182"/>
      <c r="G200" s="182"/>
      <c r="H200" s="182"/>
      <c r="I200" s="182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</row>
    <row r="201" spans="2:22" s="137" customFormat="1" x14ac:dyDescent="0.25">
      <c r="B201" s="182"/>
      <c r="C201" s="182"/>
      <c r="D201" s="182"/>
      <c r="E201" s="182"/>
      <c r="F201" s="182"/>
      <c r="G201" s="182"/>
      <c r="H201" s="182"/>
      <c r="I201" s="182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</row>
    <row r="202" spans="2:22" s="137" customFormat="1" x14ac:dyDescent="0.25">
      <c r="B202" s="182"/>
      <c r="C202" s="182"/>
      <c r="D202" s="182"/>
      <c r="E202" s="182"/>
      <c r="F202" s="182"/>
      <c r="G202" s="182"/>
      <c r="H202" s="182"/>
      <c r="I202" s="182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</row>
    <row r="203" spans="2:22" s="137" customFormat="1" x14ac:dyDescent="0.25">
      <c r="B203" s="182"/>
      <c r="C203" s="182"/>
      <c r="D203" s="182"/>
      <c r="E203" s="182"/>
      <c r="F203" s="182"/>
      <c r="G203" s="182"/>
      <c r="H203" s="182"/>
      <c r="I203" s="182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</row>
    <row r="204" spans="2:22" s="137" customFormat="1" x14ac:dyDescent="0.25">
      <c r="B204" s="182"/>
      <c r="C204" s="182"/>
      <c r="D204" s="182"/>
      <c r="E204" s="182"/>
      <c r="F204" s="182"/>
      <c r="G204" s="182"/>
      <c r="H204" s="182"/>
      <c r="I204" s="182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</row>
    <row r="205" spans="2:22" s="137" customFormat="1" x14ac:dyDescent="0.25">
      <c r="B205" s="182"/>
      <c r="C205" s="182"/>
      <c r="D205" s="182"/>
      <c r="E205" s="182"/>
      <c r="F205" s="182"/>
      <c r="G205" s="182"/>
      <c r="H205" s="182"/>
      <c r="I205" s="182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</row>
    <row r="206" spans="2:22" s="137" customFormat="1" x14ac:dyDescent="0.25">
      <c r="B206" s="182"/>
      <c r="C206" s="182"/>
      <c r="D206" s="182"/>
      <c r="E206" s="182"/>
      <c r="F206" s="182"/>
      <c r="G206" s="182"/>
      <c r="H206" s="182"/>
      <c r="I206" s="182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</row>
    <row r="207" spans="2:22" s="137" customFormat="1" x14ac:dyDescent="0.25">
      <c r="B207" s="182"/>
      <c r="C207" s="182"/>
      <c r="D207" s="182"/>
      <c r="E207" s="182"/>
      <c r="F207" s="182"/>
      <c r="G207" s="182"/>
      <c r="H207" s="182"/>
      <c r="I207" s="182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</row>
    <row r="208" spans="2:22" s="137" customFormat="1" x14ac:dyDescent="0.25">
      <c r="B208" s="182"/>
      <c r="C208" s="182"/>
      <c r="D208" s="182"/>
      <c r="E208" s="182"/>
      <c r="F208" s="182"/>
      <c r="G208" s="182"/>
      <c r="H208" s="182"/>
      <c r="I208" s="182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</row>
    <row r="209" spans="2:22" s="137" customFormat="1" x14ac:dyDescent="0.25">
      <c r="B209" s="182"/>
      <c r="C209" s="182"/>
      <c r="D209" s="182"/>
      <c r="E209" s="182"/>
      <c r="F209" s="182"/>
      <c r="G209" s="182"/>
      <c r="H209" s="182"/>
      <c r="I209" s="182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</row>
    <row r="210" spans="2:22" s="137" customFormat="1" x14ac:dyDescent="0.25">
      <c r="B210" s="182"/>
      <c r="C210" s="182"/>
      <c r="D210" s="182"/>
      <c r="E210" s="182"/>
      <c r="F210" s="182"/>
      <c r="G210" s="182"/>
      <c r="H210" s="182"/>
      <c r="I210" s="182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</row>
    <row r="211" spans="2:22" s="137" customFormat="1" x14ac:dyDescent="0.25">
      <c r="B211" s="182"/>
      <c r="C211" s="182"/>
      <c r="D211" s="182"/>
      <c r="E211" s="182"/>
      <c r="F211" s="182"/>
      <c r="G211" s="182"/>
      <c r="H211" s="182"/>
      <c r="I211" s="182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</row>
    <row r="212" spans="2:22" s="137" customFormat="1" x14ac:dyDescent="0.25">
      <c r="B212" s="182"/>
      <c r="C212" s="182"/>
      <c r="D212" s="182"/>
      <c r="E212" s="182"/>
      <c r="F212" s="182"/>
      <c r="G212" s="182"/>
      <c r="H212" s="182"/>
      <c r="I212" s="182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</row>
    <row r="213" spans="2:22" s="137" customFormat="1" x14ac:dyDescent="0.25">
      <c r="B213" s="182"/>
      <c r="C213" s="182"/>
      <c r="D213" s="182"/>
      <c r="E213" s="182"/>
      <c r="F213" s="182"/>
      <c r="G213" s="182"/>
      <c r="H213" s="182"/>
      <c r="I213" s="182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</row>
    <row r="214" spans="2:22" s="137" customFormat="1" x14ac:dyDescent="0.25">
      <c r="B214" s="182"/>
      <c r="C214" s="182"/>
      <c r="D214" s="182"/>
      <c r="E214" s="182"/>
      <c r="F214" s="182"/>
      <c r="G214" s="182"/>
      <c r="H214" s="182"/>
      <c r="I214" s="182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</row>
    <row r="215" spans="2:22" s="137" customFormat="1" x14ac:dyDescent="0.25">
      <c r="B215" s="182"/>
      <c r="C215" s="182"/>
      <c r="D215" s="182"/>
      <c r="E215" s="182"/>
      <c r="F215" s="182"/>
      <c r="G215" s="182"/>
      <c r="H215" s="182"/>
      <c r="I215" s="182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</row>
    <row r="216" spans="2:22" s="137" customFormat="1" x14ac:dyDescent="0.25">
      <c r="B216" s="182"/>
      <c r="C216" s="182"/>
      <c r="D216" s="182"/>
      <c r="E216" s="182"/>
      <c r="F216" s="182"/>
      <c r="G216" s="182"/>
      <c r="H216" s="182"/>
      <c r="I216" s="182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</row>
    <row r="217" spans="2:22" s="137" customFormat="1" x14ac:dyDescent="0.25">
      <c r="B217" s="182"/>
      <c r="C217" s="182"/>
      <c r="D217" s="182"/>
      <c r="E217" s="182"/>
      <c r="F217" s="182"/>
      <c r="G217" s="182"/>
      <c r="H217" s="182"/>
      <c r="I217" s="182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</row>
    <row r="218" spans="2:22" s="137" customFormat="1" x14ac:dyDescent="0.25">
      <c r="B218" s="182"/>
      <c r="C218" s="182"/>
      <c r="D218" s="182"/>
      <c r="E218" s="182"/>
      <c r="F218" s="182"/>
      <c r="G218" s="182"/>
      <c r="H218" s="182"/>
      <c r="I218" s="182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</row>
    <row r="219" spans="2:22" s="137" customFormat="1" x14ac:dyDescent="0.25">
      <c r="B219" s="182"/>
      <c r="C219" s="182"/>
      <c r="D219" s="182"/>
      <c r="E219" s="182"/>
      <c r="F219" s="182"/>
      <c r="G219" s="182"/>
      <c r="H219" s="182"/>
      <c r="I219" s="182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</row>
    <row r="220" spans="2:22" s="137" customFormat="1" x14ac:dyDescent="0.25">
      <c r="B220" s="182"/>
      <c r="C220" s="182"/>
      <c r="D220" s="182"/>
      <c r="E220" s="182"/>
      <c r="F220" s="182"/>
      <c r="G220" s="182"/>
      <c r="H220" s="182"/>
      <c r="I220" s="182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</row>
    <row r="221" spans="2:22" s="137" customFormat="1" x14ac:dyDescent="0.25">
      <c r="B221" s="182"/>
      <c r="C221" s="182"/>
      <c r="D221" s="182"/>
      <c r="E221" s="182"/>
      <c r="F221" s="182"/>
      <c r="G221" s="182"/>
      <c r="H221" s="182"/>
      <c r="I221" s="182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</row>
    <row r="222" spans="2:22" s="137" customFormat="1" x14ac:dyDescent="0.25">
      <c r="B222" s="182"/>
      <c r="C222" s="182"/>
      <c r="D222" s="182"/>
      <c r="E222" s="182"/>
      <c r="F222" s="182"/>
      <c r="G222" s="182"/>
      <c r="H222" s="182"/>
      <c r="I222" s="182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</row>
    <row r="223" spans="2:22" s="137" customFormat="1" x14ac:dyDescent="0.25">
      <c r="B223" s="182"/>
      <c r="C223" s="182"/>
      <c r="D223" s="182"/>
      <c r="E223" s="182"/>
      <c r="F223" s="182"/>
      <c r="G223" s="182"/>
      <c r="H223" s="182"/>
      <c r="I223" s="182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</row>
    <row r="224" spans="2:22" s="137" customFormat="1" x14ac:dyDescent="0.25">
      <c r="B224" s="182"/>
      <c r="C224" s="182"/>
      <c r="D224" s="182"/>
      <c r="E224" s="182"/>
      <c r="F224" s="182"/>
      <c r="G224" s="182"/>
      <c r="H224" s="182"/>
      <c r="I224" s="182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</row>
    <row r="225" spans="2:22" s="137" customFormat="1" x14ac:dyDescent="0.25">
      <c r="B225" s="182"/>
      <c r="C225" s="182"/>
      <c r="D225" s="182"/>
      <c r="E225" s="182"/>
      <c r="F225" s="182"/>
      <c r="G225" s="182"/>
      <c r="H225" s="182"/>
      <c r="I225" s="182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</row>
    <row r="226" spans="2:22" s="137" customFormat="1" x14ac:dyDescent="0.25">
      <c r="B226" s="182"/>
      <c r="C226" s="182"/>
      <c r="D226" s="182"/>
      <c r="E226" s="182"/>
      <c r="F226" s="182"/>
      <c r="G226" s="182"/>
      <c r="H226" s="182"/>
      <c r="I226" s="182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</row>
    <row r="227" spans="2:22" s="137" customFormat="1" x14ac:dyDescent="0.25">
      <c r="B227" s="182"/>
      <c r="C227" s="182"/>
      <c r="D227" s="182"/>
      <c r="E227" s="182"/>
      <c r="F227" s="182"/>
      <c r="G227" s="182"/>
      <c r="H227" s="182"/>
      <c r="I227" s="182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</row>
    <row r="228" spans="2:22" s="137" customFormat="1" x14ac:dyDescent="0.25">
      <c r="B228" s="182"/>
      <c r="C228" s="182"/>
      <c r="D228" s="182"/>
      <c r="E228" s="182"/>
      <c r="F228" s="182"/>
      <c r="G228" s="182"/>
      <c r="H228" s="182"/>
      <c r="I228" s="182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</row>
    <row r="229" spans="2:22" s="137" customFormat="1" x14ac:dyDescent="0.25">
      <c r="B229" s="182"/>
      <c r="C229" s="182"/>
      <c r="D229" s="182"/>
      <c r="E229" s="182"/>
      <c r="F229" s="182"/>
      <c r="G229" s="182"/>
      <c r="H229" s="182"/>
      <c r="I229" s="182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</row>
    <row r="230" spans="2:22" s="137" customFormat="1" x14ac:dyDescent="0.25">
      <c r="B230" s="182"/>
      <c r="C230" s="182"/>
      <c r="D230" s="182"/>
      <c r="E230" s="182"/>
      <c r="F230" s="182"/>
      <c r="G230" s="182"/>
      <c r="H230" s="182"/>
      <c r="I230" s="182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</row>
    <row r="231" spans="2:22" s="137" customFormat="1" x14ac:dyDescent="0.25">
      <c r="B231" s="182"/>
      <c r="C231" s="182"/>
      <c r="D231" s="182"/>
      <c r="E231" s="182"/>
      <c r="F231" s="182"/>
      <c r="G231" s="182"/>
      <c r="H231" s="182"/>
      <c r="I231" s="182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</row>
    <row r="232" spans="2:22" s="137" customFormat="1" x14ac:dyDescent="0.25">
      <c r="B232" s="182"/>
      <c r="C232" s="182"/>
      <c r="D232" s="182"/>
      <c r="E232" s="182"/>
      <c r="F232" s="182"/>
      <c r="G232" s="182"/>
      <c r="H232" s="182"/>
      <c r="I232" s="182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</row>
    <row r="233" spans="2:22" s="137" customFormat="1" x14ac:dyDescent="0.25">
      <c r="B233" s="182"/>
      <c r="C233" s="182"/>
      <c r="D233" s="182"/>
      <c r="E233" s="182"/>
      <c r="F233" s="182"/>
      <c r="G233" s="182"/>
      <c r="H233" s="182"/>
      <c r="I233" s="182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</row>
    <row r="234" spans="2:22" s="137" customFormat="1" x14ac:dyDescent="0.25">
      <c r="B234" s="182"/>
      <c r="C234" s="182"/>
      <c r="D234" s="182"/>
      <c r="E234" s="182"/>
      <c r="F234" s="182"/>
      <c r="G234" s="182"/>
      <c r="H234" s="182"/>
      <c r="I234" s="182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</row>
    <row r="235" spans="2:22" s="137" customFormat="1" x14ac:dyDescent="0.25">
      <c r="B235" s="182"/>
      <c r="C235" s="182"/>
      <c r="D235" s="182"/>
      <c r="E235" s="182"/>
      <c r="F235" s="182"/>
      <c r="G235" s="182"/>
      <c r="H235" s="182"/>
      <c r="I235" s="182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</row>
    <row r="236" spans="2:22" s="137" customFormat="1" x14ac:dyDescent="0.25">
      <c r="B236" s="182"/>
      <c r="C236" s="182"/>
      <c r="D236" s="182"/>
      <c r="E236" s="182"/>
      <c r="F236" s="182"/>
      <c r="G236" s="182"/>
      <c r="H236" s="182"/>
      <c r="I236" s="182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</row>
    <row r="237" spans="2:22" s="137" customFormat="1" x14ac:dyDescent="0.25">
      <c r="B237" s="182"/>
      <c r="C237" s="182"/>
      <c r="D237" s="182"/>
      <c r="E237" s="182"/>
      <c r="F237" s="182"/>
      <c r="G237" s="182"/>
      <c r="H237" s="182"/>
      <c r="I237" s="182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</row>
    <row r="238" spans="2:22" s="137" customFormat="1" x14ac:dyDescent="0.25">
      <c r="B238" s="182"/>
      <c r="C238" s="182"/>
      <c r="D238" s="182"/>
      <c r="E238" s="182"/>
      <c r="F238" s="182"/>
      <c r="G238" s="182"/>
      <c r="H238" s="182"/>
      <c r="I238" s="182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</row>
    <row r="239" spans="2:22" s="137" customFormat="1" x14ac:dyDescent="0.25">
      <c r="B239" s="182"/>
      <c r="C239" s="182"/>
      <c r="D239" s="182"/>
      <c r="E239" s="182"/>
      <c r="F239" s="182"/>
      <c r="G239" s="182"/>
      <c r="H239" s="182"/>
      <c r="I239" s="182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</row>
    <row r="240" spans="2:22" s="137" customFormat="1" x14ac:dyDescent="0.25">
      <c r="B240" s="182"/>
      <c r="C240" s="182"/>
      <c r="D240" s="182"/>
      <c r="E240" s="182"/>
      <c r="F240" s="182"/>
      <c r="G240" s="182"/>
      <c r="H240" s="182"/>
      <c r="I240" s="182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</row>
    <row r="241" spans="2:22" s="137" customFormat="1" x14ac:dyDescent="0.25">
      <c r="B241" s="182"/>
      <c r="C241" s="182"/>
      <c r="D241" s="182"/>
      <c r="E241" s="182"/>
      <c r="F241" s="182"/>
      <c r="G241" s="182"/>
      <c r="H241" s="182"/>
      <c r="I241" s="182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</row>
    <row r="242" spans="2:22" s="137" customFormat="1" x14ac:dyDescent="0.25">
      <c r="B242" s="182"/>
      <c r="C242" s="182"/>
      <c r="D242" s="182"/>
      <c r="E242" s="182"/>
      <c r="F242" s="182"/>
      <c r="G242" s="182"/>
      <c r="H242" s="182"/>
      <c r="I242" s="182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</row>
    <row r="243" spans="2:22" s="137" customFormat="1" x14ac:dyDescent="0.25">
      <c r="B243" s="182"/>
      <c r="C243" s="182"/>
      <c r="D243" s="182"/>
      <c r="E243" s="182"/>
      <c r="F243" s="182"/>
      <c r="G243" s="182"/>
      <c r="H243" s="182"/>
      <c r="I243" s="182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</row>
    <row r="244" spans="2:22" s="137" customFormat="1" x14ac:dyDescent="0.25">
      <c r="B244" s="182"/>
      <c r="C244" s="182"/>
      <c r="D244" s="182"/>
      <c r="E244" s="182"/>
      <c r="F244" s="182"/>
      <c r="G244" s="182"/>
      <c r="H244" s="182"/>
      <c r="I244" s="182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</row>
    <row r="245" spans="2:22" s="137" customFormat="1" x14ac:dyDescent="0.25">
      <c r="B245" s="182"/>
      <c r="C245" s="182"/>
      <c r="D245" s="182"/>
      <c r="E245" s="182"/>
      <c r="F245" s="182"/>
      <c r="G245" s="182"/>
      <c r="H245" s="182"/>
      <c r="I245" s="182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</row>
    <row r="246" spans="2:22" s="137" customFormat="1" x14ac:dyDescent="0.25">
      <c r="B246" s="182"/>
      <c r="C246" s="182"/>
      <c r="D246" s="182"/>
      <c r="E246" s="182"/>
      <c r="F246" s="182"/>
      <c r="G246" s="182"/>
      <c r="H246" s="182"/>
      <c r="I246" s="182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</row>
    <row r="247" spans="2:22" s="137" customFormat="1" x14ac:dyDescent="0.25">
      <c r="B247" s="182"/>
      <c r="C247" s="182"/>
      <c r="D247" s="182"/>
      <c r="E247" s="182"/>
      <c r="F247" s="182"/>
      <c r="G247" s="182"/>
      <c r="H247" s="182"/>
      <c r="I247" s="182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</row>
    <row r="248" spans="2:22" s="137" customFormat="1" x14ac:dyDescent="0.25">
      <c r="B248" s="182"/>
      <c r="C248" s="182"/>
      <c r="D248" s="182"/>
      <c r="E248" s="182"/>
      <c r="F248" s="182"/>
      <c r="G248" s="182"/>
      <c r="H248" s="182"/>
      <c r="I248" s="182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</row>
    <row r="249" spans="2:22" s="137" customFormat="1" x14ac:dyDescent="0.25">
      <c r="B249" s="182"/>
      <c r="C249" s="182"/>
      <c r="D249" s="182"/>
      <c r="E249" s="182"/>
      <c r="F249" s="182"/>
      <c r="G249" s="182"/>
      <c r="H249" s="182"/>
      <c r="I249" s="182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</row>
    <row r="250" spans="2:22" s="137" customFormat="1" x14ac:dyDescent="0.25">
      <c r="B250" s="182"/>
      <c r="C250" s="182"/>
      <c r="D250" s="182"/>
      <c r="E250" s="182"/>
      <c r="F250" s="182"/>
      <c r="G250" s="182"/>
      <c r="H250" s="182"/>
      <c r="I250" s="182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</row>
    <row r="251" spans="2:22" s="137" customFormat="1" x14ac:dyDescent="0.25">
      <c r="B251" s="182"/>
      <c r="C251" s="182"/>
      <c r="D251" s="182"/>
      <c r="E251" s="182"/>
      <c r="F251" s="182"/>
      <c r="G251" s="182"/>
      <c r="H251" s="182"/>
      <c r="I251" s="182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</row>
    <row r="252" spans="2:22" s="137" customFormat="1" x14ac:dyDescent="0.25">
      <c r="B252" s="182"/>
      <c r="C252" s="182"/>
      <c r="D252" s="182"/>
      <c r="E252" s="182"/>
      <c r="F252" s="182"/>
      <c r="G252" s="182"/>
      <c r="H252" s="182"/>
      <c r="I252" s="182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</row>
    <row r="253" spans="2:22" s="137" customFormat="1" x14ac:dyDescent="0.25">
      <c r="B253" s="182"/>
      <c r="C253" s="182"/>
      <c r="D253" s="182"/>
      <c r="E253" s="182"/>
      <c r="F253" s="182"/>
      <c r="G253" s="182"/>
      <c r="H253" s="182"/>
      <c r="I253" s="182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</row>
    <row r="254" spans="2:22" s="137" customFormat="1" x14ac:dyDescent="0.25">
      <c r="B254" s="182"/>
      <c r="C254" s="182"/>
      <c r="D254" s="182"/>
      <c r="E254" s="182"/>
      <c r="F254" s="182"/>
      <c r="G254" s="182"/>
      <c r="H254" s="182"/>
      <c r="I254" s="182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</row>
    <row r="255" spans="2:22" s="137" customFormat="1" x14ac:dyDescent="0.25">
      <c r="B255" s="182"/>
      <c r="C255" s="182"/>
      <c r="D255" s="182"/>
      <c r="E255" s="182"/>
      <c r="F255" s="182"/>
      <c r="G255" s="182"/>
      <c r="H255" s="182"/>
      <c r="I255" s="182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</row>
    <row r="256" spans="2:22" s="137" customFormat="1" x14ac:dyDescent="0.25">
      <c r="B256" s="182"/>
      <c r="C256" s="182"/>
      <c r="D256" s="182"/>
      <c r="E256" s="182"/>
      <c r="F256" s="182"/>
      <c r="G256" s="182"/>
      <c r="H256" s="182"/>
      <c r="I256" s="182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</row>
    <row r="257" spans="2:22" s="137" customFormat="1" x14ac:dyDescent="0.25">
      <c r="B257" s="182"/>
      <c r="C257" s="182"/>
      <c r="D257" s="182"/>
      <c r="E257" s="182"/>
      <c r="F257" s="182"/>
      <c r="G257" s="182"/>
      <c r="H257" s="182"/>
      <c r="I257" s="182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</row>
    <row r="258" spans="2:22" s="137" customFormat="1" x14ac:dyDescent="0.25">
      <c r="B258" s="182"/>
      <c r="C258" s="182"/>
      <c r="D258" s="182"/>
      <c r="E258" s="182"/>
      <c r="F258" s="182"/>
      <c r="G258" s="182"/>
      <c r="H258" s="182"/>
      <c r="I258" s="182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</row>
    <row r="259" spans="2:22" s="137" customFormat="1" x14ac:dyDescent="0.25">
      <c r="B259" s="182"/>
      <c r="C259" s="182"/>
      <c r="D259" s="182"/>
      <c r="E259" s="182"/>
      <c r="F259" s="182"/>
      <c r="G259" s="182"/>
      <c r="H259" s="182"/>
      <c r="I259" s="182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</row>
    <row r="260" spans="2:22" s="137" customFormat="1" x14ac:dyDescent="0.25">
      <c r="B260" s="182"/>
      <c r="C260" s="182"/>
      <c r="D260" s="182"/>
      <c r="E260" s="182"/>
      <c r="F260" s="182"/>
      <c r="G260" s="182"/>
      <c r="H260" s="182"/>
      <c r="I260" s="182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</row>
    <row r="261" spans="2:22" s="137" customFormat="1" x14ac:dyDescent="0.25">
      <c r="B261" s="182"/>
      <c r="C261" s="182"/>
      <c r="D261" s="182"/>
      <c r="E261" s="182"/>
      <c r="F261" s="182"/>
      <c r="G261" s="182"/>
      <c r="H261" s="182"/>
      <c r="I261" s="182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</row>
    <row r="262" spans="2:22" s="137" customFormat="1" x14ac:dyDescent="0.25">
      <c r="B262" s="182"/>
      <c r="C262" s="182"/>
      <c r="D262" s="182"/>
      <c r="E262" s="182"/>
      <c r="F262" s="182"/>
      <c r="G262" s="182"/>
      <c r="H262" s="182"/>
      <c r="I262" s="182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</row>
    <row r="263" spans="2:22" s="137" customFormat="1" x14ac:dyDescent="0.25">
      <c r="B263" s="182"/>
      <c r="C263" s="182"/>
      <c r="D263" s="182"/>
      <c r="E263" s="182"/>
      <c r="F263" s="182"/>
      <c r="G263" s="182"/>
      <c r="H263" s="182"/>
      <c r="I263" s="182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</row>
    <row r="264" spans="2:22" s="137" customFormat="1" x14ac:dyDescent="0.25">
      <c r="B264" s="182"/>
      <c r="C264" s="182"/>
      <c r="D264" s="182"/>
      <c r="E264" s="182"/>
      <c r="F264" s="182"/>
      <c r="G264" s="182"/>
      <c r="H264" s="182"/>
      <c r="I264" s="182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</row>
    <row r="265" spans="2:22" s="137" customFormat="1" x14ac:dyDescent="0.25">
      <c r="B265" s="182"/>
      <c r="C265" s="182"/>
      <c r="D265" s="182"/>
      <c r="E265" s="182"/>
      <c r="F265" s="182"/>
      <c r="G265" s="182"/>
      <c r="H265" s="182"/>
      <c r="I265" s="182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</row>
    <row r="266" spans="2:22" s="137" customFormat="1" x14ac:dyDescent="0.25">
      <c r="B266" s="182"/>
      <c r="C266" s="182"/>
      <c r="D266" s="182"/>
      <c r="E266" s="182"/>
      <c r="F266" s="182"/>
      <c r="G266" s="182"/>
      <c r="H266" s="182"/>
      <c r="I266" s="182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</row>
    <row r="267" spans="2:22" s="137" customFormat="1" x14ac:dyDescent="0.25">
      <c r="B267" s="182"/>
      <c r="C267" s="182"/>
      <c r="D267" s="182"/>
      <c r="E267" s="182"/>
      <c r="F267" s="182"/>
      <c r="G267" s="182"/>
      <c r="H267" s="182"/>
      <c r="I267" s="182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</row>
    <row r="268" spans="2:22" s="137" customFormat="1" x14ac:dyDescent="0.25">
      <c r="B268" s="182"/>
      <c r="C268" s="182"/>
      <c r="D268" s="182"/>
      <c r="E268" s="182"/>
      <c r="F268" s="182"/>
      <c r="G268" s="182"/>
      <c r="H268" s="182"/>
      <c r="I268" s="182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</row>
    <row r="269" spans="2:22" s="137" customFormat="1" x14ac:dyDescent="0.25">
      <c r="B269" s="182"/>
      <c r="C269" s="182"/>
      <c r="D269" s="182"/>
      <c r="E269" s="182"/>
      <c r="F269" s="182"/>
      <c r="G269" s="182"/>
      <c r="H269" s="182"/>
      <c r="I269" s="182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</row>
    <row r="270" spans="2:22" s="137" customFormat="1" x14ac:dyDescent="0.25">
      <c r="B270" s="182"/>
      <c r="C270" s="182"/>
      <c r="D270" s="182"/>
      <c r="E270" s="182"/>
      <c r="F270" s="182"/>
      <c r="G270" s="182"/>
      <c r="H270" s="182"/>
      <c r="I270" s="182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</row>
    <row r="271" spans="2:22" s="137" customFormat="1" x14ac:dyDescent="0.25">
      <c r="B271" s="182"/>
      <c r="C271" s="182"/>
      <c r="D271" s="182"/>
      <c r="E271" s="182"/>
      <c r="F271" s="182"/>
      <c r="G271" s="182"/>
      <c r="H271" s="182"/>
      <c r="I271" s="182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</row>
    <row r="272" spans="2:22" s="137" customFormat="1" x14ac:dyDescent="0.25">
      <c r="B272" s="182"/>
      <c r="C272" s="182"/>
      <c r="D272" s="182"/>
      <c r="E272" s="182"/>
      <c r="F272" s="182"/>
      <c r="G272" s="182"/>
      <c r="H272" s="182"/>
      <c r="I272" s="182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</row>
    <row r="273" spans="2:22" s="137" customFormat="1" x14ac:dyDescent="0.25">
      <c r="B273" s="182"/>
      <c r="C273" s="182"/>
      <c r="D273" s="182"/>
      <c r="E273" s="182"/>
      <c r="F273" s="182"/>
      <c r="G273" s="182"/>
      <c r="H273" s="182"/>
      <c r="I273" s="182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</row>
    <row r="274" spans="2:22" s="137" customFormat="1" x14ac:dyDescent="0.25">
      <c r="B274" s="182"/>
      <c r="C274" s="182"/>
      <c r="D274" s="182"/>
      <c r="E274" s="182"/>
      <c r="F274" s="182"/>
      <c r="G274" s="182"/>
      <c r="H274" s="182"/>
      <c r="I274" s="182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</row>
    <row r="275" spans="2:22" s="137" customFormat="1" x14ac:dyDescent="0.25">
      <c r="B275" s="182"/>
      <c r="C275" s="182"/>
      <c r="D275" s="182"/>
      <c r="E275" s="182"/>
      <c r="F275" s="182"/>
      <c r="G275" s="182"/>
      <c r="H275" s="182"/>
      <c r="I275" s="182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</row>
    <row r="276" spans="2:22" s="137" customFormat="1" x14ac:dyDescent="0.25">
      <c r="B276" s="182"/>
      <c r="C276" s="182"/>
      <c r="D276" s="182"/>
      <c r="E276" s="182"/>
      <c r="F276" s="182"/>
      <c r="G276" s="182"/>
      <c r="H276" s="182"/>
      <c r="I276" s="182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</row>
    <row r="277" spans="2:22" s="137" customFormat="1" x14ac:dyDescent="0.25">
      <c r="B277" s="182"/>
      <c r="C277" s="182"/>
      <c r="D277" s="182"/>
      <c r="E277" s="182"/>
      <c r="F277" s="182"/>
      <c r="G277" s="182"/>
      <c r="H277" s="182"/>
      <c r="I277" s="182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</row>
    <row r="278" spans="2:22" s="137" customFormat="1" x14ac:dyDescent="0.25">
      <c r="B278" s="182"/>
      <c r="C278" s="182"/>
      <c r="D278" s="182"/>
      <c r="E278" s="182"/>
      <c r="F278" s="182"/>
      <c r="G278" s="182"/>
      <c r="H278" s="182"/>
      <c r="I278" s="182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</row>
    <row r="279" spans="2:22" s="137" customFormat="1" x14ac:dyDescent="0.25">
      <c r="B279" s="182"/>
      <c r="C279" s="182"/>
      <c r="D279" s="182"/>
      <c r="E279" s="182"/>
      <c r="F279" s="182"/>
      <c r="G279" s="182"/>
      <c r="H279" s="182"/>
      <c r="I279" s="182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</row>
    <row r="280" spans="2:22" s="137" customFormat="1" x14ac:dyDescent="0.25">
      <c r="B280" s="182"/>
      <c r="C280" s="182"/>
      <c r="D280" s="182"/>
      <c r="E280" s="182"/>
      <c r="F280" s="182"/>
      <c r="G280" s="182"/>
      <c r="H280" s="182"/>
      <c r="I280" s="182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</row>
    <row r="281" spans="2:22" s="137" customFormat="1" x14ac:dyDescent="0.25">
      <c r="B281" s="182"/>
      <c r="C281" s="182"/>
      <c r="D281" s="182"/>
      <c r="E281" s="182"/>
      <c r="F281" s="182"/>
      <c r="G281" s="182"/>
      <c r="H281" s="182"/>
      <c r="I281" s="182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</row>
    <row r="282" spans="2:22" s="137" customFormat="1" x14ac:dyDescent="0.25">
      <c r="B282" s="182"/>
      <c r="C282" s="182"/>
      <c r="D282" s="182"/>
      <c r="E282" s="182"/>
      <c r="F282" s="182"/>
      <c r="G282" s="182"/>
      <c r="H282" s="182"/>
      <c r="I282" s="182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</row>
    <row r="283" spans="2:22" s="137" customFormat="1" x14ac:dyDescent="0.25">
      <c r="B283" s="182"/>
      <c r="C283" s="182"/>
      <c r="D283" s="182"/>
      <c r="E283" s="182"/>
      <c r="F283" s="182"/>
      <c r="G283" s="182"/>
      <c r="H283" s="182"/>
      <c r="I283" s="182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</row>
    <row r="284" spans="2:22" s="137" customFormat="1" x14ac:dyDescent="0.25">
      <c r="B284" s="182"/>
      <c r="C284" s="182"/>
      <c r="D284" s="182"/>
      <c r="E284" s="182"/>
      <c r="F284" s="182"/>
      <c r="G284" s="182"/>
      <c r="H284" s="182"/>
      <c r="I284" s="182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</row>
    <row r="285" spans="2:22" s="137" customFormat="1" x14ac:dyDescent="0.25">
      <c r="B285" s="182"/>
      <c r="C285" s="182"/>
      <c r="D285" s="182"/>
      <c r="E285" s="182"/>
      <c r="F285" s="182"/>
      <c r="G285" s="182"/>
      <c r="H285" s="182"/>
      <c r="I285" s="182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</row>
    <row r="286" spans="2:22" s="137" customFormat="1" x14ac:dyDescent="0.25">
      <c r="B286" s="182"/>
      <c r="C286" s="182"/>
      <c r="D286" s="182"/>
      <c r="E286" s="182"/>
      <c r="F286" s="182"/>
      <c r="G286" s="182"/>
      <c r="H286" s="182"/>
      <c r="I286" s="182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</row>
    <row r="287" spans="2:22" s="137" customFormat="1" x14ac:dyDescent="0.25">
      <c r="B287" s="182"/>
      <c r="C287" s="182"/>
      <c r="D287" s="182"/>
      <c r="E287" s="182"/>
      <c r="F287" s="182"/>
      <c r="G287" s="182"/>
      <c r="H287" s="182"/>
      <c r="I287" s="182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</row>
    <row r="288" spans="2:22" s="137" customFormat="1" x14ac:dyDescent="0.25">
      <c r="B288" s="182"/>
      <c r="C288" s="182"/>
      <c r="D288" s="182"/>
      <c r="E288" s="182"/>
      <c r="F288" s="182"/>
      <c r="G288" s="182"/>
      <c r="H288" s="182"/>
      <c r="I288" s="182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</row>
    <row r="289" spans="2:22" s="137" customFormat="1" x14ac:dyDescent="0.25">
      <c r="B289" s="182"/>
      <c r="C289" s="182"/>
      <c r="D289" s="182"/>
      <c r="E289" s="182"/>
      <c r="F289" s="182"/>
      <c r="G289" s="182"/>
      <c r="H289" s="182"/>
      <c r="I289" s="182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</row>
    <row r="290" spans="2:22" s="137" customFormat="1" x14ac:dyDescent="0.25">
      <c r="B290" s="182"/>
      <c r="C290" s="182"/>
      <c r="D290" s="182"/>
      <c r="E290" s="182"/>
      <c r="F290" s="182"/>
      <c r="G290" s="182"/>
      <c r="H290" s="182"/>
      <c r="I290" s="182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</row>
    <row r="291" spans="2:22" s="137" customFormat="1" x14ac:dyDescent="0.25">
      <c r="B291" s="182"/>
      <c r="C291" s="182"/>
      <c r="D291" s="182"/>
      <c r="E291" s="182"/>
      <c r="F291" s="182"/>
      <c r="G291" s="182"/>
      <c r="H291" s="182"/>
      <c r="I291" s="182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</row>
    <row r="292" spans="2:22" s="137" customFormat="1" x14ac:dyDescent="0.25">
      <c r="B292" s="182"/>
      <c r="C292" s="182"/>
      <c r="D292" s="182"/>
      <c r="E292" s="182"/>
      <c r="F292" s="182"/>
      <c r="G292" s="182"/>
      <c r="H292" s="182"/>
      <c r="I292" s="182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</row>
    <row r="293" spans="2:22" s="137" customFormat="1" x14ac:dyDescent="0.25">
      <c r="B293" s="182"/>
      <c r="C293" s="182"/>
      <c r="D293" s="182"/>
      <c r="E293" s="182"/>
      <c r="F293" s="182"/>
      <c r="G293" s="182"/>
      <c r="H293" s="182"/>
      <c r="I293" s="182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</row>
    <row r="294" spans="2:22" s="137" customFormat="1" x14ac:dyDescent="0.25">
      <c r="B294" s="182"/>
      <c r="C294" s="182"/>
      <c r="D294" s="182"/>
      <c r="E294" s="182"/>
      <c r="F294" s="182"/>
      <c r="G294" s="182"/>
      <c r="H294" s="182"/>
      <c r="I294" s="182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</row>
    <row r="295" spans="2:22" s="137" customFormat="1" x14ac:dyDescent="0.25">
      <c r="B295" s="182"/>
      <c r="C295" s="182"/>
      <c r="D295" s="182"/>
      <c r="E295" s="182"/>
      <c r="F295" s="182"/>
      <c r="G295" s="182"/>
      <c r="H295" s="182"/>
      <c r="I295" s="182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</row>
    <row r="296" spans="2:22" s="137" customFormat="1" x14ac:dyDescent="0.25">
      <c r="B296" s="182"/>
      <c r="C296" s="182"/>
      <c r="D296" s="182"/>
      <c r="E296" s="182"/>
      <c r="F296" s="182"/>
      <c r="G296" s="182"/>
      <c r="H296" s="182"/>
      <c r="I296" s="182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</row>
    <row r="297" spans="2:22" s="137" customFormat="1" x14ac:dyDescent="0.25">
      <c r="B297" s="182"/>
      <c r="C297" s="182"/>
      <c r="D297" s="182"/>
      <c r="E297" s="182"/>
      <c r="F297" s="182"/>
      <c r="G297" s="182"/>
      <c r="H297" s="182"/>
      <c r="I297" s="182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</row>
    <row r="298" spans="2:22" s="137" customFormat="1" x14ac:dyDescent="0.25">
      <c r="B298" s="182"/>
      <c r="C298" s="182"/>
      <c r="D298" s="182"/>
      <c r="E298" s="182"/>
      <c r="F298" s="182"/>
      <c r="G298" s="182"/>
      <c r="H298" s="182"/>
      <c r="I298" s="182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</row>
    <row r="299" spans="2:22" s="137" customFormat="1" x14ac:dyDescent="0.25">
      <c r="B299" s="182"/>
      <c r="C299" s="182"/>
      <c r="D299" s="182"/>
      <c r="E299" s="182"/>
      <c r="F299" s="182"/>
      <c r="G299" s="182"/>
      <c r="H299" s="182"/>
      <c r="I299" s="182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</row>
    <row r="300" spans="2:22" s="137" customFormat="1" x14ac:dyDescent="0.25">
      <c r="B300" s="182"/>
      <c r="C300" s="182"/>
      <c r="D300" s="182"/>
      <c r="E300" s="182"/>
      <c r="F300" s="182"/>
      <c r="G300" s="182"/>
      <c r="H300" s="182"/>
      <c r="I300" s="182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</row>
    <row r="301" spans="2:22" s="137" customFormat="1" x14ac:dyDescent="0.25">
      <c r="B301" s="182"/>
      <c r="C301" s="182"/>
      <c r="D301" s="182"/>
      <c r="E301" s="182"/>
      <c r="F301" s="182"/>
      <c r="G301" s="182"/>
      <c r="H301" s="182"/>
      <c r="I301" s="182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</row>
    <row r="302" spans="2:22" s="137" customFormat="1" x14ac:dyDescent="0.25">
      <c r="B302" s="182"/>
      <c r="C302" s="182"/>
      <c r="D302" s="182"/>
      <c r="E302" s="182"/>
      <c r="F302" s="182"/>
      <c r="G302" s="182"/>
      <c r="H302" s="182"/>
      <c r="I302" s="182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</row>
    <row r="303" spans="2:22" s="137" customFormat="1" x14ac:dyDescent="0.25">
      <c r="B303" s="182"/>
      <c r="C303" s="182"/>
      <c r="D303" s="182"/>
      <c r="E303" s="182"/>
      <c r="F303" s="182"/>
      <c r="G303" s="182"/>
      <c r="H303" s="182"/>
      <c r="I303" s="182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</row>
    <row r="304" spans="2:22" s="137" customFormat="1" x14ac:dyDescent="0.25">
      <c r="B304" s="182"/>
      <c r="C304" s="182"/>
      <c r="D304" s="182"/>
      <c r="E304" s="182"/>
      <c r="F304" s="182"/>
      <c r="G304" s="182"/>
      <c r="H304" s="182"/>
      <c r="I304" s="182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</row>
    <row r="305" spans="2:22" s="137" customFormat="1" x14ac:dyDescent="0.25">
      <c r="B305" s="182"/>
      <c r="C305" s="182"/>
      <c r="D305" s="182"/>
      <c r="E305" s="182"/>
      <c r="F305" s="182"/>
      <c r="G305" s="182"/>
      <c r="H305" s="182"/>
      <c r="I305" s="182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</row>
    <row r="306" spans="2:22" s="137" customFormat="1" x14ac:dyDescent="0.25">
      <c r="B306" s="182"/>
      <c r="C306" s="182"/>
      <c r="D306" s="182"/>
      <c r="E306" s="182"/>
      <c r="F306" s="182"/>
      <c r="G306" s="182"/>
      <c r="H306" s="182"/>
      <c r="I306" s="182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</row>
    <row r="307" spans="2:22" s="137" customFormat="1" x14ac:dyDescent="0.25">
      <c r="B307" s="182"/>
      <c r="C307" s="182"/>
      <c r="D307" s="182"/>
      <c r="E307" s="182"/>
      <c r="F307" s="182"/>
      <c r="G307" s="182"/>
      <c r="H307" s="182"/>
      <c r="I307" s="182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</row>
    <row r="308" spans="2:22" s="137" customFormat="1" x14ac:dyDescent="0.25">
      <c r="B308" s="182"/>
      <c r="C308" s="182"/>
      <c r="D308" s="182"/>
      <c r="E308" s="182"/>
      <c r="F308" s="182"/>
      <c r="G308" s="182"/>
      <c r="H308" s="182"/>
      <c r="I308" s="182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</row>
    <row r="309" spans="2:22" s="137" customFormat="1" x14ac:dyDescent="0.25">
      <c r="B309" s="182"/>
      <c r="C309" s="182"/>
      <c r="D309" s="182"/>
      <c r="E309" s="182"/>
      <c r="F309" s="182"/>
      <c r="G309" s="182"/>
      <c r="H309" s="182"/>
      <c r="I309" s="182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</row>
    <row r="310" spans="2:22" s="137" customFormat="1" x14ac:dyDescent="0.25">
      <c r="B310" s="182"/>
      <c r="C310" s="182"/>
      <c r="D310" s="182"/>
      <c r="E310" s="182"/>
      <c r="F310" s="182"/>
      <c r="G310" s="182"/>
      <c r="H310" s="182"/>
      <c r="I310" s="182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</row>
    <row r="311" spans="2:22" s="137" customFormat="1" x14ac:dyDescent="0.25">
      <c r="B311" s="182"/>
      <c r="C311" s="182"/>
      <c r="D311" s="182"/>
      <c r="E311" s="182"/>
      <c r="F311" s="182"/>
      <c r="G311" s="182"/>
      <c r="H311" s="182"/>
      <c r="I311" s="182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</row>
    <row r="312" spans="2:22" s="137" customFormat="1" x14ac:dyDescent="0.25">
      <c r="B312" s="182"/>
      <c r="C312" s="182"/>
      <c r="D312" s="182"/>
      <c r="E312" s="182"/>
      <c r="F312" s="182"/>
      <c r="G312" s="182"/>
      <c r="H312" s="182"/>
      <c r="I312" s="182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</row>
    <row r="313" spans="2:22" s="137" customFormat="1" x14ac:dyDescent="0.25">
      <c r="B313" s="182"/>
      <c r="C313" s="182"/>
      <c r="D313" s="182"/>
      <c r="E313" s="182"/>
      <c r="F313" s="182"/>
      <c r="G313" s="182"/>
      <c r="H313" s="182"/>
      <c r="I313" s="182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</row>
    <row r="314" spans="2:22" s="137" customFormat="1" x14ac:dyDescent="0.25">
      <c r="B314" s="182"/>
      <c r="C314" s="182"/>
      <c r="D314" s="182"/>
      <c r="E314" s="182"/>
      <c r="F314" s="182"/>
      <c r="G314" s="182"/>
      <c r="H314" s="182"/>
      <c r="I314" s="182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</row>
    <row r="315" spans="2:22" s="137" customFormat="1" x14ac:dyDescent="0.25">
      <c r="B315" s="182"/>
      <c r="C315" s="182"/>
      <c r="D315" s="182"/>
      <c r="E315" s="182"/>
      <c r="F315" s="182"/>
      <c r="G315" s="182"/>
      <c r="H315" s="182"/>
      <c r="I315" s="182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</row>
    <row r="316" spans="2:22" s="137" customFormat="1" x14ac:dyDescent="0.25">
      <c r="B316" s="182"/>
      <c r="C316" s="182"/>
      <c r="D316" s="182"/>
      <c r="E316" s="182"/>
      <c r="F316" s="182"/>
      <c r="G316" s="182"/>
      <c r="H316" s="182"/>
      <c r="I316" s="182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</row>
    <row r="317" spans="2:22" s="137" customFormat="1" x14ac:dyDescent="0.25">
      <c r="B317" s="182"/>
      <c r="C317" s="182"/>
      <c r="D317" s="182"/>
      <c r="E317" s="182"/>
      <c r="F317" s="182"/>
      <c r="G317" s="182"/>
      <c r="H317" s="182"/>
      <c r="I317" s="182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</row>
    <row r="318" spans="2:22" s="137" customFormat="1" x14ac:dyDescent="0.25">
      <c r="B318" s="182"/>
      <c r="C318" s="182"/>
      <c r="D318" s="182"/>
      <c r="E318" s="182"/>
      <c r="F318" s="182"/>
      <c r="G318" s="182"/>
      <c r="H318" s="182"/>
      <c r="I318" s="182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</row>
    <row r="319" spans="2:22" s="137" customFormat="1" x14ac:dyDescent="0.25">
      <c r="B319" s="182"/>
      <c r="C319" s="182"/>
      <c r="D319" s="182"/>
      <c r="E319" s="182"/>
      <c r="F319" s="182"/>
      <c r="G319" s="182"/>
      <c r="H319" s="182"/>
      <c r="I319" s="182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</row>
    <row r="320" spans="2:22" s="137" customFormat="1" x14ac:dyDescent="0.25">
      <c r="B320" s="182"/>
      <c r="C320" s="182"/>
      <c r="D320" s="182"/>
      <c r="E320" s="182"/>
      <c r="F320" s="182"/>
      <c r="G320" s="182"/>
      <c r="H320" s="182"/>
      <c r="I320" s="182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</row>
    <row r="321" spans="2:22" s="137" customFormat="1" x14ac:dyDescent="0.25">
      <c r="B321" s="182"/>
      <c r="C321" s="182"/>
      <c r="D321" s="182"/>
      <c r="E321" s="182"/>
      <c r="F321" s="182"/>
      <c r="G321" s="182"/>
      <c r="H321" s="182"/>
      <c r="I321" s="182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</row>
    <row r="322" spans="2:22" s="137" customFormat="1" x14ac:dyDescent="0.25">
      <c r="B322" s="182"/>
      <c r="C322" s="182"/>
      <c r="D322" s="182"/>
      <c r="E322" s="182"/>
      <c r="F322" s="182"/>
      <c r="G322" s="182"/>
      <c r="H322" s="182"/>
      <c r="I322" s="182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</row>
    <row r="323" spans="2:22" s="137" customFormat="1" x14ac:dyDescent="0.25">
      <c r="B323" s="182"/>
      <c r="C323" s="182"/>
      <c r="D323" s="182"/>
      <c r="E323" s="182"/>
      <c r="F323" s="182"/>
      <c r="G323" s="182"/>
      <c r="H323" s="182"/>
      <c r="I323" s="182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</row>
    <row r="324" spans="2:22" s="137" customFormat="1" x14ac:dyDescent="0.25">
      <c r="B324" s="182"/>
      <c r="C324" s="182"/>
      <c r="D324" s="182"/>
      <c r="E324" s="182"/>
      <c r="F324" s="182"/>
      <c r="G324" s="182"/>
      <c r="H324" s="182"/>
      <c r="I324" s="182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</row>
    <row r="325" spans="2:22" s="137" customFormat="1" x14ac:dyDescent="0.25">
      <c r="B325" s="182"/>
      <c r="C325" s="182"/>
      <c r="D325" s="182"/>
      <c r="E325" s="182"/>
      <c r="F325" s="182"/>
      <c r="G325" s="182"/>
      <c r="H325" s="182"/>
      <c r="I325" s="182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</row>
    <row r="326" spans="2:22" s="137" customFormat="1" x14ac:dyDescent="0.25">
      <c r="B326" s="182"/>
      <c r="C326" s="182"/>
      <c r="D326" s="182"/>
      <c r="E326" s="182"/>
      <c r="F326" s="182"/>
      <c r="G326" s="182"/>
      <c r="H326" s="182"/>
      <c r="I326" s="182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</row>
    <row r="327" spans="2:22" s="137" customFormat="1" x14ac:dyDescent="0.25">
      <c r="B327" s="182"/>
      <c r="C327" s="182"/>
      <c r="D327" s="182"/>
      <c r="E327" s="182"/>
      <c r="F327" s="182"/>
      <c r="G327" s="182"/>
      <c r="H327" s="182"/>
      <c r="I327" s="182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</row>
    <row r="328" spans="2:22" s="137" customFormat="1" x14ac:dyDescent="0.25">
      <c r="B328" s="182"/>
      <c r="C328" s="182"/>
      <c r="D328" s="182"/>
      <c r="E328" s="182"/>
      <c r="F328" s="182"/>
      <c r="G328" s="182"/>
      <c r="H328" s="182"/>
      <c r="I328" s="182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</row>
    <row r="329" spans="2:22" s="137" customFormat="1" x14ac:dyDescent="0.25">
      <c r="B329" s="182"/>
      <c r="C329" s="182"/>
      <c r="D329" s="182"/>
      <c r="E329" s="182"/>
      <c r="F329" s="182"/>
      <c r="G329" s="182"/>
      <c r="H329" s="182"/>
      <c r="I329" s="182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</row>
    <row r="330" spans="2:22" s="137" customFormat="1" x14ac:dyDescent="0.25">
      <c r="B330" s="182"/>
      <c r="C330" s="182"/>
      <c r="D330" s="182"/>
      <c r="E330" s="182"/>
      <c r="F330" s="182"/>
      <c r="G330" s="182"/>
      <c r="H330" s="182"/>
      <c r="I330" s="182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</row>
    <row r="331" spans="2:22" s="137" customFormat="1" x14ac:dyDescent="0.25">
      <c r="B331" s="182"/>
      <c r="C331" s="182"/>
      <c r="D331" s="182"/>
      <c r="E331" s="182"/>
      <c r="F331" s="182"/>
      <c r="G331" s="182"/>
      <c r="H331" s="182"/>
      <c r="I331" s="182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</row>
    <row r="332" spans="2:22" s="137" customFormat="1" x14ac:dyDescent="0.25">
      <c r="B332" s="182"/>
      <c r="C332" s="182"/>
      <c r="D332" s="182"/>
      <c r="E332" s="182"/>
      <c r="F332" s="182"/>
      <c r="G332" s="182"/>
      <c r="H332" s="182"/>
      <c r="I332" s="182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</row>
    <row r="333" spans="2:22" s="137" customFormat="1" x14ac:dyDescent="0.25">
      <c r="B333" s="182"/>
      <c r="C333" s="182"/>
      <c r="D333" s="182"/>
      <c r="E333" s="182"/>
      <c r="F333" s="182"/>
      <c r="G333" s="182"/>
      <c r="H333" s="182"/>
      <c r="I333" s="182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</row>
    <row r="334" spans="2:22" s="137" customFormat="1" x14ac:dyDescent="0.25">
      <c r="B334" s="182"/>
      <c r="C334" s="182"/>
      <c r="D334" s="182"/>
      <c r="E334" s="182"/>
      <c r="F334" s="182"/>
      <c r="G334" s="182"/>
      <c r="H334" s="182"/>
      <c r="I334" s="182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</row>
    <row r="335" spans="2:22" s="137" customFormat="1" x14ac:dyDescent="0.25">
      <c r="B335" s="182"/>
      <c r="C335" s="182"/>
      <c r="D335" s="182"/>
      <c r="E335" s="182"/>
      <c r="F335" s="182"/>
      <c r="G335" s="182"/>
      <c r="H335" s="182"/>
      <c r="I335" s="182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</row>
    <row r="336" spans="2:22" s="137" customFormat="1" x14ac:dyDescent="0.25">
      <c r="B336" s="182"/>
      <c r="C336" s="182"/>
      <c r="D336" s="182"/>
      <c r="E336" s="182"/>
      <c r="F336" s="182"/>
      <c r="G336" s="182"/>
      <c r="H336" s="182"/>
      <c r="I336" s="182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</row>
    <row r="337" spans="2:22" s="137" customFormat="1" x14ac:dyDescent="0.25">
      <c r="B337" s="182"/>
      <c r="C337" s="182"/>
      <c r="D337" s="182"/>
      <c r="E337" s="182"/>
      <c r="F337" s="182"/>
      <c r="G337" s="182"/>
      <c r="H337" s="182"/>
      <c r="I337" s="182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</row>
    <row r="338" spans="2:22" s="137" customFormat="1" x14ac:dyDescent="0.25">
      <c r="B338" s="182"/>
      <c r="C338" s="182"/>
      <c r="D338" s="182"/>
      <c r="E338" s="182"/>
      <c r="F338" s="182"/>
      <c r="G338" s="182"/>
      <c r="H338" s="182"/>
      <c r="I338" s="182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</row>
    <row r="339" spans="2:22" s="137" customFormat="1" x14ac:dyDescent="0.25">
      <c r="B339" s="182"/>
      <c r="C339" s="182"/>
      <c r="D339" s="182"/>
      <c r="E339" s="182"/>
      <c r="F339" s="182"/>
      <c r="G339" s="182"/>
      <c r="H339" s="182"/>
      <c r="I339" s="182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</row>
    <row r="340" spans="2:22" s="137" customFormat="1" x14ac:dyDescent="0.25">
      <c r="B340" s="182"/>
      <c r="C340" s="182"/>
      <c r="D340" s="182"/>
      <c r="E340" s="182"/>
      <c r="F340" s="182"/>
      <c r="G340" s="182"/>
      <c r="H340" s="182"/>
      <c r="I340" s="182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</row>
    <row r="341" spans="2:22" s="137" customFormat="1" x14ac:dyDescent="0.25">
      <c r="B341" s="182"/>
      <c r="C341" s="182"/>
      <c r="D341" s="182"/>
      <c r="E341" s="182"/>
      <c r="F341" s="182"/>
      <c r="G341" s="182"/>
      <c r="H341" s="182"/>
      <c r="I341" s="182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</row>
    <row r="342" spans="2:22" s="137" customFormat="1" x14ac:dyDescent="0.25">
      <c r="B342" s="182"/>
      <c r="C342" s="182"/>
      <c r="D342" s="182"/>
      <c r="E342" s="182"/>
      <c r="F342" s="182"/>
      <c r="G342" s="182"/>
      <c r="H342" s="182"/>
      <c r="I342" s="182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</row>
    <row r="343" spans="2:22" s="137" customFormat="1" x14ac:dyDescent="0.25">
      <c r="B343" s="182"/>
      <c r="C343" s="182"/>
      <c r="D343" s="182"/>
      <c r="E343" s="182"/>
      <c r="F343" s="182"/>
      <c r="G343" s="182"/>
      <c r="H343" s="182"/>
      <c r="I343" s="182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</row>
    <row r="344" spans="2:22" s="137" customFormat="1" x14ac:dyDescent="0.25">
      <c r="B344" s="182"/>
      <c r="C344" s="182"/>
      <c r="D344" s="182"/>
      <c r="E344" s="182"/>
      <c r="F344" s="182"/>
      <c r="G344" s="182"/>
      <c r="H344" s="182"/>
      <c r="I344" s="182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</row>
    <row r="345" spans="2:22" s="137" customFormat="1" x14ac:dyDescent="0.25">
      <c r="B345" s="182"/>
      <c r="C345" s="182"/>
      <c r="D345" s="182"/>
      <c r="E345" s="182"/>
      <c r="F345" s="182"/>
      <c r="G345" s="182"/>
      <c r="H345" s="182"/>
      <c r="I345" s="182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</row>
    <row r="346" spans="2:22" s="137" customFormat="1" x14ac:dyDescent="0.25">
      <c r="B346" s="182"/>
      <c r="C346" s="182"/>
      <c r="D346" s="182"/>
      <c r="E346" s="182"/>
      <c r="F346" s="182"/>
      <c r="G346" s="182"/>
      <c r="H346" s="182"/>
      <c r="I346" s="182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</row>
    <row r="347" spans="2:22" s="137" customFormat="1" x14ac:dyDescent="0.25">
      <c r="B347" s="182"/>
      <c r="C347" s="182"/>
      <c r="D347" s="182"/>
      <c r="E347" s="182"/>
      <c r="F347" s="182"/>
      <c r="G347" s="182"/>
      <c r="H347" s="182"/>
      <c r="I347" s="182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</row>
    <row r="348" spans="2:22" s="137" customFormat="1" x14ac:dyDescent="0.25">
      <c r="B348" s="182"/>
      <c r="C348" s="182"/>
      <c r="D348" s="182"/>
      <c r="E348" s="182"/>
      <c r="F348" s="182"/>
      <c r="G348" s="182"/>
      <c r="H348" s="182"/>
      <c r="I348" s="182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</row>
    <row r="349" spans="2:22" s="137" customFormat="1" x14ac:dyDescent="0.25">
      <c r="B349" s="182"/>
      <c r="C349" s="182"/>
      <c r="D349" s="182"/>
      <c r="E349" s="182"/>
      <c r="F349" s="182"/>
      <c r="G349" s="182"/>
      <c r="H349" s="182"/>
      <c r="I349" s="182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</row>
    <row r="350" spans="2:22" s="137" customFormat="1" x14ac:dyDescent="0.25">
      <c r="B350" s="182"/>
      <c r="C350" s="182"/>
      <c r="D350" s="182"/>
      <c r="E350" s="182"/>
      <c r="F350" s="182"/>
      <c r="G350" s="182"/>
      <c r="H350" s="182"/>
      <c r="I350" s="182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</row>
    <row r="351" spans="2:22" s="137" customFormat="1" x14ac:dyDescent="0.25">
      <c r="B351" s="182"/>
      <c r="C351" s="182"/>
      <c r="D351" s="182"/>
      <c r="E351" s="182"/>
      <c r="F351" s="182"/>
      <c r="G351" s="182"/>
      <c r="H351" s="182"/>
      <c r="I351" s="182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</row>
    <row r="352" spans="2:22" s="137" customFormat="1" x14ac:dyDescent="0.25">
      <c r="B352" s="182"/>
      <c r="C352" s="182"/>
      <c r="D352" s="182"/>
      <c r="E352" s="182"/>
      <c r="F352" s="182"/>
      <c r="G352" s="182"/>
      <c r="H352" s="182"/>
      <c r="I352" s="182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</row>
    <row r="353" spans="2:22" s="137" customFormat="1" x14ac:dyDescent="0.25">
      <c r="B353" s="182"/>
      <c r="C353" s="182"/>
      <c r="D353" s="182"/>
      <c r="E353" s="182"/>
      <c r="F353" s="182"/>
      <c r="G353" s="182"/>
      <c r="H353" s="182"/>
      <c r="I353" s="182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</row>
    <row r="354" spans="2:22" s="137" customFormat="1" x14ac:dyDescent="0.25">
      <c r="B354" s="182"/>
      <c r="C354" s="182"/>
      <c r="D354" s="182"/>
      <c r="E354" s="182"/>
      <c r="F354" s="182"/>
      <c r="G354" s="182"/>
      <c r="H354" s="182"/>
      <c r="I354" s="182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</row>
    <row r="355" spans="2:22" s="137" customFormat="1" x14ac:dyDescent="0.25">
      <c r="B355" s="182"/>
      <c r="C355" s="182"/>
      <c r="D355" s="182"/>
      <c r="E355" s="182"/>
      <c r="F355" s="182"/>
      <c r="G355" s="182"/>
      <c r="H355" s="182"/>
      <c r="I355" s="182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</row>
    <row r="356" spans="2:22" s="137" customFormat="1" x14ac:dyDescent="0.25">
      <c r="B356" s="182"/>
      <c r="C356" s="182"/>
      <c r="D356" s="182"/>
      <c r="E356" s="182"/>
      <c r="F356" s="182"/>
      <c r="G356" s="182"/>
      <c r="H356" s="182"/>
      <c r="I356" s="182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</row>
    <row r="357" spans="2:22" s="137" customFormat="1" x14ac:dyDescent="0.25">
      <c r="B357" s="182"/>
      <c r="C357" s="182"/>
      <c r="D357" s="182"/>
      <c r="E357" s="182"/>
      <c r="F357" s="182"/>
      <c r="G357" s="182"/>
      <c r="H357" s="182"/>
      <c r="I357" s="182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</row>
    <row r="358" spans="2:22" s="137" customFormat="1" x14ac:dyDescent="0.25">
      <c r="B358" s="182"/>
      <c r="C358" s="182"/>
      <c r="D358" s="182"/>
      <c r="E358" s="182"/>
      <c r="F358" s="182"/>
      <c r="G358" s="182"/>
      <c r="H358" s="182"/>
      <c r="I358" s="182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</row>
    <row r="359" spans="2:22" s="137" customFormat="1" x14ac:dyDescent="0.25">
      <c r="B359" s="182"/>
      <c r="C359" s="182"/>
      <c r="D359" s="182"/>
      <c r="E359" s="182"/>
      <c r="F359" s="182"/>
      <c r="G359" s="182"/>
      <c r="H359" s="182"/>
      <c r="I359" s="182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</row>
    <row r="360" spans="2:22" s="137" customFormat="1" x14ac:dyDescent="0.25">
      <c r="B360" s="182"/>
      <c r="C360" s="182"/>
      <c r="D360" s="182"/>
      <c r="E360" s="182"/>
      <c r="F360" s="182"/>
      <c r="G360" s="182"/>
      <c r="H360" s="182"/>
      <c r="I360" s="182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</row>
    <row r="361" spans="2:22" s="137" customFormat="1" x14ac:dyDescent="0.25">
      <c r="B361" s="182"/>
      <c r="C361" s="182"/>
      <c r="D361" s="182"/>
      <c r="E361" s="182"/>
      <c r="F361" s="182"/>
      <c r="G361" s="182"/>
      <c r="H361" s="182"/>
      <c r="I361" s="182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</row>
    <row r="362" spans="2:22" s="137" customFormat="1" x14ac:dyDescent="0.25">
      <c r="B362" s="182"/>
      <c r="C362" s="182"/>
      <c r="D362" s="182"/>
      <c r="E362" s="182"/>
      <c r="F362" s="182"/>
      <c r="G362" s="182"/>
      <c r="H362" s="182"/>
      <c r="I362" s="182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</row>
    <row r="363" spans="2:22" s="137" customFormat="1" x14ac:dyDescent="0.25">
      <c r="B363" s="182"/>
      <c r="C363" s="182"/>
      <c r="D363" s="182"/>
      <c r="E363" s="182"/>
      <c r="F363" s="182"/>
      <c r="G363" s="182"/>
      <c r="H363" s="182"/>
      <c r="I363" s="182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</row>
    <row r="364" spans="2:22" s="137" customFormat="1" x14ac:dyDescent="0.25">
      <c r="B364" s="182"/>
      <c r="C364" s="182"/>
      <c r="D364" s="182"/>
      <c r="E364" s="182"/>
      <c r="F364" s="182"/>
      <c r="G364" s="182"/>
      <c r="H364" s="182"/>
      <c r="I364" s="182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</row>
    <row r="365" spans="2:22" s="137" customFormat="1" x14ac:dyDescent="0.25">
      <c r="B365" s="182"/>
      <c r="C365" s="182"/>
      <c r="D365" s="182"/>
      <c r="E365" s="182"/>
      <c r="F365" s="182"/>
      <c r="G365" s="182"/>
      <c r="H365" s="182"/>
      <c r="I365" s="182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</row>
    <row r="366" spans="2:22" s="137" customFormat="1" x14ac:dyDescent="0.25">
      <c r="B366" s="182"/>
      <c r="C366" s="182"/>
      <c r="D366" s="182"/>
      <c r="E366" s="182"/>
      <c r="F366" s="182"/>
      <c r="G366" s="182"/>
      <c r="H366" s="182"/>
      <c r="I366" s="182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</row>
    <row r="367" spans="2:22" s="137" customFormat="1" x14ac:dyDescent="0.25">
      <c r="B367" s="182"/>
      <c r="C367" s="182"/>
      <c r="D367" s="182"/>
      <c r="E367" s="182"/>
      <c r="F367" s="182"/>
      <c r="G367" s="182"/>
      <c r="H367" s="182"/>
      <c r="I367" s="182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</row>
    <row r="368" spans="2:22" s="137" customFormat="1" x14ac:dyDescent="0.25">
      <c r="B368" s="182"/>
      <c r="C368" s="182"/>
      <c r="D368" s="182"/>
      <c r="E368" s="182"/>
      <c r="F368" s="182"/>
      <c r="G368" s="182"/>
      <c r="H368" s="182"/>
      <c r="I368" s="182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</row>
    <row r="369" spans="2:22" s="137" customFormat="1" x14ac:dyDescent="0.25">
      <c r="B369" s="182"/>
      <c r="C369" s="182"/>
      <c r="D369" s="182"/>
      <c r="E369" s="182"/>
      <c r="F369" s="182"/>
      <c r="G369" s="182"/>
      <c r="H369" s="182"/>
      <c r="I369" s="182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</row>
    <row r="370" spans="2:22" s="137" customFormat="1" x14ac:dyDescent="0.25">
      <c r="B370" s="182"/>
      <c r="C370" s="182"/>
      <c r="D370" s="182"/>
      <c r="E370" s="182"/>
      <c r="F370" s="182"/>
      <c r="G370" s="182"/>
      <c r="H370" s="182"/>
      <c r="I370" s="182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</row>
    <row r="371" spans="2:22" s="137" customFormat="1" x14ac:dyDescent="0.25">
      <c r="B371" s="182"/>
      <c r="C371" s="182"/>
      <c r="D371" s="182"/>
      <c r="E371" s="182"/>
      <c r="F371" s="182"/>
      <c r="G371" s="182"/>
      <c r="H371" s="182"/>
      <c r="I371" s="182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</row>
    <row r="372" spans="2:22" s="137" customFormat="1" x14ac:dyDescent="0.25">
      <c r="B372" s="182"/>
      <c r="C372" s="182"/>
      <c r="D372" s="182"/>
      <c r="E372" s="182"/>
      <c r="F372" s="182"/>
      <c r="G372" s="182"/>
      <c r="H372" s="182"/>
      <c r="I372" s="182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</row>
    <row r="373" spans="2:22" s="137" customFormat="1" x14ac:dyDescent="0.25">
      <c r="B373" s="182"/>
      <c r="C373" s="182"/>
      <c r="D373" s="182"/>
      <c r="E373" s="182"/>
      <c r="F373" s="182"/>
      <c r="G373" s="182"/>
      <c r="H373" s="182"/>
      <c r="I373" s="182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</row>
    <row r="374" spans="2:22" s="137" customFormat="1" x14ac:dyDescent="0.25">
      <c r="B374" s="182"/>
      <c r="C374" s="182"/>
      <c r="D374" s="182"/>
      <c r="E374" s="182"/>
      <c r="F374" s="182"/>
      <c r="G374" s="182"/>
      <c r="H374" s="182"/>
      <c r="I374" s="182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</row>
    <row r="375" spans="2:22" s="137" customFormat="1" x14ac:dyDescent="0.25">
      <c r="B375" s="182"/>
      <c r="C375" s="182"/>
      <c r="D375" s="182"/>
      <c r="E375" s="182"/>
      <c r="F375" s="182"/>
      <c r="G375" s="182"/>
      <c r="H375" s="182"/>
      <c r="I375" s="182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</row>
    <row r="376" spans="2:22" s="137" customFormat="1" x14ac:dyDescent="0.25">
      <c r="B376" s="182"/>
      <c r="C376" s="182"/>
      <c r="D376" s="182"/>
      <c r="E376" s="182"/>
      <c r="F376" s="182"/>
      <c r="G376" s="182"/>
      <c r="H376" s="182"/>
      <c r="I376" s="182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</row>
    <row r="377" spans="2:22" s="137" customFormat="1" x14ac:dyDescent="0.25">
      <c r="B377" s="182"/>
      <c r="C377" s="182"/>
      <c r="D377" s="182"/>
      <c r="E377" s="182"/>
      <c r="F377" s="182"/>
      <c r="G377" s="182"/>
      <c r="H377" s="182"/>
      <c r="I377" s="182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</row>
    <row r="378" spans="2:22" s="137" customFormat="1" x14ac:dyDescent="0.25">
      <c r="B378" s="182"/>
      <c r="C378" s="182"/>
      <c r="D378" s="182"/>
      <c r="E378" s="182"/>
      <c r="F378" s="182"/>
      <c r="G378" s="182"/>
      <c r="H378" s="182"/>
      <c r="I378" s="182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</row>
    <row r="379" spans="2:22" s="137" customFormat="1" x14ac:dyDescent="0.25">
      <c r="B379" s="182"/>
      <c r="C379" s="182"/>
      <c r="D379" s="182"/>
      <c r="E379" s="182"/>
      <c r="F379" s="182"/>
      <c r="G379" s="182"/>
      <c r="H379" s="182"/>
      <c r="I379" s="182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</row>
    <row r="380" spans="2:22" s="137" customFormat="1" x14ac:dyDescent="0.25">
      <c r="B380" s="182"/>
      <c r="C380" s="182"/>
      <c r="D380" s="182"/>
      <c r="E380" s="182"/>
      <c r="F380" s="182"/>
      <c r="G380" s="182"/>
      <c r="H380" s="182"/>
      <c r="I380" s="182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</row>
    <row r="381" spans="2:22" s="137" customFormat="1" x14ac:dyDescent="0.25">
      <c r="B381" s="182"/>
      <c r="C381" s="182"/>
      <c r="D381" s="182"/>
      <c r="E381" s="182"/>
      <c r="F381" s="182"/>
      <c r="G381" s="182"/>
      <c r="H381" s="182"/>
      <c r="I381" s="182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</row>
    <row r="382" spans="2:22" s="137" customFormat="1" x14ac:dyDescent="0.25">
      <c r="B382" s="182"/>
      <c r="C382" s="182"/>
      <c r="D382" s="182"/>
      <c r="E382" s="182"/>
      <c r="F382" s="182"/>
      <c r="G382" s="182"/>
      <c r="H382" s="182"/>
      <c r="I382" s="182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</row>
    <row r="383" spans="2:22" s="137" customFormat="1" x14ac:dyDescent="0.25">
      <c r="B383" s="182"/>
      <c r="C383" s="182"/>
      <c r="D383" s="182"/>
      <c r="E383" s="182"/>
      <c r="F383" s="182"/>
      <c r="G383" s="182"/>
      <c r="H383" s="182"/>
      <c r="I383" s="182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</row>
    <row r="384" spans="2:22" s="137" customFormat="1" x14ac:dyDescent="0.25">
      <c r="B384" s="182"/>
      <c r="C384" s="182"/>
      <c r="D384" s="182"/>
      <c r="E384" s="182"/>
      <c r="F384" s="182"/>
      <c r="G384" s="182"/>
      <c r="H384" s="182"/>
      <c r="I384" s="182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</row>
    <row r="385" spans="2:22" s="137" customFormat="1" x14ac:dyDescent="0.25">
      <c r="B385" s="182"/>
      <c r="C385" s="182"/>
      <c r="D385" s="182"/>
      <c r="E385" s="182"/>
      <c r="F385" s="182"/>
      <c r="G385" s="182"/>
      <c r="H385" s="182"/>
      <c r="I385" s="182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</row>
    <row r="386" spans="2:22" s="137" customFormat="1" x14ac:dyDescent="0.25">
      <c r="B386" s="182"/>
      <c r="C386" s="182"/>
      <c r="D386" s="182"/>
      <c r="E386" s="182"/>
      <c r="F386" s="182"/>
      <c r="G386" s="182"/>
      <c r="H386" s="182"/>
      <c r="I386" s="182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</row>
    <row r="387" spans="2:22" s="137" customFormat="1" x14ac:dyDescent="0.25">
      <c r="B387" s="182"/>
      <c r="C387" s="182"/>
      <c r="D387" s="182"/>
      <c r="E387" s="182"/>
      <c r="F387" s="182"/>
      <c r="G387" s="182"/>
      <c r="H387" s="182"/>
      <c r="I387" s="182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</row>
    <row r="388" spans="2:22" s="137" customFormat="1" x14ac:dyDescent="0.25">
      <c r="B388" s="182"/>
      <c r="C388" s="182"/>
      <c r="D388" s="182"/>
      <c r="E388" s="182"/>
      <c r="F388" s="182"/>
      <c r="G388" s="182"/>
      <c r="H388" s="182"/>
      <c r="I388" s="182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</row>
    <row r="389" spans="2:22" s="137" customFormat="1" x14ac:dyDescent="0.25">
      <c r="B389" s="182"/>
      <c r="C389" s="182"/>
      <c r="D389" s="182"/>
      <c r="E389" s="182"/>
      <c r="F389" s="182"/>
      <c r="G389" s="182"/>
      <c r="H389" s="182"/>
      <c r="I389" s="182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</row>
    <row r="390" spans="2:22" s="137" customFormat="1" x14ac:dyDescent="0.25">
      <c r="B390" s="182"/>
      <c r="C390" s="182"/>
      <c r="D390" s="182"/>
      <c r="E390" s="182"/>
      <c r="F390" s="182"/>
      <c r="G390" s="182"/>
      <c r="H390" s="182"/>
      <c r="I390" s="182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</row>
    <row r="391" spans="2:22" s="137" customFormat="1" x14ac:dyDescent="0.25">
      <c r="B391" s="182"/>
      <c r="C391" s="182"/>
      <c r="D391" s="182"/>
      <c r="E391" s="182"/>
      <c r="F391" s="182"/>
      <c r="G391" s="182"/>
      <c r="H391" s="182"/>
      <c r="I391" s="182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</row>
    <row r="392" spans="2:22" s="137" customFormat="1" x14ac:dyDescent="0.25">
      <c r="B392" s="182"/>
      <c r="C392" s="182"/>
      <c r="D392" s="182"/>
      <c r="E392" s="182"/>
      <c r="F392" s="182"/>
      <c r="G392" s="182"/>
      <c r="H392" s="182"/>
      <c r="I392" s="182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</row>
    <row r="393" spans="2:22" s="137" customFormat="1" x14ac:dyDescent="0.25">
      <c r="B393" s="182"/>
      <c r="C393" s="182"/>
      <c r="D393" s="182"/>
      <c r="E393" s="182"/>
      <c r="F393" s="182"/>
      <c r="G393" s="182"/>
      <c r="H393" s="182"/>
      <c r="I393" s="182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</row>
    <row r="394" spans="2:22" s="137" customFormat="1" x14ac:dyDescent="0.25">
      <c r="B394" s="182"/>
      <c r="C394" s="182"/>
      <c r="D394" s="182"/>
      <c r="E394" s="182"/>
      <c r="F394" s="182"/>
      <c r="G394" s="182"/>
      <c r="H394" s="182"/>
      <c r="I394" s="182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</row>
    <row r="395" spans="2:22" s="137" customFormat="1" x14ac:dyDescent="0.25">
      <c r="B395" s="182"/>
      <c r="C395" s="182"/>
      <c r="D395" s="182"/>
      <c r="E395" s="182"/>
      <c r="F395" s="182"/>
      <c r="G395" s="182"/>
      <c r="H395" s="182"/>
      <c r="I395" s="182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</row>
    <row r="396" spans="2:22" s="137" customFormat="1" x14ac:dyDescent="0.25">
      <c r="B396" s="182"/>
      <c r="C396" s="182"/>
      <c r="D396" s="182"/>
      <c r="E396" s="182"/>
      <c r="F396" s="182"/>
      <c r="G396" s="182"/>
      <c r="H396" s="182"/>
      <c r="I396" s="182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</row>
    <row r="397" spans="2:22" s="137" customFormat="1" x14ac:dyDescent="0.25">
      <c r="B397" s="182"/>
      <c r="C397" s="182"/>
      <c r="D397" s="182"/>
      <c r="E397" s="182"/>
      <c r="F397" s="182"/>
      <c r="G397" s="182"/>
      <c r="H397" s="182"/>
      <c r="I397" s="182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</row>
    <row r="398" spans="2:22" s="137" customFormat="1" x14ac:dyDescent="0.25">
      <c r="B398" s="182"/>
      <c r="C398" s="182"/>
      <c r="D398" s="182"/>
      <c r="E398" s="182"/>
      <c r="F398" s="182"/>
      <c r="G398" s="182"/>
      <c r="H398" s="182"/>
      <c r="I398" s="182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</row>
    <row r="399" spans="2:22" s="137" customFormat="1" x14ac:dyDescent="0.25">
      <c r="B399" s="182"/>
      <c r="C399" s="182"/>
      <c r="D399" s="182"/>
      <c r="E399" s="182"/>
      <c r="F399" s="182"/>
      <c r="G399" s="182"/>
      <c r="H399" s="182"/>
      <c r="I399" s="182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</row>
    <row r="400" spans="2:22" s="137" customFormat="1" x14ac:dyDescent="0.25">
      <c r="B400" s="182"/>
      <c r="C400" s="182"/>
      <c r="D400" s="182"/>
      <c r="E400" s="182"/>
      <c r="F400" s="182"/>
      <c r="G400" s="182"/>
      <c r="H400" s="182"/>
      <c r="I400" s="182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</row>
    <row r="401" spans="2:22" s="137" customFormat="1" x14ac:dyDescent="0.25">
      <c r="B401" s="182"/>
      <c r="C401" s="182"/>
      <c r="D401" s="182"/>
      <c r="E401" s="182"/>
      <c r="F401" s="182"/>
      <c r="G401" s="182"/>
      <c r="H401" s="182"/>
      <c r="I401" s="182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</row>
    <row r="402" spans="2:22" s="137" customFormat="1" x14ac:dyDescent="0.25">
      <c r="B402" s="182"/>
      <c r="C402" s="182"/>
      <c r="D402" s="182"/>
      <c r="E402" s="182"/>
      <c r="F402" s="182"/>
      <c r="G402" s="182"/>
      <c r="H402" s="182"/>
      <c r="I402" s="182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</row>
    <row r="403" spans="2:22" s="137" customFormat="1" x14ac:dyDescent="0.25">
      <c r="B403" s="182"/>
      <c r="C403" s="182"/>
      <c r="D403" s="182"/>
      <c r="E403" s="182"/>
      <c r="F403" s="182"/>
      <c r="G403" s="182"/>
      <c r="H403" s="182"/>
      <c r="I403" s="182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</row>
    <row r="404" spans="2:22" s="137" customFormat="1" x14ac:dyDescent="0.25">
      <c r="B404" s="182"/>
      <c r="C404" s="182"/>
      <c r="D404" s="182"/>
      <c r="E404" s="182"/>
      <c r="F404" s="182"/>
      <c r="G404" s="182"/>
      <c r="H404" s="182"/>
      <c r="I404" s="182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</row>
    <row r="405" spans="2:22" s="137" customFormat="1" x14ac:dyDescent="0.25">
      <c r="B405" s="182"/>
      <c r="C405" s="182"/>
      <c r="D405" s="182"/>
      <c r="E405" s="182"/>
      <c r="F405" s="182"/>
      <c r="G405" s="182"/>
      <c r="H405" s="182"/>
      <c r="I405" s="182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</row>
    <row r="406" spans="2:22" s="137" customFormat="1" x14ac:dyDescent="0.25">
      <c r="B406" s="182"/>
      <c r="C406" s="182"/>
      <c r="D406" s="182"/>
      <c r="E406" s="182"/>
      <c r="F406" s="182"/>
      <c r="G406" s="182"/>
      <c r="H406" s="182"/>
      <c r="I406" s="182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</row>
    <row r="407" spans="2:22" s="137" customFormat="1" x14ac:dyDescent="0.25">
      <c r="B407" s="182"/>
      <c r="C407" s="182"/>
      <c r="D407" s="182"/>
      <c r="E407" s="182"/>
      <c r="F407" s="182"/>
      <c r="G407" s="182"/>
      <c r="H407" s="182"/>
      <c r="I407" s="182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</row>
    <row r="408" spans="2:22" s="137" customFormat="1" x14ac:dyDescent="0.25">
      <c r="B408" s="182"/>
      <c r="C408" s="182"/>
      <c r="D408" s="182"/>
      <c r="E408" s="182"/>
      <c r="F408" s="182"/>
      <c r="G408" s="182"/>
      <c r="H408" s="182"/>
      <c r="I408" s="182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</row>
    <row r="409" spans="2:22" s="137" customFormat="1" x14ac:dyDescent="0.25">
      <c r="B409" s="182"/>
      <c r="C409" s="182"/>
      <c r="D409" s="182"/>
      <c r="E409" s="182"/>
      <c r="F409" s="182"/>
      <c r="G409" s="182"/>
      <c r="H409" s="182"/>
      <c r="I409" s="182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</row>
    <row r="410" spans="2:22" s="137" customFormat="1" x14ac:dyDescent="0.25">
      <c r="B410" s="182"/>
      <c r="C410" s="182"/>
      <c r="D410" s="182"/>
      <c r="E410" s="182"/>
      <c r="F410" s="182"/>
      <c r="G410" s="182"/>
      <c r="H410" s="182"/>
      <c r="I410" s="182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</row>
    <row r="411" spans="2:22" s="137" customFormat="1" x14ac:dyDescent="0.25">
      <c r="B411" s="182"/>
      <c r="C411" s="182"/>
      <c r="D411" s="182"/>
      <c r="E411" s="182"/>
      <c r="F411" s="182"/>
      <c r="G411" s="182"/>
      <c r="H411" s="182"/>
      <c r="I411" s="182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</row>
    <row r="412" spans="2:22" s="137" customFormat="1" x14ac:dyDescent="0.25">
      <c r="B412" s="182"/>
      <c r="C412" s="182"/>
      <c r="D412" s="182"/>
      <c r="E412" s="182"/>
      <c r="F412" s="182"/>
      <c r="G412" s="182"/>
      <c r="H412" s="182"/>
      <c r="I412" s="182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</row>
    <row r="413" spans="2:22" s="137" customFormat="1" x14ac:dyDescent="0.25">
      <c r="B413" s="182"/>
      <c r="C413" s="182"/>
      <c r="D413" s="182"/>
      <c r="E413" s="182"/>
      <c r="F413" s="182"/>
      <c r="G413" s="182"/>
      <c r="H413" s="182"/>
      <c r="I413" s="182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</row>
    <row r="414" spans="2:22" s="137" customFormat="1" x14ac:dyDescent="0.25">
      <c r="B414" s="182"/>
      <c r="C414" s="182"/>
      <c r="D414" s="182"/>
      <c r="E414" s="182"/>
      <c r="F414" s="182"/>
      <c r="G414" s="182"/>
      <c r="H414" s="182"/>
      <c r="I414" s="182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</row>
    <row r="415" spans="2:22" s="137" customFormat="1" x14ac:dyDescent="0.25">
      <c r="B415" s="182"/>
      <c r="C415" s="182"/>
      <c r="D415" s="182"/>
      <c r="E415" s="182"/>
      <c r="F415" s="182"/>
      <c r="G415" s="182"/>
      <c r="H415" s="182"/>
      <c r="I415" s="182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</row>
    <row r="416" spans="2:22" s="137" customFormat="1" x14ac:dyDescent="0.25">
      <c r="B416" s="182"/>
      <c r="C416" s="182"/>
      <c r="D416" s="182"/>
      <c r="E416" s="182"/>
      <c r="F416" s="182"/>
      <c r="G416" s="182"/>
      <c r="H416" s="182"/>
      <c r="I416" s="182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</row>
    <row r="417" spans="2:22" s="137" customFormat="1" x14ac:dyDescent="0.25">
      <c r="B417" s="182"/>
      <c r="C417" s="182"/>
      <c r="D417" s="182"/>
      <c r="E417" s="182"/>
      <c r="F417" s="182"/>
      <c r="G417" s="182"/>
      <c r="H417" s="182"/>
      <c r="I417" s="182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</row>
    <row r="418" spans="2:22" s="137" customFormat="1" x14ac:dyDescent="0.25">
      <c r="B418" s="182"/>
      <c r="C418" s="182"/>
      <c r="D418" s="182"/>
      <c r="E418" s="182"/>
      <c r="F418" s="182"/>
      <c r="G418" s="182"/>
      <c r="H418" s="182"/>
      <c r="I418" s="182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</row>
    <row r="419" spans="2:22" s="137" customFormat="1" x14ac:dyDescent="0.25">
      <c r="B419" s="182"/>
      <c r="C419" s="182"/>
      <c r="D419" s="182"/>
      <c r="E419" s="182"/>
      <c r="F419" s="182"/>
      <c r="G419" s="182"/>
      <c r="H419" s="182"/>
      <c r="I419" s="182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</row>
    <row r="420" spans="2:22" s="137" customFormat="1" x14ac:dyDescent="0.25">
      <c r="B420" s="182"/>
      <c r="C420" s="182"/>
      <c r="D420" s="182"/>
      <c r="E420" s="182"/>
      <c r="F420" s="182"/>
      <c r="G420" s="182"/>
      <c r="H420" s="182"/>
      <c r="I420" s="182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</row>
    <row r="421" spans="2:22" s="137" customFormat="1" x14ac:dyDescent="0.25">
      <c r="B421" s="182"/>
      <c r="C421" s="182"/>
      <c r="D421" s="182"/>
      <c r="E421" s="182"/>
      <c r="F421" s="182"/>
      <c r="G421" s="182"/>
      <c r="H421" s="182"/>
      <c r="I421" s="182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</row>
    <row r="422" spans="2:22" s="137" customFormat="1" x14ac:dyDescent="0.25">
      <c r="B422" s="182"/>
      <c r="C422" s="182"/>
      <c r="D422" s="182"/>
      <c r="E422" s="182"/>
      <c r="F422" s="182"/>
      <c r="G422" s="182"/>
      <c r="H422" s="182"/>
      <c r="I422" s="182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</row>
    <row r="423" spans="2:22" s="137" customFormat="1" x14ac:dyDescent="0.25">
      <c r="B423" s="182"/>
      <c r="C423" s="182"/>
      <c r="D423" s="182"/>
      <c r="E423" s="182"/>
      <c r="F423" s="182"/>
      <c r="G423" s="182"/>
      <c r="H423" s="182"/>
      <c r="I423" s="182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</row>
    <row r="424" spans="2:22" s="137" customFormat="1" x14ac:dyDescent="0.25">
      <c r="B424" s="182"/>
      <c r="C424" s="182"/>
      <c r="D424" s="182"/>
      <c r="E424" s="182"/>
      <c r="F424" s="182"/>
      <c r="G424" s="182"/>
      <c r="H424" s="182"/>
      <c r="I424" s="182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</row>
    <row r="425" spans="2:22" s="137" customFormat="1" x14ac:dyDescent="0.25">
      <c r="B425" s="182"/>
      <c r="C425" s="182"/>
      <c r="D425" s="182"/>
      <c r="E425" s="182"/>
      <c r="F425" s="182"/>
      <c r="G425" s="182"/>
      <c r="H425" s="182"/>
      <c r="I425" s="182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</row>
    <row r="426" spans="2:22" s="137" customFormat="1" x14ac:dyDescent="0.25">
      <c r="B426" s="182"/>
      <c r="C426" s="182"/>
      <c r="D426" s="182"/>
      <c r="E426" s="182"/>
      <c r="F426" s="182"/>
      <c r="G426" s="182"/>
      <c r="H426" s="182"/>
      <c r="I426" s="182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</row>
    <row r="427" spans="2:22" s="137" customFormat="1" x14ac:dyDescent="0.25">
      <c r="B427" s="182"/>
      <c r="C427" s="182"/>
      <c r="D427" s="182"/>
      <c r="E427" s="182"/>
      <c r="F427" s="182"/>
      <c r="G427" s="182"/>
      <c r="H427" s="182"/>
      <c r="I427" s="182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</row>
    <row r="428" spans="2:22" s="137" customFormat="1" x14ac:dyDescent="0.25">
      <c r="B428" s="182"/>
      <c r="C428" s="182"/>
      <c r="D428" s="182"/>
      <c r="E428" s="182"/>
      <c r="F428" s="182"/>
      <c r="G428" s="182"/>
      <c r="H428" s="182"/>
      <c r="I428" s="182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</row>
    <row r="429" spans="2:22" s="137" customFormat="1" x14ac:dyDescent="0.25">
      <c r="B429" s="182"/>
      <c r="C429" s="182"/>
      <c r="D429" s="182"/>
      <c r="E429" s="182"/>
      <c r="F429" s="182"/>
      <c r="G429" s="182"/>
      <c r="H429" s="182"/>
      <c r="I429" s="182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</row>
    <row r="430" spans="2:22" s="137" customFormat="1" x14ac:dyDescent="0.25">
      <c r="B430" s="182"/>
      <c r="C430" s="182"/>
      <c r="D430" s="182"/>
      <c r="E430" s="182"/>
      <c r="F430" s="182"/>
      <c r="G430" s="182"/>
      <c r="H430" s="182"/>
      <c r="I430" s="182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</row>
    <row r="431" spans="2:22" s="137" customFormat="1" x14ac:dyDescent="0.25">
      <c r="B431" s="182"/>
      <c r="C431" s="182"/>
      <c r="D431" s="182"/>
      <c r="E431" s="182"/>
      <c r="F431" s="182"/>
      <c r="G431" s="182"/>
      <c r="H431" s="182"/>
      <c r="I431" s="182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</row>
    <row r="432" spans="2:22" s="137" customFormat="1" x14ac:dyDescent="0.25">
      <c r="B432" s="182"/>
      <c r="C432" s="182"/>
      <c r="D432" s="182"/>
      <c r="E432" s="182"/>
      <c r="F432" s="182"/>
      <c r="G432" s="182"/>
      <c r="H432" s="182"/>
      <c r="I432" s="182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</row>
    <row r="433" spans="2:22" s="137" customFormat="1" x14ac:dyDescent="0.25">
      <c r="B433" s="182"/>
      <c r="C433" s="182"/>
      <c r="D433" s="182"/>
      <c r="E433" s="182"/>
      <c r="F433" s="182"/>
      <c r="G433" s="182"/>
      <c r="H433" s="182"/>
      <c r="I433" s="182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</row>
    <row r="434" spans="2:22" s="137" customFormat="1" x14ac:dyDescent="0.25">
      <c r="B434" s="182"/>
      <c r="C434" s="182"/>
      <c r="D434" s="182"/>
      <c r="E434" s="182"/>
      <c r="F434" s="182"/>
      <c r="G434" s="182"/>
      <c r="H434" s="182"/>
      <c r="I434" s="182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</row>
    <row r="435" spans="2:22" s="137" customFormat="1" x14ac:dyDescent="0.25">
      <c r="B435" s="182"/>
      <c r="C435" s="182"/>
      <c r="D435" s="182"/>
      <c r="E435" s="182"/>
      <c r="F435" s="182"/>
      <c r="G435" s="182"/>
      <c r="H435" s="182"/>
      <c r="I435" s="182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</row>
    <row r="436" spans="2:22" s="137" customFormat="1" x14ac:dyDescent="0.25">
      <c r="B436" s="182"/>
      <c r="C436" s="182"/>
      <c r="D436" s="182"/>
      <c r="E436" s="182"/>
      <c r="F436" s="182"/>
      <c r="G436" s="182"/>
      <c r="H436" s="182"/>
      <c r="I436" s="182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</row>
    <row r="437" spans="2:22" s="137" customFormat="1" x14ac:dyDescent="0.25">
      <c r="B437" s="182"/>
      <c r="C437" s="182"/>
      <c r="D437" s="182"/>
      <c r="E437" s="182"/>
      <c r="F437" s="182"/>
      <c r="G437" s="182"/>
      <c r="H437" s="182"/>
      <c r="I437" s="182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</row>
    <row r="438" spans="2:22" s="137" customFormat="1" x14ac:dyDescent="0.25">
      <c r="B438" s="182"/>
      <c r="C438" s="182"/>
      <c r="D438" s="182"/>
      <c r="E438" s="182"/>
      <c r="F438" s="182"/>
      <c r="G438" s="182"/>
      <c r="H438" s="182"/>
      <c r="I438" s="182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</row>
    <row r="439" spans="2:22" s="137" customFormat="1" x14ac:dyDescent="0.25">
      <c r="B439" s="182"/>
      <c r="C439" s="182"/>
      <c r="D439" s="182"/>
      <c r="E439" s="182"/>
      <c r="F439" s="182"/>
      <c r="G439" s="182"/>
      <c r="H439" s="182"/>
      <c r="I439" s="182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</row>
    <row r="440" spans="2:22" s="137" customFormat="1" x14ac:dyDescent="0.25">
      <c r="B440" s="182"/>
      <c r="C440" s="182"/>
      <c r="D440" s="182"/>
      <c r="E440" s="182"/>
      <c r="F440" s="182"/>
      <c r="G440" s="182"/>
      <c r="H440" s="182"/>
      <c r="I440" s="182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</row>
    <row r="441" spans="2:22" s="137" customFormat="1" x14ac:dyDescent="0.25">
      <c r="B441" s="182"/>
      <c r="C441" s="182"/>
      <c r="D441" s="182"/>
      <c r="E441" s="182"/>
      <c r="F441" s="182"/>
      <c r="G441" s="182"/>
      <c r="H441" s="182"/>
      <c r="I441" s="182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</row>
    <row r="442" spans="2:22" s="137" customFormat="1" x14ac:dyDescent="0.25">
      <c r="B442" s="182"/>
      <c r="C442" s="182"/>
      <c r="D442" s="182"/>
      <c r="E442" s="182"/>
      <c r="F442" s="182"/>
      <c r="G442" s="182"/>
      <c r="H442" s="182"/>
      <c r="I442" s="182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</row>
    <row r="443" spans="2:22" s="137" customFormat="1" x14ac:dyDescent="0.25">
      <c r="B443" s="182"/>
      <c r="C443" s="182"/>
      <c r="D443" s="182"/>
      <c r="E443" s="182"/>
      <c r="F443" s="182"/>
      <c r="G443" s="182"/>
      <c r="H443" s="182"/>
      <c r="I443" s="182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</row>
    <row r="444" spans="2:22" s="137" customFormat="1" x14ac:dyDescent="0.25">
      <c r="B444" s="182"/>
      <c r="C444" s="182"/>
      <c r="D444" s="182"/>
      <c r="E444" s="182"/>
      <c r="F444" s="182"/>
      <c r="G444" s="182"/>
      <c r="H444" s="182"/>
      <c r="I444" s="182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</row>
    <row r="445" spans="2:22" s="137" customFormat="1" x14ac:dyDescent="0.25">
      <c r="B445" s="182"/>
      <c r="C445" s="182"/>
      <c r="D445" s="182"/>
      <c r="E445" s="182"/>
      <c r="F445" s="182"/>
      <c r="G445" s="182"/>
      <c r="H445" s="182"/>
      <c r="I445" s="182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</row>
    <row r="446" spans="2:22" s="137" customFormat="1" x14ac:dyDescent="0.25">
      <c r="B446" s="182"/>
      <c r="C446" s="182"/>
      <c r="D446" s="182"/>
      <c r="E446" s="182"/>
      <c r="F446" s="182"/>
      <c r="G446" s="182"/>
      <c r="H446" s="182"/>
      <c r="I446" s="182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</row>
    <row r="447" spans="2:22" s="137" customFormat="1" x14ac:dyDescent="0.25">
      <c r="B447" s="182"/>
      <c r="C447" s="182"/>
      <c r="D447" s="182"/>
      <c r="E447" s="182"/>
      <c r="F447" s="182"/>
      <c r="G447" s="182"/>
      <c r="H447" s="182"/>
      <c r="I447" s="182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</row>
    <row r="448" spans="2:22" s="137" customFormat="1" x14ac:dyDescent="0.25">
      <c r="B448" s="182"/>
      <c r="C448" s="182"/>
      <c r="D448" s="182"/>
      <c r="E448" s="182"/>
      <c r="F448" s="182"/>
      <c r="G448" s="182"/>
      <c r="H448" s="182"/>
      <c r="I448" s="182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</row>
    <row r="449" spans="2:22" s="137" customFormat="1" x14ac:dyDescent="0.25">
      <c r="B449" s="182"/>
      <c r="C449" s="182"/>
      <c r="D449" s="182"/>
      <c r="E449" s="182"/>
      <c r="F449" s="182"/>
      <c r="G449" s="182"/>
      <c r="H449" s="182"/>
      <c r="I449" s="182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</row>
    <row r="450" spans="2:22" s="137" customFormat="1" x14ac:dyDescent="0.25">
      <c r="B450" s="182"/>
      <c r="C450" s="182"/>
      <c r="D450" s="182"/>
      <c r="E450" s="182"/>
      <c r="F450" s="182"/>
      <c r="G450" s="182"/>
      <c r="H450" s="182"/>
      <c r="I450" s="182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</row>
    <row r="451" spans="2:22" s="137" customFormat="1" x14ac:dyDescent="0.25">
      <c r="B451" s="182"/>
      <c r="C451" s="182"/>
      <c r="D451" s="182"/>
      <c r="E451" s="182"/>
      <c r="F451" s="182"/>
      <c r="G451" s="182"/>
      <c r="H451" s="182"/>
      <c r="I451" s="182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</row>
    <row r="452" spans="2:22" s="137" customFormat="1" x14ac:dyDescent="0.25">
      <c r="B452" s="182"/>
      <c r="C452" s="182"/>
      <c r="D452" s="182"/>
      <c r="E452" s="182"/>
      <c r="F452" s="182"/>
      <c r="G452" s="182"/>
      <c r="H452" s="182"/>
      <c r="I452" s="182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</row>
    <row r="453" spans="2:22" s="137" customFormat="1" x14ac:dyDescent="0.25">
      <c r="B453" s="182"/>
      <c r="C453" s="182"/>
      <c r="D453" s="182"/>
      <c r="E453" s="182"/>
      <c r="F453" s="182"/>
      <c r="G453" s="182"/>
      <c r="H453" s="182"/>
      <c r="I453" s="182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</row>
    <row r="454" spans="2:22" s="137" customFormat="1" x14ac:dyDescent="0.25">
      <c r="B454" s="182"/>
      <c r="C454" s="182"/>
      <c r="D454" s="182"/>
      <c r="E454" s="182"/>
      <c r="F454" s="182"/>
      <c r="G454" s="182"/>
      <c r="H454" s="182"/>
      <c r="I454" s="182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F6BD11B-2185-4080-A3E0-2AE78AF1B1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Diesel!S84:S95</xm:f>
              <xm:sqref>S96</xm:sqref>
            </x14:sparkline>
            <x14:sparkline>
              <xm:f>Diesel!R84:R95</xm:f>
              <xm:sqref>R96</xm:sqref>
            </x14:sparkline>
            <x14:sparkline>
              <xm:f>Diesel!Q84:Q95</xm:f>
              <xm:sqref>Q96</xm:sqref>
            </x14:sparkline>
            <x14:sparkline>
              <xm:f>Diesel!P84:P95</xm:f>
              <xm:sqref>P96</xm:sqref>
            </x14:sparkline>
            <x14:sparkline>
              <xm:f>Diesel!O84:O95</xm:f>
              <xm:sqref>O96</xm:sqref>
            </x14:sparkline>
            <x14:sparkline>
              <xm:f>Diesel!N84:N95</xm:f>
              <xm:sqref>N96</xm:sqref>
            </x14:sparkline>
            <x14:sparkline>
              <xm:f>Diesel!M84:M95</xm:f>
              <xm:sqref>M96</xm:sqref>
            </x14:sparkline>
            <x14:sparkline>
              <xm:f>Diesel!L84:L95</xm:f>
              <xm:sqref>L96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 Sources</vt:lpstr>
      <vt:lpstr>Capacity</vt:lpstr>
      <vt:lpstr>annual_data</vt:lpstr>
      <vt:lpstr>monthly_data</vt:lpstr>
      <vt:lpstr>BD</vt:lpstr>
      <vt:lpstr>RD</vt:lpstr>
      <vt:lpstr>SAF</vt:lpstr>
      <vt:lpstr>Jet Fuel</vt:lpstr>
      <vt:lpstr>Diesel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2025-07-08T13:02:40Z</dcterms:created>
  <dcterms:modified xsi:type="dcterms:W3CDTF">2025-07-08T13:03:30Z</dcterms:modified>
</cp:coreProperties>
</file>