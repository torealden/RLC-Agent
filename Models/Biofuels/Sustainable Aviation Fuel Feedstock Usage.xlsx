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orem\Dropbox\RLC Documents\Models\Biofuels\"/>
    </mc:Choice>
  </mc:AlternateContent>
  <xr:revisionPtr revIDLastSave="0" documentId="13_ncr:1_{F385F324-A64C-4DC8-B10F-8400202E6DF4}" xr6:coauthVersionLast="47" xr6:coauthVersionMax="47" xr10:uidLastSave="{00000000-0000-0000-0000-000000000000}"/>
  <bookViews>
    <workbookView xWindow="-25785" yWindow="1410" windowWidth="24795" windowHeight="14970" activeTab="4" xr2:uid="{E178CDD8-0A32-4621-900B-D9B81A89DF7A}"/>
  </bookViews>
  <sheets>
    <sheet name="Offtake Announcements" sheetId="1" r:id="rId1"/>
    <sheet name="Offtake Agreements" sheetId="2" r:id="rId2"/>
    <sheet name="Other SAF Agreements" sheetId="3" r:id="rId3"/>
    <sheet name="Investments" sheetId="4" r:id="rId4"/>
    <sheet name="Sheet1" sheetId="5" r:id="rId5"/>
    <sheet name="Mandates" sheetId="6" r:id="rId6"/>
    <sheet name="US State Incentives" sheetId="7" r:id="rId7"/>
  </sheets>
  <definedNames>
    <definedName name="_xlnm._FilterDatabase" localSheetId="3" hidden="1">Investments!$A$1:$H$1</definedName>
    <definedName name="_xlnm._FilterDatabase" localSheetId="5" hidden="1">Mandates!$A$1:$H$45</definedName>
    <definedName name="_xlnm._FilterDatabase" localSheetId="1" hidden="1">'Offtake Agreements'!$A$1:$H$155</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9" i="2" l="1"/>
  <c r="M149" i="2"/>
  <c r="O149" i="2" s="1"/>
  <c r="J149" i="2"/>
  <c r="I149" i="2"/>
  <c r="J148" i="2"/>
  <c r="I148" i="2"/>
  <c r="J147" i="2"/>
  <c r="I147" i="2"/>
  <c r="J146" i="2"/>
  <c r="I146" i="2"/>
  <c r="J145" i="2"/>
  <c r="I145" i="2"/>
  <c r="N144" i="2"/>
  <c r="M144" i="2"/>
  <c r="O144" i="2" s="1"/>
  <c r="J144" i="2"/>
  <c r="I144" i="2"/>
  <c r="N143" i="2"/>
  <c r="M143" i="2"/>
  <c r="O143" i="2" s="1"/>
  <c r="J143" i="2"/>
  <c r="I143" i="2"/>
  <c r="N142" i="2"/>
  <c r="M142" i="2"/>
  <c r="O142" i="2" s="1"/>
  <c r="J142" i="2"/>
  <c r="I142" i="2"/>
  <c r="N141" i="2"/>
  <c r="M141" i="2"/>
  <c r="O141" i="2" s="1"/>
  <c r="J141" i="2"/>
  <c r="I141" i="2"/>
  <c r="N140" i="2"/>
  <c r="M140" i="2"/>
  <c r="O140" i="2" s="1"/>
  <c r="J140" i="2"/>
  <c r="I140" i="2"/>
  <c r="N139" i="2"/>
  <c r="M139" i="2"/>
  <c r="O139" i="2" s="1"/>
  <c r="J139" i="2"/>
  <c r="I139" i="2"/>
  <c r="F139" i="2"/>
  <c r="N138" i="2"/>
  <c r="M138" i="2"/>
  <c r="O138" i="2" s="1"/>
  <c r="J138" i="2"/>
  <c r="I138" i="2"/>
  <c r="N137" i="2"/>
  <c r="M137" i="2"/>
  <c r="O137" i="2" s="1"/>
  <c r="J137" i="2"/>
  <c r="I137" i="2"/>
  <c r="N136" i="2"/>
  <c r="M136" i="2"/>
  <c r="O136" i="2" s="1"/>
  <c r="J136" i="2"/>
  <c r="I136" i="2"/>
  <c r="N135" i="2"/>
  <c r="M135" i="2"/>
  <c r="O135" i="2" s="1"/>
  <c r="J135" i="2"/>
  <c r="I135" i="2"/>
  <c r="N134" i="2"/>
  <c r="M134" i="2"/>
  <c r="O134" i="2" s="1"/>
  <c r="J134" i="2"/>
  <c r="I134" i="2"/>
  <c r="F134" i="2"/>
  <c r="N133" i="2"/>
  <c r="M133" i="2"/>
  <c r="O133" i="2" s="1"/>
  <c r="J133" i="2"/>
  <c r="I133" i="2"/>
  <c r="N132" i="2"/>
  <c r="M132" i="2"/>
  <c r="O132" i="2" s="1"/>
  <c r="J132" i="2"/>
  <c r="I132" i="2"/>
  <c r="N131" i="2"/>
  <c r="M131" i="2"/>
  <c r="O131" i="2" s="1"/>
  <c r="J131" i="2"/>
  <c r="I131" i="2"/>
  <c r="O130" i="2"/>
  <c r="N130" i="2"/>
  <c r="M130" i="2"/>
  <c r="J130" i="2"/>
  <c r="I130" i="2"/>
  <c r="N129" i="2"/>
  <c r="M129" i="2"/>
  <c r="O129" i="2" s="1"/>
  <c r="J129" i="2"/>
  <c r="I129" i="2"/>
  <c r="F129" i="2"/>
  <c r="N128" i="2"/>
  <c r="M128" i="2"/>
  <c r="O128" i="2" s="1"/>
  <c r="J128" i="2"/>
  <c r="I128" i="2"/>
  <c r="N127" i="2"/>
  <c r="M127" i="2"/>
  <c r="O127" i="2" s="1"/>
  <c r="J127" i="2"/>
  <c r="I127" i="2"/>
  <c r="N126" i="2"/>
  <c r="O126" i="2" s="1"/>
  <c r="M126" i="2"/>
  <c r="J126" i="2"/>
  <c r="I126" i="2"/>
  <c r="F126" i="2"/>
  <c r="N125" i="2"/>
  <c r="M125" i="2"/>
  <c r="O125" i="2" s="1"/>
  <c r="J125" i="2"/>
  <c r="I125" i="2"/>
  <c r="N124" i="2"/>
  <c r="M124" i="2"/>
  <c r="O124" i="2" s="1"/>
  <c r="J124" i="2"/>
  <c r="I124" i="2"/>
  <c r="N123" i="2"/>
  <c r="M123" i="2"/>
  <c r="O123" i="2" s="1"/>
  <c r="J123" i="2"/>
  <c r="I123" i="2"/>
  <c r="F123" i="2"/>
  <c r="N122" i="2"/>
  <c r="O122" i="2" s="1"/>
  <c r="M122" i="2"/>
  <c r="J122" i="2"/>
  <c r="I122" i="2"/>
  <c r="F122" i="2"/>
  <c r="N121" i="2"/>
  <c r="M121" i="2"/>
  <c r="O121" i="2" s="1"/>
  <c r="J121" i="2"/>
  <c r="I121" i="2"/>
  <c r="F121" i="2"/>
  <c r="N120" i="2"/>
  <c r="M120" i="2"/>
  <c r="O120" i="2" s="1"/>
  <c r="J120" i="2"/>
  <c r="I120" i="2"/>
  <c r="N119" i="2"/>
  <c r="M119" i="2"/>
  <c r="O119" i="2" s="1"/>
  <c r="J119" i="2"/>
  <c r="I119" i="2"/>
  <c r="N118" i="2"/>
  <c r="O118" i="2" s="1"/>
  <c r="M118" i="2"/>
  <c r="J118" i="2"/>
  <c r="I118" i="2"/>
  <c r="N117" i="2"/>
  <c r="M117" i="2"/>
  <c r="J117" i="2"/>
  <c r="I117" i="2"/>
  <c r="N116" i="2"/>
  <c r="M116" i="2"/>
  <c r="O116" i="2" s="1"/>
  <c r="J116" i="2"/>
  <c r="I116" i="2"/>
  <c r="F116" i="2"/>
  <c r="N115" i="2"/>
  <c r="M115" i="2"/>
  <c r="O115" i="2" s="1"/>
  <c r="J115" i="2"/>
  <c r="I115" i="2"/>
  <c r="F115" i="2"/>
  <c r="N114" i="2"/>
  <c r="O114" i="2" s="1"/>
  <c r="M114" i="2"/>
  <c r="J114" i="2"/>
  <c r="I114" i="2"/>
  <c r="N113" i="2"/>
  <c r="M113" i="2"/>
  <c r="J113" i="2"/>
  <c r="I113" i="2"/>
  <c r="F113" i="2"/>
  <c r="N112" i="2"/>
  <c r="M112" i="2"/>
  <c r="O112" i="2" s="1"/>
  <c r="J112" i="2"/>
  <c r="I112" i="2"/>
  <c r="N111" i="2"/>
  <c r="M111" i="2"/>
  <c r="O111" i="2" s="1"/>
  <c r="J111" i="2"/>
  <c r="I111" i="2"/>
  <c r="N110" i="2"/>
  <c r="M110" i="2"/>
  <c r="O110" i="2" s="1"/>
  <c r="J110" i="2"/>
  <c r="I110" i="2"/>
  <c r="N109" i="2"/>
  <c r="M109" i="2"/>
  <c r="O109" i="2" s="1"/>
  <c r="J109" i="2"/>
  <c r="I109" i="2"/>
  <c r="F109" i="2"/>
  <c r="N108" i="2"/>
  <c r="M108" i="2"/>
  <c r="O108" i="2" s="1"/>
  <c r="J108" i="2"/>
  <c r="I108" i="2"/>
  <c r="F108" i="2"/>
  <c r="N107" i="2"/>
  <c r="M107" i="2"/>
  <c r="O107" i="2" s="1"/>
  <c r="J107" i="2"/>
  <c r="I107" i="2"/>
  <c r="N106" i="2"/>
  <c r="M106" i="2"/>
  <c r="O106" i="2" s="1"/>
  <c r="J106" i="2"/>
  <c r="I106" i="2"/>
  <c r="N105" i="2"/>
  <c r="M105" i="2"/>
  <c r="O105" i="2" s="1"/>
  <c r="J105" i="2"/>
  <c r="I105" i="2"/>
  <c r="F105" i="2"/>
  <c r="N104" i="2"/>
  <c r="M104" i="2"/>
  <c r="O104" i="2" s="1"/>
  <c r="J104" i="2"/>
  <c r="I104" i="2"/>
  <c r="N103" i="2"/>
  <c r="M103" i="2"/>
  <c r="O103" i="2" s="1"/>
  <c r="J103" i="2"/>
  <c r="I103" i="2"/>
  <c r="N102" i="2"/>
  <c r="M102" i="2"/>
  <c r="O102" i="2" s="1"/>
  <c r="J102" i="2"/>
  <c r="I102" i="2"/>
  <c r="F102" i="2"/>
  <c r="N101" i="2"/>
  <c r="M101" i="2"/>
  <c r="O101" i="2" s="1"/>
  <c r="J101" i="2"/>
  <c r="I101" i="2"/>
  <c r="N100" i="2"/>
  <c r="M100" i="2"/>
  <c r="O100" i="2" s="1"/>
  <c r="J100" i="2"/>
  <c r="I100" i="2"/>
  <c r="N99" i="2"/>
  <c r="M99" i="2"/>
  <c r="O99" i="2" s="1"/>
  <c r="J99" i="2"/>
  <c r="I99" i="2"/>
  <c r="F99" i="2"/>
  <c r="N98" i="2"/>
  <c r="M98" i="2"/>
  <c r="O98" i="2" s="1"/>
  <c r="J98" i="2"/>
  <c r="I98" i="2"/>
  <c r="N97" i="2"/>
  <c r="M97" i="2"/>
  <c r="O97" i="2" s="1"/>
  <c r="J97" i="2"/>
  <c r="I97" i="2"/>
  <c r="F97" i="2"/>
  <c r="N96" i="2"/>
  <c r="M96" i="2"/>
  <c r="O96" i="2" s="1"/>
  <c r="J96" i="2"/>
  <c r="I96" i="2"/>
  <c r="N95" i="2"/>
  <c r="M95" i="2"/>
  <c r="O95" i="2" s="1"/>
  <c r="J95" i="2"/>
  <c r="I95" i="2"/>
  <c r="N94" i="2"/>
  <c r="M94" i="2"/>
  <c r="O94" i="2" s="1"/>
  <c r="J94" i="2"/>
  <c r="I94" i="2"/>
  <c r="N93" i="2"/>
  <c r="M93" i="2"/>
  <c r="O93" i="2" s="1"/>
  <c r="J93" i="2"/>
  <c r="I93" i="2"/>
  <c r="F93" i="2"/>
  <c r="N92" i="2"/>
  <c r="M92" i="2"/>
  <c r="O92" i="2" s="1"/>
  <c r="J92" i="2"/>
  <c r="I92" i="2"/>
  <c r="N91" i="2"/>
  <c r="M91" i="2"/>
  <c r="O91" i="2" s="1"/>
  <c r="J91" i="2"/>
  <c r="I91" i="2"/>
  <c r="F91" i="2"/>
  <c r="N90" i="2"/>
  <c r="M90" i="2"/>
  <c r="O90" i="2" s="1"/>
  <c r="J90" i="2"/>
  <c r="I90" i="2"/>
  <c r="F90" i="2"/>
  <c r="N89" i="2"/>
  <c r="M89" i="2"/>
  <c r="O89" i="2" s="1"/>
  <c r="J89" i="2"/>
  <c r="I89" i="2"/>
  <c r="N88" i="2"/>
  <c r="M88" i="2"/>
  <c r="O88" i="2" s="1"/>
  <c r="J88" i="2"/>
  <c r="I88" i="2"/>
  <c r="F88" i="2"/>
  <c r="N87" i="2"/>
  <c r="M87" i="2"/>
  <c r="O87" i="2" s="1"/>
  <c r="J87" i="2"/>
  <c r="I87" i="2"/>
  <c r="N86" i="2"/>
  <c r="M86" i="2"/>
  <c r="O86" i="2" s="1"/>
  <c r="J86" i="2"/>
  <c r="I86" i="2"/>
  <c r="D86" i="2"/>
  <c r="N85" i="2"/>
  <c r="M85" i="2"/>
  <c r="O85" i="2" s="1"/>
  <c r="J85" i="2"/>
  <c r="I85" i="2"/>
  <c r="N84" i="2"/>
  <c r="M84" i="2"/>
  <c r="O84" i="2" s="1"/>
  <c r="J84" i="2"/>
  <c r="I84" i="2"/>
  <c r="N83" i="2"/>
  <c r="M83" i="2"/>
  <c r="O83" i="2" s="1"/>
  <c r="J83" i="2"/>
  <c r="I83" i="2"/>
  <c r="N82" i="2"/>
  <c r="M82" i="2"/>
  <c r="O82" i="2" s="1"/>
  <c r="J82" i="2"/>
  <c r="I82" i="2"/>
  <c r="O81" i="2"/>
  <c r="N81" i="2"/>
  <c r="M81" i="2"/>
  <c r="J81" i="2"/>
  <c r="I81" i="2"/>
  <c r="N80" i="2"/>
  <c r="M80" i="2"/>
  <c r="O80" i="2" s="1"/>
  <c r="J80" i="2"/>
  <c r="I80" i="2"/>
  <c r="N79" i="2"/>
  <c r="M79" i="2"/>
  <c r="O79" i="2" s="1"/>
  <c r="J79" i="2"/>
  <c r="I79" i="2"/>
  <c r="N78" i="2"/>
  <c r="M78" i="2"/>
  <c r="O78" i="2" s="1"/>
  <c r="J78" i="2"/>
  <c r="I78" i="2"/>
  <c r="F78" i="2"/>
  <c r="N77" i="2"/>
  <c r="O77" i="2" s="1"/>
  <c r="M77" i="2"/>
  <c r="J77" i="2"/>
  <c r="I77" i="2"/>
  <c r="N76" i="2"/>
  <c r="M76" i="2"/>
  <c r="J76" i="2"/>
  <c r="I76" i="2"/>
  <c r="F76" i="2"/>
  <c r="N75" i="2"/>
  <c r="M75" i="2"/>
  <c r="O75" i="2" s="1"/>
  <c r="J75" i="2"/>
  <c r="I75" i="2"/>
  <c r="N74" i="2"/>
  <c r="M74" i="2"/>
  <c r="O74" i="2" s="1"/>
  <c r="J74" i="2"/>
  <c r="I74" i="2"/>
  <c r="F74" i="2"/>
  <c r="N73" i="2"/>
  <c r="O73" i="2" s="1"/>
  <c r="M73" i="2"/>
  <c r="J73" i="2"/>
  <c r="I73" i="2"/>
  <c r="D73" i="2"/>
  <c r="N72" i="2"/>
  <c r="M72" i="2"/>
  <c r="O72" i="2" s="1"/>
  <c r="J72" i="2"/>
  <c r="I72" i="2"/>
  <c r="N71" i="2"/>
  <c r="M71" i="2"/>
  <c r="O71" i="2" s="1"/>
  <c r="J71" i="2"/>
  <c r="I71" i="2"/>
  <c r="F71" i="2"/>
  <c r="N70" i="2"/>
  <c r="M70" i="2"/>
  <c r="O70" i="2" s="1"/>
  <c r="J70" i="2"/>
  <c r="I70" i="2"/>
  <c r="F70" i="2"/>
  <c r="O69" i="2"/>
  <c r="N69" i="2"/>
  <c r="M69" i="2"/>
  <c r="J69" i="2"/>
  <c r="I69" i="2"/>
  <c r="F69" i="2"/>
  <c r="N68" i="2"/>
  <c r="M68" i="2"/>
  <c r="O68" i="2" s="1"/>
  <c r="J68" i="2"/>
  <c r="I68" i="2"/>
  <c r="D68" i="2"/>
  <c r="D161" i="2" s="1"/>
  <c r="N67" i="2"/>
  <c r="M67" i="2"/>
  <c r="O67" i="2" s="1"/>
  <c r="J67" i="2"/>
  <c r="I67" i="2"/>
  <c r="N66" i="2"/>
  <c r="M66" i="2"/>
  <c r="O66" i="2" s="1"/>
  <c r="J66" i="2"/>
  <c r="I66" i="2"/>
  <c r="O65" i="2"/>
  <c r="N65" i="2"/>
  <c r="M65" i="2"/>
  <c r="J65" i="2"/>
  <c r="I65" i="2"/>
  <c r="F65" i="2"/>
  <c r="N64" i="2"/>
  <c r="M64" i="2"/>
  <c r="O64" i="2" s="1"/>
  <c r="J64" i="2"/>
  <c r="I64" i="2"/>
  <c r="N63" i="2"/>
  <c r="M63" i="2"/>
  <c r="O63" i="2" s="1"/>
  <c r="J63" i="2"/>
  <c r="I63" i="2"/>
  <c r="N62" i="2"/>
  <c r="M62" i="2"/>
  <c r="O62" i="2" s="1"/>
  <c r="J62" i="2"/>
  <c r="I62" i="2"/>
  <c r="N61" i="2"/>
  <c r="O61" i="2" s="1"/>
  <c r="M61" i="2"/>
  <c r="J61" i="2"/>
  <c r="I61" i="2"/>
  <c r="F61" i="2"/>
  <c r="N60" i="2"/>
  <c r="M60" i="2"/>
  <c r="O60" i="2" s="1"/>
  <c r="J60" i="2"/>
  <c r="I60" i="2"/>
  <c r="N59" i="2"/>
  <c r="M59" i="2"/>
  <c r="O59" i="2" s="1"/>
  <c r="J59" i="2"/>
  <c r="I59" i="2"/>
  <c r="F59" i="2"/>
  <c r="N58" i="2"/>
  <c r="M58" i="2"/>
  <c r="O58" i="2" s="1"/>
  <c r="J58" i="2"/>
  <c r="I58" i="2"/>
  <c r="N57" i="2"/>
  <c r="O57" i="2" s="1"/>
  <c r="M57" i="2"/>
  <c r="J57" i="2"/>
  <c r="I57" i="2"/>
  <c r="N56" i="2"/>
  <c r="M56" i="2"/>
  <c r="J56" i="2"/>
  <c r="I56" i="2"/>
  <c r="N55" i="2"/>
  <c r="M55" i="2"/>
  <c r="O55" i="2" s="1"/>
  <c r="J55" i="2"/>
  <c r="I55" i="2"/>
  <c r="N54" i="2"/>
  <c r="M54" i="2"/>
  <c r="O54" i="2" s="1"/>
  <c r="J54" i="2"/>
  <c r="I54" i="2"/>
  <c r="N53" i="2"/>
  <c r="M53" i="2"/>
  <c r="O53" i="2" s="1"/>
  <c r="J53" i="2"/>
  <c r="I53" i="2"/>
  <c r="F53" i="2"/>
  <c r="N52" i="2"/>
  <c r="M52" i="2"/>
  <c r="O52" i="2" s="1"/>
  <c r="J52" i="2"/>
  <c r="I52" i="2"/>
  <c r="N51" i="2"/>
  <c r="M51" i="2"/>
  <c r="O51" i="2" s="1"/>
  <c r="J51" i="2"/>
  <c r="I51" i="2"/>
  <c r="N50" i="2"/>
  <c r="M50" i="2"/>
  <c r="O50" i="2" s="1"/>
  <c r="J50" i="2"/>
  <c r="I50" i="2"/>
  <c r="N49" i="2"/>
  <c r="M49" i="2"/>
  <c r="O49" i="2" s="1"/>
  <c r="J49" i="2"/>
  <c r="I49" i="2"/>
  <c r="N48" i="2"/>
  <c r="M48" i="2"/>
  <c r="O48" i="2" s="1"/>
  <c r="J48" i="2"/>
  <c r="I48" i="2"/>
  <c r="N47" i="2"/>
  <c r="M47" i="2"/>
  <c r="O47" i="2" s="1"/>
  <c r="J47" i="2"/>
  <c r="I47" i="2"/>
  <c r="N46" i="2"/>
  <c r="M46" i="2"/>
  <c r="O46" i="2" s="1"/>
  <c r="J46" i="2"/>
  <c r="I46" i="2"/>
  <c r="N45" i="2"/>
  <c r="M45" i="2"/>
  <c r="O45" i="2" s="1"/>
  <c r="J45" i="2"/>
  <c r="I45" i="2"/>
  <c r="F45" i="2"/>
  <c r="N44" i="2"/>
  <c r="M44" i="2"/>
  <c r="J44" i="2"/>
  <c r="I44" i="2"/>
  <c r="F44" i="2"/>
  <c r="N43" i="2"/>
  <c r="M43" i="2"/>
  <c r="O43" i="2" s="1"/>
  <c r="J43" i="2"/>
  <c r="I43" i="2"/>
  <c r="F43" i="2"/>
  <c r="N42" i="2"/>
  <c r="M42" i="2"/>
  <c r="O42" i="2" s="1"/>
  <c r="J42" i="2"/>
  <c r="I42" i="2"/>
  <c r="F42" i="2"/>
  <c r="N41" i="2"/>
  <c r="M41" i="2"/>
  <c r="O41" i="2" s="1"/>
  <c r="J41" i="2"/>
  <c r="I41" i="2"/>
  <c r="N40" i="2"/>
  <c r="M40" i="2"/>
  <c r="O40" i="2" s="1"/>
  <c r="J40" i="2"/>
  <c r="I40" i="2"/>
  <c r="N39" i="2"/>
  <c r="M39" i="2"/>
  <c r="O39" i="2" s="1"/>
  <c r="J39" i="2"/>
  <c r="I39" i="2"/>
  <c r="N38" i="2"/>
  <c r="M38" i="2"/>
  <c r="O38" i="2" s="1"/>
  <c r="J38" i="2"/>
  <c r="I38" i="2"/>
  <c r="F38" i="2"/>
  <c r="N37" i="2"/>
  <c r="M37" i="2"/>
  <c r="O37" i="2" s="1"/>
  <c r="J37" i="2"/>
  <c r="I37" i="2"/>
  <c r="F37" i="2"/>
  <c r="N36" i="2"/>
  <c r="M36" i="2"/>
  <c r="O36" i="2" s="1"/>
  <c r="J36" i="2"/>
  <c r="I36" i="2"/>
  <c r="N35" i="2"/>
  <c r="M35" i="2"/>
  <c r="O35" i="2" s="1"/>
  <c r="J35" i="2"/>
  <c r="I35" i="2"/>
  <c r="N34" i="2"/>
  <c r="M34" i="2"/>
  <c r="O34" i="2" s="1"/>
  <c r="J34" i="2"/>
  <c r="I34" i="2"/>
  <c r="N33" i="2"/>
  <c r="M33" i="2"/>
  <c r="O33" i="2" s="1"/>
  <c r="J33" i="2"/>
  <c r="I33" i="2"/>
  <c r="F33" i="2"/>
  <c r="O32" i="2"/>
  <c r="N32" i="2"/>
  <c r="M32" i="2"/>
  <c r="J32" i="2"/>
  <c r="I32" i="2"/>
  <c r="F32" i="2"/>
  <c r="N31" i="2"/>
  <c r="M31" i="2"/>
  <c r="O31" i="2" s="1"/>
  <c r="J31" i="2"/>
  <c r="I31" i="2"/>
  <c r="F31" i="2"/>
  <c r="N30" i="2"/>
  <c r="M30" i="2"/>
  <c r="O30" i="2" s="1"/>
  <c r="J30" i="2"/>
  <c r="I30" i="2"/>
  <c r="N29" i="2"/>
  <c r="M29" i="2"/>
  <c r="O29" i="2" s="1"/>
  <c r="J29" i="2"/>
  <c r="I29" i="2"/>
  <c r="O28" i="2"/>
  <c r="N28" i="2"/>
  <c r="M28" i="2"/>
  <c r="J28" i="2"/>
  <c r="I28" i="2"/>
  <c r="N27" i="2"/>
  <c r="M27" i="2"/>
  <c r="O27" i="2" s="1"/>
  <c r="J27" i="2"/>
  <c r="I27" i="2"/>
  <c r="F27" i="2"/>
  <c r="N26" i="2"/>
  <c r="M26" i="2"/>
  <c r="O26" i="2" s="1"/>
  <c r="J26" i="2"/>
  <c r="I26" i="2"/>
  <c r="N25" i="2"/>
  <c r="M25" i="2"/>
  <c r="O25" i="2" s="1"/>
  <c r="J25" i="2"/>
  <c r="I25" i="2"/>
  <c r="N24" i="2"/>
  <c r="O24" i="2" s="1"/>
  <c r="M24" i="2"/>
  <c r="J24" i="2"/>
  <c r="I24" i="2"/>
  <c r="N23" i="2"/>
  <c r="M23" i="2"/>
  <c r="J23" i="2"/>
  <c r="I23" i="2"/>
  <c r="N22" i="2"/>
  <c r="M22" i="2"/>
  <c r="O22" i="2" s="1"/>
  <c r="J22" i="2"/>
  <c r="I22" i="2"/>
  <c r="N21" i="2"/>
  <c r="M21" i="2"/>
  <c r="O21" i="2" s="1"/>
  <c r="J21" i="2"/>
  <c r="I21" i="2"/>
  <c r="N20" i="2"/>
  <c r="M20" i="2"/>
  <c r="O20" i="2" s="1"/>
  <c r="J20" i="2"/>
  <c r="I20" i="2"/>
  <c r="N19" i="2"/>
  <c r="M19" i="2"/>
  <c r="O19" i="2" s="1"/>
  <c r="J19" i="2"/>
  <c r="I19" i="2"/>
  <c r="F19" i="2"/>
  <c r="N18" i="2"/>
  <c r="M18" i="2"/>
  <c r="O18" i="2" s="1"/>
  <c r="J18" i="2"/>
  <c r="I18" i="2"/>
  <c r="N17" i="2"/>
  <c r="M17" i="2"/>
  <c r="O17" i="2" s="1"/>
  <c r="J17" i="2"/>
  <c r="I17" i="2"/>
  <c r="F17" i="2"/>
  <c r="N16" i="2"/>
  <c r="M16" i="2"/>
  <c r="O16" i="2" s="1"/>
  <c r="J16" i="2"/>
  <c r="I16" i="2"/>
  <c r="F16" i="2"/>
  <c r="N15" i="2"/>
  <c r="M15" i="2"/>
  <c r="O15" i="2" s="1"/>
  <c r="J15" i="2"/>
  <c r="I15" i="2"/>
  <c r="N14" i="2"/>
  <c r="M14" i="2"/>
  <c r="O14" i="2" s="1"/>
  <c r="J14" i="2"/>
  <c r="I14" i="2"/>
  <c r="F14" i="2"/>
  <c r="N13" i="2"/>
  <c r="M13" i="2"/>
  <c r="O13" i="2" s="1"/>
  <c r="J13" i="2"/>
  <c r="I13" i="2"/>
  <c r="N12" i="2"/>
  <c r="M12" i="2"/>
  <c r="O12" i="2" s="1"/>
  <c r="J12" i="2"/>
  <c r="O44" i="2" s="1"/>
  <c r="I12" i="2"/>
  <c r="F12" i="2"/>
  <c r="N11" i="2"/>
  <c r="M11" i="2"/>
  <c r="O11" i="2" s="1"/>
  <c r="J11" i="2"/>
  <c r="I11" i="2"/>
  <c r="N10" i="2"/>
  <c r="M10" i="2"/>
  <c r="O10" i="2" s="1"/>
  <c r="J10" i="2"/>
  <c r="I10" i="2"/>
  <c r="F10" i="2"/>
  <c r="N9" i="2"/>
  <c r="M9" i="2"/>
  <c r="O9" i="2" s="1"/>
  <c r="J9" i="2"/>
  <c r="I9" i="2"/>
  <c r="F9" i="2"/>
  <c r="N8" i="2"/>
  <c r="M8" i="2"/>
  <c r="O8" i="2" s="1"/>
  <c r="J8" i="2"/>
  <c r="I8" i="2"/>
  <c r="N7" i="2"/>
  <c r="M7" i="2"/>
  <c r="O7" i="2" s="1"/>
  <c r="J7" i="2"/>
  <c r="I7" i="2"/>
  <c r="F7" i="2"/>
  <c r="N6" i="2"/>
  <c r="M6" i="2"/>
  <c r="O6" i="2" s="1"/>
  <c r="J6" i="2"/>
  <c r="I6" i="2"/>
  <c r="N5" i="2"/>
  <c r="M5" i="2"/>
  <c r="O5" i="2" s="1"/>
  <c r="J5" i="2"/>
  <c r="I5" i="2"/>
  <c r="N4" i="2"/>
  <c r="M4" i="2"/>
  <c r="O4" i="2" s="1"/>
  <c r="J4" i="2"/>
  <c r="I4" i="2"/>
  <c r="N3" i="2"/>
  <c r="M3" i="2"/>
  <c r="O3" i="2" s="1"/>
  <c r="J3" i="2"/>
  <c r="I3" i="2"/>
  <c r="F3" i="2"/>
  <c r="J2" i="2"/>
  <c r="I2" i="2"/>
  <c r="O56" i="2" s="1"/>
  <c r="F2" i="2"/>
  <c r="O76" i="2" l="1"/>
  <c r="O117" i="2"/>
  <c r="O113" i="2"/>
  <c r="O23" i="2"/>
  <c r="P137" i="2" s="1"/>
</calcChain>
</file>

<file path=xl/sharedStrings.xml><?xml version="1.0" encoding="utf-8"?>
<sst xmlns="http://schemas.openxmlformats.org/spreadsheetml/2006/main" count="888" uniqueCount="465">
  <si>
    <t>Announced</t>
  </si>
  <si>
    <t>Producer</t>
  </si>
  <si>
    <t>Buyer</t>
  </si>
  <si>
    <t>Gallons</t>
  </si>
  <si>
    <t>Term (years)</t>
  </si>
  <si>
    <t>GPY</t>
  </si>
  <si>
    <t>Start</t>
  </si>
  <si>
    <t>Notes</t>
  </si>
  <si>
    <t>World Energy</t>
  </si>
  <si>
    <t>United Airlines</t>
  </si>
  <si>
    <t>Think this has expired</t>
  </si>
  <si>
    <t>Fulcrum</t>
  </si>
  <si>
    <t>Cathay Pacific</t>
  </si>
  <si>
    <t>Redrock</t>
  </si>
  <si>
    <t>Southwest Airlines</t>
  </si>
  <si>
    <t>Fulcrum BioEnergy</t>
  </si>
  <si>
    <t>covers all production at 3 facilities in US and UK; Fulcrum initially planned 5 plants and 180MMGY production</t>
  </si>
  <si>
    <t>FedEx</t>
  </si>
  <si>
    <t>Gulfstream</t>
  </si>
  <si>
    <t>Amyris</t>
  </si>
  <si>
    <t>Gevo</t>
  </si>
  <si>
    <t>Lufthansa</t>
  </si>
  <si>
    <t>KLM</t>
  </si>
  <si>
    <t>SG Preston</t>
  </si>
  <si>
    <t>JetBlue</t>
  </si>
  <si>
    <t>BP</t>
  </si>
  <si>
    <t>50MMGY for 10 years; Fulcrum initially planned 5 plants and 180MMGY production</t>
  </si>
  <si>
    <t>Air Total</t>
  </si>
  <si>
    <t>China Airlines</t>
  </si>
  <si>
    <t>Preem</t>
  </si>
  <si>
    <t>SAS</t>
  </si>
  <si>
    <t>Swedavia</t>
  </si>
  <si>
    <t>SkyNRG</t>
  </si>
  <si>
    <t>Air TOTAL</t>
  </si>
  <si>
    <t>Neste</t>
  </si>
  <si>
    <t>Delta Airlines</t>
  </si>
  <si>
    <t>10MMGY subject to completion of now defunct Luverne facility</t>
  </si>
  <si>
    <t>Northwest Advanced Bio-Fuels</t>
  </si>
  <si>
    <t>$2mn investment</t>
  </si>
  <si>
    <t>LanzaJet</t>
  </si>
  <si>
    <t>All Nippon Airways</t>
  </si>
  <si>
    <t>SAF+ Consortium</t>
  </si>
  <si>
    <t>Air Transat</t>
  </si>
  <si>
    <t>Amazon Air</t>
  </si>
  <si>
    <t>Alaska Airlines</t>
  </si>
  <si>
    <t>Trafigura</t>
  </si>
  <si>
    <t>Trafigura (25MMGY) VOID</t>
  </si>
  <si>
    <t>ECB Group</t>
  </si>
  <si>
    <t>AirBP</t>
  </si>
  <si>
    <t>Shell</t>
  </si>
  <si>
    <t>Wastefuel</t>
  </si>
  <si>
    <t>Netjets</t>
  </si>
  <si>
    <t>British Airways</t>
  </si>
  <si>
    <t>increases original agreement signed in Oct 2019</t>
  </si>
  <si>
    <t>American Airlines</t>
  </si>
  <si>
    <t>Prometheus Fuels</t>
  </si>
  <si>
    <t>10MG</t>
  </si>
  <si>
    <t>Alder Fuels</t>
  </si>
  <si>
    <t>Start date is when the fuel is produced to United's requirements</t>
  </si>
  <si>
    <t>Chevron</t>
  </si>
  <si>
    <t>Aemetis</t>
  </si>
  <si>
    <t>Atmosfair</t>
  </si>
  <si>
    <t>Velocys</t>
  </si>
  <si>
    <t>IAG</t>
  </si>
  <si>
    <t>Southest Airlines</t>
  </si>
  <si>
    <t>Deutsche Post DHL</t>
  </si>
  <si>
    <t>"reduce the company’s carbon dioxide emissions by 70,000 tons" = purchased in first 6 months of 2022</t>
  </si>
  <si>
    <t>Oneworld</t>
  </si>
  <si>
    <t>Phillips 66</t>
  </si>
  <si>
    <t>OMV</t>
  </si>
  <si>
    <t>Austrian Airlines</t>
  </si>
  <si>
    <t>Kolmar</t>
  </si>
  <si>
    <t>From Net-Zero 2 in Midwest, upgraded from 45MMGY</t>
  </si>
  <si>
    <t>Qantas</t>
  </si>
  <si>
    <t>EPIC Fuels</t>
  </si>
  <si>
    <t>Boeing</t>
  </si>
  <si>
    <t>Singapore Airlines</t>
  </si>
  <si>
    <t>Virgin Atlantic</t>
  </si>
  <si>
    <t>total is assumed from press release, not certain</t>
  </si>
  <si>
    <t>DHL</t>
  </si>
  <si>
    <t>DHL Express</t>
  </si>
  <si>
    <t>replaces original 10MMGY agreement</t>
  </si>
  <si>
    <t>Finnair</t>
  </si>
  <si>
    <t>Ryanair</t>
  </si>
  <si>
    <t>"Ryanair today (20 Apr) announced a partnership with Neste, the world leading sustainable aviation fuel (SAF) supplier, to power approx. a third of its flights at Amsterdam Airport Schiphol (AMS) with a 40% SAF blend. "</t>
  </si>
  <si>
    <t>2.5MG in first year, 20MG second year, 30MG third year</t>
  </si>
  <si>
    <t>IAG Cargo</t>
  </si>
  <si>
    <t>Japan Airlines</t>
  </si>
  <si>
    <t>Dimensional Energy</t>
  </si>
  <si>
    <t>Avfuel</t>
  </si>
  <si>
    <t>deliveries originally starting Q1 2024 (as of June 2022)</t>
  </si>
  <si>
    <t>Aer Lingus</t>
  </si>
  <si>
    <t>DG Fuels</t>
  </si>
  <si>
    <t>Air New Zealand</t>
  </si>
  <si>
    <t>delivered to NZ</t>
  </si>
  <si>
    <t>RyanAir</t>
  </si>
  <si>
    <t>Air Company</t>
  </si>
  <si>
    <t>also US military and Boom Supersonic**</t>
  </si>
  <si>
    <t>PKN ORLEN</t>
  </si>
  <si>
    <t>LOT Polish Airlines</t>
  </si>
  <si>
    <t>building facility in Plock by Vistula River//300k mt of SAF from 2025//amount sold to LOT is unclear</t>
  </si>
  <si>
    <t>Indaba</t>
  </si>
  <si>
    <t>"investment grade off-taker"</t>
  </si>
  <si>
    <t>covers all production from Memphis facility // date is from investment materials release not agreement // " Indaba's contract with the investment grade off-taker indicates the SAF supplied will be blended to 30% with conventional fuels."</t>
  </si>
  <si>
    <t>Sinopec (China National Aviation Fuel Group)</t>
  </si>
  <si>
    <t>Airbus</t>
  </si>
  <si>
    <t>amount unknown//delivered to Tianjin</t>
  </si>
  <si>
    <t>Air France-KLM</t>
  </si>
  <si>
    <t>Korean Airlines</t>
  </si>
  <si>
    <t>Qatar Airways</t>
  </si>
  <si>
    <t>Iberia</t>
  </si>
  <si>
    <t>Montana Renewables</t>
  </si>
  <si>
    <t>Macquarie*</t>
  </si>
  <si>
    <t>Cancelled</t>
  </si>
  <si>
    <t>Wizz Air</t>
  </si>
  <si>
    <t>Fidelis New Energy</t>
  </si>
  <si>
    <t>Total Energies</t>
  </si>
  <si>
    <t>VistaJet</t>
  </si>
  <si>
    <t>Raven SR</t>
  </si>
  <si>
    <t>Blue Blade Energy (JV)</t>
  </si>
  <si>
    <t>United is JV partner with Tallgrass and Green Plains</t>
  </si>
  <si>
    <t>IdunnH2</t>
  </si>
  <si>
    <t>Icelandair</t>
  </si>
  <si>
    <t>3rd yr is 5mil option original is 3 yr 10mil</t>
  </si>
  <si>
    <t>Air Greenland</t>
  </si>
  <si>
    <t>terms unknown</t>
  </si>
  <si>
    <t>Hawiian Airlines</t>
  </si>
  <si>
    <t>Firefly</t>
  </si>
  <si>
    <t>Air Canada</t>
  </si>
  <si>
    <t>Viva Aerobus</t>
  </si>
  <si>
    <t>Jet2.com</t>
  </si>
  <si>
    <t>Repsol</t>
  </si>
  <si>
    <t>World Fuel Services</t>
  </si>
  <si>
    <t>end user not disclosed</t>
  </si>
  <si>
    <t>Boom Supersonic</t>
  </si>
  <si>
    <t>Petronas</t>
  </si>
  <si>
    <t>Malaysia Airlines</t>
  </si>
  <si>
    <t>Blue Biofuels</t>
  </si>
  <si>
    <t>will buy finished products // no dates or volumes announced</t>
  </si>
  <si>
    <t>Cleanjoule</t>
  </si>
  <si>
    <t>Frontier, Wizz Air, Volaris</t>
  </si>
  <si>
    <t>90M gal total</t>
  </si>
  <si>
    <t>HCS Group</t>
  </si>
  <si>
    <t>Cepsa</t>
  </si>
  <si>
    <t>Air Europa</t>
  </si>
  <si>
    <t>Cemvita</t>
  </si>
  <si>
    <t>Emirates</t>
  </si>
  <si>
    <t>bef end 2023</t>
  </si>
  <si>
    <t>Dubai Internation Airport</t>
  </si>
  <si>
    <t>USA BioEnergy</t>
  </si>
  <si>
    <t>Project Speedbird</t>
  </si>
  <si>
    <t>covers all production at facility</t>
  </si>
  <si>
    <t>Infinium</t>
  </si>
  <si>
    <t>No details, "innovative agreement" equity investment $75 million</t>
  </si>
  <si>
    <t>book &amp; claim, no details given</t>
  </si>
  <si>
    <t>Norsk E-fuel</t>
  </si>
  <si>
    <t>Norwegian Airlines</t>
  </si>
  <si>
    <t>140,000tons</t>
  </si>
  <si>
    <t>Enilive</t>
  </si>
  <si>
    <t>Amelia</t>
  </si>
  <si>
    <t>Louisiana Green Fuels</t>
  </si>
  <si>
    <t>Sumitomo</t>
  </si>
  <si>
    <t>640M gal over 20 years (total production number for RD/bionap), output later switched to SAF but output not announced yet</t>
  </si>
  <si>
    <t>Twelve</t>
  </si>
  <si>
    <t>extension of earlier contract - 500,000tons</t>
  </si>
  <si>
    <t>before end 2024</t>
  </si>
  <si>
    <t>LAX</t>
  </si>
  <si>
    <t>WestJet</t>
  </si>
  <si>
    <t>10,000 tons half 2Q2024 and 4Q2024</t>
  </si>
  <si>
    <t>Valero</t>
  </si>
  <si>
    <t>Q4 2024</t>
  </si>
  <si>
    <t>JFK airport</t>
  </si>
  <si>
    <t>Option to purchase for JFK airport</t>
  </si>
  <si>
    <t>Shell Trading</t>
  </si>
  <si>
    <t>successful shipment to Minneapolis-St. Paul Int'l Airport - https://www.safinvestor.com/news/145975/montana-renewables/</t>
  </si>
  <si>
    <t> 60,000 tonnes (20.5 US gallons) of unblended sustainable aviation fuel (SAF) - Vancouver Internation Airport, https://www.safinvestor.com/news/146376/air-canada/</t>
  </si>
  <si>
    <t>unknown: mentioned in this article: https://news.delta.com/unlocking-potential-sustainable-aviation-fuel-through-meaningful-advocacy</t>
  </si>
  <si>
    <t>EcoCeres</t>
  </si>
  <si>
    <t>first 600k gallons delivered to LAX by end of Dec 2024; can be extended up to 8 million gallons; agreement complete by end of June 2025; includes deliveries to LAX and ORD
https://www.phillips66.com/newsroom/phillips-66-united-airlines-saf-supply-agreement/</t>
  </si>
  <si>
    <t>Eneos</t>
  </si>
  <si>
    <t>Sale &amp; purchase in Japan for flights from Haneda to NY - First AA purchase in Japan, https://www.safinvestor.com/news/147279/american-airlines/</t>
  </si>
  <si>
    <t>Skymark Airlines</t>
  </si>
  <si>
    <t>Sale &amp; purchase in Japan. Skymark HQ Tokyo, first procurement of SAF, https://www.safinvestor.com/news/146919/skymark/</t>
  </si>
  <si>
    <t>Sale &amp; purchase Japan Airlines commitment to replace 1% of total fuel with Saf by 2025 &amp; 10% by 2030, https://www.safinvestor.com/news/145433/japan-airlines/</t>
  </si>
  <si>
    <t>Cosmo Oil Marketing</t>
  </si>
  <si>
    <t>Material from Saffire Sky Energy, https://www.cosmo-energy.co.jp/en/information/press/2025/250326-03.html</t>
  </si>
  <si>
    <t>Material from Saffire Sky Energy, What airport are they supplying? This article specifies asia as the supply, https://www.cosmo-energy.co.jp/en/information/press/2025/250327-01.html</t>
  </si>
  <si>
    <t>Kansai International Airport</t>
  </si>
  <si>
    <t xml:space="preserve">Supplied first batch specifically for the Japan Air Self-Defense Force's "Blue Impulse", https://www.safinvestor.com/news/147389/cosmo-3/ </t>
  </si>
  <si>
    <t>Volotea</t>
  </si>
  <si>
    <t>7.5 million liters 2025-2029 for flights taking off from France Airports</t>
  </si>
  <si>
    <t>Suppliers</t>
  </si>
  <si>
    <t>Supply Locations</t>
  </si>
  <si>
    <t>Term Available</t>
  </si>
  <si>
    <t>Link</t>
  </si>
  <si>
    <t>International Airlines Group (IAG)</t>
  </si>
  <si>
    <t>Spanish Airport</t>
  </si>
  <si>
    <t>28000 tonnes</t>
  </si>
  <si>
    <t>6 months from sign</t>
  </si>
  <si>
    <t>https://www.safinvestor.com/news/145543/purchase-agreement/</t>
  </si>
  <si>
    <t>DGD / Valero</t>
  </si>
  <si>
    <t>Dallas Love Field (DAL)</t>
  </si>
  <si>
    <t>No</t>
  </si>
  <si>
    <t>35% neat SAF and 65% conventional jet fuel.</t>
  </si>
  <si>
    <t>Jet Aviation</t>
  </si>
  <si>
    <t>https://safmagazine.com/articles/signature-aviation-offers-saf-at-six-new-locations</t>
  </si>
  <si>
    <t>Washington Dulles International Airport (IAD)</t>
  </si>
  <si>
    <t>Miami International Airport (MIA)</t>
  </si>
  <si>
    <t>Opa Locka International Airport (OPF)</t>
  </si>
  <si>
    <t>Palm Beach International Airport (PBI)</t>
  </si>
  <si>
    <t>Teterboro Airport (TEB)</t>
  </si>
  <si>
    <t>Van Nuys Airport</t>
  </si>
  <si>
    <t>https://www.jetaviation.com/perspectives/sustainability-at-jet-aviation-why-we-do-what-we-do/</t>
  </si>
  <si>
    <t>Amsterdam Airport Schiphol</t>
  </si>
  <si>
    <t>https://www.jetaviation.com/perspectives/jet-aviation-partners-with-neste-to-offer-sustainable-aviation-fuel-in-amsterdam/</t>
  </si>
  <si>
    <t>Zurich Airport</t>
  </si>
  <si>
    <t>Shell Aviation</t>
  </si>
  <si>
    <t>Singapore Seletar Airport</t>
  </si>
  <si>
    <t>https://www.jetaviation.com/perspectives/jet-aviation-collaborates-with-shell-aviation-to-offer-sustainable-aviation-fuel-at-seletar-airport-in-singapore/</t>
  </si>
  <si>
    <t>FlyORO</t>
  </si>
  <si>
    <t>39% neat SAF</t>
  </si>
  <si>
    <t>Bozemand, Montana</t>
  </si>
  <si>
    <t>https://www.jetaviation.com/perspectives/saf-in-bozeman-and-scottsdale/</t>
  </si>
  <si>
    <t>Scottsdale, AZ</t>
  </si>
  <si>
    <t>Avfuel Corp</t>
  </si>
  <si>
    <t>Various?</t>
  </si>
  <si>
    <t>30% neat SAF and 70% conventional jet fuel.</t>
  </si>
  <si>
    <t>Paris Le Bourget Airport</t>
  </si>
  <si>
    <t>https://www.avfuel.com/Details-Page/ArticleID/673/Avfuel-Expands-SAF-Supply-to-France</t>
  </si>
  <si>
    <t>Bordeaux-Merignac Airport</t>
  </si>
  <si>
    <t>Clermont-Ferrand Auvergne Airport</t>
  </si>
  <si>
    <t>Detroit Metropolitan Airport</t>
  </si>
  <si>
    <t>Used by Delta</t>
  </si>
  <si>
    <t>Buckeye Pipeline system</t>
  </si>
  <si>
    <t>https://www.safinvestor.com/news/146262/montana-renewables-2/</t>
  </si>
  <si>
    <t>Bangchak Corp</t>
  </si>
  <si>
    <t>Shell International Eastern Trading Company</t>
  </si>
  <si>
    <t>Bangkok, Thailand</t>
  </si>
  <si>
    <t>https://www.safinvestor.com/news/146384/bangchak-2/, no volumes expressed but will be supplied by Shell Singapore</t>
  </si>
  <si>
    <t>UK Market</t>
  </si>
  <si>
    <t>10 year</t>
  </si>
  <si>
    <t>10% 2030 eSAF</t>
  </si>
  <si>
    <t>Start date is confusing, statement of late 2026 but unsure if the Project Roadrunner is open before 2030.</t>
  </si>
  <si>
    <t>https://www.infiniumco.com/news/iag-announces-new-e-saf-deal-with-infinium</t>
  </si>
  <si>
    <t>EniLive</t>
  </si>
  <si>
    <t>easyJet</t>
  </si>
  <si>
    <t>Milan Malpensa Airport</t>
  </si>
  <si>
    <t>30,000 tonnes</t>
  </si>
  <si>
    <t>Set to fuel specific flights with add'l 30,000 tonnes pure SAF blended to 20% SAF potential</t>
  </si>
  <si>
    <t>https://www.safinvestor.com/news/146556/enilive/</t>
  </si>
  <si>
    <t>Mana Group / Braathens Renavia/ Mana Gp</t>
  </si>
  <si>
    <t>World Fuel Services / easyJet</t>
  </si>
  <si>
    <t>Europe and UK</t>
  </si>
  <si>
    <t>150 tonns (75,000 e-SAF)</t>
  </si>
  <si>
    <t>Out of a Norway facility</t>
  </si>
  <si>
    <t>https://biofuels-news.com/news/easyjet-renavia-and-wfs-sign-mou-for-supply-of-saf/</t>
  </si>
  <si>
    <t>Phillips66</t>
  </si>
  <si>
    <t>Los Angeles International Airport (LAX)</t>
  </si>
  <si>
    <t>600,000 gallons</t>
  </si>
  <si>
    <t>Dec 2024 only</t>
  </si>
  <si>
    <t>https://www.safinvestor.com/news/146568/united-airlines/</t>
  </si>
  <si>
    <t>Chicago O'Hare Airport (ORD)</t>
  </si>
  <si>
    <t>3 mm gal</t>
  </si>
  <si>
    <t>from Dec 2024- June 2025 -- possilbe increase to 8 mm by end of 1H 2025</t>
  </si>
  <si>
    <t>Naples Aviation (KAPF)</t>
  </si>
  <si>
    <t>Delivery taken 12/10</t>
  </si>
  <si>
    <t>Not sure if this is a first pass</t>
  </si>
  <si>
    <t>https://www.safinvestor.com/news/146613/avfuel-2/</t>
  </si>
  <si>
    <t>Burlington, VT (KBTV)</t>
  </si>
  <si>
    <t>Delivery 2/4/2025</t>
  </si>
  <si>
    <t>Supply terminals Linden, NJ; Pasadena, TX: Port Everglades, FL - 2 terminals for SAF</t>
  </si>
  <si>
    <t>https://biodieselmagazine.com/articles/avfuel-powers-saf-expansion-with-new-us-supply-points</t>
  </si>
  <si>
    <t>??? Out of Europe but Who</t>
  </si>
  <si>
    <t>Vibra</t>
  </si>
  <si>
    <t>Tom Jobim International Airport (GIG) Rio de Janeiro, BR</t>
  </si>
  <si>
    <t>Jan 25, 23 iso-tank containers carrying approximately 550,000 liters SAF departed from Antwerp, Belgium bound for Rio.</t>
  </si>
  <si>
    <t>SAF derived from UCO and expected to be blended to 90/10 Jet to SAF</t>
  </si>
  <si>
    <t>https://valorinternational.globo.com/business/news/2025/03/26/vibra-becomes-first-company-to-offer-sustainable-aviation-fuel-in-brazil.ghtml</t>
  </si>
  <si>
    <t>P66 UK Humber (HEFA) &amp; LanzaJet Freedom Pines (AtJ)</t>
  </si>
  <si>
    <t xml:space="preserve">Microsoft </t>
  </si>
  <si>
    <t>5 years</t>
  </si>
  <si>
    <t>Additional 39,000t SAF</t>
  </si>
  <si>
    <t>Start an extension of 2024 announcement - Microsoft looking to reduce Scope 3 emissions</t>
  </si>
  <si>
    <t>https://www.iairgroup.com/press-releases/2025/iag-and-microsoft-strengthen-partnership-with-largest-and-longest-scope-3-sustainable-aviation-fuel-saf-agreement-to-date/</t>
  </si>
  <si>
    <t>P66 UK Humber (HEFA)</t>
  </si>
  <si>
    <t>Microsoft - London Heathrow &amp; Gatwick</t>
  </si>
  <si>
    <t>2 years</t>
  </si>
  <si>
    <t>Starting SAF 14,000t SAF</t>
  </si>
  <si>
    <t>London Heathrow, Gatwick - Microsoft looking to lower Scope 3 emissions</t>
  </si>
  <si>
    <t>https://www.iairgroup.com/press-releases/2023/iag-signs-agreement-with-microsoft-for-the-large-scale-global-purchase-of-sustainable-aviation-fuel-saf/</t>
  </si>
  <si>
    <t>Formosa (Producer) &amp; CPC (Importer)</t>
  </si>
  <si>
    <t>Kaohsiung, Songshan, and Taoyuan airports, Taiwan</t>
  </si>
  <si>
    <t>China Airlines EVA Air, and Starlux</t>
  </si>
  <si>
    <t>https://www.safinvestor.com/news/147416/cpc/</t>
  </si>
  <si>
    <t>Saffaire Sky Energy</t>
  </si>
  <si>
    <t>Cosmo Oil</t>
  </si>
  <si>
    <t>Kobe Airport, Japan</t>
  </si>
  <si>
    <t>Starlux Airlines</t>
  </si>
  <si>
    <t>https://www.safinvestor.com/news/147420/cosmo-oil/</t>
  </si>
  <si>
    <t>Kansai Internatonal Airport, Japan</t>
  </si>
  <si>
    <t>EVA Air</t>
  </si>
  <si>
    <t>https://www.safinvestor.com/news/147424/eva-air-2/</t>
  </si>
  <si>
    <t>Who? Multiple?</t>
  </si>
  <si>
    <t>Mabanaft partner Skytanking</t>
  </si>
  <si>
    <t>Frankfurt Airport, Germany</t>
  </si>
  <si>
    <t>Deliver over 1,000 tons of SAF under the European SAF Mandate in 2025.</t>
  </si>
  <si>
    <t>https://www.mabanaft.com/en/news-info/current-news-and-press-releases/news-detail/mabanaft-expands-aviation-fuel-supply-to-airlines-at-frankfurt-airport/</t>
  </si>
  <si>
    <t>Mabanaft partner Oiltanking Copenhagen</t>
  </si>
  <si>
    <t>Sønderborg Airport, Denmark</t>
  </si>
  <si>
    <t>Danish supply base for SAF on a large scale</t>
  </si>
  <si>
    <t>https://www.mabanaft.com/en/news-info/current-news-and-press-releases/news-detail/historic-saf-delivery-arrives-in-copenhagen-growing-demand-in-danish-aviation/</t>
  </si>
  <si>
    <t>Announcement Date</t>
  </si>
  <si>
    <t>Producer / Site</t>
  </si>
  <si>
    <t>Investor</t>
  </si>
  <si>
    <t>Investor Type</t>
  </si>
  <si>
    <t>Investment Type</t>
  </si>
  <si>
    <t>$ Value</t>
  </si>
  <si>
    <t>Internet Link</t>
  </si>
  <si>
    <t>Calumet / Montana Renewables</t>
  </si>
  <si>
    <t>US</t>
  </si>
  <si>
    <t>Dept of energy</t>
  </si>
  <si>
    <t>Government</t>
  </si>
  <si>
    <t>Loan guarantee</t>
  </si>
  <si>
    <t>$1.44 billion</t>
  </si>
  <si>
    <t>U.S. DoE Loan Programs Office awarded a conditional commitment for a loan guarantee of up to $1.44 billion to fund the construction and expansion of a renewable fuels facility owned by Montana Renewables LLC.</t>
  </si>
  <si>
    <t>https://safmagazine.com/articles/montana-renewables-receives-144-billion-conditional-commitment-from-doe-for-renewable-fuels-and-biomass-energy-facility</t>
  </si>
  <si>
    <t>Gevo / Net-Zero 1</t>
  </si>
  <si>
    <t>$1.46 billion</t>
  </si>
  <si>
    <t>Conditional commitment for a loan guarantee with disbursements totaling $1.46 billion (excluding capitalized interest during construction) from the U.S. DoE Loan Programs Office for Net-Zero 1 project (NZ1) in South Dakota. With capitalized interest during construction, the DOE loan facility has a borrowing capacity of $1.63 billion.</t>
  </si>
  <si>
    <t>https://safmagazine.com/articles/gevos-net-zero-1-project-secures-conditional-commitment-for-146b-doe-loan-guarantee</t>
  </si>
  <si>
    <t>Acelen</t>
  </si>
  <si>
    <t>Brazil</t>
  </si>
  <si>
    <t>Brazilian Development Bank</t>
  </si>
  <si>
    <t>Investment Bank</t>
  </si>
  <si>
    <t>Investment</t>
  </si>
  <si>
    <t>R$257.9m ($45.2m)</t>
  </si>
  <si>
    <t>The project will focus on the cultivation and processing of macaúba, a native Brazilian palm tree known for its high oil content. Acelen plans to cultivate 180,000 hectares of macaúba in Minas Gerais and Bahia, with a portion of the production sourced from small-scale family farms.</t>
  </si>
  <si>
    <t>https://www.safinvestor.com/news/146210/bndes/</t>
  </si>
  <si>
    <t>Invizyne</t>
  </si>
  <si>
    <t>Dept of defense</t>
  </si>
  <si>
    <t>Grant</t>
  </si>
  <si>
    <t>$2 million</t>
  </si>
  <si>
    <t>US-based cell-free biomanufacturing company Invizyne Technologies has been awarded a $2m grant from the US DoD BioMADE initiative to support the development of their tech producing SAF. The project, partnership with the UGA, aims to improve Invizyne’s enzyme production pipeline and deploy their cell-free biomanufacturing system in 100L pilot-scale facilities. Isobutanol, a key precursor to SAF and a potential replacement for conventional fuels.</t>
  </si>
  <si>
    <t>https://www.safinvestor.com/news/146478/invizyne/</t>
  </si>
  <si>
    <t>Liquid Sun</t>
  </si>
  <si>
    <t>Finland</t>
  </si>
  <si>
    <t>Voima Ventures</t>
  </si>
  <si>
    <t>Euro 4 million</t>
  </si>
  <si>
    <t>The funding will help the company develop Finland’s first eSAF production testing facility which will use carbon dioxide (CO2) and water to turn it into synthetic aviation fuel. The company uses their proprietary low-temperature electrolyser to convert these elements into eSAF.</t>
  </si>
  <si>
    <t>https://www.safinvestor.com/news/146535/liquid-sun/</t>
  </si>
  <si>
    <t>Sum of Mandate</t>
  </si>
  <si>
    <t>Column Labels</t>
  </si>
  <si>
    <t>Row Labels</t>
  </si>
  <si>
    <t>2024?</t>
  </si>
  <si>
    <t>TBD</t>
  </si>
  <si>
    <t>Grand Total</t>
  </si>
  <si>
    <t>China</t>
  </si>
  <si>
    <t>EU</t>
  </si>
  <si>
    <t>France</t>
  </si>
  <si>
    <t>Germany</t>
  </si>
  <si>
    <t>India</t>
  </si>
  <si>
    <t>Indonesia</t>
  </si>
  <si>
    <t>Japan</t>
  </si>
  <si>
    <t>Malaysia</t>
  </si>
  <si>
    <t>Norway</t>
  </si>
  <si>
    <t>Philippines</t>
  </si>
  <si>
    <t>Singapore</t>
  </si>
  <si>
    <t>South Korea</t>
  </si>
  <si>
    <t>Sweden</t>
  </si>
  <si>
    <t>Taiwan</t>
  </si>
  <si>
    <t>Thailand</t>
  </si>
  <si>
    <t>UK</t>
  </si>
  <si>
    <t>Country</t>
  </si>
  <si>
    <t>Region</t>
  </si>
  <si>
    <t>Year</t>
  </si>
  <si>
    <t>Mandate</t>
  </si>
  <si>
    <t>Enforcement</t>
  </si>
  <si>
    <t>Enforcement Notes</t>
  </si>
  <si>
    <t>Asia</t>
  </si>
  <si>
    <r>
      <rPr>
        <sz val="11"/>
        <color rgb="FFFF0000"/>
        <rFont val="Aptos Narrow"/>
        <family val="2"/>
      </rPr>
      <t xml:space="preserve">Not a government mandate yet </t>
    </r>
    <r>
      <rPr>
        <sz val="11"/>
        <color theme="1"/>
        <rFont val="Aptos Narrow"/>
        <family val="2"/>
        <scheme val="minor"/>
      </rPr>
      <t>- Regulatory framework phased blending mandate</t>
    </r>
  </si>
  <si>
    <t>https://moderndiplomacy.eu/2024/08/22/chinas-new-policy-on-sustainable-aviation-fuel-saf-a-step-towards-greener-future/#:~:text=One%20of%20the%20cornerstones%20of,Financial%20Incentives</t>
  </si>
  <si>
    <t>Yes</t>
  </si>
  <si>
    <r>
      <t>To ensure compliance, the CAAC has introduced monitoring and reporting mechanisms, requiring airlines to submit</t>
    </r>
    <r>
      <rPr>
        <sz val="11"/>
        <color rgb="FF222222"/>
        <rFont val="Aptos Narrow"/>
        <family val="2"/>
        <scheme val="minor"/>
      </rPr>
      <t> regular reports on their SAF usage. Non-compliance with the blending mandate may result in penalties, including fines and restrictions on flight operations (CAAC, 2023).</t>
    </r>
  </si>
  <si>
    <r>
      <t>CAAC determine n</t>
    </r>
    <r>
      <rPr>
        <sz val="11"/>
        <color rgb="FF222222"/>
        <rFont val="Aptos Narrow"/>
        <family val="2"/>
        <scheme val="minor"/>
      </rPr>
      <t>on-compliance with the blending mandate may result in penalties, including fines and restrictions on flight operations (CAAC, 2023).</t>
    </r>
  </si>
  <si>
    <r>
      <rPr>
        <sz val="11"/>
        <color rgb="FFFF0000"/>
        <rFont val="Aptos Narrow"/>
        <family val="2"/>
      </rPr>
      <t>Not a government mandate yet</t>
    </r>
    <r>
      <rPr>
        <sz val="11"/>
        <color theme="1"/>
        <rFont val="Aptos Narrow"/>
        <family val="2"/>
        <scheme val="minor"/>
      </rPr>
      <t xml:space="preserve"> - applies to all international flights</t>
    </r>
  </si>
  <si>
    <t>https://www.mycwt.com/news/blog/fueling-change-saf-takes-flight-in-business-travel-sustainability/#:~:text=In%20its%20National%20Energy%20Transition,increase%20to%2047%25%20by%202050.</t>
  </si>
  <si>
    <t>https://bioenergytimes.com/taiwan-plans-saf-imports-in-first-half-of-2025/#:~:text=Taiwan%3A%20Taiwan%20encourages%20airlines%20to,but%20implementation%20has%20been%20delayed.</t>
  </si>
  <si>
    <r>
      <t xml:space="preserve">Indonesia considering Palm Oil Blend mandate of 3% in 2026. </t>
    </r>
    <r>
      <rPr>
        <b/>
        <sz val="11"/>
        <color rgb="FFFF0000"/>
        <rFont val="Aptos Narrow"/>
        <family val="2"/>
      </rPr>
      <t>THIS DOES NOT AFFECT THE 2027 MANDATE</t>
    </r>
  </si>
  <si>
    <t>https://www.safinvestor.com/news/146989/indonesia-2/, https://bioenergytimes.com/indonesia-initiates-studies-for-50-biodiesel-blend-implementation-by-2026/</t>
  </si>
  <si>
    <t>Finalized</t>
  </si>
  <si>
    <t>https://en.antaranews.com/news/326415/govt-launches-action-plan-for-environmentally-friendly-aviation-fuel</t>
  </si>
  <si>
    <t>Listed as an action plan (in line with ICAO agenda)</t>
  </si>
  <si>
    <t>Mandate: for all international flights. Timetable set by METI for domestic airlines' jet fuel consumption, working on development of stricter rules as of Jun 2024</t>
  </si>
  <si>
    <t>https://www.icf.com/insights/aviation/saf-ecosystem-in-japan, https://japan.influencemap.org/policy/SAF-mandate-5480</t>
  </si>
  <si>
    <t>Proposed</t>
  </si>
  <si>
    <t>https://www.spglobal.com/commodityinsights/en/market-insights/latest-news/oil/071924-southeast-asia-to-play-significant-role-in-saf-production-but-lacks-policies-cooperation-boeing#:~:text=Others%20like%20Malaysia%20has%20established,action%20plan%20later%20this%20year.</t>
  </si>
  <si>
    <t>In process</t>
  </si>
  <si>
    <t>https://www.safinvestor.com/news/145346/philippines-to-finalise-saf-roadmap/</t>
  </si>
  <si>
    <t>Of all jet fuel used at Changi Airport and Seletar Airport for all flieghts departing the country- announced airline price increases to meet cost increases</t>
  </si>
  <si>
    <t>https://www.arup.com/insights/singapores-sustainable-aviation-fuel-opportunity/#:~:text=Singapore's%20SAF%20mandate%20is%20one,to%20establish%20SAF%20production%20plants.</t>
  </si>
  <si>
    <t>The Civil Aviation Authority of Singapore (CAAS) intends to introduce an SAF levy tied to its SAF procurement strategy.</t>
  </si>
  <si>
    <t>3-5%</t>
  </si>
  <si>
    <t>Ambitions to meet these levels</t>
  </si>
  <si>
    <t>Finalized for International flights</t>
  </si>
  <si>
    <t>https://www.kedglobal.com/airlines/newsView/ked202408200005, https://www.fuelsandlubes.com/south-korea-mandates-saf-for-international-flights-starting-2027/</t>
  </si>
  <si>
    <t>The airlines are increasing the use of SAF owing to CAA’s indicative 5% SAF target from 2030 onwards - encourage and eventually mandate</t>
  </si>
  <si>
    <t>Civil Aviation Administration (CAA) - target, not a mandate but something to keep in mind moving forward</t>
  </si>
  <si>
    <r>
      <rPr>
        <sz val="11"/>
        <color rgb="FFFF0000"/>
        <rFont val="Aptos Narrow"/>
        <family val="2"/>
      </rPr>
      <t xml:space="preserve">May not be a government mandate. </t>
    </r>
    <r>
      <rPr>
        <sz val="11"/>
        <color theme="1"/>
        <rFont val="Aptos Narrow"/>
        <family val="2"/>
        <scheme val="minor"/>
      </rPr>
      <t>Bangkok Airways has announced a collaboration with PTT Oil and Retail Business (PTTOR) to incorporate SAF, starting at 1% of total consumption by 2026.</t>
    </r>
  </si>
  <si>
    <t>https://www.nationthailand.com/sustainability/renewable-green-energy/40040345</t>
  </si>
  <si>
    <t>Europe</t>
  </si>
  <si>
    <t>Requires aviation fuel suppliers to increased SAF supplied to EU ariportsFlights originating in the EU, regardless of destination</t>
  </si>
  <si>
    <t>https://www.easa.europa.eu/eco/eaer/topics/sustainable-aviation-fuels#:~:text=The%20European%20Commission%20has%20proposed,would%20be%20required%20by%202030.</t>
  </si>
  <si>
    <t>https://www.transportenvironment.org/articles/implementing-the-eus-e-saf-mandate#:~:text=Over%20the%20years%2C%20this%20mechanism,penalties%20between%202030%20and%202035.</t>
  </si>
  <si>
    <t>Estimated 2.3 mil tonnes required</t>
  </si>
  <si>
    <t>https://transport.ec.europa.eu/transport-modes/air/environment/refueleu-aviation_en</t>
  </si>
  <si>
    <t>63%/70%</t>
  </si>
  <si>
    <t>Found 2 different references for 2050 mandate</t>
  </si>
  <si>
    <t>Fuel suppliers must include at least 1.5% SAF in their deliveries to French airports.</t>
  </si>
  <si>
    <t>PtL Requirement</t>
  </si>
  <si>
    <t xml:space="preserve">A cap on the feedstocks used in the hydroprocessed esters &amp; fatty acids (HEFA) process, but not until other types of SAF are also commercially viable to recognise the important part that HEFA SAF will play in the 2020s. HEFA supply will not be limited under the mandate for the first 2 years, fall to 71% in 2030 &amp; still contribute 35% in 2040. </t>
  </si>
  <si>
    <t>https://safmagazine.com/articles/uk-saf-mandate-signed-into-law-government-launches-jet-zero-taskforce</t>
  </si>
  <si>
    <t>A separate obligation on power to liquid fuels from 2028 that reaches 3.5% of total jet fuel demand in 2040. From 2040, the obligation will remain at 22% until there is greater certainty regarding SAF supply.</t>
  </si>
  <si>
    <t>S Am</t>
  </si>
  <si>
    <t>This is set up as emissions - but what does that mean for the amount of SAF needed?</t>
  </si>
  <si>
    <t>https://www.mondaq.com/brazil/renewables/1529428/brazil-energy-journal-fuel-of-the-future-law</t>
  </si>
  <si>
    <t>As approved by the lower house of Brazil’s National Congress in March 2024, the bill – alongside establishing ethanol and biodiesel blending increases for commercial gasoline and diesel – will also create a new mandate for SAF. Starting in 2027, airlines will also be required to reduce their emissions 10% by 2037.</t>
  </si>
  <si>
    <t>https://www.gov.br/secom/en/latest-news/2024/09/brazils-ministry-of-mines-and-energy-advances-sustainable-aviation-fuels, https://aerospaceglobalnews.com/news/brazil-signs-fuel-of-the-future-programme-into-law/#:~:text=As%20approved%20by%20the%20lower,their%20emissions%2010%25%20by%202037.</t>
  </si>
  <si>
    <t>Canada</t>
  </si>
  <si>
    <t>N Am</t>
  </si>
  <si>
    <t>Carbon Intensity targets Nov 2023</t>
  </si>
  <si>
    <t>https://www2.gov.bc.ca/assets/gov/farming-natural-resources-and-industry/electricity-alternative-energy/transportation/renewable-low-carbon-fuels/aviation_fuel_regulation_update.pdf</t>
  </si>
  <si>
    <t>Located in the Aviation Climate Action plan dated 2022. Look for update to plan</t>
  </si>
  <si>
    <t>https://tc.canada.ca/sites/default/files/2022-11/canada-aviation-climate-action-plan-2022-2030.pdf</t>
  </si>
  <si>
    <t>Turkey</t>
  </si>
  <si>
    <t>MEA</t>
  </si>
  <si>
    <t>Proposed July 2024</t>
  </si>
  <si>
    <t>https://web.shgm.gov.tr/tr/mevzuat/7265-sht-saf-taslagi-hazirlanmis-olup-sektor-gorusune-acilmistir</t>
  </si>
  <si>
    <t>State</t>
  </si>
  <si>
    <t>End</t>
  </si>
  <si>
    <t>Incentive</t>
  </si>
  <si>
    <t>Amount</t>
  </si>
  <si>
    <t>Minnesota</t>
  </si>
  <si>
    <t>Tax Credit</t>
  </si>
  <si>
    <t>$1.50 per gallon</t>
  </si>
  <si>
    <t>Your credit amount equals $1.50 for each gallon of SAF that is both: - Produced in Minnesota or blended with aviation, gasoline, or jet fuel in Minnesota, AND - Sold in Minnesota to a purchaser who certifies that the SAF is for use as fuel in an aircraft departing from an airport in Minnesota</t>
  </si>
  <si>
    <t>https://www.mda.state.mn.us/environment-sustainability/sustainable-aviation-fuel-tax-credit</t>
  </si>
  <si>
    <t>Illinois</t>
  </si>
  <si>
    <t>Apply to SAF sold to or used by an airline common carrier in the state of Illinois. Credits are not applicable to SAF derived from palm/palm derivatives or soybean oil once purchases of soybean oil in the state have collectively exceeded 10 million gallons. Approved feedstocks include biomass resources, waste streams, renewable energy sources, or gaseous carbon oxides and can be sourced domestically or imported. Beginning June 1, 2028, feedstocks must be derived from domestic biomass resources solely.</t>
  </si>
  <si>
    <t>https://www.turnermason.com/blog/state-level-saf-incentives-advancing-the-ball-down-the-field/</t>
  </si>
  <si>
    <t>Washington</t>
  </si>
  <si>
    <t>$1.00 if achieve 50% reduction in CO2e then increases $0.02 for each add'l 1% reduction to a Max $2.00 per gallon</t>
  </si>
  <si>
    <t>Washington’s tax credit program was implemented July 1, 2023, and the tax credit goes into effect once the department receives notice that one or more facilities are operating with a cumulative production capacity of at least 20 million gallons of SAF per year. The tax credit expires nine calendar years after the close of the year in which the tax credit takes effect.</t>
  </si>
  <si>
    <t>Nebraska</t>
  </si>
  <si>
    <r>
      <rPr>
        <sz val="11"/>
        <color rgb="FFFF0000"/>
        <rFont val="Aptos Narrow"/>
        <family val="2"/>
        <scheme val="minor"/>
      </rPr>
      <t xml:space="preserve">$0.75 </t>
    </r>
    <r>
      <rPr>
        <sz val="11"/>
        <color rgb="FF000000"/>
        <rFont val="Aptos Narrow"/>
        <family val="2"/>
        <scheme val="minor"/>
      </rPr>
      <t>if achieve 50% reduction in CO2e then increases $0.01 for each add'l 1% reduction to a max of</t>
    </r>
    <r>
      <rPr>
        <sz val="11"/>
        <color rgb="FFFF0000"/>
        <rFont val="Aptos Narrow"/>
        <family val="2"/>
        <scheme val="minor"/>
      </rPr>
      <t xml:space="preserve"> $1.25 </t>
    </r>
    <r>
      <rPr>
        <sz val="11"/>
        <color rgb="FF000000"/>
        <rFont val="Aptos Narrow"/>
        <family val="2"/>
        <scheme val="minor"/>
      </rPr>
      <t>per gallon. Max $500,000 per fiscal year</t>
    </r>
  </si>
  <si>
    <t>SAF must not be derived from coprocessing (applicable material or feedstock that is not biomass) or from palm/palm derivatives.</t>
  </si>
  <si>
    <t>Changed credit from [$1.00 to max of $1.50] to [$0.75 to max of $1.25] based on this source: https://ethanol.nebraska.gov/ethanol-101/industry-innovation/sustainable-aviation-fuel.html</t>
  </si>
  <si>
    <t>California</t>
  </si>
  <si>
    <t>Low Carbon Fuel Std</t>
  </si>
  <si>
    <t>Aviation fuels as ‘opt-in’ fuels whereby SAF can generate credits; however, conventional jet fuel use is not penalised</t>
  </si>
  <si>
    <t>Oregon</t>
  </si>
  <si>
    <t>New Mexico</t>
  </si>
  <si>
    <t>Clean Transportation Fuel Standard</t>
  </si>
  <si>
    <t>NMED’s Climate Change Bureau (CCB) plans to propose CTFS rules to the Environmental Impact Board by the end of 2024.</t>
  </si>
  <si>
    <t>https://www.env.nm.gov/climate-change-bureau/clean-fuel-standard/</t>
  </si>
  <si>
    <t>rulemaking will take a bit longer - process is described at the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</si>
</sst>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14">
    <font>
      <sz val="11"/>
      <color theme="1"/>
      <name val="Aptos Narrow"/>
      <family val="2"/>
      <scheme val="minor"/>
    </font>
    <font>
      <sz val="11"/>
      <color theme="1"/>
      <name val="Aptos Narrow"/>
      <family val="2"/>
      <scheme val="minor"/>
    </font>
    <font>
      <sz val="11"/>
      <color rgb="FFFF0000"/>
      <name val="Aptos Narrow"/>
      <family val="2"/>
      <scheme val="minor"/>
    </font>
    <font>
      <sz val="12"/>
      <color theme="0"/>
      <name val="Aptos Narrow"/>
      <family val="2"/>
      <scheme val="minor"/>
    </font>
    <font>
      <sz val="9"/>
      <color theme="1"/>
      <name val="Brown"/>
    </font>
    <font>
      <b/>
      <sz val="11"/>
      <color rgb="FFFF0000"/>
      <name val="Aptos Narrow"/>
      <family val="2"/>
      <scheme val="minor"/>
    </font>
    <font>
      <sz val="11"/>
      <name val="Aptos Narrow"/>
      <family val="2"/>
      <scheme val="minor"/>
    </font>
    <font>
      <sz val="10"/>
      <color theme="1"/>
      <name val="Aptos Narrow"/>
      <family val="2"/>
      <scheme val="minor"/>
    </font>
    <font>
      <sz val="10"/>
      <color rgb="FF1A202C"/>
      <name val="Aptos Narrow"/>
      <family val="2"/>
      <scheme val="minor"/>
    </font>
    <font>
      <u/>
      <sz val="11"/>
      <color theme="10"/>
      <name val="Aptos Narrow"/>
      <family val="2"/>
      <scheme val="minor"/>
    </font>
    <font>
      <sz val="11"/>
      <color rgb="FFFF0000"/>
      <name val="Aptos Narrow"/>
      <family val="2"/>
    </font>
    <font>
      <sz val="11"/>
      <color rgb="FF222222"/>
      <name val="Aptos Narrow"/>
      <family val="2"/>
      <scheme val="minor"/>
    </font>
    <font>
      <b/>
      <sz val="11"/>
      <color rgb="FFFF0000"/>
      <name val="Aptos Narrow"/>
      <family val="2"/>
    </font>
    <font>
      <sz val="11"/>
      <color rgb="FF000000"/>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9" fillId="0" borderId="0" applyNumberFormat="0" applyFill="0" applyBorder="0" applyAlignment="0" applyProtection="0"/>
  </cellStyleXfs>
  <cellXfs count="32">
    <xf numFmtId="0" fontId="0" fillId="0" borderId="0" xfId="0"/>
    <xf numFmtId="0" fontId="3" fillId="2" borderId="0" xfId="0" applyFont="1" applyFill="1" applyAlignment="1">
      <alignment horizontal="center"/>
    </xf>
    <xf numFmtId="164" fontId="3" fillId="2" borderId="0" xfId="1" applyNumberFormat="1" applyFont="1" applyFill="1" applyAlignment="1">
      <alignment horizontal="center"/>
    </xf>
    <xf numFmtId="0" fontId="3" fillId="2" borderId="0" xfId="0" applyFont="1" applyFill="1" applyAlignment="1">
      <alignment horizontal="center" wrapText="1"/>
    </xf>
    <xf numFmtId="14" fontId="0" fillId="0" borderId="0" xfId="0" applyNumberFormat="1"/>
    <xf numFmtId="164" fontId="0" fillId="0" borderId="0" xfId="1" applyNumberFormat="1" applyFont="1" applyFill="1"/>
    <xf numFmtId="0" fontId="0" fillId="0" borderId="0" xfId="0" applyAlignment="1">
      <alignment wrapText="1"/>
    </xf>
    <xf numFmtId="3" fontId="4" fillId="0" borderId="0" xfId="0" applyNumberFormat="1" applyFont="1"/>
    <xf numFmtId="0" fontId="5" fillId="0" borderId="0" xfId="0" applyFont="1" applyAlignment="1">
      <alignment wrapText="1"/>
    </xf>
    <xf numFmtId="164" fontId="0" fillId="0" borderId="0" xfId="1" applyNumberFormat="1" applyFont="1" applyFill="1" applyAlignment="1">
      <alignment wrapText="1"/>
    </xf>
    <xf numFmtId="14" fontId="6" fillId="0" borderId="0" xfId="0" applyNumberFormat="1" applyFont="1"/>
    <xf numFmtId="0" fontId="6" fillId="0" borderId="0" xfId="0" applyFont="1"/>
    <xf numFmtId="164" fontId="6" fillId="0" borderId="0" xfId="1" applyNumberFormat="1" applyFont="1" applyFill="1"/>
    <xf numFmtId="0" fontId="6" fillId="0" borderId="0" xfId="0" applyFont="1" applyAlignment="1">
      <alignment wrapText="1"/>
    </xf>
    <xf numFmtId="17" fontId="0" fillId="0" borderId="0" xfId="0" applyNumberFormat="1"/>
    <xf numFmtId="14" fontId="7" fillId="0" borderId="0" xfId="0" applyNumberFormat="1" applyFont="1" applyAlignment="1">
      <alignment wrapText="1"/>
    </xf>
    <xf numFmtId="0" fontId="7" fillId="0" borderId="0" xfId="0" applyFont="1" applyAlignment="1">
      <alignment wrapText="1"/>
    </xf>
    <xf numFmtId="164" fontId="7" fillId="0" borderId="0" xfId="1" applyNumberFormat="1" applyFont="1" applyFill="1" applyAlignment="1">
      <alignment wrapText="1"/>
    </xf>
    <xf numFmtId="0" fontId="8" fillId="0" borderId="0" xfId="0" applyFont="1" applyAlignment="1">
      <alignment wrapText="1"/>
    </xf>
    <xf numFmtId="0" fontId="7" fillId="0" borderId="0" xfId="0" applyFont="1"/>
    <xf numFmtId="0" fontId="0" fillId="0" borderId="0" xfId="0" applyAlignment="1">
      <alignment horizontal="left"/>
    </xf>
    <xf numFmtId="9" fontId="0" fillId="0" borderId="0" xfId="0" applyNumberFormat="1"/>
    <xf numFmtId="0" fontId="9" fillId="0" borderId="0" xfId="2" applyAlignment="1">
      <alignment wrapText="1"/>
    </xf>
    <xf numFmtId="0" fontId="2" fillId="0" borderId="0" xfId="0" applyFont="1"/>
    <xf numFmtId="9" fontId="2" fillId="0" borderId="0" xfId="0" applyNumberFormat="1" applyFont="1"/>
    <xf numFmtId="0" fontId="2" fillId="0" borderId="0" xfId="0" applyFont="1" applyAlignment="1">
      <alignment wrapText="1"/>
    </xf>
    <xf numFmtId="165" fontId="0" fillId="0" borderId="0" xfId="0" applyNumberFormat="1"/>
    <xf numFmtId="0" fontId="0" fillId="0" borderId="0" xfId="0" applyAlignment="1">
      <alignment horizontal="right"/>
    </xf>
    <xf numFmtId="9" fontId="2" fillId="0" borderId="0" xfId="0" applyNumberFormat="1" applyFont="1" applyAlignment="1">
      <alignment horizontal="right"/>
    </xf>
    <xf numFmtId="10" fontId="0" fillId="0" borderId="0" xfId="0" applyNumberFormat="1"/>
    <xf numFmtId="0" fontId="6" fillId="0" borderId="0" xfId="2" applyFont="1" applyAlignment="1">
      <alignment wrapText="1"/>
    </xf>
    <xf numFmtId="0" fontId="2" fillId="0" borderId="0" xfId="2" applyFont="1"/>
  </cellXfs>
  <cellStyles count="3">
    <cellStyle name="Comma" xfId="1" builtinId="3"/>
    <cellStyle name="Hyperlink" xfId="2" builtinId="8"/>
    <cellStyle name="Normal" xfId="0" builtinId="0"/>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sharedStrings" Target="sharedStrings.xml"/><Relationship Id="rId5" Type="http://schemas.openxmlformats.org/officeDocument/2006/relationships/worksheet" Target="worksheets/sheet4.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24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2400" b="1"/>
              <a:t>Announced</a:t>
            </a:r>
            <a:r>
              <a:rPr lang="en-GB" sz="2400" b="1" baseline="0"/>
              <a:t> Offtake Agreements Rise on CORSIA and IRA Passage</a:t>
            </a:r>
            <a:endParaRPr lang="en-GB" sz="2400" b="1"/>
          </a:p>
        </c:rich>
      </c:tx>
      <c:overlay val="0"/>
      <c:spPr>
        <a:noFill/>
        <a:ln>
          <a:noFill/>
        </a:ln>
        <a:effectLst/>
      </c:spPr>
      <c:txPr>
        <a:bodyPr rot="0" spcFirstLastPara="1" vertOverflow="ellipsis" vert="horz" wrap="square" anchor="ctr" anchorCtr="1"/>
        <a:lstStyle/>
        <a:p>
          <a:pPr algn="l">
            <a:defRPr sz="24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GB"/>
        </a:p>
      </c:txPr>
    </c:title>
    <c:autoTitleDeleted val="0"/>
    <c:plotArea>
      <c:layout>
        <c:manualLayout>
          <c:layoutTarget val="inner"/>
          <c:xMode val="edge"/>
          <c:yMode val="edge"/>
          <c:x val="8.9688491331473108E-2"/>
          <c:y val="0.17230942252307127"/>
          <c:w val="0.89528948155941335"/>
          <c:h val="0.6422047199571973"/>
        </c:manualLayout>
      </c:layout>
      <c:lineChart>
        <c:grouping val="standard"/>
        <c:varyColors val="0"/>
        <c:ser>
          <c:idx val="0"/>
          <c:order val="0"/>
          <c:spPr>
            <a:ln w="15875" cap="rnd">
              <a:solidFill>
                <a:srgbClr val="6F0791"/>
              </a:solidFill>
              <a:round/>
            </a:ln>
            <a:effectLst/>
          </c:spPr>
          <c:marker>
            <c:symbol val="circle"/>
            <c:size val="5"/>
            <c:spPr>
              <a:solidFill>
                <a:schemeClr val="bg1"/>
              </a:solidFill>
              <a:ln w="15875">
                <a:solidFill>
                  <a:srgbClr val="6F0791"/>
                </a:solidFill>
              </a:ln>
              <a:effectLst/>
            </c:spPr>
          </c:marker>
          <c:dLbls>
            <c:dLbl>
              <c:idx val="1"/>
              <c:delete val="1"/>
              <c:extLst>
                <c:ext xmlns:c15="http://schemas.microsoft.com/office/drawing/2012/chart" uri="{CE6537A1-D6FC-4f65-9D91-7224C49458BB}"/>
                <c:ext xmlns:c16="http://schemas.microsoft.com/office/drawing/2014/chart" uri="{C3380CC4-5D6E-409C-BE32-E72D297353CC}">
                  <c16:uniqueId val="{0000003E-47C8-4E2B-9B04-F905E14FEF48}"/>
                </c:ext>
              </c:extLst>
            </c:dLbl>
            <c:dLbl>
              <c:idx val="2"/>
              <c:delete val="1"/>
              <c:extLst>
                <c:ext xmlns:c15="http://schemas.microsoft.com/office/drawing/2012/chart" uri="{CE6537A1-D6FC-4f65-9D91-7224C49458BB}"/>
                <c:ext xmlns:c16="http://schemas.microsoft.com/office/drawing/2014/chart" uri="{C3380CC4-5D6E-409C-BE32-E72D297353CC}">
                  <c16:uniqueId val="{0000003D-47C8-4E2B-9B04-F905E14FEF48}"/>
                </c:ext>
              </c:extLst>
            </c:dLbl>
            <c:dLbl>
              <c:idx val="3"/>
              <c:delete val="1"/>
              <c:extLst>
                <c:ext xmlns:c15="http://schemas.microsoft.com/office/drawing/2012/chart" uri="{CE6537A1-D6FC-4f65-9D91-7224C49458BB}"/>
                <c:ext xmlns:c16="http://schemas.microsoft.com/office/drawing/2014/chart" uri="{C3380CC4-5D6E-409C-BE32-E72D297353CC}">
                  <c16:uniqueId val="{0000003C-47C8-4E2B-9B04-F905E14FEF48}"/>
                </c:ext>
              </c:extLst>
            </c:dLbl>
            <c:dLbl>
              <c:idx val="4"/>
              <c:delete val="1"/>
              <c:extLst>
                <c:ext xmlns:c15="http://schemas.microsoft.com/office/drawing/2012/chart" uri="{CE6537A1-D6FC-4f65-9D91-7224C49458BB}"/>
                <c:ext xmlns:c16="http://schemas.microsoft.com/office/drawing/2014/chart" uri="{C3380CC4-5D6E-409C-BE32-E72D297353CC}">
                  <c16:uniqueId val="{0000003B-47C8-4E2B-9B04-F905E14FEF48}"/>
                </c:ext>
              </c:extLst>
            </c:dLbl>
            <c:dLbl>
              <c:idx val="5"/>
              <c:delete val="1"/>
              <c:extLst>
                <c:ext xmlns:c15="http://schemas.microsoft.com/office/drawing/2012/chart" uri="{CE6537A1-D6FC-4f65-9D91-7224C49458BB}"/>
                <c:ext xmlns:c16="http://schemas.microsoft.com/office/drawing/2014/chart" uri="{C3380CC4-5D6E-409C-BE32-E72D297353CC}">
                  <c16:uniqueId val="{0000003A-47C8-4E2B-9B04-F905E14FEF48}"/>
                </c:ext>
              </c:extLst>
            </c:dLbl>
            <c:dLbl>
              <c:idx val="6"/>
              <c:delete val="1"/>
              <c:extLst>
                <c:ext xmlns:c15="http://schemas.microsoft.com/office/drawing/2012/chart" uri="{CE6537A1-D6FC-4f65-9D91-7224C49458BB}"/>
                <c:ext xmlns:c16="http://schemas.microsoft.com/office/drawing/2014/chart" uri="{C3380CC4-5D6E-409C-BE32-E72D297353CC}">
                  <c16:uniqueId val="{00000039-47C8-4E2B-9B04-F905E14FEF48}"/>
                </c:ext>
              </c:extLst>
            </c:dLbl>
            <c:dLbl>
              <c:idx val="7"/>
              <c:delete val="1"/>
              <c:extLst>
                <c:ext xmlns:c15="http://schemas.microsoft.com/office/drawing/2012/chart" uri="{CE6537A1-D6FC-4f65-9D91-7224C49458BB}"/>
                <c:ext xmlns:c16="http://schemas.microsoft.com/office/drawing/2014/chart" uri="{C3380CC4-5D6E-409C-BE32-E72D297353CC}">
                  <c16:uniqueId val="{00000037-47C8-4E2B-9B04-F905E14FEF48}"/>
                </c:ext>
              </c:extLst>
            </c:dLbl>
            <c:dLbl>
              <c:idx val="8"/>
              <c:delete val="1"/>
              <c:extLst>
                <c:ext xmlns:c15="http://schemas.microsoft.com/office/drawing/2012/chart" uri="{CE6537A1-D6FC-4f65-9D91-7224C49458BB}"/>
                <c:ext xmlns:c16="http://schemas.microsoft.com/office/drawing/2014/chart" uri="{C3380CC4-5D6E-409C-BE32-E72D297353CC}">
                  <c16:uniqueId val="{00000038-47C8-4E2B-9B04-F905E14FEF48}"/>
                </c:ext>
              </c:extLst>
            </c:dLbl>
            <c:dLbl>
              <c:idx val="9"/>
              <c:delete val="1"/>
              <c:extLst>
                <c:ext xmlns:c15="http://schemas.microsoft.com/office/drawing/2012/chart" uri="{CE6537A1-D6FC-4f65-9D91-7224C49458BB}"/>
                <c:ext xmlns:c16="http://schemas.microsoft.com/office/drawing/2014/chart" uri="{C3380CC4-5D6E-409C-BE32-E72D297353CC}">
                  <c16:uniqueId val="{00000036-47C8-4E2B-9B04-F905E14FEF48}"/>
                </c:ext>
              </c:extLst>
            </c:dLbl>
            <c:dLbl>
              <c:idx val="10"/>
              <c:delete val="1"/>
              <c:extLst>
                <c:ext xmlns:c15="http://schemas.microsoft.com/office/drawing/2012/chart" uri="{CE6537A1-D6FC-4f65-9D91-7224C49458BB}"/>
                <c:ext xmlns:c16="http://schemas.microsoft.com/office/drawing/2014/chart" uri="{C3380CC4-5D6E-409C-BE32-E72D297353CC}">
                  <c16:uniqueId val="{00000035-47C8-4E2B-9B04-F905E14FEF48}"/>
                </c:ext>
              </c:extLst>
            </c:dLbl>
            <c:dLbl>
              <c:idx val="11"/>
              <c:delete val="1"/>
              <c:extLst>
                <c:ext xmlns:c15="http://schemas.microsoft.com/office/drawing/2012/chart" uri="{CE6537A1-D6FC-4f65-9D91-7224C49458BB}"/>
                <c:ext xmlns:c16="http://schemas.microsoft.com/office/drawing/2014/chart" uri="{C3380CC4-5D6E-409C-BE32-E72D297353CC}">
                  <c16:uniqueId val="{00000034-47C8-4E2B-9B04-F905E14FEF48}"/>
                </c:ext>
              </c:extLst>
            </c:dLbl>
            <c:dLbl>
              <c:idx val="12"/>
              <c:delete val="1"/>
              <c:extLst>
                <c:ext xmlns:c15="http://schemas.microsoft.com/office/drawing/2012/chart" uri="{CE6537A1-D6FC-4f65-9D91-7224C49458BB}"/>
                <c:ext xmlns:c16="http://schemas.microsoft.com/office/drawing/2014/chart" uri="{C3380CC4-5D6E-409C-BE32-E72D297353CC}">
                  <c16:uniqueId val="{00000033-47C8-4E2B-9B04-F905E14FEF48}"/>
                </c:ext>
              </c:extLst>
            </c:dLbl>
            <c:dLbl>
              <c:idx val="13"/>
              <c:delete val="1"/>
              <c:extLst>
                <c:ext xmlns:c15="http://schemas.microsoft.com/office/drawing/2012/chart" uri="{CE6537A1-D6FC-4f65-9D91-7224C49458BB}"/>
                <c:ext xmlns:c16="http://schemas.microsoft.com/office/drawing/2014/chart" uri="{C3380CC4-5D6E-409C-BE32-E72D297353CC}">
                  <c16:uniqueId val="{00000032-47C8-4E2B-9B04-F905E14FEF48}"/>
                </c:ext>
              </c:extLst>
            </c:dLbl>
            <c:dLbl>
              <c:idx val="16"/>
              <c:delete val="1"/>
              <c:extLst>
                <c:ext xmlns:c15="http://schemas.microsoft.com/office/drawing/2012/chart" uri="{CE6537A1-D6FC-4f65-9D91-7224C49458BB}"/>
                <c:ext xmlns:c16="http://schemas.microsoft.com/office/drawing/2014/chart" uri="{C3380CC4-5D6E-409C-BE32-E72D297353CC}">
                  <c16:uniqueId val="{00000031-47C8-4E2B-9B04-F905E14FEF48}"/>
                </c:ext>
              </c:extLst>
            </c:dLbl>
            <c:dLbl>
              <c:idx val="17"/>
              <c:delete val="1"/>
              <c:extLst>
                <c:ext xmlns:c15="http://schemas.microsoft.com/office/drawing/2012/chart" uri="{CE6537A1-D6FC-4f65-9D91-7224C49458BB}"/>
                <c:ext xmlns:c16="http://schemas.microsoft.com/office/drawing/2014/chart" uri="{C3380CC4-5D6E-409C-BE32-E72D297353CC}">
                  <c16:uniqueId val="{00000030-47C8-4E2B-9B04-F905E14FEF48}"/>
                </c:ext>
              </c:extLst>
            </c:dLbl>
            <c:dLbl>
              <c:idx val="18"/>
              <c:delete val="1"/>
              <c:extLst>
                <c:ext xmlns:c15="http://schemas.microsoft.com/office/drawing/2012/chart" uri="{CE6537A1-D6FC-4f65-9D91-7224C49458BB}"/>
                <c:ext xmlns:c16="http://schemas.microsoft.com/office/drawing/2014/chart" uri="{C3380CC4-5D6E-409C-BE32-E72D297353CC}">
                  <c16:uniqueId val="{0000002F-47C8-4E2B-9B04-F905E14FEF48}"/>
                </c:ext>
              </c:extLst>
            </c:dLbl>
            <c:dLbl>
              <c:idx val="19"/>
              <c:delete val="1"/>
              <c:extLst>
                <c:ext xmlns:c15="http://schemas.microsoft.com/office/drawing/2012/chart" uri="{CE6537A1-D6FC-4f65-9D91-7224C49458BB}"/>
                <c:ext xmlns:c16="http://schemas.microsoft.com/office/drawing/2014/chart" uri="{C3380CC4-5D6E-409C-BE32-E72D297353CC}">
                  <c16:uniqueId val="{0000002E-47C8-4E2B-9B04-F905E14FEF48}"/>
                </c:ext>
              </c:extLst>
            </c:dLbl>
            <c:dLbl>
              <c:idx val="20"/>
              <c:delete val="1"/>
              <c:extLst>
                <c:ext xmlns:c15="http://schemas.microsoft.com/office/drawing/2012/chart" uri="{CE6537A1-D6FC-4f65-9D91-7224C49458BB}"/>
                <c:ext xmlns:c16="http://schemas.microsoft.com/office/drawing/2014/chart" uri="{C3380CC4-5D6E-409C-BE32-E72D297353CC}">
                  <c16:uniqueId val="{0000002D-47C8-4E2B-9B04-F905E14FEF48}"/>
                </c:ext>
              </c:extLst>
            </c:dLbl>
            <c:dLbl>
              <c:idx val="21"/>
              <c:delete val="1"/>
              <c:extLst>
                <c:ext xmlns:c15="http://schemas.microsoft.com/office/drawing/2012/chart" uri="{CE6537A1-D6FC-4f65-9D91-7224C49458BB}"/>
                <c:ext xmlns:c16="http://schemas.microsoft.com/office/drawing/2014/chart" uri="{C3380CC4-5D6E-409C-BE32-E72D297353CC}">
                  <c16:uniqueId val="{0000002C-47C8-4E2B-9B04-F905E14FEF48}"/>
                </c:ext>
              </c:extLst>
            </c:dLbl>
            <c:dLbl>
              <c:idx val="22"/>
              <c:delete val="1"/>
              <c:extLst>
                <c:ext xmlns:c15="http://schemas.microsoft.com/office/drawing/2012/chart" uri="{CE6537A1-D6FC-4f65-9D91-7224C49458BB}"/>
                <c:ext xmlns:c16="http://schemas.microsoft.com/office/drawing/2014/chart" uri="{C3380CC4-5D6E-409C-BE32-E72D297353CC}">
                  <c16:uniqueId val="{0000002B-47C8-4E2B-9B04-F905E14FEF48}"/>
                </c:ext>
              </c:extLst>
            </c:dLbl>
            <c:dLbl>
              <c:idx val="23"/>
              <c:delete val="1"/>
              <c:extLst>
                <c:ext xmlns:c15="http://schemas.microsoft.com/office/drawing/2012/chart" uri="{CE6537A1-D6FC-4f65-9D91-7224C49458BB}"/>
                <c:ext xmlns:c16="http://schemas.microsoft.com/office/drawing/2014/chart" uri="{C3380CC4-5D6E-409C-BE32-E72D297353CC}">
                  <c16:uniqueId val="{0000002A-47C8-4E2B-9B04-F905E14FEF48}"/>
                </c:ext>
              </c:extLst>
            </c:dLbl>
            <c:dLbl>
              <c:idx val="26"/>
              <c:delete val="1"/>
              <c:extLst>
                <c:ext xmlns:c15="http://schemas.microsoft.com/office/drawing/2012/chart" uri="{CE6537A1-D6FC-4f65-9D91-7224C49458BB}"/>
                <c:ext xmlns:c16="http://schemas.microsoft.com/office/drawing/2014/chart" uri="{C3380CC4-5D6E-409C-BE32-E72D297353CC}">
                  <c16:uniqueId val="{00000029-47C8-4E2B-9B04-F905E14FEF48}"/>
                </c:ext>
              </c:extLst>
            </c:dLbl>
            <c:dLbl>
              <c:idx val="27"/>
              <c:delete val="1"/>
              <c:extLst>
                <c:ext xmlns:c15="http://schemas.microsoft.com/office/drawing/2012/chart" uri="{CE6537A1-D6FC-4f65-9D91-7224C49458BB}"/>
                <c:ext xmlns:c16="http://schemas.microsoft.com/office/drawing/2014/chart" uri="{C3380CC4-5D6E-409C-BE32-E72D297353CC}">
                  <c16:uniqueId val="{00000028-47C8-4E2B-9B04-F905E14FEF48}"/>
                </c:ext>
              </c:extLst>
            </c:dLbl>
            <c:dLbl>
              <c:idx val="28"/>
              <c:delete val="1"/>
              <c:extLst>
                <c:ext xmlns:c15="http://schemas.microsoft.com/office/drawing/2012/chart" uri="{CE6537A1-D6FC-4f65-9D91-7224C49458BB}"/>
                <c:ext xmlns:c16="http://schemas.microsoft.com/office/drawing/2014/chart" uri="{C3380CC4-5D6E-409C-BE32-E72D297353CC}">
                  <c16:uniqueId val="{00000027-47C8-4E2B-9B04-F905E14FEF48}"/>
                </c:ext>
              </c:extLst>
            </c:dLbl>
            <c:dLbl>
              <c:idx val="29"/>
              <c:delete val="1"/>
              <c:extLst>
                <c:ext xmlns:c15="http://schemas.microsoft.com/office/drawing/2012/chart" uri="{CE6537A1-D6FC-4f65-9D91-7224C49458BB}"/>
                <c:ext xmlns:c16="http://schemas.microsoft.com/office/drawing/2014/chart" uri="{C3380CC4-5D6E-409C-BE32-E72D297353CC}">
                  <c16:uniqueId val="{00000026-47C8-4E2B-9B04-F905E14FEF48}"/>
                </c:ext>
              </c:extLst>
            </c:dLbl>
            <c:dLbl>
              <c:idx val="30"/>
              <c:delete val="1"/>
              <c:extLst>
                <c:ext xmlns:c15="http://schemas.microsoft.com/office/drawing/2012/chart" uri="{CE6537A1-D6FC-4f65-9D91-7224C49458BB}"/>
                <c:ext xmlns:c16="http://schemas.microsoft.com/office/drawing/2014/chart" uri="{C3380CC4-5D6E-409C-BE32-E72D297353CC}">
                  <c16:uniqueId val="{00000025-47C8-4E2B-9B04-F905E14FEF48}"/>
                </c:ext>
              </c:extLst>
            </c:dLbl>
            <c:dLbl>
              <c:idx val="31"/>
              <c:delete val="1"/>
              <c:extLst>
                <c:ext xmlns:c15="http://schemas.microsoft.com/office/drawing/2012/chart" uri="{CE6537A1-D6FC-4f65-9D91-7224C49458BB}"/>
                <c:ext xmlns:c16="http://schemas.microsoft.com/office/drawing/2014/chart" uri="{C3380CC4-5D6E-409C-BE32-E72D297353CC}">
                  <c16:uniqueId val="{00000024-47C8-4E2B-9B04-F905E14FEF48}"/>
                </c:ext>
              </c:extLst>
            </c:dLbl>
            <c:dLbl>
              <c:idx val="32"/>
              <c:delete val="1"/>
              <c:extLst>
                <c:ext xmlns:c15="http://schemas.microsoft.com/office/drawing/2012/chart" uri="{CE6537A1-D6FC-4f65-9D91-7224C49458BB}"/>
                <c:ext xmlns:c16="http://schemas.microsoft.com/office/drawing/2014/chart" uri="{C3380CC4-5D6E-409C-BE32-E72D297353CC}">
                  <c16:uniqueId val="{00000023-47C8-4E2B-9B04-F905E14FEF48}"/>
                </c:ext>
              </c:extLst>
            </c:dLbl>
            <c:dLbl>
              <c:idx val="33"/>
              <c:delete val="1"/>
              <c:extLst>
                <c:ext xmlns:c15="http://schemas.microsoft.com/office/drawing/2012/chart" uri="{CE6537A1-D6FC-4f65-9D91-7224C49458BB}"/>
                <c:ext xmlns:c16="http://schemas.microsoft.com/office/drawing/2014/chart" uri="{C3380CC4-5D6E-409C-BE32-E72D297353CC}">
                  <c16:uniqueId val="{00000022-47C8-4E2B-9B04-F905E14FEF48}"/>
                </c:ext>
              </c:extLst>
            </c:dLbl>
            <c:dLbl>
              <c:idx val="34"/>
              <c:delete val="1"/>
              <c:extLst>
                <c:ext xmlns:c15="http://schemas.microsoft.com/office/drawing/2012/chart" uri="{CE6537A1-D6FC-4f65-9D91-7224C49458BB}"/>
                <c:ext xmlns:c16="http://schemas.microsoft.com/office/drawing/2014/chart" uri="{C3380CC4-5D6E-409C-BE32-E72D297353CC}">
                  <c16:uniqueId val="{00000021-47C8-4E2B-9B04-F905E14FEF48}"/>
                </c:ext>
              </c:extLst>
            </c:dLbl>
            <c:dLbl>
              <c:idx val="35"/>
              <c:delete val="1"/>
              <c:extLst>
                <c:ext xmlns:c15="http://schemas.microsoft.com/office/drawing/2012/chart" uri="{CE6537A1-D6FC-4f65-9D91-7224C49458BB}"/>
                <c:ext xmlns:c16="http://schemas.microsoft.com/office/drawing/2014/chart" uri="{C3380CC4-5D6E-409C-BE32-E72D297353CC}">
                  <c16:uniqueId val="{00000020-47C8-4E2B-9B04-F905E14FEF48}"/>
                </c:ext>
              </c:extLst>
            </c:dLbl>
            <c:dLbl>
              <c:idx val="36"/>
              <c:delete val="1"/>
              <c:extLst>
                <c:ext xmlns:c15="http://schemas.microsoft.com/office/drawing/2012/chart" uri="{CE6537A1-D6FC-4f65-9D91-7224C49458BB}"/>
                <c:ext xmlns:c16="http://schemas.microsoft.com/office/drawing/2014/chart" uri="{C3380CC4-5D6E-409C-BE32-E72D297353CC}">
                  <c16:uniqueId val="{0000001F-47C8-4E2B-9B04-F905E14FEF48}"/>
                </c:ext>
              </c:extLst>
            </c:dLbl>
            <c:dLbl>
              <c:idx val="37"/>
              <c:delete val="1"/>
              <c:extLst>
                <c:ext xmlns:c15="http://schemas.microsoft.com/office/drawing/2012/chart" uri="{CE6537A1-D6FC-4f65-9D91-7224C49458BB}"/>
                <c:ext xmlns:c16="http://schemas.microsoft.com/office/drawing/2014/chart" uri="{C3380CC4-5D6E-409C-BE32-E72D297353CC}">
                  <c16:uniqueId val="{0000001E-47C8-4E2B-9B04-F905E14FEF48}"/>
                </c:ext>
              </c:extLst>
            </c:dLbl>
            <c:dLbl>
              <c:idx val="38"/>
              <c:delete val="1"/>
              <c:extLst>
                <c:ext xmlns:c15="http://schemas.microsoft.com/office/drawing/2012/chart" uri="{CE6537A1-D6FC-4f65-9D91-7224C49458BB}"/>
                <c:ext xmlns:c16="http://schemas.microsoft.com/office/drawing/2014/chart" uri="{C3380CC4-5D6E-409C-BE32-E72D297353CC}">
                  <c16:uniqueId val="{0000001D-47C8-4E2B-9B04-F905E14FEF48}"/>
                </c:ext>
              </c:extLst>
            </c:dLbl>
            <c:dLbl>
              <c:idx val="40"/>
              <c:delete val="1"/>
              <c:extLst>
                <c:ext xmlns:c15="http://schemas.microsoft.com/office/drawing/2012/chart" uri="{CE6537A1-D6FC-4f65-9D91-7224C49458BB}"/>
                <c:ext xmlns:c16="http://schemas.microsoft.com/office/drawing/2014/chart" uri="{C3380CC4-5D6E-409C-BE32-E72D297353CC}">
                  <c16:uniqueId val="{0000001C-47C8-4E2B-9B04-F905E14FEF48}"/>
                </c:ext>
              </c:extLst>
            </c:dLbl>
            <c:dLbl>
              <c:idx val="42"/>
              <c:delete val="1"/>
              <c:extLst>
                <c:ext xmlns:c15="http://schemas.microsoft.com/office/drawing/2012/chart" uri="{CE6537A1-D6FC-4f65-9D91-7224C49458BB}"/>
                <c:ext xmlns:c16="http://schemas.microsoft.com/office/drawing/2014/chart" uri="{C3380CC4-5D6E-409C-BE32-E72D297353CC}">
                  <c16:uniqueId val="{0000001B-47C8-4E2B-9B04-F905E14FEF48}"/>
                </c:ext>
              </c:extLst>
            </c:dLbl>
            <c:dLbl>
              <c:idx val="43"/>
              <c:delete val="1"/>
              <c:extLst>
                <c:ext xmlns:c15="http://schemas.microsoft.com/office/drawing/2012/chart" uri="{CE6537A1-D6FC-4f65-9D91-7224C49458BB}"/>
                <c:ext xmlns:c16="http://schemas.microsoft.com/office/drawing/2014/chart" uri="{C3380CC4-5D6E-409C-BE32-E72D297353CC}">
                  <c16:uniqueId val="{0000001A-47C8-4E2B-9B04-F905E14FEF48}"/>
                </c:ext>
              </c:extLst>
            </c:dLbl>
            <c:dLbl>
              <c:idx val="44"/>
              <c:delete val="1"/>
              <c:extLst>
                <c:ext xmlns:c15="http://schemas.microsoft.com/office/drawing/2012/chart" uri="{CE6537A1-D6FC-4f65-9D91-7224C49458BB}"/>
                <c:ext xmlns:c16="http://schemas.microsoft.com/office/drawing/2014/chart" uri="{C3380CC4-5D6E-409C-BE32-E72D297353CC}">
                  <c16:uniqueId val="{00000019-47C8-4E2B-9B04-F905E14FEF48}"/>
                </c:ext>
              </c:extLst>
            </c:dLbl>
            <c:dLbl>
              <c:idx val="45"/>
              <c:delete val="1"/>
              <c:extLst>
                <c:ext xmlns:c15="http://schemas.microsoft.com/office/drawing/2012/chart" uri="{CE6537A1-D6FC-4f65-9D91-7224C49458BB}"/>
                <c:ext xmlns:c16="http://schemas.microsoft.com/office/drawing/2014/chart" uri="{C3380CC4-5D6E-409C-BE32-E72D297353CC}">
                  <c16:uniqueId val="{00000018-47C8-4E2B-9B04-F905E14FEF48}"/>
                </c:ext>
              </c:extLst>
            </c:dLbl>
            <c:dLbl>
              <c:idx val="46"/>
              <c:delete val="1"/>
              <c:extLst>
                <c:ext xmlns:c15="http://schemas.microsoft.com/office/drawing/2012/chart" uri="{CE6537A1-D6FC-4f65-9D91-7224C49458BB}"/>
                <c:ext xmlns:c16="http://schemas.microsoft.com/office/drawing/2014/chart" uri="{C3380CC4-5D6E-409C-BE32-E72D297353CC}">
                  <c16:uniqueId val="{00000017-47C8-4E2B-9B04-F905E14FEF48}"/>
                </c:ext>
              </c:extLst>
            </c:dLbl>
            <c:dLbl>
              <c:idx val="47"/>
              <c:delete val="1"/>
              <c:extLst>
                <c:ext xmlns:c15="http://schemas.microsoft.com/office/drawing/2012/chart" uri="{CE6537A1-D6FC-4f65-9D91-7224C49458BB}"/>
                <c:ext xmlns:c16="http://schemas.microsoft.com/office/drawing/2014/chart" uri="{C3380CC4-5D6E-409C-BE32-E72D297353CC}">
                  <c16:uniqueId val="{00000016-47C8-4E2B-9B04-F905E14FEF48}"/>
                </c:ext>
              </c:extLst>
            </c:dLbl>
            <c:dLbl>
              <c:idx val="48"/>
              <c:delete val="1"/>
              <c:extLst>
                <c:ext xmlns:c15="http://schemas.microsoft.com/office/drawing/2012/chart" uri="{CE6537A1-D6FC-4f65-9D91-7224C49458BB}"/>
                <c:ext xmlns:c16="http://schemas.microsoft.com/office/drawing/2014/chart" uri="{C3380CC4-5D6E-409C-BE32-E72D297353CC}">
                  <c16:uniqueId val="{00000015-47C8-4E2B-9B04-F905E14FEF48}"/>
                </c:ext>
              </c:extLst>
            </c:dLbl>
            <c:dLbl>
              <c:idx val="49"/>
              <c:delete val="1"/>
              <c:extLst>
                <c:ext xmlns:c15="http://schemas.microsoft.com/office/drawing/2012/chart" uri="{CE6537A1-D6FC-4f65-9D91-7224C49458BB}"/>
                <c:ext xmlns:c16="http://schemas.microsoft.com/office/drawing/2014/chart" uri="{C3380CC4-5D6E-409C-BE32-E72D297353CC}">
                  <c16:uniqueId val="{00000014-47C8-4E2B-9B04-F905E14FEF48}"/>
                </c:ext>
              </c:extLst>
            </c:dLbl>
            <c:dLbl>
              <c:idx val="50"/>
              <c:delete val="1"/>
              <c:extLst>
                <c:ext xmlns:c15="http://schemas.microsoft.com/office/drawing/2012/chart" uri="{CE6537A1-D6FC-4f65-9D91-7224C49458BB}"/>
                <c:ext xmlns:c16="http://schemas.microsoft.com/office/drawing/2014/chart" uri="{C3380CC4-5D6E-409C-BE32-E72D297353CC}">
                  <c16:uniqueId val="{00000013-47C8-4E2B-9B04-F905E14FEF48}"/>
                </c:ext>
              </c:extLst>
            </c:dLbl>
            <c:dLbl>
              <c:idx val="51"/>
              <c:delete val="1"/>
              <c:extLst>
                <c:ext xmlns:c15="http://schemas.microsoft.com/office/drawing/2012/chart" uri="{CE6537A1-D6FC-4f65-9D91-7224C49458BB}"/>
                <c:ext xmlns:c16="http://schemas.microsoft.com/office/drawing/2014/chart" uri="{C3380CC4-5D6E-409C-BE32-E72D297353CC}">
                  <c16:uniqueId val="{00000012-47C8-4E2B-9B04-F905E14FEF48}"/>
                </c:ext>
              </c:extLst>
            </c:dLbl>
            <c:dLbl>
              <c:idx val="52"/>
              <c:delete val="1"/>
              <c:extLst>
                <c:ext xmlns:c15="http://schemas.microsoft.com/office/drawing/2012/chart" uri="{CE6537A1-D6FC-4f65-9D91-7224C49458BB}"/>
                <c:ext xmlns:c16="http://schemas.microsoft.com/office/drawing/2014/chart" uri="{C3380CC4-5D6E-409C-BE32-E72D297353CC}">
                  <c16:uniqueId val="{00000011-47C8-4E2B-9B04-F905E14FEF48}"/>
                </c:ext>
              </c:extLst>
            </c:dLbl>
            <c:dLbl>
              <c:idx val="53"/>
              <c:delete val="1"/>
              <c:extLst>
                <c:ext xmlns:c15="http://schemas.microsoft.com/office/drawing/2012/chart" uri="{CE6537A1-D6FC-4f65-9D91-7224C49458BB}"/>
                <c:ext xmlns:c16="http://schemas.microsoft.com/office/drawing/2014/chart" uri="{C3380CC4-5D6E-409C-BE32-E72D297353CC}">
                  <c16:uniqueId val="{00000010-47C8-4E2B-9B04-F905E14FEF48}"/>
                </c:ext>
              </c:extLst>
            </c:dLbl>
            <c:dLbl>
              <c:idx val="54"/>
              <c:delete val="1"/>
              <c:extLst>
                <c:ext xmlns:c15="http://schemas.microsoft.com/office/drawing/2012/chart" uri="{CE6537A1-D6FC-4f65-9D91-7224C49458BB}"/>
                <c:ext xmlns:c16="http://schemas.microsoft.com/office/drawing/2014/chart" uri="{C3380CC4-5D6E-409C-BE32-E72D297353CC}">
                  <c16:uniqueId val="{0000000F-47C8-4E2B-9B04-F905E14FEF48}"/>
                </c:ext>
              </c:extLst>
            </c:dLbl>
            <c:dLbl>
              <c:idx val="55"/>
              <c:delete val="1"/>
              <c:extLst>
                <c:ext xmlns:c15="http://schemas.microsoft.com/office/drawing/2012/chart" uri="{CE6537A1-D6FC-4f65-9D91-7224C49458BB}"/>
                <c:ext xmlns:c16="http://schemas.microsoft.com/office/drawing/2014/chart" uri="{C3380CC4-5D6E-409C-BE32-E72D297353CC}">
                  <c16:uniqueId val="{0000000E-47C8-4E2B-9B04-F905E14FEF48}"/>
                </c:ext>
              </c:extLst>
            </c:dLbl>
            <c:dLbl>
              <c:idx val="56"/>
              <c:delete val="1"/>
              <c:extLst>
                <c:ext xmlns:c15="http://schemas.microsoft.com/office/drawing/2012/chart" uri="{CE6537A1-D6FC-4f65-9D91-7224C49458BB}"/>
                <c:ext xmlns:c16="http://schemas.microsoft.com/office/drawing/2014/chart" uri="{C3380CC4-5D6E-409C-BE32-E72D297353CC}">
                  <c16:uniqueId val="{00000002-47C8-4E2B-9B04-F905E14FEF48}"/>
                </c:ext>
              </c:extLst>
            </c:dLbl>
            <c:dLbl>
              <c:idx val="57"/>
              <c:delete val="1"/>
              <c:extLst>
                <c:ext xmlns:c15="http://schemas.microsoft.com/office/drawing/2012/chart" uri="{CE6537A1-D6FC-4f65-9D91-7224C49458BB}"/>
                <c:ext xmlns:c16="http://schemas.microsoft.com/office/drawing/2014/chart" uri="{C3380CC4-5D6E-409C-BE32-E72D297353CC}">
                  <c16:uniqueId val="{00000001-47C8-4E2B-9B04-F905E14FEF48}"/>
                </c:ext>
              </c:extLst>
            </c:dLbl>
            <c:dLbl>
              <c:idx val="58"/>
              <c:delete val="1"/>
              <c:extLst>
                <c:ext xmlns:c15="http://schemas.microsoft.com/office/drawing/2012/chart" uri="{CE6537A1-D6FC-4f65-9D91-7224C49458BB}"/>
                <c:ext xmlns:c16="http://schemas.microsoft.com/office/drawing/2014/chart" uri="{C3380CC4-5D6E-409C-BE32-E72D297353CC}">
                  <c16:uniqueId val="{00000000-47C8-4E2B-9B04-F905E14FEF48}"/>
                </c:ext>
              </c:extLst>
            </c:dLbl>
            <c:dLbl>
              <c:idx val="59"/>
              <c:delete val="1"/>
              <c:extLst>
                <c:ext xmlns:c15="http://schemas.microsoft.com/office/drawing/2012/chart" uri="{CE6537A1-D6FC-4f65-9D91-7224C49458BB}"/>
                <c:ext xmlns:c16="http://schemas.microsoft.com/office/drawing/2014/chart" uri="{C3380CC4-5D6E-409C-BE32-E72D297353CC}">
                  <c16:uniqueId val="{00000003-47C8-4E2B-9B04-F905E14FEF48}"/>
                </c:ext>
              </c:extLst>
            </c:dLbl>
            <c:dLbl>
              <c:idx val="60"/>
              <c:delete val="1"/>
              <c:extLst>
                <c:ext xmlns:c15="http://schemas.microsoft.com/office/drawing/2012/chart" uri="{CE6537A1-D6FC-4f65-9D91-7224C49458BB}"/>
                <c:ext xmlns:c16="http://schemas.microsoft.com/office/drawing/2014/chart" uri="{C3380CC4-5D6E-409C-BE32-E72D297353CC}">
                  <c16:uniqueId val="{00000000-D1AD-4CF9-A108-65A2C7644175}"/>
                </c:ext>
              </c:extLst>
            </c:dLbl>
            <c:dLbl>
              <c:idx val="61"/>
              <c:delete val="1"/>
              <c:extLst>
                <c:ext xmlns:c15="http://schemas.microsoft.com/office/drawing/2012/chart" uri="{CE6537A1-D6FC-4f65-9D91-7224C49458BB}"/>
                <c:ext xmlns:c16="http://schemas.microsoft.com/office/drawing/2014/chart" uri="{C3380CC4-5D6E-409C-BE32-E72D297353CC}">
                  <c16:uniqueId val="{00000005-47C8-4E2B-9B04-F905E14FEF48}"/>
                </c:ext>
              </c:extLst>
            </c:dLbl>
            <c:dLbl>
              <c:idx val="62"/>
              <c:delete val="1"/>
              <c:extLst>
                <c:ext xmlns:c15="http://schemas.microsoft.com/office/drawing/2012/chart" uri="{CE6537A1-D6FC-4f65-9D91-7224C49458BB}"/>
                <c:ext xmlns:c16="http://schemas.microsoft.com/office/drawing/2014/chart" uri="{C3380CC4-5D6E-409C-BE32-E72D297353CC}">
                  <c16:uniqueId val="{00000004-47C8-4E2B-9B04-F905E14FEF48}"/>
                </c:ext>
              </c:extLst>
            </c:dLbl>
            <c:dLbl>
              <c:idx val="63"/>
              <c:delete val="1"/>
              <c:extLst>
                <c:ext xmlns:c15="http://schemas.microsoft.com/office/drawing/2012/chart" uri="{CE6537A1-D6FC-4f65-9D91-7224C49458BB}"/>
                <c:ext xmlns:c16="http://schemas.microsoft.com/office/drawing/2014/chart" uri="{C3380CC4-5D6E-409C-BE32-E72D297353CC}">
                  <c16:uniqueId val="{00000006-47C8-4E2B-9B04-F905E14FEF48}"/>
                </c:ext>
              </c:extLst>
            </c:dLbl>
            <c:dLbl>
              <c:idx val="64"/>
              <c:delete val="1"/>
              <c:extLst>
                <c:ext xmlns:c15="http://schemas.microsoft.com/office/drawing/2012/chart" uri="{CE6537A1-D6FC-4f65-9D91-7224C49458BB}"/>
                <c:ext xmlns:c16="http://schemas.microsoft.com/office/drawing/2014/chart" uri="{C3380CC4-5D6E-409C-BE32-E72D297353CC}">
                  <c16:uniqueId val="{00000007-47C8-4E2B-9B04-F905E14FEF48}"/>
                </c:ext>
              </c:extLst>
            </c:dLbl>
            <c:dLbl>
              <c:idx val="65"/>
              <c:delete val="1"/>
              <c:extLst>
                <c:ext xmlns:c15="http://schemas.microsoft.com/office/drawing/2012/chart" uri="{CE6537A1-D6FC-4f65-9D91-7224C49458BB}"/>
                <c:ext xmlns:c16="http://schemas.microsoft.com/office/drawing/2014/chart" uri="{C3380CC4-5D6E-409C-BE32-E72D297353CC}">
                  <c16:uniqueId val="{0000000A-47C8-4E2B-9B04-F905E14FEF48}"/>
                </c:ext>
              </c:extLst>
            </c:dLbl>
            <c:dLbl>
              <c:idx val="66"/>
              <c:delete val="1"/>
              <c:extLst>
                <c:ext xmlns:c15="http://schemas.microsoft.com/office/drawing/2012/chart" uri="{CE6537A1-D6FC-4f65-9D91-7224C49458BB}"/>
                <c:ext xmlns:c16="http://schemas.microsoft.com/office/drawing/2014/chart" uri="{C3380CC4-5D6E-409C-BE32-E72D297353CC}">
                  <c16:uniqueId val="{00000008-47C8-4E2B-9B04-F905E14FEF48}"/>
                </c:ext>
              </c:extLst>
            </c:dLbl>
            <c:dLbl>
              <c:idx val="67"/>
              <c:delete val="1"/>
              <c:extLst>
                <c:ext xmlns:c15="http://schemas.microsoft.com/office/drawing/2012/chart" uri="{CE6537A1-D6FC-4f65-9D91-7224C49458BB}"/>
                <c:ext xmlns:c16="http://schemas.microsoft.com/office/drawing/2014/chart" uri="{C3380CC4-5D6E-409C-BE32-E72D297353CC}">
                  <c16:uniqueId val="{00000009-47C8-4E2B-9B04-F905E14FEF48}"/>
                </c:ext>
              </c:extLst>
            </c:dLbl>
            <c:dLbl>
              <c:idx val="68"/>
              <c:delete val="1"/>
              <c:extLst>
                <c:ext xmlns:c15="http://schemas.microsoft.com/office/drawing/2012/chart" uri="{CE6537A1-D6FC-4f65-9D91-7224C49458BB}"/>
                <c:ext xmlns:c16="http://schemas.microsoft.com/office/drawing/2014/chart" uri="{C3380CC4-5D6E-409C-BE32-E72D297353CC}">
                  <c16:uniqueId val="{0000000C-47C8-4E2B-9B04-F905E14FEF48}"/>
                </c:ext>
              </c:extLst>
            </c:dLbl>
            <c:dLbl>
              <c:idx val="69"/>
              <c:delete val="1"/>
              <c:extLst>
                <c:ext xmlns:c15="http://schemas.microsoft.com/office/drawing/2012/chart" uri="{CE6537A1-D6FC-4f65-9D91-7224C49458BB}"/>
                <c:ext xmlns:c16="http://schemas.microsoft.com/office/drawing/2014/chart" uri="{C3380CC4-5D6E-409C-BE32-E72D297353CC}">
                  <c16:uniqueId val="{0000000B-47C8-4E2B-9B04-F905E14FEF48}"/>
                </c:ext>
              </c:extLst>
            </c:dLbl>
            <c:dLbl>
              <c:idx val="70"/>
              <c:delete val="1"/>
              <c:extLst>
                <c:ext xmlns:c15="http://schemas.microsoft.com/office/drawing/2012/chart" uri="{CE6537A1-D6FC-4f65-9D91-7224C49458BB}"/>
                <c:ext xmlns:c16="http://schemas.microsoft.com/office/drawing/2014/chart" uri="{C3380CC4-5D6E-409C-BE32-E72D297353CC}">
                  <c16:uniqueId val="{0000000D-47C8-4E2B-9B04-F905E14FEF48}"/>
                </c:ext>
              </c:extLst>
            </c:dLbl>
            <c:dLbl>
              <c:idx val="72"/>
              <c:delete val="1"/>
              <c:extLst>
                <c:ext xmlns:c15="http://schemas.microsoft.com/office/drawing/2012/chart" uri="{CE6537A1-D6FC-4f65-9D91-7224C49458BB}"/>
                <c:ext xmlns:c16="http://schemas.microsoft.com/office/drawing/2014/chart" uri="{C3380CC4-5D6E-409C-BE32-E72D297353CC}">
                  <c16:uniqueId val="{0000003F-47C8-4E2B-9B04-F905E14FEF48}"/>
                </c:ext>
              </c:extLst>
            </c:dLbl>
            <c:dLbl>
              <c:idx val="73"/>
              <c:delete val="1"/>
              <c:extLst>
                <c:ext xmlns:c15="http://schemas.microsoft.com/office/drawing/2012/chart" uri="{CE6537A1-D6FC-4f65-9D91-7224C49458BB}"/>
                <c:ext xmlns:c16="http://schemas.microsoft.com/office/drawing/2014/chart" uri="{C3380CC4-5D6E-409C-BE32-E72D297353CC}">
                  <c16:uniqueId val="{00000042-47C8-4E2B-9B04-F905E14FEF48}"/>
                </c:ext>
              </c:extLst>
            </c:dLbl>
            <c:dLbl>
              <c:idx val="74"/>
              <c:delete val="1"/>
              <c:extLst>
                <c:ext xmlns:c15="http://schemas.microsoft.com/office/drawing/2012/chart" uri="{CE6537A1-D6FC-4f65-9D91-7224C49458BB}"/>
                <c:ext xmlns:c16="http://schemas.microsoft.com/office/drawing/2014/chart" uri="{C3380CC4-5D6E-409C-BE32-E72D297353CC}">
                  <c16:uniqueId val="{00000040-47C8-4E2B-9B04-F905E14FEF48}"/>
                </c:ext>
              </c:extLst>
            </c:dLbl>
            <c:dLbl>
              <c:idx val="75"/>
              <c:delete val="1"/>
              <c:extLst>
                <c:ext xmlns:c15="http://schemas.microsoft.com/office/drawing/2012/chart" uri="{CE6537A1-D6FC-4f65-9D91-7224C49458BB}"/>
                <c:ext xmlns:c16="http://schemas.microsoft.com/office/drawing/2014/chart" uri="{C3380CC4-5D6E-409C-BE32-E72D297353CC}">
                  <c16:uniqueId val="{00000041-47C8-4E2B-9B04-F905E14FEF48}"/>
                </c:ext>
              </c:extLst>
            </c:dLbl>
            <c:dLbl>
              <c:idx val="76"/>
              <c:delete val="1"/>
              <c:extLst>
                <c:ext xmlns:c15="http://schemas.microsoft.com/office/drawing/2012/chart" uri="{CE6537A1-D6FC-4f65-9D91-7224C49458BB}"/>
                <c:ext xmlns:c16="http://schemas.microsoft.com/office/drawing/2014/chart" uri="{C3380CC4-5D6E-409C-BE32-E72D297353CC}">
                  <c16:uniqueId val="{00000044-47C8-4E2B-9B04-F905E14FEF48}"/>
                </c:ext>
              </c:extLst>
            </c:dLbl>
            <c:dLbl>
              <c:idx val="77"/>
              <c:delete val="1"/>
              <c:extLst>
                <c:ext xmlns:c15="http://schemas.microsoft.com/office/drawing/2012/chart" uri="{CE6537A1-D6FC-4f65-9D91-7224C49458BB}"/>
                <c:ext xmlns:c16="http://schemas.microsoft.com/office/drawing/2014/chart" uri="{C3380CC4-5D6E-409C-BE32-E72D297353CC}">
                  <c16:uniqueId val="{00000043-47C8-4E2B-9B04-F905E14FEF48}"/>
                </c:ext>
              </c:extLst>
            </c:dLbl>
            <c:dLbl>
              <c:idx val="78"/>
              <c:delete val="1"/>
              <c:extLst>
                <c:ext xmlns:c15="http://schemas.microsoft.com/office/drawing/2012/chart" uri="{CE6537A1-D6FC-4f65-9D91-7224C49458BB}"/>
                <c:ext xmlns:c16="http://schemas.microsoft.com/office/drawing/2014/chart" uri="{C3380CC4-5D6E-409C-BE32-E72D297353CC}">
                  <c16:uniqueId val="{00000045-47C8-4E2B-9B04-F905E14FEF48}"/>
                </c:ext>
              </c:extLst>
            </c:dLbl>
            <c:dLbl>
              <c:idx val="79"/>
              <c:delete val="1"/>
              <c:extLst>
                <c:ext xmlns:c15="http://schemas.microsoft.com/office/drawing/2012/chart" uri="{CE6537A1-D6FC-4f65-9D91-7224C49458BB}"/>
                <c:ext xmlns:c16="http://schemas.microsoft.com/office/drawing/2014/chart" uri="{C3380CC4-5D6E-409C-BE32-E72D297353CC}">
                  <c16:uniqueId val="{00000001-D1AD-4CF9-A108-65A2C7644175}"/>
                </c:ext>
              </c:extLst>
            </c:dLbl>
            <c:dLbl>
              <c:idx val="80"/>
              <c:delete val="1"/>
              <c:extLst>
                <c:ext xmlns:c15="http://schemas.microsoft.com/office/drawing/2012/chart" uri="{CE6537A1-D6FC-4f65-9D91-7224C49458BB}"/>
                <c:ext xmlns:c16="http://schemas.microsoft.com/office/drawing/2014/chart" uri="{C3380CC4-5D6E-409C-BE32-E72D297353CC}">
                  <c16:uniqueId val="{00000048-47C8-4E2B-9B04-F905E14FEF48}"/>
                </c:ext>
              </c:extLst>
            </c:dLbl>
            <c:dLbl>
              <c:idx val="81"/>
              <c:delete val="1"/>
              <c:extLst>
                <c:ext xmlns:c15="http://schemas.microsoft.com/office/drawing/2012/chart" uri="{CE6537A1-D6FC-4f65-9D91-7224C49458BB}"/>
                <c:ext xmlns:c16="http://schemas.microsoft.com/office/drawing/2014/chart" uri="{C3380CC4-5D6E-409C-BE32-E72D297353CC}">
                  <c16:uniqueId val="{00000046-47C8-4E2B-9B04-F905E14FEF48}"/>
                </c:ext>
              </c:extLst>
            </c:dLbl>
            <c:dLbl>
              <c:idx val="82"/>
              <c:delete val="1"/>
              <c:extLst>
                <c:ext xmlns:c15="http://schemas.microsoft.com/office/drawing/2012/chart" uri="{CE6537A1-D6FC-4f65-9D91-7224C49458BB}"/>
                <c:ext xmlns:c16="http://schemas.microsoft.com/office/drawing/2014/chart" uri="{C3380CC4-5D6E-409C-BE32-E72D297353CC}">
                  <c16:uniqueId val="{00000047-47C8-4E2B-9B04-F905E14FEF48}"/>
                </c:ext>
              </c:extLst>
            </c:dLbl>
            <c:dLbl>
              <c:idx val="83"/>
              <c:delete val="1"/>
              <c:extLst>
                <c:ext xmlns:c15="http://schemas.microsoft.com/office/drawing/2012/chart" uri="{CE6537A1-D6FC-4f65-9D91-7224C49458BB}"/>
                <c:ext xmlns:c16="http://schemas.microsoft.com/office/drawing/2014/chart" uri="{C3380CC4-5D6E-409C-BE32-E72D297353CC}">
                  <c16:uniqueId val="{00000049-47C8-4E2B-9B04-F905E14FEF48}"/>
                </c:ext>
              </c:extLst>
            </c:dLbl>
            <c:dLbl>
              <c:idx val="84"/>
              <c:delete val="1"/>
              <c:extLst>
                <c:ext xmlns:c15="http://schemas.microsoft.com/office/drawing/2012/chart" uri="{CE6537A1-D6FC-4f65-9D91-7224C49458BB}"/>
                <c:ext xmlns:c16="http://schemas.microsoft.com/office/drawing/2014/chart" uri="{C3380CC4-5D6E-409C-BE32-E72D297353CC}">
                  <c16:uniqueId val="{00000050-47C8-4E2B-9B04-F905E14FEF48}"/>
                </c:ext>
              </c:extLst>
            </c:dLbl>
            <c:dLbl>
              <c:idx val="86"/>
              <c:delete val="1"/>
              <c:extLst>
                <c:ext xmlns:c15="http://schemas.microsoft.com/office/drawing/2012/chart" uri="{CE6537A1-D6FC-4f65-9D91-7224C49458BB}"/>
                <c:ext xmlns:c16="http://schemas.microsoft.com/office/drawing/2014/chart" uri="{C3380CC4-5D6E-409C-BE32-E72D297353CC}">
                  <c16:uniqueId val="{0000004F-47C8-4E2B-9B04-F905E14FEF48}"/>
                </c:ext>
              </c:extLst>
            </c:dLbl>
            <c:dLbl>
              <c:idx val="87"/>
              <c:delete val="1"/>
              <c:extLst>
                <c:ext xmlns:c15="http://schemas.microsoft.com/office/drawing/2012/chart" uri="{CE6537A1-D6FC-4f65-9D91-7224C49458BB}"/>
                <c:ext xmlns:c16="http://schemas.microsoft.com/office/drawing/2014/chart" uri="{C3380CC4-5D6E-409C-BE32-E72D297353CC}">
                  <c16:uniqueId val="{0000004E-47C8-4E2B-9B04-F905E14FEF48}"/>
                </c:ext>
              </c:extLst>
            </c:dLbl>
            <c:dLbl>
              <c:idx val="88"/>
              <c:delete val="1"/>
              <c:extLst>
                <c:ext xmlns:c15="http://schemas.microsoft.com/office/drawing/2012/chart" uri="{CE6537A1-D6FC-4f65-9D91-7224C49458BB}"/>
                <c:ext xmlns:c16="http://schemas.microsoft.com/office/drawing/2014/chart" uri="{C3380CC4-5D6E-409C-BE32-E72D297353CC}">
                  <c16:uniqueId val="{0000004D-47C8-4E2B-9B04-F905E14FEF48}"/>
                </c:ext>
              </c:extLst>
            </c:dLbl>
            <c:dLbl>
              <c:idx val="89"/>
              <c:delete val="1"/>
              <c:extLst>
                <c:ext xmlns:c15="http://schemas.microsoft.com/office/drawing/2012/chart" uri="{CE6537A1-D6FC-4f65-9D91-7224C49458BB}"/>
                <c:ext xmlns:c16="http://schemas.microsoft.com/office/drawing/2014/chart" uri="{C3380CC4-5D6E-409C-BE32-E72D297353CC}">
                  <c16:uniqueId val="{0000004C-47C8-4E2B-9B04-F905E14FEF48}"/>
                </c:ext>
              </c:extLst>
            </c:dLbl>
            <c:dLbl>
              <c:idx val="90"/>
              <c:delete val="1"/>
              <c:extLst>
                <c:ext xmlns:c15="http://schemas.microsoft.com/office/drawing/2012/chart" uri="{CE6537A1-D6FC-4f65-9D91-7224C49458BB}"/>
                <c:ext xmlns:c16="http://schemas.microsoft.com/office/drawing/2014/chart" uri="{C3380CC4-5D6E-409C-BE32-E72D297353CC}">
                  <c16:uniqueId val="{0000004B-47C8-4E2B-9B04-F905E14FEF48}"/>
                </c:ext>
              </c:extLst>
            </c:dLbl>
            <c:dLbl>
              <c:idx val="93"/>
              <c:delete val="1"/>
              <c:extLst>
                <c:ext xmlns:c15="http://schemas.microsoft.com/office/drawing/2012/chart" uri="{CE6537A1-D6FC-4f65-9D91-7224C49458BB}"/>
                <c:ext xmlns:c16="http://schemas.microsoft.com/office/drawing/2014/chart" uri="{C3380CC4-5D6E-409C-BE32-E72D297353CC}">
                  <c16:uniqueId val="{00000002-D1AD-4CF9-A108-65A2C7644175}"/>
                </c:ext>
              </c:extLst>
            </c:dLbl>
            <c:dLbl>
              <c:idx val="94"/>
              <c:delete val="1"/>
              <c:extLst>
                <c:ext xmlns:c15="http://schemas.microsoft.com/office/drawing/2012/chart" uri="{CE6537A1-D6FC-4f65-9D91-7224C49458BB}"/>
                <c:ext xmlns:c16="http://schemas.microsoft.com/office/drawing/2014/chart" uri="{C3380CC4-5D6E-409C-BE32-E72D297353CC}">
                  <c16:uniqueId val="{00000052-47C8-4E2B-9B04-F905E14FEF48}"/>
                </c:ext>
              </c:extLst>
            </c:dLbl>
            <c:dLbl>
              <c:idx val="95"/>
              <c:delete val="1"/>
              <c:extLst>
                <c:ext xmlns:c15="http://schemas.microsoft.com/office/drawing/2012/chart" uri="{CE6537A1-D6FC-4f65-9D91-7224C49458BB}"/>
                <c:ext xmlns:c16="http://schemas.microsoft.com/office/drawing/2014/chart" uri="{C3380CC4-5D6E-409C-BE32-E72D297353CC}">
                  <c16:uniqueId val="{00000051-47C8-4E2B-9B04-F905E14FEF48}"/>
                </c:ext>
              </c:extLst>
            </c:dLbl>
            <c:dLbl>
              <c:idx val="96"/>
              <c:delete val="1"/>
              <c:extLst>
                <c:ext xmlns:c15="http://schemas.microsoft.com/office/drawing/2012/chart" uri="{CE6537A1-D6FC-4f65-9D91-7224C49458BB}"/>
                <c:ext xmlns:c16="http://schemas.microsoft.com/office/drawing/2014/chart" uri="{C3380CC4-5D6E-409C-BE32-E72D297353CC}">
                  <c16:uniqueId val="{00000058-47C8-4E2B-9B04-F905E14FEF48}"/>
                </c:ext>
              </c:extLst>
            </c:dLbl>
            <c:dLbl>
              <c:idx val="98"/>
              <c:delete val="1"/>
              <c:extLst>
                <c:ext xmlns:c15="http://schemas.microsoft.com/office/drawing/2012/chart" uri="{CE6537A1-D6FC-4f65-9D91-7224C49458BB}"/>
                <c:ext xmlns:c16="http://schemas.microsoft.com/office/drawing/2014/chart" uri="{C3380CC4-5D6E-409C-BE32-E72D297353CC}">
                  <c16:uniqueId val="{0000005A-47C8-4E2B-9B04-F905E14FEF48}"/>
                </c:ext>
              </c:extLst>
            </c:dLbl>
            <c:dLbl>
              <c:idx val="100"/>
              <c:delete val="1"/>
              <c:extLst>
                <c:ext xmlns:c15="http://schemas.microsoft.com/office/drawing/2012/chart" uri="{CE6537A1-D6FC-4f65-9D91-7224C49458BB}"/>
                <c:ext xmlns:c16="http://schemas.microsoft.com/office/drawing/2014/chart" uri="{C3380CC4-5D6E-409C-BE32-E72D297353CC}">
                  <c16:uniqueId val="{00000059-47C8-4E2B-9B04-F905E14FEF48}"/>
                </c:ext>
              </c:extLst>
            </c:dLbl>
            <c:dLbl>
              <c:idx val="103"/>
              <c:delete val="1"/>
              <c:extLst>
                <c:ext xmlns:c15="http://schemas.microsoft.com/office/drawing/2012/chart" uri="{CE6537A1-D6FC-4f65-9D91-7224C49458BB}"/>
                <c:ext xmlns:c16="http://schemas.microsoft.com/office/drawing/2014/chart" uri="{C3380CC4-5D6E-409C-BE32-E72D297353CC}">
                  <c16:uniqueId val="{0000005B-47C8-4E2B-9B04-F905E14FEF48}"/>
                </c:ext>
              </c:extLst>
            </c:dLbl>
            <c:dLbl>
              <c:idx val="120"/>
              <c:delete val="1"/>
              <c:extLst>
                <c:ext xmlns:c15="http://schemas.microsoft.com/office/drawing/2012/chart" uri="{CE6537A1-D6FC-4f65-9D91-7224C49458BB}"/>
                <c:ext xmlns:c16="http://schemas.microsoft.com/office/drawing/2014/chart" uri="{C3380CC4-5D6E-409C-BE32-E72D297353CC}">
                  <c16:uniqueId val="{00000056-47C8-4E2B-9B04-F905E14FEF48}"/>
                </c:ext>
              </c:extLst>
            </c:dLbl>
            <c:dLbl>
              <c:idx val="129"/>
              <c:delete val="1"/>
              <c:extLst>
                <c:ext xmlns:c15="http://schemas.microsoft.com/office/drawing/2012/chart" uri="{CE6537A1-D6FC-4f65-9D91-7224C49458BB}"/>
                <c:ext xmlns:c16="http://schemas.microsoft.com/office/drawing/2014/chart" uri="{C3380CC4-5D6E-409C-BE32-E72D297353CC}">
                  <c16:uniqueId val="{00000055-47C8-4E2B-9B04-F905E14FEF48}"/>
                </c:ext>
              </c:extLst>
            </c:dLbl>
            <c:dLbl>
              <c:idx val="131"/>
              <c:delete val="1"/>
              <c:extLst>
                <c:ext xmlns:c15="http://schemas.microsoft.com/office/drawing/2012/chart" uri="{CE6537A1-D6FC-4f65-9D91-7224C49458BB}"/>
                <c:ext xmlns:c16="http://schemas.microsoft.com/office/drawing/2014/chart" uri="{C3380CC4-5D6E-409C-BE32-E72D297353CC}">
                  <c16:uniqueId val="{00000003-D1AD-4CF9-A108-65A2C7644175}"/>
                </c:ext>
              </c:extLst>
            </c:dLbl>
            <c:dLbl>
              <c:idx val="132"/>
              <c:delete val="1"/>
              <c:extLst>
                <c:ext xmlns:c15="http://schemas.microsoft.com/office/drawing/2012/chart" uri="{CE6537A1-D6FC-4f65-9D91-7224C49458BB}"/>
                <c:ext xmlns:c16="http://schemas.microsoft.com/office/drawing/2014/chart" uri="{C3380CC4-5D6E-409C-BE32-E72D297353CC}">
                  <c16:uniqueId val="{00000054-47C8-4E2B-9B04-F905E14FEF48}"/>
                </c:ext>
              </c:extLst>
            </c:dLbl>
            <c:dLbl>
              <c:idx val="133"/>
              <c:delete val="1"/>
              <c:extLst>
                <c:ext xmlns:c15="http://schemas.microsoft.com/office/drawing/2012/chart" uri="{CE6537A1-D6FC-4f65-9D91-7224C49458BB}"/>
                <c:ext xmlns:c16="http://schemas.microsoft.com/office/drawing/2014/chart" uri="{C3380CC4-5D6E-409C-BE32-E72D297353CC}">
                  <c16:uniqueId val="{00000053-47C8-4E2B-9B04-F905E14FEF4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'Offtake Agreements'!$L$3:$L$137</c:f>
              <c:numCache>
                <c:formatCode>m/d/yyyy</c:formatCode>
                <c:ptCount val="135"/>
                <c:pt idx="0">
                  <c:v>41426</c:v>
                </c:pt>
                <c:pt idx="1">
                  <c:v>41456</c:v>
                </c:pt>
                <c:pt idx="2">
                  <c:v>41487</c:v>
                </c:pt>
                <c:pt idx="3">
                  <c:v>41518</c:v>
                </c:pt>
                <c:pt idx="4">
                  <c:v>41548</c:v>
                </c:pt>
                <c:pt idx="5">
                  <c:v>41579</c:v>
                </c:pt>
                <c:pt idx="6">
                  <c:v>41609</c:v>
                </c:pt>
                <c:pt idx="7">
                  <c:v>41640</c:v>
                </c:pt>
                <c:pt idx="8">
                  <c:v>41671</c:v>
                </c:pt>
                <c:pt idx="9">
                  <c:v>41699</c:v>
                </c:pt>
                <c:pt idx="10">
                  <c:v>41730</c:v>
                </c:pt>
                <c:pt idx="11">
                  <c:v>41760</c:v>
                </c:pt>
                <c:pt idx="12">
                  <c:v>41791</c:v>
                </c:pt>
                <c:pt idx="13">
                  <c:v>41821</c:v>
                </c:pt>
                <c:pt idx="14">
                  <c:v>41852</c:v>
                </c:pt>
                <c:pt idx="15">
                  <c:v>41883</c:v>
                </c:pt>
                <c:pt idx="16">
                  <c:v>41913</c:v>
                </c:pt>
                <c:pt idx="17">
                  <c:v>41944</c:v>
                </c:pt>
                <c:pt idx="18">
                  <c:v>41974</c:v>
                </c:pt>
                <c:pt idx="19">
                  <c:v>42005</c:v>
                </c:pt>
                <c:pt idx="20">
                  <c:v>42036</c:v>
                </c:pt>
                <c:pt idx="21">
                  <c:v>42064</c:v>
                </c:pt>
                <c:pt idx="22">
                  <c:v>42095</c:v>
                </c:pt>
                <c:pt idx="23">
                  <c:v>42125</c:v>
                </c:pt>
                <c:pt idx="24">
                  <c:v>42156</c:v>
                </c:pt>
                <c:pt idx="25">
                  <c:v>42186</c:v>
                </c:pt>
                <c:pt idx="26">
                  <c:v>42217</c:v>
                </c:pt>
                <c:pt idx="27">
                  <c:v>42248</c:v>
                </c:pt>
                <c:pt idx="28">
                  <c:v>42278</c:v>
                </c:pt>
                <c:pt idx="29">
                  <c:v>42309</c:v>
                </c:pt>
                <c:pt idx="30">
                  <c:v>42339</c:v>
                </c:pt>
                <c:pt idx="31">
                  <c:v>42370</c:v>
                </c:pt>
                <c:pt idx="32">
                  <c:v>42401</c:v>
                </c:pt>
                <c:pt idx="33">
                  <c:v>42430</c:v>
                </c:pt>
                <c:pt idx="34">
                  <c:v>42461</c:v>
                </c:pt>
                <c:pt idx="35">
                  <c:v>42491</c:v>
                </c:pt>
                <c:pt idx="36">
                  <c:v>42522</c:v>
                </c:pt>
                <c:pt idx="37">
                  <c:v>42552</c:v>
                </c:pt>
                <c:pt idx="38">
                  <c:v>42583</c:v>
                </c:pt>
                <c:pt idx="39">
                  <c:v>42614</c:v>
                </c:pt>
                <c:pt idx="40">
                  <c:v>42644</c:v>
                </c:pt>
                <c:pt idx="41">
                  <c:v>42675</c:v>
                </c:pt>
                <c:pt idx="42">
                  <c:v>42705</c:v>
                </c:pt>
                <c:pt idx="43">
                  <c:v>42736</c:v>
                </c:pt>
                <c:pt idx="44">
                  <c:v>42767</c:v>
                </c:pt>
                <c:pt idx="45">
                  <c:v>42795</c:v>
                </c:pt>
                <c:pt idx="46">
                  <c:v>42826</c:v>
                </c:pt>
                <c:pt idx="47">
                  <c:v>42856</c:v>
                </c:pt>
                <c:pt idx="48">
                  <c:v>42887</c:v>
                </c:pt>
                <c:pt idx="49">
                  <c:v>42917</c:v>
                </c:pt>
                <c:pt idx="50">
                  <c:v>42948</c:v>
                </c:pt>
                <c:pt idx="51">
                  <c:v>42979</c:v>
                </c:pt>
                <c:pt idx="52">
                  <c:v>43009</c:v>
                </c:pt>
                <c:pt idx="53">
                  <c:v>43040</c:v>
                </c:pt>
                <c:pt idx="54">
                  <c:v>43070</c:v>
                </c:pt>
                <c:pt idx="55">
                  <c:v>43101</c:v>
                </c:pt>
                <c:pt idx="56">
                  <c:v>43132</c:v>
                </c:pt>
                <c:pt idx="57">
                  <c:v>43160</c:v>
                </c:pt>
                <c:pt idx="58">
                  <c:v>43191</c:v>
                </c:pt>
                <c:pt idx="59">
                  <c:v>43221</c:v>
                </c:pt>
                <c:pt idx="60">
                  <c:v>43252</c:v>
                </c:pt>
                <c:pt idx="61">
                  <c:v>43282</c:v>
                </c:pt>
                <c:pt idx="62">
                  <c:v>43313</c:v>
                </c:pt>
                <c:pt idx="63">
                  <c:v>43344</c:v>
                </c:pt>
                <c:pt idx="64">
                  <c:v>43374</c:v>
                </c:pt>
                <c:pt idx="65">
                  <c:v>43405</c:v>
                </c:pt>
                <c:pt idx="66">
                  <c:v>43435</c:v>
                </c:pt>
                <c:pt idx="67">
                  <c:v>43466</c:v>
                </c:pt>
                <c:pt idx="68">
                  <c:v>43497</c:v>
                </c:pt>
                <c:pt idx="69">
                  <c:v>43525</c:v>
                </c:pt>
                <c:pt idx="70">
                  <c:v>43556</c:v>
                </c:pt>
                <c:pt idx="71">
                  <c:v>43586</c:v>
                </c:pt>
                <c:pt idx="72">
                  <c:v>43617</c:v>
                </c:pt>
                <c:pt idx="73">
                  <c:v>43647</c:v>
                </c:pt>
                <c:pt idx="74">
                  <c:v>43678</c:v>
                </c:pt>
                <c:pt idx="75">
                  <c:v>43709</c:v>
                </c:pt>
                <c:pt idx="76">
                  <c:v>43739</c:v>
                </c:pt>
                <c:pt idx="77">
                  <c:v>43770</c:v>
                </c:pt>
                <c:pt idx="78">
                  <c:v>43800</c:v>
                </c:pt>
                <c:pt idx="79">
                  <c:v>43831</c:v>
                </c:pt>
                <c:pt idx="80">
                  <c:v>43862</c:v>
                </c:pt>
                <c:pt idx="81">
                  <c:v>43891</c:v>
                </c:pt>
                <c:pt idx="82">
                  <c:v>43922</c:v>
                </c:pt>
                <c:pt idx="83">
                  <c:v>43952</c:v>
                </c:pt>
                <c:pt idx="84">
                  <c:v>43983</c:v>
                </c:pt>
                <c:pt idx="85">
                  <c:v>44013</c:v>
                </c:pt>
                <c:pt idx="86">
                  <c:v>44044</c:v>
                </c:pt>
                <c:pt idx="87">
                  <c:v>44075</c:v>
                </c:pt>
                <c:pt idx="88">
                  <c:v>44105</c:v>
                </c:pt>
                <c:pt idx="89">
                  <c:v>44136</c:v>
                </c:pt>
                <c:pt idx="90">
                  <c:v>44166</c:v>
                </c:pt>
                <c:pt idx="91">
                  <c:v>44197</c:v>
                </c:pt>
                <c:pt idx="92">
                  <c:v>44228</c:v>
                </c:pt>
                <c:pt idx="93">
                  <c:v>44256</c:v>
                </c:pt>
                <c:pt idx="94">
                  <c:v>44287</c:v>
                </c:pt>
                <c:pt idx="95">
                  <c:v>44317</c:v>
                </c:pt>
                <c:pt idx="96">
                  <c:v>44348</c:v>
                </c:pt>
                <c:pt idx="97">
                  <c:v>44378</c:v>
                </c:pt>
                <c:pt idx="98">
                  <c:v>44409</c:v>
                </c:pt>
                <c:pt idx="99">
                  <c:v>44440</c:v>
                </c:pt>
                <c:pt idx="100">
                  <c:v>44470</c:v>
                </c:pt>
                <c:pt idx="101">
                  <c:v>44501</c:v>
                </c:pt>
                <c:pt idx="102">
                  <c:v>44531</c:v>
                </c:pt>
                <c:pt idx="103">
                  <c:v>44562</c:v>
                </c:pt>
                <c:pt idx="104">
                  <c:v>44593</c:v>
                </c:pt>
                <c:pt idx="105">
                  <c:v>44621</c:v>
                </c:pt>
                <c:pt idx="106">
                  <c:v>44652</c:v>
                </c:pt>
                <c:pt idx="107">
                  <c:v>44682</c:v>
                </c:pt>
                <c:pt idx="108">
                  <c:v>44713</c:v>
                </c:pt>
                <c:pt idx="109">
                  <c:v>44743</c:v>
                </c:pt>
                <c:pt idx="110">
                  <c:v>44774</c:v>
                </c:pt>
                <c:pt idx="111">
                  <c:v>44805</c:v>
                </c:pt>
                <c:pt idx="112">
                  <c:v>44835</c:v>
                </c:pt>
                <c:pt idx="113">
                  <c:v>44866</c:v>
                </c:pt>
                <c:pt idx="114">
                  <c:v>44896</c:v>
                </c:pt>
                <c:pt idx="115">
                  <c:v>44927</c:v>
                </c:pt>
                <c:pt idx="116">
                  <c:v>44958</c:v>
                </c:pt>
                <c:pt idx="117">
                  <c:v>44986</c:v>
                </c:pt>
                <c:pt idx="118">
                  <c:v>45017</c:v>
                </c:pt>
                <c:pt idx="119">
                  <c:v>45047</c:v>
                </c:pt>
                <c:pt idx="120">
                  <c:v>45078</c:v>
                </c:pt>
                <c:pt idx="121">
                  <c:v>45108</c:v>
                </c:pt>
                <c:pt idx="122">
                  <c:v>45139</c:v>
                </c:pt>
                <c:pt idx="123">
                  <c:v>45170</c:v>
                </c:pt>
                <c:pt idx="124">
                  <c:v>45200</c:v>
                </c:pt>
                <c:pt idx="125">
                  <c:v>45231</c:v>
                </c:pt>
                <c:pt idx="126">
                  <c:v>45261</c:v>
                </c:pt>
                <c:pt idx="127">
                  <c:v>45292</c:v>
                </c:pt>
                <c:pt idx="128">
                  <c:v>45323</c:v>
                </c:pt>
                <c:pt idx="129">
                  <c:v>45352</c:v>
                </c:pt>
                <c:pt idx="130">
                  <c:v>45383</c:v>
                </c:pt>
                <c:pt idx="131">
                  <c:v>45413</c:v>
                </c:pt>
                <c:pt idx="132">
                  <c:v>45444</c:v>
                </c:pt>
                <c:pt idx="133">
                  <c:v>45474</c:v>
                </c:pt>
                <c:pt idx="134">
                  <c:v>45505</c:v>
                </c:pt>
              </c:numCache>
            </c:numRef>
          </c:cat>
          <c:val>
            <c:numRef>
              <c:f>'Offtake Agreements'!$O$3:$O$137</c:f>
              <c:numCache>
                <c:formatCode>#,##0</c:formatCode>
                <c:ptCount val="135"/>
                <c:pt idx="0">
                  <c:v>15006605.019815059</c:v>
                </c:pt>
                <c:pt idx="1">
                  <c:v>0</c:v>
                </c:pt>
                <c:pt idx="2">
                  <c:v>0</c:v>
                </c:pt>
                <c:pt idx="3">
                  <c:v>0</c:v>
                </c:pt>
                <c:pt idx="4">
                  <c:v>0</c:v>
                </c:pt>
                <c:pt idx="5">
                  <c:v>0</c:v>
                </c:pt>
                <c:pt idx="6">
                  <c:v>0</c:v>
                </c:pt>
                <c:pt idx="7">
                  <c:v>0</c:v>
                </c:pt>
                <c:pt idx="8">
                  <c:v>0</c:v>
                </c:pt>
                <c:pt idx="9">
                  <c:v>0</c:v>
                </c:pt>
                <c:pt idx="10">
                  <c:v>0</c:v>
                </c:pt>
                <c:pt idx="11">
                  <c:v>0</c:v>
                </c:pt>
                <c:pt idx="12">
                  <c:v>0</c:v>
                </c:pt>
                <c:pt idx="13">
                  <c:v>0</c:v>
                </c:pt>
                <c:pt idx="14">
                  <c:v>375033025.09907526</c:v>
                </c:pt>
                <c:pt idx="15">
                  <c:v>21003963.011889033</c:v>
                </c:pt>
                <c:pt idx="16">
                  <c:v>0</c:v>
                </c:pt>
                <c:pt idx="17">
                  <c:v>0</c:v>
                </c:pt>
                <c:pt idx="18">
                  <c:v>0</c:v>
                </c:pt>
                <c:pt idx="19">
                  <c:v>0</c:v>
                </c:pt>
                <c:pt idx="20">
                  <c:v>0</c:v>
                </c:pt>
                <c:pt idx="21">
                  <c:v>0</c:v>
                </c:pt>
                <c:pt idx="22">
                  <c:v>0</c:v>
                </c:pt>
                <c:pt idx="23">
                  <c:v>0</c:v>
                </c:pt>
                <c:pt idx="24">
                  <c:v>900000000</c:v>
                </c:pt>
                <c:pt idx="25">
                  <c:v>21003963.011889033</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139022457.06737119</c:v>
                </c:pt>
                <c:pt idx="40">
                  <c:v>0</c:v>
                </c:pt>
                <c:pt idx="41">
                  <c:v>500000000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26420.079260237781</c:v>
                </c:pt>
                <c:pt idx="61">
                  <c:v>0</c:v>
                </c:pt>
                <c:pt idx="62">
                  <c:v>0</c:v>
                </c:pt>
                <c:pt idx="63">
                  <c:v>0</c:v>
                </c:pt>
                <c:pt idx="64">
                  <c:v>0</c:v>
                </c:pt>
                <c:pt idx="65">
                  <c:v>0</c:v>
                </c:pt>
                <c:pt idx="66">
                  <c:v>79260.237780713345</c:v>
                </c:pt>
                <c:pt idx="67">
                  <c:v>0</c:v>
                </c:pt>
                <c:pt idx="68">
                  <c:v>0</c:v>
                </c:pt>
                <c:pt idx="69">
                  <c:v>0</c:v>
                </c:pt>
                <c:pt idx="70">
                  <c:v>0</c:v>
                </c:pt>
                <c:pt idx="71">
                  <c:v>257569352.70805812</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109801849.40554821</c:v>
                </c:pt>
                <c:pt idx="86">
                  <c:v>0</c:v>
                </c:pt>
                <c:pt idx="87">
                  <c:v>0</c:v>
                </c:pt>
                <c:pt idx="88">
                  <c:v>0</c:v>
                </c:pt>
                <c:pt idx="89">
                  <c:v>0</c:v>
                </c:pt>
                <c:pt idx="90">
                  <c:v>0</c:v>
                </c:pt>
                <c:pt idx="91">
                  <c:v>277437252.31175691</c:v>
                </c:pt>
                <c:pt idx="92">
                  <c:v>127391017.17305152</c:v>
                </c:pt>
                <c:pt idx="93">
                  <c:v>9009247.027741082</c:v>
                </c:pt>
                <c:pt idx="94">
                  <c:v>0</c:v>
                </c:pt>
                <c:pt idx="95">
                  <c:v>0</c:v>
                </c:pt>
                <c:pt idx="96">
                  <c:v>0</c:v>
                </c:pt>
                <c:pt idx="97">
                  <c:v>11360634.081902245</c:v>
                </c:pt>
                <c:pt idx="98">
                  <c:v>0</c:v>
                </c:pt>
                <c:pt idx="99">
                  <c:v>1750000000</c:v>
                </c:pt>
                <c:pt idx="100">
                  <c:v>26420.079260237781</c:v>
                </c:pt>
                <c:pt idx="101">
                  <c:v>584021136.06340814</c:v>
                </c:pt>
                <c:pt idx="102">
                  <c:v>127450462.35138704</c:v>
                </c:pt>
                <c:pt idx="103">
                  <c:v>0</c:v>
                </c:pt>
                <c:pt idx="104">
                  <c:v>1611624.8348745047</c:v>
                </c:pt>
                <c:pt idx="105">
                  <c:v>2012126816.3804491</c:v>
                </c:pt>
                <c:pt idx="106">
                  <c:v>50013210.039630115</c:v>
                </c:pt>
                <c:pt idx="107">
                  <c:v>59818361.955085866</c:v>
                </c:pt>
                <c:pt idx="108">
                  <c:v>1361764200.7926023</c:v>
                </c:pt>
                <c:pt idx="109">
                  <c:v>531500000</c:v>
                </c:pt>
                <c:pt idx="110">
                  <c:v>804788639.36591804</c:v>
                </c:pt>
                <c:pt idx="111">
                  <c:v>2432272126.8163805</c:v>
                </c:pt>
                <c:pt idx="112">
                  <c:v>751260964.33289289</c:v>
                </c:pt>
                <c:pt idx="113">
                  <c:v>91056803.170409501</c:v>
                </c:pt>
                <c:pt idx="114">
                  <c:v>545019815.05944514</c:v>
                </c:pt>
                <c:pt idx="115">
                  <c:v>3112575957.7278733</c:v>
                </c:pt>
                <c:pt idx="116">
                  <c:v>41241743.725231171</c:v>
                </c:pt>
                <c:pt idx="117">
                  <c:v>79854689.56406869</c:v>
                </c:pt>
                <c:pt idx="118">
                  <c:v>248916776.75033027</c:v>
                </c:pt>
                <c:pt idx="119">
                  <c:v>159894319.68295905</c:v>
                </c:pt>
                <c:pt idx="120">
                  <c:v>0</c:v>
                </c:pt>
                <c:pt idx="121">
                  <c:v>0</c:v>
                </c:pt>
                <c:pt idx="122">
                  <c:v>19815059.445178334</c:v>
                </c:pt>
                <c:pt idx="123">
                  <c:v>1000000000</c:v>
                </c:pt>
                <c:pt idx="124">
                  <c:v>178450594.45178333</c:v>
                </c:pt>
                <c:pt idx="125">
                  <c:v>884861294.58388376</c:v>
                </c:pt>
                <c:pt idx="126">
                  <c:v>0</c:v>
                </c:pt>
                <c:pt idx="127">
                  <c:v>33025099.075297225</c:v>
                </c:pt>
                <c:pt idx="128">
                  <c:v>259260237.78071332</c:v>
                </c:pt>
                <c:pt idx="129">
                  <c:v>158520.47556142669</c:v>
                </c:pt>
                <c:pt idx="130">
                  <c:v>183300000</c:v>
                </c:pt>
                <c:pt idx="131">
                  <c:v>0</c:v>
                </c:pt>
                <c:pt idx="132">
                  <c:v>0</c:v>
                </c:pt>
                <c:pt idx="133">
                  <c:v>0</c:v>
                </c:pt>
                <c:pt idx="134">
                  <c:v>5000000</c:v>
                </c:pt>
              </c:numCache>
            </c:numRef>
          </c:val>
          <c:smooth val="0"/>
          <c:extLst>
            <c:ext xmlns:c16="http://schemas.microsoft.com/office/drawing/2014/chart" uri="{C3380CC4-5D6E-409C-BE32-E72D297353CC}">
              <c16:uniqueId val="{00000004-D1AD-4CF9-A108-65A2C7644175}"/>
            </c:ext>
          </c:extLst>
        </c:ser>
        <c:dLbls>
          <c:showLegendKey val="0"/>
          <c:showVal val="0"/>
          <c:showCatName val="0"/>
          <c:showSerName val="0"/>
          <c:showPercent val="0"/>
          <c:showBubbleSize val="0"/>
        </c:dLbls>
        <c:marker val="1"/>
        <c:smooth val="0"/>
        <c:axId val="762655872"/>
        <c:axId val="762666432"/>
      </c:lineChart>
      <c:dateAx>
        <c:axId val="762655872"/>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62666432"/>
        <c:crosses val="autoZero"/>
        <c:auto val="1"/>
        <c:lblOffset val="100"/>
        <c:baseTimeUnit val="months"/>
      </c:dateAx>
      <c:valAx>
        <c:axId val="762666432"/>
        <c:scaling>
          <c:orientation val="minMax"/>
        </c:scaling>
        <c:delete val="0"/>
        <c:axPos val="l"/>
        <c:majorGridlines>
          <c:spPr>
            <a:ln w="9525" cap="flat" cmpd="sng" algn="ctr">
              <a:solidFill>
                <a:schemeClr val="bg1">
                  <a:lumMod val="6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62655872"/>
        <c:crosses val="autoZero"/>
        <c:crossBetween val="between"/>
        <c:dispUnits>
          <c:builtInUnit val="millions"/>
          <c:dispUnitsLbl>
            <c:tx>
              <c:rich>
                <a:bodyPr rot="-54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r>
                    <a:rPr lang="en-GB" sz="1200"/>
                    <a:t>million gallons</a:t>
                  </a:r>
                </a:p>
              </c:rich>
            </c:tx>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ispUnitsLbl>
        </c:dispUnits>
      </c:valAx>
      <c:spPr>
        <a:noFill/>
        <a:ln w="22225">
          <a:solidFill>
            <a:srgbClr val="8C8C8C"/>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ED4051D-D73A-456D-BBCD-A8BB57854FA1}">
  <sheetPr/>
  <sheetViews>
    <sheetView zoomScale="122" workbookViewId="0" zoomToFit="1"/>
  </sheetViews>
  <pageMargins left="0.25" right="0.25" top="1.25" bottom="1.25" header="0.3" footer="0.3"/>
  <pageSetup paperSize="9" orientation="landscape" horizontalDpi="300" verticalDpi="300"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127436" cy="5161410"/>
    <xdr:graphicFrame macro="">
      <xdr:nvGraphicFramePr>
        <xdr:cNvPr id="2" name="Chart 1">
          <a:extLst>
            <a:ext uri="{FF2B5EF4-FFF2-40B4-BE49-F238E27FC236}">
              <a16:creationId xmlns:a16="http://schemas.microsoft.com/office/drawing/2014/main" id="{F6D49338-DDB4-5671-6BB5-132EDF241EE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orem/Dropbox/FM%20Files/HOBO/Biofuel%20Model/SAF%20Offtakes%20Investment%20and%20Mandates%20-%20HOB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den, Tore (US)" refreshedDate="45604.649893518515" createdVersion="8" refreshedVersion="8" minRefreshableVersion="3" recordCount="37" xr:uid="{63EF7705-4218-48DB-831B-5928818B03D0}">
  <cacheSource type="worksheet">
    <worksheetSource ref="A1:D40" sheet="Mandates" r:id="rId2"/>
  </cacheSource>
  <cacheFields count="4">
    <cacheField name="Country" numFmtId="0">
      <sharedItems count="17">
        <s v="China"/>
        <s v="India"/>
        <s v="Indonesia"/>
        <s v="Japan"/>
        <s v="Malaysia"/>
        <s v="Philippines"/>
        <s v="Singapore"/>
        <s v="South Korea"/>
        <s v="Taiwan"/>
        <s v="Thailand"/>
        <s v="EU"/>
        <s v="France"/>
        <s v="Germany"/>
        <s v="Norway"/>
        <s v="Sweden"/>
        <s v="UK"/>
        <s v="Brazil"/>
      </sharedItems>
    </cacheField>
    <cacheField name="Region" numFmtId="0">
      <sharedItems/>
    </cacheField>
    <cacheField name="Year" numFmtId="0">
      <sharedItems containsMixedTypes="1" containsNumber="1" containsInteger="1" minValue="2020" maxValue="2060" count="16">
        <n v="2025"/>
        <n v="2030"/>
        <n v="2027"/>
        <n v="2028"/>
        <n v="2035"/>
        <n v="2040"/>
        <n v="2050"/>
        <n v="2060"/>
        <s v="2024?"/>
        <s v="TBD"/>
        <n v="2026"/>
        <n v="2022"/>
        <n v="2024"/>
        <n v="2020"/>
        <n v="2021"/>
        <n v="2037"/>
      </sharedItems>
    </cacheField>
    <cacheField name="Mandate" numFmtId="0">
      <sharedItems containsMixedTypes="1" containsNumber="1" minValue="5.0000000000000001E-3" maxValue="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s v="Asia"/>
    <x v="0"/>
    <n v="0.02"/>
  </r>
  <r>
    <x v="0"/>
    <s v="Asia"/>
    <x v="1"/>
    <n v="0.15"/>
  </r>
  <r>
    <x v="1"/>
    <s v="Asia"/>
    <x v="2"/>
    <n v="0.01"/>
  </r>
  <r>
    <x v="1"/>
    <s v="Asia"/>
    <x v="3"/>
    <n v="0.02"/>
  </r>
  <r>
    <x v="1"/>
    <s v="Asia"/>
    <x v="1"/>
    <n v="0.05"/>
  </r>
  <r>
    <x v="2"/>
    <s v="Asia"/>
    <x v="2"/>
    <n v="0.01"/>
  </r>
  <r>
    <x v="2"/>
    <s v="Asia"/>
    <x v="1"/>
    <n v="2.5000000000000001E-2"/>
  </r>
  <r>
    <x v="2"/>
    <s v="Asia"/>
    <x v="4"/>
    <n v="0.05"/>
  </r>
  <r>
    <x v="2"/>
    <s v="Asia"/>
    <x v="5"/>
    <n v="0.125"/>
  </r>
  <r>
    <x v="2"/>
    <s v="Asia"/>
    <x v="6"/>
    <n v="0.3"/>
  </r>
  <r>
    <x v="2"/>
    <s v="Asia"/>
    <x v="7"/>
    <n v="0.5"/>
  </r>
  <r>
    <x v="3"/>
    <s v="Asia"/>
    <x v="1"/>
    <n v="0.1"/>
  </r>
  <r>
    <x v="4"/>
    <s v="Asia"/>
    <x v="8"/>
    <n v="0.01"/>
  </r>
  <r>
    <x v="4"/>
    <s v="Asia"/>
    <x v="6"/>
    <n v="0.47"/>
  </r>
  <r>
    <x v="5"/>
    <s v="Asia"/>
    <x v="9"/>
    <s v="TBD"/>
  </r>
  <r>
    <x v="6"/>
    <s v="Asia"/>
    <x v="10"/>
    <n v="0.01"/>
  </r>
  <r>
    <x v="6"/>
    <s v="Asia"/>
    <x v="1"/>
    <s v="3-5%"/>
  </r>
  <r>
    <x v="7"/>
    <s v="Asia"/>
    <x v="0"/>
    <n v="0.01"/>
  </r>
  <r>
    <x v="8"/>
    <s v="Asia"/>
    <x v="1"/>
    <n v="0.05"/>
  </r>
  <r>
    <x v="9"/>
    <s v="Asia"/>
    <x v="10"/>
    <n v="0.01"/>
  </r>
  <r>
    <x v="10"/>
    <s v="Europe"/>
    <x v="0"/>
    <n v="0.02"/>
  </r>
  <r>
    <x v="10"/>
    <s v="Europe"/>
    <x v="1"/>
    <n v="0.06"/>
  </r>
  <r>
    <x v="10"/>
    <s v="Europe"/>
    <x v="4"/>
    <n v="0.2"/>
  </r>
  <r>
    <x v="10"/>
    <s v="Europe"/>
    <x v="6"/>
    <s v="63%/70%"/>
  </r>
  <r>
    <x v="11"/>
    <s v="Europe"/>
    <x v="11"/>
    <n v="0.01"/>
  </r>
  <r>
    <x v="11"/>
    <s v="Europe"/>
    <x v="12"/>
    <n v="1.4999999999999999E-2"/>
  </r>
  <r>
    <x v="11"/>
    <s v="Europe"/>
    <x v="0"/>
    <n v="0.02"/>
  </r>
  <r>
    <x v="12"/>
    <s v="Europe"/>
    <x v="10"/>
    <n v="5.0000000000000001E-3"/>
  </r>
  <r>
    <x v="12"/>
    <s v="Europe"/>
    <x v="3"/>
    <n v="0.01"/>
  </r>
  <r>
    <x v="12"/>
    <s v="Europe"/>
    <x v="1"/>
    <n v="0.02"/>
  </r>
  <r>
    <x v="13"/>
    <s v="Europe"/>
    <x v="13"/>
    <n v="5.0000000000000001E-3"/>
  </r>
  <r>
    <x v="13"/>
    <s v="Europe"/>
    <x v="1"/>
    <n v="0.3"/>
  </r>
  <r>
    <x v="14"/>
    <s v="Europe"/>
    <x v="14"/>
    <n v="0.01"/>
  </r>
  <r>
    <x v="15"/>
    <s v="Europe"/>
    <x v="0"/>
    <n v="0.02"/>
  </r>
  <r>
    <x v="15"/>
    <s v="Europe"/>
    <x v="1"/>
    <n v="0.1"/>
  </r>
  <r>
    <x v="15"/>
    <s v="Europe"/>
    <x v="5"/>
    <n v="0.22"/>
  </r>
  <r>
    <x v="16"/>
    <s v="S Am"/>
    <x v="15"/>
    <s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F3247E-6D2B-4BB1-90B2-919FB162C1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R22" firstHeaderRow="1" firstDataRow="2" firstDataCol="1"/>
  <pivotFields count="4">
    <pivotField axis="axisRow" showAll="0">
      <items count="18">
        <item x="16"/>
        <item x="0"/>
        <item x="10"/>
        <item x="11"/>
        <item x="12"/>
        <item x="1"/>
        <item x="2"/>
        <item x="3"/>
        <item x="4"/>
        <item x="13"/>
        <item x="5"/>
        <item x="6"/>
        <item x="7"/>
        <item x="14"/>
        <item x="8"/>
        <item x="9"/>
        <item x="15"/>
        <item t="default"/>
      </items>
    </pivotField>
    <pivotField showAll="0"/>
    <pivotField axis="axisCol" showAll="0">
      <items count="17">
        <item x="13"/>
        <item x="14"/>
        <item x="11"/>
        <item x="12"/>
        <item x="0"/>
        <item x="10"/>
        <item x="2"/>
        <item x="3"/>
        <item x="1"/>
        <item x="4"/>
        <item x="15"/>
        <item x="5"/>
        <item x="6"/>
        <item x="7"/>
        <item x="8"/>
        <item x="9"/>
        <item t="default"/>
      </items>
    </pivotField>
    <pivotField dataField="1" showAl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17">
    <i>
      <x/>
    </i>
    <i>
      <x v="1"/>
    </i>
    <i>
      <x v="2"/>
    </i>
    <i>
      <x v="3"/>
    </i>
    <i>
      <x v="4"/>
    </i>
    <i>
      <x v="5"/>
    </i>
    <i>
      <x v="6"/>
    </i>
    <i>
      <x v="7"/>
    </i>
    <i>
      <x v="8"/>
    </i>
    <i>
      <x v="9"/>
    </i>
    <i>
      <x v="10"/>
    </i>
    <i>
      <x v="11"/>
    </i>
    <i>
      <x v="12"/>
    </i>
    <i>
      <x v="13"/>
    </i>
    <i>
      <x v="14"/>
    </i>
    <i>
      <x v="15"/>
    </i>
    <i t="grand">
      <x/>
    </i>
  </colItems>
  <dataFields count="1">
    <dataField name="Sum of Mandate" fld="3" baseField="0" baseItem="0"/>
  </dataFields>
  <formats count="1">
    <format dxfId="0">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s://moderndiplomacy.eu/2024/08/22/chinas-new-policy-on-sustainable-aviation-fuel-saf-a-step-towards-greener-future/" TargetMode="External"/><Relationship Id="rId2" Type="http://schemas.openxmlformats.org/officeDocument/2006/relationships/hyperlink" Target="https://www.transportenvironment.org/articles/implementing-the-eus-e-saf-mandate" TargetMode="External"/><Relationship Id="rId1" Type="http://schemas.openxmlformats.org/officeDocument/2006/relationships/hyperlink" Target="https://transport.ec.europa.eu/transport-modes/air/environment/refueleu-aviation_e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turnermason.com/blog/state-level-saf-incentives-advancing-the-ball-down-the-fie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AB133-8694-4E73-B974-67B33A2D0D4A}">
  <dimension ref="A1:P161"/>
  <sheetViews>
    <sheetView topLeftCell="A149" workbookViewId="0">
      <selection activeCell="F3" sqref="F3"/>
    </sheetView>
  </sheetViews>
  <sheetFormatPr defaultRowHeight="15"/>
  <cols>
    <col min="1" max="1" width="11.140625" bestFit="1" customWidth="1"/>
    <col min="2" max="2" width="20.5703125" bestFit="1" customWidth="1"/>
    <col min="3" max="3" width="17.42578125" customWidth="1"/>
    <col min="4" max="4" width="15.28515625" style="5" bestFit="1" customWidth="1"/>
    <col min="5" max="5" width="14.28515625" bestFit="1" customWidth="1"/>
    <col min="6" max="6" width="12.5703125" style="5" bestFit="1" customWidth="1"/>
    <col min="7" max="7" width="7.85546875" customWidth="1"/>
    <col min="8" max="8" width="58.85546875" style="6" customWidth="1"/>
    <col min="12" max="12" width="10.42578125" bestFit="1" customWidth="1"/>
    <col min="15" max="15" width="16" bestFit="1" customWidth="1"/>
    <col min="16" max="16" width="13.85546875" bestFit="1" customWidth="1"/>
  </cols>
  <sheetData>
    <row r="1" spans="1:15" ht="15.75">
      <c r="A1" s="1" t="s">
        <v>0</v>
      </c>
      <c r="B1" s="1" t="s">
        <v>1</v>
      </c>
      <c r="C1" s="1" t="s">
        <v>2</v>
      </c>
      <c r="D1" s="2" t="s">
        <v>3</v>
      </c>
      <c r="E1" s="1" t="s">
        <v>4</v>
      </c>
      <c r="F1" s="2" t="s">
        <v>5</v>
      </c>
      <c r="G1" s="1" t="s">
        <v>6</v>
      </c>
      <c r="H1" s="3" t="s">
        <v>7</v>
      </c>
    </row>
    <row r="2" spans="1:15">
      <c r="A2" s="4">
        <v>41429</v>
      </c>
      <c r="B2" t="s">
        <v>8</v>
      </c>
      <c r="C2" t="s">
        <v>9</v>
      </c>
      <c r="D2" s="5">
        <v>15006605.019815059</v>
      </c>
      <c r="E2">
        <v>3</v>
      </c>
      <c r="F2" s="5">
        <f>D2/E2</f>
        <v>5002201.6732716868</v>
      </c>
      <c r="H2" s="6" t="s">
        <v>10</v>
      </c>
      <c r="I2">
        <f>MONTH(A2)</f>
        <v>6</v>
      </c>
      <c r="J2">
        <f>YEAR(A2)</f>
        <v>2013</v>
      </c>
    </row>
    <row r="3" spans="1:15">
      <c r="A3" s="4">
        <v>41858</v>
      </c>
      <c r="B3" t="s">
        <v>11</v>
      </c>
      <c r="C3" t="s">
        <v>12</v>
      </c>
      <c r="D3" s="5">
        <v>375033025.09907526</v>
      </c>
      <c r="E3">
        <v>10</v>
      </c>
      <c r="F3" s="5">
        <f>D3/E3</f>
        <v>37503302.509907529</v>
      </c>
      <c r="I3">
        <f t="shared" ref="I3:I66" si="0">MONTH(A3)</f>
        <v>8</v>
      </c>
      <c r="J3">
        <f t="shared" ref="J3:J66" si="1">YEAR(A3)</f>
        <v>2014</v>
      </c>
      <c r="L3" s="4">
        <v>41426</v>
      </c>
      <c r="M3">
        <f>MONTH(L3)</f>
        <v>6</v>
      </c>
      <c r="N3">
        <f>YEAR(L3)</f>
        <v>2013</v>
      </c>
      <c r="O3" s="7">
        <f t="shared" ref="O3:O66" si="2">SUMIFS($D$2:$D$511,$I$2:$I$511,$M3,$J$2:$J$511,$N3)</f>
        <v>15006605.019815059</v>
      </c>
    </row>
    <row r="4" spans="1:15">
      <c r="A4" s="4">
        <v>41906</v>
      </c>
      <c r="B4" t="s">
        <v>13</v>
      </c>
      <c r="C4" t="s">
        <v>14</v>
      </c>
      <c r="D4" s="5">
        <v>21003963.011889033</v>
      </c>
      <c r="E4">
        <v>7</v>
      </c>
      <c r="I4">
        <f t="shared" si="0"/>
        <v>9</v>
      </c>
      <c r="J4">
        <f t="shared" si="1"/>
        <v>2014</v>
      </c>
      <c r="L4" s="4">
        <v>41456</v>
      </c>
      <c r="M4">
        <f t="shared" ref="M4:M67" si="3">MONTH(L4)</f>
        <v>7</v>
      </c>
      <c r="N4">
        <f t="shared" ref="N4:N67" si="4">YEAR(L4)</f>
        <v>2013</v>
      </c>
      <c r="O4" s="7">
        <f t="shared" si="2"/>
        <v>0</v>
      </c>
    </row>
    <row r="5" spans="1:15" ht="30">
      <c r="A5" s="4">
        <v>42185</v>
      </c>
      <c r="B5" t="s">
        <v>15</v>
      </c>
      <c r="C5" t="s">
        <v>9</v>
      </c>
      <c r="D5" s="5">
        <v>900000000</v>
      </c>
      <c r="E5">
        <v>10</v>
      </c>
      <c r="F5" s="5">
        <v>90000000</v>
      </c>
      <c r="H5" s="6" t="s">
        <v>16</v>
      </c>
      <c r="I5">
        <f t="shared" si="0"/>
        <v>6</v>
      </c>
      <c r="J5">
        <f t="shared" si="1"/>
        <v>2015</v>
      </c>
      <c r="L5" s="4">
        <v>41487</v>
      </c>
      <c r="M5">
        <f t="shared" si="3"/>
        <v>8</v>
      </c>
      <c r="N5">
        <f t="shared" si="4"/>
        <v>2013</v>
      </c>
      <c r="O5" s="7">
        <f t="shared" si="2"/>
        <v>0</v>
      </c>
    </row>
    <row r="6" spans="1:15">
      <c r="A6" s="4">
        <v>42206</v>
      </c>
      <c r="B6" t="s">
        <v>13</v>
      </c>
      <c r="C6" t="s">
        <v>17</v>
      </c>
      <c r="D6" s="5">
        <v>21003963.011889033</v>
      </c>
      <c r="E6">
        <v>7</v>
      </c>
      <c r="I6">
        <f t="shared" si="0"/>
        <v>7</v>
      </c>
      <c r="J6">
        <f t="shared" si="1"/>
        <v>2015</v>
      </c>
      <c r="L6" s="4">
        <v>41518</v>
      </c>
      <c r="M6">
        <f t="shared" si="3"/>
        <v>9</v>
      </c>
      <c r="N6">
        <f t="shared" si="4"/>
        <v>2013</v>
      </c>
      <c r="O6" s="7">
        <f t="shared" si="2"/>
        <v>0</v>
      </c>
    </row>
    <row r="7" spans="1:15">
      <c r="A7" s="4">
        <v>42513</v>
      </c>
      <c r="B7" t="s">
        <v>8</v>
      </c>
      <c r="C7" t="s">
        <v>18</v>
      </c>
      <c r="D7" s="5">
        <v>0</v>
      </c>
      <c r="E7">
        <v>3</v>
      </c>
      <c r="F7" s="5">
        <f>D7/E7</f>
        <v>0</v>
      </c>
      <c r="I7">
        <f t="shared" si="0"/>
        <v>5</v>
      </c>
      <c r="J7">
        <f t="shared" si="1"/>
        <v>2016</v>
      </c>
      <c r="L7" s="4">
        <v>41548</v>
      </c>
      <c r="M7">
        <f t="shared" si="3"/>
        <v>10</v>
      </c>
      <c r="N7">
        <f t="shared" si="4"/>
        <v>2013</v>
      </c>
      <c r="O7" s="7">
        <f t="shared" si="2"/>
        <v>0</v>
      </c>
    </row>
    <row r="8" spans="1:15">
      <c r="A8" s="4">
        <v>42536</v>
      </c>
      <c r="B8" t="s">
        <v>19</v>
      </c>
      <c r="C8" t="s">
        <v>12</v>
      </c>
      <c r="D8" s="5">
        <v>0</v>
      </c>
      <c r="E8">
        <v>2</v>
      </c>
      <c r="I8">
        <f t="shared" si="0"/>
        <v>6</v>
      </c>
      <c r="J8">
        <f t="shared" si="1"/>
        <v>2016</v>
      </c>
      <c r="L8" s="4">
        <v>41579</v>
      </c>
      <c r="M8">
        <f t="shared" si="3"/>
        <v>11</v>
      </c>
      <c r="N8">
        <f t="shared" si="4"/>
        <v>2013</v>
      </c>
      <c r="O8" s="7">
        <f t="shared" si="2"/>
        <v>0</v>
      </c>
    </row>
    <row r="9" spans="1:15">
      <c r="A9" s="4">
        <v>42620</v>
      </c>
      <c r="B9" t="s">
        <v>20</v>
      </c>
      <c r="C9" t="s">
        <v>21</v>
      </c>
      <c r="D9" s="5">
        <v>40000000</v>
      </c>
      <c r="E9">
        <v>5</v>
      </c>
      <c r="F9" s="5">
        <f>D9/E9</f>
        <v>8000000</v>
      </c>
      <c r="I9">
        <f t="shared" si="0"/>
        <v>9</v>
      </c>
      <c r="J9">
        <f t="shared" si="1"/>
        <v>2016</v>
      </c>
      <c r="L9" s="4">
        <v>41609</v>
      </c>
      <c r="M9">
        <f t="shared" si="3"/>
        <v>12</v>
      </c>
      <c r="N9">
        <f t="shared" si="4"/>
        <v>2013</v>
      </c>
      <c r="O9" s="7">
        <f t="shared" si="2"/>
        <v>0</v>
      </c>
    </row>
    <row r="10" spans="1:15">
      <c r="A10" s="4">
        <v>42621</v>
      </c>
      <c r="B10" t="s">
        <v>8</v>
      </c>
      <c r="C10" t="s">
        <v>22</v>
      </c>
      <c r="D10" s="5">
        <v>0</v>
      </c>
      <c r="E10">
        <v>3</v>
      </c>
      <c r="F10" s="5">
        <f>D10/E10</f>
        <v>0</v>
      </c>
      <c r="I10">
        <f t="shared" si="0"/>
        <v>9</v>
      </c>
      <c r="J10">
        <f t="shared" si="1"/>
        <v>2016</v>
      </c>
      <c r="L10" s="4">
        <v>41640</v>
      </c>
      <c r="M10">
        <f t="shared" si="3"/>
        <v>1</v>
      </c>
      <c r="N10">
        <f t="shared" si="4"/>
        <v>2014</v>
      </c>
      <c r="O10" s="7">
        <f t="shared" si="2"/>
        <v>0</v>
      </c>
    </row>
    <row r="11" spans="1:15">
      <c r="A11" s="4">
        <v>42632</v>
      </c>
      <c r="B11" t="s">
        <v>23</v>
      </c>
      <c r="C11" t="s">
        <v>24</v>
      </c>
      <c r="D11" s="5">
        <v>99022457.067371204</v>
      </c>
      <c r="E11">
        <v>10</v>
      </c>
      <c r="I11">
        <f t="shared" si="0"/>
        <v>9</v>
      </c>
      <c r="J11">
        <f t="shared" si="1"/>
        <v>2016</v>
      </c>
      <c r="L11" s="4">
        <v>41671</v>
      </c>
      <c r="M11">
        <f t="shared" si="3"/>
        <v>2</v>
      </c>
      <c r="N11">
        <f t="shared" si="4"/>
        <v>2014</v>
      </c>
      <c r="O11" s="7">
        <f t="shared" si="2"/>
        <v>0</v>
      </c>
    </row>
    <row r="12" spans="1:15" ht="30">
      <c r="A12" s="4">
        <v>42682</v>
      </c>
      <c r="B12" t="s">
        <v>15</v>
      </c>
      <c r="C12" t="s">
        <v>25</v>
      </c>
      <c r="D12" s="5">
        <v>500000000</v>
      </c>
      <c r="E12">
        <v>10</v>
      </c>
      <c r="F12" s="5">
        <f>D12/E12</f>
        <v>50000000</v>
      </c>
      <c r="H12" s="6" t="s">
        <v>26</v>
      </c>
      <c r="I12">
        <f t="shared" si="0"/>
        <v>11</v>
      </c>
      <c r="J12">
        <f t="shared" si="1"/>
        <v>2016</v>
      </c>
      <c r="L12" s="4">
        <v>41699</v>
      </c>
      <c r="M12">
        <f t="shared" si="3"/>
        <v>3</v>
      </c>
      <c r="N12">
        <f t="shared" si="4"/>
        <v>2014</v>
      </c>
      <c r="O12" s="7">
        <f t="shared" si="2"/>
        <v>0</v>
      </c>
    </row>
    <row r="13" spans="1:15">
      <c r="A13" s="4">
        <v>43074</v>
      </c>
      <c r="B13" t="s">
        <v>27</v>
      </c>
      <c r="C13" t="s">
        <v>28</v>
      </c>
      <c r="D13" s="5">
        <v>0</v>
      </c>
      <c r="I13">
        <f t="shared" si="0"/>
        <v>12</v>
      </c>
      <c r="J13">
        <f t="shared" si="1"/>
        <v>2017</v>
      </c>
      <c r="L13" s="4">
        <v>41730</v>
      </c>
      <c r="M13">
        <f t="shared" si="3"/>
        <v>4</v>
      </c>
      <c r="N13">
        <f t="shared" si="4"/>
        <v>2014</v>
      </c>
      <c r="O13" s="7">
        <f t="shared" si="2"/>
        <v>0</v>
      </c>
    </row>
    <row r="14" spans="1:15">
      <c r="A14" s="4">
        <v>43252</v>
      </c>
      <c r="B14" t="s">
        <v>8</v>
      </c>
      <c r="C14" t="s">
        <v>22</v>
      </c>
      <c r="D14" s="5">
        <v>26420.079260237781</v>
      </c>
      <c r="E14">
        <v>0.5</v>
      </c>
      <c r="F14" s="5">
        <f>D14/E14</f>
        <v>52840.158520475561</v>
      </c>
      <c r="I14">
        <f t="shared" si="0"/>
        <v>6</v>
      </c>
      <c r="J14">
        <f t="shared" si="1"/>
        <v>2018</v>
      </c>
      <c r="L14" s="4">
        <v>41760</v>
      </c>
      <c r="M14">
        <f t="shared" si="3"/>
        <v>5</v>
      </c>
      <c r="N14">
        <f t="shared" si="4"/>
        <v>2014</v>
      </c>
      <c r="O14" s="7">
        <f t="shared" si="2"/>
        <v>0</v>
      </c>
    </row>
    <row r="15" spans="1:15">
      <c r="A15" s="4">
        <v>43264</v>
      </c>
      <c r="B15" t="s">
        <v>29</v>
      </c>
      <c r="C15" t="s">
        <v>30</v>
      </c>
      <c r="D15" s="5">
        <v>0</v>
      </c>
      <c r="E15">
        <v>0</v>
      </c>
      <c r="I15">
        <f t="shared" si="0"/>
        <v>6</v>
      </c>
      <c r="J15">
        <f t="shared" si="1"/>
        <v>2018</v>
      </c>
      <c r="L15" s="4">
        <v>41791</v>
      </c>
      <c r="M15">
        <f t="shared" si="3"/>
        <v>6</v>
      </c>
      <c r="N15">
        <f t="shared" si="4"/>
        <v>2014</v>
      </c>
      <c r="O15" s="7">
        <f t="shared" si="2"/>
        <v>0</v>
      </c>
    </row>
    <row r="16" spans="1:15">
      <c r="A16" s="4">
        <v>43362</v>
      </c>
      <c r="B16" t="s">
        <v>8</v>
      </c>
      <c r="C16" t="s">
        <v>24</v>
      </c>
      <c r="D16" s="5">
        <v>0</v>
      </c>
      <c r="E16">
        <v>1</v>
      </c>
      <c r="F16" s="5">
        <f>D16/E16</f>
        <v>0</v>
      </c>
      <c r="I16">
        <f t="shared" si="0"/>
        <v>9</v>
      </c>
      <c r="J16">
        <f t="shared" si="1"/>
        <v>2018</v>
      </c>
      <c r="L16" s="4">
        <v>41821</v>
      </c>
      <c r="M16">
        <f t="shared" si="3"/>
        <v>7</v>
      </c>
      <c r="N16">
        <f t="shared" si="4"/>
        <v>2014</v>
      </c>
      <c r="O16" s="7">
        <f t="shared" si="2"/>
        <v>0</v>
      </c>
    </row>
    <row r="17" spans="1:15">
      <c r="A17" s="4">
        <v>43445</v>
      </c>
      <c r="B17" t="s">
        <v>8</v>
      </c>
      <c r="C17" t="s">
        <v>30</v>
      </c>
      <c r="D17" s="5">
        <v>79260.237780713345</v>
      </c>
      <c r="E17">
        <v>3</v>
      </c>
      <c r="F17" s="5">
        <f>D17/E17</f>
        <v>26420.079260237781</v>
      </c>
      <c r="I17">
        <f t="shared" si="0"/>
        <v>12</v>
      </c>
      <c r="J17">
        <f t="shared" si="1"/>
        <v>2018</v>
      </c>
      <c r="L17" s="4">
        <v>41852</v>
      </c>
      <c r="M17">
        <f t="shared" si="3"/>
        <v>8</v>
      </c>
      <c r="N17">
        <f t="shared" si="4"/>
        <v>2014</v>
      </c>
      <c r="O17" s="7">
        <f t="shared" si="2"/>
        <v>375033025.09907526</v>
      </c>
    </row>
    <row r="18" spans="1:15">
      <c r="A18" s="4">
        <v>43453</v>
      </c>
      <c r="B18" t="s">
        <v>8</v>
      </c>
      <c r="C18" t="s">
        <v>31</v>
      </c>
      <c r="D18" s="5">
        <v>0</v>
      </c>
      <c r="I18">
        <f t="shared" si="0"/>
        <v>12</v>
      </c>
      <c r="J18">
        <f t="shared" si="1"/>
        <v>2018</v>
      </c>
      <c r="L18" s="4">
        <v>41883</v>
      </c>
      <c r="M18">
        <f t="shared" si="3"/>
        <v>9</v>
      </c>
      <c r="N18">
        <f t="shared" si="4"/>
        <v>2014</v>
      </c>
      <c r="O18" s="7">
        <f t="shared" si="2"/>
        <v>21003963.011889033</v>
      </c>
    </row>
    <row r="19" spans="1:15">
      <c r="A19" s="4">
        <v>43607</v>
      </c>
      <c r="B19" t="s">
        <v>8</v>
      </c>
      <c r="C19" t="s">
        <v>9</v>
      </c>
      <c r="D19" s="5">
        <v>10013210.039630119</v>
      </c>
      <c r="E19">
        <v>2</v>
      </c>
      <c r="F19" s="5">
        <f>D19/E19</f>
        <v>5006605.0198150594</v>
      </c>
      <c r="G19">
        <v>2020</v>
      </c>
      <c r="I19">
        <f t="shared" si="0"/>
        <v>5</v>
      </c>
      <c r="J19">
        <f t="shared" si="1"/>
        <v>2019</v>
      </c>
      <c r="L19" s="4">
        <v>41913</v>
      </c>
      <c r="M19">
        <f t="shared" si="3"/>
        <v>10</v>
      </c>
      <c r="N19">
        <f t="shared" si="4"/>
        <v>2014</v>
      </c>
      <c r="O19" s="7">
        <f t="shared" si="2"/>
        <v>0</v>
      </c>
    </row>
    <row r="20" spans="1:15">
      <c r="A20" s="4">
        <v>43612</v>
      </c>
      <c r="B20" t="s">
        <v>32</v>
      </c>
      <c r="C20" t="s">
        <v>22</v>
      </c>
      <c r="D20" s="5">
        <v>247556142.668428</v>
      </c>
      <c r="E20">
        <v>10</v>
      </c>
      <c r="I20">
        <f t="shared" si="0"/>
        <v>5</v>
      </c>
      <c r="J20">
        <f t="shared" si="1"/>
        <v>2019</v>
      </c>
      <c r="L20" s="4">
        <v>41944</v>
      </c>
      <c r="M20">
        <f t="shared" si="3"/>
        <v>11</v>
      </c>
      <c r="N20">
        <f t="shared" si="4"/>
        <v>2014</v>
      </c>
      <c r="O20" s="7">
        <f t="shared" si="2"/>
        <v>0</v>
      </c>
    </row>
    <row r="21" spans="1:15">
      <c r="A21" s="4">
        <v>43691</v>
      </c>
      <c r="B21" t="s">
        <v>20</v>
      </c>
      <c r="C21" t="s">
        <v>33</v>
      </c>
      <c r="E21">
        <v>3</v>
      </c>
      <c r="I21">
        <f t="shared" si="0"/>
        <v>8</v>
      </c>
      <c r="J21">
        <f t="shared" si="1"/>
        <v>2019</v>
      </c>
      <c r="L21" s="4">
        <v>41974</v>
      </c>
      <c r="M21">
        <f t="shared" si="3"/>
        <v>12</v>
      </c>
      <c r="N21">
        <f t="shared" si="4"/>
        <v>2014</v>
      </c>
      <c r="O21" s="7">
        <f t="shared" si="2"/>
        <v>0</v>
      </c>
    </row>
    <row r="22" spans="1:15">
      <c r="A22" s="4">
        <v>43809</v>
      </c>
      <c r="B22" t="s">
        <v>34</v>
      </c>
      <c r="C22" t="s">
        <v>22</v>
      </c>
      <c r="D22" s="5">
        <v>0</v>
      </c>
      <c r="E22">
        <v>0</v>
      </c>
      <c r="I22">
        <f t="shared" si="0"/>
        <v>12</v>
      </c>
      <c r="J22">
        <f t="shared" si="1"/>
        <v>2019</v>
      </c>
      <c r="L22" s="4">
        <v>42005</v>
      </c>
      <c r="M22">
        <f t="shared" si="3"/>
        <v>1</v>
      </c>
      <c r="N22">
        <f t="shared" si="4"/>
        <v>2015</v>
      </c>
      <c r="O22" s="7">
        <f t="shared" si="2"/>
        <v>0</v>
      </c>
    </row>
    <row r="23" spans="1:15">
      <c r="A23" s="4">
        <v>43818</v>
      </c>
      <c r="B23" t="s">
        <v>20</v>
      </c>
      <c r="C23" t="s">
        <v>35</v>
      </c>
      <c r="E23">
        <v>0</v>
      </c>
      <c r="H23" s="6" t="s">
        <v>36</v>
      </c>
      <c r="I23">
        <f t="shared" si="0"/>
        <v>12</v>
      </c>
      <c r="J23">
        <f t="shared" si="1"/>
        <v>2019</v>
      </c>
      <c r="L23" s="4">
        <v>42036</v>
      </c>
      <c r="M23">
        <f t="shared" si="3"/>
        <v>2</v>
      </c>
      <c r="N23">
        <f t="shared" si="4"/>
        <v>2015</v>
      </c>
      <c r="O23" s="7">
        <f t="shared" si="2"/>
        <v>0</v>
      </c>
    </row>
    <row r="24" spans="1:15">
      <c r="A24" s="4">
        <v>43865</v>
      </c>
      <c r="B24" t="s">
        <v>37</v>
      </c>
      <c r="C24" t="s">
        <v>35</v>
      </c>
      <c r="D24" s="5">
        <v>0</v>
      </c>
      <c r="E24">
        <v>0</v>
      </c>
      <c r="G24">
        <v>2023</v>
      </c>
      <c r="H24" s="6" t="s">
        <v>38</v>
      </c>
      <c r="I24">
        <f t="shared" si="0"/>
        <v>2</v>
      </c>
      <c r="J24">
        <f t="shared" si="1"/>
        <v>2020</v>
      </c>
      <c r="L24" s="4">
        <v>42064</v>
      </c>
      <c r="M24">
        <f t="shared" si="3"/>
        <v>3</v>
      </c>
      <c r="N24">
        <f t="shared" si="4"/>
        <v>2015</v>
      </c>
      <c r="O24" s="7">
        <f t="shared" si="2"/>
        <v>0</v>
      </c>
    </row>
    <row r="25" spans="1:15">
      <c r="A25" s="4">
        <v>44002</v>
      </c>
      <c r="B25" t="s">
        <v>39</v>
      </c>
      <c r="C25" t="s">
        <v>40</v>
      </c>
      <c r="D25" s="5">
        <v>0</v>
      </c>
      <c r="E25">
        <v>0</v>
      </c>
      <c r="I25">
        <f t="shared" si="0"/>
        <v>6</v>
      </c>
      <c r="J25">
        <f t="shared" si="1"/>
        <v>2020</v>
      </c>
      <c r="L25" s="4">
        <v>42095</v>
      </c>
      <c r="M25">
        <f t="shared" si="3"/>
        <v>4</v>
      </c>
      <c r="N25">
        <f t="shared" si="4"/>
        <v>2015</v>
      </c>
      <c r="O25" s="7">
        <f t="shared" si="2"/>
        <v>0</v>
      </c>
    </row>
    <row r="26" spans="1:15">
      <c r="A26" s="4">
        <v>44020</v>
      </c>
      <c r="B26" t="s">
        <v>41</v>
      </c>
      <c r="C26" t="s">
        <v>42</v>
      </c>
      <c r="D26" s="5">
        <v>108005284.01585205</v>
      </c>
      <c r="E26">
        <v>15</v>
      </c>
      <c r="I26">
        <f t="shared" si="0"/>
        <v>7</v>
      </c>
      <c r="J26">
        <f t="shared" si="1"/>
        <v>2020</v>
      </c>
      <c r="L26" s="4">
        <v>42125</v>
      </c>
      <c r="M26">
        <f t="shared" si="3"/>
        <v>5</v>
      </c>
      <c r="N26">
        <f t="shared" si="4"/>
        <v>2015</v>
      </c>
      <c r="O26" s="7">
        <f t="shared" si="2"/>
        <v>0</v>
      </c>
    </row>
    <row r="27" spans="1:15">
      <c r="A27" s="4">
        <v>44020</v>
      </c>
      <c r="B27" t="s">
        <v>8</v>
      </c>
      <c r="C27" t="s">
        <v>43</v>
      </c>
      <c r="D27" s="5">
        <v>1796565.3896961689</v>
      </c>
      <c r="E27">
        <v>1</v>
      </c>
      <c r="F27" s="5">
        <f>D27/E27</f>
        <v>1796565.3896961689</v>
      </c>
      <c r="I27">
        <f t="shared" si="0"/>
        <v>7</v>
      </c>
      <c r="J27">
        <f t="shared" si="1"/>
        <v>2020</v>
      </c>
      <c r="L27" s="4">
        <v>42156</v>
      </c>
      <c r="M27">
        <f t="shared" si="3"/>
        <v>6</v>
      </c>
      <c r="N27">
        <f t="shared" si="4"/>
        <v>2015</v>
      </c>
      <c r="O27" s="7">
        <f t="shared" si="2"/>
        <v>900000000</v>
      </c>
    </row>
    <row r="28" spans="1:15">
      <c r="A28" s="4">
        <v>44056</v>
      </c>
      <c r="B28" t="s">
        <v>34</v>
      </c>
      <c r="C28" t="s">
        <v>44</v>
      </c>
      <c r="D28" s="5">
        <v>0</v>
      </c>
      <c r="E28">
        <v>4</v>
      </c>
      <c r="G28">
        <v>2020</v>
      </c>
      <c r="I28">
        <f t="shared" si="0"/>
        <v>8</v>
      </c>
      <c r="J28">
        <f t="shared" si="1"/>
        <v>2020</v>
      </c>
      <c r="L28" s="4">
        <v>42186</v>
      </c>
      <c r="M28">
        <f t="shared" si="3"/>
        <v>7</v>
      </c>
      <c r="N28">
        <f t="shared" si="4"/>
        <v>2015</v>
      </c>
      <c r="O28" s="7">
        <f t="shared" si="2"/>
        <v>21003963.011889033</v>
      </c>
    </row>
    <row r="29" spans="1:15">
      <c r="A29" s="4">
        <v>44063</v>
      </c>
      <c r="B29" t="s">
        <v>20</v>
      </c>
      <c r="C29" t="s">
        <v>45</v>
      </c>
      <c r="D29" s="5">
        <v>0</v>
      </c>
      <c r="E29">
        <v>0</v>
      </c>
      <c r="F29" s="5">
        <v>0</v>
      </c>
      <c r="G29">
        <v>0</v>
      </c>
      <c r="H29" s="6" t="s">
        <v>46</v>
      </c>
      <c r="I29">
        <f t="shared" si="0"/>
        <v>8</v>
      </c>
      <c r="J29">
        <f t="shared" si="1"/>
        <v>2020</v>
      </c>
      <c r="L29" s="4">
        <v>42217</v>
      </c>
      <c r="M29">
        <f t="shared" si="3"/>
        <v>8</v>
      </c>
      <c r="N29">
        <f t="shared" si="4"/>
        <v>2015</v>
      </c>
      <c r="O29" s="7">
        <f t="shared" si="2"/>
        <v>0</v>
      </c>
    </row>
    <row r="30" spans="1:15">
      <c r="A30" s="4">
        <v>44210</v>
      </c>
      <c r="B30" t="s">
        <v>47</v>
      </c>
      <c r="C30" t="s">
        <v>48</v>
      </c>
      <c r="D30" s="5">
        <v>79260237.780713335</v>
      </c>
      <c r="I30">
        <f t="shared" si="0"/>
        <v>1</v>
      </c>
      <c r="J30">
        <f t="shared" si="1"/>
        <v>2021</v>
      </c>
      <c r="L30" s="4">
        <v>42248</v>
      </c>
      <c r="M30">
        <f t="shared" si="3"/>
        <v>9</v>
      </c>
      <c r="N30">
        <f t="shared" si="4"/>
        <v>2015</v>
      </c>
      <c r="O30" s="7">
        <f t="shared" si="2"/>
        <v>0</v>
      </c>
    </row>
    <row r="31" spans="1:15">
      <c r="A31" s="4">
        <v>44222</v>
      </c>
      <c r="B31" t="s">
        <v>47</v>
      </c>
      <c r="C31" t="s">
        <v>49</v>
      </c>
      <c r="D31" s="5">
        <v>198177014.53104359</v>
      </c>
      <c r="E31">
        <v>5</v>
      </c>
      <c r="F31" s="5">
        <f>D31/E31</f>
        <v>39635402.906208716</v>
      </c>
      <c r="I31">
        <f t="shared" si="0"/>
        <v>1</v>
      </c>
      <c r="J31">
        <f t="shared" si="1"/>
        <v>2021</v>
      </c>
      <c r="L31" s="4">
        <v>42278</v>
      </c>
      <c r="M31">
        <f t="shared" si="3"/>
        <v>10</v>
      </c>
      <c r="N31">
        <f t="shared" si="4"/>
        <v>2015</v>
      </c>
      <c r="O31" s="7">
        <f t="shared" si="2"/>
        <v>0</v>
      </c>
    </row>
    <row r="32" spans="1:15">
      <c r="A32" s="4">
        <v>44228</v>
      </c>
      <c r="B32" t="s">
        <v>50</v>
      </c>
      <c r="C32" t="s">
        <v>51</v>
      </c>
      <c r="D32" s="5">
        <v>100000000</v>
      </c>
      <c r="E32">
        <v>10</v>
      </c>
      <c r="F32" s="5">
        <f>D32/E32</f>
        <v>10000000</v>
      </c>
      <c r="I32">
        <f t="shared" si="0"/>
        <v>2</v>
      </c>
      <c r="J32">
        <f t="shared" si="1"/>
        <v>2021</v>
      </c>
      <c r="L32" s="4">
        <v>42309</v>
      </c>
      <c r="M32">
        <f t="shared" si="3"/>
        <v>11</v>
      </c>
      <c r="N32">
        <f t="shared" si="4"/>
        <v>2015</v>
      </c>
      <c r="O32" s="7">
        <f t="shared" si="2"/>
        <v>0</v>
      </c>
    </row>
    <row r="33" spans="1:15">
      <c r="A33" s="4">
        <v>44236</v>
      </c>
      <c r="B33" t="s">
        <v>39</v>
      </c>
      <c r="C33" t="s">
        <v>52</v>
      </c>
      <c r="D33" s="5">
        <v>12391017.173051519</v>
      </c>
      <c r="E33">
        <v>5</v>
      </c>
      <c r="F33" s="5">
        <f>D33/E33</f>
        <v>2478203.434610304</v>
      </c>
      <c r="I33">
        <f t="shared" si="0"/>
        <v>2</v>
      </c>
      <c r="J33">
        <f t="shared" si="1"/>
        <v>2021</v>
      </c>
      <c r="L33" s="4">
        <v>42339</v>
      </c>
      <c r="M33">
        <f t="shared" si="3"/>
        <v>12</v>
      </c>
      <c r="N33">
        <f t="shared" si="4"/>
        <v>2015</v>
      </c>
      <c r="O33" s="7">
        <f t="shared" si="2"/>
        <v>0</v>
      </c>
    </row>
    <row r="34" spans="1:15">
      <c r="A34" s="4">
        <v>44249</v>
      </c>
      <c r="B34" t="s">
        <v>20</v>
      </c>
      <c r="C34" t="s">
        <v>30</v>
      </c>
      <c r="D34" s="5">
        <v>15000000</v>
      </c>
      <c r="E34">
        <v>3</v>
      </c>
      <c r="F34" s="5">
        <v>5000000</v>
      </c>
      <c r="G34">
        <v>2024</v>
      </c>
      <c r="H34" s="6" t="s">
        <v>53</v>
      </c>
      <c r="I34">
        <f t="shared" si="0"/>
        <v>2</v>
      </c>
      <c r="J34">
        <f t="shared" si="1"/>
        <v>2021</v>
      </c>
      <c r="L34" s="4">
        <v>42370</v>
      </c>
      <c r="M34">
        <f t="shared" si="3"/>
        <v>1</v>
      </c>
      <c r="N34">
        <f t="shared" si="4"/>
        <v>2016</v>
      </c>
      <c r="O34" s="7">
        <f t="shared" si="2"/>
        <v>0</v>
      </c>
    </row>
    <row r="35" spans="1:15">
      <c r="A35" s="4">
        <v>44259</v>
      </c>
      <c r="B35" t="s">
        <v>34</v>
      </c>
      <c r="C35" t="s">
        <v>54</v>
      </c>
      <c r="D35" s="5">
        <v>9009247.027741082</v>
      </c>
      <c r="E35">
        <v>3</v>
      </c>
      <c r="G35">
        <v>2020</v>
      </c>
      <c r="I35">
        <f t="shared" si="0"/>
        <v>3</v>
      </c>
      <c r="J35">
        <f t="shared" si="1"/>
        <v>2021</v>
      </c>
      <c r="L35" s="4">
        <v>42401</v>
      </c>
      <c r="M35">
        <f t="shared" si="3"/>
        <v>2</v>
      </c>
      <c r="N35">
        <f t="shared" si="4"/>
        <v>2016</v>
      </c>
      <c r="O35" s="7">
        <f t="shared" si="2"/>
        <v>0</v>
      </c>
    </row>
    <row r="36" spans="1:15">
      <c r="A36" s="4">
        <v>44393</v>
      </c>
      <c r="B36" t="s">
        <v>55</v>
      </c>
      <c r="C36" t="s">
        <v>54</v>
      </c>
      <c r="D36" s="5">
        <v>10013210.039630119</v>
      </c>
      <c r="H36" t="s">
        <v>56</v>
      </c>
      <c r="I36">
        <f t="shared" si="0"/>
        <v>7</v>
      </c>
      <c r="J36">
        <f t="shared" si="1"/>
        <v>2021</v>
      </c>
      <c r="L36" s="4">
        <v>42430</v>
      </c>
      <c r="M36">
        <f t="shared" si="3"/>
        <v>3</v>
      </c>
      <c r="N36">
        <f t="shared" si="4"/>
        <v>2016</v>
      </c>
      <c r="O36" s="7">
        <f t="shared" si="2"/>
        <v>0</v>
      </c>
    </row>
    <row r="37" spans="1:15">
      <c r="A37" s="4">
        <v>44397</v>
      </c>
      <c r="B37" t="s">
        <v>8</v>
      </c>
      <c r="C37" t="s">
        <v>24</v>
      </c>
      <c r="D37" s="5">
        <v>1347424.0422721268</v>
      </c>
      <c r="E37">
        <v>3</v>
      </c>
      <c r="F37" s="5">
        <f>D37/E37</f>
        <v>449141.34742404224</v>
      </c>
      <c r="I37">
        <f t="shared" si="0"/>
        <v>7</v>
      </c>
      <c r="J37">
        <f t="shared" si="1"/>
        <v>2021</v>
      </c>
      <c r="L37" s="4">
        <v>42461</v>
      </c>
      <c r="M37">
        <f t="shared" si="3"/>
        <v>4</v>
      </c>
      <c r="N37">
        <f t="shared" si="4"/>
        <v>2016</v>
      </c>
      <c r="O37" s="7">
        <f t="shared" si="2"/>
        <v>0</v>
      </c>
    </row>
    <row r="38" spans="1:15">
      <c r="A38" s="4">
        <v>44448</v>
      </c>
      <c r="B38" t="s">
        <v>57</v>
      </c>
      <c r="C38" t="s">
        <v>9</v>
      </c>
      <c r="D38" s="5">
        <v>1500000000</v>
      </c>
      <c r="E38">
        <v>20</v>
      </c>
      <c r="F38" s="5">
        <f>D38/E38</f>
        <v>75000000</v>
      </c>
      <c r="H38" s="6" t="s">
        <v>58</v>
      </c>
      <c r="I38">
        <f t="shared" si="0"/>
        <v>9</v>
      </c>
      <c r="J38">
        <f t="shared" si="1"/>
        <v>2021</v>
      </c>
      <c r="L38" s="4">
        <v>42491</v>
      </c>
      <c r="M38">
        <f t="shared" si="3"/>
        <v>5</v>
      </c>
      <c r="N38">
        <f t="shared" si="4"/>
        <v>2016</v>
      </c>
      <c r="O38" s="7">
        <f t="shared" si="2"/>
        <v>0</v>
      </c>
    </row>
    <row r="39" spans="1:15">
      <c r="A39" s="4">
        <v>44448</v>
      </c>
      <c r="B39" t="s">
        <v>20</v>
      </c>
      <c r="C39" t="s">
        <v>59</v>
      </c>
      <c r="F39" s="5">
        <v>150000000</v>
      </c>
      <c r="I39">
        <f t="shared" si="0"/>
        <v>9</v>
      </c>
      <c r="J39">
        <f t="shared" si="1"/>
        <v>2021</v>
      </c>
      <c r="L39" s="4">
        <v>42522</v>
      </c>
      <c r="M39">
        <f t="shared" si="3"/>
        <v>6</v>
      </c>
      <c r="N39">
        <f t="shared" si="4"/>
        <v>2016</v>
      </c>
      <c r="O39" s="7">
        <f t="shared" si="2"/>
        <v>0</v>
      </c>
    </row>
    <row r="40" spans="1:15">
      <c r="A40" s="4">
        <v>44469</v>
      </c>
      <c r="B40" t="s">
        <v>60</v>
      </c>
      <c r="C40" t="s">
        <v>35</v>
      </c>
      <c r="D40" s="5">
        <v>250000000</v>
      </c>
      <c r="E40">
        <v>10</v>
      </c>
      <c r="G40">
        <v>2024</v>
      </c>
      <c r="I40">
        <f t="shared" si="0"/>
        <v>9</v>
      </c>
      <c r="J40">
        <f t="shared" si="1"/>
        <v>2021</v>
      </c>
      <c r="L40" s="4">
        <v>42552</v>
      </c>
      <c r="M40">
        <f t="shared" si="3"/>
        <v>7</v>
      </c>
      <c r="N40">
        <f t="shared" si="4"/>
        <v>2016</v>
      </c>
      <c r="O40" s="7">
        <f t="shared" si="2"/>
        <v>0</v>
      </c>
    </row>
    <row r="41" spans="1:15">
      <c r="A41" s="4">
        <v>44473</v>
      </c>
      <c r="B41" t="s">
        <v>61</v>
      </c>
      <c r="C41" t="s">
        <v>21</v>
      </c>
      <c r="D41" s="5">
        <v>26420.079260237781</v>
      </c>
      <c r="E41">
        <v>5</v>
      </c>
      <c r="I41">
        <f t="shared" si="0"/>
        <v>10</v>
      </c>
      <c r="J41">
        <f t="shared" si="1"/>
        <v>2021</v>
      </c>
      <c r="L41" s="4">
        <v>42583</v>
      </c>
      <c r="M41">
        <f t="shared" si="3"/>
        <v>8</v>
      </c>
      <c r="N41">
        <f t="shared" si="4"/>
        <v>2016</v>
      </c>
      <c r="O41" s="7">
        <f t="shared" si="2"/>
        <v>0</v>
      </c>
    </row>
    <row r="42" spans="1:15">
      <c r="A42" s="4">
        <v>44510</v>
      </c>
      <c r="B42" t="s">
        <v>62</v>
      </c>
      <c r="C42" t="s">
        <v>63</v>
      </c>
      <c r="D42" s="5">
        <v>73000000</v>
      </c>
      <c r="E42">
        <v>10</v>
      </c>
      <c r="F42" s="5">
        <f>D42/E42</f>
        <v>7300000</v>
      </c>
      <c r="G42">
        <v>2026</v>
      </c>
      <c r="I42">
        <f t="shared" si="0"/>
        <v>11</v>
      </c>
      <c r="J42">
        <f t="shared" si="1"/>
        <v>2021</v>
      </c>
      <c r="L42" s="4">
        <v>42614</v>
      </c>
      <c r="M42">
        <f t="shared" si="3"/>
        <v>9</v>
      </c>
      <c r="N42">
        <f t="shared" si="4"/>
        <v>2016</v>
      </c>
      <c r="O42" s="7">
        <f t="shared" si="2"/>
        <v>139022457.06737119</v>
      </c>
    </row>
    <row r="43" spans="1:15">
      <c r="A43" s="4">
        <v>44510</v>
      </c>
      <c r="B43" t="s">
        <v>62</v>
      </c>
      <c r="C43" t="s">
        <v>64</v>
      </c>
      <c r="D43" s="5">
        <v>219000000</v>
      </c>
      <c r="E43">
        <v>15</v>
      </c>
      <c r="F43" s="5">
        <f>D43/E43</f>
        <v>14600000</v>
      </c>
      <c r="G43">
        <v>2026</v>
      </c>
      <c r="I43">
        <f t="shared" si="0"/>
        <v>11</v>
      </c>
      <c r="J43">
        <f t="shared" si="1"/>
        <v>2021</v>
      </c>
      <c r="L43" s="4">
        <v>42644</v>
      </c>
      <c r="M43">
        <f t="shared" si="3"/>
        <v>10</v>
      </c>
      <c r="N43">
        <f t="shared" si="4"/>
        <v>2016</v>
      </c>
      <c r="O43" s="7">
        <f t="shared" si="2"/>
        <v>0</v>
      </c>
    </row>
    <row r="44" spans="1:15">
      <c r="A44" s="4">
        <v>44510</v>
      </c>
      <c r="B44" t="s">
        <v>62</v>
      </c>
      <c r="C44" t="s">
        <v>63</v>
      </c>
      <c r="D44" s="5">
        <v>72998678.996036991</v>
      </c>
      <c r="E44">
        <v>10</v>
      </c>
      <c r="F44" s="5">
        <f>D44/E44</f>
        <v>7299867.8996036993</v>
      </c>
      <c r="I44">
        <f t="shared" si="0"/>
        <v>11</v>
      </c>
      <c r="J44">
        <f t="shared" si="1"/>
        <v>2021</v>
      </c>
      <c r="L44" s="4">
        <v>42675</v>
      </c>
      <c r="M44">
        <f t="shared" si="3"/>
        <v>11</v>
      </c>
      <c r="N44">
        <f t="shared" si="4"/>
        <v>2016</v>
      </c>
      <c r="O44" s="7">
        <f t="shared" si="2"/>
        <v>500000000</v>
      </c>
    </row>
    <row r="45" spans="1:15">
      <c r="A45" s="4">
        <v>44510</v>
      </c>
      <c r="B45" t="s">
        <v>62</v>
      </c>
      <c r="C45" t="s">
        <v>14</v>
      </c>
      <c r="D45" s="5">
        <v>219022457.06737119</v>
      </c>
      <c r="E45">
        <v>15</v>
      </c>
      <c r="F45" s="5">
        <f>D45/E45</f>
        <v>14601497.137824746</v>
      </c>
      <c r="I45">
        <f t="shared" si="0"/>
        <v>11</v>
      </c>
      <c r="J45">
        <f t="shared" si="1"/>
        <v>2021</v>
      </c>
      <c r="L45" s="4">
        <v>42705</v>
      </c>
      <c r="M45">
        <f t="shared" si="3"/>
        <v>12</v>
      </c>
      <c r="N45">
        <f t="shared" si="4"/>
        <v>2016</v>
      </c>
      <c r="O45" s="7">
        <f t="shared" si="2"/>
        <v>0</v>
      </c>
    </row>
    <row r="46" spans="1:15" ht="30">
      <c r="A46" s="4">
        <v>44512</v>
      </c>
      <c r="B46" t="s">
        <v>34</v>
      </c>
      <c r="C46" t="s">
        <v>65</v>
      </c>
      <c r="D46" s="5">
        <v>0</v>
      </c>
      <c r="H46" s="6" t="s">
        <v>66</v>
      </c>
      <c r="I46">
        <f t="shared" si="0"/>
        <v>11</v>
      </c>
      <c r="J46">
        <f t="shared" si="1"/>
        <v>2021</v>
      </c>
      <c r="L46" s="4">
        <v>42736</v>
      </c>
      <c r="M46">
        <f t="shared" si="3"/>
        <v>1</v>
      </c>
      <c r="N46">
        <f t="shared" si="4"/>
        <v>2017</v>
      </c>
      <c r="O46" s="7">
        <f t="shared" si="2"/>
        <v>0</v>
      </c>
    </row>
    <row r="47" spans="1:15">
      <c r="A47" s="4">
        <v>44531</v>
      </c>
      <c r="B47" t="s">
        <v>60</v>
      </c>
      <c r="C47" t="s">
        <v>67</v>
      </c>
      <c r="D47" s="5">
        <v>74214002.642007917</v>
      </c>
      <c r="E47">
        <v>7</v>
      </c>
      <c r="I47">
        <f t="shared" si="0"/>
        <v>12</v>
      </c>
      <c r="J47">
        <f t="shared" si="1"/>
        <v>2021</v>
      </c>
      <c r="L47" s="4">
        <v>42767</v>
      </c>
      <c r="M47">
        <f t="shared" si="3"/>
        <v>2</v>
      </c>
      <c r="N47">
        <f t="shared" si="4"/>
        <v>2017</v>
      </c>
      <c r="O47" s="7">
        <f t="shared" si="2"/>
        <v>0</v>
      </c>
    </row>
    <row r="48" spans="1:15">
      <c r="A48" s="4">
        <v>44531</v>
      </c>
      <c r="B48" t="s">
        <v>60</v>
      </c>
      <c r="C48" t="s">
        <v>54</v>
      </c>
      <c r="D48" s="5">
        <v>44808454.425363272</v>
      </c>
      <c r="E48">
        <v>7</v>
      </c>
      <c r="I48">
        <f t="shared" si="0"/>
        <v>12</v>
      </c>
      <c r="J48">
        <f t="shared" si="1"/>
        <v>2021</v>
      </c>
      <c r="L48" s="4">
        <v>42795</v>
      </c>
      <c r="M48">
        <f t="shared" si="3"/>
        <v>3</v>
      </c>
      <c r="N48">
        <f t="shared" si="4"/>
        <v>2017</v>
      </c>
      <c r="O48" s="7">
        <f t="shared" si="2"/>
        <v>0</v>
      </c>
    </row>
    <row r="49" spans="1:15">
      <c r="A49" s="4">
        <v>44532</v>
      </c>
      <c r="B49" t="s">
        <v>68</v>
      </c>
      <c r="C49" t="s">
        <v>52</v>
      </c>
      <c r="D49" s="5">
        <v>0</v>
      </c>
      <c r="I49">
        <f t="shared" si="0"/>
        <v>12</v>
      </c>
      <c r="J49">
        <f t="shared" si="1"/>
        <v>2021</v>
      </c>
      <c r="L49" s="4">
        <v>42826</v>
      </c>
      <c r="M49">
        <f t="shared" si="3"/>
        <v>4</v>
      </c>
      <c r="N49">
        <f t="shared" si="4"/>
        <v>2017</v>
      </c>
      <c r="O49" s="7">
        <f t="shared" si="2"/>
        <v>0</v>
      </c>
    </row>
    <row r="50" spans="1:15">
      <c r="A50" s="4">
        <v>44534</v>
      </c>
      <c r="B50" t="s">
        <v>69</v>
      </c>
      <c r="C50" t="s">
        <v>70</v>
      </c>
      <c r="D50" s="5">
        <v>501981.50594451779</v>
      </c>
      <c r="E50">
        <v>1</v>
      </c>
      <c r="I50">
        <f t="shared" si="0"/>
        <v>12</v>
      </c>
      <c r="J50">
        <f t="shared" si="1"/>
        <v>2021</v>
      </c>
      <c r="L50" s="4">
        <v>42856</v>
      </c>
      <c r="M50">
        <f t="shared" si="3"/>
        <v>5</v>
      </c>
      <c r="N50">
        <f t="shared" si="4"/>
        <v>2017</v>
      </c>
      <c r="O50" s="7">
        <f t="shared" si="2"/>
        <v>0</v>
      </c>
    </row>
    <row r="51" spans="1:15">
      <c r="A51" s="4">
        <v>44537</v>
      </c>
      <c r="B51" t="s">
        <v>20</v>
      </c>
      <c r="C51" t="s">
        <v>71</v>
      </c>
      <c r="F51" s="5">
        <v>53000000</v>
      </c>
      <c r="H51" s="6" t="s">
        <v>72</v>
      </c>
      <c r="I51">
        <f t="shared" si="0"/>
        <v>12</v>
      </c>
      <c r="J51">
        <f t="shared" si="1"/>
        <v>2021</v>
      </c>
      <c r="L51" s="4">
        <v>42887</v>
      </c>
      <c r="M51">
        <f t="shared" si="3"/>
        <v>6</v>
      </c>
      <c r="N51">
        <f t="shared" si="4"/>
        <v>2017</v>
      </c>
      <c r="O51" s="7">
        <f t="shared" si="2"/>
        <v>0</v>
      </c>
    </row>
    <row r="52" spans="1:15">
      <c r="A52" s="4">
        <v>44544</v>
      </c>
      <c r="B52" t="s">
        <v>25</v>
      </c>
      <c r="C52" t="s">
        <v>73</v>
      </c>
      <c r="D52" s="5">
        <v>7926023.7780713337</v>
      </c>
      <c r="E52">
        <v>3</v>
      </c>
      <c r="I52">
        <f t="shared" si="0"/>
        <v>12</v>
      </c>
      <c r="J52">
        <f t="shared" si="1"/>
        <v>2021</v>
      </c>
      <c r="L52" s="4">
        <v>42917</v>
      </c>
      <c r="M52">
        <f t="shared" si="3"/>
        <v>7</v>
      </c>
      <c r="N52">
        <f t="shared" si="4"/>
        <v>2017</v>
      </c>
      <c r="O52" s="7">
        <f t="shared" si="2"/>
        <v>0</v>
      </c>
    </row>
    <row r="53" spans="1:15">
      <c r="A53" s="4">
        <v>44599</v>
      </c>
      <c r="B53" t="s">
        <v>74</v>
      </c>
      <c r="C53" t="s">
        <v>75</v>
      </c>
      <c r="D53" s="5">
        <v>607661.8229854689</v>
      </c>
      <c r="E53">
        <v>1</v>
      </c>
      <c r="F53" s="5">
        <f>D53/E53</f>
        <v>607661.8229854689</v>
      </c>
      <c r="I53">
        <f t="shared" si="0"/>
        <v>2</v>
      </c>
      <c r="J53">
        <f t="shared" si="1"/>
        <v>2022</v>
      </c>
      <c r="L53" s="4">
        <v>42948</v>
      </c>
      <c r="M53">
        <f t="shared" si="3"/>
        <v>8</v>
      </c>
      <c r="N53">
        <f t="shared" si="4"/>
        <v>2017</v>
      </c>
      <c r="O53" s="7">
        <f t="shared" si="2"/>
        <v>0</v>
      </c>
    </row>
    <row r="54" spans="1:15">
      <c r="A54" s="4">
        <v>44601</v>
      </c>
      <c r="B54" t="s">
        <v>34</v>
      </c>
      <c r="C54" t="s">
        <v>76</v>
      </c>
      <c r="D54" s="5">
        <v>343461.03038309113</v>
      </c>
      <c r="E54">
        <v>1</v>
      </c>
      <c r="I54">
        <f t="shared" si="0"/>
        <v>2</v>
      </c>
      <c r="J54">
        <f t="shared" si="1"/>
        <v>2022</v>
      </c>
      <c r="L54" s="4">
        <v>42979</v>
      </c>
      <c r="M54">
        <f t="shared" si="3"/>
        <v>9</v>
      </c>
      <c r="N54">
        <f t="shared" si="4"/>
        <v>2017</v>
      </c>
      <c r="O54" s="7">
        <f t="shared" si="2"/>
        <v>0</v>
      </c>
    </row>
    <row r="55" spans="1:15">
      <c r="A55" s="4">
        <v>44601</v>
      </c>
      <c r="B55" t="s">
        <v>34</v>
      </c>
      <c r="C55" t="s">
        <v>77</v>
      </c>
      <c r="D55" s="5">
        <v>660501.98150594451</v>
      </c>
      <c r="E55">
        <v>1</v>
      </c>
      <c r="I55">
        <f t="shared" si="0"/>
        <v>2</v>
      </c>
      <c r="J55">
        <f t="shared" si="1"/>
        <v>2022</v>
      </c>
      <c r="L55" s="4">
        <v>43009</v>
      </c>
      <c r="M55">
        <f t="shared" si="3"/>
        <v>10</v>
      </c>
      <c r="N55">
        <f t="shared" si="4"/>
        <v>2017</v>
      </c>
      <c r="O55" s="7">
        <f t="shared" si="2"/>
        <v>0</v>
      </c>
    </row>
    <row r="56" spans="1:15">
      <c r="A56" s="4">
        <v>44636</v>
      </c>
      <c r="B56" t="s">
        <v>60</v>
      </c>
      <c r="C56" t="s">
        <v>73</v>
      </c>
      <c r="D56" s="5">
        <v>14002642.007926023</v>
      </c>
      <c r="E56">
        <v>7</v>
      </c>
      <c r="I56">
        <f t="shared" si="0"/>
        <v>3</v>
      </c>
      <c r="J56">
        <f t="shared" si="1"/>
        <v>2022</v>
      </c>
      <c r="L56" s="4">
        <v>43040</v>
      </c>
      <c r="M56">
        <f t="shared" si="3"/>
        <v>11</v>
      </c>
      <c r="N56">
        <f t="shared" si="4"/>
        <v>2017</v>
      </c>
      <c r="O56" s="7">
        <f t="shared" si="2"/>
        <v>0</v>
      </c>
    </row>
    <row r="57" spans="1:15">
      <c r="A57" s="4">
        <v>44640</v>
      </c>
      <c r="B57" t="s">
        <v>20</v>
      </c>
      <c r="C57" t="s">
        <v>67</v>
      </c>
      <c r="D57" s="5">
        <v>1000105680.3170409</v>
      </c>
      <c r="E57">
        <v>5</v>
      </c>
      <c r="F57" s="5">
        <v>53000000</v>
      </c>
      <c r="I57">
        <f t="shared" si="0"/>
        <v>3</v>
      </c>
      <c r="J57">
        <f t="shared" si="1"/>
        <v>2022</v>
      </c>
      <c r="L57" s="4">
        <v>43070</v>
      </c>
      <c r="M57">
        <f t="shared" si="3"/>
        <v>12</v>
      </c>
      <c r="N57">
        <f t="shared" si="4"/>
        <v>2017</v>
      </c>
      <c r="O57" s="7">
        <f t="shared" si="2"/>
        <v>0</v>
      </c>
    </row>
    <row r="58" spans="1:15">
      <c r="A58" s="4">
        <v>44641</v>
      </c>
      <c r="B58" t="s">
        <v>20</v>
      </c>
      <c r="C58" t="s">
        <v>52</v>
      </c>
      <c r="D58" s="5">
        <v>150000000</v>
      </c>
      <c r="E58">
        <v>5</v>
      </c>
      <c r="F58" s="5">
        <v>30000000</v>
      </c>
      <c r="G58">
        <v>2027</v>
      </c>
      <c r="H58" s="6" t="s">
        <v>78</v>
      </c>
      <c r="I58">
        <f t="shared" si="0"/>
        <v>3</v>
      </c>
      <c r="J58">
        <f t="shared" si="1"/>
        <v>2022</v>
      </c>
      <c r="L58" s="4">
        <v>43101</v>
      </c>
      <c r="M58">
        <f t="shared" si="3"/>
        <v>1</v>
      </c>
      <c r="N58">
        <f t="shared" si="4"/>
        <v>2018</v>
      </c>
      <c r="O58" s="7">
        <f t="shared" si="2"/>
        <v>0</v>
      </c>
    </row>
    <row r="59" spans="1:15">
      <c r="A59" s="4">
        <v>44641</v>
      </c>
      <c r="B59" t="s">
        <v>34</v>
      </c>
      <c r="C59" t="s">
        <v>79</v>
      </c>
      <c r="D59" s="5">
        <v>105000000</v>
      </c>
      <c r="E59">
        <v>5</v>
      </c>
      <c r="F59" s="5">
        <f>D59/E59</f>
        <v>21000000</v>
      </c>
      <c r="I59">
        <f t="shared" si="0"/>
        <v>3</v>
      </c>
      <c r="J59">
        <f t="shared" si="1"/>
        <v>2022</v>
      </c>
      <c r="L59" s="4">
        <v>43132</v>
      </c>
      <c r="M59">
        <f t="shared" si="3"/>
        <v>2</v>
      </c>
      <c r="N59">
        <f t="shared" si="4"/>
        <v>2018</v>
      </c>
      <c r="O59" s="7">
        <f t="shared" si="2"/>
        <v>0</v>
      </c>
    </row>
    <row r="60" spans="1:15">
      <c r="A60" s="4">
        <v>44641</v>
      </c>
      <c r="B60" t="s">
        <v>34</v>
      </c>
      <c r="C60" t="s">
        <v>80</v>
      </c>
      <c r="D60" s="5">
        <v>211017173.05151916</v>
      </c>
      <c r="E60">
        <v>5</v>
      </c>
      <c r="I60">
        <f t="shared" si="0"/>
        <v>3</v>
      </c>
      <c r="J60">
        <f t="shared" si="1"/>
        <v>2022</v>
      </c>
      <c r="L60" s="4">
        <v>43160</v>
      </c>
      <c r="M60">
        <f t="shared" si="3"/>
        <v>3</v>
      </c>
      <c r="N60">
        <f t="shared" si="4"/>
        <v>2018</v>
      </c>
      <c r="O60" s="7">
        <f t="shared" si="2"/>
        <v>0</v>
      </c>
    </row>
    <row r="61" spans="1:15">
      <c r="A61" s="4">
        <v>44642</v>
      </c>
      <c r="B61" t="s">
        <v>20</v>
      </c>
      <c r="C61" t="s">
        <v>35</v>
      </c>
      <c r="D61" s="5">
        <v>525000000</v>
      </c>
      <c r="E61">
        <v>7</v>
      </c>
      <c r="F61" s="5">
        <f>D61/E61</f>
        <v>75000000</v>
      </c>
      <c r="G61">
        <v>2026</v>
      </c>
      <c r="H61" s="6" t="s">
        <v>81</v>
      </c>
      <c r="I61">
        <f t="shared" si="0"/>
        <v>3</v>
      </c>
      <c r="J61">
        <f t="shared" si="1"/>
        <v>2022</v>
      </c>
      <c r="L61" s="4">
        <v>43191</v>
      </c>
      <c r="M61">
        <f t="shared" si="3"/>
        <v>4</v>
      </c>
      <c r="N61">
        <f t="shared" si="4"/>
        <v>2018</v>
      </c>
      <c r="O61" s="7">
        <f t="shared" si="2"/>
        <v>0</v>
      </c>
    </row>
    <row r="62" spans="1:15">
      <c r="A62" s="4">
        <v>44645</v>
      </c>
      <c r="B62" t="s">
        <v>60</v>
      </c>
      <c r="C62" t="s">
        <v>82</v>
      </c>
      <c r="D62" s="5">
        <v>7001321.0039630113</v>
      </c>
      <c r="E62">
        <v>7</v>
      </c>
      <c r="I62">
        <f t="shared" si="0"/>
        <v>3</v>
      </c>
      <c r="J62">
        <f t="shared" si="1"/>
        <v>2022</v>
      </c>
      <c r="L62" s="4">
        <v>43221</v>
      </c>
      <c r="M62">
        <f t="shared" si="3"/>
        <v>5</v>
      </c>
      <c r="N62">
        <f t="shared" si="4"/>
        <v>2018</v>
      </c>
      <c r="O62" s="7">
        <f t="shared" si="2"/>
        <v>0</v>
      </c>
    </row>
    <row r="63" spans="1:15" ht="60">
      <c r="A63" s="4">
        <v>44673</v>
      </c>
      <c r="B63" t="s">
        <v>34</v>
      </c>
      <c r="C63" t="s">
        <v>83</v>
      </c>
      <c r="D63" s="5">
        <v>0</v>
      </c>
      <c r="H63" s="6" t="s">
        <v>84</v>
      </c>
      <c r="I63">
        <f t="shared" si="0"/>
        <v>4</v>
      </c>
      <c r="J63">
        <f t="shared" si="1"/>
        <v>2022</v>
      </c>
      <c r="L63" s="4">
        <v>43252</v>
      </c>
      <c r="M63">
        <f t="shared" si="3"/>
        <v>6</v>
      </c>
      <c r="N63">
        <f t="shared" si="4"/>
        <v>2018</v>
      </c>
      <c r="O63" s="7">
        <f t="shared" si="2"/>
        <v>26420.079260237781</v>
      </c>
    </row>
    <row r="64" spans="1:15">
      <c r="A64" s="4">
        <v>44677</v>
      </c>
      <c r="B64" t="s">
        <v>60</v>
      </c>
      <c r="C64" t="s">
        <v>24</v>
      </c>
      <c r="D64" s="5">
        <v>50013210.039630115</v>
      </c>
      <c r="E64">
        <v>10</v>
      </c>
      <c r="I64">
        <f t="shared" si="0"/>
        <v>4</v>
      </c>
      <c r="J64">
        <f t="shared" si="1"/>
        <v>2022</v>
      </c>
      <c r="L64" s="4">
        <v>43282</v>
      </c>
      <c r="M64">
        <f t="shared" si="3"/>
        <v>7</v>
      </c>
      <c r="N64">
        <f t="shared" si="4"/>
        <v>2018</v>
      </c>
      <c r="O64" s="7">
        <f t="shared" si="2"/>
        <v>0</v>
      </c>
    </row>
    <row r="65" spans="1:15">
      <c r="A65" s="4">
        <v>44691</v>
      </c>
      <c r="B65" t="s">
        <v>34</v>
      </c>
      <c r="C65" t="s">
        <v>9</v>
      </c>
      <c r="D65" s="5">
        <v>52500000</v>
      </c>
      <c r="E65">
        <v>3</v>
      </c>
      <c r="F65" s="5">
        <f>D65/E65</f>
        <v>17500000</v>
      </c>
      <c r="G65">
        <v>2022</v>
      </c>
      <c r="H65" s="6" t="s">
        <v>85</v>
      </c>
      <c r="I65">
        <f t="shared" si="0"/>
        <v>5</v>
      </c>
      <c r="J65">
        <f t="shared" si="1"/>
        <v>2022</v>
      </c>
      <c r="L65" s="4">
        <v>43313</v>
      </c>
      <c r="M65">
        <f t="shared" si="3"/>
        <v>8</v>
      </c>
      <c r="N65">
        <f t="shared" si="4"/>
        <v>2018</v>
      </c>
      <c r="O65" s="7">
        <f t="shared" si="2"/>
        <v>0</v>
      </c>
    </row>
    <row r="66" spans="1:15">
      <c r="A66" s="4">
        <v>44704</v>
      </c>
      <c r="B66" t="s">
        <v>68</v>
      </c>
      <c r="C66" t="s">
        <v>86</v>
      </c>
      <c r="D66" s="5">
        <v>2113606.3408190222</v>
      </c>
      <c r="E66">
        <v>1</v>
      </c>
      <c r="I66">
        <f t="shared" si="0"/>
        <v>5</v>
      </c>
      <c r="J66">
        <f t="shared" si="1"/>
        <v>2022</v>
      </c>
      <c r="L66" s="4">
        <v>43344</v>
      </c>
      <c r="M66">
        <f t="shared" si="3"/>
        <v>9</v>
      </c>
      <c r="N66">
        <f t="shared" si="4"/>
        <v>2018</v>
      </c>
      <c r="O66" s="7">
        <f t="shared" si="2"/>
        <v>0</v>
      </c>
    </row>
    <row r="67" spans="1:15">
      <c r="A67" s="4">
        <v>44706</v>
      </c>
      <c r="B67" t="s">
        <v>60</v>
      </c>
      <c r="C67" t="s">
        <v>44</v>
      </c>
      <c r="D67" s="5">
        <v>5204755.6142668426</v>
      </c>
      <c r="E67">
        <v>7</v>
      </c>
      <c r="I67">
        <f t="shared" ref="I67:I130" si="5">MONTH(A67)</f>
        <v>5</v>
      </c>
      <c r="J67">
        <f t="shared" ref="J67:J130" si="6">YEAR(A67)</f>
        <v>2022</v>
      </c>
      <c r="L67" s="4">
        <v>43374</v>
      </c>
      <c r="M67">
        <f t="shared" si="3"/>
        <v>10</v>
      </c>
      <c r="N67">
        <f t="shared" si="4"/>
        <v>2018</v>
      </c>
      <c r="O67" s="7">
        <f t="shared" ref="O67:O130" si="7">SUMIFS($D$2:$D$511,$I$2:$I$511,$M67,$J$2:$J$511,$N67)</f>
        <v>0</v>
      </c>
    </row>
    <row r="68" spans="1:15">
      <c r="A68" s="4">
        <v>44719</v>
      </c>
      <c r="B68" t="s">
        <v>20</v>
      </c>
      <c r="C68" t="s">
        <v>87</v>
      </c>
      <c r="D68" s="5">
        <f>E68*F68</f>
        <v>26500000</v>
      </c>
      <c r="E68">
        <v>5</v>
      </c>
      <c r="F68" s="5">
        <v>5300000</v>
      </c>
      <c r="G68">
        <v>2027</v>
      </c>
      <c r="I68">
        <f t="shared" si="5"/>
        <v>6</v>
      </c>
      <c r="J68">
        <f t="shared" si="6"/>
        <v>2022</v>
      </c>
      <c r="L68" s="4">
        <v>43405</v>
      </c>
      <c r="M68">
        <f t="shared" ref="M68:M131" si="8">MONTH(L68)</f>
        <v>11</v>
      </c>
      <c r="N68">
        <f t="shared" ref="N68:N131" si="9">YEAR(L68)</f>
        <v>2018</v>
      </c>
      <c r="O68" s="7">
        <f t="shared" si="7"/>
        <v>0</v>
      </c>
    </row>
    <row r="69" spans="1:15">
      <c r="A69" s="4">
        <v>44727</v>
      </c>
      <c r="B69" t="s">
        <v>88</v>
      </c>
      <c r="C69" t="s">
        <v>9</v>
      </c>
      <c r="D69" s="5">
        <v>300000000</v>
      </c>
      <c r="E69">
        <v>20</v>
      </c>
      <c r="F69" s="5">
        <f>D69/E69</f>
        <v>15000000</v>
      </c>
      <c r="I69">
        <f t="shared" si="5"/>
        <v>6</v>
      </c>
      <c r="J69">
        <f t="shared" si="6"/>
        <v>2022</v>
      </c>
      <c r="L69" s="4">
        <v>43435</v>
      </c>
      <c r="M69">
        <f t="shared" si="8"/>
        <v>12</v>
      </c>
      <c r="N69">
        <f t="shared" si="9"/>
        <v>2018</v>
      </c>
      <c r="O69" s="7">
        <f t="shared" si="7"/>
        <v>79260.237780713345</v>
      </c>
    </row>
    <row r="70" spans="1:15">
      <c r="A70" s="4">
        <v>44728</v>
      </c>
      <c r="B70" t="s">
        <v>57</v>
      </c>
      <c r="C70" t="s">
        <v>89</v>
      </c>
      <c r="D70" s="5">
        <v>1000000000</v>
      </c>
      <c r="E70">
        <v>20</v>
      </c>
      <c r="F70" s="5">
        <f>D70/E70</f>
        <v>50000000</v>
      </c>
      <c r="G70">
        <v>2024</v>
      </c>
      <c r="H70" s="6" t="s">
        <v>90</v>
      </c>
      <c r="I70">
        <f t="shared" si="5"/>
        <v>6</v>
      </c>
      <c r="J70">
        <f t="shared" si="6"/>
        <v>2022</v>
      </c>
      <c r="L70" s="4">
        <v>43466</v>
      </c>
      <c r="M70">
        <f t="shared" si="8"/>
        <v>1</v>
      </c>
      <c r="N70">
        <f t="shared" si="9"/>
        <v>2019</v>
      </c>
      <c r="O70" s="7">
        <f t="shared" si="7"/>
        <v>0</v>
      </c>
    </row>
    <row r="71" spans="1:15">
      <c r="A71" s="4">
        <v>44733</v>
      </c>
      <c r="B71" t="s">
        <v>20</v>
      </c>
      <c r="C71" t="s">
        <v>82</v>
      </c>
      <c r="D71" s="5">
        <v>35000000</v>
      </c>
      <c r="E71">
        <v>5</v>
      </c>
      <c r="F71" s="5">
        <f>D71/E71</f>
        <v>7000000</v>
      </c>
      <c r="G71">
        <v>2027</v>
      </c>
      <c r="I71">
        <f t="shared" si="5"/>
        <v>6</v>
      </c>
      <c r="J71">
        <f t="shared" si="6"/>
        <v>2022</v>
      </c>
      <c r="L71" s="4">
        <v>43497</v>
      </c>
      <c r="M71">
        <f t="shared" si="8"/>
        <v>2</v>
      </c>
      <c r="N71">
        <f t="shared" si="9"/>
        <v>2019</v>
      </c>
      <c r="O71" s="7">
        <f t="shared" si="7"/>
        <v>0</v>
      </c>
    </row>
    <row r="72" spans="1:15">
      <c r="A72" s="4">
        <v>44740</v>
      </c>
      <c r="B72" t="s">
        <v>68</v>
      </c>
      <c r="C72" t="s">
        <v>86</v>
      </c>
      <c r="D72" s="5">
        <v>264200.79260237777</v>
      </c>
      <c r="E72">
        <v>1</v>
      </c>
      <c r="I72">
        <f t="shared" si="5"/>
        <v>6</v>
      </c>
      <c r="J72">
        <f t="shared" si="6"/>
        <v>2022</v>
      </c>
      <c r="L72" s="4">
        <v>43525</v>
      </c>
      <c r="M72">
        <f t="shared" si="8"/>
        <v>3</v>
      </c>
      <c r="N72">
        <f t="shared" si="9"/>
        <v>2019</v>
      </c>
      <c r="O72" s="7">
        <f t="shared" si="7"/>
        <v>0</v>
      </c>
    </row>
    <row r="73" spans="1:15">
      <c r="A73" s="4">
        <v>44757</v>
      </c>
      <c r="B73" t="s">
        <v>20</v>
      </c>
      <c r="C73" t="s">
        <v>91</v>
      </c>
      <c r="D73" s="5">
        <f>E73*F73</f>
        <v>31500000</v>
      </c>
      <c r="E73">
        <v>5</v>
      </c>
      <c r="F73" s="5">
        <v>6300000</v>
      </c>
      <c r="G73">
        <v>2026</v>
      </c>
      <c r="I73">
        <f t="shared" si="5"/>
        <v>7</v>
      </c>
      <c r="J73">
        <f t="shared" si="6"/>
        <v>2022</v>
      </c>
      <c r="L73" s="4">
        <v>43556</v>
      </c>
      <c r="M73">
        <f t="shared" si="8"/>
        <v>4</v>
      </c>
      <c r="N73">
        <f t="shared" si="9"/>
        <v>2019</v>
      </c>
      <c r="O73" s="7">
        <f t="shared" si="7"/>
        <v>0</v>
      </c>
    </row>
    <row r="74" spans="1:15">
      <c r="A74" s="4">
        <v>44764</v>
      </c>
      <c r="B74" t="s">
        <v>20</v>
      </c>
      <c r="C74" t="s">
        <v>54</v>
      </c>
      <c r="D74" s="5">
        <v>500000000</v>
      </c>
      <c r="E74">
        <v>5</v>
      </c>
      <c r="F74" s="5">
        <f>D74/E74</f>
        <v>100000000</v>
      </c>
      <c r="G74">
        <v>2026</v>
      </c>
      <c r="I74">
        <f t="shared" si="5"/>
        <v>7</v>
      </c>
      <c r="J74">
        <f t="shared" si="6"/>
        <v>2022</v>
      </c>
      <c r="L74" s="4">
        <v>43586</v>
      </c>
      <c r="M74">
        <f t="shared" si="8"/>
        <v>5</v>
      </c>
      <c r="N74">
        <f t="shared" si="9"/>
        <v>2019</v>
      </c>
      <c r="O74" s="7">
        <f t="shared" si="7"/>
        <v>257569352.70805812</v>
      </c>
    </row>
    <row r="75" spans="1:15">
      <c r="A75" s="4">
        <v>44774</v>
      </c>
      <c r="B75" t="s">
        <v>49</v>
      </c>
      <c r="C75" t="s">
        <v>21</v>
      </c>
      <c r="D75" s="5">
        <v>594055482.16644645</v>
      </c>
      <c r="E75">
        <v>7</v>
      </c>
      <c r="I75">
        <f t="shared" si="5"/>
        <v>8</v>
      </c>
      <c r="J75">
        <f t="shared" si="6"/>
        <v>2022</v>
      </c>
      <c r="L75" s="4">
        <v>43617</v>
      </c>
      <c r="M75">
        <f t="shared" si="8"/>
        <v>6</v>
      </c>
      <c r="N75">
        <f t="shared" si="9"/>
        <v>2019</v>
      </c>
      <c r="O75" s="7">
        <f t="shared" si="7"/>
        <v>0</v>
      </c>
    </row>
    <row r="76" spans="1:15">
      <c r="A76" s="4">
        <v>44776</v>
      </c>
      <c r="B76" t="s">
        <v>20</v>
      </c>
      <c r="C76" t="s">
        <v>44</v>
      </c>
      <c r="D76" s="5">
        <v>185000000</v>
      </c>
      <c r="E76">
        <v>5</v>
      </c>
      <c r="F76" s="5">
        <f>D76/E76</f>
        <v>37000000</v>
      </c>
      <c r="G76">
        <v>2026</v>
      </c>
      <c r="I76">
        <f t="shared" si="5"/>
        <v>8</v>
      </c>
      <c r="J76">
        <f t="shared" si="6"/>
        <v>2022</v>
      </c>
      <c r="L76" s="4">
        <v>43647</v>
      </c>
      <c r="M76">
        <f t="shared" si="8"/>
        <v>7</v>
      </c>
      <c r="N76">
        <f t="shared" si="9"/>
        <v>2019</v>
      </c>
      <c r="O76" s="7">
        <f t="shared" si="7"/>
        <v>0</v>
      </c>
    </row>
    <row r="77" spans="1:15">
      <c r="A77" s="4">
        <v>44796</v>
      </c>
      <c r="B77" t="s">
        <v>60</v>
      </c>
      <c r="C77" t="s">
        <v>63</v>
      </c>
      <c r="D77" s="5">
        <v>25733157.199471597</v>
      </c>
      <c r="E77">
        <v>7</v>
      </c>
      <c r="I77">
        <f t="shared" si="5"/>
        <v>8</v>
      </c>
      <c r="J77">
        <f t="shared" si="6"/>
        <v>2022</v>
      </c>
      <c r="L77" s="4">
        <v>43678</v>
      </c>
      <c r="M77">
        <f t="shared" si="8"/>
        <v>8</v>
      </c>
      <c r="N77">
        <f t="shared" si="9"/>
        <v>2019</v>
      </c>
      <c r="O77" s="7">
        <f t="shared" si="7"/>
        <v>0</v>
      </c>
    </row>
    <row r="78" spans="1:15">
      <c r="A78" s="4">
        <v>44812</v>
      </c>
      <c r="B78" t="s">
        <v>92</v>
      </c>
      <c r="C78" t="s">
        <v>35</v>
      </c>
      <c r="D78" s="5">
        <v>385046235.13870537</v>
      </c>
      <c r="E78">
        <v>7</v>
      </c>
      <c r="F78" s="5">
        <f>D78/E78</f>
        <v>55006605.01981505</v>
      </c>
      <c r="G78">
        <v>2027</v>
      </c>
      <c r="I78">
        <f t="shared" si="5"/>
        <v>9</v>
      </c>
      <c r="J78">
        <f t="shared" si="6"/>
        <v>2022</v>
      </c>
      <c r="L78" s="4">
        <v>43709</v>
      </c>
      <c r="M78">
        <f t="shared" si="8"/>
        <v>9</v>
      </c>
      <c r="N78">
        <f t="shared" si="9"/>
        <v>2019</v>
      </c>
      <c r="O78" s="7">
        <f t="shared" si="7"/>
        <v>0</v>
      </c>
    </row>
    <row r="79" spans="1:15">
      <c r="A79" s="4">
        <v>44817</v>
      </c>
      <c r="B79" t="s">
        <v>69</v>
      </c>
      <c r="C79" t="s">
        <v>21</v>
      </c>
      <c r="D79" s="5">
        <v>264042272.12681636</v>
      </c>
      <c r="E79">
        <v>8</v>
      </c>
      <c r="I79">
        <f t="shared" si="5"/>
        <v>9</v>
      </c>
      <c r="J79">
        <f t="shared" si="6"/>
        <v>2022</v>
      </c>
      <c r="L79" s="4">
        <v>43739</v>
      </c>
      <c r="M79">
        <f t="shared" si="8"/>
        <v>10</v>
      </c>
      <c r="N79">
        <f t="shared" si="9"/>
        <v>2019</v>
      </c>
      <c r="O79" s="7">
        <f t="shared" si="7"/>
        <v>0</v>
      </c>
    </row>
    <row r="80" spans="1:15">
      <c r="A80" s="4">
        <v>44819</v>
      </c>
      <c r="B80" t="s">
        <v>34</v>
      </c>
      <c r="C80" t="s">
        <v>93</v>
      </c>
      <c r="H80" s="6" t="s">
        <v>94</v>
      </c>
      <c r="I80">
        <f t="shared" si="5"/>
        <v>9</v>
      </c>
      <c r="J80">
        <f t="shared" si="6"/>
        <v>2022</v>
      </c>
      <c r="L80" s="4">
        <v>43770</v>
      </c>
      <c r="M80">
        <f t="shared" si="8"/>
        <v>11</v>
      </c>
      <c r="N80">
        <f t="shared" si="9"/>
        <v>2019</v>
      </c>
      <c r="O80" s="7">
        <f t="shared" si="7"/>
        <v>0</v>
      </c>
    </row>
    <row r="81" spans="1:15">
      <c r="A81" s="4">
        <v>44824</v>
      </c>
      <c r="B81" t="s">
        <v>60</v>
      </c>
      <c r="C81" t="s">
        <v>12</v>
      </c>
      <c r="D81" s="5">
        <v>15191545.574636724</v>
      </c>
      <c r="E81">
        <v>7</v>
      </c>
      <c r="I81">
        <f t="shared" si="5"/>
        <v>9</v>
      </c>
      <c r="J81">
        <f t="shared" si="6"/>
        <v>2022</v>
      </c>
      <c r="L81" s="4">
        <v>43800</v>
      </c>
      <c r="M81">
        <f t="shared" si="8"/>
        <v>12</v>
      </c>
      <c r="N81">
        <f t="shared" si="9"/>
        <v>2019</v>
      </c>
      <c r="O81" s="7">
        <f t="shared" si="7"/>
        <v>0</v>
      </c>
    </row>
    <row r="82" spans="1:15">
      <c r="A82" s="4">
        <v>44824</v>
      </c>
      <c r="B82" t="s">
        <v>69</v>
      </c>
      <c r="C82" t="s">
        <v>95</v>
      </c>
      <c r="D82" s="5">
        <v>52998678.996036984</v>
      </c>
      <c r="E82">
        <v>8</v>
      </c>
      <c r="I82">
        <f t="shared" si="5"/>
        <v>9</v>
      </c>
      <c r="J82">
        <f t="shared" si="6"/>
        <v>2022</v>
      </c>
      <c r="L82" s="4">
        <v>43831</v>
      </c>
      <c r="M82">
        <f t="shared" si="8"/>
        <v>1</v>
      </c>
      <c r="N82">
        <f t="shared" si="9"/>
        <v>2020</v>
      </c>
      <c r="O82" s="7">
        <f t="shared" si="7"/>
        <v>0</v>
      </c>
    </row>
    <row r="83" spans="1:15">
      <c r="A83" s="4">
        <v>44827</v>
      </c>
      <c r="B83" t="s">
        <v>96</v>
      </c>
      <c r="C83" t="s">
        <v>77</v>
      </c>
      <c r="D83" s="5">
        <v>100000000</v>
      </c>
      <c r="E83">
        <v>10</v>
      </c>
      <c r="H83" s="6" t="s">
        <v>97</v>
      </c>
      <c r="I83">
        <f t="shared" si="5"/>
        <v>9</v>
      </c>
      <c r="J83">
        <f t="shared" si="6"/>
        <v>2022</v>
      </c>
      <c r="L83" s="4">
        <v>43862</v>
      </c>
      <c r="M83">
        <f t="shared" si="8"/>
        <v>2</v>
      </c>
      <c r="N83">
        <f t="shared" si="9"/>
        <v>2020</v>
      </c>
      <c r="O83" s="7">
        <f t="shared" si="7"/>
        <v>0</v>
      </c>
    </row>
    <row r="84" spans="1:15">
      <c r="A84" s="4">
        <v>44827</v>
      </c>
      <c r="B84" t="s">
        <v>96</v>
      </c>
      <c r="C84" t="s">
        <v>24</v>
      </c>
      <c r="D84" s="5">
        <v>24993394.980184939</v>
      </c>
      <c r="E84">
        <v>6</v>
      </c>
      <c r="I84">
        <f t="shared" si="5"/>
        <v>9</v>
      </c>
      <c r="J84">
        <f t="shared" si="6"/>
        <v>2022</v>
      </c>
      <c r="L84" s="4">
        <v>43891</v>
      </c>
      <c r="M84">
        <f t="shared" si="8"/>
        <v>3</v>
      </c>
      <c r="N84">
        <f t="shared" si="9"/>
        <v>2020</v>
      </c>
      <c r="O84" s="7">
        <f t="shared" si="7"/>
        <v>0</v>
      </c>
    </row>
    <row r="85" spans="1:15" ht="30">
      <c r="A85" s="4">
        <v>44827</v>
      </c>
      <c r="B85" t="s">
        <v>98</v>
      </c>
      <c r="C85" t="s">
        <v>99</v>
      </c>
      <c r="D85" s="5">
        <v>0</v>
      </c>
      <c r="H85" s="6" t="s">
        <v>100</v>
      </c>
      <c r="I85">
        <f t="shared" si="5"/>
        <v>9</v>
      </c>
      <c r="J85">
        <f t="shared" si="6"/>
        <v>2022</v>
      </c>
      <c r="L85" s="4">
        <v>43922</v>
      </c>
      <c r="M85">
        <f t="shared" si="8"/>
        <v>4</v>
      </c>
      <c r="N85">
        <f t="shared" si="9"/>
        <v>2020</v>
      </c>
      <c r="O85" s="7">
        <f t="shared" si="7"/>
        <v>0</v>
      </c>
    </row>
    <row r="86" spans="1:15" ht="60">
      <c r="A86" s="4">
        <v>44827</v>
      </c>
      <c r="B86" t="s">
        <v>101</v>
      </c>
      <c r="C86" t="s">
        <v>102</v>
      </c>
      <c r="D86" s="5">
        <f>E86*F86</f>
        <v>1590000000</v>
      </c>
      <c r="E86">
        <v>20</v>
      </c>
      <c r="F86" s="5">
        <v>79500000</v>
      </c>
      <c r="H86" s="6" t="s">
        <v>103</v>
      </c>
      <c r="I86">
        <f t="shared" si="5"/>
        <v>9</v>
      </c>
      <c r="J86">
        <f t="shared" si="6"/>
        <v>2022</v>
      </c>
      <c r="L86" s="4">
        <v>43952</v>
      </c>
      <c r="M86">
        <f t="shared" si="8"/>
        <v>5</v>
      </c>
      <c r="N86">
        <f t="shared" si="9"/>
        <v>2020</v>
      </c>
      <c r="O86" s="7">
        <f t="shared" si="7"/>
        <v>0</v>
      </c>
    </row>
    <row r="87" spans="1:15">
      <c r="A87" s="4">
        <v>44830</v>
      </c>
      <c r="B87" t="s">
        <v>104</v>
      </c>
      <c r="C87" t="s">
        <v>105</v>
      </c>
      <c r="D87" s="5">
        <v>0</v>
      </c>
      <c r="H87" s="6" t="s">
        <v>106</v>
      </c>
      <c r="I87">
        <f t="shared" si="5"/>
        <v>9</v>
      </c>
      <c r="J87">
        <f t="shared" si="6"/>
        <v>2022</v>
      </c>
      <c r="L87" s="4">
        <v>43983</v>
      </c>
      <c r="M87">
        <f t="shared" si="8"/>
        <v>6</v>
      </c>
      <c r="N87">
        <f t="shared" si="9"/>
        <v>2020</v>
      </c>
      <c r="O87" s="7">
        <f t="shared" si="7"/>
        <v>0</v>
      </c>
    </row>
    <row r="88" spans="1:15">
      <c r="A88" s="4">
        <v>44835</v>
      </c>
      <c r="B88" t="s">
        <v>92</v>
      </c>
      <c r="C88" t="s">
        <v>107</v>
      </c>
      <c r="D88" s="5">
        <v>198150000</v>
      </c>
      <c r="E88">
        <v>10</v>
      </c>
      <c r="F88" s="5">
        <f>D88/E88</f>
        <v>19815000</v>
      </c>
      <c r="G88">
        <v>2027</v>
      </c>
      <c r="I88">
        <f t="shared" si="5"/>
        <v>10</v>
      </c>
      <c r="J88">
        <f t="shared" si="6"/>
        <v>2022</v>
      </c>
      <c r="L88" s="4">
        <v>44013</v>
      </c>
      <c r="M88">
        <f t="shared" si="8"/>
        <v>7</v>
      </c>
      <c r="N88">
        <f t="shared" si="9"/>
        <v>2020</v>
      </c>
      <c r="O88" s="7">
        <f t="shared" si="7"/>
        <v>109801849.40554821</v>
      </c>
    </row>
    <row r="89" spans="1:15">
      <c r="A89" s="4">
        <v>44835</v>
      </c>
      <c r="B89" t="s">
        <v>49</v>
      </c>
      <c r="C89" t="s">
        <v>108</v>
      </c>
      <c r="D89" s="5">
        <v>0</v>
      </c>
      <c r="E89">
        <v>5</v>
      </c>
      <c r="I89">
        <f t="shared" si="5"/>
        <v>10</v>
      </c>
      <c r="J89">
        <f t="shared" si="6"/>
        <v>2022</v>
      </c>
      <c r="L89" s="4">
        <v>44044</v>
      </c>
      <c r="M89">
        <f t="shared" si="8"/>
        <v>8</v>
      </c>
      <c r="N89">
        <f t="shared" si="9"/>
        <v>2020</v>
      </c>
      <c r="O89" s="7">
        <f t="shared" si="7"/>
        <v>0</v>
      </c>
    </row>
    <row r="90" spans="1:15">
      <c r="A90" s="4">
        <v>44859</v>
      </c>
      <c r="B90" t="s">
        <v>92</v>
      </c>
      <c r="C90" t="s">
        <v>107</v>
      </c>
      <c r="D90" s="5">
        <v>198044914.13474241</v>
      </c>
      <c r="E90">
        <v>10</v>
      </c>
      <c r="F90" s="5">
        <f>D90/E90</f>
        <v>19804491.413474239</v>
      </c>
      <c r="I90">
        <f t="shared" si="5"/>
        <v>10</v>
      </c>
      <c r="J90">
        <f t="shared" si="6"/>
        <v>2022</v>
      </c>
      <c r="L90" s="4">
        <v>44075</v>
      </c>
      <c r="M90">
        <f t="shared" si="8"/>
        <v>9</v>
      </c>
      <c r="N90">
        <f t="shared" si="9"/>
        <v>2020</v>
      </c>
      <c r="O90" s="7">
        <f t="shared" si="7"/>
        <v>0</v>
      </c>
    </row>
    <row r="91" spans="1:15">
      <c r="A91" s="4">
        <v>44859</v>
      </c>
      <c r="B91" t="s">
        <v>20</v>
      </c>
      <c r="C91" t="s">
        <v>109</v>
      </c>
      <c r="D91" s="5">
        <v>25000000</v>
      </c>
      <c r="E91">
        <v>5</v>
      </c>
      <c r="F91" s="5">
        <f>D91/E91</f>
        <v>5000000</v>
      </c>
      <c r="G91">
        <v>2028</v>
      </c>
      <c r="I91">
        <f t="shared" si="5"/>
        <v>10</v>
      </c>
      <c r="J91">
        <f t="shared" si="6"/>
        <v>2022</v>
      </c>
      <c r="L91" s="4">
        <v>44105</v>
      </c>
      <c r="M91">
        <f t="shared" si="8"/>
        <v>10</v>
      </c>
      <c r="N91">
        <f t="shared" si="9"/>
        <v>2020</v>
      </c>
      <c r="O91" s="7">
        <f t="shared" si="7"/>
        <v>0</v>
      </c>
    </row>
    <row r="92" spans="1:15">
      <c r="A92" s="4">
        <v>44859</v>
      </c>
      <c r="B92" t="s">
        <v>34</v>
      </c>
      <c r="C92" t="s">
        <v>107</v>
      </c>
      <c r="D92" s="5">
        <v>330066050.19815058</v>
      </c>
      <c r="E92">
        <v>8</v>
      </c>
      <c r="I92">
        <f t="shared" si="5"/>
        <v>10</v>
      </c>
      <c r="J92">
        <f t="shared" si="6"/>
        <v>2022</v>
      </c>
      <c r="L92" s="4">
        <v>44136</v>
      </c>
      <c r="M92">
        <f t="shared" si="8"/>
        <v>11</v>
      </c>
      <c r="N92">
        <f t="shared" si="9"/>
        <v>2020</v>
      </c>
      <c r="O92" s="7">
        <f t="shared" si="7"/>
        <v>0</v>
      </c>
    </row>
    <row r="93" spans="1:15">
      <c r="A93" s="4">
        <v>44868</v>
      </c>
      <c r="B93" t="s">
        <v>20</v>
      </c>
      <c r="C93" t="s">
        <v>110</v>
      </c>
      <c r="D93" s="5">
        <v>30000000</v>
      </c>
      <c r="E93">
        <v>5</v>
      </c>
      <c r="F93" s="5">
        <f>D93/E93</f>
        <v>6000000</v>
      </c>
      <c r="G93">
        <v>2028</v>
      </c>
      <c r="I93">
        <f t="shared" si="5"/>
        <v>11</v>
      </c>
      <c r="J93">
        <f t="shared" si="6"/>
        <v>2022</v>
      </c>
      <c r="L93" s="4">
        <v>44166</v>
      </c>
      <c r="M93">
        <f t="shared" si="8"/>
        <v>12</v>
      </c>
      <c r="N93">
        <f t="shared" si="9"/>
        <v>2020</v>
      </c>
      <c r="O93" s="7">
        <f t="shared" si="7"/>
        <v>0</v>
      </c>
    </row>
    <row r="94" spans="1:15">
      <c r="A94" s="4">
        <v>44873</v>
      </c>
      <c r="B94" t="s">
        <v>111</v>
      </c>
      <c r="C94" t="s">
        <v>112</v>
      </c>
      <c r="F94" s="5">
        <v>30000000</v>
      </c>
      <c r="G94">
        <v>2023</v>
      </c>
      <c r="H94" s="8" t="s">
        <v>113</v>
      </c>
      <c r="I94">
        <f t="shared" si="5"/>
        <v>11</v>
      </c>
      <c r="J94">
        <f t="shared" si="6"/>
        <v>2022</v>
      </c>
      <c r="L94" s="4">
        <v>44197</v>
      </c>
      <c r="M94">
        <f t="shared" si="8"/>
        <v>1</v>
      </c>
      <c r="N94">
        <f t="shared" si="9"/>
        <v>2021</v>
      </c>
      <c r="O94" s="7">
        <f t="shared" si="7"/>
        <v>277437252.31175691</v>
      </c>
    </row>
    <row r="95" spans="1:15">
      <c r="A95" s="4">
        <v>44881</v>
      </c>
      <c r="B95" t="s">
        <v>69</v>
      </c>
      <c r="C95" t="s">
        <v>114</v>
      </c>
      <c r="D95" s="5">
        <v>61056803.170409508</v>
      </c>
      <c r="E95">
        <v>8</v>
      </c>
      <c r="I95">
        <f t="shared" si="5"/>
        <v>11</v>
      </c>
      <c r="J95">
        <f t="shared" si="6"/>
        <v>2022</v>
      </c>
      <c r="L95" s="4">
        <v>44228</v>
      </c>
      <c r="M95">
        <f t="shared" si="8"/>
        <v>2</v>
      </c>
      <c r="N95">
        <f t="shared" si="9"/>
        <v>2021</v>
      </c>
      <c r="O95" s="7">
        <f t="shared" si="7"/>
        <v>127391017.17305152</v>
      </c>
    </row>
    <row r="96" spans="1:15">
      <c r="A96" s="4">
        <v>44896</v>
      </c>
      <c r="B96" t="s">
        <v>49</v>
      </c>
      <c r="C96" t="s">
        <v>83</v>
      </c>
      <c r="D96" s="5">
        <v>118837516.51254953</v>
      </c>
      <c r="E96">
        <v>6</v>
      </c>
      <c r="I96">
        <f t="shared" si="5"/>
        <v>12</v>
      </c>
      <c r="J96">
        <f t="shared" si="6"/>
        <v>2022</v>
      </c>
      <c r="L96" s="4">
        <v>44256</v>
      </c>
      <c r="M96">
        <f t="shared" si="8"/>
        <v>3</v>
      </c>
      <c r="N96">
        <f t="shared" si="9"/>
        <v>2021</v>
      </c>
      <c r="O96" s="7">
        <f t="shared" si="7"/>
        <v>9009247.027741082</v>
      </c>
    </row>
    <row r="97" spans="1:15">
      <c r="A97" s="4">
        <v>44897</v>
      </c>
      <c r="B97" t="s">
        <v>115</v>
      </c>
      <c r="C97" t="s">
        <v>24</v>
      </c>
      <c r="D97" s="5">
        <v>92021136.063408181</v>
      </c>
      <c r="E97">
        <v>5</v>
      </c>
      <c r="F97" s="5">
        <f>D97/E97</f>
        <v>18404227.212681636</v>
      </c>
      <c r="I97">
        <f t="shared" si="5"/>
        <v>12</v>
      </c>
      <c r="J97">
        <f t="shared" si="6"/>
        <v>2022</v>
      </c>
      <c r="L97" s="4">
        <v>44287</v>
      </c>
      <c r="M97">
        <f t="shared" si="8"/>
        <v>4</v>
      </c>
      <c r="N97">
        <f t="shared" si="9"/>
        <v>2021</v>
      </c>
      <c r="O97" s="7">
        <f t="shared" si="7"/>
        <v>0</v>
      </c>
    </row>
    <row r="98" spans="1:15">
      <c r="A98" s="4">
        <v>44900</v>
      </c>
      <c r="B98" t="s">
        <v>116</v>
      </c>
      <c r="C98" t="s">
        <v>107</v>
      </c>
      <c r="D98" s="5">
        <v>264042272.12681636</v>
      </c>
      <c r="E98">
        <v>10</v>
      </c>
      <c r="I98">
        <f t="shared" si="5"/>
        <v>12</v>
      </c>
      <c r="J98">
        <f t="shared" si="6"/>
        <v>2022</v>
      </c>
      <c r="L98" s="4">
        <v>44317</v>
      </c>
      <c r="M98">
        <f t="shared" si="8"/>
        <v>5</v>
      </c>
      <c r="N98">
        <f t="shared" si="9"/>
        <v>2021</v>
      </c>
      <c r="O98" s="7">
        <f t="shared" si="7"/>
        <v>0</v>
      </c>
    </row>
    <row r="99" spans="1:15">
      <c r="A99" s="4">
        <v>44901</v>
      </c>
      <c r="B99" t="s">
        <v>20</v>
      </c>
      <c r="C99" t="s">
        <v>77</v>
      </c>
      <c r="D99" s="5">
        <v>70013210.039630115</v>
      </c>
      <c r="E99">
        <v>7</v>
      </c>
      <c r="F99" s="5">
        <f>D99/E99</f>
        <v>10001887.148518588</v>
      </c>
      <c r="I99">
        <f t="shared" si="5"/>
        <v>12</v>
      </c>
      <c r="J99">
        <f t="shared" si="6"/>
        <v>2022</v>
      </c>
      <c r="L99" s="4">
        <v>44348</v>
      </c>
      <c r="M99">
        <f t="shared" si="8"/>
        <v>6</v>
      </c>
      <c r="N99">
        <f t="shared" si="9"/>
        <v>2021</v>
      </c>
      <c r="O99" s="7">
        <f t="shared" si="7"/>
        <v>0</v>
      </c>
    </row>
    <row r="100" spans="1:15">
      <c r="A100" s="4">
        <v>44903</v>
      </c>
      <c r="B100" t="s">
        <v>69</v>
      </c>
      <c r="C100" t="s">
        <v>117</v>
      </c>
      <c r="D100" s="5">
        <v>105680.31704095112</v>
      </c>
      <c r="E100">
        <v>1</v>
      </c>
      <c r="I100">
        <f t="shared" si="5"/>
        <v>12</v>
      </c>
      <c r="J100">
        <f t="shared" si="6"/>
        <v>2022</v>
      </c>
      <c r="L100" s="4">
        <v>44378</v>
      </c>
      <c r="M100">
        <f t="shared" si="8"/>
        <v>7</v>
      </c>
      <c r="N100">
        <f t="shared" si="9"/>
        <v>2021</v>
      </c>
      <c r="O100" s="7">
        <f t="shared" si="7"/>
        <v>11360634.081902245</v>
      </c>
    </row>
    <row r="101" spans="1:15">
      <c r="A101" s="4">
        <v>44943</v>
      </c>
      <c r="B101" t="s">
        <v>118</v>
      </c>
      <c r="C101" t="s">
        <v>87</v>
      </c>
      <c r="D101" s="5">
        <v>412575957.72787315</v>
      </c>
      <c r="E101">
        <v>10</v>
      </c>
      <c r="I101">
        <f t="shared" si="5"/>
        <v>1</v>
      </c>
      <c r="J101">
        <f t="shared" si="6"/>
        <v>2023</v>
      </c>
      <c r="L101" s="4">
        <v>44409</v>
      </c>
      <c r="M101">
        <f t="shared" si="8"/>
        <v>8</v>
      </c>
      <c r="N101">
        <f t="shared" si="9"/>
        <v>2021</v>
      </c>
      <c r="O101" s="7">
        <f t="shared" si="7"/>
        <v>0</v>
      </c>
    </row>
    <row r="102" spans="1:15">
      <c r="A102" s="4">
        <v>44957</v>
      </c>
      <c r="B102" t="s">
        <v>119</v>
      </c>
      <c r="C102" t="s">
        <v>9</v>
      </c>
      <c r="D102" s="5">
        <v>2700000000</v>
      </c>
      <c r="E102">
        <v>20</v>
      </c>
      <c r="F102" s="5">
        <f>D102/E102</f>
        <v>135000000</v>
      </c>
      <c r="G102">
        <v>2028</v>
      </c>
      <c r="H102" s="6" t="s">
        <v>120</v>
      </c>
      <c r="I102">
        <f t="shared" si="5"/>
        <v>1</v>
      </c>
      <c r="J102">
        <f t="shared" si="6"/>
        <v>2023</v>
      </c>
      <c r="L102" s="4">
        <v>44440</v>
      </c>
      <c r="M102">
        <f t="shared" si="8"/>
        <v>9</v>
      </c>
      <c r="N102">
        <f t="shared" si="9"/>
        <v>2021</v>
      </c>
      <c r="O102" s="7">
        <f t="shared" si="7"/>
        <v>1750000000</v>
      </c>
    </row>
    <row r="103" spans="1:15">
      <c r="A103" s="4">
        <v>44972</v>
      </c>
      <c r="B103" t="s">
        <v>34</v>
      </c>
      <c r="C103" t="s">
        <v>75</v>
      </c>
      <c r="D103" s="5">
        <v>5601056.8031704091</v>
      </c>
      <c r="E103">
        <v>1</v>
      </c>
      <c r="I103">
        <f t="shared" si="5"/>
        <v>2</v>
      </c>
      <c r="J103">
        <f t="shared" si="6"/>
        <v>2023</v>
      </c>
      <c r="L103" s="4">
        <v>44470</v>
      </c>
      <c r="M103">
        <f t="shared" si="8"/>
        <v>10</v>
      </c>
      <c r="N103">
        <f t="shared" si="9"/>
        <v>2021</v>
      </c>
      <c r="O103" s="7">
        <f t="shared" si="7"/>
        <v>26420.079260237781</v>
      </c>
    </row>
    <row r="104" spans="1:15">
      <c r="A104" s="4">
        <v>44979</v>
      </c>
      <c r="B104" t="s">
        <v>34</v>
      </c>
      <c r="C104" t="s">
        <v>114</v>
      </c>
      <c r="D104" s="5">
        <v>35640686.922060765</v>
      </c>
      <c r="E104">
        <v>3</v>
      </c>
      <c r="I104">
        <f t="shared" si="5"/>
        <v>2</v>
      </c>
      <c r="J104">
        <f t="shared" si="6"/>
        <v>2023</v>
      </c>
      <c r="L104" s="4">
        <v>44501</v>
      </c>
      <c r="M104">
        <f t="shared" si="8"/>
        <v>11</v>
      </c>
      <c r="N104">
        <f t="shared" si="9"/>
        <v>2021</v>
      </c>
      <c r="O104" s="7">
        <f t="shared" si="7"/>
        <v>584021136.06340814</v>
      </c>
    </row>
    <row r="105" spans="1:15">
      <c r="A105" s="4">
        <v>44995</v>
      </c>
      <c r="B105" t="s">
        <v>121</v>
      </c>
      <c r="C105" t="s">
        <v>122</v>
      </c>
      <c r="D105" s="5">
        <v>14848084.544253632</v>
      </c>
      <c r="E105">
        <v>1</v>
      </c>
      <c r="F105" s="5">
        <f>D105/E105</f>
        <v>14848084.544253632</v>
      </c>
      <c r="I105">
        <f t="shared" si="5"/>
        <v>3</v>
      </c>
      <c r="J105">
        <f t="shared" si="6"/>
        <v>2023</v>
      </c>
      <c r="L105" s="4">
        <v>44531</v>
      </c>
      <c r="M105">
        <f t="shared" si="8"/>
        <v>12</v>
      </c>
      <c r="N105">
        <f t="shared" si="9"/>
        <v>2021</v>
      </c>
      <c r="O105" s="7">
        <f t="shared" si="7"/>
        <v>127450462.35138704</v>
      </c>
    </row>
    <row r="106" spans="1:15">
      <c r="A106" s="4">
        <v>44999</v>
      </c>
      <c r="B106" t="s">
        <v>49</v>
      </c>
      <c r="C106" t="s">
        <v>24</v>
      </c>
      <c r="D106" s="5">
        <v>15006605.019815059</v>
      </c>
      <c r="E106">
        <v>3</v>
      </c>
      <c r="G106">
        <v>2023</v>
      </c>
      <c r="H106" s="6" t="s">
        <v>123</v>
      </c>
      <c r="I106">
        <f t="shared" si="5"/>
        <v>3</v>
      </c>
      <c r="J106">
        <f t="shared" si="6"/>
        <v>2023</v>
      </c>
      <c r="L106" s="4">
        <v>44562</v>
      </c>
      <c r="M106">
        <f t="shared" si="8"/>
        <v>1</v>
      </c>
      <c r="N106">
        <f t="shared" si="9"/>
        <v>2022</v>
      </c>
      <c r="O106" s="7">
        <f t="shared" si="7"/>
        <v>0</v>
      </c>
    </row>
    <row r="107" spans="1:15">
      <c r="A107" s="4">
        <v>45001</v>
      </c>
      <c r="B107" t="s">
        <v>49</v>
      </c>
      <c r="C107" t="s">
        <v>124</v>
      </c>
      <c r="D107" s="5">
        <v>0</v>
      </c>
      <c r="H107" s="6" t="s">
        <v>125</v>
      </c>
      <c r="I107">
        <f t="shared" si="5"/>
        <v>3</v>
      </c>
      <c r="J107">
        <f t="shared" si="6"/>
        <v>2023</v>
      </c>
      <c r="L107" s="4">
        <v>44593</v>
      </c>
      <c r="M107">
        <f t="shared" si="8"/>
        <v>2</v>
      </c>
      <c r="N107">
        <f t="shared" si="9"/>
        <v>2022</v>
      </c>
      <c r="O107" s="7">
        <f t="shared" si="7"/>
        <v>1611624.8348745047</v>
      </c>
    </row>
    <row r="108" spans="1:15">
      <c r="A108" s="4">
        <v>45009</v>
      </c>
      <c r="B108" t="s">
        <v>20</v>
      </c>
      <c r="C108" t="s">
        <v>126</v>
      </c>
      <c r="D108" s="5">
        <v>50000000</v>
      </c>
      <c r="E108">
        <v>5</v>
      </c>
      <c r="F108" s="5">
        <f>D108/E108</f>
        <v>10000000</v>
      </c>
      <c r="G108">
        <v>2029</v>
      </c>
      <c r="I108">
        <f t="shared" si="5"/>
        <v>3</v>
      </c>
      <c r="J108">
        <f t="shared" si="6"/>
        <v>2023</v>
      </c>
      <c r="L108" s="4">
        <v>44621</v>
      </c>
      <c r="M108">
        <f t="shared" si="8"/>
        <v>3</v>
      </c>
      <c r="N108">
        <f t="shared" si="9"/>
        <v>2022</v>
      </c>
      <c r="O108" s="7">
        <f t="shared" si="7"/>
        <v>2012126816.3804491</v>
      </c>
    </row>
    <row r="109" spans="1:15">
      <c r="A109" s="4">
        <v>45039</v>
      </c>
      <c r="B109" t="s">
        <v>127</v>
      </c>
      <c r="C109" t="s">
        <v>114</v>
      </c>
      <c r="D109" s="5">
        <v>173289299.8678996</v>
      </c>
      <c r="E109">
        <v>15</v>
      </c>
      <c r="F109" s="5">
        <f>D109/E109</f>
        <v>11552619.991193306</v>
      </c>
      <c r="I109">
        <f t="shared" si="5"/>
        <v>4</v>
      </c>
      <c r="J109">
        <f t="shared" si="6"/>
        <v>2023</v>
      </c>
      <c r="L109" s="4">
        <v>44652</v>
      </c>
      <c r="M109">
        <f t="shared" si="8"/>
        <v>4</v>
      </c>
      <c r="N109">
        <f t="shared" si="9"/>
        <v>2022</v>
      </c>
      <c r="O109" s="7">
        <f t="shared" si="7"/>
        <v>50013210.039630115</v>
      </c>
    </row>
    <row r="110" spans="1:15">
      <c r="A110" s="4">
        <v>45039</v>
      </c>
      <c r="B110" t="s">
        <v>34</v>
      </c>
      <c r="C110" t="s">
        <v>128</v>
      </c>
      <c r="D110" s="5">
        <v>2509907.5297225891</v>
      </c>
      <c r="E110">
        <v>1</v>
      </c>
      <c r="I110">
        <f t="shared" si="5"/>
        <v>4</v>
      </c>
      <c r="J110">
        <f t="shared" si="6"/>
        <v>2023</v>
      </c>
      <c r="L110" s="4">
        <v>44682</v>
      </c>
      <c r="M110">
        <f t="shared" si="8"/>
        <v>5</v>
      </c>
      <c r="N110">
        <f t="shared" si="9"/>
        <v>2022</v>
      </c>
      <c r="O110" s="7">
        <f t="shared" si="7"/>
        <v>59818361.955085866</v>
      </c>
    </row>
    <row r="111" spans="1:15">
      <c r="A111" s="4">
        <v>45039</v>
      </c>
      <c r="B111" t="s">
        <v>49</v>
      </c>
      <c r="C111" t="s">
        <v>35</v>
      </c>
      <c r="D111" s="5">
        <v>10013210.039630119</v>
      </c>
      <c r="E111">
        <v>2</v>
      </c>
      <c r="G111">
        <v>2028</v>
      </c>
      <c r="I111">
        <f t="shared" si="5"/>
        <v>4</v>
      </c>
      <c r="J111">
        <f t="shared" si="6"/>
        <v>2023</v>
      </c>
      <c r="L111" s="4">
        <v>44713</v>
      </c>
      <c r="M111">
        <f t="shared" si="8"/>
        <v>6</v>
      </c>
      <c r="N111">
        <f t="shared" si="9"/>
        <v>2022</v>
      </c>
      <c r="O111" s="7">
        <f t="shared" si="7"/>
        <v>1361764200.7926023</v>
      </c>
    </row>
    <row r="112" spans="1:15">
      <c r="A112" s="4">
        <v>45041</v>
      </c>
      <c r="B112" t="s">
        <v>34</v>
      </c>
      <c r="C112" t="s">
        <v>129</v>
      </c>
      <c r="D112" s="5">
        <v>264200.79260237777</v>
      </c>
      <c r="E112">
        <v>1</v>
      </c>
      <c r="I112">
        <f t="shared" si="5"/>
        <v>4</v>
      </c>
      <c r="J112">
        <f t="shared" si="6"/>
        <v>2023</v>
      </c>
      <c r="L112" s="4">
        <v>44743</v>
      </c>
      <c r="M112">
        <f t="shared" si="8"/>
        <v>7</v>
      </c>
      <c r="N112">
        <f t="shared" si="9"/>
        <v>2022</v>
      </c>
      <c r="O112" s="7">
        <f t="shared" si="7"/>
        <v>531500000</v>
      </c>
    </row>
    <row r="113" spans="1:15">
      <c r="A113" s="4">
        <v>45043</v>
      </c>
      <c r="B113" t="s">
        <v>11</v>
      </c>
      <c r="C113" t="s">
        <v>130</v>
      </c>
      <c r="D113" s="5">
        <v>52840158.520475559</v>
      </c>
      <c r="E113">
        <v>15</v>
      </c>
      <c r="F113" s="5">
        <f>D113/E113</f>
        <v>3522677.2346983706</v>
      </c>
      <c r="I113">
        <f t="shared" si="5"/>
        <v>4</v>
      </c>
      <c r="J113">
        <f t="shared" si="6"/>
        <v>2023</v>
      </c>
      <c r="L113" s="4">
        <v>44774</v>
      </c>
      <c r="M113">
        <f t="shared" si="8"/>
        <v>8</v>
      </c>
      <c r="N113">
        <f t="shared" si="9"/>
        <v>2022</v>
      </c>
      <c r="O113" s="7">
        <f t="shared" si="7"/>
        <v>804788639.36591804</v>
      </c>
    </row>
    <row r="114" spans="1:15">
      <c r="A114" s="4">
        <v>45053</v>
      </c>
      <c r="B114" t="s">
        <v>131</v>
      </c>
      <c r="C114" t="s">
        <v>83</v>
      </c>
      <c r="D114" s="5">
        <v>51994715.984147951</v>
      </c>
      <c r="E114">
        <v>6</v>
      </c>
      <c r="I114">
        <f t="shared" si="5"/>
        <v>5</v>
      </c>
      <c r="J114">
        <f t="shared" si="6"/>
        <v>2023</v>
      </c>
      <c r="L114" s="4">
        <v>44805</v>
      </c>
      <c r="M114">
        <f t="shared" si="8"/>
        <v>9</v>
      </c>
      <c r="N114">
        <f t="shared" si="9"/>
        <v>2022</v>
      </c>
      <c r="O114" s="7">
        <f t="shared" si="7"/>
        <v>2432272126.8163805</v>
      </c>
    </row>
    <row r="115" spans="1:15">
      <c r="A115" s="4">
        <v>45057</v>
      </c>
      <c r="B115" t="s">
        <v>8</v>
      </c>
      <c r="C115" t="s">
        <v>132</v>
      </c>
      <c r="D115" s="5">
        <v>27001321.003963012</v>
      </c>
      <c r="E115">
        <v>6</v>
      </c>
      <c r="F115" s="5">
        <f>D115/E115</f>
        <v>4500220.1673271684</v>
      </c>
      <c r="H115" s="6" t="s">
        <v>133</v>
      </c>
      <c r="I115">
        <f t="shared" si="5"/>
        <v>5</v>
      </c>
      <c r="J115">
        <f t="shared" si="6"/>
        <v>2023</v>
      </c>
      <c r="L115" s="4">
        <v>44835</v>
      </c>
      <c r="M115">
        <f t="shared" si="8"/>
        <v>10</v>
      </c>
      <c r="N115">
        <f t="shared" si="9"/>
        <v>2022</v>
      </c>
      <c r="O115" s="7">
        <f t="shared" si="7"/>
        <v>751260964.33289289</v>
      </c>
    </row>
    <row r="116" spans="1:15">
      <c r="A116" s="4">
        <v>45069</v>
      </c>
      <c r="B116" t="s">
        <v>88</v>
      </c>
      <c r="C116" t="s">
        <v>134</v>
      </c>
      <c r="D116" s="5">
        <v>4993394.9801849406</v>
      </c>
      <c r="E116">
        <v>1</v>
      </c>
      <c r="F116" s="5">
        <f>D116/E116</f>
        <v>4993394.9801849406</v>
      </c>
      <c r="I116">
        <f t="shared" si="5"/>
        <v>5</v>
      </c>
      <c r="J116">
        <f t="shared" si="6"/>
        <v>2023</v>
      </c>
      <c r="L116" s="4">
        <v>44866</v>
      </c>
      <c r="M116">
        <f t="shared" si="8"/>
        <v>11</v>
      </c>
      <c r="N116">
        <f t="shared" si="9"/>
        <v>2022</v>
      </c>
      <c r="O116" s="7">
        <f t="shared" si="7"/>
        <v>91056803.170409501</v>
      </c>
    </row>
    <row r="117" spans="1:15">
      <c r="A117" s="4">
        <v>45072</v>
      </c>
      <c r="B117" t="s">
        <v>135</v>
      </c>
      <c r="C117" t="s">
        <v>136</v>
      </c>
      <c r="D117" s="5">
        <v>75904887.714663148</v>
      </c>
      <c r="E117">
        <v>1</v>
      </c>
      <c r="I117">
        <f t="shared" si="5"/>
        <v>5</v>
      </c>
      <c r="J117">
        <f t="shared" si="6"/>
        <v>2023</v>
      </c>
      <c r="L117" s="4">
        <v>44896</v>
      </c>
      <c r="M117">
        <f t="shared" si="8"/>
        <v>12</v>
      </c>
      <c r="N117">
        <f t="shared" si="9"/>
        <v>2022</v>
      </c>
      <c r="O117" s="7">
        <f t="shared" si="7"/>
        <v>545019815.05944514</v>
      </c>
    </row>
    <row r="118" spans="1:15">
      <c r="A118" s="4">
        <v>45077</v>
      </c>
      <c r="B118" t="s">
        <v>137</v>
      </c>
      <c r="C118" t="s">
        <v>8</v>
      </c>
      <c r="H118" s="6" t="s">
        <v>138</v>
      </c>
      <c r="I118">
        <f t="shared" si="5"/>
        <v>5</v>
      </c>
      <c r="J118">
        <f t="shared" si="6"/>
        <v>2023</v>
      </c>
      <c r="L118" s="4">
        <v>44927</v>
      </c>
      <c r="M118">
        <f t="shared" si="8"/>
        <v>1</v>
      </c>
      <c r="N118">
        <f t="shared" si="9"/>
        <v>2023</v>
      </c>
      <c r="O118" s="7">
        <f t="shared" si="7"/>
        <v>3112575957.7278733</v>
      </c>
    </row>
    <row r="119" spans="1:15">
      <c r="A119" s="4">
        <v>45077</v>
      </c>
      <c r="B119" t="s">
        <v>139</v>
      </c>
      <c r="C119" t="s">
        <v>140</v>
      </c>
      <c r="D119" s="5">
        <v>0</v>
      </c>
      <c r="H119" s="6" t="s">
        <v>141</v>
      </c>
      <c r="I119">
        <f t="shared" si="5"/>
        <v>5</v>
      </c>
      <c r="J119">
        <f t="shared" si="6"/>
        <v>2023</v>
      </c>
      <c r="L119" s="4">
        <v>44958</v>
      </c>
      <c r="M119">
        <f t="shared" si="8"/>
        <v>2</v>
      </c>
      <c r="N119">
        <f t="shared" si="9"/>
        <v>2023</v>
      </c>
      <c r="O119" s="7">
        <f t="shared" si="7"/>
        <v>41241743.725231171</v>
      </c>
    </row>
    <row r="120" spans="1:15">
      <c r="A120" s="4">
        <v>45129</v>
      </c>
      <c r="B120" t="s">
        <v>41</v>
      </c>
      <c r="C120" t="s">
        <v>107</v>
      </c>
      <c r="G120">
        <v>2030</v>
      </c>
      <c r="I120">
        <f t="shared" si="5"/>
        <v>7</v>
      </c>
      <c r="J120">
        <f t="shared" si="6"/>
        <v>2023</v>
      </c>
      <c r="L120" s="4">
        <v>44986</v>
      </c>
      <c r="M120">
        <f t="shared" si="8"/>
        <v>3</v>
      </c>
      <c r="N120">
        <f t="shared" si="9"/>
        <v>2023</v>
      </c>
      <c r="O120" s="7">
        <f t="shared" si="7"/>
        <v>79854689.56406869</v>
      </c>
    </row>
    <row r="121" spans="1:15">
      <c r="A121" s="4">
        <v>45139</v>
      </c>
      <c r="B121" t="s">
        <v>142</v>
      </c>
      <c r="C121" t="s">
        <v>21</v>
      </c>
      <c r="D121" s="5">
        <v>19815059.445178334</v>
      </c>
      <c r="E121">
        <v>1</v>
      </c>
      <c r="F121" s="5">
        <f>D121/E121</f>
        <v>19815059.445178334</v>
      </c>
      <c r="I121">
        <f t="shared" si="5"/>
        <v>8</v>
      </c>
      <c r="J121">
        <f t="shared" si="6"/>
        <v>2023</v>
      </c>
      <c r="L121" s="4">
        <v>45017</v>
      </c>
      <c r="M121">
        <f t="shared" si="8"/>
        <v>4</v>
      </c>
      <c r="N121">
        <f t="shared" si="9"/>
        <v>2023</v>
      </c>
      <c r="O121" s="7">
        <f t="shared" si="7"/>
        <v>248916776.75033027</v>
      </c>
    </row>
    <row r="122" spans="1:15">
      <c r="A122" s="4">
        <v>45167</v>
      </c>
      <c r="B122" t="s">
        <v>143</v>
      </c>
      <c r="C122" t="s">
        <v>144</v>
      </c>
      <c r="D122" s="5">
        <v>0</v>
      </c>
      <c r="E122">
        <v>1</v>
      </c>
      <c r="F122" s="5">
        <f>D122/E122</f>
        <v>0</v>
      </c>
      <c r="I122">
        <f t="shared" si="5"/>
        <v>8</v>
      </c>
      <c r="J122">
        <f t="shared" si="6"/>
        <v>2023</v>
      </c>
      <c r="L122" s="4">
        <v>45047</v>
      </c>
      <c r="M122">
        <f t="shared" si="8"/>
        <v>5</v>
      </c>
      <c r="N122">
        <f t="shared" si="9"/>
        <v>2023</v>
      </c>
      <c r="O122" s="7">
        <f t="shared" si="7"/>
        <v>159894319.68295905</v>
      </c>
    </row>
    <row r="123" spans="1:15">
      <c r="A123" s="4">
        <v>45184</v>
      </c>
      <c r="B123" t="s">
        <v>145</v>
      </c>
      <c r="C123" t="s">
        <v>9</v>
      </c>
      <c r="D123" s="5">
        <v>1000000000</v>
      </c>
      <c r="E123">
        <v>20</v>
      </c>
      <c r="F123" s="5">
        <f>D123/E123</f>
        <v>50000000</v>
      </c>
      <c r="I123">
        <f t="shared" si="5"/>
        <v>9</v>
      </c>
      <c r="J123">
        <f t="shared" si="6"/>
        <v>2023</v>
      </c>
      <c r="L123" s="4">
        <v>45078</v>
      </c>
      <c r="M123">
        <f t="shared" si="8"/>
        <v>6</v>
      </c>
      <c r="N123">
        <f t="shared" si="9"/>
        <v>2023</v>
      </c>
      <c r="O123" s="7">
        <f t="shared" si="7"/>
        <v>0</v>
      </c>
    </row>
    <row r="124" spans="1:15">
      <c r="A124" s="4">
        <v>45202</v>
      </c>
      <c r="B124" t="s">
        <v>49</v>
      </c>
      <c r="C124" t="s">
        <v>146</v>
      </c>
      <c r="D124" s="5">
        <v>300000</v>
      </c>
      <c r="E124">
        <v>1</v>
      </c>
      <c r="G124" t="s">
        <v>147</v>
      </c>
      <c r="H124" s="6" t="s">
        <v>148</v>
      </c>
      <c r="I124">
        <f t="shared" si="5"/>
        <v>10</v>
      </c>
      <c r="J124">
        <f t="shared" si="6"/>
        <v>2023</v>
      </c>
      <c r="L124" s="4">
        <v>45108</v>
      </c>
      <c r="M124">
        <f t="shared" si="8"/>
        <v>7</v>
      </c>
      <c r="N124">
        <f t="shared" si="9"/>
        <v>2023</v>
      </c>
      <c r="O124" s="7">
        <f t="shared" si="7"/>
        <v>0</v>
      </c>
    </row>
    <row r="125" spans="1:15">
      <c r="A125" s="4">
        <v>45209</v>
      </c>
      <c r="B125" t="s">
        <v>69</v>
      </c>
      <c r="C125" t="s">
        <v>107</v>
      </c>
      <c r="D125" s="5">
        <v>660501.98150594451</v>
      </c>
      <c r="E125">
        <v>1</v>
      </c>
      <c r="I125">
        <f t="shared" si="5"/>
        <v>10</v>
      </c>
      <c r="J125">
        <f t="shared" si="6"/>
        <v>2023</v>
      </c>
      <c r="L125" s="4">
        <v>45139</v>
      </c>
      <c r="M125">
        <f t="shared" si="8"/>
        <v>8</v>
      </c>
      <c r="N125">
        <f t="shared" si="9"/>
        <v>2023</v>
      </c>
      <c r="O125" s="7">
        <f t="shared" si="7"/>
        <v>19815059.445178334</v>
      </c>
    </row>
    <row r="126" spans="1:15">
      <c r="A126" s="4">
        <v>45218</v>
      </c>
      <c r="B126" t="s">
        <v>8</v>
      </c>
      <c r="C126" t="s">
        <v>80</v>
      </c>
      <c r="D126" s="5">
        <v>176486129.45838836</v>
      </c>
      <c r="E126">
        <v>7</v>
      </c>
      <c r="F126" s="5">
        <f>D126/E126</f>
        <v>25212304.208341192</v>
      </c>
      <c r="I126">
        <f t="shared" si="5"/>
        <v>10</v>
      </c>
      <c r="J126">
        <f t="shared" si="6"/>
        <v>2023</v>
      </c>
      <c r="L126" s="4">
        <v>45170</v>
      </c>
      <c r="M126">
        <f t="shared" si="8"/>
        <v>9</v>
      </c>
      <c r="N126">
        <f t="shared" si="9"/>
        <v>2023</v>
      </c>
      <c r="O126" s="7">
        <f t="shared" si="7"/>
        <v>1000000000</v>
      </c>
    </row>
    <row r="127" spans="1:15">
      <c r="A127" s="4">
        <v>45220</v>
      </c>
      <c r="B127" t="s">
        <v>34</v>
      </c>
      <c r="C127" t="s">
        <v>146</v>
      </c>
      <c r="D127" s="5">
        <v>1003963.0118890356</v>
      </c>
      <c r="E127">
        <v>2</v>
      </c>
      <c r="I127">
        <f t="shared" si="5"/>
        <v>10</v>
      </c>
      <c r="J127">
        <f t="shared" si="6"/>
        <v>2023</v>
      </c>
      <c r="L127" s="4">
        <v>45200</v>
      </c>
      <c r="M127">
        <f t="shared" si="8"/>
        <v>10</v>
      </c>
      <c r="N127">
        <f t="shared" si="9"/>
        <v>2023</v>
      </c>
      <c r="O127" s="7">
        <f t="shared" si="7"/>
        <v>178450594.45178333</v>
      </c>
    </row>
    <row r="128" spans="1:15">
      <c r="A128" s="4">
        <v>45232</v>
      </c>
      <c r="B128" t="s">
        <v>149</v>
      </c>
      <c r="C128" t="s">
        <v>14</v>
      </c>
      <c r="D128" s="5">
        <v>860105680.31704092</v>
      </c>
      <c r="E128">
        <v>20</v>
      </c>
      <c r="I128">
        <f t="shared" si="5"/>
        <v>11</v>
      </c>
      <c r="J128">
        <f t="shared" si="6"/>
        <v>2023</v>
      </c>
      <c r="L128" s="4">
        <v>45231</v>
      </c>
      <c r="M128">
        <f t="shared" si="8"/>
        <v>11</v>
      </c>
      <c r="N128">
        <f t="shared" si="9"/>
        <v>2023</v>
      </c>
      <c r="O128" s="7">
        <f t="shared" si="7"/>
        <v>884861294.58388376</v>
      </c>
    </row>
    <row r="129" spans="1:16">
      <c r="A129" s="4">
        <v>45243</v>
      </c>
      <c r="B129" t="s">
        <v>92</v>
      </c>
      <c r="C129" t="s">
        <v>107</v>
      </c>
      <c r="D129" s="5">
        <v>24755614.266842801</v>
      </c>
      <c r="E129">
        <v>1</v>
      </c>
      <c r="F129" s="5">
        <f>D129/E129</f>
        <v>24755614.266842801</v>
      </c>
      <c r="I129">
        <f t="shared" si="5"/>
        <v>11</v>
      </c>
      <c r="J129">
        <f t="shared" si="6"/>
        <v>2023</v>
      </c>
      <c r="L129" s="4">
        <v>45261</v>
      </c>
      <c r="M129">
        <f t="shared" si="8"/>
        <v>12</v>
      </c>
      <c r="N129">
        <f t="shared" si="9"/>
        <v>2023</v>
      </c>
      <c r="O129" s="7">
        <f t="shared" si="7"/>
        <v>0</v>
      </c>
    </row>
    <row r="130" spans="1:16">
      <c r="A130" s="4">
        <v>45247</v>
      </c>
      <c r="B130" t="s">
        <v>150</v>
      </c>
      <c r="C130" t="s">
        <v>52</v>
      </c>
      <c r="F130" s="5">
        <v>27000000</v>
      </c>
      <c r="G130">
        <v>2028</v>
      </c>
      <c r="H130" s="6" t="s">
        <v>151</v>
      </c>
      <c r="I130">
        <f t="shared" si="5"/>
        <v>11</v>
      </c>
      <c r="J130">
        <f t="shared" si="6"/>
        <v>2023</v>
      </c>
      <c r="L130" s="4">
        <v>45292</v>
      </c>
      <c r="M130">
        <f t="shared" si="8"/>
        <v>1</v>
      </c>
      <c r="N130">
        <f t="shared" si="9"/>
        <v>2024</v>
      </c>
      <c r="O130" s="7">
        <f t="shared" si="7"/>
        <v>33025099.075297225</v>
      </c>
    </row>
    <row r="131" spans="1:16">
      <c r="A131" s="4">
        <v>45259</v>
      </c>
      <c r="B131" t="s">
        <v>152</v>
      </c>
      <c r="C131" t="s">
        <v>54</v>
      </c>
      <c r="H131" s="6" t="s">
        <v>153</v>
      </c>
      <c r="I131">
        <f t="shared" ref="I131:I149" si="10">MONTH(A131)</f>
        <v>11</v>
      </c>
      <c r="J131">
        <f t="shared" ref="J131:J149" si="11">YEAR(A131)</f>
        <v>2023</v>
      </c>
      <c r="L131" s="4">
        <v>45323</v>
      </c>
      <c r="M131">
        <f t="shared" si="8"/>
        <v>2</v>
      </c>
      <c r="N131">
        <f t="shared" si="9"/>
        <v>2024</v>
      </c>
      <c r="O131" s="7">
        <f t="shared" ref="O131:O144" si="12">SUMIFS($D$2:$D$511,$I$2:$I$511,$M131,$J$2:$J$511,$N131)</f>
        <v>259260237.78071332</v>
      </c>
    </row>
    <row r="132" spans="1:16">
      <c r="A132" s="4">
        <v>45275</v>
      </c>
      <c r="B132" t="s">
        <v>32</v>
      </c>
      <c r="C132" t="s">
        <v>99</v>
      </c>
      <c r="H132" s="6" t="s">
        <v>154</v>
      </c>
      <c r="I132">
        <f t="shared" si="10"/>
        <v>12</v>
      </c>
      <c r="J132">
        <f t="shared" si="11"/>
        <v>2023</v>
      </c>
      <c r="L132" s="4">
        <v>45352</v>
      </c>
      <c r="M132">
        <f t="shared" ref="M132:M144" si="13">MONTH(L132)</f>
        <v>3</v>
      </c>
      <c r="N132">
        <f t="shared" ref="N132:N144" si="14">YEAR(L132)</f>
        <v>2024</v>
      </c>
      <c r="O132" s="7">
        <f t="shared" si="12"/>
        <v>158520.47556142669</v>
      </c>
    </row>
    <row r="133" spans="1:16">
      <c r="A133" s="4">
        <v>45309</v>
      </c>
      <c r="B133" t="s">
        <v>155</v>
      </c>
      <c r="C133" t="s">
        <v>156</v>
      </c>
      <c r="G133">
        <v>2026</v>
      </c>
      <c r="H133" s="6" t="s">
        <v>157</v>
      </c>
      <c r="I133">
        <f t="shared" si="10"/>
        <v>1</v>
      </c>
      <c r="J133">
        <f t="shared" si="11"/>
        <v>2024</v>
      </c>
      <c r="L133" s="4">
        <v>45383</v>
      </c>
      <c r="M133">
        <f t="shared" si="13"/>
        <v>4</v>
      </c>
      <c r="N133">
        <f t="shared" si="14"/>
        <v>2024</v>
      </c>
      <c r="O133" s="7">
        <f t="shared" si="12"/>
        <v>183300000</v>
      </c>
    </row>
    <row r="134" spans="1:16">
      <c r="A134" s="4">
        <v>45313</v>
      </c>
      <c r="B134" t="s">
        <v>158</v>
      </c>
      <c r="C134" t="s">
        <v>83</v>
      </c>
      <c r="D134" s="5">
        <v>33025099.075297225</v>
      </c>
      <c r="E134">
        <v>6</v>
      </c>
      <c r="F134" s="5">
        <f>D134/E134</f>
        <v>5504183.1792162042</v>
      </c>
      <c r="I134">
        <f t="shared" si="10"/>
        <v>1</v>
      </c>
      <c r="J134">
        <f t="shared" si="11"/>
        <v>2024</v>
      </c>
      <c r="L134" s="4">
        <v>45413</v>
      </c>
      <c r="M134">
        <f t="shared" si="13"/>
        <v>5</v>
      </c>
      <c r="N134">
        <f t="shared" si="14"/>
        <v>2024</v>
      </c>
      <c r="O134" s="7">
        <f t="shared" si="12"/>
        <v>0</v>
      </c>
    </row>
    <row r="135" spans="1:16">
      <c r="A135" s="4">
        <v>45329</v>
      </c>
      <c r="B135" t="s">
        <v>34</v>
      </c>
      <c r="C135" t="s">
        <v>159</v>
      </c>
      <c r="D135" s="5">
        <v>0</v>
      </c>
      <c r="I135">
        <f t="shared" si="10"/>
        <v>2</v>
      </c>
      <c r="J135">
        <f t="shared" si="11"/>
        <v>2024</v>
      </c>
      <c r="L135" s="4">
        <v>45444</v>
      </c>
      <c r="M135">
        <f t="shared" si="13"/>
        <v>6</v>
      </c>
      <c r="N135">
        <f t="shared" si="14"/>
        <v>2024</v>
      </c>
      <c r="O135" s="7">
        <f t="shared" si="12"/>
        <v>0</v>
      </c>
    </row>
    <row r="136" spans="1:16" ht="30">
      <c r="A136" s="4">
        <v>45334</v>
      </c>
      <c r="B136" t="s">
        <v>160</v>
      </c>
      <c r="C136" t="s">
        <v>161</v>
      </c>
      <c r="H136" s="6" t="s">
        <v>162</v>
      </c>
      <c r="I136">
        <f t="shared" si="10"/>
        <v>2</v>
      </c>
      <c r="J136">
        <f t="shared" si="11"/>
        <v>2024</v>
      </c>
      <c r="L136" s="4">
        <v>45474</v>
      </c>
      <c r="M136">
        <f t="shared" si="13"/>
        <v>7</v>
      </c>
      <c r="N136">
        <f t="shared" si="14"/>
        <v>2024</v>
      </c>
      <c r="O136" s="7">
        <f t="shared" si="12"/>
        <v>0</v>
      </c>
    </row>
    <row r="137" spans="1:16">
      <c r="A137" s="4">
        <v>45350</v>
      </c>
      <c r="B137" t="s">
        <v>163</v>
      </c>
      <c r="C137" t="s">
        <v>63</v>
      </c>
      <c r="D137" s="5">
        <v>259260237.78071332</v>
      </c>
      <c r="E137">
        <v>14</v>
      </c>
      <c r="I137">
        <f t="shared" si="10"/>
        <v>2</v>
      </c>
      <c r="J137">
        <f t="shared" si="11"/>
        <v>2024</v>
      </c>
      <c r="L137" s="4">
        <v>45505</v>
      </c>
      <c r="M137">
        <f t="shared" si="13"/>
        <v>8</v>
      </c>
      <c r="N137">
        <f t="shared" si="14"/>
        <v>2024</v>
      </c>
      <c r="O137" s="7">
        <f t="shared" si="12"/>
        <v>5000000</v>
      </c>
      <c r="P137" s="7">
        <f>SUM(O3:O137)</f>
        <v>20072829920.739761</v>
      </c>
    </row>
    <row r="138" spans="1:16">
      <c r="A138" s="4">
        <v>45359</v>
      </c>
      <c r="B138" t="s">
        <v>69</v>
      </c>
      <c r="C138" t="s">
        <v>83</v>
      </c>
      <c r="D138" s="5">
        <v>158520.47556142669</v>
      </c>
      <c r="E138">
        <v>1</v>
      </c>
      <c r="G138">
        <v>2024</v>
      </c>
      <c r="H138" s="6" t="s">
        <v>164</v>
      </c>
      <c r="I138">
        <f t="shared" si="10"/>
        <v>3</v>
      </c>
      <c r="J138">
        <f t="shared" si="11"/>
        <v>2024</v>
      </c>
      <c r="L138" s="4">
        <v>45536</v>
      </c>
      <c r="M138">
        <f t="shared" si="13"/>
        <v>9</v>
      </c>
      <c r="N138">
        <f t="shared" si="14"/>
        <v>2024</v>
      </c>
      <c r="O138" s="7">
        <f t="shared" si="12"/>
        <v>0</v>
      </c>
    </row>
    <row r="139" spans="1:16">
      <c r="A139" s="4">
        <v>45383</v>
      </c>
      <c r="B139" t="s">
        <v>127</v>
      </c>
      <c r="C139" t="s">
        <v>114</v>
      </c>
      <c r="D139" s="5">
        <v>173400000</v>
      </c>
      <c r="E139">
        <v>15</v>
      </c>
      <c r="F139" s="5">
        <f>D139/E139</f>
        <v>11560000</v>
      </c>
      <c r="I139">
        <f t="shared" si="10"/>
        <v>4</v>
      </c>
      <c r="J139">
        <f t="shared" si="11"/>
        <v>2024</v>
      </c>
      <c r="L139" s="4">
        <v>45566</v>
      </c>
      <c r="M139">
        <f t="shared" si="13"/>
        <v>10</v>
      </c>
      <c r="N139">
        <f t="shared" si="14"/>
        <v>2024</v>
      </c>
      <c r="O139" s="7">
        <f t="shared" si="12"/>
        <v>0</v>
      </c>
    </row>
    <row r="140" spans="1:16">
      <c r="A140" s="4">
        <v>45397</v>
      </c>
      <c r="B140" t="s">
        <v>34</v>
      </c>
      <c r="C140" t="s">
        <v>93</v>
      </c>
      <c r="D140" s="5">
        <v>2400000</v>
      </c>
      <c r="E140">
        <v>1</v>
      </c>
      <c r="G140" t="s">
        <v>165</v>
      </c>
      <c r="H140" s="6" t="s">
        <v>166</v>
      </c>
      <c r="I140">
        <f t="shared" si="10"/>
        <v>4</v>
      </c>
      <c r="J140">
        <f t="shared" si="11"/>
        <v>2024</v>
      </c>
      <c r="L140" s="4">
        <v>45597</v>
      </c>
      <c r="M140">
        <f t="shared" si="13"/>
        <v>11</v>
      </c>
      <c r="N140">
        <f t="shared" si="14"/>
        <v>2024</v>
      </c>
      <c r="O140" s="7">
        <f>SUMIFS($D$2:$D$511,$I$2:$I$511,$M140,$J$2:$J$511,$N140)</f>
        <v>20534000</v>
      </c>
    </row>
    <row r="141" spans="1:16">
      <c r="A141" s="4">
        <v>45399</v>
      </c>
      <c r="B141" t="s">
        <v>34</v>
      </c>
      <c r="C141" t="s">
        <v>75</v>
      </c>
      <c r="D141" s="5">
        <v>7500000</v>
      </c>
      <c r="G141">
        <v>2024</v>
      </c>
      <c r="H141" s="9"/>
      <c r="I141">
        <f t="shared" si="10"/>
        <v>4</v>
      </c>
      <c r="J141">
        <f t="shared" si="11"/>
        <v>2024</v>
      </c>
      <c r="L141" s="4">
        <v>45627</v>
      </c>
      <c r="M141">
        <f t="shared" si="13"/>
        <v>12</v>
      </c>
      <c r="N141">
        <f t="shared" si="14"/>
        <v>2024</v>
      </c>
      <c r="O141" s="7">
        <f t="shared" si="12"/>
        <v>0</v>
      </c>
    </row>
    <row r="142" spans="1:16">
      <c r="A142" s="4">
        <v>45403</v>
      </c>
      <c r="B142" t="s">
        <v>49</v>
      </c>
      <c r="C142" t="s">
        <v>167</v>
      </c>
      <c r="H142" s="9"/>
      <c r="I142">
        <f t="shared" si="10"/>
        <v>4</v>
      </c>
      <c r="J142">
        <f t="shared" si="11"/>
        <v>2024</v>
      </c>
      <c r="L142" s="4">
        <v>45658</v>
      </c>
      <c r="M142">
        <f t="shared" si="13"/>
        <v>1</v>
      </c>
      <c r="N142">
        <f t="shared" si="14"/>
        <v>2025</v>
      </c>
      <c r="O142" s="7">
        <f t="shared" si="12"/>
        <v>3000000</v>
      </c>
    </row>
    <row r="143" spans="1:16">
      <c r="A143" s="4">
        <v>45419</v>
      </c>
      <c r="B143" t="s">
        <v>34</v>
      </c>
      <c r="C143" t="s">
        <v>76</v>
      </c>
      <c r="E143">
        <v>1</v>
      </c>
      <c r="G143">
        <v>2024</v>
      </c>
      <c r="H143" s="6" t="s">
        <v>168</v>
      </c>
      <c r="I143">
        <f t="shared" si="10"/>
        <v>5</v>
      </c>
      <c r="J143">
        <f t="shared" si="11"/>
        <v>2024</v>
      </c>
      <c r="L143" s="4">
        <v>45689</v>
      </c>
      <c r="M143">
        <f t="shared" si="13"/>
        <v>2</v>
      </c>
      <c r="N143">
        <f t="shared" si="14"/>
        <v>2025</v>
      </c>
      <c r="O143" s="7">
        <f t="shared" si="12"/>
        <v>0</v>
      </c>
    </row>
    <row r="144" spans="1:16">
      <c r="A144" s="4">
        <v>45506</v>
      </c>
      <c r="B144" t="s">
        <v>169</v>
      </c>
      <c r="C144" t="s">
        <v>24</v>
      </c>
      <c r="D144" s="5">
        <v>1000000</v>
      </c>
      <c r="E144">
        <v>1</v>
      </c>
      <c r="G144" t="s">
        <v>170</v>
      </c>
      <c r="H144" s="6" t="s">
        <v>171</v>
      </c>
      <c r="I144">
        <f t="shared" si="10"/>
        <v>8</v>
      </c>
      <c r="J144">
        <f t="shared" si="11"/>
        <v>2024</v>
      </c>
      <c r="L144" s="4">
        <v>45717</v>
      </c>
      <c r="M144">
        <f t="shared" si="13"/>
        <v>3</v>
      </c>
      <c r="N144">
        <f t="shared" si="14"/>
        <v>2025</v>
      </c>
      <c r="O144" s="7">
        <f t="shared" si="12"/>
        <v>0</v>
      </c>
    </row>
    <row r="145" spans="1:15">
      <c r="A145" s="4">
        <v>45506</v>
      </c>
      <c r="B145" t="s">
        <v>169</v>
      </c>
      <c r="C145" t="s">
        <v>24</v>
      </c>
      <c r="D145" s="5">
        <v>4000000</v>
      </c>
      <c r="E145">
        <v>1</v>
      </c>
      <c r="G145">
        <v>2025</v>
      </c>
      <c r="H145" s="6" t="s">
        <v>172</v>
      </c>
      <c r="I145">
        <f t="shared" si="10"/>
        <v>8</v>
      </c>
      <c r="J145">
        <f t="shared" si="11"/>
        <v>2024</v>
      </c>
    </row>
    <row r="146" spans="1:15">
      <c r="A146" s="4">
        <v>45056</v>
      </c>
      <c r="B146" t="s">
        <v>111</v>
      </c>
      <c r="C146" t="s">
        <v>173</v>
      </c>
      <c r="I146">
        <f t="shared" si="10"/>
        <v>5</v>
      </c>
      <c r="J146">
        <f t="shared" si="11"/>
        <v>2023</v>
      </c>
    </row>
    <row r="147" spans="1:15">
      <c r="A147" s="4">
        <v>45017</v>
      </c>
      <c r="B147" t="s">
        <v>49</v>
      </c>
      <c r="C147" t="s">
        <v>35</v>
      </c>
      <c r="D147" s="5">
        <v>10000000</v>
      </c>
      <c r="E147">
        <v>2</v>
      </c>
      <c r="G147">
        <v>2023</v>
      </c>
      <c r="H147" s="6" t="s">
        <v>166</v>
      </c>
      <c r="I147">
        <f t="shared" si="10"/>
        <v>4</v>
      </c>
      <c r="J147">
        <f t="shared" si="11"/>
        <v>2023</v>
      </c>
    </row>
    <row r="148" spans="1:15" ht="45">
      <c r="A148" s="4">
        <v>45555</v>
      </c>
      <c r="B148" t="s">
        <v>111</v>
      </c>
      <c r="C148" t="s">
        <v>35</v>
      </c>
      <c r="G148">
        <v>2024</v>
      </c>
      <c r="H148" s="6" t="s">
        <v>174</v>
      </c>
      <c r="I148">
        <f t="shared" si="10"/>
        <v>9</v>
      </c>
      <c r="J148">
        <f t="shared" si="11"/>
        <v>2024</v>
      </c>
    </row>
    <row r="149" spans="1:15" s="11" customFormat="1" ht="45">
      <c r="A149" s="10">
        <v>45609</v>
      </c>
      <c r="B149" s="11" t="s">
        <v>34</v>
      </c>
      <c r="C149" s="11" t="s">
        <v>128</v>
      </c>
      <c r="D149" s="12">
        <v>20500000</v>
      </c>
      <c r="E149" s="11">
        <v>1</v>
      </c>
      <c r="F149" s="12">
        <v>20500000</v>
      </c>
      <c r="G149" s="11">
        <v>2025</v>
      </c>
      <c r="H149" s="13" t="s">
        <v>175</v>
      </c>
      <c r="I149" s="11">
        <f t="shared" si="10"/>
        <v>11</v>
      </c>
      <c r="J149" s="11">
        <f t="shared" si="11"/>
        <v>2024</v>
      </c>
      <c r="L149" s="10">
        <v>45627</v>
      </c>
      <c r="M149">
        <f t="shared" ref="M149" si="15">MONTH(L149)</f>
        <v>12</v>
      </c>
      <c r="N149">
        <f t="shared" ref="N149" si="16">YEAR(L149)</f>
        <v>2024</v>
      </c>
      <c r="O149" s="7">
        <f t="shared" ref="O149" si="17">SUMIFS($D$2:$D$511,$I$2:$I$511,$M149,$J$2:$J$511,$N149)</f>
        <v>0</v>
      </c>
    </row>
    <row r="150" spans="1:15" ht="45">
      <c r="B150" t="s">
        <v>34</v>
      </c>
      <c r="C150" t="s">
        <v>35</v>
      </c>
      <c r="H150" s="6" t="s">
        <v>176</v>
      </c>
    </row>
    <row r="151" spans="1:15">
      <c r="A151" s="4">
        <v>45615</v>
      </c>
      <c r="B151" t="s">
        <v>177</v>
      </c>
      <c r="C151" t="s">
        <v>12</v>
      </c>
      <c r="D151" s="5">
        <v>34000</v>
      </c>
      <c r="G151">
        <v>2024</v>
      </c>
      <c r="I151">
        <v>11</v>
      </c>
      <c r="J151">
        <v>2024</v>
      </c>
    </row>
    <row r="152" spans="1:15" s="11" customFormat="1" ht="75">
      <c r="A152" s="10">
        <v>45631</v>
      </c>
      <c r="B152" s="11" t="s">
        <v>68</v>
      </c>
      <c r="C152" s="11" t="s">
        <v>9</v>
      </c>
      <c r="D152" s="12">
        <v>3000000</v>
      </c>
      <c r="E152" s="11">
        <v>0.5</v>
      </c>
      <c r="F152" s="12"/>
      <c r="G152" s="11">
        <v>2024</v>
      </c>
      <c r="H152" s="13" t="s">
        <v>178</v>
      </c>
      <c r="I152" s="11">
        <v>1</v>
      </c>
      <c r="J152" s="11">
        <v>2025</v>
      </c>
    </row>
    <row r="153" spans="1:15" s="11" customFormat="1" ht="45">
      <c r="A153" s="10">
        <v>45744</v>
      </c>
      <c r="B153" s="11" t="s">
        <v>179</v>
      </c>
      <c r="C153" s="11" t="s">
        <v>54</v>
      </c>
      <c r="D153" s="12"/>
      <c r="F153" s="12"/>
      <c r="H153" s="13" t="s">
        <v>180</v>
      </c>
    </row>
    <row r="154" spans="1:15" s="11" customFormat="1" ht="30">
      <c r="A154" s="10">
        <v>45695</v>
      </c>
      <c r="B154" s="11" t="s">
        <v>179</v>
      </c>
      <c r="C154" s="11" t="s">
        <v>181</v>
      </c>
      <c r="D154" s="12"/>
      <c r="F154" s="12"/>
      <c r="H154" s="13" t="s">
        <v>182</v>
      </c>
    </row>
    <row r="155" spans="1:15" s="11" customFormat="1" ht="45">
      <c r="A155" s="10">
        <v>45485</v>
      </c>
      <c r="B155" s="11" t="s">
        <v>179</v>
      </c>
      <c r="C155" s="11" t="s">
        <v>87</v>
      </c>
      <c r="D155" s="12"/>
      <c r="F155" s="12"/>
      <c r="H155" s="13" t="s">
        <v>183</v>
      </c>
    </row>
    <row r="156" spans="1:15" s="11" customFormat="1" ht="30">
      <c r="A156" s="10">
        <v>45743</v>
      </c>
      <c r="B156" s="11" t="s">
        <v>184</v>
      </c>
      <c r="C156" s="11" t="s">
        <v>82</v>
      </c>
      <c r="D156" s="12"/>
      <c r="F156" s="12"/>
      <c r="H156" s="13" t="s">
        <v>185</v>
      </c>
    </row>
    <row r="157" spans="1:15" s="11" customFormat="1" ht="60">
      <c r="A157" s="10">
        <v>45743</v>
      </c>
      <c r="B157" s="11" t="s">
        <v>184</v>
      </c>
      <c r="C157" s="11" t="s">
        <v>35</v>
      </c>
      <c r="D157" s="12"/>
      <c r="F157" s="12"/>
      <c r="H157" s="13" t="s">
        <v>186</v>
      </c>
    </row>
    <row r="158" spans="1:15" s="11" customFormat="1" ht="45">
      <c r="A158" s="10">
        <v>45762</v>
      </c>
      <c r="B158" s="11" t="s">
        <v>184</v>
      </c>
      <c r="C158" s="11" t="s">
        <v>187</v>
      </c>
      <c r="D158" s="12"/>
      <c r="F158" s="12"/>
      <c r="H158" s="13" t="s">
        <v>188</v>
      </c>
    </row>
    <row r="159" spans="1:15" s="11" customFormat="1" ht="30">
      <c r="A159" s="10">
        <v>45763</v>
      </c>
      <c r="B159" s="11" t="s">
        <v>116</v>
      </c>
      <c r="C159" s="11" t="s">
        <v>189</v>
      </c>
      <c r="D159" s="12"/>
      <c r="F159" s="12"/>
      <c r="G159" s="11">
        <v>2025</v>
      </c>
      <c r="H159" s="13" t="s">
        <v>190</v>
      </c>
    </row>
    <row r="161" spans="4:4">
      <c r="D161" s="5">
        <f>SUM(D2:D160)</f>
        <v>20096363920.739773</v>
      </c>
    </row>
  </sheetData>
  <autoFilter ref="A1:H155" xr:uid="{472B6BF1-6CF0-487C-AE38-4BA065D766C8}">
    <sortState xmlns:xlrd2="http://schemas.microsoft.com/office/spreadsheetml/2017/richdata2" ref="A2:H145">
      <sortCondition ref="A1:A14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5AD1E-6213-4B6D-A90E-754E08AC89F6}">
  <dimension ref="A1:J36"/>
  <sheetViews>
    <sheetView zoomScale="120" zoomScaleNormal="120" workbookViewId="0">
      <pane ySplit="1" topLeftCell="A13" activePane="bottomLeft" state="frozen"/>
      <selection activeCell="F3" sqref="F3"/>
      <selection pane="bottomLeft" activeCell="F3" sqref="F3"/>
    </sheetView>
  </sheetViews>
  <sheetFormatPr defaultRowHeight="15"/>
  <cols>
    <col min="1" max="1" width="11.42578125" bestFit="1" customWidth="1"/>
    <col min="2" max="4" width="27.5703125" customWidth="1"/>
    <col min="5" max="5" width="9.42578125" bestFit="1" customWidth="1"/>
    <col min="6" max="6" width="14.85546875" bestFit="1" customWidth="1"/>
    <col min="7" max="10" width="27.5703125" customWidth="1"/>
  </cols>
  <sheetData>
    <row r="1" spans="1:10" ht="15.75">
      <c r="A1" s="1" t="s">
        <v>0</v>
      </c>
      <c r="B1" s="1" t="s">
        <v>1</v>
      </c>
      <c r="C1" s="1" t="s">
        <v>191</v>
      </c>
      <c r="D1" s="1" t="s">
        <v>192</v>
      </c>
      <c r="E1" s="2" t="s">
        <v>3</v>
      </c>
      <c r="F1" s="1" t="s">
        <v>193</v>
      </c>
      <c r="G1" s="2" t="s">
        <v>5</v>
      </c>
      <c r="H1" s="1" t="s">
        <v>6</v>
      </c>
      <c r="I1" s="3" t="s">
        <v>7</v>
      </c>
      <c r="J1" s="3" t="s">
        <v>194</v>
      </c>
    </row>
    <row r="2" spans="1:10">
      <c r="A2" s="4">
        <v>45502</v>
      </c>
      <c r="B2" t="s">
        <v>131</v>
      </c>
      <c r="C2" t="s">
        <v>195</v>
      </c>
      <c r="D2" t="s">
        <v>196</v>
      </c>
      <c r="E2" t="s">
        <v>197</v>
      </c>
      <c r="F2" t="s">
        <v>198</v>
      </c>
      <c r="H2" s="14">
        <v>45498</v>
      </c>
      <c r="J2" t="s">
        <v>199</v>
      </c>
    </row>
    <row r="3" spans="1:10">
      <c r="A3" s="4">
        <v>45588</v>
      </c>
      <c r="B3" t="s">
        <v>200</v>
      </c>
      <c r="C3" t="s">
        <v>132</v>
      </c>
      <c r="D3" t="s">
        <v>201</v>
      </c>
      <c r="F3" t="s">
        <v>202</v>
      </c>
      <c r="G3" t="s">
        <v>203</v>
      </c>
      <c r="H3" s="14">
        <v>45658</v>
      </c>
      <c r="I3" t="s">
        <v>204</v>
      </c>
      <c r="J3" t="s">
        <v>205</v>
      </c>
    </row>
    <row r="4" spans="1:10">
      <c r="A4" s="4">
        <v>45588</v>
      </c>
      <c r="B4" t="s">
        <v>200</v>
      </c>
      <c r="C4" t="s">
        <v>132</v>
      </c>
      <c r="D4" t="s">
        <v>206</v>
      </c>
      <c r="F4" t="s">
        <v>202</v>
      </c>
      <c r="G4" t="s">
        <v>203</v>
      </c>
      <c r="H4" s="14">
        <v>45658</v>
      </c>
      <c r="I4" t="s">
        <v>204</v>
      </c>
      <c r="J4" t="s">
        <v>205</v>
      </c>
    </row>
    <row r="5" spans="1:10">
      <c r="A5" s="4">
        <v>45588</v>
      </c>
      <c r="B5" t="s">
        <v>200</v>
      </c>
      <c r="C5" t="s">
        <v>132</v>
      </c>
      <c r="D5" t="s">
        <v>207</v>
      </c>
      <c r="F5" t="s">
        <v>202</v>
      </c>
      <c r="G5" t="s">
        <v>203</v>
      </c>
      <c r="H5" s="14">
        <v>45658</v>
      </c>
      <c r="I5" t="s">
        <v>204</v>
      </c>
      <c r="J5" t="s">
        <v>205</v>
      </c>
    </row>
    <row r="6" spans="1:10">
      <c r="A6" s="4">
        <v>45588</v>
      </c>
      <c r="B6" t="s">
        <v>200</v>
      </c>
      <c r="C6" t="s">
        <v>132</v>
      </c>
      <c r="D6" t="s">
        <v>208</v>
      </c>
      <c r="F6" t="s">
        <v>202</v>
      </c>
      <c r="G6" t="s">
        <v>203</v>
      </c>
      <c r="H6" s="14">
        <v>45658</v>
      </c>
      <c r="I6" t="s">
        <v>204</v>
      </c>
      <c r="J6" t="s">
        <v>205</v>
      </c>
    </row>
    <row r="7" spans="1:10">
      <c r="A7" s="4">
        <v>45588</v>
      </c>
      <c r="B7" t="s">
        <v>200</v>
      </c>
      <c r="C7" t="s">
        <v>132</v>
      </c>
      <c r="D7" t="s">
        <v>209</v>
      </c>
      <c r="F7" t="s">
        <v>202</v>
      </c>
      <c r="G7" t="s">
        <v>203</v>
      </c>
      <c r="H7" s="14">
        <v>45658</v>
      </c>
      <c r="I7" t="s">
        <v>204</v>
      </c>
      <c r="J7" t="s">
        <v>205</v>
      </c>
    </row>
    <row r="8" spans="1:10">
      <c r="A8" s="4">
        <v>45588</v>
      </c>
      <c r="B8" t="s">
        <v>200</v>
      </c>
      <c r="C8" t="s">
        <v>132</v>
      </c>
      <c r="D8" t="s">
        <v>210</v>
      </c>
      <c r="F8" t="s">
        <v>202</v>
      </c>
      <c r="G8" t="s">
        <v>203</v>
      </c>
      <c r="H8" s="14">
        <v>45658</v>
      </c>
      <c r="I8" t="s">
        <v>204</v>
      </c>
      <c r="J8" t="s">
        <v>205</v>
      </c>
    </row>
    <row r="9" spans="1:10">
      <c r="A9" s="4">
        <v>44392</v>
      </c>
      <c r="C9" t="s">
        <v>132</v>
      </c>
      <c r="D9" t="s">
        <v>211</v>
      </c>
      <c r="H9" s="14">
        <v>43466</v>
      </c>
      <c r="I9" t="s">
        <v>204</v>
      </c>
      <c r="J9" t="s">
        <v>212</v>
      </c>
    </row>
    <row r="10" spans="1:10">
      <c r="A10" s="4">
        <v>44537</v>
      </c>
      <c r="B10" t="s">
        <v>34</v>
      </c>
      <c r="D10" t="s">
        <v>213</v>
      </c>
      <c r="H10" s="14">
        <v>44531</v>
      </c>
      <c r="I10" t="s">
        <v>204</v>
      </c>
      <c r="J10" t="s">
        <v>214</v>
      </c>
    </row>
    <row r="11" spans="1:10">
      <c r="A11" s="4">
        <v>44537</v>
      </c>
      <c r="B11" t="s">
        <v>34</v>
      </c>
      <c r="D11" t="s">
        <v>215</v>
      </c>
      <c r="H11" s="14">
        <v>44531</v>
      </c>
      <c r="I11" t="s">
        <v>204</v>
      </c>
      <c r="J11" t="s">
        <v>214</v>
      </c>
    </row>
    <row r="12" spans="1:10">
      <c r="A12" s="4">
        <v>44701</v>
      </c>
      <c r="B12" t="s">
        <v>216</v>
      </c>
      <c r="D12" t="s">
        <v>217</v>
      </c>
      <c r="H12" s="14">
        <v>44682</v>
      </c>
      <c r="I12" t="s">
        <v>204</v>
      </c>
      <c r="J12" t="s">
        <v>218</v>
      </c>
    </row>
    <row r="13" spans="1:10">
      <c r="A13" s="4">
        <v>45043</v>
      </c>
      <c r="C13" t="s">
        <v>219</v>
      </c>
      <c r="D13" t="s">
        <v>217</v>
      </c>
      <c r="G13" t="s">
        <v>220</v>
      </c>
      <c r="H13" s="14">
        <v>45047</v>
      </c>
      <c r="I13" t="s">
        <v>204</v>
      </c>
      <c r="J13" t="s">
        <v>218</v>
      </c>
    </row>
    <row r="14" spans="1:10">
      <c r="A14" s="4">
        <v>45282</v>
      </c>
      <c r="C14" t="s">
        <v>132</v>
      </c>
      <c r="D14" t="s">
        <v>221</v>
      </c>
      <c r="H14" s="14">
        <v>45292</v>
      </c>
      <c r="I14" t="s">
        <v>204</v>
      </c>
      <c r="J14" t="s">
        <v>222</v>
      </c>
    </row>
    <row r="15" spans="1:10">
      <c r="A15" s="4">
        <v>45282</v>
      </c>
      <c r="C15" t="s">
        <v>132</v>
      </c>
      <c r="D15" t="s">
        <v>223</v>
      </c>
      <c r="H15" s="14">
        <v>45323</v>
      </c>
      <c r="I15" t="s">
        <v>204</v>
      </c>
      <c r="J15" t="s">
        <v>222</v>
      </c>
    </row>
    <row r="16" spans="1:10">
      <c r="A16" s="4">
        <v>45588</v>
      </c>
      <c r="B16" t="s">
        <v>200</v>
      </c>
      <c r="C16" t="s">
        <v>224</v>
      </c>
      <c r="D16" t="s">
        <v>225</v>
      </c>
      <c r="G16" t="s">
        <v>226</v>
      </c>
      <c r="I16" t="s">
        <v>224</v>
      </c>
    </row>
    <row r="17" spans="1:10">
      <c r="A17" s="4">
        <v>45440</v>
      </c>
      <c r="B17" t="s">
        <v>34</v>
      </c>
      <c r="C17" t="s">
        <v>224</v>
      </c>
      <c r="D17" t="s">
        <v>227</v>
      </c>
      <c r="G17" t="s">
        <v>226</v>
      </c>
      <c r="I17" t="s">
        <v>224</v>
      </c>
      <c r="J17" t="s">
        <v>228</v>
      </c>
    </row>
    <row r="18" spans="1:10">
      <c r="A18" s="4">
        <v>45440</v>
      </c>
      <c r="B18" t="s">
        <v>34</v>
      </c>
      <c r="C18" t="s">
        <v>224</v>
      </c>
      <c r="D18" t="s">
        <v>229</v>
      </c>
      <c r="G18" t="s">
        <v>226</v>
      </c>
      <c r="I18" t="s">
        <v>224</v>
      </c>
      <c r="J18" t="s">
        <v>228</v>
      </c>
    </row>
    <row r="19" spans="1:10">
      <c r="A19" s="4">
        <v>45440</v>
      </c>
      <c r="B19" t="s">
        <v>34</v>
      </c>
      <c r="C19" t="s">
        <v>224</v>
      </c>
      <c r="D19" t="s">
        <v>230</v>
      </c>
      <c r="G19" t="s">
        <v>226</v>
      </c>
      <c r="I19" t="s">
        <v>224</v>
      </c>
      <c r="J19" t="s">
        <v>228</v>
      </c>
    </row>
    <row r="20" spans="1:10">
      <c r="A20" s="4">
        <v>45590</v>
      </c>
      <c r="B20" t="s">
        <v>111</v>
      </c>
      <c r="D20" t="s">
        <v>231</v>
      </c>
      <c r="G20" t="s">
        <v>232</v>
      </c>
      <c r="I20" t="s">
        <v>233</v>
      </c>
      <c r="J20" t="s">
        <v>234</v>
      </c>
    </row>
    <row r="21" spans="1:10" s="11" customFormat="1">
      <c r="A21" s="10">
        <v>45609</v>
      </c>
      <c r="B21" s="11" t="s">
        <v>235</v>
      </c>
      <c r="C21" s="11" t="s">
        <v>236</v>
      </c>
      <c r="D21" s="11" t="s">
        <v>237</v>
      </c>
      <c r="J21" s="11" t="s">
        <v>238</v>
      </c>
    </row>
    <row r="22" spans="1:10">
      <c r="A22" s="4">
        <v>45621</v>
      </c>
      <c r="B22" t="s">
        <v>152</v>
      </c>
      <c r="C22" t="s">
        <v>195</v>
      </c>
      <c r="D22" t="s">
        <v>239</v>
      </c>
      <c r="F22" t="s">
        <v>240</v>
      </c>
      <c r="G22" t="s">
        <v>241</v>
      </c>
      <c r="H22">
        <v>2030</v>
      </c>
      <c r="I22" t="s">
        <v>242</v>
      </c>
      <c r="J22" t="s">
        <v>243</v>
      </c>
    </row>
    <row r="23" spans="1:10">
      <c r="A23" s="4">
        <v>45630</v>
      </c>
      <c r="B23" t="s">
        <v>244</v>
      </c>
      <c r="C23" t="s">
        <v>245</v>
      </c>
      <c r="D23" t="s">
        <v>246</v>
      </c>
      <c r="E23" t="s">
        <v>247</v>
      </c>
      <c r="G23" t="s">
        <v>248</v>
      </c>
      <c r="H23">
        <v>2025</v>
      </c>
      <c r="J23" t="s">
        <v>249</v>
      </c>
    </row>
    <row r="24" spans="1:10">
      <c r="A24" s="4">
        <v>45629</v>
      </c>
      <c r="B24" t="s">
        <v>250</v>
      </c>
      <c r="C24" t="s">
        <v>251</v>
      </c>
      <c r="D24" t="s">
        <v>252</v>
      </c>
      <c r="E24" t="s">
        <v>253</v>
      </c>
      <c r="G24" t="s">
        <v>254</v>
      </c>
      <c r="H24">
        <v>2030</v>
      </c>
      <c r="J24" t="s">
        <v>255</v>
      </c>
    </row>
    <row r="25" spans="1:10">
      <c r="A25" s="4">
        <v>45631</v>
      </c>
      <c r="B25" t="s">
        <v>256</v>
      </c>
      <c r="C25" t="s">
        <v>9</v>
      </c>
      <c r="D25" t="s">
        <v>257</v>
      </c>
      <c r="E25" t="s">
        <v>258</v>
      </c>
      <c r="G25" t="s">
        <v>259</v>
      </c>
      <c r="H25">
        <v>2024</v>
      </c>
      <c r="J25" t="s">
        <v>260</v>
      </c>
    </row>
    <row r="26" spans="1:10">
      <c r="A26" s="4">
        <v>45631</v>
      </c>
      <c r="B26" t="s">
        <v>256</v>
      </c>
      <c r="C26" t="s">
        <v>9</v>
      </c>
      <c r="D26" t="s">
        <v>261</v>
      </c>
      <c r="E26" t="s">
        <v>262</v>
      </c>
      <c r="G26" t="s">
        <v>263</v>
      </c>
      <c r="H26">
        <v>2024</v>
      </c>
      <c r="J26" t="s">
        <v>260</v>
      </c>
    </row>
    <row r="27" spans="1:10">
      <c r="A27" s="4">
        <v>45638</v>
      </c>
      <c r="B27" t="s">
        <v>200</v>
      </c>
      <c r="C27" t="s">
        <v>224</v>
      </c>
      <c r="D27" t="s">
        <v>264</v>
      </c>
      <c r="G27" t="s">
        <v>265</v>
      </c>
      <c r="H27">
        <v>2024</v>
      </c>
      <c r="I27" t="s">
        <v>266</v>
      </c>
      <c r="J27" t="s">
        <v>267</v>
      </c>
    </row>
    <row r="28" spans="1:10">
      <c r="A28" s="4">
        <v>45688</v>
      </c>
      <c r="B28" t="s">
        <v>200</v>
      </c>
      <c r="C28" t="s">
        <v>224</v>
      </c>
      <c r="D28" t="s">
        <v>268</v>
      </c>
      <c r="G28" t="s">
        <v>269</v>
      </c>
      <c r="H28">
        <v>2025</v>
      </c>
      <c r="I28" t="s">
        <v>270</v>
      </c>
      <c r="J28" t="s">
        <v>271</v>
      </c>
    </row>
    <row r="29" spans="1:10">
      <c r="A29" s="4">
        <v>45742</v>
      </c>
      <c r="B29" t="s">
        <v>272</v>
      </c>
      <c r="C29" t="s">
        <v>273</v>
      </c>
      <c r="D29" t="s">
        <v>274</v>
      </c>
      <c r="G29" t="s">
        <v>275</v>
      </c>
      <c r="H29">
        <v>2025</v>
      </c>
      <c r="I29" t="s">
        <v>276</v>
      </c>
      <c r="J29" t="s">
        <v>277</v>
      </c>
    </row>
    <row r="30" spans="1:10">
      <c r="A30" s="4">
        <v>45751</v>
      </c>
      <c r="B30" t="s">
        <v>278</v>
      </c>
      <c r="C30" t="s">
        <v>63</v>
      </c>
      <c r="D30" t="s">
        <v>279</v>
      </c>
      <c r="F30" t="s">
        <v>280</v>
      </c>
      <c r="G30" t="s">
        <v>281</v>
      </c>
      <c r="H30">
        <v>2025</v>
      </c>
      <c r="I30" t="s">
        <v>282</v>
      </c>
      <c r="J30" t="s">
        <v>283</v>
      </c>
    </row>
    <row r="31" spans="1:10">
      <c r="A31" s="4">
        <v>45152</v>
      </c>
      <c r="B31" t="s">
        <v>284</v>
      </c>
      <c r="C31" t="s">
        <v>63</v>
      </c>
      <c r="D31" t="s">
        <v>285</v>
      </c>
      <c r="F31" t="s">
        <v>286</v>
      </c>
      <c r="G31" t="s">
        <v>287</v>
      </c>
      <c r="H31">
        <v>2023</v>
      </c>
      <c r="I31" t="s">
        <v>288</v>
      </c>
      <c r="J31" t="s">
        <v>289</v>
      </c>
    </row>
    <row r="32" spans="1:10">
      <c r="A32" s="4">
        <v>45039</v>
      </c>
      <c r="B32" t="s">
        <v>290</v>
      </c>
      <c r="D32" t="s">
        <v>291</v>
      </c>
      <c r="H32">
        <v>2025</v>
      </c>
      <c r="I32" t="s">
        <v>292</v>
      </c>
      <c r="J32" t="s">
        <v>293</v>
      </c>
    </row>
    <row r="33" spans="1:10">
      <c r="A33" s="4">
        <v>45770</v>
      </c>
      <c r="B33" t="s">
        <v>294</v>
      </c>
      <c r="C33" t="s">
        <v>295</v>
      </c>
      <c r="D33" t="s">
        <v>296</v>
      </c>
      <c r="H33">
        <v>2025</v>
      </c>
      <c r="I33" t="s">
        <v>297</v>
      </c>
      <c r="J33" t="s">
        <v>298</v>
      </c>
    </row>
    <row r="34" spans="1:10">
      <c r="A34" s="4">
        <v>45770</v>
      </c>
      <c r="B34" t="s">
        <v>294</v>
      </c>
      <c r="C34" t="s">
        <v>295</v>
      </c>
      <c r="D34" t="s">
        <v>299</v>
      </c>
      <c r="H34">
        <v>2025</v>
      </c>
      <c r="I34" t="s">
        <v>300</v>
      </c>
      <c r="J34" t="s">
        <v>301</v>
      </c>
    </row>
    <row r="35" spans="1:10">
      <c r="A35" s="4">
        <v>45770</v>
      </c>
      <c r="B35" t="s">
        <v>302</v>
      </c>
      <c r="C35" t="s">
        <v>303</v>
      </c>
      <c r="D35" t="s">
        <v>304</v>
      </c>
      <c r="G35" t="s">
        <v>305</v>
      </c>
      <c r="H35">
        <v>2025</v>
      </c>
      <c r="J35" t="s">
        <v>306</v>
      </c>
    </row>
    <row r="36" spans="1:10">
      <c r="A36" s="4">
        <v>45181</v>
      </c>
      <c r="B36" t="s">
        <v>216</v>
      </c>
      <c r="C36" t="s">
        <v>307</v>
      </c>
      <c r="D36" t="s">
        <v>308</v>
      </c>
      <c r="H36">
        <v>2025</v>
      </c>
      <c r="I36" t="s">
        <v>309</v>
      </c>
      <c r="J36" t="s">
        <v>310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6481-8478-492C-8268-E78DE03FC1F7}">
  <dimension ref="A1:I11"/>
  <sheetViews>
    <sheetView topLeftCell="B1" zoomScaleNormal="100" workbookViewId="0">
      <selection activeCell="F3" sqref="F3"/>
    </sheetView>
  </sheetViews>
  <sheetFormatPr defaultRowHeight="15"/>
  <cols>
    <col min="1" max="1" width="16.85546875" customWidth="1"/>
    <col min="2" max="2" width="20.5703125" bestFit="1" customWidth="1"/>
    <col min="3" max="3" width="20.5703125" customWidth="1"/>
    <col min="4" max="6" width="17.42578125" customWidth="1"/>
    <col min="7" max="7" width="12.5703125" style="5" bestFit="1" customWidth="1"/>
    <col min="8" max="9" width="58.85546875" style="6" customWidth="1"/>
  </cols>
  <sheetData>
    <row r="1" spans="1:9" ht="31.5">
      <c r="A1" s="3" t="s">
        <v>311</v>
      </c>
      <c r="B1" s="1" t="s">
        <v>312</v>
      </c>
      <c r="C1" s="1"/>
      <c r="D1" s="1" t="s">
        <v>313</v>
      </c>
      <c r="E1" s="1" t="s">
        <v>314</v>
      </c>
      <c r="F1" s="1" t="s">
        <v>315</v>
      </c>
      <c r="G1" s="2" t="s">
        <v>316</v>
      </c>
      <c r="H1" s="3" t="s">
        <v>7</v>
      </c>
      <c r="I1" s="3" t="s">
        <v>317</v>
      </c>
    </row>
    <row r="2" spans="1:9" s="19" customFormat="1" ht="40.5">
      <c r="A2" s="15">
        <v>45581</v>
      </c>
      <c r="B2" s="16" t="s">
        <v>318</v>
      </c>
      <c r="C2" s="16" t="s">
        <v>319</v>
      </c>
      <c r="D2" s="16" t="s">
        <v>320</v>
      </c>
      <c r="E2" s="16" t="s">
        <v>321</v>
      </c>
      <c r="F2" s="16" t="s">
        <v>322</v>
      </c>
      <c r="G2" s="17" t="s">
        <v>323</v>
      </c>
      <c r="H2" s="18" t="s">
        <v>324</v>
      </c>
      <c r="I2" s="16" t="s">
        <v>325</v>
      </c>
    </row>
    <row r="3" spans="1:9" ht="67.5">
      <c r="A3" s="15">
        <v>45581</v>
      </c>
      <c r="B3" s="16" t="s">
        <v>326</v>
      </c>
      <c r="C3" s="16" t="s">
        <v>319</v>
      </c>
      <c r="D3" s="16" t="s">
        <v>320</v>
      </c>
      <c r="E3" s="16" t="s">
        <v>321</v>
      </c>
      <c r="F3" s="16" t="s">
        <v>322</v>
      </c>
      <c r="G3" s="17" t="s">
        <v>327</v>
      </c>
      <c r="H3" s="18" t="s">
        <v>328</v>
      </c>
      <c r="I3" s="16" t="s">
        <v>329</v>
      </c>
    </row>
    <row r="4" spans="1:9" ht="54">
      <c r="A4" s="15">
        <v>45586</v>
      </c>
      <c r="B4" s="16" t="s">
        <v>330</v>
      </c>
      <c r="C4" s="16" t="s">
        <v>331</v>
      </c>
      <c r="D4" s="16" t="s">
        <v>332</v>
      </c>
      <c r="E4" s="16" t="s">
        <v>333</v>
      </c>
      <c r="F4" s="16" t="s">
        <v>334</v>
      </c>
      <c r="G4" s="16" t="s">
        <v>335</v>
      </c>
      <c r="H4" s="18" t="s">
        <v>336</v>
      </c>
      <c r="I4" s="16" t="s">
        <v>337</v>
      </c>
    </row>
    <row r="5" spans="1:9" ht="94.5">
      <c r="A5" s="15">
        <v>45616</v>
      </c>
      <c r="B5" s="16" t="s">
        <v>338</v>
      </c>
      <c r="C5" s="16" t="s">
        <v>319</v>
      </c>
      <c r="D5" s="16" t="s">
        <v>339</v>
      </c>
      <c r="E5" s="16" t="s">
        <v>321</v>
      </c>
      <c r="F5" s="16" t="s">
        <v>340</v>
      </c>
      <c r="G5" s="16" t="s">
        <v>341</v>
      </c>
      <c r="H5" s="18" t="s">
        <v>342</v>
      </c>
      <c r="I5" s="16" t="s">
        <v>343</v>
      </c>
    </row>
    <row r="6" spans="1:9" ht="54">
      <c r="A6" s="15"/>
      <c r="B6" s="16" t="s">
        <v>344</v>
      </c>
      <c r="C6" s="16" t="s">
        <v>345</v>
      </c>
      <c r="D6" s="16" t="s">
        <v>346</v>
      </c>
      <c r="E6" s="16" t="s">
        <v>333</v>
      </c>
      <c r="F6" s="16" t="s">
        <v>334</v>
      </c>
      <c r="G6" s="16" t="s">
        <v>347</v>
      </c>
      <c r="H6" s="18" t="s">
        <v>348</v>
      </c>
      <c r="I6" s="16" t="s">
        <v>349</v>
      </c>
    </row>
    <row r="7" spans="1:9">
      <c r="B7" s="16"/>
      <c r="C7" s="16"/>
      <c r="D7" s="16"/>
    </row>
    <row r="8" spans="1:9">
      <c r="D8" s="16"/>
    </row>
    <row r="9" spans="1:9">
      <c r="D9" s="16"/>
    </row>
    <row r="10" spans="1:9">
      <c r="D10" s="16"/>
    </row>
    <row r="11" spans="1:9">
      <c r="D11"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4BF12-1E68-4D75-9F0D-1B2084D2130C}">
  <dimension ref="A3:R22"/>
  <sheetViews>
    <sheetView tabSelected="1" workbookViewId="0">
      <selection activeCell="F3" sqref="F3"/>
    </sheetView>
  </sheetViews>
  <sheetFormatPr defaultRowHeight="15"/>
  <cols>
    <col min="1" max="1" width="15.5703125" bestFit="1" customWidth="1"/>
    <col min="2" max="2" width="16.85546875" bestFit="1" customWidth="1"/>
    <col min="3" max="4" width="5" bestFit="1" customWidth="1"/>
    <col min="5" max="5" width="6" bestFit="1" customWidth="1"/>
    <col min="6" max="6" width="5" bestFit="1" customWidth="1"/>
    <col min="7" max="7" width="6" bestFit="1" customWidth="1"/>
    <col min="8" max="9" width="5" bestFit="1" customWidth="1"/>
    <col min="10" max="10" width="6" bestFit="1" customWidth="1"/>
    <col min="11" max="12" width="5" bestFit="1" customWidth="1"/>
    <col min="13" max="13" width="6" bestFit="1" customWidth="1"/>
    <col min="14" max="15" width="5" bestFit="1" customWidth="1"/>
    <col min="16" max="16" width="6" bestFit="1" customWidth="1"/>
    <col min="17" max="17" width="4.5703125" bestFit="1" customWidth="1"/>
    <col min="18" max="18" width="11.28515625" bestFit="1" customWidth="1"/>
  </cols>
  <sheetData>
    <row r="3" spans="1:18">
      <c r="A3" t="s">
        <v>350</v>
      </c>
      <c r="B3" t="s">
        <v>351</v>
      </c>
    </row>
    <row r="4" spans="1:18">
      <c r="A4" t="s">
        <v>352</v>
      </c>
      <c r="B4">
        <v>2020</v>
      </c>
      <c r="C4">
        <v>2021</v>
      </c>
      <c r="D4">
        <v>2022</v>
      </c>
      <c r="E4">
        <v>2024</v>
      </c>
      <c r="F4">
        <v>2025</v>
      </c>
      <c r="G4">
        <v>2026</v>
      </c>
      <c r="H4">
        <v>2027</v>
      </c>
      <c r="I4">
        <v>2028</v>
      </c>
      <c r="J4">
        <v>2030</v>
      </c>
      <c r="K4">
        <v>2035</v>
      </c>
      <c r="L4">
        <v>2037</v>
      </c>
      <c r="M4">
        <v>2040</v>
      </c>
      <c r="N4">
        <v>2050</v>
      </c>
      <c r="O4">
        <v>2060</v>
      </c>
      <c r="P4" t="s">
        <v>353</v>
      </c>
      <c r="Q4" t="s">
        <v>354</v>
      </c>
      <c r="R4" t="s">
        <v>355</v>
      </c>
    </row>
    <row r="5" spans="1:18">
      <c r="A5" s="20" t="s">
        <v>331</v>
      </c>
      <c r="B5" s="21"/>
      <c r="C5" s="21"/>
      <c r="D5" s="21"/>
      <c r="E5" s="21"/>
      <c r="F5" s="21"/>
      <c r="G5" s="21"/>
      <c r="H5" s="21"/>
      <c r="I5" s="21"/>
      <c r="J5" s="21"/>
      <c r="K5" s="21"/>
      <c r="L5" s="21">
        <v>0</v>
      </c>
      <c r="M5" s="21"/>
      <c r="N5" s="21"/>
      <c r="O5" s="21"/>
      <c r="P5" s="21"/>
      <c r="Q5" s="21"/>
      <c r="R5" s="21">
        <v>0</v>
      </c>
    </row>
    <row r="6" spans="1:18">
      <c r="A6" s="20" t="s">
        <v>356</v>
      </c>
      <c r="B6" s="21"/>
      <c r="C6" s="21"/>
      <c r="D6" s="21"/>
      <c r="E6" s="21"/>
      <c r="F6" s="21">
        <v>0.02</v>
      </c>
      <c r="G6" s="21"/>
      <c r="H6" s="21"/>
      <c r="I6" s="21"/>
      <c r="J6" s="21">
        <v>0.15</v>
      </c>
      <c r="K6" s="21"/>
      <c r="L6" s="21"/>
      <c r="M6" s="21"/>
      <c r="N6" s="21"/>
      <c r="O6" s="21"/>
      <c r="P6" s="21"/>
      <c r="Q6" s="21"/>
      <c r="R6" s="21">
        <v>0.16999999999999998</v>
      </c>
    </row>
    <row r="7" spans="1:18">
      <c r="A7" s="20" t="s">
        <v>357</v>
      </c>
      <c r="B7" s="21"/>
      <c r="C7" s="21"/>
      <c r="D7" s="21"/>
      <c r="E7" s="21"/>
      <c r="F7" s="21">
        <v>0.02</v>
      </c>
      <c r="G7" s="21"/>
      <c r="H7" s="21"/>
      <c r="I7" s="21"/>
      <c r="J7" s="21">
        <v>0.06</v>
      </c>
      <c r="K7" s="21">
        <v>0.2</v>
      </c>
      <c r="L7" s="21"/>
      <c r="M7" s="21"/>
      <c r="N7" s="21">
        <v>0</v>
      </c>
      <c r="O7" s="21"/>
      <c r="P7" s="21"/>
      <c r="Q7" s="21"/>
      <c r="R7" s="21">
        <v>0.28000000000000003</v>
      </c>
    </row>
    <row r="8" spans="1:18">
      <c r="A8" s="20" t="s">
        <v>358</v>
      </c>
      <c r="B8" s="21"/>
      <c r="C8" s="21"/>
      <c r="D8" s="21">
        <v>0.01</v>
      </c>
      <c r="E8" s="21">
        <v>1.4999999999999999E-2</v>
      </c>
      <c r="F8" s="21">
        <v>0.02</v>
      </c>
      <c r="G8" s="21"/>
      <c r="H8" s="21"/>
      <c r="I8" s="21"/>
      <c r="J8" s="21"/>
      <c r="K8" s="21"/>
      <c r="L8" s="21"/>
      <c r="M8" s="21"/>
      <c r="N8" s="21"/>
      <c r="O8" s="21"/>
      <c r="P8" s="21"/>
      <c r="Q8" s="21"/>
      <c r="R8" s="21">
        <v>4.4999999999999998E-2</v>
      </c>
    </row>
    <row r="9" spans="1:18">
      <c r="A9" s="20" t="s">
        <v>359</v>
      </c>
      <c r="B9" s="21"/>
      <c r="C9" s="21"/>
      <c r="D9" s="21"/>
      <c r="E9" s="21"/>
      <c r="F9" s="21"/>
      <c r="G9" s="21">
        <v>5.0000000000000001E-3</v>
      </c>
      <c r="H9" s="21"/>
      <c r="I9" s="21">
        <v>0.01</v>
      </c>
      <c r="J9" s="21">
        <v>0.02</v>
      </c>
      <c r="K9" s="21"/>
      <c r="L9" s="21"/>
      <c r="M9" s="21"/>
      <c r="N9" s="21"/>
      <c r="O9" s="21"/>
      <c r="P9" s="21"/>
      <c r="Q9" s="21"/>
      <c r="R9" s="21">
        <v>3.5000000000000003E-2</v>
      </c>
    </row>
    <row r="10" spans="1:18">
      <c r="A10" s="20" t="s">
        <v>360</v>
      </c>
      <c r="B10" s="21"/>
      <c r="C10" s="21"/>
      <c r="D10" s="21"/>
      <c r="E10" s="21"/>
      <c r="F10" s="21"/>
      <c r="G10" s="21"/>
      <c r="H10" s="21">
        <v>0.01</v>
      </c>
      <c r="I10" s="21">
        <v>0.02</v>
      </c>
      <c r="J10" s="21">
        <v>0.05</v>
      </c>
      <c r="K10" s="21"/>
      <c r="L10" s="21"/>
      <c r="M10" s="21"/>
      <c r="N10" s="21"/>
      <c r="O10" s="21"/>
      <c r="P10" s="21"/>
      <c r="Q10" s="21"/>
      <c r="R10" s="21">
        <v>0.08</v>
      </c>
    </row>
    <row r="11" spans="1:18">
      <c r="A11" s="20" t="s">
        <v>361</v>
      </c>
      <c r="B11" s="21"/>
      <c r="C11" s="21"/>
      <c r="D11" s="21"/>
      <c r="E11" s="21"/>
      <c r="F11" s="21"/>
      <c r="G11" s="21"/>
      <c r="H11" s="21">
        <v>0.01</v>
      </c>
      <c r="I11" s="21"/>
      <c r="J11" s="21">
        <v>2.5000000000000001E-2</v>
      </c>
      <c r="K11" s="21">
        <v>0.05</v>
      </c>
      <c r="L11" s="21"/>
      <c r="M11" s="21">
        <v>0.125</v>
      </c>
      <c r="N11" s="21">
        <v>0.3</v>
      </c>
      <c r="O11" s="21">
        <v>0.5</v>
      </c>
      <c r="P11" s="21"/>
      <c r="Q11" s="21"/>
      <c r="R11" s="21">
        <v>1.01</v>
      </c>
    </row>
    <row r="12" spans="1:18">
      <c r="A12" s="20" t="s">
        <v>362</v>
      </c>
      <c r="B12" s="21"/>
      <c r="C12" s="21"/>
      <c r="D12" s="21"/>
      <c r="E12" s="21"/>
      <c r="F12" s="21"/>
      <c r="G12" s="21"/>
      <c r="H12" s="21"/>
      <c r="I12" s="21"/>
      <c r="J12" s="21">
        <v>0.1</v>
      </c>
      <c r="K12" s="21"/>
      <c r="L12" s="21"/>
      <c r="M12" s="21"/>
      <c r="N12" s="21"/>
      <c r="O12" s="21"/>
      <c r="P12" s="21"/>
      <c r="Q12" s="21"/>
      <c r="R12" s="21">
        <v>0.1</v>
      </c>
    </row>
    <row r="13" spans="1:18">
      <c r="A13" s="20" t="s">
        <v>363</v>
      </c>
      <c r="B13" s="21"/>
      <c r="C13" s="21"/>
      <c r="D13" s="21"/>
      <c r="E13" s="21"/>
      <c r="F13" s="21"/>
      <c r="G13" s="21"/>
      <c r="H13" s="21"/>
      <c r="I13" s="21"/>
      <c r="J13" s="21"/>
      <c r="K13" s="21"/>
      <c r="L13" s="21"/>
      <c r="M13" s="21"/>
      <c r="N13" s="21">
        <v>0.47</v>
      </c>
      <c r="O13" s="21"/>
      <c r="P13" s="21">
        <v>0.01</v>
      </c>
      <c r="Q13" s="21"/>
      <c r="R13" s="21">
        <v>0.48</v>
      </c>
    </row>
    <row r="14" spans="1:18">
      <c r="A14" s="20" t="s">
        <v>364</v>
      </c>
      <c r="B14" s="21">
        <v>5.0000000000000001E-3</v>
      </c>
      <c r="C14" s="21"/>
      <c r="D14" s="21"/>
      <c r="E14" s="21"/>
      <c r="F14" s="21"/>
      <c r="G14" s="21"/>
      <c r="H14" s="21"/>
      <c r="I14" s="21"/>
      <c r="J14" s="21">
        <v>0.3</v>
      </c>
      <c r="K14" s="21"/>
      <c r="L14" s="21"/>
      <c r="M14" s="21"/>
      <c r="N14" s="21"/>
      <c r="O14" s="21"/>
      <c r="P14" s="21"/>
      <c r="Q14" s="21"/>
      <c r="R14" s="21">
        <v>0.30499999999999999</v>
      </c>
    </row>
    <row r="15" spans="1:18">
      <c r="A15" s="20" t="s">
        <v>365</v>
      </c>
      <c r="B15" s="21"/>
      <c r="C15" s="21"/>
      <c r="D15" s="21"/>
      <c r="E15" s="21"/>
      <c r="F15" s="21"/>
      <c r="G15" s="21"/>
      <c r="H15" s="21"/>
      <c r="I15" s="21"/>
      <c r="J15" s="21"/>
      <c r="K15" s="21"/>
      <c r="L15" s="21"/>
      <c r="M15" s="21"/>
      <c r="N15" s="21"/>
      <c r="O15" s="21"/>
      <c r="P15" s="21"/>
      <c r="Q15" s="21">
        <v>0</v>
      </c>
      <c r="R15" s="21">
        <v>0</v>
      </c>
    </row>
    <row r="16" spans="1:18">
      <c r="A16" s="20" t="s">
        <v>366</v>
      </c>
      <c r="B16" s="21"/>
      <c r="C16" s="21"/>
      <c r="D16" s="21"/>
      <c r="E16" s="21"/>
      <c r="F16" s="21"/>
      <c r="G16" s="21">
        <v>0.01</v>
      </c>
      <c r="H16" s="21"/>
      <c r="I16" s="21"/>
      <c r="J16" s="21">
        <v>0</v>
      </c>
      <c r="K16" s="21"/>
      <c r="L16" s="21"/>
      <c r="M16" s="21"/>
      <c r="N16" s="21"/>
      <c r="O16" s="21"/>
      <c r="P16" s="21"/>
      <c r="Q16" s="21"/>
      <c r="R16" s="21">
        <v>0.01</v>
      </c>
    </row>
    <row r="17" spans="1:18">
      <c r="A17" s="20" t="s">
        <v>367</v>
      </c>
      <c r="B17" s="21"/>
      <c r="C17" s="21"/>
      <c r="D17" s="21"/>
      <c r="E17" s="21"/>
      <c r="F17" s="21">
        <v>0.01</v>
      </c>
      <c r="G17" s="21"/>
      <c r="H17" s="21"/>
      <c r="I17" s="21"/>
      <c r="J17" s="21"/>
      <c r="K17" s="21"/>
      <c r="L17" s="21"/>
      <c r="M17" s="21"/>
      <c r="N17" s="21"/>
      <c r="O17" s="21"/>
      <c r="P17" s="21"/>
      <c r="Q17" s="21"/>
      <c r="R17" s="21">
        <v>0.01</v>
      </c>
    </row>
    <row r="18" spans="1:18">
      <c r="A18" s="20" t="s">
        <v>368</v>
      </c>
      <c r="B18" s="21"/>
      <c r="C18" s="21">
        <v>0.01</v>
      </c>
      <c r="D18" s="21"/>
      <c r="E18" s="21"/>
      <c r="F18" s="21"/>
      <c r="G18" s="21"/>
      <c r="H18" s="21"/>
      <c r="I18" s="21"/>
      <c r="J18" s="21"/>
      <c r="K18" s="21"/>
      <c r="L18" s="21"/>
      <c r="M18" s="21"/>
      <c r="N18" s="21"/>
      <c r="O18" s="21"/>
      <c r="P18" s="21"/>
      <c r="Q18" s="21"/>
      <c r="R18" s="21">
        <v>0.01</v>
      </c>
    </row>
    <row r="19" spans="1:18">
      <c r="A19" s="20" t="s">
        <v>369</v>
      </c>
      <c r="B19" s="21"/>
      <c r="C19" s="21"/>
      <c r="D19" s="21"/>
      <c r="E19" s="21"/>
      <c r="F19" s="21"/>
      <c r="G19" s="21"/>
      <c r="H19" s="21"/>
      <c r="I19" s="21"/>
      <c r="J19" s="21">
        <v>0.05</v>
      </c>
      <c r="K19" s="21"/>
      <c r="L19" s="21"/>
      <c r="M19" s="21"/>
      <c r="N19" s="21"/>
      <c r="O19" s="21"/>
      <c r="P19" s="21"/>
      <c r="Q19" s="21"/>
      <c r="R19" s="21">
        <v>0.05</v>
      </c>
    </row>
    <row r="20" spans="1:18">
      <c r="A20" s="20" t="s">
        <v>370</v>
      </c>
      <c r="B20" s="21"/>
      <c r="C20" s="21"/>
      <c r="D20" s="21"/>
      <c r="E20" s="21"/>
      <c r="F20" s="21"/>
      <c r="G20" s="21">
        <v>0.01</v>
      </c>
      <c r="H20" s="21"/>
      <c r="I20" s="21"/>
      <c r="J20" s="21"/>
      <c r="K20" s="21"/>
      <c r="L20" s="21"/>
      <c r="M20" s="21"/>
      <c r="N20" s="21"/>
      <c r="O20" s="21"/>
      <c r="P20" s="21"/>
      <c r="Q20" s="21"/>
      <c r="R20" s="21">
        <v>0.01</v>
      </c>
    </row>
    <row r="21" spans="1:18">
      <c r="A21" s="20" t="s">
        <v>371</v>
      </c>
      <c r="B21" s="21"/>
      <c r="C21" s="21"/>
      <c r="D21" s="21"/>
      <c r="E21" s="21"/>
      <c r="F21" s="21">
        <v>0.02</v>
      </c>
      <c r="G21" s="21"/>
      <c r="H21" s="21"/>
      <c r="I21" s="21"/>
      <c r="J21" s="21">
        <v>0.1</v>
      </c>
      <c r="K21" s="21"/>
      <c r="L21" s="21"/>
      <c r="M21" s="21">
        <v>0.22</v>
      </c>
      <c r="N21" s="21"/>
      <c r="O21" s="21"/>
      <c r="P21" s="21"/>
      <c r="Q21" s="21"/>
      <c r="R21" s="21">
        <v>0.34</v>
      </c>
    </row>
    <row r="22" spans="1:18">
      <c r="A22" s="20" t="s">
        <v>355</v>
      </c>
      <c r="B22">
        <v>5.0000000000000001E-3</v>
      </c>
      <c r="C22">
        <v>0.01</v>
      </c>
      <c r="D22">
        <v>0.01</v>
      </c>
      <c r="E22">
        <v>1.4999999999999999E-2</v>
      </c>
      <c r="F22">
        <v>0.09</v>
      </c>
      <c r="G22">
        <v>2.5000000000000001E-2</v>
      </c>
      <c r="H22">
        <v>0.02</v>
      </c>
      <c r="I22">
        <v>0.03</v>
      </c>
      <c r="J22">
        <v>0.85500000000000009</v>
      </c>
      <c r="K22">
        <v>0.25</v>
      </c>
      <c r="L22">
        <v>0</v>
      </c>
      <c r="M22">
        <v>0.34499999999999997</v>
      </c>
      <c r="N22">
        <v>0.77</v>
      </c>
      <c r="O22">
        <v>0.5</v>
      </c>
      <c r="P22">
        <v>0.01</v>
      </c>
      <c r="Q22">
        <v>0</v>
      </c>
      <c r="R22">
        <v>2.9349999999999992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415A0-2C8D-47E1-B411-7DB2AC98ED2D}">
  <dimension ref="A1:H46"/>
  <sheetViews>
    <sheetView topLeftCell="A7" zoomScale="85" zoomScaleNormal="85" workbookViewId="0">
      <selection activeCell="F3" sqref="F3"/>
    </sheetView>
  </sheetViews>
  <sheetFormatPr defaultRowHeight="15"/>
  <cols>
    <col min="1" max="1" width="16.28515625" bestFit="1" customWidth="1"/>
    <col min="2" max="2" width="16.28515625" customWidth="1"/>
    <col min="3" max="3" width="8.42578125" bestFit="1" customWidth="1"/>
    <col min="4" max="4" width="16.28515625" bestFit="1" customWidth="1"/>
    <col min="5" max="6" width="50.7109375" style="6" customWidth="1"/>
    <col min="7" max="7" width="12.85546875" bestFit="1" customWidth="1"/>
    <col min="8" max="8" width="50.7109375" customWidth="1"/>
  </cols>
  <sheetData>
    <row r="1" spans="1:8" ht="15.75">
      <c r="A1" s="1" t="s">
        <v>372</v>
      </c>
      <c r="B1" s="1" t="s">
        <v>373</v>
      </c>
      <c r="C1" s="1" t="s">
        <v>374</v>
      </c>
      <c r="D1" s="1" t="s">
        <v>375</v>
      </c>
      <c r="E1" s="3" t="s">
        <v>7</v>
      </c>
      <c r="F1" s="3" t="s">
        <v>317</v>
      </c>
      <c r="G1" s="3" t="s">
        <v>376</v>
      </c>
      <c r="H1" s="3" t="s">
        <v>377</v>
      </c>
    </row>
    <row r="2" spans="1:8" ht="90">
      <c r="A2" t="s">
        <v>356</v>
      </c>
      <c r="B2" t="s">
        <v>378</v>
      </c>
      <c r="C2">
        <v>2025</v>
      </c>
      <c r="D2" s="21">
        <v>0.02</v>
      </c>
      <c r="E2" s="6" t="s">
        <v>379</v>
      </c>
      <c r="F2" s="22" t="s">
        <v>380</v>
      </c>
      <c r="G2" t="s">
        <v>381</v>
      </c>
      <c r="H2" s="6" t="s">
        <v>382</v>
      </c>
    </row>
    <row r="3" spans="1:8" ht="75">
      <c r="A3" t="s">
        <v>356</v>
      </c>
      <c r="B3" t="s">
        <v>378</v>
      </c>
      <c r="C3">
        <v>2030</v>
      </c>
      <c r="D3" s="21">
        <v>0.15</v>
      </c>
      <c r="E3" s="6" t="s">
        <v>379</v>
      </c>
      <c r="F3" s="6" t="s">
        <v>380</v>
      </c>
      <c r="G3" t="s">
        <v>381</v>
      </c>
      <c r="H3" s="6" t="s">
        <v>383</v>
      </c>
    </row>
    <row r="4" spans="1:8" ht="75">
      <c r="A4" t="s">
        <v>360</v>
      </c>
      <c r="B4" t="s">
        <v>378</v>
      </c>
      <c r="C4">
        <v>2027</v>
      </c>
      <c r="D4" s="21">
        <v>0.01</v>
      </c>
      <c r="E4" s="6" t="s">
        <v>384</v>
      </c>
      <c r="F4" s="6" t="s">
        <v>385</v>
      </c>
    </row>
    <row r="5" spans="1:8" ht="75">
      <c r="A5" t="s">
        <v>360</v>
      </c>
      <c r="B5" t="s">
        <v>378</v>
      </c>
      <c r="C5">
        <v>2028</v>
      </c>
      <c r="D5" s="21">
        <v>0.02</v>
      </c>
      <c r="E5" s="6" t="s">
        <v>384</v>
      </c>
      <c r="F5" s="6" t="s">
        <v>386</v>
      </c>
    </row>
    <row r="6" spans="1:8" ht="30">
      <c r="A6" t="s">
        <v>360</v>
      </c>
      <c r="B6" t="s">
        <v>378</v>
      </c>
      <c r="C6">
        <v>2030</v>
      </c>
      <c r="D6" s="21">
        <v>0.05</v>
      </c>
      <c r="E6" s="6" t="s">
        <v>384</v>
      </c>
    </row>
    <row r="7" spans="1:8" ht="60">
      <c r="A7" s="23" t="s">
        <v>361</v>
      </c>
      <c r="B7" s="23" t="s">
        <v>378</v>
      </c>
      <c r="C7" s="23">
        <v>2026</v>
      </c>
      <c r="D7" s="24">
        <v>0.03</v>
      </c>
      <c r="E7" s="25" t="s">
        <v>387</v>
      </c>
      <c r="F7" s="25" t="s">
        <v>388</v>
      </c>
    </row>
    <row r="8" spans="1:8" ht="45">
      <c r="A8" t="s">
        <v>361</v>
      </c>
      <c r="B8" t="s">
        <v>378</v>
      </c>
      <c r="C8">
        <v>2027</v>
      </c>
      <c r="D8" s="21">
        <v>0.01</v>
      </c>
      <c r="E8" s="6" t="s">
        <v>389</v>
      </c>
      <c r="F8" s="6" t="s">
        <v>390</v>
      </c>
    </row>
    <row r="9" spans="1:8" ht="45">
      <c r="A9" t="s">
        <v>361</v>
      </c>
      <c r="B9" t="s">
        <v>378</v>
      </c>
      <c r="C9">
        <v>2030</v>
      </c>
      <c r="D9" s="26">
        <v>2.5000000000000001E-2</v>
      </c>
      <c r="E9" s="6" t="s">
        <v>391</v>
      </c>
      <c r="F9" s="6" t="s">
        <v>390</v>
      </c>
    </row>
    <row r="10" spans="1:8" ht="45">
      <c r="A10" t="s">
        <v>361</v>
      </c>
      <c r="B10" t="s">
        <v>378</v>
      </c>
      <c r="C10">
        <v>2035</v>
      </c>
      <c r="D10" s="21">
        <v>0.05</v>
      </c>
      <c r="E10" s="6" t="s">
        <v>391</v>
      </c>
      <c r="F10" s="6" t="s">
        <v>390</v>
      </c>
    </row>
    <row r="11" spans="1:8" ht="45">
      <c r="A11" t="s">
        <v>361</v>
      </c>
      <c r="B11" t="s">
        <v>378</v>
      </c>
      <c r="C11">
        <v>2040</v>
      </c>
      <c r="D11" s="26">
        <v>0.125</v>
      </c>
      <c r="E11" s="6" t="s">
        <v>391</v>
      </c>
      <c r="F11" s="6" t="s">
        <v>390</v>
      </c>
    </row>
    <row r="12" spans="1:8" ht="45">
      <c r="A12" t="s">
        <v>361</v>
      </c>
      <c r="B12" t="s">
        <v>378</v>
      </c>
      <c r="C12">
        <v>2050</v>
      </c>
      <c r="D12" s="21">
        <v>0.3</v>
      </c>
      <c r="E12" s="6" t="s">
        <v>391</v>
      </c>
      <c r="F12" s="6" t="s">
        <v>390</v>
      </c>
    </row>
    <row r="13" spans="1:8" ht="45">
      <c r="A13" t="s">
        <v>361</v>
      </c>
      <c r="B13" t="s">
        <v>378</v>
      </c>
      <c r="C13">
        <v>2060</v>
      </c>
      <c r="D13" s="21">
        <v>0.5</v>
      </c>
      <c r="E13" s="6" t="s">
        <v>391</v>
      </c>
      <c r="F13" s="6" t="s">
        <v>390</v>
      </c>
    </row>
    <row r="14" spans="1:8" ht="45">
      <c r="A14" t="s">
        <v>362</v>
      </c>
      <c r="B14" t="s">
        <v>378</v>
      </c>
      <c r="C14">
        <v>2030</v>
      </c>
      <c r="D14" s="21">
        <v>0.1</v>
      </c>
      <c r="E14" s="6" t="s">
        <v>392</v>
      </c>
      <c r="F14" s="6" t="s">
        <v>393</v>
      </c>
    </row>
    <row r="15" spans="1:8" ht="90">
      <c r="A15" t="s">
        <v>363</v>
      </c>
      <c r="B15" t="s">
        <v>378</v>
      </c>
      <c r="C15">
        <v>2025</v>
      </c>
      <c r="D15" s="21">
        <v>0.01</v>
      </c>
      <c r="E15" s="6" t="s">
        <v>394</v>
      </c>
      <c r="F15" s="6" t="s">
        <v>395</v>
      </c>
    </row>
    <row r="16" spans="1:8">
      <c r="A16" t="s">
        <v>363</v>
      </c>
      <c r="B16" t="s">
        <v>378</v>
      </c>
      <c r="C16">
        <v>2050</v>
      </c>
      <c r="D16" s="21">
        <v>0.47</v>
      </c>
      <c r="E16" s="6" t="s">
        <v>394</v>
      </c>
    </row>
    <row r="17" spans="1:8" ht="30">
      <c r="A17" t="s">
        <v>365</v>
      </c>
      <c r="B17" t="s">
        <v>378</v>
      </c>
      <c r="C17" t="s">
        <v>354</v>
      </c>
      <c r="D17" s="21" t="s">
        <v>354</v>
      </c>
      <c r="E17" s="6" t="s">
        <v>396</v>
      </c>
      <c r="F17" s="6" t="s">
        <v>397</v>
      </c>
    </row>
    <row r="18" spans="1:8" ht="75">
      <c r="A18" t="s">
        <v>366</v>
      </c>
      <c r="B18" t="s">
        <v>378</v>
      </c>
      <c r="C18">
        <v>2026</v>
      </c>
      <c r="D18" s="21">
        <v>0.01</v>
      </c>
      <c r="E18" s="6" t="s">
        <v>398</v>
      </c>
      <c r="F18" s="6" t="s">
        <v>399</v>
      </c>
      <c r="G18" t="s">
        <v>381</v>
      </c>
      <c r="H18" s="6" t="s">
        <v>400</v>
      </c>
    </row>
    <row r="19" spans="1:8" ht="75">
      <c r="A19" t="s">
        <v>366</v>
      </c>
      <c r="B19" t="s">
        <v>378</v>
      </c>
      <c r="C19">
        <v>2030</v>
      </c>
      <c r="D19" s="27" t="s">
        <v>401</v>
      </c>
      <c r="E19" s="25" t="s">
        <v>402</v>
      </c>
      <c r="F19" s="6" t="s">
        <v>399</v>
      </c>
    </row>
    <row r="20" spans="1:8" ht="60">
      <c r="A20" t="s">
        <v>367</v>
      </c>
      <c r="B20" t="s">
        <v>378</v>
      </c>
      <c r="C20">
        <v>2027</v>
      </c>
      <c r="D20" s="21">
        <v>0.01</v>
      </c>
      <c r="E20" s="6" t="s">
        <v>403</v>
      </c>
      <c r="F20" s="6" t="s">
        <v>404</v>
      </c>
    </row>
    <row r="21" spans="1:8" ht="75">
      <c r="A21" t="s">
        <v>369</v>
      </c>
      <c r="B21" t="s">
        <v>378</v>
      </c>
      <c r="C21">
        <v>2030</v>
      </c>
      <c r="D21" s="21">
        <v>0.05</v>
      </c>
      <c r="E21" s="6" t="s">
        <v>405</v>
      </c>
      <c r="F21" s="6" t="s">
        <v>386</v>
      </c>
      <c r="H21" s="6" t="s">
        <v>406</v>
      </c>
    </row>
    <row r="22" spans="1:8" ht="60">
      <c r="A22" t="s">
        <v>370</v>
      </c>
      <c r="B22" t="s">
        <v>378</v>
      </c>
      <c r="C22">
        <v>2026</v>
      </c>
      <c r="D22" s="21">
        <v>0.01</v>
      </c>
      <c r="E22" s="6" t="s">
        <v>407</v>
      </c>
      <c r="F22" s="6" t="s">
        <v>408</v>
      </c>
    </row>
    <row r="23" spans="1:8" ht="75">
      <c r="A23" t="s">
        <v>357</v>
      </c>
      <c r="B23" t="s">
        <v>409</v>
      </c>
      <c r="C23">
        <v>2025</v>
      </c>
      <c r="D23" s="21">
        <v>0.02</v>
      </c>
      <c r="E23" s="6" t="s">
        <v>410</v>
      </c>
      <c r="F23" s="6" t="s">
        <v>411</v>
      </c>
      <c r="G23" t="s">
        <v>381</v>
      </c>
      <c r="H23" s="22" t="s">
        <v>412</v>
      </c>
    </row>
    <row r="24" spans="1:8" ht="30">
      <c r="A24" t="s">
        <v>357</v>
      </c>
      <c r="B24" t="s">
        <v>409</v>
      </c>
      <c r="C24">
        <v>2030</v>
      </c>
      <c r="D24" s="21">
        <v>0.06</v>
      </c>
      <c r="E24" s="6" t="s">
        <v>413</v>
      </c>
      <c r="F24" s="6" t="s">
        <v>414</v>
      </c>
      <c r="G24" t="s">
        <v>381</v>
      </c>
      <c r="H24" s="22"/>
    </row>
    <row r="25" spans="1:8" ht="30">
      <c r="A25" t="s">
        <v>357</v>
      </c>
      <c r="B25" t="s">
        <v>409</v>
      </c>
      <c r="C25">
        <v>2035</v>
      </c>
      <c r="D25" s="21">
        <v>0.2</v>
      </c>
      <c r="F25" s="22" t="s">
        <v>414</v>
      </c>
      <c r="G25" t="s">
        <v>381</v>
      </c>
    </row>
    <row r="26" spans="1:8" ht="30">
      <c r="A26" t="s">
        <v>357</v>
      </c>
      <c r="B26" t="s">
        <v>409</v>
      </c>
      <c r="C26">
        <v>2050</v>
      </c>
      <c r="D26" s="28" t="s">
        <v>415</v>
      </c>
      <c r="E26" s="6" t="s">
        <v>416</v>
      </c>
      <c r="F26" s="6" t="s">
        <v>414</v>
      </c>
      <c r="G26" t="s">
        <v>381</v>
      </c>
    </row>
    <row r="27" spans="1:8" ht="75">
      <c r="A27" t="s">
        <v>358</v>
      </c>
      <c r="B27" t="s">
        <v>409</v>
      </c>
      <c r="C27">
        <v>2022</v>
      </c>
      <c r="D27" s="21">
        <v>0.01</v>
      </c>
      <c r="F27" s="6" t="s">
        <v>385</v>
      </c>
    </row>
    <row r="28" spans="1:8" ht="30">
      <c r="A28" t="s">
        <v>358</v>
      </c>
      <c r="B28" t="s">
        <v>409</v>
      </c>
      <c r="C28">
        <v>2024</v>
      </c>
      <c r="D28" s="29">
        <v>1.4999999999999999E-2</v>
      </c>
      <c r="E28" s="6" t="s">
        <v>417</v>
      </c>
    </row>
    <row r="29" spans="1:8">
      <c r="A29" t="s">
        <v>358</v>
      </c>
      <c r="B29" t="s">
        <v>409</v>
      </c>
      <c r="C29">
        <v>2025</v>
      </c>
      <c r="D29" s="21">
        <v>0.02</v>
      </c>
    </row>
    <row r="30" spans="1:8" ht="75">
      <c r="A30" t="s">
        <v>359</v>
      </c>
      <c r="B30" t="s">
        <v>409</v>
      </c>
      <c r="C30">
        <v>2026</v>
      </c>
      <c r="D30" s="29">
        <v>5.0000000000000001E-3</v>
      </c>
      <c r="E30" s="25" t="s">
        <v>418</v>
      </c>
      <c r="F30" s="6" t="s">
        <v>385</v>
      </c>
    </row>
    <row r="31" spans="1:8">
      <c r="A31" t="s">
        <v>359</v>
      </c>
      <c r="B31" t="s">
        <v>409</v>
      </c>
      <c r="C31">
        <v>2028</v>
      </c>
      <c r="D31" s="21">
        <v>0.01</v>
      </c>
      <c r="E31" s="25" t="s">
        <v>418</v>
      </c>
    </row>
    <row r="32" spans="1:8">
      <c r="A32" t="s">
        <v>359</v>
      </c>
      <c r="B32" t="s">
        <v>409</v>
      </c>
      <c r="C32">
        <v>2030</v>
      </c>
      <c r="D32" s="21">
        <v>0.02</v>
      </c>
      <c r="E32" s="25" t="s">
        <v>418</v>
      </c>
    </row>
    <row r="33" spans="1:6" ht="75">
      <c r="A33" t="s">
        <v>364</v>
      </c>
      <c r="B33" t="s">
        <v>409</v>
      </c>
      <c r="C33">
        <v>2020</v>
      </c>
      <c r="D33" s="29">
        <v>5.0000000000000001E-3</v>
      </c>
      <c r="F33" s="6" t="s">
        <v>385</v>
      </c>
    </row>
    <row r="34" spans="1:6">
      <c r="A34" t="s">
        <v>364</v>
      </c>
      <c r="B34" t="s">
        <v>409</v>
      </c>
      <c r="C34">
        <v>2030</v>
      </c>
      <c r="D34" s="21">
        <v>0.3</v>
      </c>
    </row>
    <row r="35" spans="1:6" ht="75">
      <c r="A35" t="s">
        <v>368</v>
      </c>
      <c r="B35" t="s">
        <v>409</v>
      </c>
      <c r="C35">
        <v>2021</v>
      </c>
      <c r="D35" s="21">
        <v>0.01</v>
      </c>
      <c r="F35" s="6" t="s">
        <v>385</v>
      </c>
    </row>
    <row r="36" spans="1:6" ht="105">
      <c r="A36" t="s">
        <v>371</v>
      </c>
      <c r="B36" t="s">
        <v>409</v>
      </c>
      <c r="C36">
        <v>2025</v>
      </c>
      <c r="D36" s="21">
        <v>0.02</v>
      </c>
      <c r="E36" s="6" t="s">
        <v>419</v>
      </c>
      <c r="F36" s="6" t="s">
        <v>420</v>
      </c>
    </row>
    <row r="37" spans="1:6" ht="45">
      <c r="A37" t="s">
        <v>371</v>
      </c>
      <c r="B37" t="s">
        <v>409</v>
      </c>
      <c r="C37">
        <v>2030</v>
      </c>
      <c r="D37" s="21">
        <v>0.1</v>
      </c>
      <c r="F37" s="6" t="s">
        <v>420</v>
      </c>
    </row>
    <row r="38" spans="1:6" ht="60">
      <c r="A38" t="s">
        <v>371</v>
      </c>
      <c r="B38" t="s">
        <v>409</v>
      </c>
      <c r="C38">
        <v>2040</v>
      </c>
      <c r="D38" s="21">
        <v>0.22</v>
      </c>
      <c r="E38" s="6" t="s">
        <v>421</v>
      </c>
      <c r="F38" s="6" t="s">
        <v>420</v>
      </c>
    </row>
    <row r="39" spans="1:6" ht="30">
      <c r="A39" t="s">
        <v>331</v>
      </c>
      <c r="B39" t="s">
        <v>422</v>
      </c>
      <c r="C39">
        <v>2027</v>
      </c>
      <c r="D39" s="21">
        <v>0.01</v>
      </c>
      <c r="E39" s="6" t="s">
        <v>423</v>
      </c>
      <c r="F39" s="6" t="s">
        <v>424</v>
      </c>
    </row>
    <row r="40" spans="1:6" ht="105">
      <c r="A40" t="s">
        <v>331</v>
      </c>
      <c r="B40" t="s">
        <v>422</v>
      </c>
      <c r="C40">
        <v>2037</v>
      </c>
      <c r="D40" s="21">
        <v>0.1</v>
      </c>
      <c r="E40" s="6" t="s">
        <v>425</v>
      </c>
      <c r="F40" s="6" t="s">
        <v>426</v>
      </c>
    </row>
    <row r="41" spans="1:6" ht="60">
      <c r="A41" t="s">
        <v>427</v>
      </c>
      <c r="B41" t="s">
        <v>428</v>
      </c>
      <c r="C41">
        <v>2026</v>
      </c>
      <c r="D41" s="21">
        <v>0.02</v>
      </c>
      <c r="E41" s="6" t="s">
        <v>429</v>
      </c>
      <c r="F41" s="6" t="s">
        <v>430</v>
      </c>
    </row>
    <row r="42" spans="1:6" ht="60">
      <c r="A42" t="s">
        <v>427</v>
      </c>
      <c r="B42" t="s">
        <v>428</v>
      </c>
      <c r="C42">
        <v>2027</v>
      </c>
      <c r="D42" s="21">
        <v>0.04</v>
      </c>
      <c r="E42" s="6" t="s">
        <v>429</v>
      </c>
      <c r="F42" s="6" t="s">
        <v>430</v>
      </c>
    </row>
    <row r="43" spans="1:6" ht="60">
      <c r="A43" t="s">
        <v>427</v>
      </c>
      <c r="B43" t="s">
        <v>428</v>
      </c>
      <c r="C43">
        <v>2028</v>
      </c>
      <c r="D43" s="21">
        <v>0.06</v>
      </c>
      <c r="E43" s="6" t="s">
        <v>429</v>
      </c>
      <c r="F43" s="6" t="s">
        <v>430</v>
      </c>
    </row>
    <row r="44" spans="1:6" ht="60">
      <c r="A44" t="s">
        <v>427</v>
      </c>
      <c r="B44" t="s">
        <v>428</v>
      </c>
      <c r="C44">
        <v>2029</v>
      </c>
      <c r="D44" s="21">
        <v>0.08</v>
      </c>
      <c r="E44" s="6" t="s">
        <v>429</v>
      </c>
      <c r="F44" s="6" t="s">
        <v>430</v>
      </c>
    </row>
    <row r="45" spans="1:6" ht="45">
      <c r="A45" t="s">
        <v>427</v>
      </c>
      <c r="B45" t="s">
        <v>428</v>
      </c>
      <c r="C45">
        <v>2030</v>
      </c>
      <c r="D45" s="21">
        <v>0.1</v>
      </c>
      <c r="E45" s="6" t="s">
        <v>431</v>
      </c>
      <c r="F45" s="6" t="s">
        <v>432</v>
      </c>
    </row>
    <row r="46" spans="1:6" ht="30">
      <c r="A46" t="s">
        <v>433</v>
      </c>
      <c r="B46" t="s">
        <v>434</v>
      </c>
      <c r="C46">
        <v>2030</v>
      </c>
      <c r="D46" s="21">
        <v>0.05</v>
      </c>
      <c r="E46" s="6" t="s">
        <v>435</v>
      </c>
      <c r="F46" s="6" t="s">
        <v>436</v>
      </c>
    </row>
  </sheetData>
  <autoFilter ref="A1:H45" xr:uid="{0DA5B0F3-B9DA-49E9-982A-8308CD4D5666}"/>
  <hyperlinks>
    <hyperlink ref="F25" r:id="rId1" xr:uid="{94AABC8B-8ABB-4F69-AAEA-D9D464525E1F}"/>
    <hyperlink ref="H23" r:id="rId2" location=":~:text=Over%20the%20years%2C%20this%20mechanism,penalties%20between%202030%20and%202035." xr:uid="{DF003838-1484-4F5E-9A5D-450683B0EB40}"/>
    <hyperlink ref="F2" r:id="rId3" location=":~:text=One%20of%20the%20cornerstones%20of,Financial%20Incentives" xr:uid="{24A91304-5CB7-41C9-87D5-C2A4770698F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225BE-654F-482C-85D9-54C61157B17F}">
  <dimension ref="A1:H9"/>
  <sheetViews>
    <sheetView zoomScale="85" zoomScaleNormal="85" workbookViewId="0">
      <selection activeCell="F3" sqref="F3"/>
    </sheetView>
  </sheetViews>
  <sheetFormatPr defaultRowHeight="15"/>
  <cols>
    <col min="1" max="1" width="11.5703125" bestFit="1" customWidth="1"/>
    <col min="2" max="2" width="8.42578125" bestFit="1" customWidth="1"/>
    <col min="3" max="3" width="10.42578125" bestFit="1" customWidth="1"/>
    <col min="4" max="4" width="18.85546875" bestFit="1" customWidth="1"/>
    <col min="5" max="5" width="18.85546875" style="6" customWidth="1"/>
    <col min="6" max="7" width="50.7109375" customWidth="1"/>
  </cols>
  <sheetData>
    <row r="1" spans="1:8" ht="15.75">
      <c r="A1" s="1" t="s">
        <v>437</v>
      </c>
      <c r="B1" s="1" t="s">
        <v>6</v>
      </c>
      <c r="C1" s="1" t="s">
        <v>438</v>
      </c>
      <c r="D1" s="1" t="s">
        <v>439</v>
      </c>
      <c r="E1" s="3" t="s">
        <v>440</v>
      </c>
      <c r="F1" s="3" t="s">
        <v>7</v>
      </c>
      <c r="G1" s="3" t="s">
        <v>317</v>
      </c>
    </row>
    <row r="2" spans="1:8" ht="90">
      <c r="A2" t="s">
        <v>441</v>
      </c>
      <c r="B2" s="4">
        <v>45474</v>
      </c>
      <c r="C2" s="4">
        <v>47664</v>
      </c>
      <c r="D2" t="s">
        <v>442</v>
      </c>
      <c r="E2" s="6" t="s">
        <v>443</v>
      </c>
      <c r="F2" s="6" t="s">
        <v>444</v>
      </c>
      <c r="G2" s="30" t="s">
        <v>445</v>
      </c>
    </row>
    <row r="3" spans="1:8" ht="150">
      <c r="A3" t="s">
        <v>446</v>
      </c>
      <c r="B3" s="4">
        <v>45108</v>
      </c>
      <c r="C3" s="4">
        <v>48579</v>
      </c>
      <c r="D3" t="s">
        <v>442</v>
      </c>
      <c r="E3" s="6" t="s">
        <v>443</v>
      </c>
      <c r="F3" s="6" t="s">
        <v>447</v>
      </c>
      <c r="G3" s="30" t="s">
        <v>448</v>
      </c>
    </row>
    <row r="4" spans="1:8" ht="105">
      <c r="A4" t="s">
        <v>449</v>
      </c>
      <c r="B4" s="4"/>
      <c r="D4" t="s">
        <v>442</v>
      </c>
      <c r="E4" s="6" t="s">
        <v>450</v>
      </c>
      <c r="F4" s="6" t="s">
        <v>451</v>
      </c>
      <c r="G4" s="30" t="s">
        <v>448</v>
      </c>
    </row>
    <row r="5" spans="1:8" ht="129.75" customHeight="1">
      <c r="A5" s="23" t="s">
        <v>452</v>
      </c>
      <c r="B5" s="4">
        <v>46388</v>
      </c>
      <c r="C5" s="4">
        <v>49310</v>
      </c>
      <c r="D5" t="s">
        <v>442</v>
      </c>
      <c r="E5" s="25" t="s">
        <v>453</v>
      </c>
      <c r="F5" s="6" t="s">
        <v>454</v>
      </c>
      <c r="G5" s="22" t="s">
        <v>448</v>
      </c>
      <c r="H5" s="31" t="s">
        <v>455</v>
      </c>
    </row>
    <row r="6" spans="1:8" ht="45">
      <c r="A6" t="s">
        <v>456</v>
      </c>
      <c r="D6" t="s">
        <v>457</v>
      </c>
      <c r="F6" s="6" t="s">
        <v>458</v>
      </c>
    </row>
    <row r="7" spans="1:8" ht="45">
      <c r="A7" t="s">
        <v>459</v>
      </c>
      <c r="D7" t="s">
        <v>457</v>
      </c>
      <c r="F7" s="6" t="s">
        <v>458</v>
      </c>
    </row>
    <row r="8" spans="1:8" ht="45">
      <c r="A8" t="s">
        <v>449</v>
      </c>
      <c r="D8" t="s">
        <v>457</v>
      </c>
      <c r="F8" s="6" t="s">
        <v>458</v>
      </c>
    </row>
    <row r="9" spans="1:8" ht="45">
      <c r="A9" s="23" t="s">
        <v>460</v>
      </c>
      <c r="B9" s="23"/>
      <c r="C9" s="23"/>
      <c r="D9" s="23" t="s">
        <v>461</v>
      </c>
      <c r="E9" s="25"/>
      <c r="F9" s="25" t="s">
        <v>462</v>
      </c>
      <c r="G9" s="23" t="s">
        <v>463</v>
      </c>
      <c r="H9" s="23" t="s">
        <v>464</v>
      </c>
    </row>
  </sheetData>
  <hyperlinks>
    <hyperlink ref="G5" r:id="rId1" xr:uid="{AB5C7E0D-2CF0-4258-B44E-F8FF21834B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Offtake Agreements</vt:lpstr>
      <vt:lpstr>Other SAF Agreements</vt:lpstr>
      <vt:lpstr>Investments</vt:lpstr>
      <vt:lpstr>Sheet1</vt:lpstr>
      <vt:lpstr>Mandates</vt:lpstr>
      <vt:lpstr>US State Incentives</vt:lpstr>
      <vt:lpstr>Offtake Announcements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2025-07-17T08:55:56Z</dcterms:created>
  <dcterms:modified xsi:type="dcterms:W3CDTF">2025-09-09T10:53:01Z</dcterms:modified>
</cp:coreProperties>
</file>